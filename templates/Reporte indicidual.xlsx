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filterPrivacy="1" defaultThemeVersion="166925"/>
  <xr:revisionPtr revIDLastSave="34" documentId="11_7D88C18622A6D266925031089C394FE368234159" xr6:coauthVersionLast="47" xr6:coauthVersionMax="47" xr10:uidLastSave="{D17BEAF7-2BBC-4E57-92FA-F4841B5F3554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C14" i="1"/>
  <c r="I5" i="1"/>
  <c r="D14" i="1"/>
</calcChain>
</file>

<file path=xl/sharedStrings.xml><?xml version="1.0" encoding="utf-8"?>
<sst xmlns="http://schemas.openxmlformats.org/spreadsheetml/2006/main" count="32" uniqueCount="12">
  <si>
    <t> </t>
  </si>
  <si>
    <t>Venta por mes de salida de viajes</t>
  </si>
  <si>
    <t>Suma de Total Venta USD</t>
  </si>
  <si>
    <t>2026</t>
  </si>
  <si>
    <t>Etiquetas de fila</t>
  </si>
  <si>
    <t>2026 Total</t>
  </si>
  <si>
    <t>Grand Total</t>
  </si>
  <si>
    <t>AndreaG</t>
  </si>
  <si>
    <t>Total general</t>
  </si>
  <si>
    <t>Venta por mes de calendario</t>
  </si>
  <si>
    <t>Beneficio USD</t>
  </si>
  <si>
    <t>Rentabilidad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</si>
</sst>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"/>
    <numFmt numFmtId="165" formatCode="[$$-540A]#,##0"/>
    <numFmt numFmtId="166" formatCode="0.0%"/>
    <numFmt numFmtId="167" formatCode="[$$-409]#,##0.00"/>
  </numFmts>
  <fonts count="5">
    <font>
      <sz val="11"/>
      <color theme="1"/>
      <name val="Calibri"/>
      <family val="2"/>
      <scheme val="minor"/>
    </font>
    <font>
      <sz val="11"/>
      <color rgb="FF000000"/>
      <name val="Aptos Narrow"/>
    </font>
    <font>
      <b/>
      <sz val="16"/>
      <color rgb="FF000000"/>
      <name val="Aptos Narrow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4E291"/>
        <bgColor rgb="FF84E29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64" fontId="0" fillId="5" borderId="0" xfId="0" applyNumberFormat="1" applyFill="1"/>
    <xf numFmtId="164" fontId="3" fillId="5" borderId="0" xfId="0" applyNumberFormat="1" applyFont="1" applyFill="1"/>
    <xf numFmtId="0" fontId="3" fillId="3" borderId="2" xfId="0" applyFont="1" applyFill="1" applyBorder="1" applyAlignment="1">
      <alignment horizontal="left"/>
    </xf>
    <xf numFmtId="164" fontId="3" fillId="3" borderId="2" xfId="0" applyNumberFormat="1" applyFont="1" applyFill="1" applyBorder="1"/>
    <xf numFmtId="0" fontId="1" fillId="2" borderId="0" xfId="0" applyFont="1" applyFill="1"/>
    <xf numFmtId="0" fontId="0" fillId="4" borderId="0" xfId="0" applyFill="1"/>
    <xf numFmtId="0" fontId="3" fillId="4" borderId="0" xfId="0" applyFont="1" applyFill="1" applyAlignment="1">
      <alignment horizontal="center"/>
    </xf>
    <xf numFmtId="165" fontId="3" fillId="5" borderId="0" xfId="0" applyNumberFormat="1" applyFont="1" applyFill="1"/>
    <xf numFmtId="166" fontId="0" fillId="0" borderId="0" xfId="0" applyNumberFormat="1"/>
    <xf numFmtId="167" fontId="3" fillId="3" borderId="2" xfId="0" applyNumberFormat="1" applyFont="1" applyFill="1" applyBorder="1"/>
    <xf numFmtId="164" fontId="4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D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I15"/>
  <sheetViews>
    <sheetView tabSelected="1" workbookViewId="0">
      <selection activeCell="J9" sqref="J9"/>
    </sheetView>
  </sheetViews>
  <sheetFormatPr defaultColWidth="11.42578125" defaultRowHeight="15"/>
  <cols>
    <col min="1" max="1" width="23.85546875" bestFit="1" customWidth="1"/>
    <col min="5" max="6" width="13.85546875" bestFit="1" customWidth="1"/>
    <col min="7" max="7" width="14.5703125" bestFit="1" customWidth="1"/>
  </cols>
  <sheetData>
    <row r="1" spans="1:9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9" ht="21">
      <c r="A2" s="20" t="s">
        <v>1</v>
      </c>
      <c r="B2" s="20"/>
      <c r="C2" s="20"/>
      <c r="D2" s="20"/>
      <c r="E2" s="20"/>
      <c r="F2" s="20"/>
    </row>
    <row r="3" spans="1:9">
      <c r="A3" s="2" t="s">
        <v>2</v>
      </c>
      <c r="B3" s="2" t="s">
        <v>3</v>
      </c>
      <c r="C3" s="2"/>
      <c r="D3" s="2"/>
      <c r="E3" s="2" t="s">
        <v>0</v>
      </c>
      <c r="F3" s="2" t="s">
        <v>0</v>
      </c>
      <c r="G3" s="2"/>
      <c r="H3" s="3"/>
      <c r="I3" s="2"/>
    </row>
    <row r="4" spans="1:9">
      <c r="A4" s="4" t="s">
        <v>4</v>
      </c>
      <c r="B4" s="4">
        <v>1</v>
      </c>
      <c r="C4" s="4">
        <v>3</v>
      </c>
      <c r="D4" s="4">
        <v>5</v>
      </c>
      <c r="E4" s="4">
        <v>6</v>
      </c>
      <c r="F4" s="4">
        <v>7</v>
      </c>
      <c r="G4" s="4">
        <v>9</v>
      </c>
      <c r="H4" s="5" t="s">
        <v>5</v>
      </c>
      <c r="I4" s="6" t="s">
        <v>6</v>
      </c>
    </row>
    <row r="5" spans="1:9">
      <c r="A5" s="7" t="s">
        <v>7</v>
      </c>
      <c r="B5" s="8">
        <v>47139.720399999998</v>
      </c>
      <c r="C5" s="8">
        <v>1837.4399999999998</v>
      </c>
      <c r="D5" s="8">
        <v>110454.53879999998</v>
      </c>
      <c r="E5" s="8">
        <v>5226.96</v>
      </c>
      <c r="F5" s="8">
        <v>335788</v>
      </c>
      <c r="G5" s="8">
        <v>74493</v>
      </c>
      <c r="H5" s="9">
        <f>SUM(B5:G5)</f>
        <v>574939.65919999999</v>
      </c>
      <c r="I5" s="10">
        <f>H5</f>
        <v>574939.65919999999</v>
      </c>
    </row>
    <row r="6" spans="1:9">
      <c r="A6" s="11" t="s">
        <v>8</v>
      </c>
      <c r="B6" s="12">
        <v>47139.720399999998</v>
      </c>
      <c r="C6" s="12">
        <v>1837.4399999999998</v>
      </c>
      <c r="D6" s="12">
        <v>110454.53879999998</v>
      </c>
      <c r="E6" s="12">
        <v>5226.96</v>
      </c>
      <c r="F6" s="12">
        <v>335788</v>
      </c>
      <c r="G6" s="12">
        <v>74493</v>
      </c>
      <c r="H6" s="12">
        <f>H5</f>
        <v>574939.65919999999</v>
      </c>
      <c r="I6" s="12"/>
    </row>
    <row r="10" spans="1:9">
      <c r="A10" s="13" t="s">
        <v>0</v>
      </c>
      <c r="B10" s="13" t="s">
        <v>0</v>
      </c>
      <c r="C10" s="13" t="s">
        <v>0</v>
      </c>
      <c r="D10" s="13" t="s">
        <v>0</v>
      </c>
      <c r="E10" s="13" t="s">
        <v>0</v>
      </c>
      <c r="F10" s="13" t="s">
        <v>0</v>
      </c>
    </row>
    <row r="11" spans="1:9" ht="21">
      <c r="A11" s="20" t="s">
        <v>9</v>
      </c>
      <c r="B11" s="20"/>
      <c r="C11" s="20"/>
      <c r="D11" s="20"/>
      <c r="E11" s="20"/>
      <c r="F11" s="20"/>
    </row>
    <row r="12" spans="1:9">
      <c r="A12" s="2" t="s">
        <v>2</v>
      </c>
      <c r="B12" s="2" t="s">
        <v>3</v>
      </c>
      <c r="C12" s="14"/>
      <c r="D12" s="2"/>
      <c r="E12" s="2"/>
      <c r="F12" s="2"/>
    </row>
    <row r="13" spans="1:9">
      <c r="A13" s="4" t="s">
        <v>4</v>
      </c>
      <c r="B13" s="4">
        <v>1</v>
      </c>
      <c r="C13" s="15" t="s">
        <v>5</v>
      </c>
      <c r="D13" s="6" t="s">
        <v>6</v>
      </c>
      <c r="E13" s="4" t="s">
        <v>10</v>
      </c>
      <c r="F13" s="4" t="s">
        <v>11</v>
      </c>
    </row>
    <row r="14" spans="1:9">
      <c r="A14" s="7" t="s">
        <v>7</v>
      </c>
      <c r="B14" s="8">
        <v>83567.308799999999</v>
      </c>
      <c r="C14" s="19">
        <f>B14</f>
        <v>83567.308799999999</v>
      </c>
      <c r="D14" s="16">
        <f>C14</f>
        <v>83567.308799999999</v>
      </c>
      <c r="E14" s="8">
        <v>20631.264800000001</v>
      </c>
      <c r="F14" s="17">
        <v>0.24685957032918207</v>
      </c>
    </row>
    <row r="15" spans="1:9">
      <c r="A15" s="11" t="s">
        <v>8</v>
      </c>
      <c r="B15" s="12">
        <v>83567.308799999999</v>
      </c>
      <c r="C15" s="12">
        <v>17732.260000000002</v>
      </c>
      <c r="D15" s="18"/>
      <c r="E15" s="18"/>
      <c r="F15" s="18"/>
    </row>
  </sheetData>
  <mergeCells count="2">
    <mergeCell ref="A2:F2"/>
    <mergeCell ref="A11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Sofía Romano</cp:lastModifiedBy>
  <cp:revision/>
  <dcterms:created xsi:type="dcterms:W3CDTF">2026-02-11T10:42:43Z</dcterms:created>
  <dcterms:modified xsi:type="dcterms:W3CDTF">2026-02-12T16:06:07Z</dcterms:modified>
  <cp:category/>
  <cp:contentStatus/>
</cp:coreProperties>
</file>