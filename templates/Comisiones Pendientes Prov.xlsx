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/>
  <mc:AlternateContent xmlns:mc="http://schemas.openxmlformats.org/markup-compatibility/2006">
    <mc:Choice Requires="x15">
      <x15ac:absPath xmlns:x15ac="http://schemas.microsoft.com/office/spreadsheetml/2010/11/ac" url="/Users/claudia/Desktop/Gannet/templates/"/>
    </mc:Choice>
  </mc:AlternateContent>
  <xr:revisionPtr revIDLastSave="0" documentId="13_ncr:1_{CAE0A0BC-B894-A248-A628-EA2214924A3F}" xr6:coauthVersionLast="47" xr6:coauthVersionMax="47" xr10:uidLastSave="{00000000-0000-0000-0000-000000000000}"/>
  <bookViews>
    <workbookView xWindow="0" yWindow="760" windowWidth="29400" windowHeight="17120" activeTab="4" xr2:uid="{00000000-000D-0000-FFFF-FFFF00000000}"/>
  </bookViews>
  <sheets>
    <sheet name="Data LLC" sheetId="1" r:id="rId1"/>
    <sheet name="Com Pend LLC" sheetId="11" r:id="rId2"/>
    <sheet name="Data SL" sheetId="3" r:id="rId3"/>
    <sheet name="Detail1" sheetId="9" state="hidden" r:id="rId4"/>
    <sheet name="Com Pend SL" sheetId="10" r:id="rId5"/>
    <sheet name="Com Pend SL old" sheetId="8" state="hidden" r:id="rId6"/>
  </sheets>
  <definedNames>
    <definedName name="_xlnm._FilterDatabase" localSheetId="0" hidden="1">'Data LLC'!$A$1:$M$432</definedName>
    <definedName name="_xlnm._FilterDatabase" localSheetId="2" hidden="1">'Data SL'!$A$1:$M$22</definedName>
    <definedName name="Tabla">'Data SL'!$A$1:$L$49</definedName>
  </definedNames>
  <calcPr calcId="191028"/>
  <pivotCaches>
    <pivotCache cacheId="15" r:id="rId7"/>
    <pivotCache cacheId="16" r:id="rId8"/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2" i="1"/>
  <c r="L2" i="3"/>
  <c r="I397" i="1"/>
  <c r="J397" i="1"/>
  <c r="L397" i="1"/>
  <c r="M397" i="1"/>
  <c r="I398" i="1"/>
  <c r="J398" i="1"/>
  <c r="L398" i="1"/>
  <c r="M398" i="1"/>
  <c r="I399" i="1"/>
  <c r="J399" i="1"/>
  <c r="L399" i="1"/>
  <c r="M399" i="1"/>
  <c r="I400" i="1"/>
  <c r="J400" i="1"/>
  <c r="L400" i="1"/>
  <c r="M400" i="1"/>
  <c r="I401" i="1"/>
  <c r="J401" i="1"/>
  <c r="L401" i="1"/>
  <c r="M401" i="1"/>
  <c r="I402" i="1"/>
  <c r="J402" i="1"/>
  <c r="L402" i="1"/>
  <c r="M402" i="1"/>
  <c r="I403" i="1"/>
  <c r="J403" i="1"/>
  <c r="L403" i="1"/>
  <c r="M403" i="1"/>
  <c r="I404" i="1"/>
  <c r="J404" i="1"/>
  <c r="L404" i="1"/>
  <c r="M404" i="1"/>
  <c r="I405" i="1"/>
  <c r="J405" i="1"/>
  <c r="L405" i="1"/>
  <c r="M405" i="1"/>
  <c r="I406" i="1"/>
  <c r="J406" i="1"/>
  <c r="L406" i="1"/>
  <c r="M406" i="1"/>
  <c r="I407" i="1"/>
  <c r="J407" i="1"/>
  <c r="L407" i="1"/>
  <c r="M407" i="1"/>
  <c r="I408" i="1"/>
  <c r="J408" i="1"/>
  <c r="L408" i="1"/>
  <c r="M408" i="1"/>
  <c r="I409" i="1"/>
  <c r="J409" i="1"/>
  <c r="L409" i="1"/>
  <c r="M409" i="1"/>
  <c r="I410" i="1"/>
  <c r="J410" i="1"/>
  <c r="L410" i="1"/>
  <c r="M410" i="1"/>
  <c r="I411" i="1"/>
  <c r="J411" i="1"/>
  <c r="L411" i="1"/>
  <c r="M411" i="1"/>
  <c r="I412" i="1"/>
  <c r="J412" i="1"/>
  <c r="L412" i="1"/>
  <c r="M412" i="1"/>
  <c r="I413" i="1"/>
  <c r="J413" i="1"/>
  <c r="L413" i="1"/>
  <c r="M413" i="1"/>
  <c r="I414" i="1"/>
  <c r="J414" i="1"/>
  <c r="L414" i="1"/>
  <c r="M414" i="1"/>
  <c r="I415" i="1"/>
  <c r="J415" i="1"/>
  <c r="L415" i="1"/>
  <c r="M415" i="1"/>
  <c r="I416" i="1"/>
  <c r="J416" i="1"/>
  <c r="L416" i="1"/>
  <c r="M416" i="1"/>
  <c r="I417" i="1"/>
  <c r="J417" i="1"/>
  <c r="L417" i="1"/>
  <c r="M417" i="1"/>
  <c r="I418" i="1"/>
  <c r="J418" i="1"/>
  <c r="L418" i="1"/>
  <c r="M418" i="1"/>
  <c r="I419" i="1"/>
  <c r="J419" i="1"/>
  <c r="L419" i="1"/>
  <c r="M419" i="1"/>
  <c r="I420" i="1"/>
  <c r="J420" i="1"/>
  <c r="L420" i="1"/>
  <c r="M420" i="1"/>
  <c r="I421" i="1"/>
  <c r="J421" i="1"/>
  <c r="L421" i="1"/>
  <c r="M421" i="1"/>
  <c r="I422" i="1"/>
  <c r="J422" i="1"/>
  <c r="L422" i="1"/>
  <c r="M422" i="1"/>
  <c r="I423" i="1"/>
  <c r="J423" i="1"/>
  <c r="L423" i="1"/>
  <c r="M423" i="1"/>
  <c r="I424" i="1"/>
  <c r="J424" i="1"/>
  <c r="L424" i="1"/>
  <c r="M424" i="1"/>
  <c r="I425" i="1"/>
  <c r="J425" i="1"/>
  <c r="L425" i="1"/>
  <c r="M425" i="1"/>
  <c r="I426" i="1"/>
  <c r="J426" i="1"/>
  <c r="L426" i="1"/>
  <c r="M426" i="1"/>
  <c r="I427" i="1"/>
  <c r="J427" i="1"/>
  <c r="L427" i="1"/>
  <c r="M427" i="1"/>
  <c r="I428" i="1"/>
  <c r="J428" i="1"/>
  <c r="L428" i="1"/>
  <c r="M428" i="1"/>
  <c r="I429" i="1"/>
  <c r="J429" i="1"/>
  <c r="L429" i="1"/>
  <c r="M429" i="1"/>
  <c r="I430" i="1"/>
  <c r="J430" i="1"/>
  <c r="L430" i="1"/>
  <c r="M430" i="1"/>
  <c r="I431" i="1"/>
  <c r="J431" i="1"/>
  <c r="L431" i="1"/>
  <c r="M431" i="1"/>
  <c r="I432" i="1"/>
  <c r="J432" i="1"/>
  <c r="L432" i="1"/>
  <c r="M432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M2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G2" i="1"/>
  <c r="H8" i="3"/>
  <c r="I8" i="3"/>
  <c r="J8" i="3"/>
  <c r="K8" i="3"/>
  <c r="L8" i="3"/>
  <c r="M8" i="3"/>
  <c r="H9" i="3"/>
  <c r="I9" i="3"/>
  <c r="J9" i="3"/>
  <c r="K9" i="3"/>
  <c r="L9" i="3"/>
  <c r="M9" i="3"/>
  <c r="G2" i="3"/>
  <c r="G8" i="3"/>
  <c r="G9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" i="3"/>
  <c r="G4" i="3"/>
  <c r="G5" i="3"/>
  <c r="G6" i="3"/>
  <c r="G7" i="3"/>
  <c r="M4" i="3"/>
  <c r="M5" i="3"/>
  <c r="M6" i="3"/>
  <c r="M2" i="3"/>
  <c r="M3" i="3"/>
  <c r="M7" i="3"/>
  <c r="H4" i="3"/>
  <c r="H5" i="3"/>
  <c r="H6" i="3"/>
  <c r="H2" i="3"/>
  <c r="H3" i="3"/>
  <c r="H7" i="3"/>
  <c r="I3" i="3"/>
  <c r="L3" i="3" s="1"/>
  <c r="I2" i="3"/>
  <c r="I6" i="3"/>
  <c r="L6" i="3" s="1"/>
  <c r="I5" i="3"/>
  <c r="L5" i="3" s="1"/>
  <c r="I4" i="3"/>
  <c r="L4" i="3" s="1"/>
  <c r="I7" i="3"/>
  <c r="L7" i="3" s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I2" i="1" l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J7" i="3"/>
  <c r="K7" i="3" s="1"/>
  <c r="J4" i="3"/>
  <c r="K4" i="3" s="1"/>
  <c r="J5" i="3"/>
  <c r="K5" i="3" s="1"/>
  <c r="J6" i="3"/>
  <c r="K6" i="3" s="1"/>
  <c r="J2" i="3"/>
  <c r="K2" i="3" s="1"/>
  <c r="J3" i="3"/>
  <c r="K3" i="3" s="1"/>
</calcChain>
</file>

<file path=xl/sharedStrings.xml><?xml version="1.0" encoding="utf-8"?>
<sst xmlns="http://schemas.openxmlformats.org/spreadsheetml/2006/main" count="2813" uniqueCount="1132">
  <si>
    <t>folio</t>
  </si>
  <si>
    <t>proveedor</t>
  </si>
  <si>
    <t>inicio_estancia</t>
  </si>
  <si>
    <t>fin_estancia</t>
  </si>
  <si>
    <t>moneda</t>
  </si>
  <si>
    <t>monto_comision</t>
  </si>
  <si>
    <t>Comision en EUR</t>
  </si>
  <si>
    <t>45 dias despues fin</t>
  </si>
  <si>
    <t>mes 45 dias</t>
  </si>
  <si>
    <t>Numero Mes</t>
  </si>
  <si>
    <t>año 45 dias</t>
  </si>
  <si>
    <t>Nombre Proveedor</t>
  </si>
  <si>
    <t>Nombre vendedor</t>
  </si>
  <si>
    <t>clave</t>
  </si>
  <si>
    <t>nombre</t>
  </si>
  <si>
    <t>vendedor</t>
  </si>
  <si>
    <t>DIVISA</t>
  </si>
  <si>
    <t>Fx EUR</t>
  </si>
  <si>
    <t>Fx USD</t>
  </si>
  <si>
    <t>EUR</t>
  </si>
  <si>
    <t>THE LUXURY TRAVEL BOOK</t>
  </si>
  <si>
    <t>marc1989</t>
  </si>
  <si>
    <t>VILLA D ESTE</t>
  </si>
  <si>
    <t>DianaM</t>
  </si>
  <si>
    <t>USD</t>
  </si>
  <si>
    <t>RELAIS SAN MAURIZIO</t>
  </si>
  <si>
    <t>CHF</t>
  </si>
  <si>
    <t>ICONS AND STYLES</t>
  </si>
  <si>
    <t>GBP</t>
  </si>
  <si>
    <t>SKIUSA SKI TRAVEL EXPERT TOUR OPERATOR</t>
  </si>
  <si>
    <t>GPB</t>
  </si>
  <si>
    <t>One Fine Stay</t>
  </si>
  <si>
    <t>JPY</t>
  </si>
  <si>
    <t>Privilege Italia</t>
  </si>
  <si>
    <t>MXN</t>
  </si>
  <si>
    <t>ANA KODER</t>
  </si>
  <si>
    <t>CHATEAU VOLTAIRE PARIS</t>
  </si>
  <si>
    <t>Venecia nolinski</t>
  </si>
  <si>
    <t>PORTRAIT MILANO HOTEL LUNGARNO COLLECTION</t>
  </si>
  <si>
    <t>Aeromexico</t>
  </si>
  <si>
    <t>MONDIAL</t>
  </si>
  <si>
    <t>MATACHICA RESORT &amp; SPA, AN SLH HOTEL</t>
  </si>
  <si>
    <t>TRIUMPH TRAVEL</t>
  </si>
  <si>
    <t>KLM Royal Dutch Airlines</t>
  </si>
  <si>
    <t>Alaska Airlines</t>
  </si>
  <si>
    <t>My Concierge</t>
  </si>
  <si>
    <t>Air France</t>
  </si>
  <si>
    <t>Abercrombie and Kent Europe</t>
  </si>
  <si>
    <t>FELTRINELLI</t>
  </si>
  <si>
    <t>Queen of Clubs France</t>
  </si>
  <si>
    <t>FOUR SEASONS HOTEL GRESHAM PALACE BUDAPEST</t>
  </si>
  <si>
    <t>British Airways</t>
  </si>
  <si>
    <t>South African Airways</t>
  </si>
  <si>
    <t>ESTELLE MANOR</t>
  </si>
  <si>
    <t>THE SURREY A CORINTHIA HOTEL</t>
  </si>
  <si>
    <t>Eurostar</t>
  </si>
  <si>
    <t>LE BRISTOL PARIS</t>
  </si>
  <si>
    <t>VIP INCOMING</t>
  </si>
  <si>
    <t>LorenzaP</t>
  </si>
  <si>
    <t>American Airlines</t>
  </si>
  <si>
    <t>LuciaS</t>
  </si>
  <si>
    <t>Regis Washington D.C.</t>
  </si>
  <si>
    <t>N2S Italia Client Service</t>
  </si>
  <si>
    <t>Alan Becker Schwarz</t>
  </si>
  <si>
    <t>Privilege Italia SRL</t>
  </si>
  <si>
    <t>BULGARI HOTEL ROMA</t>
  </si>
  <si>
    <t>UNITED PLACES HOTEL BOTANIC GARDENS</t>
  </si>
  <si>
    <t>HOTEL SAVOY</t>
  </si>
  <si>
    <t>MinervaH</t>
  </si>
  <si>
    <t>THE GRITTI PALACE</t>
  </si>
  <si>
    <t>VIALLO, S.A.</t>
  </si>
  <si>
    <t>Turkish Airlines</t>
  </si>
  <si>
    <t>THE MARK HOTEL</t>
  </si>
  <si>
    <t>ROCCO FORTE HOTEL SAVOY</t>
  </si>
  <si>
    <t>Ethiopian Airlines</t>
  </si>
  <si>
    <t>WE PLAN</t>
  </si>
  <si>
    <t>THE STANDARD EAST VILLAGE</t>
  </si>
  <si>
    <t>FOUR SEASONS HOTEL AT THE SURF CLUB, SURFSIDE, FLORIDA</t>
  </si>
  <si>
    <t>WELL COM AIR</t>
  </si>
  <si>
    <t>VISTA VERONA</t>
  </si>
  <si>
    <t>RafaellaP</t>
  </si>
  <si>
    <t>United Airlines</t>
  </si>
  <si>
    <t>Swiss International Airlines</t>
  </si>
  <si>
    <t>NORDIC LUXURY</t>
  </si>
  <si>
    <t>Emirates Airlines</t>
  </si>
  <si>
    <t>THE PENINSULA ISTANBUL</t>
  </si>
  <si>
    <t>THE ALPINA GSTAAD</t>
  </si>
  <si>
    <t>Quantum Jets</t>
  </si>
  <si>
    <t>DAWE YACHTS</t>
  </si>
  <si>
    <t>VeronicaN</t>
  </si>
  <si>
    <t>TANZERRA RESORTS</t>
  </si>
  <si>
    <t>GARCIA FERNANDEZ TURISMO</t>
  </si>
  <si>
    <t>ONCF VOYAGES</t>
  </si>
  <si>
    <t>Holycow Holidays</t>
  </si>
  <si>
    <t>LucianaE</t>
  </si>
  <si>
    <t>Cibanco, SA</t>
  </si>
  <si>
    <t>GRADUATE BY HILTON PRINCETON</t>
  </si>
  <si>
    <t>Janu</t>
  </si>
  <si>
    <t>All Nippon Airways</t>
  </si>
  <si>
    <t>Middle East Airlines</t>
  </si>
  <si>
    <t>MANDARIN ORIENTAL HONG KONG</t>
  </si>
  <si>
    <t>THE HIRAMATSU KYOTO</t>
  </si>
  <si>
    <t>HYATT CENTRIC KANAZAWA</t>
  </si>
  <si>
    <t>HOTEL SANDERS</t>
  </si>
  <si>
    <t>CASA POLANCO HOTEL BOUTIQUE</t>
  </si>
  <si>
    <t>SKI SHOP</t>
  </si>
  <si>
    <t>Afro Asian Travel</t>
  </si>
  <si>
    <t>PALACIO SOLECIO</t>
  </si>
  <si>
    <t>RAIL NINJA</t>
  </si>
  <si>
    <t>JANU TOKYO</t>
  </si>
  <si>
    <t>BUDGET CAR RENTAL</t>
  </si>
  <si>
    <t>AMAN KYOTO</t>
  </si>
  <si>
    <t>THE PENINSULA TOKYO</t>
  </si>
  <si>
    <t>Iberia</t>
  </si>
  <si>
    <t>AirLink</t>
  </si>
  <si>
    <t>BENESSE HOUSE HOTEL</t>
  </si>
  <si>
    <t>HUMMINGBIRD TRAVEL</t>
  </si>
  <si>
    <t>MANDARIN ORIENTAL MIAMI</t>
  </si>
  <si>
    <t>Pro Tours Iceland ehf</t>
  </si>
  <si>
    <t>FUKUTAKE FOUNDATION</t>
  </si>
  <si>
    <t>THE RITZ CARLTON NIKKO</t>
  </si>
  <si>
    <t>WABUNKA JAPAN EXPERIENCES</t>
  </si>
  <si>
    <t>HOTEL THE MITSUI KYOTO</t>
  </si>
  <si>
    <t>HOTEL HOSPES PALACIO DEL BAILIO</t>
  </si>
  <si>
    <t>CORRAL DEL REY</t>
  </si>
  <si>
    <t>PARADOR DE GRANADA</t>
  </si>
  <si>
    <t>THE RITZ-CARLTON SANTIAGO</t>
  </si>
  <si>
    <t>ALVEAR PALACE HOTEL</t>
  </si>
  <si>
    <t>HYATT REGENCY DFW INTERNATIONAL AIRPORT</t>
  </si>
  <si>
    <t>Best of Europe Travel</t>
  </si>
  <si>
    <t>Hawaiian Airlines</t>
  </si>
  <si>
    <t>Lot Polish Airlines</t>
  </si>
  <si>
    <t>El Al Israel Airlines</t>
  </si>
  <si>
    <t>Ai Oyama Bridge International</t>
  </si>
  <si>
    <t>Teton Limousine Services LLC</t>
  </si>
  <si>
    <t>TRAILS OF INDOCHINA</t>
  </si>
  <si>
    <t>Elite Car Service</t>
  </si>
  <si>
    <t>Berber Lodge</t>
  </si>
  <si>
    <t>José Alfonso Leyva González</t>
  </si>
  <si>
    <t>OTADUY YACHTS</t>
  </si>
  <si>
    <t>DELTA AIR LINES</t>
  </si>
  <si>
    <t>HOTEL FOUGERE</t>
  </si>
  <si>
    <t>HOTEL DU CAP EDEN ROC</t>
  </si>
  <si>
    <t>HOTEL ALFONSO XIII</t>
  </si>
  <si>
    <t>ZANNIER LE CHALET</t>
  </si>
  <si>
    <t>RIVERSIDE LUXURY CRUISES</t>
  </si>
  <si>
    <t>EXO TRAVEL SINGAPORE</t>
  </si>
  <si>
    <t>ARABIAN LUX</t>
  </si>
  <si>
    <t>Luxury Japan</t>
  </si>
  <si>
    <t>AMAN TOKYO</t>
  </si>
  <si>
    <t>ROSEWOOD VILLA MAGNA</t>
  </si>
  <si>
    <t>Ritz nikko</t>
  </si>
  <si>
    <t>THE SHINMONZEN</t>
  </si>
  <si>
    <t>FOUR SEASONS HOTEL JAKARTA</t>
  </si>
  <si>
    <t>SOLARIS RESIDENCES</t>
  </si>
  <si>
    <t>Queen Of Clubs Lifestyle Luxury Services LTD</t>
  </si>
  <si>
    <t>Peninsula london</t>
  </si>
  <si>
    <t>HECKFIELD PLACE</t>
  </si>
  <si>
    <t>MariaM</t>
  </si>
  <si>
    <t>DAKOTA HOTEL LEEDS</t>
  </si>
  <si>
    <t>CHARLES L TREADWAY</t>
  </si>
  <si>
    <t>ONE&amp;ONLY MANDARINA</t>
  </si>
  <si>
    <t>Silversea</t>
  </si>
  <si>
    <t>THE CONNAUGHT</t>
  </si>
  <si>
    <t>CRILLON TOURS</t>
  </si>
  <si>
    <t>Nubia Tours</t>
  </si>
  <si>
    <t>Nour El Nil</t>
  </si>
  <si>
    <t>BAWAH RESERVE</t>
  </si>
  <si>
    <t>IsraelB</t>
  </si>
  <si>
    <t>MARINA BAY SANDS</t>
  </si>
  <si>
    <t>NOVOTEL PARIS CENTRE TOUR EIFFEL</t>
  </si>
  <si>
    <t>Expedia TAAP</t>
  </si>
  <si>
    <t>Le Collectionist</t>
  </si>
  <si>
    <t>HOTEL BIDASOA</t>
  </si>
  <si>
    <t>THE DUPONT CIRCLE HOTEL</t>
  </si>
  <si>
    <t>WYNDHAM SANTIAGO PETTRA HOTEL</t>
  </si>
  <si>
    <t>CONRAD PUNTA DE MITA</t>
  </si>
  <si>
    <t>STRIPE</t>
  </si>
  <si>
    <t>WISE</t>
  </si>
  <si>
    <t>ROSELL BOHER WINERY LODGE AND SPA</t>
  </si>
  <si>
    <t>Bear Luxe Japan</t>
  </si>
  <si>
    <t>Qatar Airways</t>
  </si>
  <si>
    <t>Kenya eTA</t>
  </si>
  <si>
    <t>CASA LECANDA</t>
  </si>
  <si>
    <t>FOUR SEASONS HOTEL BALTIMORE</t>
  </si>
  <si>
    <t>FOUR SEASONS HOTEL HAMPSHIRE</t>
  </si>
  <si>
    <t>THE PENINSULA LONDON</t>
  </si>
  <si>
    <t>Palacios hospes Bailio</t>
  </si>
  <si>
    <t>HOTEL PALACIO DE SANTA PAULA, AUTOGRAPH COLLECTION</t>
  </si>
  <si>
    <t>Hertz Car Rental</t>
  </si>
  <si>
    <t>FOUR SEASONS HOTEL MADRID</t>
  </si>
  <si>
    <t>Kenya Airways</t>
  </si>
  <si>
    <t>GRAND HOTEL FASANO</t>
  </si>
  <si>
    <t>Rwandair Airlines</t>
  </si>
  <si>
    <t>AMAN NEW YORK</t>
  </si>
  <si>
    <t>FernandoS</t>
  </si>
  <si>
    <t>Government of India</t>
  </si>
  <si>
    <t>Copa Airlines</t>
  </si>
  <si>
    <t>ROSEWOOD VIENNA</t>
  </si>
  <si>
    <t>CRYSTAL CRUISES</t>
  </si>
  <si>
    <t>SKYLUX TRAVEL</t>
  </si>
  <si>
    <t>VISAS Osvaldo Cruz</t>
  </si>
  <si>
    <t>THE RITZ CARLTON ISTANBUL</t>
  </si>
  <si>
    <t>PULSO HOTEL FARIA LIMA</t>
  </si>
  <si>
    <t>ClaudiaF</t>
  </si>
  <si>
    <t>MANDARIN ORIENTAL SANTIAGO</t>
  </si>
  <si>
    <t>Experiences by Roam</t>
  </si>
  <si>
    <t>The Address Downtown Dubai</t>
  </si>
  <si>
    <t>VENUE AND CONCEPT</t>
  </si>
  <si>
    <t>SAUDI E VISA</t>
  </si>
  <si>
    <t>TRAVELQUEST</t>
  </si>
  <si>
    <t>SEEZ TRAVEL</t>
  </si>
  <si>
    <t>ROLZO</t>
  </si>
  <si>
    <t>SPLENDIDO MARE, A BELMOND HOTEL, PORTOFINO</t>
  </si>
  <si>
    <t>JetBlue Airways</t>
  </si>
  <si>
    <t>THE RITZ CARLTON CHICAGO</t>
  </si>
  <si>
    <t>LES JARDINS DU MARAIS</t>
  </si>
  <si>
    <t>EduardoP</t>
  </si>
  <si>
    <t>VILLA MAIA</t>
  </si>
  <si>
    <t>THE BERKELEY</t>
  </si>
  <si>
    <t>AndreaM</t>
  </si>
  <si>
    <t>ROSEWOOD MUNICH</t>
  </si>
  <si>
    <t>RELAIS AND CHATEAUX HOTEL TENNERHOF</t>
  </si>
  <si>
    <t>SPLENDIDE ROYAL PARIS</t>
  </si>
  <si>
    <t>GANNET</t>
  </si>
  <si>
    <t>THE RITZ CARLTON KEY BISCAYNE MIAMI</t>
  </si>
  <si>
    <t>Lyle Washington DC</t>
  </si>
  <si>
    <t>PALACE HOTEL COMO</t>
  </si>
  <si>
    <t>FS Florencia</t>
  </si>
  <si>
    <t>FOUR SEASONS HOTEL TOKYO AT OTEMACHI</t>
  </si>
  <si>
    <t>ODAKYU HOTEL HATSUHANA</t>
  </si>
  <si>
    <t>THE OKURA TOKYO</t>
  </si>
  <si>
    <t>MANDAPA A RITZ CARLTON RESERVE</t>
  </si>
  <si>
    <t>MANDARIN ORIENTAL SINGAPORE</t>
  </si>
  <si>
    <t>THE PENINSULA HONG KONG</t>
  </si>
  <si>
    <t>AMANJIWO</t>
  </si>
  <si>
    <t>Korean Air</t>
  </si>
  <si>
    <t>ANDEAN LUX</t>
  </si>
  <si>
    <t>IMPERIALE PALACE HOTEL</t>
  </si>
  <si>
    <t>HOTEL VIOLINO D ORO</t>
  </si>
  <si>
    <t>BADRUTT'S PALACE HOTEL ST. MORITZ</t>
  </si>
  <si>
    <t>HOTEL SACHER SALZBURGO</t>
  </si>
  <si>
    <t>AQUA EXPEDITIONS</t>
  </si>
  <si>
    <t>FOUR SEASONS HOTEL SINGAPORE</t>
  </si>
  <si>
    <t>AMANSARA</t>
  </si>
  <si>
    <t>ARACARI TRAVEL</t>
  </si>
  <si>
    <t>Address Sky View</t>
  </si>
  <si>
    <t>ROSEWOOD BERMUDA</t>
  </si>
  <si>
    <t>THE LODGE AT BLUE SKY AUBERGE COLLECTION</t>
  </si>
  <si>
    <t>Dream Pass</t>
  </si>
  <si>
    <t>LVH Global</t>
  </si>
  <si>
    <t>FOUR SEASONS HOTEL SEOUL</t>
  </si>
  <si>
    <t>LATAM Airlines</t>
  </si>
  <si>
    <t>HOTEL SCHWARZER ADLER KITZBUHEL - ADULTS ONLY</t>
  </si>
  <si>
    <t>FINAUTOS</t>
  </si>
  <si>
    <t>Exclusive Spain/Tailor-Made Travel</t>
  </si>
  <si>
    <t>FUFU HAKONE</t>
  </si>
  <si>
    <t>HOTEL COSTES</t>
  </si>
  <si>
    <t>SHA WELLNESS CLINIC MEXICO</t>
  </si>
  <si>
    <t>INTERCONTINENTAL SAO PAULO</t>
  </si>
  <si>
    <t>EDEN ROCK ST BARTHS</t>
  </si>
  <si>
    <t>MANDARIN ORIENTAL, LAKE COMO</t>
  </si>
  <si>
    <t>SENSEI LANAI A FOUR SEASONS RESORT</t>
  </si>
  <si>
    <t>Pebble Beach Resorts</t>
  </si>
  <si>
    <t>PaulaG</t>
  </si>
  <si>
    <t>México Kanko S.A.</t>
  </si>
  <si>
    <t>AndreaG</t>
  </si>
  <si>
    <t>LACURE</t>
  </si>
  <si>
    <t>FAIRMONT CHATEAU WHISTLER</t>
  </si>
  <si>
    <t>FOUR SEASONS</t>
  </si>
  <si>
    <t>GRAVITY HAUS VAIL</t>
  </si>
  <si>
    <t>FOUR SEASONS HOTEL SAN FRANCISCO AT EMBARCADERO</t>
  </si>
  <si>
    <t>FOUR SEASONS RESORT AND RESIDENCES CABO SAN LUCAS AT CABO DEL SOL</t>
  </si>
  <si>
    <t>EasyJet</t>
  </si>
  <si>
    <t>STERREKOPJE FARM</t>
  </si>
  <si>
    <t>THE BALMORAL, A ROCCO FORTE HOTEL</t>
  </si>
  <si>
    <t>VIAJES LI-COLIBRI</t>
  </si>
  <si>
    <t>ROUND HILL HOTEL AND VILLAS</t>
  </si>
  <si>
    <t>ALAN REIDER</t>
  </si>
  <si>
    <t>Ryanair</t>
  </si>
  <si>
    <t>AJET</t>
  </si>
  <si>
    <t>INVITEDHOME VAIL</t>
  </si>
  <si>
    <t>AriadnaR</t>
  </si>
  <si>
    <t>HOTEL EDEN</t>
  </si>
  <si>
    <t>EGYPT BEYOND</t>
  </si>
  <si>
    <t>URSO HOTEL AND SPA</t>
  </si>
  <si>
    <t>EgyptAir</t>
  </si>
  <si>
    <t>DROMOLAND CASTLE HOTEL</t>
  </si>
  <si>
    <t>THE WESTBURY</t>
  </si>
  <si>
    <t>FLEMINGS MAYFAIR HOTEL</t>
  </si>
  <si>
    <t>Context Tours</t>
  </si>
  <si>
    <t>AMANKILA</t>
  </si>
  <si>
    <t>CHATEAU DU SUREAU</t>
  </si>
  <si>
    <t>Bangkok Airways</t>
  </si>
  <si>
    <t>K-ETA</t>
  </si>
  <si>
    <t>PALACIO SANTA CLARA, AUTOGRAPH COLLECTION</t>
  </si>
  <si>
    <t>HOTEL MARQUÉS DE RISCAL, A LUXURY COLLECTION HOTEL</t>
  </si>
  <si>
    <t>HOTEL MARIA CRISTINA</t>
  </si>
  <si>
    <t>HOTEL HUMANO</t>
  </si>
  <si>
    <t>Hoshinoya Karuizawa</t>
  </si>
  <si>
    <t>Hoshinoya Tokyo</t>
  </si>
  <si>
    <t>SHINTA MANI WILD</t>
  </si>
  <si>
    <t>MartinB</t>
  </si>
  <si>
    <t>CLARIDGE S HOTEL</t>
  </si>
  <si>
    <t>L AUBERGE DEL MAR</t>
  </si>
  <si>
    <t>HOTEL JEROME, AUBERGE COLLECTION</t>
  </si>
  <si>
    <t>HOTEL LE COUCOU</t>
  </si>
  <si>
    <t>THE RITZ CARLTON YACHT COLLECTION</t>
  </si>
  <si>
    <t>Primerent Exclusive Car Rental</t>
  </si>
  <si>
    <t>A Mano Cuero</t>
  </si>
  <si>
    <t>THE PENINSULA CHICAGO</t>
  </si>
  <si>
    <t>Austrian Airlines</t>
  </si>
  <si>
    <t>KISAWA SANCTUARY</t>
  </si>
  <si>
    <t>CASA BRIVIO</t>
  </si>
  <si>
    <t>RESCHIO HOTEL</t>
  </si>
  <si>
    <t>IMPERIAL TOURS</t>
  </si>
  <si>
    <t>HOTEL UNICO MADRID</t>
  </si>
  <si>
    <t>GRAND HOTEL BELLEVUE LONDON</t>
  </si>
  <si>
    <t>MASSERIA CALDERISI</t>
  </si>
  <si>
    <t>CROSSING MANZONI</t>
  </si>
  <si>
    <t>Lufthansa</t>
  </si>
  <si>
    <t>Matuete Brazil</t>
  </si>
  <si>
    <t>MONSIEUR GEORGE HOTEL AND SPA</t>
  </si>
  <si>
    <t>HOTEL LUNGARNO</t>
  </si>
  <si>
    <t>CANYON RANCH LENOX</t>
  </si>
  <si>
    <t>ETT HEM</t>
  </si>
  <si>
    <t>PALAZZO ALBRICCI PEREGRINI LUXURY HOTEL</t>
  </si>
  <si>
    <t>CASA MACA</t>
  </si>
  <si>
    <t>SA PEDRISSA</t>
  </si>
  <si>
    <t>HOTEL EMBASSY</t>
  </si>
  <si>
    <t>ARIOSO HOTEL</t>
  </si>
  <si>
    <t>MAMA SHELTER ROMA</t>
  </si>
  <si>
    <t>HILTON MOLINO STUCKY VENICE</t>
  </si>
  <si>
    <t>Ace Hotel Kyoto</t>
  </si>
  <si>
    <t>THE RITZ CARLTON SHANGHAI PUDONG</t>
  </si>
  <si>
    <t>HOTEL THE CELESTINE GINZA</t>
  </si>
  <si>
    <t>TURISMO EX MAR, S.A. DE C.V.</t>
  </si>
  <si>
    <t>Icelandair</t>
  </si>
  <si>
    <t>Emile Garcin Proprietes</t>
  </si>
  <si>
    <t>VESTIGE SON VELL</t>
  </si>
  <si>
    <t>BLISS TRAVEL</t>
  </si>
  <si>
    <t>Garuda Indonesia</t>
  </si>
  <si>
    <t>ASIANA AIRLINES</t>
  </si>
  <si>
    <t>Vietnam Airlines</t>
  </si>
  <si>
    <t>PAPELERIA GANNET</t>
  </si>
  <si>
    <t>VENTOURS</t>
  </si>
  <si>
    <t>TEMPOVIP DMC PORTUGAL</t>
  </si>
  <si>
    <t>LA RESERVE EDEN AU LAC ZURICH</t>
  </si>
  <si>
    <t>Vueling Airlines</t>
  </si>
  <si>
    <t>LAM LINHAS AEREAS DE MOCAMBIQUE</t>
  </si>
  <si>
    <t>Ferryhopper</t>
  </si>
  <si>
    <t>FINNAIR</t>
  </si>
  <si>
    <t>THE LOWELL HOTEL</t>
  </si>
  <si>
    <t>Thai Airways Intl</t>
  </si>
  <si>
    <t>Museo de Osma</t>
  </si>
  <si>
    <t>MANDARIN ORIENTAL, PARIS HOTEL</t>
  </si>
  <si>
    <t>FOUR SEASONS RESORT PUNTA MITA</t>
  </si>
  <si>
    <t>HOSHINOYA FUJI</t>
  </si>
  <si>
    <t>AVIS CAR RENTAL</t>
  </si>
  <si>
    <t>JW MARRIOTT DALLAS ARTS DISTRICT</t>
  </si>
  <si>
    <t>JW MARRIOTT WASHINGTON, DC</t>
  </si>
  <si>
    <t>THE BEAUMONT MAYFAIR</t>
  </si>
  <si>
    <t>MUIR, A LUXURY COLLECTION HOTEL, HALIFAX</t>
  </si>
  <si>
    <t>THE DAVID KEMPINSKI TEL AVIV</t>
  </si>
  <si>
    <t>CHATEAU DE VALMER</t>
  </si>
  <si>
    <t>HOTEL LIAUTAUD CASSIS</t>
  </si>
  <si>
    <t>MANDARIN ORIENTAL LUTETIA PARIS</t>
  </si>
  <si>
    <t>HOTEL LORD BYRON</t>
  </si>
  <si>
    <t>SOFITEL LEGEND SANTA CLARA CARTAGENA</t>
  </si>
  <si>
    <t>Jet2.com</t>
  </si>
  <si>
    <t>HYATT CENTRIC GINZA TOKYO</t>
  </si>
  <si>
    <t>Q Hotels</t>
  </si>
  <si>
    <t>HOTEL CASA MONTI ROMA</t>
  </si>
  <si>
    <t>HIP TRAVEL</t>
  </si>
  <si>
    <t>HOTEL BEAU SITE NOTRE DAME</t>
  </si>
  <si>
    <t>SOMMERRO</t>
  </si>
  <si>
    <t>FOUR SEASONS RESORT TAMARINDO</t>
  </si>
  <si>
    <t>FOUR SEASONS HOTEL FIRENZE</t>
  </si>
  <si>
    <t>THE BEVERLY HILLS HOTEL</t>
  </si>
  <si>
    <t>WILDCHINA</t>
  </si>
  <si>
    <t>TORDRILLO MOUNTAIN LODGE</t>
  </si>
  <si>
    <t>MX3 TRAVEL</t>
  </si>
  <si>
    <t>TGV inOui</t>
  </si>
  <si>
    <t>HILTON KYOTO</t>
  </si>
  <si>
    <t>THE ST. REGIS WASHINGTON D.C.</t>
  </si>
  <si>
    <t>Blacklane</t>
  </si>
  <si>
    <t>BLESS HOTEL MADRID</t>
  </si>
  <si>
    <t>Flemings</t>
  </si>
  <si>
    <t>STOCKHOLM STADSHOTELL</t>
  </si>
  <si>
    <t>TURISMO EXMAR</t>
  </si>
  <si>
    <t>FORESTIS DOLOMITES</t>
  </si>
  <si>
    <t>THE FIFE ARMS</t>
  </si>
  <si>
    <t>INVERLOCHY CASTLE, AN SLH HOTEL</t>
  </si>
  <si>
    <t>NOLINSKI VENEZIA</t>
  </si>
  <si>
    <t>Fly Dubai</t>
  </si>
  <si>
    <t>THE PENINSULA BEVERLY HILLS</t>
  </si>
  <si>
    <t>Air Botswana LTD</t>
  </si>
  <si>
    <t>MARBELLA CLUB</t>
  </si>
  <si>
    <t>THE LANESBOROUGH</t>
  </si>
  <si>
    <t>THE PIERRE A TAJ HOTEL NEW YORK</t>
  </si>
  <si>
    <t>MEXICO SOL Y LEYENDA</t>
  </si>
  <si>
    <t>be unique</t>
  </si>
  <si>
    <t>THE PENINSULA PARIS</t>
  </si>
  <si>
    <t>GRAND HOTEL A VILLA FELTRINELLI</t>
  </si>
  <si>
    <t>GRAND CLASS EXCLUSIVITY IN MOTION</t>
  </si>
  <si>
    <t>Italia Trasporto Aereo</t>
  </si>
  <si>
    <t>FLYSAFAIR</t>
  </si>
  <si>
    <t>Air Europa Lineas Aereas</t>
  </si>
  <si>
    <t>SKY EXPRESS S.A.</t>
  </si>
  <si>
    <t>Hoshino Resorts KAI Sengokuhara</t>
  </si>
  <si>
    <t>Taag Angola Airlines</t>
  </si>
  <si>
    <t>Entrée Alaska</t>
  </si>
  <si>
    <t>Servivuelo</t>
  </si>
  <si>
    <t>TRADEWIND AVIATION</t>
  </si>
  <si>
    <t>WINAIR</t>
  </si>
  <si>
    <t>Bedsonline</t>
  </si>
  <si>
    <t>CASA CIPRIANI MILANO</t>
  </si>
  <si>
    <t>COLLEGIO ALLA QUERCE, AUBERGE COLLECTION</t>
  </si>
  <si>
    <t>J.K. PLACE ROMA</t>
  </si>
  <si>
    <t>SMALLCAR BIGCITY</t>
  </si>
  <si>
    <t>PaulinaV</t>
  </si>
  <si>
    <t>Jk paris</t>
  </si>
  <si>
    <t>HOTEL METROPOLE, MONTE CARLO</t>
  </si>
  <si>
    <t>AMAN VENICE</t>
  </si>
  <si>
    <t>ROSEWOOD MANDARINA</t>
  </si>
  <si>
    <t>Air Cambodia</t>
  </si>
  <si>
    <t>FOUR SEASONS RESORT KOH SAMUI</t>
  </si>
  <si>
    <t>THE LONDON EYE</t>
  </si>
  <si>
    <t>HOTEL D AUBUSSON</t>
  </si>
  <si>
    <t>Air Canada</t>
  </si>
  <si>
    <t>PASSALACQUA</t>
  </si>
  <si>
    <t>SCANDINAVIAN AIRLINES</t>
  </si>
  <si>
    <t>Aegean Airlines</t>
  </si>
  <si>
    <t>F1S Spain</t>
  </si>
  <si>
    <t>EL CALLEJON HOTEL BOUTIQUE</t>
  </si>
  <si>
    <t>HOTEL ESENCIA</t>
  </si>
  <si>
    <t>HOTEL PALAZZO MURAT</t>
  </si>
  <si>
    <t>ANANTARA CONVENTO DI AMALFI GRAND HOTEL</t>
  </si>
  <si>
    <t>Be Unique in Italy</t>
  </si>
  <si>
    <t>WARNER BROS. STUDIO TOUR LONDON</t>
  </si>
  <si>
    <t>HOTEL LAS ALCOBAS</t>
  </si>
  <si>
    <t>Singapore Airlines</t>
  </si>
  <si>
    <t>Japan Airlines</t>
  </si>
  <si>
    <t>Booking Cabin</t>
  </si>
  <si>
    <t>Consolidador.com</t>
  </si>
  <si>
    <t>MR C MIAMI COCONUT GROVE</t>
  </si>
  <si>
    <t>ONE&amp;ONLY PALMILLA</t>
  </si>
  <si>
    <t>Pure Germany</t>
  </si>
  <si>
    <t>EL PRESIDENTE HOTEL</t>
  </si>
  <si>
    <t>AMANGIRI</t>
  </si>
  <si>
    <t>HOTEL DU COUVENT</t>
  </si>
  <si>
    <t>CAL-A-VIE HEALTH SPA</t>
  </si>
  <si>
    <t>ROSEWOOD HOTEL GEORGIA</t>
  </si>
  <si>
    <t>HOTEL AUBEPINE</t>
  </si>
  <si>
    <t>HOTEL PITRIZZA, COSTA SMERALDA</t>
  </si>
  <si>
    <t>GRAND HYATT INCHEON</t>
  </si>
  <si>
    <t>THE RITZ CARLTON KYOTO</t>
  </si>
  <si>
    <t>HOTEL SIN NOMBRE</t>
  </si>
  <si>
    <t>CARLTON CANNES, A REGENT HOTEL</t>
  </si>
  <si>
    <t>BESPOKE DISCOVERY TOUR</t>
  </si>
  <si>
    <t>FOUR SEASONS RESORT WHISTLER</t>
  </si>
  <si>
    <t>TOTEM MADRID BOUTIQUE HOTEL</t>
  </si>
  <si>
    <t>VERMELHO MELIDES</t>
  </si>
  <si>
    <t>FOUR SEASONS HOTEL OSAKA</t>
  </si>
  <si>
    <t>Contour Airlines</t>
  </si>
  <si>
    <t>ROSEWOOD HONG KONG</t>
  </si>
  <si>
    <t>Mita Deluxe Transfers</t>
  </si>
  <si>
    <t>ALEJANDRO NAHOUL SERIO</t>
  </si>
  <si>
    <t>SIXT MÉXICO</t>
  </si>
  <si>
    <t>FOUR SEASONS HOTEL BANGKOK AT CHAO PHRAYA RIVER</t>
  </si>
  <si>
    <t>Square</t>
  </si>
  <si>
    <t>aon</t>
  </si>
  <si>
    <t>AIRELLES CHATEAU DE VERSAILLES, LE GRAND CONTROLE</t>
  </si>
  <si>
    <t>NIZUC RESORT &amp; SPA CANCUN</t>
  </si>
  <si>
    <t>BULGARI HOTEL SHANGHAI</t>
  </si>
  <si>
    <t>FOUR SEASONS HOTEL DES BERGUES</t>
  </si>
  <si>
    <t>MANDARIN ORIENTAL RITZ MADRID</t>
  </si>
  <si>
    <t>CAP D'ANTIBES BEACH HOTEL</t>
  </si>
  <si>
    <t>Cathay Pacific Airways</t>
  </si>
  <si>
    <t>JorgeG</t>
  </si>
  <si>
    <t>BALAM MÉXICO</t>
  </si>
  <si>
    <t>MartinO</t>
  </si>
  <si>
    <t>NAO TRAVEL COLLECTION</t>
  </si>
  <si>
    <t>CHINA A LA CARTA</t>
  </si>
  <si>
    <t>WINDOWS TO JAPAN</t>
  </si>
  <si>
    <t>AMAN NAI LERT BANGKOK</t>
  </si>
  <si>
    <t>Eleven Experience</t>
  </si>
  <si>
    <t>Tour Plus Sicilia S.R.L</t>
  </si>
  <si>
    <t>CA PA CASA PRIVATA</t>
  </si>
  <si>
    <t>ANIYAMI TURISMO LTDA</t>
  </si>
  <si>
    <t>VENICE SIMPLON ORIENT EXPRESS A BELMOND TRAIN</t>
  </si>
  <si>
    <t>THE ST. REGIS FLORENCE</t>
  </si>
  <si>
    <t>ASIA EXOTICA</t>
  </si>
  <si>
    <t>My Agency Dmc</t>
  </si>
  <si>
    <t>ManonR</t>
  </si>
  <si>
    <t>COMO CLASSIC BOATS S.R.L.</t>
  </si>
  <si>
    <t>WALKS INSIDE ROME</t>
  </si>
  <si>
    <t>BELMOND SICILY SPA</t>
  </si>
  <si>
    <t>JorgeP</t>
  </si>
  <si>
    <t>SAO LOURENCO DO BARROCAL</t>
  </si>
  <si>
    <t>VILLA MABROUKA</t>
  </si>
  <si>
    <t>AT SLOANE</t>
  </si>
  <si>
    <t>MarujaN</t>
  </si>
  <si>
    <t>AUTOCAMP YOSEMITE</t>
  </si>
  <si>
    <t>BORGO EGNAZIA</t>
  </si>
  <si>
    <t>THE IVENS HOTEL</t>
  </si>
  <si>
    <t>CAN ALOMAR HOTEL</t>
  </si>
  <si>
    <t>LE REFUGE DE SOLAISE</t>
  </si>
  <si>
    <t>THE LARGO HOME OF PORTO</t>
  </si>
  <si>
    <t>HOTEL JUANA</t>
  </si>
  <si>
    <t>SANTO MAURO, A LUXURY COLLECTION HOTEL, MADRID</t>
  </si>
  <si>
    <t>W ROME</t>
  </si>
  <si>
    <t>HOTEL ESCONDIDO OAXACA</t>
  </si>
  <si>
    <t>LA CONCHA RESORT AUTOGRAPH COLLECTION</t>
  </si>
  <si>
    <t>LA RESERVE PARIS</t>
  </si>
  <si>
    <t>Explora Journeys</t>
  </si>
  <si>
    <t>VIRTUOSO BALI INDONESIA</t>
  </si>
  <si>
    <t>CASA LUCIA MEMBER OF MELIA COLLECTION</t>
  </si>
  <si>
    <t>F1S USA</t>
  </si>
  <si>
    <t>Hotel La Ponche</t>
  </si>
  <si>
    <t>SPATIA COMPORTA</t>
  </si>
  <si>
    <t>CHINA EASTERN AIRILINES</t>
  </si>
  <si>
    <t>HOTEL DEL CORONADO</t>
  </si>
  <si>
    <t>L AND VINEYARDS</t>
  </si>
  <si>
    <t>LE GRAND HOTEL CAYRE</t>
  </si>
  <si>
    <t>AMANZOE</t>
  </si>
  <si>
    <t>XENODOCHEIO MILOS</t>
  </si>
  <si>
    <t>AMAN VILLAS AT NUSA DUA</t>
  </si>
  <si>
    <t>ROSEWOOD LONDON</t>
  </si>
  <si>
    <t>THE DYLAN</t>
  </si>
  <si>
    <t>LEFAY RESORT AND SPA LAGO DI GARDA</t>
  </si>
  <si>
    <t>LEFAY RESORT AND SPA DOLOMITI</t>
  </si>
  <si>
    <t>PARK HYATT KYOTO</t>
  </si>
  <si>
    <t>ROSEWOOD MIYAKOJIMA</t>
  </si>
  <si>
    <t>Visas web</t>
  </si>
  <si>
    <t>VMAISON BRERA MILANO</t>
  </si>
  <si>
    <t>BACKSTAGE HOTEL VERNISSAGE</t>
  </si>
  <si>
    <t>HOTEL AMIGO, A ROCCO FORTE HOTEL</t>
  </si>
  <si>
    <t>HIGHSTAY</t>
  </si>
  <si>
    <t>TRENITALIA</t>
  </si>
  <si>
    <t>PARK LANE HOTEL NEW YORK</t>
  </si>
  <si>
    <t>THE ST. REGIS OSAKA</t>
  </si>
  <si>
    <t>ROSEWOOD SCHLOSS FUSCHL</t>
  </si>
  <si>
    <t>THE WOODWARD AUBERGE COLLECTION</t>
  </si>
  <si>
    <t>HOTEL BYRON</t>
  </si>
  <si>
    <t>HOTEL LILY OF THE VALLEY</t>
  </si>
  <si>
    <t>GULF AIR</t>
  </si>
  <si>
    <t>SAGE LODGE</t>
  </si>
  <si>
    <t>CARLOS SAUL GOMEZ PEZUELA</t>
  </si>
  <si>
    <t>MACAKIZI BODRUM</t>
  </si>
  <si>
    <t>FALSLED KRO RELAIS AND CHATEAUX</t>
  </si>
  <si>
    <t>THE TOKYO EDITION TORANOMON</t>
  </si>
  <si>
    <t>THE PLACE FIRENZE</t>
  </si>
  <si>
    <t>FOUR SEASONS RESORT HUALALAI</t>
  </si>
  <si>
    <t>RENAISSANCE LOS ANGELES AIRPORT HOTEL</t>
  </si>
  <si>
    <t>Booking.com</t>
  </si>
  <si>
    <t>HOTEL CALA SAONA</t>
  </si>
  <si>
    <t>VILLA LE BLANC, A GRAN MELIA HOTEL</t>
  </si>
  <si>
    <t>AQUA BLU BOUTIQUE HOTEL SPA</t>
  </si>
  <si>
    <t>Ferry Scanner</t>
  </si>
  <si>
    <t>HOTEL IL PELLICANO</t>
  </si>
  <si>
    <t>Peru Legacy Co.</t>
  </si>
  <si>
    <t>MariaJose</t>
  </si>
  <si>
    <t>THE RITZ CARLTON SARASOTA</t>
  </si>
  <si>
    <t>ROSEWOOD SAN MIGUEL DE ALLENDE</t>
  </si>
  <si>
    <t>THE ST. REGIS SAN FRANCISCO</t>
  </si>
  <si>
    <t>Misincu LAF</t>
  </si>
  <si>
    <t>BERNARDUS LODGE &amp; SPA</t>
  </si>
  <si>
    <t>Amenity</t>
  </si>
  <si>
    <t>HOTEL DE PAVIE</t>
  </si>
  <si>
    <t>ConchaD</t>
  </si>
  <si>
    <t>YNDO HOTEL</t>
  </si>
  <si>
    <t>d´Estournel</t>
  </si>
  <si>
    <t>SPLENDID VENICE</t>
  </si>
  <si>
    <t>J.K. PLACE PARIS</t>
  </si>
  <si>
    <t>MariellaP</t>
  </si>
  <si>
    <t>DE L EUROPE AMSTERDAM</t>
  </si>
  <si>
    <t>TRAVELWISE CONSULTORES DE VIAJES</t>
  </si>
  <si>
    <t>FAIRMONT LE MONTREUX PALACE</t>
  </si>
  <si>
    <t>SHISHI-IWA-HOUSE KARUIZAWA</t>
  </si>
  <si>
    <t>MONTE-CARLO BEACH HOTEL</t>
  </si>
  <si>
    <t>HELI SECURITE</t>
  </si>
  <si>
    <t>THE MARGI</t>
  </si>
  <si>
    <t>CASA DE CAMPO RESORT AND VILLAS</t>
  </si>
  <si>
    <t>Bodrum</t>
  </si>
  <si>
    <t>ELITE ITALIAN EXPERIENCE</t>
  </si>
  <si>
    <t>PENSIONE AMERICA</t>
  </si>
  <si>
    <t>CAR &amp; MOPED RENTALS</t>
  </si>
  <si>
    <t>Headout</t>
  </si>
  <si>
    <t>SANTA MONICA PROPER HOTEL</t>
  </si>
  <si>
    <t>Islandbridge</t>
  </si>
  <si>
    <t>El Corte Inglés</t>
  </si>
  <si>
    <t>HOTEL D'INGHILTERRA ROMA - STARHOTELS COLLEZIONE</t>
  </si>
  <si>
    <t>K-eta Corea del Sur</t>
  </si>
  <si>
    <t>Laos e-visa portal</t>
  </si>
  <si>
    <t>THE THINKING TRAVELLER</t>
  </si>
  <si>
    <t>DESTINATION ASIA INDONESIA</t>
  </si>
  <si>
    <t>THE GLENEAGLES HOTEL</t>
  </si>
  <si>
    <t>SPERONARI SUITES</t>
  </si>
  <si>
    <t>CAPPUCCINA COUNTRY RESORT</t>
  </si>
  <si>
    <t>TABLET HOTELS</t>
  </si>
  <si>
    <t>HOTEL LA PALMA</t>
  </si>
  <si>
    <t>Aena</t>
  </si>
  <si>
    <t>KIMPTON VIRGILIO</t>
  </si>
  <si>
    <t>AMBER TOURS</t>
  </si>
  <si>
    <t>BARTOLO AUTONOLEGGIO</t>
  </si>
  <si>
    <t>MAMULA ISLAND BY BANYAN TREE</t>
  </si>
  <si>
    <t>Raul Leslie Gerardo Martinez Ostos Jaye</t>
  </si>
  <si>
    <t>BAUR AU LAC</t>
  </si>
  <si>
    <t>BULGARI HOTEL TOKYO</t>
  </si>
  <si>
    <t>CHATEAU SAINT-MARTIN AND SPA</t>
  </si>
  <si>
    <t>LuisHdz</t>
  </si>
  <si>
    <t>HOTEL LE SAINT PAUL</t>
  </si>
  <si>
    <t>Abercrombie and Kent Australia</t>
  </si>
  <si>
    <t>THE NEWBURY BOSTON</t>
  </si>
  <si>
    <t>W AMSTERDAM</t>
  </si>
  <si>
    <t>DELICIAS TRAVEL AND INCENTIVES</t>
  </si>
  <si>
    <t>THE TWENTY TWO NEW YORK</t>
  </si>
  <si>
    <t>HOUSTON AIRPORT MARRIOTT AT GEORGE BUSH INTERCONTINENTAL</t>
  </si>
  <si>
    <t>DIVITA DMC AND TOUR OPERATOR</t>
  </si>
  <si>
    <t>ILLA CHARTER MENORCA</t>
  </si>
  <si>
    <t>HOTEL BARRIERE LE CARL GUSTAF SAINT-BARTH</t>
  </si>
  <si>
    <t>THE INN ABOVE TIDE</t>
  </si>
  <si>
    <t>LE SERENO HOTEL</t>
  </si>
  <si>
    <t>HOTEL BROSUNDET</t>
  </si>
  <si>
    <t>HOTEL LA PURIFICADORA</t>
  </si>
  <si>
    <t>CALVADOS CLUB Luxury Travel DMC</t>
  </si>
  <si>
    <t>CHEVAL BLANC ST-BARTH</t>
  </si>
  <si>
    <t>HYATT HOUSE DENVER AIRPORT</t>
  </si>
  <si>
    <t>Silverstone Circuit</t>
  </si>
  <si>
    <t>CatalinaF</t>
  </si>
  <si>
    <t>TRAVEL OAXACA PREMIUM</t>
  </si>
  <si>
    <t>PATMOS AKTIS</t>
  </si>
  <si>
    <t>GREAT PLAINS CONSERVATION</t>
  </si>
  <si>
    <t>FOUQUET'S NEW YORK</t>
  </si>
  <si>
    <t>GRAN HOTEL MIRAMAR GL</t>
  </si>
  <si>
    <t>CPH PEVERO HOTEL</t>
  </si>
  <si>
    <t>THE DOLLI AT ACROPOLIS A HOTEL TO LIVE</t>
  </si>
  <si>
    <t>NOS HOTEL AND VILLAS</t>
  </si>
  <si>
    <t>AVANT MAR</t>
  </si>
  <si>
    <t>GRAND UNIVERSE LUCCA, AUTOGRAPH COLLECTION</t>
  </si>
  <si>
    <t>HOTEL NH COLLECTION MADRID PASEO DEL PRADO</t>
  </si>
  <si>
    <t>THE NEWT IN SOMERSET</t>
  </si>
  <si>
    <t>Caprice DMC &amp; EVENTS</t>
  </si>
  <si>
    <t>VERDURA RESORT A ROCCO FORTE HOTEL</t>
  </si>
  <si>
    <t>BOSTON MARRIOTT COPLEY PLACE</t>
  </si>
  <si>
    <t>THE RITZ CARLTON LAKE TAHOE</t>
  </si>
  <si>
    <t>KIMPTON CANARY HOTEL</t>
  </si>
  <si>
    <t>L'ERMITAGE BEVERLY HILLS</t>
  </si>
  <si>
    <t>RAFFLES BOSTON</t>
  </si>
  <si>
    <t>FOUR SEASONS HOTEL BOSTON</t>
  </si>
  <si>
    <t>HOTEL ESCONDIDO</t>
  </si>
  <si>
    <t>THE RETREAT AT BLUE LAGOON ICELAND</t>
  </si>
  <si>
    <t>THE MERRION HOTEL DUBLIN</t>
  </si>
  <si>
    <t>VIAJAR PARA DISFRUTAR</t>
  </si>
  <si>
    <t>CASTELBRANDO</t>
  </si>
  <si>
    <t>VivianaS</t>
  </si>
  <si>
    <t>THE DOMINICK</t>
  </si>
  <si>
    <t>VILLA ROMA IMPERIALE</t>
  </si>
  <si>
    <t>THE CARLYLE A ROSEWOOD HOTEL</t>
  </si>
  <si>
    <t>THE REYKJAVIK EDITION</t>
  </si>
  <si>
    <t>THE WESTIN DENVER INTERNATIONAL AIRPORT</t>
  </si>
  <si>
    <t>LEONARDO HOTEL MUNICH CITY OLYMPIAPARK</t>
  </si>
  <si>
    <t>W RESIDENCES SOUTH BEACH</t>
  </si>
  <si>
    <t>RocioZ</t>
  </si>
  <si>
    <t>MAISON ALBAR LE MONUMENTAL PALACE</t>
  </si>
  <si>
    <t>PATINA OSAKA</t>
  </si>
  <si>
    <t>Raquel Cohen Zaga</t>
  </si>
  <si>
    <t>BORGO SANTO PIETRO</t>
  </si>
  <si>
    <t>CASTELLO DI VICARELLO</t>
  </si>
  <si>
    <t>CASTELLO DI CASOLE, A BELMOND HOTEL, TUSCANY</t>
  </si>
  <si>
    <t>BANYAN TREE VEYA VALLE DE GUADALUPE</t>
  </si>
  <si>
    <t>THE PALACE A LUXURY COLLECTION HOTEL MADRID</t>
  </si>
  <si>
    <t>Sj trains in Sweden</t>
  </si>
  <si>
    <t>RAÚL I OBREGÓN SERVITJE</t>
  </si>
  <si>
    <t>PABLO SEPULVEDA YTURBE</t>
  </si>
  <si>
    <t>INTERCONTINENTAL DUBLIN BY IHG</t>
  </si>
  <si>
    <t>THE TWENTY TWO LONDON</t>
  </si>
  <si>
    <t>HOTEL DE LA CITÉ ROYALE RESTAURANT AND SPA</t>
  </si>
  <si>
    <t>ALICE ELENA GABALDON CHIARELLI</t>
  </si>
  <si>
    <t>AIR SL</t>
  </si>
  <si>
    <t>J.K. PLACE CAPRI</t>
  </si>
  <si>
    <t>PAVILLON FAUBOURG SAINT GERMAIN AND SPA</t>
  </si>
  <si>
    <t>ROSEWOOD AMSTERDAM</t>
  </si>
  <si>
    <t>Georgian Airways</t>
  </si>
  <si>
    <t>ASIBI PRIVATE TRAVEL</t>
  </si>
  <si>
    <t>LAMIMA</t>
  </si>
  <si>
    <t>WELLINGTON HOTEL &amp; SPA MADRID</t>
  </si>
  <si>
    <t>DORADO BEACH, A RITZ CARLTON RESERVE</t>
  </si>
  <si>
    <t>CAPELLA TAIPEI HOTEL</t>
  </si>
  <si>
    <t>MAJESTIC HOTEL AND SPA BARCELONA</t>
  </si>
  <si>
    <t>Europcar</t>
  </si>
  <si>
    <t>SEXTANTIO LE GROTTE DELLA CIVITA</t>
  </si>
  <si>
    <t>Rail Europe</t>
  </si>
  <si>
    <t>HALCYON HOUSE</t>
  </si>
  <si>
    <t>VILLA DES PRES</t>
  </si>
  <si>
    <t>GRACE HOTEL, AUBERGE COLLECTION</t>
  </si>
  <si>
    <t>ROSEWOOD LUANG PRABANG</t>
  </si>
  <si>
    <t>THE MAYFAIR TOWNHOUSE</t>
  </si>
  <si>
    <t>PALACE HOTEL, A LUXURY COLLECTION HOTEL, SAN FRANCISCO</t>
  </si>
  <si>
    <t>FOUR SEASONS HOTEL CAIRO AT NILE PLAZA</t>
  </si>
  <si>
    <t>Hotel Abadia Retuerta Ledomaine</t>
  </si>
  <si>
    <t>TLB TRANSFERS</t>
  </si>
  <si>
    <t>FOUR SEASONS HOTEL KYOTO</t>
  </si>
  <si>
    <t>HOTEL DAS CATARATAS, A BELMOND HOTEL, IGUASSU FALLS</t>
  </si>
  <si>
    <t>SOFITEL LEGEND METROPOLE HANOI</t>
  </si>
  <si>
    <t>ALILA VILLAS ULUWATU</t>
  </si>
  <si>
    <t>AMAN ROSA ALPINA</t>
  </si>
  <si>
    <t>FOUR SEASONS HOTEL TAORMINA</t>
  </si>
  <si>
    <t>PALACIO COPACABANA</t>
  </si>
  <si>
    <t>HILTON NISEKO VILLAGE</t>
  </si>
  <si>
    <t>GRAND HOTEL LES TROIS ROIS</t>
  </si>
  <si>
    <t>SOFITEL BANGKOK SUKHUMVIT</t>
  </si>
  <si>
    <t>INTERCONTINENTAL SINGAPORE</t>
  </si>
  <si>
    <t>NAYARA ALTO ATACAMA DESERT</t>
  </si>
  <si>
    <t>SOWAKA KYOTO</t>
  </si>
  <si>
    <t>THE CHEDI ANDERMATT</t>
  </si>
  <si>
    <t>THE VINES RESORT &amp; SPA</t>
  </si>
  <si>
    <t>KIMPTON ST HONORE PARIS</t>
  </si>
  <si>
    <t>EL SINGULAR SANTIAGO HOTEL LASTARRIA</t>
  </si>
  <si>
    <t>MATTERI YACHT CLUB</t>
  </si>
  <si>
    <t>SERVICIOS AVENTOUR</t>
  </si>
  <si>
    <t>THE ST. REGIS VENICE</t>
  </si>
  <si>
    <t>GRAND HOTEL QUISISANA</t>
  </si>
  <si>
    <t>HOTEL CALA DI VOLPE COSTA SMERALDA</t>
  </si>
  <si>
    <t>LEVEL UP TRAVEL</t>
  </si>
  <si>
    <t>Les Airelles Courchevel</t>
  </si>
  <si>
    <t>MEADOWOOD NAPA VALLEY</t>
  </si>
  <si>
    <t>L AUBERGE CARMEL</t>
  </si>
  <si>
    <t>Karavan Turizm Seyahat ve Nakliyat</t>
  </si>
  <si>
    <t>AMANWANA</t>
  </si>
  <si>
    <t>ULTIMATE JET VACATIONS</t>
  </si>
  <si>
    <t>THE TOKYO EDITION GINZA</t>
  </si>
  <si>
    <t>HAMARES BOUTIQUE HOTEL</t>
  </si>
  <si>
    <t>ROSEWOOD SAO PAULO</t>
  </si>
  <si>
    <t>DUVINE CYCLING + ADVENTURE CO.</t>
  </si>
  <si>
    <t>THE ST. REGIS NEW YORK</t>
  </si>
  <si>
    <t>ROYAL GARDEN HOTEL</t>
  </si>
  <si>
    <t>ROYAL BARRIERE HOTEL</t>
  </si>
  <si>
    <t>KIMPTON HOTEL ENSO</t>
  </si>
  <si>
    <t>NOBIS HOTEL PALMA</t>
  </si>
  <si>
    <t>Adriatic Luxury Hotels</t>
  </si>
  <si>
    <t>NOBIS HOTEL COPENHAGEN</t>
  </si>
  <si>
    <t>RADISSON BLU RESORT &amp; SPA, SPLIT</t>
  </si>
  <si>
    <t>GRAND HOTEL OSLO</t>
  </si>
  <si>
    <t>HYATT REGENCY ZADAR</t>
  </si>
  <si>
    <t>GRAN HOTEL NAGARI</t>
  </si>
  <si>
    <t>NH MADRID LAGASCA</t>
  </si>
  <si>
    <t>HOTEL KAMP</t>
  </si>
  <si>
    <t>GRAND HOTEL BRIONI PULA, A RADISSON COLLECTION HOTEL</t>
  </si>
  <si>
    <t>THE BOTREE HOTEL</t>
  </si>
  <si>
    <t>HILTON NEWARK AIRPORT</t>
  </si>
  <si>
    <t>INTERCONTINENTAL NEW YORK BARCLAY</t>
  </si>
  <si>
    <t>MELIA MADRID SERRANO</t>
  </si>
  <si>
    <t>ARTS AND FUN</t>
  </si>
  <si>
    <t>Limouxine</t>
  </si>
  <si>
    <t>Lindt Chocolate Competence Foundation</t>
  </si>
  <si>
    <t>FOUR SEASONS HOTEL MIAMI</t>
  </si>
  <si>
    <t>SIX SENSES ROME</t>
  </si>
  <si>
    <t>TRANSAVIA</t>
  </si>
  <si>
    <t>AMANPURI</t>
  </si>
  <si>
    <t>MAROMA, A BELMOND HOTEL, RIVIERA MAYA</t>
  </si>
  <si>
    <t>FOUR SEASONS HOTEL SEATTLE</t>
  </si>
  <si>
    <t>NAOSHIMA RYOKAN ROKA</t>
  </si>
  <si>
    <t>Priora Suisse AG</t>
  </si>
  <si>
    <t>H.Kracht's Erben AG</t>
  </si>
  <si>
    <t>VILLARS PALACE ACADEMY</t>
  </si>
  <si>
    <t>FernandaS</t>
  </si>
  <si>
    <t>INTERCONTINENTAL PARIS - LE GRAND BY IHG</t>
  </si>
  <si>
    <t>FOUR SEASONS ASTIR PALACE HOTEL ATHENS</t>
  </si>
  <si>
    <t>HOTEL ALMHOF SCHNEIDER</t>
  </si>
  <si>
    <t>AUSTIN PROPER HOTEL</t>
  </si>
  <si>
    <t>GRAND HOTEL SON NET</t>
  </si>
  <si>
    <t>ROSEWOOD MANSION ON TURTLE CREEK</t>
  </si>
  <si>
    <t>FINCA CORTESIN</t>
  </si>
  <si>
    <t>BAIRRO ALTO HOTEL</t>
  </si>
  <si>
    <t>HYATT UNION SQUARE NEW YORK</t>
  </si>
  <si>
    <t>THE LUMIARES HOTEL AND SPA</t>
  </si>
  <si>
    <t>DOMUS NOVA IBIZA</t>
  </si>
  <si>
    <t>GRAND VELAS RIVIERA NAYARIT</t>
  </si>
  <si>
    <t>Bellevue Hotel &amp; Appartement Management AG</t>
  </si>
  <si>
    <t>MAISON LEZARD</t>
  </si>
  <si>
    <t>TOREL PALACE LISBON</t>
  </si>
  <si>
    <t>ALDU EXPERIENCE</t>
  </si>
  <si>
    <t>AMAZING JAPAN</t>
  </si>
  <si>
    <t>ASIA LEGEND TRAVEL</t>
  </si>
  <si>
    <t>EET Destination Management</t>
  </si>
  <si>
    <t>Italy Charme Handcraft Italian Experience</t>
  </si>
  <si>
    <t>PaulinaA</t>
  </si>
  <si>
    <t>LAS MAJADAS, HOTEL &amp; CENTRO DE REUNIONES</t>
  </si>
  <si>
    <t>MANIAGO SAFARIS.LTD</t>
  </si>
  <si>
    <t>MOROCCAN SECRET HANDBOOK</t>
  </si>
  <si>
    <t>SOUL SPRING SANCTUARY</t>
  </si>
  <si>
    <t>THE SINGULAR PATAGONIA</t>
  </si>
  <si>
    <t>TRIP &amp; SOUL</t>
  </si>
  <si>
    <t>AUREA CONVENTO CAPUCHINOS</t>
  </si>
  <si>
    <t>FAIRFIELD BY MARRIOTT JAKARTA SOEKARNO-HATTA AIRPORT</t>
  </si>
  <si>
    <t>MITSUI GARDEN HOTEL GINZA-GOCHOME</t>
  </si>
  <si>
    <t>DESTINATION ASIA TAILANDIA</t>
  </si>
  <si>
    <t>SAMSARA UBUD</t>
  </si>
  <si>
    <t>TICKETWORLD</t>
  </si>
  <si>
    <t>PALAZZO VECCHIO TAORMINA</t>
  </si>
  <si>
    <t>HILTON GARDEN INN KYOTO SHIJO KARASUMA</t>
  </si>
  <si>
    <t>FOUR SEASONS HOTEL LAUDERDALE</t>
  </si>
  <si>
    <t>JW MARRIOTT ORLANDO BONNET CREEK RESORT &amp; SPA</t>
  </si>
  <si>
    <t>ROCCO FORTE HOTEL DE RUSSIE</t>
  </si>
  <si>
    <t>JW MARRIOTT HOTEL BANGKOK</t>
  </si>
  <si>
    <t>ANANTARA CHIANG MAI RESORT</t>
  </si>
  <si>
    <t>Premier Resorts &amp; Hotels Co.,Ltd.</t>
  </si>
  <si>
    <t>INTERCONTINENTAL GRAND STANFORD HONG KONG BY IHG</t>
  </si>
  <si>
    <t>IL SERENO HOTEL</t>
  </si>
  <si>
    <t>HOTEL CIPRIANI, A BELMOND HOTEL, VENICE</t>
  </si>
  <si>
    <t>Esther Waisman</t>
  </si>
  <si>
    <t>Journey Mexico</t>
  </si>
  <si>
    <t>DESERT AND DELTA SAFARIS</t>
  </si>
  <si>
    <t>African Bush Camps Limited</t>
  </si>
  <si>
    <t>JTB Global Marketing &amp; Travel Inc.</t>
  </si>
  <si>
    <t>AMPERSAND RWANDA LTD</t>
  </si>
  <si>
    <t>NATURAL SELECTION SAFARIS</t>
  </si>
  <si>
    <t>HOTEL CAP ROCAT</t>
  </si>
  <si>
    <t>Abercrombie and Kent Egypt</t>
  </si>
  <si>
    <t>CONRAD OSAKA</t>
  </si>
  <si>
    <t>THE THOUSAND KYOTO</t>
  </si>
  <si>
    <t>TAHITI ISLANDS TRAVEL</t>
  </si>
  <si>
    <t>MARRIOTT ANCHORAGE DOWNTOWN</t>
  </si>
  <si>
    <t>FOUR SEASONS HOTEL RIYADH AT KINGDOM CENTER</t>
  </si>
  <si>
    <t>MAISON DELANO PARIS</t>
  </si>
  <si>
    <t>Abercrombie and Kent Jordan</t>
  </si>
  <si>
    <t>HOTEL VAL DE NEU</t>
  </si>
  <si>
    <t>ANDBEYOND SOUTH AFRICA</t>
  </si>
  <si>
    <t>SUSAFA</t>
  </si>
  <si>
    <t>The Asa Hutchinson Law Group, S.L.</t>
  </si>
  <si>
    <t>HOTEL MANZONI</t>
  </si>
  <si>
    <t>BEST WESTERN PREMIER CMC GIRONA</t>
  </si>
  <si>
    <t>Localing Tours</t>
  </si>
  <si>
    <t>ORIUNDA TRAVEL DESIGNERS</t>
  </si>
  <si>
    <t>Jose Ignacio Armendariz Morales</t>
  </si>
  <si>
    <t>PABLO SANCHE DEL HOYO</t>
  </si>
  <si>
    <t>MANDARIN ORIENTAL, GENEVA</t>
  </si>
  <si>
    <t>FOUR SEASONS HOTEL PRAGUE</t>
  </si>
  <si>
    <t>WIGMAN JETS LLC</t>
  </si>
  <si>
    <t>OUR HABITAS BACALAR</t>
  </si>
  <si>
    <t>Evergreen Adventures</t>
  </si>
  <si>
    <t>TOUCH OF SPICE LIMITED</t>
  </si>
  <si>
    <t>SARA MARIA GONZALEZ BETETA</t>
  </si>
  <si>
    <t>CHEVAL BLANC SEYCHELLES</t>
  </si>
  <si>
    <t>GAMEWATCHERS SAFARIS LTD - TOUR OPERATING COMPANY</t>
  </si>
  <si>
    <t>TRADERS HOTEL, KUALA LUMPUR</t>
  </si>
  <si>
    <t>FAIRMONT SINGAPORE</t>
  </si>
  <si>
    <t>ZIMBABWE EMBASSY</t>
  </si>
  <si>
    <t>SINGITA</t>
  </si>
  <si>
    <t>CHEVAL BLANC MALDIVES</t>
  </si>
  <si>
    <t>REMOTE LANDS</t>
  </si>
  <si>
    <t>ASIA PACIFIC LUXURY EXPEDITIONS</t>
  </si>
  <si>
    <t>CASA OAXACA HOTEL</t>
  </si>
  <si>
    <t>SalvadorR</t>
  </si>
  <si>
    <t>SETOUCHI ISLANDER</t>
  </si>
  <si>
    <t>LX BOUTIQUE HOTEL</t>
  </si>
  <si>
    <t>Granda Tours S.R.O</t>
  </si>
  <si>
    <t>CASA ANGELINA HOTEL</t>
  </si>
  <si>
    <t>BORGO SANTANDREA</t>
  </si>
  <si>
    <t>HOTEL NH COLLECTION TAORMINA</t>
  </si>
  <si>
    <t>THE TRAVELING BEETLE</t>
  </si>
  <si>
    <t>HOTEL ARTS BARCELONA</t>
  </si>
  <si>
    <t>THE RITZ CARLTON, FORT LAUDERDALE</t>
  </si>
  <si>
    <t>KASBAH TAMADOT</t>
  </si>
  <si>
    <t>CROWNE PLAZA MERIDA BY IHG</t>
  </si>
  <si>
    <t>CALA DE MAR RESORT AND SPA IXTAPA</t>
  </si>
  <si>
    <t>INTERCONTINENTAL MONTREAL, AN IHG HOTEL</t>
  </si>
  <si>
    <t>The Inn at Newport Ranch</t>
  </si>
  <si>
    <t>RENFE SPAIN</t>
  </si>
  <si>
    <t>Château de la Messardière</t>
  </si>
  <si>
    <t>HOTEL LES ROCHES BLANCHES</t>
  </si>
  <si>
    <t>JW Marriott Bangkok</t>
  </si>
  <si>
    <t>Hospes Palacio de los Patos</t>
  </si>
  <si>
    <t>CASA LUNA CABOS</t>
  </si>
  <si>
    <t>PEYRELONGUE CHRONOS</t>
  </si>
  <si>
    <t>Post Ranch Inn</t>
  </si>
  <si>
    <t>Stanly Ranch</t>
  </si>
  <si>
    <t>HOLLY SJOSTROM</t>
  </si>
  <si>
    <t>Balder Luxury Lodge Oy</t>
  </si>
  <si>
    <t>Four Seasons Hotel George V, Paris</t>
  </si>
  <si>
    <t>NAMIBIA EMBASSY</t>
  </si>
  <si>
    <t>AIR NORTH AIRLINES</t>
  </si>
  <si>
    <t>EXO TRAVEL MOROCCO</t>
  </si>
  <si>
    <t>PILGRIM TRAVEL</t>
  </si>
  <si>
    <t>manonr</t>
  </si>
  <si>
    <t>ICELAND ENCOUNTER</t>
  </si>
  <si>
    <t>MARGARETHA NATALIA WIDJAJA</t>
  </si>
  <si>
    <t>AMANERA HOTEL</t>
  </si>
  <si>
    <t>Amanfayun</t>
  </si>
  <si>
    <t>Amanyangyun</t>
  </si>
  <si>
    <t>NOAH Hotels</t>
  </si>
  <si>
    <t>Royal Mansour Marrakech</t>
  </si>
  <si>
    <t>NORDIC INCOMING OU</t>
  </si>
  <si>
    <t>PARK SOUTH HOTEL - JDV BY HYATT</t>
  </si>
  <si>
    <t>CaroleM</t>
  </si>
  <si>
    <t>RAFAEL CEDENO</t>
  </si>
  <si>
    <t>ASABA RYOKAN</t>
  </si>
  <si>
    <t>Pousada de Lisboa Small Luxury Hotels</t>
  </si>
  <si>
    <t>Firefall Ranch</t>
  </si>
  <si>
    <t>Ita Airways</t>
  </si>
  <si>
    <t>WORLDIMENSION</t>
  </si>
  <si>
    <t>Shima Resort Management K.K.</t>
  </si>
  <si>
    <t>THE RITZ CARLTON TENERIFE ABAMA</t>
  </si>
  <si>
    <t>VILLAS SALAMANCA (PROVEEDOR DE PRUEBA)</t>
  </si>
  <si>
    <t>1 HOTEL MAYFAIR</t>
  </si>
  <si>
    <t>Juan Carlos Sapiña Pons</t>
  </si>
  <si>
    <t>DUSIT THANI KYOTO</t>
  </si>
  <si>
    <t>IC TRAVELIZ</t>
  </si>
  <si>
    <t>BHUTAN RESORT PRIVATE LIMITED AMANKORA</t>
  </si>
  <si>
    <t>Luna Jets</t>
  </si>
  <si>
    <t>IVANO VALENTINI</t>
  </si>
  <si>
    <t>VETTA DISTRITO UNO AUTOGRAPH COLLECTION</t>
  </si>
  <si>
    <t>EduardoH</t>
  </si>
  <si>
    <t>FOUR SEASONS HOTEL ISTANBUL AT THE BOSPHORUS</t>
  </si>
  <si>
    <t>GUILLERMO FUNKE</t>
  </si>
  <si>
    <t>THE MERCER HOTEL</t>
  </si>
  <si>
    <t>MariellaG</t>
  </si>
  <si>
    <t>LIVE AQUA CD DE MÉXICO BOSQUES</t>
  </si>
  <si>
    <t>PARK HYATT NISEKO HANAZONO</t>
  </si>
  <si>
    <t>WYNN AND ENCORE LAS VEGAS</t>
  </si>
  <si>
    <t>Javier Molina</t>
  </si>
  <si>
    <t>AC HOTEL TOKYO GINZA</t>
  </si>
  <si>
    <t>Carlota Pérez - Jofre</t>
  </si>
  <si>
    <t>THE PENINSULA NEW YORK</t>
  </si>
  <si>
    <t>FOUR SEASONS RESORT LOS CABOS AT COSTA PALMAS</t>
  </si>
  <si>
    <t>CANOPY BY HILTON OSAKA UMEDA</t>
  </si>
  <si>
    <t>SOFITEL LEGEND OLD CATARACT ASWAN</t>
  </si>
  <si>
    <t>VIETJET AIR</t>
  </si>
  <si>
    <t>FLY BONDI</t>
  </si>
  <si>
    <t>VIVA AEROBUS</t>
  </si>
  <si>
    <t>AC BAQUEIRA SKI RESORT</t>
  </si>
  <si>
    <t>E LINK KOREA CO</t>
  </si>
  <si>
    <t>MERCURE FINANCES</t>
  </si>
  <si>
    <t>INTERCONTINENTAL TOKYO BAY</t>
  </si>
  <si>
    <t>HYATT PLACE KYOTO</t>
  </si>
  <si>
    <t>EVENTOS ESPECIALES MUNDOMEX S.A. DE C.V.</t>
  </si>
  <si>
    <t>VARGAS PHOTO AND VIDEO STUDIO</t>
  </si>
  <si>
    <t>HOTEL INDIGO LA PAZ PUERTA CORTEZ</t>
  </si>
  <si>
    <t>IMPERIAL HOTEL TOKYO</t>
  </si>
  <si>
    <t>HOTEL HASSLER ROMA</t>
  </si>
  <si>
    <t>THE WESTIN VALENCIA</t>
  </si>
  <si>
    <t>DESTINATION ASIA SINGAPORE</t>
  </si>
  <si>
    <t>Parador de Cordoba</t>
  </si>
  <si>
    <t>Casa Brera</t>
  </si>
  <si>
    <t>Recepciones Vip</t>
  </si>
  <si>
    <t>Hotel Le Yaca Saint Tropez</t>
  </si>
  <si>
    <t>Label West</t>
  </si>
  <si>
    <t>Les Sources De Cheverny</t>
  </si>
  <si>
    <t>Terrawind Global Protection</t>
  </si>
  <si>
    <t>Hotel Petra Copenhagen</t>
  </si>
  <si>
    <t>Browns Hotel a Rocco Forte hotel</t>
  </si>
  <si>
    <t>Hotel Indigo Denver Downtown</t>
  </si>
  <si>
    <t>Made USA Travel LLC</t>
  </si>
  <si>
    <t>Cerulean Tower Tokyu Hotel</t>
  </si>
  <si>
    <t>Shutters On The Beach</t>
  </si>
  <si>
    <t>Ski Madness</t>
  </si>
  <si>
    <t>SennAir</t>
  </si>
  <si>
    <t>Sixty Beverly Hills</t>
  </si>
  <si>
    <t>Luis Gerardo Garcia Santos Coy</t>
  </si>
  <si>
    <t>Four Seasons The Nam Hai</t>
  </si>
  <si>
    <t>Define Living at Brittmoore</t>
  </si>
  <si>
    <t>Hotel Experimental Marais</t>
  </si>
  <si>
    <t>Amomoxtli</t>
  </si>
  <si>
    <t>The Ritz Carlton Maldives</t>
  </si>
  <si>
    <t>Hotel Zoe Fishermans Wharf</t>
  </si>
  <si>
    <t>Homanie</t>
  </si>
  <si>
    <t>The Langham London</t>
  </si>
  <si>
    <t>Curious Korea</t>
  </si>
  <si>
    <t>InesGR</t>
  </si>
  <si>
    <t>2024 Total</t>
  </si>
  <si>
    <t>2025 Total</t>
  </si>
  <si>
    <t>2026 Total</t>
  </si>
  <si>
    <t>2027 Total</t>
  </si>
  <si>
    <t>Total general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</si>
  <si>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</si>
  <si>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</si>
  <si>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</si>
  <si>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</si>
  <si>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</si>
  <si>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</si>
  <si>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</si>
  <si>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</si>
  <si>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</si>
  <si>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</si>
  <si>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</si>
  <si>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</si>
  <si>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Suma de Comision en EUR</t>
  </si>
  <si>
    <t>Nombre Provedor</t>
  </si>
  <si>
    <t>Numero mes</t>
  </si>
  <si>
    <t>Vendedor</t>
  </si>
  <si>
    <t>codigo proveedor</t>
  </si>
  <si>
    <t>Southern Crossings Australia</t>
  </si>
  <si>
    <t xml:space="preserve">Qantas </t>
  </si>
  <si>
    <t>Hahn Air</t>
  </si>
  <si>
    <t>Edition Madrid</t>
  </si>
  <si>
    <t>Intercontinental Le Grand Paris</t>
  </si>
  <si>
    <t>Experience Tours for tourism services WLL</t>
  </si>
  <si>
    <t>Catai</t>
  </si>
  <si>
    <t>Six Senses Kyoto</t>
  </si>
  <si>
    <t>The Peninsula Tokyo</t>
  </si>
  <si>
    <t>Nolinski Venecia</t>
  </si>
  <si>
    <t>Borealis</t>
  </si>
  <si>
    <t>AON</t>
  </si>
  <si>
    <t>Abercrombie&amp;Kent India</t>
  </si>
  <si>
    <t>HelenM</t>
  </si>
  <si>
    <t>Nolinski Venezia S.R.L</t>
  </si>
  <si>
    <t>Villa Feltrinelli</t>
  </si>
  <si>
    <t>GRAND CLASS, Exclusivity in Motion</t>
  </si>
  <si>
    <t>Palazzo Murat</t>
  </si>
  <si>
    <t>Anantara Convento di Amalfi</t>
  </si>
  <si>
    <t>Park Hyatt Seoul</t>
  </si>
  <si>
    <t>BlancaO</t>
  </si>
  <si>
    <t>Trails of Indochina</t>
  </si>
  <si>
    <t>Air Asia</t>
  </si>
  <si>
    <t>ElenaM</t>
  </si>
  <si>
    <t>Bawah Reserve</t>
  </si>
  <si>
    <t>La Ponche</t>
  </si>
  <si>
    <t>Belle Plage Hotel Cannes</t>
  </si>
  <si>
    <t>EXCELLENCE RENT MONACO</t>
  </si>
  <si>
    <t>Aniyami Turismo LTDA</t>
  </si>
  <si>
    <t>AnaTeresa</t>
  </si>
  <si>
    <t>Hotel Borgo Egnazia</t>
  </si>
  <si>
    <t>The Ivens Hotel</t>
  </si>
  <si>
    <t>Le Refuge de Solaise</t>
  </si>
  <si>
    <t>The Largo</t>
  </si>
  <si>
    <t>Rocco Forte the Balmoral</t>
  </si>
  <si>
    <t>Panister SRL</t>
  </si>
  <si>
    <t>AlmudenaG</t>
  </si>
  <si>
    <t>Spatia Comporta</t>
  </si>
  <si>
    <t>Hotel Amigo</t>
  </si>
  <si>
    <t>Vmaison Hotel</t>
  </si>
  <si>
    <t>Backstage Hotel Vernissage</t>
  </si>
  <si>
    <t>AliciaLT</t>
  </si>
  <si>
    <t>Triumph Travel</t>
  </si>
  <si>
    <t>Nihi Sumba</t>
  </si>
  <si>
    <t>Four Seasons Doha</t>
  </si>
  <si>
    <t>AlejandraL</t>
  </si>
  <si>
    <t>Four Seasons Jimbaran</t>
  </si>
  <si>
    <t>Abercrombie&amp;Kent Australia</t>
  </si>
  <si>
    <t>Lily of the Valley</t>
  </si>
  <si>
    <t>Casa Roberta</t>
  </si>
  <si>
    <t>Hotel Cala Saona</t>
  </si>
  <si>
    <t>Hotel Villa Le Blanc Gran Meliá</t>
  </si>
  <si>
    <t>Aqua Blu Hotel</t>
  </si>
  <si>
    <t>The Margi S.A.</t>
  </si>
  <si>
    <t>Macakizi Bodrum</t>
  </si>
  <si>
    <t>Four Seasons Otemachi</t>
  </si>
  <si>
    <t>Annassurra, S.A</t>
  </si>
  <si>
    <t>Azul Líneas Aéreas</t>
  </si>
  <si>
    <t>Club Les Palmiers</t>
  </si>
  <si>
    <t>NYS My Agency France</t>
  </si>
  <si>
    <t>Amber Tours</t>
  </si>
  <si>
    <t>La Petit Maison</t>
  </si>
  <si>
    <t>Gannet España, SL</t>
  </si>
  <si>
    <t>Delicias Travel and Incentives</t>
  </si>
  <si>
    <t>Great Plains Conservation International Sales Lt</t>
  </si>
  <si>
    <t>Gannet México</t>
  </si>
  <si>
    <t>Hotel Sextantio Le Grotte</t>
  </si>
  <si>
    <t>Rolzo</t>
  </si>
  <si>
    <t>YACHT CLUB ERIO LARIO S.R.L.</t>
  </si>
  <si>
    <t>Aurora Travel &amp; DMC</t>
  </si>
  <si>
    <t>LINDT HOME OF CHOCOLATE</t>
  </si>
  <si>
    <t>JimenaM</t>
  </si>
  <si>
    <t>Villars Palace Hotels and Academy SA</t>
  </si>
  <si>
    <t>HOTEL MONTREUX PALACE SA</t>
  </si>
  <si>
    <t>Hotel Finca Cortesin SL</t>
  </si>
  <si>
    <t>DOMUS NOVA</t>
  </si>
  <si>
    <t>Grand Velas , Riviera Nayarit</t>
  </si>
  <si>
    <t>IBERIA</t>
  </si>
  <si>
    <t>Torel Palace Lisbon</t>
  </si>
  <si>
    <t>Aldu Experience</t>
  </si>
  <si>
    <t>Amazing Japan</t>
  </si>
  <si>
    <t>AUREA CONVENTO CAPUCHINOS EUROSTAR HOTELS</t>
  </si>
  <si>
    <t>ITALYCHARME</t>
  </si>
  <si>
    <t>HOTEL LAS MAJADAS</t>
  </si>
  <si>
    <t>Moroccan Secret Handbook The Luxury Travel</t>
  </si>
  <si>
    <t>Soulspring Sanctuary</t>
  </si>
  <si>
    <t>The Singular Patagonia</t>
  </si>
  <si>
    <t>The Singular Lastarria</t>
  </si>
  <si>
    <t>Trip &amp; Soul</t>
  </si>
  <si>
    <t>MARRIOTT JAKARTA SOEKARNO HATTA AIRPORT</t>
  </si>
  <si>
    <t>Samsara Ubud</t>
  </si>
  <si>
    <t>Destination Asia</t>
  </si>
  <si>
    <t>Mitsui Garden Hotel Ginza-gochome</t>
  </si>
  <si>
    <t>Peru LEGACY Co.</t>
  </si>
  <si>
    <t>Hilton Garden Inn Kyoto Shijo Karasuma</t>
  </si>
  <si>
    <t>Four Seasons Fort Lauderdale</t>
  </si>
  <si>
    <t>JW Marriott Orlando Bonnet Creek Resort &amp; Spa</t>
  </si>
  <si>
    <t>Hotel de Russie</t>
  </si>
  <si>
    <t>JW Marriott Hotel Bangkok</t>
  </si>
  <si>
    <t>Pacific Hotel Chiangmai Co.,Ltd.</t>
  </si>
  <si>
    <t>InterContinental Grand Stanford Hong Kong</t>
  </si>
  <si>
    <t>il Sereno Hotel - Lago di Como</t>
  </si>
  <si>
    <t>Hotel Cipriani, A Belmond Hotel, Venice</t>
  </si>
  <si>
    <t>Desert &amp; Delta Safaris Proprietary Limited</t>
  </si>
  <si>
    <t>Ampersand Africa Limited</t>
  </si>
  <si>
    <t>Natural Selection Safaris</t>
  </si>
  <si>
    <t>Hotel Cap Rocat</t>
  </si>
  <si>
    <t>ABERCROMBIE AND KENT – EGYPT</t>
  </si>
  <si>
    <t>Marriott Anchorage Downtown</t>
  </si>
  <si>
    <t>Four Season Riyadh</t>
  </si>
  <si>
    <t>Maison Delano Paris</t>
  </si>
  <si>
    <t>VAL DE NEU 5 GL Hoteles Santos</t>
  </si>
  <si>
    <t>AndBeyond South Africa</t>
  </si>
  <si>
    <t>MANDARIN ORIENTAL GENEVA</t>
  </si>
  <si>
    <t>Four Seasons Hotel Praga</t>
  </si>
  <si>
    <t>BH BACALAR</t>
  </si>
  <si>
    <t>TAMARA MONSERRAT</t>
  </si>
  <si>
    <t>HOTEL ABADIA RETUERTA LEDOMAINE</t>
  </si>
  <si>
    <t>ACE HOTEL KYOTO</t>
  </si>
  <si>
    <t>THE ADDRESS DOWNTOWN DUBAI</t>
  </si>
  <si>
    <t>ADDRESS SKY VIEW</t>
  </si>
  <si>
    <t>LES AIRELLES COURCHEVEL</t>
  </si>
  <si>
    <t>Hotel Park Hyatt Niseko</t>
  </si>
  <si>
    <t>EMBAJADA INDONESIA</t>
  </si>
  <si>
    <t>CALA DE MAR RESORT &amp; SPA IXTAPA</t>
  </si>
  <si>
    <t>The Tokyo EDITION, Ginza</t>
  </si>
  <si>
    <t>Pousada Lisboa Praça do Comércio</t>
  </si>
  <si>
    <t>ANDREA GARCÍA DOMINGUEZ</t>
  </si>
  <si>
    <t>MARTIN FRANCISCO BENEDETTI</t>
  </si>
  <si>
    <t>E LINK KOREA</t>
  </si>
  <si>
    <t>RAQUEL MARCOS SAINERO</t>
  </si>
  <si>
    <t>Amanjena</t>
  </si>
  <si>
    <t>Le Grand Hôtel Cayré</t>
  </si>
  <si>
    <t>Kap Caroso</t>
  </si>
  <si>
    <t>Boeki Up</t>
  </si>
  <si>
    <t>Details for Sum of Comision en EUR - mes 45 dias: agosto, año 45 dias: 2025</t>
  </si>
  <si>
    <t>Column Labels</t>
  </si>
  <si>
    <t>Grand Total</t>
  </si>
  <si>
    <t>Sum of Comision en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</si>
</sst>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/m/yyyy"/>
    <numFmt numFmtId="166" formatCode="_-* #,##0\ &quot;€&quot;_-;\-* #,##0\ &quot;€&quot;_-;_-* &quot;-&quot;??\ &quot;€&quot;_-;_-@_-"/>
  </numFmts>
  <fonts count="13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333333"/>
      <name val="&quot;Segoe UI&quot;"/>
    </font>
    <font>
      <u/>
      <sz val="10"/>
      <color rgb="FF1155CC"/>
      <name val="Arial"/>
      <family val="2"/>
    </font>
    <font>
      <sz val="12"/>
      <color theme="1"/>
      <name val="Aptos Narrow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EAEAE"/>
        <bgColor rgb="FFAEAEAE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4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3" borderId="0" xfId="0" applyFont="1" applyFill="1" applyAlignment="1">
      <alignment horizontal="center" vertical="top"/>
    </xf>
    <xf numFmtId="165" fontId="5" fillId="3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0" fontId="6" fillId="0" borderId="0" xfId="0" applyFont="1"/>
    <xf numFmtId="164" fontId="3" fillId="0" borderId="0" xfId="0" applyNumberFormat="1" applyFont="1"/>
    <xf numFmtId="0" fontId="7" fillId="0" borderId="0" xfId="0" applyFont="1"/>
    <xf numFmtId="14" fontId="0" fillId="0" borderId="0" xfId="0" applyNumberFormat="1"/>
    <xf numFmtId="0" fontId="0" fillId="0" borderId="0" xfId="0" pivotButton="1"/>
    <xf numFmtId="166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3" xfId="0" applyFont="1" applyBorder="1" applyAlignment="1">
      <alignment readingOrder="1"/>
    </xf>
    <xf numFmtId="0" fontId="10" fillId="0" borderId="4" xfId="0" applyFont="1" applyBorder="1" applyAlignment="1">
      <alignment readingOrder="1"/>
    </xf>
    <xf numFmtId="0" fontId="10" fillId="0" borderId="5" xfId="0" applyFont="1" applyBorder="1" applyAlignment="1">
      <alignment readingOrder="1"/>
    </xf>
    <xf numFmtId="0" fontId="10" fillId="0" borderId="6" xfId="0" applyFont="1" applyBorder="1" applyAlignment="1">
      <alignment readingOrder="1"/>
    </xf>
    <xf numFmtId="0" fontId="10" fillId="0" borderId="7" xfId="0" applyFont="1" applyBorder="1" applyAlignment="1">
      <alignment readingOrder="1"/>
    </xf>
    <xf numFmtId="0" fontId="10" fillId="0" borderId="8" xfId="0" applyFont="1" applyBorder="1" applyAlignment="1">
      <alignment readingOrder="1"/>
    </xf>
    <xf numFmtId="0" fontId="11" fillId="2" borderId="1" xfId="0" applyFont="1" applyFill="1" applyBorder="1"/>
    <xf numFmtId="0" fontId="11" fillId="2" borderId="2" xfId="0" applyFont="1" applyFill="1" applyBorder="1"/>
    <xf numFmtId="4" fontId="0" fillId="0" borderId="0" xfId="0" applyNumberFormat="1"/>
    <xf numFmtId="164" fontId="12" fillId="0" borderId="0" xfId="0" applyNumberFormat="1" applyFont="1"/>
    <xf numFmtId="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11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6" formatCode="_-* #,##0\ &quot;€&quot;_-;\-* #,##0\ &quot;€&quot;_-;_-* &quot;-&quot;??\ &quot;€&quot;_-;_-@_-"/>
    </dxf>
    <dxf>
      <numFmt numFmtId="167" formatCode="dd/mm/yyyy"/>
    </dxf>
    <dxf>
      <numFmt numFmtId="167" formatCode="dd/mm/yyyy"/>
    </dxf>
    <dxf>
      <numFmt numFmtId="167" formatCode="dd/mm/yyyy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net.user" refreshedDate="45992.561384837965" createdVersion="8" refreshedVersion="8" minRefreshableVersion="3" recordCount="10" xr:uid="{484343E8-A859-4CA5-8A43-AE0895EA6CDB}">
  <cacheSource type="worksheet">
    <worksheetSource ref="A1:M7" sheet="Data SL"/>
  </cacheSource>
  <cacheFields count="13">
    <cacheField name="folio" numFmtId="0">
      <sharedItems containsSemiMixedTypes="0" containsString="0" containsNumber="1" containsInteger="1" minValue="7" maxValue="61"/>
    </cacheField>
    <cacheField name="proveedor" numFmtId="0">
      <sharedItems containsSemiMixedTypes="0" containsString="0" containsNumber="1" containsInteger="1" minValue="27602" maxValue="32364"/>
    </cacheField>
    <cacheField name="inicio_estancia" numFmtId="14">
      <sharedItems containsSemiMixedTypes="0" containsNonDate="0" containsDate="1" containsString="0" minDate="2025-06-25T00:00:00" maxDate="2025-12-29T00:00:00"/>
    </cacheField>
    <cacheField name="fin_estancia" numFmtId="14">
      <sharedItems containsSemiMixedTypes="0" containsNonDate="0" containsDate="1" containsString="0" minDate="2025-06-28T00:00:00" maxDate="2026-01-05T00:00:00"/>
    </cacheField>
    <cacheField name="moneda" numFmtId="0">
      <sharedItems/>
    </cacheField>
    <cacheField name="monto_comision" numFmtId="0">
      <sharedItems containsSemiMixedTypes="0" containsString="0" containsNumber="1" minValue="105.6" maxValue="1809"/>
    </cacheField>
    <cacheField name="Comision en EUR" numFmtId="0">
      <sharedItems containsSemiMixedTypes="0" containsString="0" containsNumber="1" minValue="94.6" maxValue="1809"/>
    </cacheField>
    <cacheField name="Nombre Provedor" numFmtId="164">
      <sharedItems/>
    </cacheField>
    <cacheField name="45 dias despues fin" numFmtId="164">
      <sharedItems containsSemiMixedTypes="0" containsNonDate="0" containsDate="1" containsString="0" minDate="2025-08-12T00:00:00" maxDate="2026-02-19T00:00:00"/>
    </cacheField>
    <cacheField name="mes 45 dias" numFmtId="0">
      <sharedItems count="6">
        <s v="diciembre"/>
        <s v="febrero"/>
        <s v="enero"/>
        <s v="agosto"/>
        <s v="septiembre"/>
        <s v="noviembre"/>
      </sharedItems>
    </cacheField>
    <cacheField name="Numero mes" numFmtId="0">
      <sharedItems containsSemiMixedTypes="0" containsString="0" containsNumber="1" containsInteger="1" minValue="1" maxValue="12"/>
    </cacheField>
    <cacheField name="año 45 dias" numFmtId="0">
      <sharedItems containsSemiMixedTypes="0" containsString="0" containsNumber="1" containsInteger="1" minValue="2025" maxValue="2026" count="2">
        <n v="2025"/>
        <n v="2026"/>
      </sharedItems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6.603464814812" createdVersion="8" refreshedVersion="8" minRefreshableVersion="3" recordCount="10" xr:uid="{D753BBA1-06B5-46B3-88CE-5985AD34C534}">
  <cacheSource type="worksheet">
    <worksheetSource ref="A1:M9" sheet="Data SL"/>
  </cacheSource>
  <cacheFields count="13">
    <cacheField name="folio" numFmtId="0">
      <sharedItems containsSemiMixedTypes="0" containsString="0" containsNumber="1" containsInteger="1" minValue="38" maxValue="87"/>
    </cacheField>
    <cacheField name="proveedor" numFmtId="0">
      <sharedItems containsSemiMixedTypes="0" containsString="0" containsNumber="1" containsInteger="1" minValue="28972" maxValue="34276"/>
    </cacheField>
    <cacheField name="inicio_estancia" numFmtId="14">
      <sharedItems containsSemiMixedTypes="0" containsNonDate="0" containsDate="1" containsString="0" minDate="2025-10-10T00:00:00" maxDate="2026-04-10T00:00:00"/>
    </cacheField>
    <cacheField name="fin_estancia" numFmtId="14">
      <sharedItems containsSemiMixedTypes="0" containsNonDate="0" containsDate="1" containsString="0" minDate="2025-10-12T00:00:00" maxDate="2026-04-13T00:00:00"/>
    </cacheField>
    <cacheField name="moneda" numFmtId="0">
      <sharedItems/>
    </cacheField>
    <cacheField name="monto_comision" numFmtId="0">
      <sharedItems containsSemiMixedTypes="0" containsString="0" containsNumber="1" minValue="110" maxValue="1809"/>
    </cacheField>
    <cacheField name="Comision en EUR" numFmtId="0">
      <sharedItems containsSemiMixedTypes="0" containsString="0" containsNumber="1" minValue="94.6" maxValue="1809"/>
    </cacheField>
    <cacheField name="Nombre Provedor" numFmtId="164">
      <sharedItems/>
    </cacheField>
    <cacheField name="45 dias despues fin" numFmtId="164">
      <sharedItems containsSemiMixedTypes="0" containsNonDate="0" containsDate="1" containsString="0" minDate="2025-11-26T00:00:00" maxDate="2026-05-28T00:00:00"/>
    </cacheField>
    <cacheField name="mes 45 dias" numFmtId="0">
      <sharedItems count="6">
        <s v="diciembre"/>
        <s v="noviembre"/>
        <s v="febrero"/>
        <s v="mayo"/>
        <s v="marzo"/>
        <s v="abril"/>
      </sharedItems>
    </cacheField>
    <cacheField name="Numero mes" numFmtId="0">
      <sharedItems containsSemiMixedTypes="0" containsString="0" containsNumber="1" containsInteger="1" minValue="2" maxValue="12"/>
    </cacheField>
    <cacheField name="año 45 dias" numFmtId="0">
      <sharedItems containsSemiMixedTypes="0" containsString="0" containsNumber="1" containsInteger="1" minValue="2025" maxValue="2026" count="2">
        <n v="2025"/>
        <n v="2026"/>
      </sharedItems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6.614252199077" createdVersion="8" refreshedVersion="8" minRefreshableVersion="3" recordCount="431" xr:uid="{17382DF9-AC9D-443A-8F1B-4729F497AE09}">
  <cacheSource type="worksheet">
    <worksheetSource ref="A1:M432" sheet="Data LLC"/>
  </cacheSource>
  <cacheFields count="13">
    <cacheField name="folio" numFmtId="0">
      <sharedItems containsString="0" containsBlank="1" containsNumber="1" containsInteger="1" minValue="31" maxValue="980"/>
    </cacheField>
    <cacheField name="proveedor" numFmtId="0">
      <sharedItems containsString="0" containsBlank="1" containsNumber="1" containsInteger="1" minValue="23317" maxValue="34261"/>
    </cacheField>
    <cacheField name="inicio_estancia" numFmtId="164">
      <sharedItems containsNonDate="0" containsDate="1" containsString="0" containsBlank="1" minDate="2024-11-12T00:00:00" maxDate="2026-11-26T00:00:00"/>
    </cacheField>
    <cacheField name="fin_estancia" numFmtId="164">
      <sharedItems containsNonDate="0" containsDate="1" containsString="0" containsBlank="1" minDate="2024-11-15T00:00:00" maxDate="2026-11-30T00:00:00"/>
    </cacheField>
    <cacheField name="moneda" numFmtId="0">
      <sharedItems containsBlank="1"/>
    </cacheField>
    <cacheField name="monto_comision" numFmtId="0">
      <sharedItems containsString="0" containsBlank="1" containsNumber="1" minValue="-580.5" maxValue="236410"/>
    </cacheField>
    <cacheField name="Comision en EUR" numFmtId="4">
      <sharedItems containsSemiMixedTypes="0" containsString="0" containsNumber="1" minValue="-499.23" maxValue="73186"/>
    </cacheField>
    <cacheField name="45 dias despues fin" numFmtId="164">
      <sharedItems containsSemiMixedTypes="0" containsNonDate="0" containsDate="1" containsString="0" minDate="1900-02-13T00:00:00" maxDate="2027-01-14T00:00:00"/>
    </cacheField>
    <cacheField name="mes 45 dias" numFmtId="0">
      <sharedItems count="12">
        <s v="diciembre"/>
        <s v="enero"/>
        <s v="febrero"/>
        <s v="mayo"/>
        <s v="marzo"/>
        <s v="abril"/>
        <s v="junio"/>
        <s v="julio"/>
        <s v="agosto"/>
        <s v="octubre"/>
        <s v="septiembre"/>
        <s v="noviembre"/>
      </sharedItems>
    </cacheField>
    <cacheField name="Numero Mes" numFmtId="0">
      <sharedItems containsSemiMixedTypes="0" containsString="0" containsNumber="1" containsInteger="1" minValue="1" maxValue="12"/>
    </cacheField>
    <cacheField name="año 45 dias" numFmtId="0">
      <sharedItems containsSemiMixedTypes="0" containsString="0" containsNumber="1" containsInteger="1" minValue="1900" maxValue="2027" count="5">
        <n v="2024"/>
        <n v="2025"/>
        <n v="2026"/>
        <n v="2027"/>
        <n v="1900"/>
      </sharedItems>
    </cacheField>
    <cacheField name="Nombre Proveedor" numFmtId="0">
      <sharedItems containsMixedTypes="1" containsNumber="1" containsInteger="1" minValue="0" maxValue="0"/>
    </cacheField>
    <cacheField name="Nombre vendedor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38"/>
    <n v="31030"/>
    <d v="2025-10-17T00:00:00"/>
    <d v="2025-10-27T00:00:00"/>
    <s v="EUR"/>
    <n v="403.29"/>
    <n v="403.29"/>
    <s v="Priora Suisse AG"/>
    <d v="2025-12-11T00:00:00"/>
    <x v="0"/>
    <n v="12"/>
    <x v="0"/>
    <s v="FernandaS"/>
  </r>
  <r>
    <n v="53"/>
    <n v="32066"/>
    <d v="2025-12-28T00:00:00"/>
    <d v="2026-01-04T00:00:00"/>
    <s v="EUR"/>
    <n v="1809"/>
    <n v="1809"/>
    <s v="Hotel Park Hyatt Niseko"/>
    <d v="2026-02-18T00:00:00"/>
    <x v="1"/>
    <n v="2"/>
    <x v="1"/>
    <s v="AlejandraL"/>
  </r>
  <r>
    <n v="53"/>
    <n v="32364"/>
    <d v="2025-12-26T00:00:00"/>
    <d v="2025-12-28T00:00:00"/>
    <s v="EUR"/>
    <n v="852"/>
    <n v="852"/>
    <s v="The Tokyo EDITION, Ginza"/>
    <d v="2026-02-11T00:00:00"/>
    <x v="1"/>
    <n v="2"/>
    <x v="1"/>
    <s v="AlejandraL"/>
  </r>
  <r>
    <n v="61"/>
    <n v="31466"/>
    <d v="2025-11-19T00:00:00"/>
    <d v="2025-11-20T00:00:00"/>
    <s v="EUR"/>
    <n v="394.5"/>
    <n v="394.5"/>
    <s v="Hotel de Russie"/>
    <d v="2026-01-04T00:00:00"/>
    <x v="2"/>
    <n v="1"/>
    <x v="1"/>
    <s v="AlejandraL"/>
  </r>
  <r>
    <n v="20"/>
    <n v="28845"/>
    <d v="2025-06-25T00:00:00"/>
    <d v="2025-06-28T00:00:00"/>
    <s v="GPB"/>
    <n v="526.08000000000004"/>
    <n v="599.73119999999994"/>
    <s v="Rocco Forte the Balmoral"/>
    <d v="2025-08-12T00:00:00"/>
    <x v="3"/>
    <n v="8"/>
    <x v="0"/>
    <s v="MartinB"/>
  </r>
  <r>
    <n v="20"/>
    <n v="28845"/>
    <d v="2025-06-27T00:00:00"/>
    <d v="2025-06-28T00:00:00"/>
    <s v="GPB"/>
    <n v="210"/>
    <n v="239.39999999999998"/>
    <s v="Rocco Forte the Balmoral"/>
    <d v="2025-08-12T00:00:00"/>
    <x v="3"/>
    <n v="8"/>
    <x v="0"/>
    <s v="MartinB"/>
  </r>
  <r>
    <n v="20"/>
    <n v="28845"/>
    <d v="2025-06-27T00:00:00"/>
    <d v="2025-06-28T00:00:00"/>
    <s v="GPB"/>
    <n v="105.6"/>
    <n v="120.38399999999999"/>
    <s v="Rocco Forte the Balmoral"/>
    <d v="2025-08-12T00:00:00"/>
    <x v="3"/>
    <n v="8"/>
    <x v="0"/>
    <s v="MartinB"/>
  </r>
  <r>
    <n v="7"/>
    <n v="27602"/>
    <d v="2025-07-24T00:00:00"/>
    <d v="2025-07-26T00:00:00"/>
    <s v="USD"/>
    <n v="437"/>
    <n v="375.82"/>
    <s v="Six Senses Kyoto"/>
    <d v="2025-09-09T00:00:00"/>
    <x v="4"/>
    <n v="9"/>
    <x v="0"/>
    <s v="ConchaD"/>
  </r>
  <r>
    <n v="50"/>
    <n v="28972"/>
    <d v="2025-10-10T00:00:00"/>
    <d v="2025-10-12T00:00:00"/>
    <s v="USD"/>
    <n v="110"/>
    <n v="94.6"/>
    <s v="Hotel Amigo"/>
    <d v="2025-11-26T00:00:00"/>
    <x v="5"/>
    <n v="11"/>
    <x v="0"/>
    <s v="AliciaLT"/>
  </r>
  <r>
    <n v="50"/>
    <n v="28972"/>
    <d v="2025-10-15T00:00:00"/>
    <d v="2025-10-17T00:00:00"/>
    <s v="USD"/>
    <n v="120"/>
    <n v="103.2"/>
    <s v="Hotel Amigo"/>
    <d v="2025-12-01T00:00:00"/>
    <x v="0"/>
    <n v="12"/>
    <x v="0"/>
    <s v="AliciaL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38"/>
    <n v="31030"/>
    <d v="2025-10-17T00:00:00"/>
    <d v="2025-10-27T00:00:00"/>
    <s v="EUR"/>
    <n v="403.29"/>
    <n v="403.29"/>
    <s v="Priora Suisse AG"/>
    <d v="2025-12-11T00:00:00"/>
    <x v="0"/>
    <n v="12"/>
    <x v="0"/>
    <s v="FernandaS"/>
  </r>
  <r>
    <n v="50"/>
    <n v="28972"/>
    <d v="2025-10-10T00:00:00"/>
    <d v="2025-10-12T00:00:00"/>
    <s v="USD"/>
    <n v="110"/>
    <n v="94.6"/>
    <s v="Hotel Amigo"/>
    <d v="2025-11-26T00:00:00"/>
    <x v="1"/>
    <n v="11"/>
    <x v="0"/>
    <s v="AliciaLT"/>
  </r>
  <r>
    <n v="50"/>
    <n v="28972"/>
    <d v="2025-10-15T00:00:00"/>
    <d v="2025-10-17T00:00:00"/>
    <s v="USD"/>
    <n v="120"/>
    <n v="103.2"/>
    <s v="Hotel Amigo"/>
    <d v="2025-12-01T00:00:00"/>
    <x v="0"/>
    <n v="12"/>
    <x v="0"/>
    <s v="AliciaLT"/>
  </r>
  <r>
    <n v="53"/>
    <n v="32066"/>
    <d v="2025-12-28T00:00:00"/>
    <d v="2026-01-04T00:00:00"/>
    <s v="EUR"/>
    <n v="1809"/>
    <n v="1809"/>
    <s v="Hotel Park Hyatt Niseko"/>
    <d v="2026-02-18T00:00:00"/>
    <x v="2"/>
    <n v="2"/>
    <x v="1"/>
    <s v="AlejandraL"/>
  </r>
  <r>
    <n v="53"/>
    <n v="32364"/>
    <d v="2025-12-26T00:00:00"/>
    <d v="2025-12-28T00:00:00"/>
    <s v="EUR"/>
    <n v="852"/>
    <n v="852"/>
    <s v="The Tokyo EDITION, Ginza"/>
    <d v="2026-02-11T00:00:00"/>
    <x v="2"/>
    <n v="2"/>
    <x v="1"/>
    <s v="AlejandraL"/>
  </r>
  <r>
    <n v="53"/>
    <n v="34276"/>
    <d v="2026-01-04T00:00:00"/>
    <d v="2026-01-05T00:00:00"/>
    <s v="EUR"/>
    <n v="211"/>
    <n v="211"/>
    <s v="JANU TOKYO"/>
    <d v="2026-02-19T00:00:00"/>
    <x v="2"/>
    <n v="2"/>
    <x v="1"/>
    <s v="AlejandraL"/>
  </r>
  <r>
    <n v="75"/>
    <n v="31081"/>
    <d v="2026-04-09T00:00:00"/>
    <d v="2026-04-12T00:00:00"/>
    <s v="EUR"/>
    <n v="446.8"/>
    <n v="446.8"/>
    <s v="Hotel Finca Cortesin SL"/>
    <d v="2026-05-27T00:00:00"/>
    <x v="3"/>
    <n v="5"/>
    <x v="1"/>
    <s v="HelenM"/>
  </r>
  <r>
    <n v="76"/>
    <n v="34219"/>
    <d v="2026-01-14T00:00:00"/>
    <d v="2026-01-18T00:00:00"/>
    <s v="EUR"/>
    <n v="634.54"/>
    <n v="634.54"/>
    <s v="Le Grand Hôtel Cayré"/>
    <d v="2026-03-04T00:00:00"/>
    <x v="4"/>
    <n v="3"/>
    <x v="1"/>
    <s v="BlancaO"/>
  </r>
  <r>
    <n v="86"/>
    <n v="29901"/>
    <d v="2026-02-08T00:00:00"/>
    <d v="2026-02-17T00:00:00"/>
    <s v="EUR"/>
    <n v="193.5"/>
    <n v="193.5"/>
    <s v="Gannet España, SL"/>
    <d v="2026-04-03T00:00:00"/>
    <x v="5"/>
    <n v="4"/>
    <x v="1"/>
    <s v="JimenaM"/>
  </r>
  <r>
    <n v="87"/>
    <n v="33613"/>
    <d v="2026-01-11T00:00:00"/>
    <d v="2026-01-14T00:00:00"/>
    <s v="EUR"/>
    <n v="285.83"/>
    <n v="285.83"/>
    <s v="THE PENINSULA NEW YORK"/>
    <d v="2026-02-28T00:00:00"/>
    <x v="2"/>
    <n v="2"/>
    <x v="1"/>
    <s v="Alejandra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">
  <r>
    <n v="31"/>
    <n v="24237"/>
    <d v="2024-11-12T00:00:00"/>
    <d v="2024-11-15T00:00:00"/>
    <s v="EUR"/>
    <n v="588.05999999999995"/>
    <n v="588.05999999999995"/>
    <d v="2024-12-30T00:00:00"/>
    <x v="0"/>
    <n v="12"/>
    <x v="0"/>
    <s v="BULGARI HOTEL ROMA"/>
    <s v="DianaM"/>
  </r>
  <r>
    <n v="31"/>
    <n v="24242"/>
    <d v="2024-11-20T00:00:00"/>
    <d v="2024-11-22T00:00:00"/>
    <s v="EUR"/>
    <n v="220.8"/>
    <n v="220.8"/>
    <d v="2025-01-06T00:00:00"/>
    <x v="1"/>
    <n v="1"/>
    <x v="1"/>
    <s v="THE GRITTI PALACE"/>
    <s v="DianaM"/>
  </r>
  <r>
    <n v="31"/>
    <n v="23527"/>
    <d v="2024-11-18T00:00:00"/>
    <d v="2024-11-20T00:00:00"/>
    <s v="EUR"/>
    <n v="360"/>
    <n v="360"/>
    <d v="2025-01-04T00:00:00"/>
    <x v="1"/>
    <n v="1"/>
    <x v="1"/>
    <s v="PORTRAIT MILANO HOTEL LUNGARNO COLLECTION"/>
    <s v="DianaM"/>
  </r>
  <r>
    <n v="57"/>
    <n v="25780"/>
    <d v="2025-12-03T00:00:00"/>
    <d v="2026-01-02T00:00:00"/>
    <s v="USD"/>
    <n v="42.75"/>
    <n v="36.765000000000001"/>
    <d v="2026-02-16T00:00:00"/>
    <x v="2"/>
    <n v="2"/>
    <x v="2"/>
    <s v="ROLZO"/>
    <s v="DianaM"/>
  </r>
  <r>
    <n v="57"/>
    <n v="25780"/>
    <d v="2025-12-03T00:00:00"/>
    <d v="2026-01-02T00:00:00"/>
    <s v="USD"/>
    <n v="42.75"/>
    <n v="36.765000000000001"/>
    <d v="2026-02-16T00:00:00"/>
    <x v="2"/>
    <n v="2"/>
    <x v="2"/>
    <s v="ROLZO"/>
    <s v="DianaM"/>
  </r>
  <r>
    <n v="57"/>
    <n v="25780"/>
    <d v="2025-12-03T00:00:00"/>
    <d v="2026-01-02T00:00:00"/>
    <s v="USD"/>
    <n v="65.25"/>
    <n v="56.115000000000002"/>
    <d v="2026-02-16T00:00:00"/>
    <x v="2"/>
    <n v="2"/>
    <x v="2"/>
    <s v="ROLZO"/>
    <s v="DianaM"/>
  </r>
  <r>
    <n v="57"/>
    <n v="25780"/>
    <d v="2025-12-03T00:00:00"/>
    <d v="2026-01-02T00:00:00"/>
    <s v="USD"/>
    <n v="65.25"/>
    <n v="56.115000000000002"/>
    <d v="2026-02-16T00:00:00"/>
    <x v="2"/>
    <n v="2"/>
    <x v="2"/>
    <s v="ROLZO"/>
    <s v="DianaM"/>
  </r>
  <r>
    <n v="62"/>
    <n v="24989"/>
    <d v="2025-04-03T00:00:00"/>
    <d v="2025-04-05T00:00:00"/>
    <s v="USD"/>
    <n v="60"/>
    <n v="51.6"/>
    <d v="2025-05-20T00:00:00"/>
    <x v="3"/>
    <n v="5"/>
    <x v="1"/>
    <s v="HYATT CENTRIC KANAZAWA"/>
    <s v="DianaM"/>
  </r>
  <r>
    <n v="80"/>
    <n v="25077"/>
    <d v="2025-02-05T00:00:00"/>
    <d v="2025-02-10T00:00:00"/>
    <s v="USD"/>
    <n v="225.04"/>
    <n v="193.53439999999998"/>
    <d v="2025-03-27T00:00:00"/>
    <x v="4"/>
    <n v="3"/>
    <x v="1"/>
    <s v="ALVEAR PALACE HOTEL"/>
    <s v="MinervaH"/>
  </r>
  <r>
    <n v="93"/>
    <n v="25247"/>
    <d v="2025-01-17T00:00:00"/>
    <d v="2025-01-21T00:00:00"/>
    <s v="EUR"/>
    <n v="575.84"/>
    <n v="575.84"/>
    <d v="2025-03-07T00:00:00"/>
    <x v="4"/>
    <n v="3"/>
    <x v="1"/>
    <s v="HOTEL FOUGERE"/>
    <s v="DianaM"/>
  </r>
  <r>
    <n v="93"/>
    <n v="25247"/>
    <d v="2025-01-17T00:00:00"/>
    <d v="2025-01-21T00:00:00"/>
    <s v="EUR"/>
    <n v="910.52"/>
    <n v="910.52"/>
    <d v="2025-03-07T00:00:00"/>
    <x v="4"/>
    <n v="3"/>
    <x v="1"/>
    <s v="HOTEL FOUGERE"/>
    <s v="DianaM"/>
  </r>
  <r>
    <n v="94"/>
    <n v="24992"/>
    <d v="2025-02-02T00:00:00"/>
    <d v="2025-02-05T00:00:00"/>
    <s v="MXN"/>
    <n v="504.9"/>
    <n v="24.235199999999999"/>
    <d v="2025-03-22T00:00:00"/>
    <x v="4"/>
    <n v="3"/>
    <x v="1"/>
    <s v="CASA POLANCO HOTEL BOUTIQUE"/>
    <s v="VeronicaN"/>
  </r>
  <r>
    <n v="95"/>
    <n v="24992"/>
    <d v="2025-02-01T00:00:00"/>
    <d v="2025-02-05T00:00:00"/>
    <s v="MXN"/>
    <n v="88.3"/>
    <n v="4.2384000000000004"/>
    <d v="2025-03-22T00:00:00"/>
    <x v="4"/>
    <n v="3"/>
    <x v="1"/>
    <s v="CASA POLANCO HOTEL BOUTIQUE"/>
    <s v="VeronicaN"/>
  </r>
  <r>
    <n v="97"/>
    <n v="25247"/>
    <d v="2025-02-15T00:00:00"/>
    <d v="2025-02-16T00:00:00"/>
    <s v="EUR"/>
    <n v="44"/>
    <n v="44"/>
    <d v="2025-04-02T00:00:00"/>
    <x v="5"/>
    <n v="4"/>
    <x v="1"/>
    <s v="HOTEL FOUGERE"/>
    <s v="VeronicaN"/>
  </r>
  <r>
    <n v="104"/>
    <n v="25365"/>
    <d v="2025-02-18T00:00:00"/>
    <d v="2025-02-21T00:00:00"/>
    <s v="USD"/>
    <n v="484.7"/>
    <n v="416.84199999999998"/>
    <d v="2025-04-07T00:00:00"/>
    <x v="5"/>
    <n v="4"/>
    <x v="1"/>
    <s v="THE SHINMONZEN"/>
    <s v="VeronicaN"/>
  </r>
  <r>
    <n v="111"/>
    <n v="25372"/>
    <d v="2024-12-21T00:00:00"/>
    <d v="2025-01-06T00:00:00"/>
    <s v="GPB"/>
    <n v="1377.4"/>
    <n v="1584.01"/>
    <d v="2025-02-20T00:00:00"/>
    <x v="2"/>
    <n v="2"/>
    <x v="1"/>
    <s v="Queen Of Clubs Lifestyle Luxury Services LTD"/>
    <s v="VeronicaN"/>
  </r>
  <r>
    <n v="113"/>
    <n v="24994"/>
    <d v="2024-12-26T00:00:00"/>
    <d v="2025-01-04T00:00:00"/>
    <s v="USD"/>
    <n v="1699.1"/>
    <n v="1461.2259999999999"/>
    <d v="2025-02-18T00:00:00"/>
    <x v="2"/>
    <n v="2"/>
    <x v="1"/>
    <s v="SKI SHOP"/>
    <s v="MariaM"/>
  </r>
  <r>
    <n v="113"/>
    <n v="24994"/>
    <d v="2024-12-26T00:00:00"/>
    <d v="2025-01-04T00:00:00"/>
    <s v="USD"/>
    <n v="59"/>
    <n v="50.74"/>
    <d v="2025-02-18T00:00:00"/>
    <x v="2"/>
    <n v="2"/>
    <x v="1"/>
    <s v="SKI SHOP"/>
    <s v="MariaM"/>
  </r>
  <r>
    <n v="113"/>
    <n v="24994"/>
    <d v="2024-12-26T00:00:00"/>
    <d v="2025-01-04T00:00:00"/>
    <s v="USD"/>
    <n v="74.7"/>
    <n v="64.242000000000004"/>
    <d v="2025-02-18T00:00:00"/>
    <x v="2"/>
    <n v="2"/>
    <x v="1"/>
    <s v="SKI SHOP"/>
    <s v="MariaM"/>
  </r>
  <r>
    <n v="115"/>
    <n v="25383"/>
    <d v="2025-10-24T00:00:00"/>
    <d v="2025-11-04T00:00:00"/>
    <s v="USD"/>
    <n v="12245"/>
    <n v="10530.7"/>
    <d v="2025-12-19T00:00:00"/>
    <x v="0"/>
    <n v="12"/>
    <x v="1"/>
    <s v="Silversea"/>
    <s v="MartinB"/>
  </r>
  <r>
    <n v="120"/>
    <n v="25427"/>
    <d v="2025-04-27T00:00:00"/>
    <d v="2025-04-29T00:00:00"/>
    <s v="USD"/>
    <n v="87.54"/>
    <n v="75.284400000000005"/>
    <d v="2025-06-13T00:00:00"/>
    <x v="6"/>
    <n v="6"/>
    <x v="1"/>
    <s v="Expedia TAAP"/>
    <s v="PaulinaV"/>
  </r>
  <r>
    <n v="120"/>
    <n v="25427"/>
    <d v="2025-04-15T00:00:00"/>
    <d v="2025-04-16T00:00:00"/>
    <s v="USD"/>
    <n v="20.21"/>
    <n v="17.380600000000001"/>
    <d v="2025-05-31T00:00:00"/>
    <x v="3"/>
    <n v="5"/>
    <x v="1"/>
    <s v="Expedia TAAP"/>
    <s v="PaulinaV"/>
  </r>
  <r>
    <n v="121"/>
    <n v="25427"/>
    <d v="2025-06-05T00:00:00"/>
    <d v="2025-06-06T00:00:00"/>
    <s v="USD"/>
    <n v="20.67"/>
    <n v="17.776200000000003"/>
    <d v="2025-07-21T00:00:00"/>
    <x v="7"/>
    <n v="7"/>
    <x v="1"/>
    <s v="Expedia TAAP"/>
    <s v="ClaudiaF"/>
  </r>
  <r>
    <n v="121"/>
    <n v="25427"/>
    <d v="2025-06-10T00:00:00"/>
    <d v="2025-06-16T00:00:00"/>
    <s v="USD"/>
    <n v="133.59"/>
    <n v="114.8874"/>
    <d v="2025-07-31T00:00:00"/>
    <x v="7"/>
    <n v="7"/>
    <x v="1"/>
    <s v="Expedia TAAP"/>
    <s v="ClaudiaF"/>
  </r>
  <r>
    <n v="123"/>
    <n v="25453"/>
    <d v="2025-02-14T00:00:00"/>
    <d v="2025-02-16T00:00:00"/>
    <s v="MXN"/>
    <n v="30.42"/>
    <n v="1.4601600000000001"/>
    <d v="2025-04-02T00:00:00"/>
    <x v="5"/>
    <n v="4"/>
    <x v="1"/>
    <s v="WYNDHAM SANTIAGO PETTRA HOTEL"/>
    <s v="LucianaE"/>
  </r>
  <r>
    <n v="125"/>
    <n v="25453"/>
    <d v="2025-02-14T00:00:00"/>
    <d v="2025-02-16T00:00:00"/>
    <s v="MXN"/>
    <n v="30.42"/>
    <n v="1.4601600000000001"/>
    <d v="2025-04-02T00:00:00"/>
    <x v="5"/>
    <n v="4"/>
    <x v="1"/>
    <s v="WYNDHAM SANTIAGO PETTRA HOTEL"/>
    <s v="MartinB"/>
  </r>
  <r>
    <n v="126"/>
    <n v="28420"/>
    <d v="2025-06-01T00:00:00"/>
    <d v="2025-07-03T00:00:00"/>
    <s v="EUR"/>
    <n v="109.4"/>
    <n v="109.4"/>
    <d v="2025-08-17T00:00:00"/>
    <x v="8"/>
    <n v="8"/>
    <x v="1"/>
    <s v="SIXT MÉXICO"/>
    <s v="LucianaE"/>
  </r>
  <r>
    <n v="163"/>
    <n v="28420"/>
    <d v="2025-06-24T00:00:00"/>
    <d v="2025-07-16T00:00:00"/>
    <s v="EUR"/>
    <n v="151.96"/>
    <n v="151.96"/>
    <d v="2025-08-30T00:00:00"/>
    <x v="8"/>
    <n v="8"/>
    <x v="1"/>
    <s v="SIXT MÉXICO"/>
    <s v="IsraelB"/>
  </r>
  <r>
    <n v="171"/>
    <n v="25427"/>
    <d v="2025-04-08T00:00:00"/>
    <d v="2025-04-10T00:00:00"/>
    <s v="USD"/>
    <n v="92.27"/>
    <n v="79.352199999999996"/>
    <d v="2025-05-25T00:00:00"/>
    <x v="3"/>
    <n v="5"/>
    <x v="1"/>
    <s v="Expedia TAAP"/>
    <s v="VeronicaN"/>
  </r>
  <r>
    <n v="172"/>
    <n v="25908"/>
    <d v="2025-10-25T00:00:00"/>
    <d v="2025-10-28T00:00:00"/>
    <s v="USD"/>
    <n v="208.55"/>
    <n v="179.35300000000001"/>
    <d v="2025-12-12T00:00:00"/>
    <x v="0"/>
    <n v="12"/>
    <x v="1"/>
    <s v="MANDAPA A RITZ CARLTON RESERVE"/>
    <s v="LuisHdz"/>
  </r>
  <r>
    <n v="172"/>
    <n v="28282"/>
    <d v="2025-10-31T00:00:00"/>
    <d v="2025-11-01T00:00:00"/>
    <s v="USD"/>
    <n v="17.27"/>
    <n v="14.8522"/>
    <d v="2025-12-16T00:00:00"/>
    <x v="0"/>
    <n v="12"/>
    <x v="1"/>
    <s v="GRAND HYATT INCHEON"/>
    <s v="LuisHdz"/>
  </r>
  <r>
    <n v="180"/>
    <n v="25993"/>
    <d v="2025-04-04T00:00:00"/>
    <d v="2025-04-06T00:00:00"/>
    <s v="USD"/>
    <n v="303.52999999999997"/>
    <n v="261.03579999999999"/>
    <d v="2025-05-21T00:00:00"/>
    <x v="3"/>
    <n v="5"/>
    <x v="1"/>
    <s v="THE LODGE AT BLUE SKY AUBERGE COLLECTION"/>
    <s v="LucianaE"/>
  </r>
  <r>
    <n v="198"/>
    <n v="25904"/>
    <d v="2025-10-24T00:00:00"/>
    <d v="2025-10-27T00:00:00"/>
    <s v="USD"/>
    <n v="399.9"/>
    <n v="343.91399999999999"/>
    <d v="2025-12-11T00:00:00"/>
    <x v="0"/>
    <n v="12"/>
    <x v="1"/>
    <s v="FOUR SEASONS HOTEL TOKYO AT OTEMACHI"/>
    <n v="0"/>
  </r>
  <r>
    <n v="198"/>
    <n v="25904"/>
    <d v="2025-10-24T00:00:00"/>
    <d v="2025-10-27T00:00:00"/>
    <s v="USD"/>
    <n v="399.9"/>
    <n v="343.91399999999999"/>
    <d v="2025-12-11T00:00:00"/>
    <x v="0"/>
    <n v="12"/>
    <x v="1"/>
    <s v="FOUR SEASONS HOTEL TOKYO AT OTEMACHI"/>
    <n v="0"/>
  </r>
  <r>
    <n v="198"/>
    <n v="25904"/>
    <d v="2025-10-24T00:00:00"/>
    <d v="2025-10-27T00:00:00"/>
    <s v="USD"/>
    <n v="399.9"/>
    <n v="343.91399999999999"/>
    <d v="2025-12-11T00:00:00"/>
    <x v="0"/>
    <n v="12"/>
    <x v="1"/>
    <s v="FOUR SEASONS HOTEL TOKYO AT OTEMACHI"/>
    <n v="0"/>
  </r>
  <r>
    <n v="198"/>
    <n v="25904"/>
    <d v="2025-10-22T00:00:00"/>
    <d v="2025-10-24T00:00:00"/>
    <s v="USD"/>
    <n v="373.99"/>
    <n v="321.63139999999999"/>
    <d v="2025-12-08T00:00:00"/>
    <x v="0"/>
    <n v="12"/>
    <x v="1"/>
    <s v="FOUR SEASONS HOTEL TOKYO AT OTEMACHI"/>
    <n v="0"/>
  </r>
  <r>
    <n v="198"/>
    <n v="25904"/>
    <d v="2025-10-24T00:00:00"/>
    <d v="2025-10-27T00:00:00"/>
    <s v="USD"/>
    <n v="370.33"/>
    <n v="318.48379999999997"/>
    <d v="2025-12-11T00:00:00"/>
    <x v="0"/>
    <n v="12"/>
    <x v="1"/>
    <s v="FOUR SEASONS HOTEL TOKYO AT OTEMACHI"/>
    <n v="0"/>
  </r>
  <r>
    <n v="198"/>
    <n v="24989"/>
    <d v="2025-10-31T00:00:00"/>
    <d v="2025-11-01T00:00:00"/>
    <s v="USD"/>
    <n v="22.55"/>
    <n v="19.393000000000001"/>
    <d v="2025-12-16T00:00:00"/>
    <x v="0"/>
    <n v="12"/>
    <x v="1"/>
    <s v="HYATT CENTRIC KANAZAWA"/>
    <n v="0"/>
  </r>
  <r>
    <n v="215"/>
    <n v="28730"/>
    <d v="2025-09-04T00:00:00"/>
    <d v="2025-09-07T00:00:00"/>
    <s v="EUR"/>
    <n v="510.94"/>
    <n v="510.94"/>
    <d v="2025-10-22T00:00:00"/>
    <x v="9"/>
    <n v="10"/>
    <x v="1"/>
    <s v="THE ST. REGIS FLORENCE"/>
    <n v="0"/>
  </r>
  <r>
    <n v="215"/>
    <n v="30769"/>
    <d v="2025-09-07T00:00:00"/>
    <d v="2025-09-10T00:00:00"/>
    <s v="EUR"/>
    <n v="407.98"/>
    <n v="407.98"/>
    <d v="2025-10-25T00:00:00"/>
    <x v="9"/>
    <n v="10"/>
    <x v="1"/>
    <s v="THE ST. REGIS VENICE"/>
    <n v="0"/>
  </r>
  <r>
    <n v="222"/>
    <n v="25706"/>
    <d v="2025-07-23T00:00:00"/>
    <d v="2025-08-02T00:00:00"/>
    <s v="USD"/>
    <n v="3706"/>
    <n v="3187.16"/>
    <d v="2025-09-16T00:00:00"/>
    <x v="10"/>
    <n v="9"/>
    <x v="1"/>
    <s v="CRYSTAL CRUISES"/>
    <n v="0"/>
  </r>
  <r>
    <n v="222"/>
    <n v="25706"/>
    <d v="2025-07-23T00:00:00"/>
    <d v="2025-08-02T00:00:00"/>
    <s v="USD"/>
    <n v="3706"/>
    <n v="3187.16"/>
    <d v="2025-09-16T00:00:00"/>
    <x v="10"/>
    <n v="9"/>
    <x v="1"/>
    <s v="CRYSTAL CRUISES"/>
    <n v="0"/>
  </r>
  <r>
    <n v="239"/>
    <n v="29435"/>
    <d v="2025-04-22T00:00:00"/>
    <d v="2025-05-25T00:00:00"/>
    <s v="USD"/>
    <n v="559.57000000000005"/>
    <n v="481.23020000000002"/>
    <d v="2025-07-09T00:00:00"/>
    <x v="7"/>
    <n v="7"/>
    <x v="1"/>
    <s v="Misincu LAF"/>
    <n v="0"/>
  </r>
  <r>
    <n v="239"/>
    <n v="29551"/>
    <d v="2025-04-22T00:00:00"/>
    <d v="2025-05-25T00:00:00"/>
    <s v="USD"/>
    <n v="1035.29"/>
    <n v="890.34939999999995"/>
    <d v="2025-07-09T00:00:00"/>
    <x v="7"/>
    <n v="7"/>
    <x v="1"/>
    <s v="PENSIONE AMERICA"/>
    <n v="0"/>
  </r>
  <r>
    <n v="239"/>
    <n v="26070"/>
    <d v="2025-04-22T00:00:00"/>
    <d v="2025-07-25T00:00:00"/>
    <s v="USD"/>
    <n v="63.8"/>
    <n v="54.867999999999995"/>
    <d v="2025-09-08T00:00:00"/>
    <x v="10"/>
    <n v="9"/>
    <x v="1"/>
    <s v="FOUR SEASONS HOTEL SEOUL"/>
    <n v="0"/>
  </r>
  <r>
    <n v="242"/>
    <n v="23931"/>
    <d v="2025-04-28T00:00:00"/>
    <d v="2025-04-28T00:00:00"/>
    <s v="MXN"/>
    <n v="500"/>
    <n v="24"/>
    <d v="2025-06-12T00:00:00"/>
    <x v="6"/>
    <n v="6"/>
    <x v="1"/>
    <s v="Abercrombie and Kent Europe"/>
    <n v="0"/>
  </r>
  <r>
    <n v="251"/>
    <n v="27253"/>
    <d v="2025-05-18T00:00:00"/>
    <d v="2025-05-21T00:00:00"/>
    <s v="EUR"/>
    <n v="103.1"/>
    <n v="103.1"/>
    <d v="2025-07-05T00:00:00"/>
    <x v="7"/>
    <n v="7"/>
    <x v="1"/>
    <s v="HOTEL EMBASSY"/>
    <n v="0"/>
  </r>
  <r>
    <n v="257"/>
    <n v="23590"/>
    <d v="2026-02-03T00:00:00"/>
    <d v="2026-02-08T00:00:00"/>
    <s v="USD"/>
    <n v="41.84"/>
    <n v="35.982400000000005"/>
    <d v="2026-03-25T00:00:00"/>
    <x v="4"/>
    <n v="3"/>
    <x v="2"/>
    <s v="Aeromexico"/>
    <n v="0"/>
  </r>
  <r>
    <n v="257"/>
    <n v="25689"/>
    <d v="2026-02-03T00:00:00"/>
    <d v="2026-02-08T00:00:00"/>
    <s v="USD"/>
    <n v="2243.44"/>
    <n v="1929.3584000000001"/>
    <d v="2026-03-25T00:00:00"/>
    <x v="4"/>
    <n v="3"/>
    <x v="2"/>
    <s v="AMAN NEW YORK"/>
    <n v="0"/>
  </r>
  <r>
    <n v="262"/>
    <n v="27721"/>
    <d v="2025-12-25T00:00:00"/>
    <d v="2026-01-05T00:00:00"/>
    <s v="USD"/>
    <n v="96.46"/>
    <n v="82.95559999999999"/>
    <d v="2026-02-19T00:00:00"/>
    <x v="2"/>
    <n v="2"/>
    <x v="2"/>
    <s v="TURISMO EXMAR"/>
    <n v="0"/>
  </r>
  <r>
    <n v="262"/>
    <n v="27721"/>
    <d v="2025-12-25T00:00:00"/>
    <d v="2026-01-05T00:00:00"/>
    <s v="USD"/>
    <n v="96.46"/>
    <n v="82.95559999999999"/>
    <d v="2026-02-19T00:00:00"/>
    <x v="2"/>
    <n v="2"/>
    <x v="2"/>
    <s v="TURISMO EXMAR"/>
    <n v="0"/>
  </r>
  <r>
    <n v="262"/>
    <n v="27721"/>
    <d v="2025-12-25T00:00:00"/>
    <d v="2026-01-05T00:00:00"/>
    <s v="USD"/>
    <n v="96.46"/>
    <n v="82.95559999999999"/>
    <d v="2026-02-19T00:00:00"/>
    <x v="2"/>
    <n v="2"/>
    <x v="2"/>
    <s v="TURISMO EXMAR"/>
    <n v="0"/>
  </r>
  <r>
    <n v="262"/>
    <n v="27721"/>
    <d v="2025-12-25T00:00:00"/>
    <d v="2026-01-05T00:00:00"/>
    <s v="USD"/>
    <n v="102.64"/>
    <n v="88.270399999999995"/>
    <d v="2026-02-19T00:00:00"/>
    <x v="2"/>
    <n v="2"/>
    <x v="2"/>
    <s v="TURISMO EXMAR"/>
    <n v="0"/>
  </r>
  <r>
    <n v="262"/>
    <n v="27721"/>
    <d v="2025-12-25T00:00:00"/>
    <d v="2026-01-05T00:00:00"/>
    <s v="USD"/>
    <n v="102.64"/>
    <n v="88.270399999999995"/>
    <d v="2026-02-19T00:00:00"/>
    <x v="2"/>
    <n v="2"/>
    <x v="2"/>
    <s v="TURISMO EXMAR"/>
    <n v="0"/>
  </r>
  <r>
    <n v="262"/>
    <n v="27721"/>
    <d v="2025-12-25T00:00:00"/>
    <d v="2026-01-05T00:00:00"/>
    <s v="USD"/>
    <n v="102.64"/>
    <n v="88.270399999999995"/>
    <d v="2026-02-19T00:00:00"/>
    <x v="2"/>
    <n v="2"/>
    <x v="2"/>
    <s v="TURISMO EXMAR"/>
    <n v="0"/>
  </r>
  <r>
    <n v="262"/>
    <n v="27721"/>
    <d v="2025-12-25T00:00:00"/>
    <d v="2026-01-05T00:00:00"/>
    <s v="USD"/>
    <n v="108.82"/>
    <n v="93.585199999999986"/>
    <d v="2026-02-19T00:00:00"/>
    <x v="2"/>
    <n v="2"/>
    <x v="2"/>
    <s v="TURISMO EXMAR"/>
    <n v="0"/>
  </r>
  <r>
    <n v="262"/>
    <n v="27721"/>
    <d v="2025-12-25T00:00:00"/>
    <d v="2026-01-05T00:00:00"/>
    <s v="USD"/>
    <n v="108.82"/>
    <n v="93.585199999999986"/>
    <d v="2026-02-19T00:00:00"/>
    <x v="2"/>
    <n v="2"/>
    <x v="2"/>
    <s v="TURISMO EXMAR"/>
    <n v="0"/>
  </r>
  <r>
    <n v="272"/>
    <n v="27448"/>
    <d v="2025-05-07T00:00:00"/>
    <d v="2025-05-12T00:00:00"/>
    <s v="USD"/>
    <n v="677.3"/>
    <n v="582.47799999999995"/>
    <d v="2025-06-26T00:00:00"/>
    <x v="6"/>
    <n v="6"/>
    <x v="1"/>
    <s v="THE LOWELL HOTEL"/>
    <n v="0"/>
  </r>
  <r>
    <n v="272"/>
    <n v="27448"/>
    <d v="2025-05-07T00:00:00"/>
    <d v="2025-05-12T00:00:00"/>
    <s v="USD"/>
    <n v="1777.5"/>
    <n v="1528.6499999999999"/>
    <d v="2025-06-26T00:00:00"/>
    <x v="6"/>
    <n v="6"/>
    <x v="1"/>
    <s v="THE LOWELL HOTEL"/>
    <n v="0"/>
  </r>
  <r>
    <n v="273"/>
    <n v="26673"/>
    <d v="2025-04-30T00:00:00"/>
    <d v="2025-05-05T00:00:00"/>
    <s v="EUR"/>
    <n v="337.35"/>
    <n v="337.35"/>
    <d v="2025-06-19T00:00:00"/>
    <x v="6"/>
    <n v="6"/>
    <x v="1"/>
    <s v="URSO HOTEL AND SPA"/>
    <n v="0"/>
  </r>
  <r>
    <n v="275"/>
    <n v="27486"/>
    <d v="2025-06-02T00:00:00"/>
    <d v="2025-06-04T00:00:00"/>
    <s v="EUR"/>
    <n v="480"/>
    <n v="480"/>
    <d v="2025-07-19T00:00:00"/>
    <x v="7"/>
    <n v="7"/>
    <x v="1"/>
    <s v="MANDARIN ORIENTAL, PARIS HOTEL"/>
    <n v="0"/>
  </r>
  <r>
    <n v="278"/>
    <n v="25904"/>
    <d v="2025-11-12T00:00:00"/>
    <d v="2025-11-25T00:00:00"/>
    <s v="USD"/>
    <n v="257.92"/>
    <n v="221.81120000000001"/>
    <d v="2026-01-09T00:00:00"/>
    <x v="1"/>
    <n v="1"/>
    <x v="2"/>
    <s v="FOUR SEASONS HOTEL TOKYO AT OTEMACHI"/>
    <n v="0"/>
  </r>
  <r>
    <n v="287"/>
    <n v="27547"/>
    <d v="2025-06-26T00:00:00"/>
    <d v="2025-06-28T00:00:00"/>
    <s v="EUR"/>
    <n v="72.5"/>
    <n v="72.5"/>
    <d v="2025-08-12T00:00:00"/>
    <x v="8"/>
    <n v="8"/>
    <x v="1"/>
    <s v="HOTEL LIAUTAUD CASSIS"/>
    <n v="0"/>
  </r>
  <r>
    <n v="287"/>
    <n v="27554"/>
    <d v="2025-07-05T00:00:00"/>
    <d v="2025-07-10T00:00:00"/>
    <s v="EUR"/>
    <n v="201.05"/>
    <n v="201.05"/>
    <d v="2025-08-24T00:00:00"/>
    <x v="8"/>
    <n v="8"/>
    <x v="1"/>
    <s v="HOTEL LORD BYRON"/>
    <n v="0"/>
  </r>
  <r>
    <n v="295"/>
    <n v="25372"/>
    <d v="2025-07-16T00:00:00"/>
    <d v="2025-08-01T00:00:00"/>
    <s v="USD"/>
    <n v="6752.1"/>
    <n v="5806.8060000000005"/>
    <d v="2025-09-15T00:00:00"/>
    <x v="10"/>
    <n v="9"/>
    <x v="1"/>
    <s v="Queen Of Clubs Lifestyle Luxury Services LTD"/>
    <n v="0"/>
  </r>
  <r>
    <n v="295"/>
    <n v="25372"/>
    <d v="2025-07-16T00:00:00"/>
    <d v="2025-08-01T00:00:00"/>
    <s v="USD"/>
    <n v="7715.82"/>
    <n v="6635.6052"/>
    <d v="2025-09-15T00:00:00"/>
    <x v="10"/>
    <n v="9"/>
    <x v="1"/>
    <s v="Queen Of Clubs Lifestyle Luxury Services LTD"/>
    <n v="0"/>
  </r>
  <r>
    <n v="295"/>
    <n v="25372"/>
    <d v="2025-07-29T00:00:00"/>
    <d v="2025-08-29T00:00:00"/>
    <s v="USD"/>
    <n v="1905.17"/>
    <n v="1638.4462000000001"/>
    <d v="2025-10-13T00:00:00"/>
    <x v="9"/>
    <n v="10"/>
    <x v="1"/>
    <s v="Queen Of Clubs Lifestyle Luxury Services LTD"/>
    <n v="0"/>
  </r>
  <r>
    <n v="295"/>
    <n v="25372"/>
    <d v="2025-07-16T00:00:00"/>
    <d v="2025-08-01T00:00:00"/>
    <s v="USD"/>
    <n v="1099.82"/>
    <n v="945.84519999999998"/>
    <d v="2025-09-15T00:00:00"/>
    <x v="10"/>
    <n v="9"/>
    <x v="1"/>
    <s v="Queen Of Clubs Lifestyle Luxury Services LTD"/>
    <n v="0"/>
  </r>
  <r>
    <n v="329"/>
    <n v="28064"/>
    <d v="2025-10-23T00:00:00"/>
    <d v="2025-10-25T00:00:00"/>
    <s v="USD"/>
    <n v="1011.14"/>
    <n v="869.58039999999994"/>
    <d v="2025-12-09T00:00:00"/>
    <x v="0"/>
    <n v="12"/>
    <x v="1"/>
    <s v="HOTEL ESENCIA"/>
    <n v="0"/>
  </r>
  <r>
    <n v="342"/>
    <n v="27931"/>
    <d v="2025-07-06T00:00:00"/>
    <d v="2025-07-07T00:00:00"/>
    <s v="MXN"/>
    <n v="599.69000000000005"/>
    <n v="28.785120000000003"/>
    <d v="2025-08-21T00:00:00"/>
    <x v="8"/>
    <n v="8"/>
    <x v="1"/>
    <s v="Bedsonline"/>
    <n v="0"/>
  </r>
  <r>
    <n v="364"/>
    <n v="24989"/>
    <d v="2025-05-31T00:00:00"/>
    <d v="2025-06-01T00:00:00"/>
    <s v="USD"/>
    <n v="27.03"/>
    <n v="23.245799999999999"/>
    <d v="2025-07-16T00:00:00"/>
    <x v="7"/>
    <n v="7"/>
    <x v="1"/>
    <s v="HYATT CENTRIC KANAZAWA"/>
    <n v="0"/>
  </r>
  <r>
    <n v="367"/>
    <n v="27364"/>
    <d v="2025-06-17T00:00:00"/>
    <d v="2025-06-30T00:00:00"/>
    <s v="MXN"/>
    <n v="302.24"/>
    <n v="14.507520000000001"/>
    <d v="2025-08-14T00:00:00"/>
    <x v="8"/>
    <n v="8"/>
    <x v="1"/>
    <s v="ASIANA AIRLINES"/>
    <n v="0"/>
  </r>
  <r>
    <n v="367"/>
    <n v="24399"/>
    <d v="2025-06-17T00:00:00"/>
    <d v="2025-06-30T00:00:00"/>
    <s v="MXN"/>
    <n v="220.48"/>
    <n v="10.58304"/>
    <d v="2025-08-14T00:00:00"/>
    <x v="8"/>
    <n v="8"/>
    <x v="1"/>
    <s v="Ethiopian Airlines"/>
    <n v="0"/>
  </r>
  <r>
    <n v="378"/>
    <n v="30728"/>
    <d v="2025-09-01T00:00:00"/>
    <d v="2025-09-04T00:00:00"/>
    <s v="USD"/>
    <n v="220"/>
    <n v="189.2"/>
    <d v="2025-10-19T00:00:00"/>
    <x v="9"/>
    <n v="10"/>
    <x v="1"/>
    <s v="MATTERI YACHT CLUB"/>
    <n v="0"/>
  </r>
  <r>
    <n v="378"/>
    <n v="25780"/>
    <d v="2025-09-01T00:00:00"/>
    <d v="2025-09-01T00:00:00"/>
    <s v="USD"/>
    <n v="61.35"/>
    <n v="52.761000000000003"/>
    <d v="2025-10-16T00:00:00"/>
    <x v="9"/>
    <n v="10"/>
    <x v="1"/>
    <s v="ROLZO"/>
    <n v="0"/>
  </r>
  <r>
    <n v="388"/>
    <n v="28454"/>
    <d v="2025-11-06T00:00:00"/>
    <d v="2025-11-09T00:00:00"/>
    <s v="USD"/>
    <n v="229.02"/>
    <n v="196.9572"/>
    <d v="2025-12-24T00:00:00"/>
    <x v="0"/>
    <n v="12"/>
    <x v="1"/>
    <s v="FOUR SEASONS HOTEL BANGKOK AT CHAO PHRAYA RIVER"/>
    <n v="0"/>
  </r>
  <r>
    <n v="389"/>
    <n v="28454"/>
    <d v="2025-11-06T00:00:00"/>
    <d v="2025-11-09T00:00:00"/>
    <s v="USD"/>
    <n v="229.02"/>
    <n v="196.9572"/>
    <d v="2025-12-24T00:00:00"/>
    <x v="0"/>
    <n v="12"/>
    <x v="1"/>
    <s v="FOUR SEASONS HOTEL BANGKOK AT CHAO PHRAYA RIVER"/>
    <n v="0"/>
  </r>
  <r>
    <n v="391"/>
    <n v="28454"/>
    <d v="2025-11-06T00:00:00"/>
    <d v="2025-11-09T00:00:00"/>
    <s v="USD"/>
    <n v="229.02"/>
    <n v="196.9572"/>
    <d v="2025-12-24T00:00:00"/>
    <x v="0"/>
    <n v="12"/>
    <x v="1"/>
    <s v="FOUR SEASONS HOTEL BANGKOK AT CHAO PHRAYA RIVER"/>
    <n v="0"/>
  </r>
  <r>
    <n v="392"/>
    <n v="24989"/>
    <d v="2025-12-29T00:00:00"/>
    <d v="2025-12-30T00:00:00"/>
    <s v="USD"/>
    <n v="78.5"/>
    <n v="67.510000000000005"/>
    <d v="2026-02-13T00:00:00"/>
    <x v="2"/>
    <n v="2"/>
    <x v="2"/>
    <s v="HYATT CENTRIC KANAZAWA"/>
    <n v="0"/>
  </r>
  <r>
    <n v="392"/>
    <n v="23362"/>
    <d v="2026-01-04T00:00:00"/>
    <d v="2026-01-07T00:00:00"/>
    <s v="USD"/>
    <n v="1867.01"/>
    <n v="1605.6286"/>
    <d v="2026-02-21T00:00:00"/>
    <x v="2"/>
    <n v="2"/>
    <x v="2"/>
    <s v="SKIUSA SKI TRAVEL EXPERT TOUR OPERATOR"/>
    <n v="0"/>
  </r>
  <r>
    <n v="406"/>
    <n v="29215"/>
    <d v="2025-07-01T00:00:00"/>
    <d v="2025-07-05T00:00:00"/>
    <s v="USD"/>
    <n v="1037.2"/>
    <n v="891.99200000000008"/>
    <d v="2025-08-19T00:00:00"/>
    <x v="8"/>
    <n v="8"/>
    <x v="1"/>
    <s v="MACAKIZI BODRUM"/>
    <n v="0"/>
  </r>
  <r>
    <n v="409"/>
    <n v="28497"/>
    <d v="2025-07-27T00:00:00"/>
    <d v="2025-07-28T00:00:00"/>
    <s v="USD"/>
    <n v="230.49"/>
    <n v="198.22140000000002"/>
    <d v="2025-09-11T00:00:00"/>
    <x v="10"/>
    <n v="9"/>
    <x v="1"/>
    <s v="FOUR SEASONS HOTEL DES BERGUES"/>
    <n v="0"/>
  </r>
  <r>
    <n v="409"/>
    <n v="28497"/>
    <d v="2025-07-27T00:00:00"/>
    <d v="2025-07-28T00:00:00"/>
    <s v="USD"/>
    <n v="196"/>
    <n v="168.56"/>
    <d v="2025-09-11T00:00:00"/>
    <x v="10"/>
    <n v="9"/>
    <x v="1"/>
    <s v="FOUR SEASONS HOTEL DES BERGUES"/>
    <n v="0"/>
  </r>
  <r>
    <n v="415"/>
    <n v="27364"/>
    <d v="2025-06-17T00:00:00"/>
    <d v="2025-06-30T00:00:00"/>
    <s v="USD"/>
    <n v="254.9"/>
    <n v="219.214"/>
    <d v="2025-08-14T00:00:00"/>
    <x v="8"/>
    <n v="8"/>
    <x v="1"/>
    <s v="ASIANA AIRLINES"/>
    <n v="0"/>
  </r>
  <r>
    <n v="424"/>
    <n v="29689"/>
    <d v="2025-08-28T00:00:00"/>
    <d v="2025-09-07T00:00:00"/>
    <s v="EUR"/>
    <n v="5362.55"/>
    <n v="5362.55"/>
    <d v="2025-10-22T00:00:00"/>
    <x v="9"/>
    <n v="10"/>
    <x v="1"/>
    <s v="HOTEL LA PALMA"/>
    <n v="0"/>
  </r>
  <r>
    <n v="428"/>
    <n v="28420"/>
    <d v="2025-10-01T00:00:00"/>
    <d v="2025-10-05T00:00:00"/>
    <s v="EUR"/>
    <n v="63.8"/>
    <n v="63.8"/>
    <d v="2025-11-19T00:00:00"/>
    <x v="11"/>
    <n v="11"/>
    <x v="1"/>
    <s v="SIXT MÉXICO"/>
    <n v="0"/>
  </r>
  <r>
    <n v="435"/>
    <n v="27937"/>
    <d v="2025-07-16T00:00:00"/>
    <d v="2025-07-20T00:00:00"/>
    <s v="USD"/>
    <n v="800.84"/>
    <n v="688.72239999999999"/>
    <d v="2025-09-03T00:00:00"/>
    <x v="10"/>
    <n v="9"/>
    <x v="1"/>
    <s v="J.K. PLACE ROMA"/>
    <n v="0"/>
  </r>
  <r>
    <n v="445"/>
    <n v="28996"/>
    <d v="2026-01-01T00:00:00"/>
    <d v="2026-01-05T00:00:00"/>
    <s v="USD"/>
    <n v="3475.73"/>
    <n v="2989.1277999999998"/>
    <d v="2026-02-19T00:00:00"/>
    <x v="2"/>
    <n v="2"/>
    <x v="2"/>
    <s v="AMAN VILLAS AT NUSA DUA"/>
    <n v="0"/>
  </r>
  <r>
    <n v="445"/>
    <n v="26070"/>
    <d v="2025-12-19T00:00:00"/>
    <d v="2025-12-22T00:00:00"/>
    <s v="USD"/>
    <n v="609.9"/>
    <n v="524.51400000000001"/>
    <d v="2026-02-05T00:00:00"/>
    <x v="2"/>
    <n v="2"/>
    <x v="2"/>
    <s v="FOUR SEASONS HOTEL SEOUL"/>
    <n v="0"/>
  </r>
  <r>
    <n v="445"/>
    <n v="25057"/>
    <d v="2025-12-24T00:00:00"/>
    <d v="2025-12-28T00:00:00"/>
    <s v="USD"/>
    <n v="1407.3"/>
    <n v="1210.278"/>
    <d v="2026-02-11T00:00:00"/>
    <x v="2"/>
    <n v="2"/>
    <x v="2"/>
    <s v="HOTEL THE MITSUI KYOTO"/>
    <n v="0"/>
  </r>
  <r>
    <n v="445"/>
    <n v="25022"/>
    <d v="2025-12-28T00:00:00"/>
    <d v="2026-01-01T00:00:00"/>
    <s v="USD"/>
    <n v="1808.4"/>
    <n v="1555.2240000000002"/>
    <d v="2026-02-15T00:00:00"/>
    <x v="2"/>
    <n v="2"/>
    <x v="2"/>
    <s v="THE PENINSULA TOKYO"/>
    <n v="0"/>
  </r>
  <r>
    <n v="445"/>
    <n v="25022"/>
    <d v="2026-01-12T00:00:00"/>
    <d v="2026-01-13T00:00:00"/>
    <s v="USD"/>
    <n v="246.6"/>
    <n v="212.07599999999999"/>
    <d v="2026-02-27T00:00:00"/>
    <x v="2"/>
    <n v="2"/>
    <x v="2"/>
    <s v="THE PENINSULA TOKYO"/>
    <n v="0"/>
  </r>
  <r>
    <n v="445"/>
    <n v="30499"/>
    <d v="2026-01-22T00:00:00"/>
    <d v="2026-01-24T00:00:00"/>
    <s v="USD"/>
    <n v="357.8"/>
    <n v="307.70800000000003"/>
    <d v="2026-03-10T00:00:00"/>
    <x v="4"/>
    <n v="3"/>
    <x v="2"/>
    <s v="CAPELLA TAIPEI HOTEL"/>
    <n v="0"/>
  </r>
  <r>
    <n v="450"/>
    <n v="24263"/>
    <d v="2025-11-10T00:00:00"/>
    <d v="2025-11-17T00:00:00"/>
    <s v="USD"/>
    <n v="200"/>
    <n v="172"/>
    <d v="2026-01-01T00:00:00"/>
    <x v="1"/>
    <n v="1"/>
    <x v="2"/>
    <s v="Turkish Airlines"/>
    <n v="0"/>
  </r>
  <r>
    <n v="452"/>
    <n v="28890"/>
    <d v="2025-12-18T00:00:00"/>
    <d v="2025-12-29T00:00:00"/>
    <s v="USD"/>
    <n v="145.6"/>
    <n v="125.21599999999999"/>
    <d v="2026-02-12T00:00:00"/>
    <x v="2"/>
    <n v="2"/>
    <x v="2"/>
    <s v="LA CONCHA RESORT AUTOGRAPH COLLECTION"/>
    <n v="0"/>
  </r>
  <r>
    <n v="455"/>
    <n v="28894"/>
    <d v="2026-04-25T00:00:00"/>
    <d v="2026-05-04T00:00:00"/>
    <s v="USD"/>
    <n v="1998"/>
    <n v="1718.28"/>
    <d v="2026-06-18T00:00:00"/>
    <x v="6"/>
    <n v="6"/>
    <x v="2"/>
    <s v="Explora Journeys"/>
    <n v="0"/>
  </r>
  <r>
    <n v="455"/>
    <n v="28894"/>
    <d v="2026-04-25T00:00:00"/>
    <d v="2026-05-04T00:00:00"/>
    <s v="USD"/>
    <n v="1998"/>
    <n v="1718.28"/>
    <d v="2026-06-18T00:00:00"/>
    <x v="6"/>
    <n v="6"/>
    <x v="2"/>
    <s v="Explora Journeys"/>
    <n v="0"/>
  </r>
  <r>
    <n v="462"/>
    <n v="26070"/>
    <d v="2025-10-27T00:00:00"/>
    <d v="2025-10-31T00:00:00"/>
    <s v="USD"/>
    <n v="281.7"/>
    <n v="242.262"/>
    <d v="2025-12-15T00:00:00"/>
    <x v="0"/>
    <n v="12"/>
    <x v="1"/>
    <s v="FOUR SEASONS HOTEL SEOUL"/>
    <n v="0"/>
  </r>
  <r>
    <n v="462"/>
    <n v="29026"/>
    <d v="2025-10-31T00:00:00"/>
    <d v="2025-11-03T00:00:00"/>
    <s v="USD"/>
    <n v="184.6"/>
    <n v="158.756"/>
    <d v="2025-12-18T00:00:00"/>
    <x v="0"/>
    <n v="12"/>
    <x v="1"/>
    <s v="PARK HYATT KYOTO"/>
    <n v="0"/>
  </r>
  <r>
    <n v="462"/>
    <n v="28389"/>
    <d v="2025-11-03T00:00:00"/>
    <d v="2025-11-07T00:00:00"/>
    <s v="USD"/>
    <n v="227.2"/>
    <n v="195.392"/>
    <d v="2025-12-22T00:00:00"/>
    <x v="0"/>
    <n v="12"/>
    <x v="1"/>
    <s v="ROSEWOOD HONG KONG"/>
    <n v="0"/>
  </r>
  <r>
    <n v="462"/>
    <n v="30692"/>
    <d v="2025-11-07T00:00:00"/>
    <d v="2025-11-09T00:00:00"/>
    <s v="USD"/>
    <n v="56.1"/>
    <n v="48.246000000000002"/>
    <d v="2025-12-24T00:00:00"/>
    <x v="0"/>
    <n v="12"/>
    <x v="1"/>
    <s v="SOFITEL LEGEND METROPOLE HANOI"/>
    <n v="0"/>
  </r>
  <r>
    <n v="462"/>
    <n v="34235"/>
    <d v="2025-11-09T00:00:00"/>
    <d v="2025-11-11T00:00:00"/>
    <s v="USD"/>
    <n v="136.1"/>
    <n v="117.04599999999999"/>
    <d v="2025-12-26T00:00:00"/>
    <x v="0"/>
    <n v="12"/>
    <x v="1"/>
    <s v="Four Seasons The Nam Hai"/>
    <n v="0"/>
  </r>
  <r>
    <n v="462"/>
    <n v="28496"/>
    <d v="2025-11-11T00:00:00"/>
    <d v="2025-11-14T00:00:00"/>
    <s v="USD"/>
    <n v="192.9"/>
    <n v="165.89400000000001"/>
    <d v="2025-12-29T00:00:00"/>
    <x v="0"/>
    <n v="12"/>
    <x v="1"/>
    <s v="BULGARI HOTEL SHANGHAI"/>
    <n v="0"/>
  </r>
  <r>
    <n v="468"/>
    <n v="28494"/>
    <d v="2025-11-03T00:00:00"/>
    <d v="2025-11-05T00:00:00"/>
    <s v="USD"/>
    <n v="938.88"/>
    <n v="807.43679999999995"/>
    <d v="2025-12-20T00:00:00"/>
    <x v="0"/>
    <n v="12"/>
    <x v="1"/>
    <s v="AIRELLES CHATEAU DE VERSAILLES, LE GRAND CONTROLE"/>
    <n v="0"/>
  </r>
  <r>
    <n v="475"/>
    <n v="29081"/>
    <d v="2025-07-08T00:00:00"/>
    <d v="2025-07-10T00:00:00"/>
    <s v="USD"/>
    <n v="134.33000000000001"/>
    <n v="115.52380000000001"/>
    <d v="2025-08-24T00:00:00"/>
    <x v="8"/>
    <n v="8"/>
    <x v="1"/>
    <s v="PARK LANE HOTEL NEW YORK"/>
    <n v="0"/>
  </r>
  <r>
    <n v="475"/>
    <n v="29081"/>
    <d v="2025-07-08T00:00:00"/>
    <d v="2025-07-10T00:00:00"/>
    <s v="USD"/>
    <n v="165.93"/>
    <n v="142.69980000000001"/>
    <d v="2025-08-24T00:00:00"/>
    <x v="8"/>
    <n v="8"/>
    <x v="1"/>
    <s v="PARK LANE HOTEL NEW YORK"/>
    <n v="0"/>
  </r>
  <r>
    <n v="475"/>
    <n v="29081"/>
    <d v="2025-07-07T00:00:00"/>
    <d v="2025-07-08T00:00:00"/>
    <s v="USD"/>
    <n v="55.71"/>
    <n v="47.910600000000002"/>
    <d v="2025-08-22T00:00:00"/>
    <x v="8"/>
    <n v="8"/>
    <x v="1"/>
    <s v="PARK LANE HOTEL NEW YORK"/>
    <n v="0"/>
  </r>
  <r>
    <n v="475"/>
    <n v="29081"/>
    <d v="2025-07-07T00:00:00"/>
    <d v="2025-07-08T00:00:00"/>
    <s v="USD"/>
    <n v="55.71"/>
    <n v="47.910600000000002"/>
    <d v="2025-08-22T00:00:00"/>
    <x v="8"/>
    <n v="8"/>
    <x v="1"/>
    <s v="PARK LANE HOTEL NEW YORK"/>
    <n v="0"/>
  </r>
  <r>
    <n v="482"/>
    <n v="23527"/>
    <d v="2025-07-12T00:00:00"/>
    <d v="2025-07-13T00:00:00"/>
    <s v="EUR"/>
    <n v="130"/>
    <n v="130"/>
    <d v="2025-08-27T00:00:00"/>
    <x v="8"/>
    <n v="8"/>
    <x v="1"/>
    <s v="PORTRAIT MILANO HOTEL LUNGARNO COLLECTION"/>
    <n v="0"/>
  </r>
  <r>
    <n v="482"/>
    <n v="23527"/>
    <d v="2025-07-12T00:00:00"/>
    <d v="2025-07-13T00:00:00"/>
    <s v="EUR"/>
    <n v="130"/>
    <n v="130"/>
    <d v="2025-08-27T00:00:00"/>
    <x v="8"/>
    <n v="8"/>
    <x v="1"/>
    <s v="PORTRAIT MILANO HOTEL LUNGARNO COLLECTION"/>
    <n v="0"/>
  </r>
  <r>
    <n v="486"/>
    <n v="27858"/>
    <d v="2025-07-28T00:00:00"/>
    <d v="2025-07-31T00:00:00"/>
    <s v="EUR"/>
    <n v="600"/>
    <n v="600"/>
    <d v="2025-09-14T00:00:00"/>
    <x v="10"/>
    <n v="9"/>
    <x v="1"/>
    <s v="GRAND HOTEL A VILLA FELTRINELLI"/>
    <n v="0"/>
  </r>
  <r>
    <n v="486"/>
    <n v="24825"/>
    <d v="2025-07-31T00:00:00"/>
    <d v="2025-08-03T00:00:00"/>
    <s v="EUR"/>
    <n v="240"/>
    <n v="240"/>
    <d v="2025-09-17T00:00:00"/>
    <x v="10"/>
    <n v="9"/>
    <x v="1"/>
    <s v="THE PENINSULA ISTANBUL"/>
    <n v="0"/>
  </r>
  <r>
    <n v="486"/>
    <n v="29215"/>
    <d v="2025-08-03T00:00:00"/>
    <d v="2025-08-07T00:00:00"/>
    <s v="EUR"/>
    <n v="520"/>
    <n v="520"/>
    <d v="2025-09-21T00:00:00"/>
    <x v="10"/>
    <n v="9"/>
    <x v="1"/>
    <s v="MACAKIZI BODRUM"/>
    <n v="0"/>
  </r>
  <r>
    <n v="490"/>
    <n v="29220"/>
    <d v="2025-07-27T00:00:00"/>
    <d v="2025-07-29T00:00:00"/>
    <s v="USD"/>
    <n v="264.8"/>
    <n v="227.72800000000001"/>
    <d v="2025-09-12T00:00:00"/>
    <x v="10"/>
    <n v="9"/>
    <x v="1"/>
    <s v="FALSLED KRO RELAIS AND CHATEAUX"/>
    <n v="0"/>
  </r>
  <r>
    <n v="498"/>
    <n v="25372"/>
    <d v="2025-07-12T00:00:00"/>
    <d v="2025-07-17T00:00:00"/>
    <s v="GPB"/>
    <n v="177.92"/>
    <n v="204.60799999999998"/>
    <d v="2025-08-31T00:00:00"/>
    <x v="8"/>
    <n v="8"/>
    <x v="1"/>
    <s v="Queen Of Clubs Lifestyle Luxury Services LTD"/>
    <n v="0"/>
  </r>
  <r>
    <n v="500"/>
    <n v="29469"/>
    <d v="2025-10-09T00:00:00"/>
    <d v="2025-10-11T00:00:00"/>
    <s v="EUR"/>
    <n v="116.36"/>
    <n v="116.36"/>
    <d v="2025-11-25T00:00:00"/>
    <x v="11"/>
    <n v="11"/>
    <x v="1"/>
    <s v="d´Estournel"/>
    <n v="0"/>
  </r>
  <r>
    <n v="501"/>
    <n v="29251"/>
    <d v="2026-03-30T00:00:00"/>
    <d v="2026-04-04T00:00:00"/>
    <s v="USD"/>
    <n v="1149"/>
    <n v="988.14"/>
    <d v="2026-05-19T00:00:00"/>
    <x v="3"/>
    <n v="5"/>
    <x v="2"/>
    <s v="THE TOKYO EDITION TORANOMON"/>
    <n v="0"/>
  </r>
  <r>
    <n v="509"/>
    <n v="27105"/>
    <d v="2025-08-14T00:00:00"/>
    <d v="2025-08-17T00:00:00"/>
    <s v="USD"/>
    <n v="238.9"/>
    <n v="205.45400000000001"/>
    <d v="2025-10-01T00:00:00"/>
    <x v="9"/>
    <n v="10"/>
    <x v="1"/>
    <s v="THE PENINSULA CHICAGO"/>
    <n v="0"/>
  </r>
  <r>
    <n v="515"/>
    <n v="28783"/>
    <d v="2024-12-27T00:00:00"/>
    <d v="2025-01-02T00:00:00"/>
    <s v="EUR"/>
    <n v="881.66"/>
    <n v="881.66"/>
    <d v="2025-02-16T00:00:00"/>
    <x v="2"/>
    <n v="2"/>
    <x v="1"/>
    <s v="LE REFUGE DE SOLAISE"/>
    <n v="0"/>
  </r>
  <r>
    <n v="516"/>
    <n v="28783"/>
    <d v="2024-12-27T00:00:00"/>
    <d v="2025-01-02T00:00:00"/>
    <s v="EUR"/>
    <n v="629.76"/>
    <n v="629.76"/>
    <d v="2025-02-16T00:00:00"/>
    <x v="2"/>
    <n v="2"/>
    <x v="1"/>
    <s v="LE REFUGE DE SOLAISE"/>
    <n v="0"/>
  </r>
  <r>
    <n v="525"/>
    <n v="30616"/>
    <d v="2025-10-06T00:00:00"/>
    <d v="2025-10-09T00:00:00"/>
    <s v="USD"/>
    <n v="84.77"/>
    <n v="72.902199999999993"/>
    <d v="2025-11-23T00:00:00"/>
    <x v="11"/>
    <n v="11"/>
    <x v="1"/>
    <s v="GRACE HOTEL, AUBERGE COLLECTION"/>
    <n v="0"/>
  </r>
  <r>
    <n v="525"/>
    <n v="30616"/>
    <d v="2025-10-19T00:00:00"/>
    <d v="2025-10-22T00:00:00"/>
    <s v="USD"/>
    <n v="79.94"/>
    <n v="68.748400000000004"/>
    <d v="2025-12-06T00:00:00"/>
    <x v="0"/>
    <n v="12"/>
    <x v="1"/>
    <s v="GRACE HOTEL, AUBERGE COLLECTION"/>
    <n v="0"/>
  </r>
  <r>
    <n v="528"/>
    <n v="29512"/>
    <d v="2025-12-25T00:00:00"/>
    <d v="2025-12-30T00:00:00"/>
    <s v="USD"/>
    <n v="465"/>
    <n v="399.9"/>
    <d v="2026-02-13T00:00:00"/>
    <x v="2"/>
    <n v="2"/>
    <x v="2"/>
    <s v="CASA DE CAMPO RESORT AND VILLAS"/>
    <n v="0"/>
  </r>
  <r>
    <n v="529"/>
    <n v="29839"/>
    <d v="2025-07-28T00:00:00"/>
    <d v="2025-07-30T00:00:00"/>
    <s v="CHF"/>
    <n v="216"/>
    <n v="231.12"/>
    <d v="2025-09-13T00:00:00"/>
    <x v="10"/>
    <n v="9"/>
    <x v="1"/>
    <s v="BAUR AU LAC"/>
    <n v="0"/>
  </r>
  <r>
    <n v="537"/>
    <n v="29688"/>
    <d v="2025-09-15T00:00:00"/>
    <d v="2025-09-30T00:00:00"/>
    <s v="EUR"/>
    <n v="112.36"/>
    <n v="112.36"/>
    <d v="2025-11-14T00:00:00"/>
    <x v="11"/>
    <n v="11"/>
    <x v="1"/>
    <s v="TABLET HOTELS"/>
    <n v="0"/>
  </r>
  <r>
    <n v="537"/>
    <n v="29687"/>
    <d v="2025-09-18T00:00:00"/>
    <d v="2025-09-19T00:00:00"/>
    <s v="EUR"/>
    <n v="28.04"/>
    <n v="28.04"/>
    <d v="2025-11-03T00:00:00"/>
    <x v="11"/>
    <n v="11"/>
    <x v="1"/>
    <s v="CAPPUCCINA COUNTRY RESORT"/>
    <n v="0"/>
  </r>
  <r>
    <n v="537"/>
    <n v="29688"/>
    <d v="2025-09-22T00:00:00"/>
    <d v="2025-09-24T00:00:00"/>
    <s v="EUR"/>
    <n v="68.09"/>
    <n v="68.09"/>
    <d v="2025-11-08T00:00:00"/>
    <x v="11"/>
    <n v="11"/>
    <x v="1"/>
    <s v="TABLET HOTELS"/>
    <n v="0"/>
  </r>
  <r>
    <n v="537"/>
    <n v="28420"/>
    <d v="2025-09-24T00:00:00"/>
    <d v="2025-09-24T00:00:00"/>
    <s v="EUR"/>
    <n v="13.62"/>
    <n v="13.62"/>
    <d v="2025-11-08T00:00:00"/>
    <x v="11"/>
    <n v="11"/>
    <x v="1"/>
    <s v="SIXT MÉXICO"/>
    <n v="0"/>
  </r>
  <r>
    <n v="537"/>
    <n v="28420"/>
    <d v="2025-09-18T00:00:00"/>
    <d v="2025-09-20T00:00:00"/>
    <s v="EUR"/>
    <n v="29.07"/>
    <n v="29.07"/>
    <d v="2025-11-04T00:00:00"/>
    <x v="11"/>
    <n v="11"/>
    <x v="1"/>
    <s v="SIXT MÉXICO"/>
    <n v="0"/>
  </r>
  <r>
    <n v="540"/>
    <n v="25372"/>
    <d v="2025-08-01T00:00:00"/>
    <d v="2025-08-02T00:00:00"/>
    <s v="USD"/>
    <n v="854.66"/>
    <n v="735.00759999999991"/>
    <d v="2025-09-16T00:00:00"/>
    <x v="10"/>
    <n v="9"/>
    <x v="1"/>
    <s v="Queen Of Clubs Lifestyle Luxury Services LTD"/>
    <n v="0"/>
  </r>
  <r>
    <n v="548"/>
    <n v="25372"/>
    <d v="2025-07-20T00:00:00"/>
    <d v="2025-07-27T00:00:00"/>
    <s v="EUR"/>
    <n v="4842.7"/>
    <n v="4842.7"/>
    <d v="2025-09-10T00:00:00"/>
    <x v="10"/>
    <n v="9"/>
    <x v="1"/>
    <s v="Queen Of Clubs Lifestyle Luxury Services LTD"/>
    <n v="0"/>
  </r>
  <r>
    <n v="549"/>
    <n v="25372"/>
    <d v="2025-07-17T00:00:00"/>
    <d v="2025-07-20T00:00:00"/>
    <s v="CHF"/>
    <n v="3291"/>
    <n v="3521.3700000000003"/>
    <d v="2025-09-03T00:00:00"/>
    <x v="10"/>
    <n v="9"/>
    <x v="1"/>
    <s v="Queen Of Clubs Lifestyle Luxury Services LTD"/>
    <n v="0"/>
  </r>
  <r>
    <n v="552"/>
    <n v="30434"/>
    <d v="2026-01-01T00:00:00"/>
    <d v="2026-01-04T00:00:00"/>
    <s v="USD"/>
    <n v="308"/>
    <n v="264.88"/>
    <d v="2026-02-18T00:00:00"/>
    <x v="2"/>
    <n v="2"/>
    <x v="2"/>
    <s v="WELLINGTON HOTEL &amp; SPA MADRID"/>
    <n v="0"/>
  </r>
  <r>
    <n v="560"/>
    <n v="30110"/>
    <d v="2025-08-16T00:00:00"/>
    <d v="2025-08-18T00:00:00"/>
    <s v="GPB"/>
    <n v="138"/>
    <n v="158.69999999999999"/>
    <d v="2025-10-02T00:00:00"/>
    <x v="9"/>
    <n v="10"/>
    <x v="1"/>
    <s v="THE NEWT IN SOMERSET"/>
    <n v="0"/>
  </r>
  <r>
    <n v="561"/>
    <n v="27195"/>
    <d v="2025-10-12T00:00:00"/>
    <d v="2025-10-15T00:00:00"/>
    <s v="MXN"/>
    <n v="3686.05"/>
    <n v="176.93040000000002"/>
    <d v="2025-11-29T00:00:00"/>
    <x v="11"/>
    <n v="11"/>
    <x v="1"/>
    <s v="CROSSING MANZONI"/>
    <n v="0"/>
  </r>
  <r>
    <n v="563"/>
    <n v="30165"/>
    <d v="2025-09-26T00:00:00"/>
    <d v="2025-09-28T00:00:00"/>
    <s v="USD"/>
    <n v="348"/>
    <n v="299.27999999999997"/>
    <d v="2025-11-12T00:00:00"/>
    <x v="11"/>
    <n v="11"/>
    <x v="1"/>
    <s v="FOUR SEASONS HOTEL BOSTON"/>
    <n v="0"/>
  </r>
  <r>
    <n v="563"/>
    <n v="30165"/>
    <d v="2025-09-26T00:00:00"/>
    <d v="2025-09-28T00:00:00"/>
    <s v="USD"/>
    <n v="411"/>
    <n v="353.46"/>
    <d v="2025-11-12T00:00:00"/>
    <x v="11"/>
    <n v="11"/>
    <x v="1"/>
    <s v="FOUR SEASONS HOTEL BOSTON"/>
    <n v="0"/>
  </r>
  <r>
    <n v="566"/>
    <n v="28282"/>
    <d v="2025-10-21T00:00:00"/>
    <d v="2025-10-22T00:00:00"/>
    <s v="MXN"/>
    <n v="353.47"/>
    <n v="16.966560000000001"/>
    <d v="2025-12-06T00:00:00"/>
    <x v="0"/>
    <n v="12"/>
    <x v="1"/>
    <s v="GRAND HYATT INCHEON"/>
    <n v="0"/>
  </r>
  <r>
    <n v="566"/>
    <n v="25057"/>
    <d v="2025-10-12T00:00:00"/>
    <d v="2025-10-15T00:00:00"/>
    <s v="MXN"/>
    <n v="9001.4699999999993"/>
    <n v="432.07056"/>
    <d v="2025-11-29T00:00:00"/>
    <x v="11"/>
    <n v="11"/>
    <x v="1"/>
    <s v="HOTEL THE MITSUI KYOTO"/>
    <n v="0"/>
  </r>
  <r>
    <n v="566"/>
    <n v="30859"/>
    <d v="2025-10-17T00:00:00"/>
    <d v="2025-10-21T00:00:00"/>
    <s v="MXN"/>
    <n v="11146.29"/>
    <n v="535.02192000000002"/>
    <d v="2025-12-05T00:00:00"/>
    <x v="0"/>
    <n v="12"/>
    <x v="1"/>
    <s v="THE TOKYO EDITION GINZA"/>
    <n v="0"/>
  </r>
  <r>
    <n v="566"/>
    <n v="25053"/>
    <d v="2025-10-15T00:00:00"/>
    <d v="2025-10-17T00:00:00"/>
    <s v="MXN"/>
    <n v="5009.24"/>
    <n v="240.44352000000001"/>
    <d v="2025-12-01T00:00:00"/>
    <x v="0"/>
    <n v="12"/>
    <x v="1"/>
    <s v="THE RITZ CARLTON NIKKO"/>
    <n v="0"/>
  </r>
  <r>
    <n v="566"/>
    <n v="26070"/>
    <d v="2025-10-07T00:00:00"/>
    <d v="2025-10-08T00:00:00"/>
    <s v="MXN"/>
    <n v="1156.01"/>
    <n v="55.488480000000003"/>
    <d v="2025-11-22T00:00:00"/>
    <x v="11"/>
    <n v="11"/>
    <x v="1"/>
    <s v="FOUR SEASONS HOTEL SEOUL"/>
    <n v="0"/>
  </r>
  <r>
    <n v="574"/>
    <n v="30222"/>
    <d v="2025-12-05T00:00:00"/>
    <d v="2025-12-10T00:00:00"/>
    <s v="USD"/>
    <n v="747.5"/>
    <n v="642.85"/>
    <d v="2026-01-24T00:00:00"/>
    <x v="1"/>
    <n v="1"/>
    <x v="2"/>
    <s v="THE CARLYLE A ROSEWOOD HOTEL"/>
    <n v="0"/>
  </r>
  <r>
    <n v="577"/>
    <n v="29081"/>
    <d v="2025-08-04T00:00:00"/>
    <d v="2025-08-08T00:00:00"/>
    <s v="USD"/>
    <n v="433.48"/>
    <n v="372.7928"/>
    <d v="2025-09-22T00:00:00"/>
    <x v="10"/>
    <n v="9"/>
    <x v="1"/>
    <s v="PARK LANE HOTEL NEW YORK"/>
    <n v="0"/>
  </r>
  <r>
    <n v="577"/>
    <n v="29081"/>
    <d v="2025-08-04T00:00:00"/>
    <d v="2025-08-08T00:00:00"/>
    <s v="USD"/>
    <n v="433.48"/>
    <n v="372.7928"/>
    <d v="2025-09-22T00:00:00"/>
    <x v="10"/>
    <n v="9"/>
    <x v="1"/>
    <s v="PARK LANE HOTEL NEW YORK"/>
    <n v="0"/>
  </r>
  <r>
    <n v="577"/>
    <n v="29081"/>
    <d v="2025-08-02T00:00:00"/>
    <d v="2025-08-09T00:00:00"/>
    <s v="USD"/>
    <n v="668.75"/>
    <n v="575.125"/>
    <d v="2025-09-23T00:00:00"/>
    <x v="10"/>
    <n v="9"/>
    <x v="1"/>
    <s v="PARK LANE HOTEL NEW YORK"/>
    <n v="0"/>
  </r>
  <r>
    <n v="584"/>
    <n v="26593"/>
    <d v="2025-06-25T00:00:00"/>
    <d v="2025-06-29T00:00:00"/>
    <s v="USD"/>
    <n v="538.84"/>
    <n v="463.4024"/>
    <d v="2025-08-13T00:00:00"/>
    <x v="8"/>
    <n v="8"/>
    <x v="1"/>
    <s v="THE BALMORAL, A ROCCO FORTE HOTEL"/>
    <n v="0"/>
  </r>
  <r>
    <n v="584"/>
    <n v="26593"/>
    <d v="2025-06-25T00:00:00"/>
    <d v="2025-06-29T00:00:00"/>
    <s v="USD"/>
    <n v="215.1"/>
    <n v="184.98599999999999"/>
    <d v="2025-08-13T00:00:00"/>
    <x v="8"/>
    <n v="8"/>
    <x v="1"/>
    <s v="THE BALMORAL, A ROCCO FORTE HOTEL"/>
    <n v="0"/>
  </r>
  <r>
    <n v="584"/>
    <n v="26593"/>
    <d v="2025-06-25T00:00:00"/>
    <d v="2025-06-29T00:00:00"/>
    <s v="USD"/>
    <n v="108.16"/>
    <n v="93.017600000000002"/>
    <d v="2025-08-13T00:00:00"/>
    <x v="8"/>
    <n v="8"/>
    <x v="1"/>
    <s v="THE BALMORAL, A ROCCO FORTE HOTEL"/>
    <n v="0"/>
  </r>
  <r>
    <n v="585"/>
    <n v="28420"/>
    <d v="2025-11-20T00:00:00"/>
    <d v="2025-11-23T00:00:00"/>
    <s v="MXN"/>
    <n v="1832.95"/>
    <n v="87.9816"/>
    <d v="2026-01-07T00:00:00"/>
    <x v="1"/>
    <n v="1"/>
    <x v="2"/>
    <s v="SIXT MÉXICO"/>
    <n v="0"/>
  </r>
  <r>
    <n v="591"/>
    <n v="29081"/>
    <d v="2025-07-08T00:00:00"/>
    <d v="2025-07-10T00:00:00"/>
    <s v="USD"/>
    <n v="189.44"/>
    <n v="162.91839999999999"/>
    <d v="2025-08-24T00:00:00"/>
    <x v="8"/>
    <n v="8"/>
    <x v="1"/>
    <s v="PARK LANE HOTEL NEW YORK"/>
    <n v="0"/>
  </r>
  <r>
    <n v="591"/>
    <n v="29081"/>
    <d v="2025-07-07T00:00:00"/>
    <d v="2025-07-08T00:00:00"/>
    <s v="USD"/>
    <n v="64.28"/>
    <n v="55.280799999999999"/>
    <d v="2025-08-22T00:00:00"/>
    <x v="8"/>
    <n v="8"/>
    <x v="1"/>
    <s v="PARK LANE HOTEL NEW YORK"/>
    <n v="0"/>
  </r>
  <r>
    <n v="591"/>
    <n v="29081"/>
    <d v="2025-07-07T00:00:00"/>
    <d v="2025-07-08T00:00:00"/>
    <s v="USD"/>
    <n v="64.28"/>
    <n v="55.280799999999999"/>
    <d v="2025-08-22T00:00:00"/>
    <x v="8"/>
    <n v="8"/>
    <x v="1"/>
    <s v="PARK LANE HOTEL NEW YORK"/>
    <n v="0"/>
  </r>
  <r>
    <n v="592"/>
    <n v="30138"/>
    <d v="2025-08-31T00:00:00"/>
    <d v="2025-09-03T00:00:00"/>
    <s v="USD"/>
    <n v="303.44"/>
    <n v="260.95839999999998"/>
    <d v="2025-10-18T00:00:00"/>
    <x v="9"/>
    <n v="10"/>
    <x v="1"/>
    <s v="THE RITZ CARLTON LAKE TAHOE"/>
    <n v="0"/>
  </r>
  <r>
    <n v="600"/>
    <n v="27195"/>
    <d v="2025-10-12T00:00:00"/>
    <d v="2025-10-15T00:00:00"/>
    <s v="USD"/>
    <n v="156.06"/>
    <n v="134.2116"/>
    <d v="2025-11-29T00:00:00"/>
    <x v="11"/>
    <n v="11"/>
    <x v="1"/>
    <s v="CROSSING MANZONI"/>
    <n v="0"/>
  </r>
  <r>
    <n v="601"/>
    <n v="29146"/>
    <d v="2025-08-31T00:00:00"/>
    <d v="2025-09-01T00:00:00"/>
    <s v="CHF"/>
    <n v="296.24"/>
    <n v="316.97680000000003"/>
    <d v="2025-10-16T00:00:00"/>
    <x v="9"/>
    <n v="10"/>
    <x v="1"/>
    <s v="THE WOODWARD AUBERGE COLLECTION"/>
    <n v="0"/>
  </r>
  <r>
    <n v="604"/>
    <n v="30500"/>
    <d v="2025-08-09T00:00:00"/>
    <d v="2025-08-11T00:00:00"/>
    <s v="EUR"/>
    <n v="142.5"/>
    <n v="142.5"/>
    <d v="2025-09-25T00:00:00"/>
    <x v="10"/>
    <n v="9"/>
    <x v="1"/>
    <s v="MAJESTIC HOTEL AND SPA BARCELONA"/>
    <n v="0"/>
  </r>
  <r>
    <n v="604"/>
    <n v="30500"/>
    <d v="2025-08-25T00:00:00"/>
    <d v="2025-08-26T00:00:00"/>
    <s v="EUR"/>
    <n v="52.64"/>
    <n v="52.64"/>
    <d v="2025-10-10T00:00:00"/>
    <x v="9"/>
    <n v="10"/>
    <x v="1"/>
    <s v="MAJESTIC HOTEL AND SPA BARCELONA"/>
    <n v="0"/>
  </r>
  <r>
    <n v="608"/>
    <n v="27647"/>
    <d v="2025-09-07T00:00:00"/>
    <d v="2025-09-10T00:00:00"/>
    <s v="EUR"/>
    <n v="739.5"/>
    <n v="739.5"/>
    <d v="2025-10-25T00:00:00"/>
    <x v="9"/>
    <n v="10"/>
    <x v="1"/>
    <s v="FOUR SEASONS HOTEL FIRENZE"/>
    <n v="0"/>
  </r>
  <r>
    <n v="610"/>
    <n v="25704"/>
    <d v="2025-09-28T00:00:00"/>
    <d v="2025-10-01T00:00:00"/>
    <s v="USD"/>
    <n v="376.76"/>
    <n v="324.0136"/>
    <d v="2025-11-15T00:00:00"/>
    <x v="11"/>
    <n v="11"/>
    <x v="1"/>
    <s v="ROSEWOOD VIENNA"/>
    <n v="0"/>
  </r>
  <r>
    <n v="613"/>
    <n v="28531"/>
    <d v="2025-10-22T00:00:00"/>
    <d v="2025-11-02T00:00:00"/>
    <s v="USD"/>
    <n v="3727.65"/>
    <n v="3205.779"/>
    <d v="2025-12-17T00:00:00"/>
    <x v="0"/>
    <n v="12"/>
    <x v="1"/>
    <s v="NAO TRAVEL COLLECTION"/>
    <n v="0"/>
  </r>
  <r>
    <n v="614"/>
    <n v="27931"/>
    <d v="2025-09-18T00:00:00"/>
    <d v="2025-09-26T00:00:00"/>
    <s v="USD"/>
    <n v="1028.29"/>
    <n v="884.32939999999996"/>
    <d v="2025-11-10T00:00:00"/>
    <x v="11"/>
    <n v="11"/>
    <x v="1"/>
    <s v="Bedsonline"/>
    <n v="0"/>
  </r>
  <r>
    <n v="614"/>
    <n v="30572"/>
    <d v="2025-09-18T00:00:00"/>
    <d v="2025-09-26T00:00:00"/>
    <s v="USD"/>
    <n v="27.74"/>
    <n v="23.856399999999997"/>
    <d v="2025-11-10T00:00:00"/>
    <x v="11"/>
    <n v="11"/>
    <x v="1"/>
    <s v="Rail Europe"/>
    <n v="0"/>
  </r>
  <r>
    <n v="618"/>
    <n v="25247"/>
    <d v="2025-08-28T00:00:00"/>
    <d v="2025-09-01T00:00:00"/>
    <s v="EUR"/>
    <n v="192"/>
    <n v="192"/>
    <d v="2025-10-16T00:00:00"/>
    <x v="9"/>
    <n v="10"/>
    <x v="1"/>
    <s v="HOTEL FOUGERE"/>
    <n v="0"/>
  </r>
  <r>
    <n v="619"/>
    <n v="29006"/>
    <d v="2025-06-24T00:00:00"/>
    <d v="2025-06-25T00:00:00"/>
    <s v="GPB"/>
    <n v="107.2"/>
    <n v="123.27999999999999"/>
    <d v="2025-08-09T00:00:00"/>
    <x v="8"/>
    <n v="8"/>
    <x v="1"/>
    <s v="ROSEWOOD LONDON"/>
    <n v="0"/>
  </r>
  <r>
    <n v="623"/>
    <n v="30500"/>
    <d v="2025-08-25T00:00:00"/>
    <d v="2025-08-26T00:00:00"/>
    <s v="EUR"/>
    <n v="59.55"/>
    <n v="59.55"/>
    <d v="2025-10-10T00:00:00"/>
    <x v="9"/>
    <n v="10"/>
    <x v="1"/>
    <s v="MAJESTIC HOTEL AND SPA BARCELONA"/>
    <n v="0"/>
  </r>
  <r>
    <n v="625"/>
    <n v="28350"/>
    <d v="2025-10-30T00:00:00"/>
    <d v="2025-11-03T00:00:00"/>
    <s v="JPY"/>
    <n v="37973.5"/>
    <n v="208.85424999999998"/>
    <d v="2025-12-18T00:00:00"/>
    <x v="0"/>
    <n v="12"/>
    <x v="1"/>
    <s v="FOUR SEASONS HOTEL OSAKA"/>
    <n v="0"/>
  </r>
  <r>
    <n v="627"/>
    <n v="30623"/>
    <d v="2025-09-28T00:00:00"/>
    <d v="2025-10-01T00:00:00"/>
    <s v="GPB"/>
    <n v="123.03"/>
    <n v="141.4845"/>
    <d v="2025-11-15T00:00:00"/>
    <x v="11"/>
    <n v="11"/>
    <x v="1"/>
    <s v="THE MAYFAIR TOWNHOUSE"/>
    <n v="0"/>
  </r>
  <r>
    <n v="628"/>
    <n v="30327"/>
    <d v="2025-09-13T00:00:00"/>
    <d v="2025-09-15T00:00:00"/>
    <s v="USD"/>
    <n v="25.03"/>
    <n v="21.5258"/>
    <d v="2025-10-30T00:00:00"/>
    <x v="9"/>
    <n v="10"/>
    <x v="1"/>
    <s v="HOTEL DE LA CITÉ ROYALE RESTAURANT AND SPA"/>
    <n v="0"/>
  </r>
  <r>
    <n v="628"/>
    <n v="30327"/>
    <d v="2025-09-12T00:00:00"/>
    <d v="2025-09-13T00:00:00"/>
    <s v="USD"/>
    <n v="12.88"/>
    <n v="11.0768"/>
    <d v="2025-10-28T00:00:00"/>
    <x v="9"/>
    <n v="10"/>
    <x v="1"/>
    <s v="HOTEL DE LA CITÉ ROYALE RESTAURANT AND SPA"/>
    <n v="0"/>
  </r>
  <r>
    <n v="632"/>
    <n v="27261"/>
    <d v="2025-07-21T00:00:00"/>
    <d v="2025-07-30T00:00:00"/>
    <s v="EUR"/>
    <n v="1500"/>
    <n v="1500"/>
    <d v="2025-09-13T00:00:00"/>
    <x v="10"/>
    <n v="9"/>
    <x v="1"/>
    <s v="Ace Hotel Kyoto"/>
    <n v="0"/>
  </r>
  <r>
    <n v="637"/>
    <n v="28300"/>
    <d v="2025-09-14T00:00:00"/>
    <d v="2025-09-15T00:00:00"/>
    <s v="EUR"/>
    <n v="105.35"/>
    <n v="105.35"/>
    <d v="2025-10-30T00:00:00"/>
    <x v="9"/>
    <n v="10"/>
    <x v="1"/>
    <s v="CARLTON CANNES, A REGENT HOTEL"/>
    <n v="0"/>
  </r>
  <r>
    <n v="638"/>
    <n v="28512"/>
    <d v="2025-07-31T00:00:00"/>
    <d v="2025-08-03T00:00:00"/>
    <s v="EUR"/>
    <n v="375"/>
    <n v="375"/>
    <d v="2025-09-17T00:00:00"/>
    <x v="10"/>
    <n v="9"/>
    <x v="1"/>
    <s v="MANDARIN ORIENTAL RITZ MADRID"/>
    <n v="0"/>
  </r>
  <r>
    <n v="638"/>
    <n v="28512"/>
    <d v="2025-07-31T00:00:00"/>
    <d v="2025-08-03T00:00:00"/>
    <s v="EUR"/>
    <n v="515.35"/>
    <n v="515.35"/>
    <d v="2025-09-17T00:00:00"/>
    <x v="10"/>
    <n v="9"/>
    <x v="1"/>
    <s v="MANDARIN ORIENTAL RITZ MADRID"/>
    <n v="0"/>
  </r>
  <r>
    <n v="640"/>
    <n v="25780"/>
    <d v="2025-09-01T00:00:00"/>
    <d v="2025-09-01T00:00:00"/>
    <s v="EUR"/>
    <n v="69.400000000000006"/>
    <n v="69.400000000000006"/>
    <d v="2025-10-16T00:00:00"/>
    <x v="9"/>
    <n v="10"/>
    <x v="1"/>
    <s v="ROLZO"/>
    <n v="0"/>
  </r>
  <r>
    <n v="643"/>
    <n v="30703"/>
    <d v="2025-11-03T00:00:00"/>
    <d v="2025-11-08T00:00:00"/>
    <s v="JPY"/>
    <n v="120000"/>
    <n v="660"/>
    <d v="2025-12-23T00:00:00"/>
    <x v="0"/>
    <n v="12"/>
    <x v="1"/>
    <s v="SOWAKA KYOTO"/>
    <n v="0"/>
  </r>
  <r>
    <n v="644"/>
    <n v="30697"/>
    <d v="2025-05-25T00:00:00"/>
    <d v="2025-08-29T00:00:00"/>
    <s v="USD"/>
    <n v="286.61"/>
    <n v="246.4846"/>
    <d v="2025-10-13T00:00:00"/>
    <x v="9"/>
    <n v="10"/>
    <x v="1"/>
    <s v="PALACIO COPACABANA"/>
    <n v="0"/>
  </r>
  <r>
    <n v="645"/>
    <n v="30702"/>
    <d v="2025-05-12T00:00:00"/>
    <d v="2025-05-16T00:00:00"/>
    <s v="USD"/>
    <n v="256.64"/>
    <n v="220.71039999999999"/>
    <d v="2025-06-30T00:00:00"/>
    <x v="6"/>
    <n v="6"/>
    <x v="1"/>
    <s v="NAYARA ALTO ATACAMA DESERT"/>
    <n v="0"/>
  </r>
  <r>
    <n v="646"/>
    <n v="30691"/>
    <d v="2025-05-23T00:00:00"/>
    <d v="2025-08-25T00:00:00"/>
    <s v="USD"/>
    <n v="201.72"/>
    <n v="173.47919999999999"/>
    <d v="2025-10-09T00:00:00"/>
    <x v="9"/>
    <n v="10"/>
    <x v="1"/>
    <s v="HOTEL DAS CATARATAS, A BELMOND HOTEL, IGUASSU FALLS"/>
    <n v="0"/>
  </r>
  <r>
    <n v="647"/>
    <n v="28913"/>
    <d v="2025-05-19T00:00:00"/>
    <d v="2025-05-23T00:00:00"/>
    <s v="USD"/>
    <n v="120"/>
    <n v="103.2"/>
    <d v="2025-07-07T00:00:00"/>
    <x v="7"/>
    <n v="7"/>
    <x v="1"/>
    <s v="CASA LUCIA MEMBER OF MELIA COLLECTION"/>
    <n v="0"/>
  </r>
  <r>
    <n v="648"/>
    <n v="25364"/>
    <d v="2026-03-13T00:00:00"/>
    <d v="2026-03-16T00:00:00"/>
    <s v="JPY"/>
    <n v="41000"/>
    <n v="225.5"/>
    <d v="2026-04-30T00:00:00"/>
    <x v="5"/>
    <n v="4"/>
    <x v="2"/>
    <s v="Ritz nikko"/>
    <n v="0"/>
  </r>
  <r>
    <n v="648"/>
    <n v="25014"/>
    <d v="2026-03-16T00:00:00"/>
    <d v="2026-03-19T00:00:00"/>
    <s v="JPY"/>
    <n v="75000"/>
    <n v="412.5"/>
    <d v="2026-05-03T00:00:00"/>
    <x v="3"/>
    <n v="5"/>
    <x v="2"/>
    <s v="JANU TOKYO"/>
    <n v="0"/>
  </r>
  <r>
    <n v="648"/>
    <n v="30690"/>
    <d v="2026-03-19T00:00:00"/>
    <d v="2026-03-22T00:00:00"/>
    <s v="JPY"/>
    <n v="68655"/>
    <n v="377.60249999999996"/>
    <d v="2026-05-06T00:00:00"/>
    <x v="3"/>
    <n v="5"/>
    <x v="2"/>
    <s v="FOUR SEASONS HOTEL KYOTO"/>
    <n v="0"/>
  </r>
  <r>
    <n v="648"/>
    <n v="28350"/>
    <d v="2026-03-22T00:00:00"/>
    <d v="2026-03-24T00:00:00"/>
    <s v="JPY"/>
    <n v="25024"/>
    <n v="137.63200000000001"/>
    <d v="2026-05-08T00:00:00"/>
    <x v="3"/>
    <n v="5"/>
    <x v="2"/>
    <s v="FOUR SEASONS HOTEL OSAKA"/>
    <n v="0"/>
  </r>
  <r>
    <n v="648"/>
    <n v="25904"/>
    <d v="2026-03-24T00:00:00"/>
    <d v="2026-03-26T00:00:00"/>
    <s v="JPY"/>
    <n v="55579.4"/>
    <n v="305.68669999999997"/>
    <d v="2026-05-10T00:00:00"/>
    <x v="3"/>
    <n v="5"/>
    <x v="2"/>
    <s v="FOUR SEASONS HOTEL TOKYO AT OTEMACHI"/>
    <n v="0"/>
  </r>
  <r>
    <n v="649"/>
    <n v="30619"/>
    <d v="2026-01-05T00:00:00"/>
    <d v="2026-01-07T00:00:00"/>
    <s v="USD"/>
    <n v="264"/>
    <n v="227.04"/>
    <d v="2026-02-21T00:00:00"/>
    <x v="2"/>
    <n v="2"/>
    <x v="2"/>
    <s v="ROSEWOOD LUANG PRABANG"/>
    <n v="0"/>
  </r>
  <r>
    <n v="649"/>
    <n v="30698"/>
    <d v="2026-01-18T00:00:00"/>
    <d v="2026-01-22T00:00:00"/>
    <s v="USD"/>
    <n v="193.73"/>
    <n v="166.6078"/>
    <d v="2026-03-08T00:00:00"/>
    <x v="4"/>
    <n v="3"/>
    <x v="2"/>
    <s v="HILTON NISEKO VILLAGE"/>
    <n v="0"/>
  </r>
  <r>
    <n v="649"/>
    <n v="30693"/>
    <d v="2026-01-15T00:00:00"/>
    <d v="2026-01-17T00:00:00"/>
    <s v="USD"/>
    <n v="150"/>
    <n v="129"/>
    <d v="2026-03-03T00:00:00"/>
    <x v="4"/>
    <n v="3"/>
    <x v="2"/>
    <s v="ALILA VILLAS ULUWATU"/>
    <n v="0"/>
  </r>
  <r>
    <n v="649"/>
    <n v="30692"/>
    <d v="2026-01-07T00:00:00"/>
    <d v="2026-01-09T00:00:00"/>
    <s v="USD"/>
    <n v="86.18"/>
    <n v="74.114800000000002"/>
    <d v="2026-02-23T00:00:00"/>
    <x v="2"/>
    <n v="2"/>
    <x v="2"/>
    <s v="SOFITEL LEGEND METROPOLE HANOI"/>
    <n v="0"/>
  </r>
  <r>
    <n v="649"/>
    <n v="25907"/>
    <d v="2026-01-22T00:00:00"/>
    <d v="2026-01-24T00:00:00"/>
    <s v="USD"/>
    <n v="107.82"/>
    <n v="92.725199999999987"/>
    <d v="2026-03-10T00:00:00"/>
    <x v="4"/>
    <n v="3"/>
    <x v="2"/>
    <s v="THE OKURA TOKYO"/>
    <n v="0"/>
  </r>
  <r>
    <n v="649"/>
    <n v="33515"/>
    <d v="2026-01-18T00:00:00"/>
    <d v="2026-01-22T00:00:00"/>
    <s v="USD"/>
    <n v="104.12"/>
    <n v="89.543199999999999"/>
    <d v="2026-03-08T00:00:00"/>
    <x v="4"/>
    <n v="3"/>
    <x v="2"/>
    <s v="PARK HYATT NISEKO HANAZONO"/>
    <n v="0"/>
  </r>
  <r>
    <n v="653"/>
    <n v="30723"/>
    <d v="2026-05-11T00:00:00"/>
    <d v="2026-05-12T00:00:00"/>
    <s v="USD"/>
    <n v="26"/>
    <n v="22.36"/>
    <d v="2026-06-26T00:00:00"/>
    <x v="6"/>
    <n v="6"/>
    <x v="2"/>
    <s v="EL SINGULAR SANTIAGO HOTEL LASTARRIA"/>
    <n v="0"/>
  </r>
  <r>
    <n v="654"/>
    <n v="30721"/>
    <d v="2026-05-16T00:00:00"/>
    <d v="2026-05-19T00:00:00"/>
    <s v="USD"/>
    <n v="193.5"/>
    <n v="166.41"/>
    <d v="2026-07-03T00:00:00"/>
    <x v="7"/>
    <n v="7"/>
    <x v="2"/>
    <s v="THE VINES RESORT &amp; SPA"/>
    <n v="0"/>
  </r>
  <r>
    <n v="663"/>
    <n v="30808"/>
    <d v="2025-12-20T00:00:00"/>
    <d v="2025-12-27T00:00:00"/>
    <s v="EUR"/>
    <n v="40000"/>
    <n v="40000"/>
    <d v="2026-02-10T00:00:00"/>
    <x v="2"/>
    <n v="2"/>
    <x v="2"/>
    <s v="Les Airelles Courchevel"/>
    <n v="0"/>
  </r>
  <r>
    <n v="665"/>
    <n v="30812"/>
    <d v="2025-06-07T00:00:00"/>
    <d v="2025-06-12T00:00:00"/>
    <s v="USD"/>
    <n v="322.5"/>
    <n v="277.35000000000002"/>
    <d v="2025-07-27T00:00:00"/>
    <x v="7"/>
    <n v="7"/>
    <x v="1"/>
    <s v="MEADOWOOD NAPA VALLEY"/>
    <n v="0"/>
  </r>
  <r>
    <n v="667"/>
    <n v="30831"/>
    <d v="2025-10-21T00:00:00"/>
    <d v="2025-10-25T00:00:00"/>
    <s v="USD"/>
    <n v="822.8"/>
    <n v="707.60799999999995"/>
    <d v="2025-12-09T00:00:00"/>
    <x v="0"/>
    <n v="12"/>
    <x v="1"/>
    <s v="AMANWANA"/>
    <n v="0"/>
  </r>
  <r>
    <n v="671"/>
    <n v="27487"/>
    <d v="2026-05-01T00:00:00"/>
    <d v="2026-05-05T00:00:00"/>
    <s v="USD"/>
    <n v="598.5"/>
    <n v="514.71"/>
    <d v="2026-06-19T00:00:00"/>
    <x v="6"/>
    <n v="6"/>
    <x v="2"/>
    <s v="FOUR SEASONS RESORT PUNTA MITA"/>
    <n v="0"/>
  </r>
  <r>
    <n v="672"/>
    <n v="30953"/>
    <d v="2025-09-22T00:00:00"/>
    <d v="2025-09-24T00:00:00"/>
    <s v="EUR"/>
    <n v="336.74"/>
    <n v="336.74"/>
    <d v="2025-11-08T00:00:00"/>
    <x v="11"/>
    <n v="11"/>
    <x v="1"/>
    <s v="THE BOTREE HOTEL"/>
    <n v="0"/>
  </r>
  <r>
    <n v="672"/>
    <n v="30960"/>
    <d v="2025-09-29T00:00:00"/>
    <d v="2025-09-30T00:00:00"/>
    <s v="EUR"/>
    <n v="51.91"/>
    <n v="51.91"/>
    <d v="2025-11-14T00:00:00"/>
    <x v="11"/>
    <n v="11"/>
    <x v="1"/>
    <s v="MELIA MADRID SERRANO"/>
    <n v="0"/>
  </r>
  <r>
    <n v="673"/>
    <n v="30869"/>
    <d v="2026-05-30T00:00:00"/>
    <d v="2026-06-03T00:00:00"/>
    <s v="USD"/>
    <n v="178.84"/>
    <n v="153.80240000000001"/>
    <d v="2026-07-18T00:00:00"/>
    <x v="7"/>
    <n v="7"/>
    <x v="2"/>
    <s v="HAMARES BOUTIQUE HOTEL"/>
    <n v="0"/>
  </r>
  <r>
    <n v="674"/>
    <n v="30870"/>
    <d v="2026-05-29T00:00:00"/>
    <d v="2026-05-30T00:00:00"/>
    <s v="USD"/>
    <n v="79.849999999999994"/>
    <n v="68.670999999999992"/>
    <d v="2026-07-14T00:00:00"/>
    <x v="7"/>
    <n v="7"/>
    <x v="2"/>
    <s v="ROSEWOOD SAO PAULO"/>
    <n v="0"/>
  </r>
  <r>
    <n v="674"/>
    <n v="30870"/>
    <d v="2026-06-03T00:00:00"/>
    <d v="2026-06-06T00:00:00"/>
    <s v="USD"/>
    <n v="188.9"/>
    <n v="162.45400000000001"/>
    <d v="2026-07-21T00:00:00"/>
    <x v="7"/>
    <n v="7"/>
    <x v="2"/>
    <s v="ROSEWOOD SAO PAULO"/>
    <n v="0"/>
  </r>
  <r>
    <n v="680"/>
    <n v="30217"/>
    <d v="2025-11-12T00:00:00"/>
    <d v="2025-11-16T00:00:00"/>
    <s v="USD"/>
    <n v="287.8"/>
    <n v="247.50800000000001"/>
    <d v="2025-12-31T00:00:00"/>
    <x v="0"/>
    <n v="12"/>
    <x v="1"/>
    <s v="THE DOMINICK"/>
    <n v="0"/>
  </r>
  <r>
    <n v="685"/>
    <n v="27086"/>
    <d v="2025-09-27T00:00:00"/>
    <d v="2025-10-04T00:00:00"/>
    <s v="USD"/>
    <n v="3320"/>
    <n v="2855.2"/>
    <d v="2025-11-18T00:00:00"/>
    <x v="11"/>
    <n v="11"/>
    <x v="1"/>
    <s v="THE RITZ CARLTON YACHT COLLECTION"/>
    <n v="0"/>
  </r>
  <r>
    <n v="693"/>
    <n v="30988"/>
    <d v="2025-09-18T00:00:00"/>
    <d v="2025-09-22T00:00:00"/>
    <s v="EUR"/>
    <n v="638"/>
    <n v="638"/>
    <d v="2025-11-06T00:00:00"/>
    <x v="11"/>
    <n v="11"/>
    <x v="1"/>
    <s v="SIX SENSES ROME"/>
    <n v="0"/>
  </r>
  <r>
    <n v="696"/>
    <n v="28454"/>
    <d v="2025-11-06T00:00:00"/>
    <d v="2025-11-09T00:00:00"/>
    <s v="USD"/>
    <n v="245.26"/>
    <n v="210.92359999999999"/>
    <d v="2025-12-24T00:00:00"/>
    <x v="0"/>
    <n v="12"/>
    <x v="1"/>
    <s v="FOUR SEASONS HOTEL BANGKOK AT CHAO PHRAYA RIVER"/>
    <n v="0"/>
  </r>
  <r>
    <n v="702"/>
    <n v="25075"/>
    <d v="2025-11-01T00:00:00"/>
    <d v="2025-11-02T00:00:00"/>
    <s v="USD"/>
    <n v="43.9"/>
    <n v="37.753999999999998"/>
    <d v="2025-12-17T00:00:00"/>
    <x v="0"/>
    <n v="12"/>
    <x v="1"/>
    <s v="THE RITZ-CARLTON SANTIAGO"/>
    <n v="0"/>
  </r>
  <r>
    <n v="702"/>
    <n v="25075"/>
    <d v="2025-11-01T00:00:00"/>
    <d v="2025-11-02T00:00:00"/>
    <s v="USD"/>
    <n v="43.9"/>
    <n v="37.753999999999998"/>
    <d v="2025-12-17T00:00:00"/>
    <x v="0"/>
    <n v="12"/>
    <x v="1"/>
    <s v="THE RITZ-CARLTON SANTIAGO"/>
    <n v="0"/>
  </r>
  <r>
    <n v="702"/>
    <n v="25075"/>
    <d v="2025-11-01T00:00:00"/>
    <d v="2025-11-02T00:00:00"/>
    <s v="USD"/>
    <n v="43.9"/>
    <n v="37.753999999999998"/>
    <d v="2025-12-17T00:00:00"/>
    <x v="0"/>
    <n v="12"/>
    <x v="1"/>
    <s v="THE RITZ-CARLTON SANTIAGO"/>
    <n v="0"/>
  </r>
  <r>
    <n v="702"/>
    <n v="25075"/>
    <d v="2025-11-01T00:00:00"/>
    <d v="2025-11-02T00:00:00"/>
    <s v="USD"/>
    <n v="43.9"/>
    <n v="37.753999999999998"/>
    <d v="2025-12-17T00:00:00"/>
    <x v="0"/>
    <n v="12"/>
    <x v="1"/>
    <s v="THE RITZ-CARLTON SANTIAGO"/>
    <n v="0"/>
  </r>
  <r>
    <n v="705"/>
    <n v="31064"/>
    <d v="2025-04-08T00:00:00"/>
    <d v="2025-04-16T00:00:00"/>
    <s v="USD"/>
    <n v="568.11"/>
    <n v="488.57460000000003"/>
    <d v="2025-05-31T00:00:00"/>
    <x v="3"/>
    <n v="5"/>
    <x v="1"/>
    <s v="GRAND HOTEL SON NET"/>
    <n v="0"/>
  </r>
  <r>
    <n v="705"/>
    <n v="31064"/>
    <d v="2025-04-08T00:00:00"/>
    <d v="2025-04-16T00:00:00"/>
    <s v="USD"/>
    <n v="568.11"/>
    <n v="488.57460000000003"/>
    <d v="2025-05-31T00:00:00"/>
    <x v="3"/>
    <n v="5"/>
    <x v="1"/>
    <s v="GRAND HOTEL SON NET"/>
    <n v="0"/>
  </r>
  <r>
    <n v="707"/>
    <n v="30694"/>
    <d v="2025-01-16T00:00:00"/>
    <d v="2025-01-20T00:00:00"/>
    <s v="USD"/>
    <n v="2042.1"/>
    <n v="1756.2059999999999"/>
    <d v="2025-03-06T00:00:00"/>
    <x v="4"/>
    <n v="3"/>
    <x v="1"/>
    <s v="AMAN ROSA ALPINA"/>
    <n v="0"/>
  </r>
  <r>
    <n v="707"/>
    <n v="24242"/>
    <d v="2025-01-20T00:00:00"/>
    <d v="2025-01-22T00:00:00"/>
    <s v="USD"/>
    <n v="353.99"/>
    <n v="304.4314"/>
    <d v="2025-03-08T00:00:00"/>
    <x v="4"/>
    <n v="3"/>
    <x v="1"/>
    <s v="THE GRITTI PALACE"/>
    <n v="0"/>
  </r>
  <r>
    <n v="707"/>
    <n v="25364"/>
    <d v="2026-01-11T00:00:00"/>
    <d v="2026-01-12T00:00:00"/>
    <s v="USD"/>
    <n v="248.62"/>
    <n v="213.81319999999999"/>
    <d v="2026-02-26T00:00:00"/>
    <x v="2"/>
    <n v="2"/>
    <x v="2"/>
    <s v="Ritz nikko"/>
    <n v="0"/>
  </r>
  <r>
    <n v="707"/>
    <n v="25364"/>
    <d v="2026-01-22T00:00:00"/>
    <d v="2026-01-24T00:00:00"/>
    <s v="USD"/>
    <n v="828.74"/>
    <n v="712.71640000000002"/>
    <d v="2026-03-10T00:00:00"/>
    <x v="4"/>
    <n v="3"/>
    <x v="2"/>
    <s v="Ritz nikko"/>
    <n v="0"/>
  </r>
  <r>
    <n v="708"/>
    <n v="26070"/>
    <d v="2026-01-24T00:00:00"/>
    <d v="2026-01-28T00:00:00"/>
    <s v="USD"/>
    <n v="180.64"/>
    <n v="155.35039999999998"/>
    <d v="2026-03-14T00:00:00"/>
    <x v="4"/>
    <n v="3"/>
    <x v="2"/>
    <s v="FOUR SEASONS HOTEL SEOUL"/>
    <n v="0"/>
  </r>
  <r>
    <n v="710"/>
    <n v="25780"/>
    <d v="2025-09-19T00:00:00"/>
    <d v="2025-09-19T00:00:00"/>
    <s v="EUR"/>
    <n v="30"/>
    <n v="30"/>
    <d v="2025-11-03T00:00:00"/>
    <x v="11"/>
    <n v="11"/>
    <x v="1"/>
    <s v="ROLZO"/>
    <n v="0"/>
  </r>
  <r>
    <n v="710"/>
    <n v="25780"/>
    <d v="2025-09-29T00:00:00"/>
    <d v="2025-09-29T00:00:00"/>
    <s v="EUR"/>
    <n v="30"/>
    <n v="30"/>
    <d v="2025-11-13T00:00:00"/>
    <x v="11"/>
    <n v="11"/>
    <x v="1"/>
    <s v="ROLZO"/>
    <n v="0"/>
  </r>
  <r>
    <n v="720"/>
    <n v="28731"/>
    <d v="2025-08-01T00:00:00"/>
    <d v="2025-08-01T00:00:00"/>
    <s v="USD"/>
    <n v="0.5"/>
    <n v="0.43"/>
    <d v="2025-09-15T00:00:00"/>
    <x v="10"/>
    <n v="9"/>
    <x v="1"/>
    <s v="ASIA EXOTICA"/>
    <n v="0"/>
  </r>
  <r>
    <n v="720"/>
    <n v="26638"/>
    <d v="2025-08-01T00:00:00"/>
    <d v="2025-08-02T00:00:00"/>
    <s v="USD"/>
    <n v="50"/>
    <n v="43"/>
    <d v="2025-09-16T00:00:00"/>
    <x v="10"/>
    <n v="9"/>
    <x v="1"/>
    <s v="AJET"/>
    <n v="0"/>
  </r>
  <r>
    <n v="726"/>
    <n v="31065"/>
    <d v="2025-11-20T00:00:00"/>
    <d v="2025-11-24T00:00:00"/>
    <s v="USD"/>
    <n v="554"/>
    <n v="476.44"/>
    <d v="2026-01-08T00:00:00"/>
    <x v="1"/>
    <n v="1"/>
    <x v="2"/>
    <s v="ROSEWOOD MANSION ON TURTLE CREEK"/>
    <n v="0"/>
  </r>
  <r>
    <n v="726"/>
    <n v="27704"/>
    <d v="2025-11-20T00:00:00"/>
    <d v="2025-11-20T00:00:00"/>
    <s v="USD"/>
    <n v="15.34"/>
    <n v="13.192399999999999"/>
    <d v="2026-01-04T00:00:00"/>
    <x v="1"/>
    <n v="1"/>
    <x v="2"/>
    <s v="Blacklane"/>
    <n v="0"/>
  </r>
  <r>
    <n v="726"/>
    <n v="27704"/>
    <d v="2025-11-24T00:00:00"/>
    <d v="2025-11-24T00:00:00"/>
    <s v="USD"/>
    <n v="15.95"/>
    <n v="13.716999999999999"/>
    <d v="2026-01-08T00:00:00"/>
    <x v="1"/>
    <n v="1"/>
    <x v="2"/>
    <s v="Blacklane"/>
    <n v="0"/>
  </r>
  <r>
    <n v="727"/>
    <n v="25348"/>
    <d v="2025-11-29T00:00:00"/>
    <d v="2025-11-30T00:00:00"/>
    <s v="USD"/>
    <n v="139"/>
    <n v="119.53999999999999"/>
    <d v="2026-01-14T00:00:00"/>
    <x v="1"/>
    <n v="1"/>
    <x v="2"/>
    <s v="ARABIAN LUX"/>
    <n v="0"/>
  </r>
  <r>
    <n v="729"/>
    <n v="31084"/>
    <d v="2025-07-19T00:00:00"/>
    <d v="2025-07-28T00:00:00"/>
    <s v="USD"/>
    <n v="438.6"/>
    <n v="377.19600000000003"/>
    <d v="2025-09-11T00:00:00"/>
    <x v="10"/>
    <n v="9"/>
    <x v="1"/>
    <s v="HYATT UNION SQUARE NEW YORK"/>
    <n v="0"/>
  </r>
  <r>
    <n v="729"/>
    <n v="31084"/>
    <d v="2025-07-30T00:00:00"/>
    <d v="2025-08-19T00:00:00"/>
    <s v="USD"/>
    <n v="906.5"/>
    <n v="779.59"/>
    <d v="2025-10-03T00:00:00"/>
    <x v="9"/>
    <n v="10"/>
    <x v="1"/>
    <s v="HYATT UNION SQUARE NEW YORK"/>
    <n v="0"/>
  </r>
  <r>
    <n v="729"/>
    <n v="31084"/>
    <d v="2025-07-29T00:00:00"/>
    <d v="2025-08-03T00:00:00"/>
    <s v="USD"/>
    <n v="406.1"/>
    <n v="349.24600000000004"/>
    <d v="2025-09-17T00:00:00"/>
    <x v="10"/>
    <n v="9"/>
    <x v="1"/>
    <s v="HYATT UNION SQUARE NEW YORK"/>
    <n v="0"/>
  </r>
  <r>
    <n v="736"/>
    <n v="25372"/>
    <d v="2026-06-11T00:00:00"/>
    <d v="2026-07-11T00:00:00"/>
    <s v="USD"/>
    <n v="1390"/>
    <n v="1195.4000000000001"/>
    <d v="2026-08-25T00:00:00"/>
    <x v="8"/>
    <n v="8"/>
    <x v="2"/>
    <s v="Queen Of Clubs Lifestyle Luxury Services LTD"/>
    <n v="0"/>
  </r>
  <r>
    <n v="739"/>
    <n v="27195"/>
    <d v="2026-01-08T00:00:00"/>
    <d v="2026-01-11T00:00:00"/>
    <s v="EUR"/>
    <n v="282"/>
    <n v="282"/>
    <d v="2026-02-25T00:00:00"/>
    <x v="2"/>
    <n v="2"/>
    <x v="2"/>
    <s v="CROSSING MANZONI"/>
    <n v="0"/>
  </r>
  <r>
    <n v="739"/>
    <n v="29025"/>
    <d v="2026-01-11T00:00:00"/>
    <d v="2026-01-15T00:00:00"/>
    <s v="EUR"/>
    <n v="184.32"/>
    <n v="184.32"/>
    <d v="2026-03-01T00:00:00"/>
    <x v="4"/>
    <n v="3"/>
    <x v="2"/>
    <s v="LEFAY RESORT AND SPA DOLOMITI"/>
    <n v="0"/>
  </r>
  <r>
    <n v="739"/>
    <n v="28259"/>
    <d v="2026-01-15T00:00:00"/>
    <d v="2026-01-18T00:00:00"/>
    <s v="EUR"/>
    <n v="154.85"/>
    <n v="154.85"/>
    <d v="2026-03-04T00:00:00"/>
    <x v="4"/>
    <n v="3"/>
    <x v="2"/>
    <s v="HOTEL AUBEPINE"/>
    <n v="0"/>
  </r>
  <r>
    <n v="741"/>
    <n v="24878"/>
    <d v="2026-02-10T00:00:00"/>
    <d v="2026-02-17T00:00:00"/>
    <s v="CHF"/>
    <n v="2440.7600000000002"/>
    <n v="2611.6132000000002"/>
    <d v="2026-04-03T00:00:00"/>
    <x v="5"/>
    <n v="4"/>
    <x v="2"/>
    <s v="THE ALPINA GSTAAD"/>
    <n v="0"/>
  </r>
  <r>
    <n v="743"/>
    <n v="30616"/>
    <d v="2025-11-22T00:00:00"/>
    <d v="2025-11-26T00:00:00"/>
    <s v="USD"/>
    <n v="269.08"/>
    <n v="231.40879999999999"/>
    <d v="2026-01-10T00:00:00"/>
    <x v="1"/>
    <n v="1"/>
    <x v="2"/>
    <s v="GRACE HOTEL, AUBERGE COLLECTION"/>
    <n v="0"/>
  </r>
  <r>
    <n v="743"/>
    <n v="24239"/>
    <d v="2025-11-26T00:00:00"/>
    <d v="2025-11-29T00:00:00"/>
    <s v="USD"/>
    <n v="283.5"/>
    <n v="243.81"/>
    <d v="2026-01-13T00:00:00"/>
    <x v="1"/>
    <n v="1"/>
    <x v="2"/>
    <s v="UNITED PLACES HOTEL BOTANIC GARDENS"/>
    <n v="0"/>
  </r>
  <r>
    <n v="744"/>
    <n v="28243"/>
    <d v="2025-12-28T00:00:00"/>
    <d v="2025-12-29T00:00:00"/>
    <s v="USD"/>
    <n v="62.98"/>
    <n v="54.162799999999997"/>
    <d v="2026-02-12T00:00:00"/>
    <x v="2"/>
    <n v="2"/>
    <x v="2"/>
    <s v="ROSEWOOD HOTEL GEORGIA"/>
    <n v="0"/>
  </r>
  <r>
    <n v="744"/>
    <n v="28243"/>
    <d v="2025-12-28T00:00:00"/>
    <d v="2025-12-29T00:00:00"/>
    <s v="USD"/>
    <n v="62.98"/>
    <n v="54.162799999999997"/>
    <d v="2026-02-12T00:00:00"/>
    <x v="2"/>
    <n v="2"/>
    <x v="2"/>
    <s v="ROSEWOOD HOTEL GEORGIA"/>
    <n v="0"/>
  </r>
  <r>
    <n v="744"/>
    <n v="28243"/>
    <d v="2025-12-28T00:00:00"/>
    <d v="2025-12-29T00:00:00"/>
    <s v="USD"/>
    <n v="65.55"/>
    <n v="56.372999999999998"/>
    <d v="2026-02-12T00:00:00"/>
    <x v="2"/>
    <n v="2"/>
    <x v="2"/>
    <s v="ROSEWOOD HOTEL GEORGIA"/>
    <n v="0"/>
  </r>
  <r>
    <n v="746"/>
    <n v="31400"/>
    <d v="2026-03-28T00:00:00"/>
    <d v="2026-03-31T00:00:00"/>
    <s v="USD"/>
    <n v="118.39"/>
    <n v="101.8154"/>
    <d v="2026-05-15T00:00:00"/>
    <x v="3"/>
    <n v="5"/>
    <x v="2"/>
    <s v="HILTON GARDEN INN KYOTO SHIJO KARASUMA"/>
    <n v="0"/>
  </r>
  <r>
    <n v="746"/>
    <n v="31310"/>
    <d v="2026-04-17T00:00:00"/>
    <d v="2026-04-18T00:00:00"/>
    <s v="USD"/>
    <n v="37.630000000000003"/>
    <n v="32.361800000000002"/>
    <d v="2026-06-02T00:00:00"/>
    <x v="6"/>
    <n v="6"/>
    <x v="2"/>
    <s v="MITSUI GARDEN HOTEL GINZA-GOCHOME"/>
    <n v="0"/>
  </r>
  <r>
    <n v="746"/>
    <n v="31981"/>
    <d v="2026-03-31T00:00:00"/>
    <d v="2026-04-03T00:00:00"/>
    <s v="USD"/>
    <n v="126.98"/>
    <n v="109.2028"/>
    <d v="2026-05-18T00:00:00"/>
    <x v="3"/>
    <n v="5"/>
    <x v="2"/>
    <s v="FAIRMONT SINGAPORE"/>
    <n v="0"/>
  </r>
  <r>
    <n v="746"/>
    <n v="32367"/>
    <d v="2026-04-07T00:00:00"/>
    <d v="2026-04-08T00:00:00"/>
    <s v="USD"/>
    <n v="25.1"/>
    <n v="21.586000000000002"/>
    <d v="2026-05-23T00:00:00"/>
    <x v="3"/>
    <n v="5"/>
    <x v="2"/>
    <s v="JW Marriott Bangkok"/>
    <n v="0"/>
  </r>
  <r>
    <n v="746"/>
    <n v="31471"/>
    <d v="2026-04-10T00:00:00"/>
    <d v="2026-04-13T00:00:00"/>
    <s v="USD"/>
    <n v="482.9"/>
    <n v="415.29399999999998"/>
    <d v="2026-05-28T00:00:00"/>
    <x v="3"/>
    <n v="5"/>
    <x v="2"/>
    <s v="Premier Resorts &amp; Hotels Co.,Ltd."/>
    <n v="0"/>
  </r>
  <r>
    <n v="746"/>
    <n v="31473"/>
    <d v="2026-04-15T00:00:00"/>
    <d v="2026-04-17T00:00:00"/>
    <s v="USD"/>
    <n v="60.74"/>
    <n v="52.236400000000003"/>
    <d v="2026-06-01T00:00:00"/>
    <x v="6"/>
    <n v="6"/>
    <x v="2"/>
    <s v="INTERCONTINENTAL GRAND STANFORD HONG KONG BY IHG"/>
    <n v="0"/>
  </r>
  <r>
    <n v="746"/>
    <n v="31469"/>
    <d v="2026-04-08T00:00:00"/>
    <d v="2026-04-10T00:00:00"/>
    <s v="USD"/>
    <n v="43.87"/>
    <n v="37.728199999999994"/>
    <d v="2026-05-25T00:00:00"/>
    <x v="3"/>
    <n v="5"/>
    <x v="2"/>
    <s v="ANANTARA CHIANG MAI RESORT"/>
    <n v="0"/>
  </r>
  <r>
    <n v="751"/>
    <n v="31854"/>
    <d v="2025-11-19T00:00:00"/>
    <d v="2025-11-24T00:00:00"/>
    <s v="EUR"/>
    <n v="2432.5"/>
    <n v="2432.5"/>
    <d v="2026-01-08T00:00:00"/>
    <x v="1"/>
    <n v="1"/>
    <x v="2"/>
    <s v="FOUR SEASONS HOTEL PRAGUE"/>
    <n v="0"/>
  </r>
  <r>
    <n v="752"/>
    <n v="28934"/>
    <d v="2025-11-12T00:00:00"/>
    <d v="2025-11-12T00:00:00"/>
    <s v="MXN"/>
    <n v="2656.98"/>
    <n v="127.53504000000001"/>
    <d v="2025-12-27T00:00:00"/>
    <x v="0"/>
    <n v="12"/>
    <x v="1"/>
    <s v="F1S USA"/>
    <n v="0"/>
  </r>
  <r>
    <n v="752"/>
    <n v="28934"/>
    <d v="2025-11-12T00:00:00"/>
    <d v="2025-11-12T00:00:00"/>
    <s v="MXN"/>
    <n v="3685.5"/>
    <n v="176.904"/>
    <d v="2025-12-27T00:00:00"/>
    <x v="0"/>
    <n v="12"/>
    <x v="1"/>
    <s v="F1S USA"/>
    <n v="0"/>
  </r>
  <r>
    <n v="759"/>
    <n v="27086"/>
    <d v="2025-10-11T00:00:00"/>
    <d v="2025-10-18T00:00:00"/>
    <s v="USD"/>
    <n v="4940"/>
    <n v="4248.3999999999996"/>
    <d v="2025-12-02T00:00:00"/>
    <x v="0"/>
    <n v="12"/>
    <x v="1"/>
    <s v="THE RITZ CARLTON YACHT COLLECTION"/>
    <n v="0"/>
  </r>
  <r>
    <n v="759"/>
    <n v="24166"/>
    <d v="2025-10-18T00:00:00"/>
    <d v="2025-10-20T00:00:00"/>
    <s v="USD"/>
    <n v="747.8"/>
    <n v="643.10799999999995"/>
    <d v="2025-12-04T00:00:00"/>
    <x v="0"/>
    <n v="12"/>
    <x v="1"/>
    <s v="LE BRISTOL PARIS"/>
    <n v="0"/>
  </r>
  <r>
    <n v="759"/>
    <n v="25363"/>
    <d v="2025-10-20T00:00:00"/>
    <d v="2025-10-22T00:00:00"/>
    <s v="USD"/>
    <n v="381.94"/>
    <n v="328.46839999999997"/>
    <d v="2025-12-06T00:00:00"/>
    <x v="0"/>
    <n v="12"/>
    <x v="1"/>
    <s v="ROSEWOOD VILLA MAGNA"/>
    <n v="0"/>
  </r>
  <r>
    <n v="760"/>
    <n v="27086"/>
    <d v="2025-10-11T00:00:00"/>
    <d v="2025-10-18T00:00:00"/>
    <s v="USD"/>
    <n v="3060"/>
    <n v="2631.6"/>
    <d v="2025-12-02T00:00:00"/>
    <x v="0"/>
    <n v="12"/>
    <x v="1"/>
    <s v="THE RITZ CARLTON YACHT COLLECTION"/>
    <n v="0"/>
  </r>
  <r>
    <n v="765"/>
    <n v="31111"/>
    <d v="2025-12-08T00:00:00"/>
    <d v="2025-12-11T00:00:00"/>
    <s v="USD"/>
    <n v="31932.9"/>
    <n v="27462.294000000002"/>
    <d v="2026-01-25T00:00:00"/>
    <x v="1"/>
    <n v="1"/>
    <x v="2"/>
    <s v="GRAND VELAS RIVIERA NAYARIT"/>
    <n v="0"/>
  </r>
  <r>
    <n v="765"/>
    <n v="31111"/>
    <d v="2025-12-08T00:00:00"/>
    <d v="2025-12-11T00:00:00"/>
    <s v="USD"/>
    <n v="3901.5"/>
    <n v="3355.29"/>
    <d v="2026-01-25T00:00:00"/>
    <x v="1"/>
    <n v="1"/>
    <x v="2"/>
    <s v="GRAND VELAS RIVIERA NAYARIT"/>
    <n v="0"/>
  </r>
  <r>
    <n v="765"/>
    <n v="31111"/>
    <d v="2025-12-08T00:00:00"/>
    <d v="2025-12-11T00:00:00"/>
    <s v="USD"/>
    <n v="5996.11"/>
    <n v="5156.6545999999998"/>
    <d v="2026-01-25T00:00:00"/>
    <x v="1"/>
    <n v="1"/>
    <x v="2"/>
    <s v="GRAND VELAS RIVIERA NAYARIT"/>
    <n v="0"/>
  </r>
  <r>
    <n v="769"/>
    <n v="31058"/>
    <d v="2025-10-11T00:00:00"/>
    <d v="2025-10-12T00:00:00"/>
    <s v="EUR"/>
    <n v="160"/>
    <n v="160"/>
    <d v="2025-11-26T00:00:00"/>
    <x v="11"/>
    <n v="11"/>
    <x v="1"/>
    <s v="FOUR SEASONS ASTIR PALACE HOTEL ATHENS"/>
    <n v="0"/>
  </r>
  <r>
    <n v="770"/>
    <n v="24166"/>
    <d v="2025-11-22T00:00:00"/>
    <d v="2025-11-25T00:00:00"/>
    <s v="EUR"/>
    <n v="585"/>
    <n v="585"/>
    <d v="2026-01-09T00:00:00"/>
    <x v="1"/>
    <n v="1"/>
    <x v="2"/>
    <s v="LE BRISTOL PARIS"/>
    <n v="0"/>
  </r>
  <r>
    <n v="771"/>
    <n v="31636"/>
    <d v="2025-10-21T00:00:00"/>
    <d v="2025-10-27T00:00:00"/>
    <s v="EUR"/>
    <n v="1083.82"/>
    <n v="1083.82"/>
    <d v="2025-12-11T00:00:00"/>
    <x v="0"/>
    <n v="12"/>
    <x v="1"/>
    <s v="MAISON DELANO PARIS"/>
    <n v="0"/>
  </r>
  <r>
    <n v="774"/>
    <n v="25022"/>
    <d v="2025-12-23T00:00:00"/>
    <d v="2025-12-25T00:00:00"/>
    <s v="JPY"/>
    <n v="48300"/>
    <n v="265.64999999999998"/>
    <d v="2026-02-08T00:00:00"/>
    <x v="2"/>
    <n v="2"/>
    <x v="2"/>
    <s v="THE PENINSULA TOKYO"/>
    <n v="0"/>
  </r>
  <r>
    <n v="774"/>
    <n v="30698"/>
    <d v="2026-01-10T00:00:00"/>
    <d v="2026-01-14T00:00:00"/>
    <s v="JPY"/>
    <n v="30976"/>
    <n v="170.36799999999999"/>
    <d v="2026-02-28T00:00:00"/>
    <x v="2"/>
    <n v="2"/>
    <x v="2"/>
    <s v="HILTON NISEKO VILLAGE"/>
    <n v="0"/>
  </r>
  <r>
    <n v="775"/>
    <n v="25022"/>
    <d v="2025-12-24T00:00:00"/>
    <d v="2025-12-25T00:00:00"/>
    <s v="USD"/>
    <n v="24150"/>
    <n v="20769"/>
    <d v="2026-02-08T00:00:00"/>
    <x v="2"/>
    <n v="2"/>
    <x v="2"/>
    <s v="THE PENINSULA TOKYO"/>
    <n v="0"/>
  </r>
  <r>
    <n v="775"/>
    <n v="25053"/>
    <d v="2025-12-28T00:00:00"/>
    <d v="2025-12-31T00:00:00"/>
    <s v="USD"/>
    <n v="85100"/>
    <n v="73186"/>
    <d v="2026-02-14T00:00:00"/>
    <x v="2"/>
    <n v="2"/>
    <x v="2"/>
    <s v="THE RITZ CARLTON NIKKO"/>
    <n v="0"/>
  </r>
  <r>
    <n v="775"/>
    <n v="33515"/>
    <d v="2026-01-10T00:00:00"/>
    <d v="2026-01-14T00:00:00"/>
    <s v="JPY"/>
    <n v="84770"/>
    <n v="466.23499999999996"/>
    <d v="2026-02-28T00:00:00"/>
    <x v="2"/>
    <n v="2"/>
    <x v="2"/>
    <s v="PARK HYATT NISEKO HANAZONO"/>
    <n v="0"/>
  </r>
  <r>
    <n v="775"/>
    <n v="28293"/>
    <d v="2026-01-03T00:00:00"/>
    <d v="2026-01-07T00:00:00"/>
    <s v="JPY"/>
    <n v="90850"/>
    <n v="499.67499999999995"/>
    <d v="2026-02-21T00:00:00"/>
    <x v="2"/>
    <n v="2"/>
    <x v="2"/>
    <s v="THE RITZ CARLTON KYOTO"/>
    <n v="0"/>
  </r>
  <r>
    <n v="775"/>
    <n v="25022"/>
    <d v="2026-01-14T00:00:00"/>
    <d v="2026-01-15T00:00:00"/>
    <s v="JPY"/>
    <n v="13800"/>
    <n v="75.899999999999991"/>
    <d v="2026-03-01T00:00:00"/>
    <x v="4"/>
    <n v="3"/>
    <x v="2"/>
    <s v="THE PENINSULA TOKYO"/>
    <n v="0"/>
  </r>
  <r>
    <n v="775"/>
    <n v="28350"/>
    <d v="2026-01-07T00:00:00"/>
    <d v="2026-01-10T00:00:00"/>
    <s v="JPY"/>
    <n v="23000"/>
    <n v="126.49999999999999"/>
    <d v="2026-02-24T00:00:00"/>
    <x v="2"/>
    <n v="2"/>
    <x v="2"/>
    <s v="FOUR SEASONS HOTEL OSAKA"/>
    <n v="0"/>
  </r>
  <r>
    <n v="776"/>
    <n v="33515"/>
    <d v="2026-01-10T00:00:00"/>
    <d v="2026-01-14T00:00:00"/>
    <s v="JPY"/>
    <n v="132340"/>
    <n v="727.87"/>
    <d v="2026-02-28T00:00:00"/>
    <x v="2"/>
    <n v="2"/>
    <x v="2"/>
    <s v="PARK HYATT NISEKO HANAZONO"/>
    <n v="0"/>
  </r>
  <r>
    <n v="776"/>
    <n v="23362"/>
    <d v="2026-01-11T00:00:00"/>
    <d v="2026-01-13T00:00:00"/>
    <s v="JPY"/>
    <n v="59142.86"/>
    <n v="325.28573"/>
    <d v="2026-02-27T00:00:00"/>
    <x v="2"/>
    <n v="2"/>
    <x v="2"/>
    <s v="SKIUSA SKI TRAVEL EXPERT TOUR OPERATOR"/>
    <n v="0"/>
  </r>
  <r>
    <n v="781"/>
    <n v="31978"/>
    <d v="2025-09-28T00:00:00"/>
    <d v="2025-10-04T00:00:00"/>
    <s v="USD"/>
    <n v="177"/>
    <n v="152.22"/>
    <d v="2025-11-18T00:00:00"/>
    <x v="11"/>
    <n v="11"/>
    <x v="1"/>
    <s v="TRADERS HOTEL, KUALA LUMPUR"/>
    <n v="0"/>
  </r>
  <r>
    <n v="782"/>
    <n v="23317"/>
    <d v="2025-12-28T00:00:00"/>
    <d v="2026-01-01T00:00:00"/>
    <s v="USD"/>
    <n v="608"/>
    <n v="522.88"/>
    <d v="2026-02-15T00:00:00"/>
    <x v="2"/>
    <n v="2"/>
    <x v="2"/>
    <s v="THE LUXURY TRAVEL BOOK"/>
    <n v="0"/>
  </r>
  <r>
    <n v="782"/>
    <n v="25780"/>
    <d v="2026-01-01T00:00:00"/>
    <d v="2026-01-01T00:00:00"/>
    <s v="USD"/>
    <n v="66.75"/>
    <n v="57.405000000000001"/>
    <d v="2026-02-15T00:00:00"/>
    <x v="2"/>
    <n v="2"/>
    <x v="2"/>
    <s v="ROLZO"/>
    <n v="0"/>
  </r>
  <r>
    <n v="782"/>
    <n v="30769"/>
    <d v="2026-01-01T00:00:00"/>
    <d v="2026-01-04T00:00:00"/>
    <s v="USD"/>
    <n v="331.21"/>
    <n v="284.84059999999999"/>
    <d v="2026-02-18T00:00:00"/>
    <x v="2"/>
    <n v="2"/>
    <x v="2"/>
    <s v="THE ST. REGIS VENICE"/>
    <n v="0"/>
  </r>
  <r>
    <n v="782"/>
    <n v="30769"/>
    <d v="2026-01-01T00:00:00"/>
    <d v="2026-01-05T00:00:00"/>
    <s v="USD"/>
    <n v="358.89"/>
    <n v="308.6454"/>
    <d v="2026-02-19T00:00:00"/>
    <x v="2"/>
    <n v="2"/>
    <x v="2"/>
    <s v="THE ST. REGIS VENICE"/>
    <n v="0"/>
  </r>
  <r>
    <n v="782"/>
    <n v="30769"/>
    <d v="2026-01-01T00:00:00"/>
    <d v="2026-01-05T00:00:00"/>
    <s v="USD"/>
    <n v="612.69000000000005"/>
    <n v="526.91340000000002"/>
    <d v="2026-02-19T00:00:00"/>
    <x v="2"/>
    <n v="2"/>
    <x v="2"/>
    <s v="THE ST. REGIS VENICE"/>
    <n v="0"/>
  </r>
  <r>
    <n v="782"/>
    <n v="29074"/>
    <d v="2025-12-24T00:00:00"/>
    <d v="2026-01-28T00:00:00"/>
    <s v="USD"/>
    <n v="1166.92"/>
    <n v="1003.5512"/>
    <d v="2026-03-14T00:00:00"/>
    <x v="4"/>
    <n v="3"/>
    <x v="2"/>
    <s v="HIGHSTAY"/>
    <n v="0"/>
  </r>
  <r>
    <n v="783"/>
    <n v="30923"/>
    <d v="2025-11-07T00:00:00"/>
    <d v="2025-11-15T00:00:00"/>
    <s v="GBP"/>
    <n v="327.08"/>
    <n v="376.14199999999994"/>
    <d v="2025-12-30T00:00:00"/>
    <x v="0"/>
    <n v="12"/>
    <x v="1"/>
    <s v="ROYAL GARDEN HOTEL"/>
    <n v="0"/>
  </r>
  <r>
    <n v="785"/>
    <n v="23789"/>
    <d v="2025-10-17T00:00:00"/>
    <d v="2025-10-21T00:00:00"/>
    <s v="USD"/>
    <n v="4559"/>
    <n v="3920.74"/>
    <d v="2025-12-05T00:00:00"/>
    <x v="0"/>
    <n v="12"/>
    <x v="1"/>
    <s v="TRIUMPH TRAVEL"/>
    <n v="0"/>
  </r>
  <r>
    <n v="786"/>
    <n v="25269"/>
    <d v="2025-11-21T00:00:00"/>
    <d v="2025-11-30T00:00:00"/>
    <s v="EUR"/>
    <n v="214"/>
    <n v="214"/>
    <d v="2026-01-14T00:00:00"/>
    <x v="1"/>
    <n v="1"/>
    <x v="2"/>
    <s v="HOTEL ALFONSO XIII"/>
    <n v="0"/>
  </r>
  <r>
    <n v="789"/>
    <n v="25263"/>
    <d v="2026-04-24T00:00:00"/>
    <d v="2026-04-28T00:00:00"/>
    <s v="EUR"/>
    <n v="676.36"/>
    <n v="676.36"/>
    <d v="2026-06-12T00:00:00"/>
    <x v="6"/>
    <n v="6"/>
    <x v="2"/>
    <s v="HOTEL DU CAP EDEN ROC"/>
    <n v="0"/>
  </r>
  <r>
    <n v="789"/>
    <n v="32366"/>
    <d v="2026-05-02T00:00:00"/>
    <d v="2026-05-04T00:00:00"/>
    <s v="EUR"/>
    <n v="305"/>
    <n v="305"/>
    <d v="2026-06-18T00:00:00"/>
    <x v="6"/>
    <n v="6"/>
    <x v="2"/>
    <s v="HOTEL LES ROCHES BLANCHES"/>
    <n v="0"/>
  </r>
  <r>
    <n v="789"/>
    <n v="28494"/>
    <d v="2026-05-04T00:00:00"/>
    <d v="2026-05-06T00:00:00"/>
    <s v="EUR"/>
    <n v="702"/>
    <n v="702"/>
    <d v="2026-06-20T00:00:00"/>
    <x v="6"/>
    <n v="6"/>
    <x v="2"/>
    <s v="AIRELLES CHATEAU DE VERSAILLES, LE GRAND CONTROLE"/>
    <n v="0"/>
  </r>
  <r>
    <n v="789"/>
    <n v="32457"/>
    <d v="2026-05-06T00:00:00"/>
    <d v="2026-05-11T00:00:00"/>
    <s v="EUR"/>
    <n v="1215.5"/>
    <n v="1215.5"/>
    <d v="2026-06-25T00:00:00"/>
    <x v="6"/>
    <n v="6"/>
    <x v="2"/>
    <s v="Four Seasons Hotel George V, Paris"/>
    <n v="0"/>
  </r>
  <r>
    <n v="789"/>
    <n v="25386"/>
    <d v="2026-05-11T00:00:00"/>
    <d v="2026-05-16T00:00:00"/>
    <s v="EUR"/>
    <n v="614"/>
    <n v="614"/>
    <d v="2026-06-30T00:00:00"/>
    <x v="6"/>
    <n v="6"/>
    <x v="2"/>
    <s v="THE CONNAUGHT"/>
    <n v="0"/>
  </r>
  <r>
    <n v="789"/>
    <n v="28420"/>
    <d v="2026-04-25T00:00:00"/>
    <d v="2026-05-04T00:00:00"/>
    <s v="EUR"/>
    <n v="138.38999999999999"/>
    <n v="138.38999999999999"/>
    <d v="2026-06-18T00:00:00"/>
    <x v="6"/>
    <n v="6"/>
    <x v="2"/>
    <s v="SIXT MÉXICO"/>
    <n v="0"/>
  </r>
  <r>
    <n v="791"/>
    <n v="28749"/>
    <d v="2025-10-27T00:00:00"/>
    <d v="2025-10-28T00:00:00"/>
    <s v="EUR"/>
    <n v="72"/>
    <n v="72"/>
    <d v="2025-12-12T00:00:00"/>
    <x v="0"/>
    <n v="12"/>
    <x v="1"/>
    <s v="SAO LOURENCO DO BARROCAL"/>
    <n v="0"/>
  </r>
  <r>
    <n v="791"/>
    <n v="32160"/>
    <d v="2025-10-28T00:00:00"/>
    <d v="2025-10-30T00:00:00"/>
    <s v="EUR"/>
    <n v="57.1"/>
    <n v="57.1"/>
    <d v="2025-12-14T00:00:00"/>
    <x v="0"/>
    <n v="12"/>
    <x v="1"/>
    <s v="LX BOUTIQUE HOTEL"/>
    <n v="0"/>
  </r>
  <r>
    <n v="794"/>
    <n v="33349"/>
    <d v="2026-01-05T00:00:00"/>
    <d v="2026-01-11T00:00:00"/>
    <s v="USD"/>
    <n v="689.8"/>
    <n v="593.22799999999995"/>
    <d v="2026-02-25T00:00:00"/>
    <x v="2"/>
    <n v="2"/>
    <x v="2"/>
    <s v="1 HOTEL MAYFAIR"/>
    <n v="0"/>
  </r>
  <r>
    <n v="798"/>
    <n v="25014"/>
    <d v="2025-12-03T00:00:00"/>
    <d v="2025-12-05T00:00:00"/>
    <s v="USD"/>
    <n v="576"/>
    <n v="495.36"/>
    <d v="2026-01-19T00:00:00"/>
    <x v="1"/>
    <n v="1"/>
    <x v="2"/>
    <s v="JANU TOKYO"/>
    <n v="0"/>
  </r>
  <r>
    <n v="799"/>
    <n v="25053"/>
    <d v="2025-12-28T00:00:00"/>
    <d v="2025-12-31T00:00:00"/>
    <s v="JPY"/>
    <n v="85100"/>
    <n v="468.04999999999995"/>
    <d v="2026-02-14T00:00:00"/>
    <x v="2"/>
    <n v="2"/>
    <x v="2"/>
    <s v="THE RITZ CARLTON NIKKO"/>
    <n v="0"/>
  </r>
  <r>
    <n v="799"/>
    <n v="27697"/>
    <d v="2026-01-03T00:00:00"/>
    <d v="2026-01-07T00:00:00"/>
    <s v="JPY"/>
    <n v="16159"/>
    <n v="88.874499999999998"/>
    <d v="2026-02-21T00:00:00"/>
    <x v="2"/>
    <n v="2"/>
    <x v="2"/>
    <s v="HILTON KYOTO"/>
    <n v="0"/>
  </r>
  <r>
    <n v="799"/>
    <n v="30698"/>
    <d v="2026-01-10T00:00:00"/>
    <d v="2026-01-14T00:00:00"/>
    <s v="JPY"/>
    <n v="30976"/>
    <n v="170.36799999999999"/>
    <d v="2026-02-28T00:00:00"/>
    <x v="2"/>
    <n v="2"/>
    <x v="2"/>
    <s v="HILTON NISEKO VILLAGE"/>
    <n v="0"/>
  </r>
  <r>
    <n v="799"/>
    <n v="33565"/>
    <d v="2025-12-27T00:00:00"/>
    <d v="2025-12-28T00:00:00"/>
    <s v="JPY"/>
    <n v="9775"/>
    <n v="53.762499999999996"/>
    <d v="2026-02-11T00:00:00"/>
    <x v="2"/>
    <n v="2"/>
    <x v="2"/>
    <s v="AC HOTEL TOKYO GINZA"/>
    <n v="0"/>
  </r>
  <r>
    <n v="799"/>
    <n v="33565"/>
    <d v="2025-12-31T00:00:00"/>
    <d v="2026-01-03T00:00:00"/>
    <s v="JPY"/>
    <n v="32315"/>
    <n v="177.73249999999999"/>
    <d v="2026-02-17T00:00:00"/>
    <x v="2"/>
    <n v="2"/>
    <x v="2"/>
    <s v="AC HOTEL TOKYO GINZA"/>
    <n v="0"/>
  </r>
  <r>
    <n v="799"/>
    <n v="33565"/>
    <d v="2026-01-14T00:00:00"/>
    <d v="2026-01-15T00:00:00"/>
    <s v="JPY"/>
    <n v="5520"/>
    <n v="30.36"/>
    <d v="2026-03-01T00:00:00"/>
    <x v="4"/>
    <n v="3"/>
    <x v="2"/>
    <s v="AC HOTEL TOKYO GINZA"/>
    <n v="0"/>
  </r>
  <r>
    <n v="799"/>
    <n v="33618"/>
    <d v="2026-01-07T00:00:00"/>
    <d v="2026-01-10T00:00:00"/>
    <s v="JPY"/>
    <n v="14490"/>
    <n v="79.694999999999993"/>
    <d v="2026-02-24T00:00:00"/>
    <x v="2"/>
    <n v="2"/>
    <x v="2"/>
    <s v="CANOPY BY HILTON OSAKA UMEDA"/>
    <n v="0"/>
  </r>
  <r>
    <n v="800"/>
    <n v="32361"/>
    <d v="2025-11-06T00:00:00"/>
    <d v="2025-11-08T00:00:00"/>
    <s v="USD"/>
    <n v="260.68"/>
    <n v="224.1848"/>
    <d v="2025-12-23T00:00:00"/>
    <x v="0"/>
    <n v="12"/>
    <x v="1"/>
    <s v="The Inn at Newport Ranch"/>
    <n v="0"/>
  </r>
  <r>
    <n v="800"/>
    <n v="32426"/>
    <d v="2025-11-08T00:00:00"/>
    <d v="2025-11-10T00:00:00"/>
    <s v="USD"/>
    <n v="1044.45"/>
    <n v="898.22699999999998"/>
    <d v="2025-12-25T00:00:00"/>
    <x v="0"/>
    <n v="12"/>
    <x v="1"/>
    <s v="Stanly Ranch"/>
    <n v="0"/>
  </r>
  <r>
    <n v="800"/>
    <n v="33029"/>
    <d v="2025-11-10T00:00:00"/>
    <d v="2025-11-12T00:00:00"/>
    <s v="USD"/>
    <n v="91"/>
    <n v="78.260000000000005"/>
    <d v="2025-12-27T00:00:00"/>
    <x v="0"/>
    <n v="12"/>
    <x v="1"/>
    <s v="Firefall Ranch"/>
    <n v="0"/>
  </r>
  <r>
    <n v="801"/>
    <n v="32341"/>
    <d v="2025-10-24T00:00:00"/>
    <d v="2025-10-26T00:00:00"/>
    <s v="USD"/>
    <n v="85.84"/>
    <n v="73.822400000000002"/>
    <d v="2025-12-10T00:00:00"/>
    <x v="0"/>
    <n v="12"/>
    <x v="1"/>
    <s v="CALA DE MAR RESORT AND SPA IXTAPA"/>
    <n v="0"/>
  </r>
  <r>
    <n v="805"/>
    <n v="27931"/>
    <d v="2025-09-26T00:00:00"/>
    <d v="2025-09-30T00:00:00"/>
    <s v="USD"/>
    <n v="173.36"/>
    <n v="149.08960000000002"/>
    <d v="2025-11-14T00:00:00"/>
    <x v="11"/>
    <n v="11"/>
    <x v="1"/>
    <s v="Bedsonline"/>
    <n v="0"/>
  </r>
  <r>
    <n v="806"/>
    <n v="27633"/>
    <d v="2025-11-12T00:00:00"/>
    <d v="2025-11-17T00:00:00"/>
    <s v="USD"/>
    <n v="1426.2"/>
    <n v="1226.5319999999999"/>
    <d v="2026-01-01T00:00:00"/>
    <x v="1"/>
    <n v="1"/>
    <x v="2"/>
    <s v="FOUR SEASONS RESORT TAMARINDO"/>
    <n v="0"/>
  </r>
  <r>
    <n v="807"/>
    <n v="25036"/>
    <d v="2025-12-16T00:00:00"/>
    <d v="2025-12-26T00:00:00"/>
    <s v="USD"/>
    <n v="16490"/>
    <n v="14181.4"/>
    <d v="2026-02-09T00:00:00"/>
    <x v="2"/>
    <n v="2"/>
    <x v="2"/>
    <s v="HUMMINGBIRD TRAVEL"/>
    <n v="0"/>
  </r>
  <r>
    <n v="809"/>
    <n v="32410"/>
    <d v="2026-02-12T00:00:00"/>
    <d v="2026-02-15T00:00:00"/>
    <s v="MXN"/>
    <n v="17419.05"/>
    <n v="836.11439999999993"/>
    <d v="2026-04-01T00:00:00"/>
    <x v="5"/>
    <n v="4"/>
    <x v="2"/>
    <s v="CASA LUNA CABOS"/>
    <n v="0"/>
  </r>
  <r>
    <n v="815"/>
    <n v="32554"/>
    <d v="2025-12-16T00:00:00"/>
    <d v="2025-12-20T00:00:00"/>
    <s v="MXN"/>
    <n v="27505.919999999998"/>
    <n v="1320.2841599999999"/>
    <d v="2026-02-03T00:00:00"/>
    <x v="2"/>
    <n v="2"/>
    <x v="2"/>
    <s v="AMANERA HOTEL"/>
    <n v="0"/>
  </r>
  <r>
    <n v="821"/>
    <n v="33027"/>
    <d v="2025-11-11T00:00:00"/>
    <d v="2025-11-12T00:00:00"/>
    <s v="EUR"/>
    <n v="42"/>
    <n v="42"/>
    <d v="2025-12-27T00:00:00"/>
    <x v="0"/>
    <n v="12"/>
    <x v="1"/>
    <s v="Pousada de Lisboa Small Luxury Hotels"/>
    <n v="0"/>
  </r>
  <r>
    <n v="822"/>
    <n v="32544"/>
    <d v="2025-11-12T00:00:00"/>
    <d v="2025-11-16T00:00:00"/>
    <s v="USD"/>
    <n v="1210"/>
    <n v="1040.5999999999999"/>
    <d v="2025-12-31T00:00:00"/>
    <x v="0"/>
    <n v="12"/>
    <x v="1"/>
    <s v="ICELAND ENCOUNTER"/>
    <n v="0"/>
  </r>
  <r>
    <n v="830"/>
    <n v="27633"/>
    <d v="2025-12-24T00:00:00"/>
    <d v="2026-01-02T00:00:00"/>
    <s v="USD"/>
    <n v="9160"/>
    <n v="7877.5999999999995"/>
    <d v="2026-02-16T00:00:00"/>
    <x v="2"/>
    <n v="2"/>
    <x v="2"/>
    <s v="FOUR SEASONS RESORT TAMARINDO"/>
    <n v="0"/>
  </r>
  <r>
    <n v="830"/>
    <n v="27633"/>
    <d v="2025-12-24T00:00:00"/>
    <d v="2026-01-02T00:00:00"/>
    <s v="USD"/>
    <n v="2300"/>
    <n v="1978"/>
    <d v="2026-02-16T00:00:00"/>
    <x v="2"/>
    <n v="2"/>
    <x v="2"/>
    <s v="FOUR SEASONS RESORT TAMARINDO"/>
    <n v="0"/>
  </r>
  <r>
    <n v="832"/>
    <n v="32425"/>
    <d v="2025-12-20T00:00:00"/>
    <d v="2025-12-23T00:00:00"/>
    <s v="USD"/>
    <n v="2527.5"/>
    <n v="2173.65"/>
    <d v="2026-02-06T00:00:00"/>
    <x v="2"/>
    <n v="2"/>
    <x v="2"/>
    <s v="Post Ranch Inn"/>
    <n v="0"/>
  </r>
  <r>
    <n v="832"/>
    <n v="32426"/>
    <d v="2025-12-23T00:00:00"/>
    <d v="2025-12-26T00:00:00"/>
    <s v="USD"/>
    <n v="1178.0999999999999"/>
    <n v="1013.1659999999999"/>
    <d v="2026-02-09T00:00:00"/>
    <x v="2"/>
    <n v="2"/>
    <x v="2"/>
    <s v="Stanly Ranch"/>
    <n v="0"/>
  </r>
  <r>
    <n v="834"/>
    <n v="33422"/>
    <d v="2025-12-24T00:00:00"/>
    <d v="2025-12-30T00:00:00"/>
    <s v="USD"/>
    <n v="-580.5"/>
    <n v="-499.23"/>
    <d v="2026-02-13T00:00:00"/>
    <x v="2"/>
    <n v="2"/>
    <x v="2"/>
    <s v="BHUTAN RESORT PRIVATE LIMITED AMANKORA"/>
    <n v="0"/>
  </r>
  <r>
    <n v="835"/>
    <n v="25907"/>
    <d v="2026-04-18T00:00:00"/>
    <d v="2026-04-22T00:00:00"/>
    <s v="USD"/>
    <n v="521.09"/>
    <n v="448.13740000000001"/>
    <d v="2026-06-06T00:00:00"/>
    <x v="6"/>
    <n v="6"/>
    <x v="2"/>
    <s v="THE OKURA TOKYO"/>
    <n v="0"/>
  </r>
  <r>
    <n v="835"/>
    <n v="25907"/>
    <d v="2026-04-18T00:00:00"/>
    <d v="2026-04-22T00:00:00"/>
    <s v="USD"/>
    <n v="248.82"/>
    <n v="213.98519999999999"/>
    <d v="2026-06-06T00:00:00"/>
    <x v="6"/>
    <n v="6"/>
    <x v="2"/>
    <s v="THE OKURA TOKYO"/>
    <n v="0"/>
  </r>
  <r>
    <n v="835"/>
    <n v="24989"/>
    <d v="2026-04-22T00:00:00"/>
    <d v="2026-04-23T00:00:00"/>
    <s v="USD"/>
    <n v="72.2"/>
    <n v="62.091999999999999"/>
    <d v="2026-06-07T00:00:00"/>
    <x v="6"/>
    <n v="6"/>
    <x v="2"/>
    <s v="HYATT CENTRIC KANAZAWA"/>
    <n v="0"/>
  </r>
  <r>
    <n v="835"/>
    <n v="24989"/>
    <d v="2026-04-22T00:00:00"/>
    <d v="2026-04-23T00:00:00"/>
    <s v="USD"/>
    <n v="20.39"/>
    <n v="17.535399999999999"/>
    <d v="2026-06-07T00:00:00"/>
    <x v="6"/>
    <n v="6"/>
    <x v="2"/>
    <s v="HYATT CENTRIC KANAZAWA"/>
    <n v="0"/>
  </r>
  <r>
    <n v="835"/>
    <n v="27261"/>
    <d v="2026-04-23T00:00:00"/>
    <d v="2026-04-26T00:00:00"/>
    <s v="USD"/>
    <n v="406.45"/>
    <n v="349.54699999999997"/>
    <d v="2026-06-10T00:00:00"/>
    <x v="6"/>
    <n v="6"/>
    <x v="2"/>
    <s v="Ace Hotel Kyoto"/>
    <n v="0"/>
  </r>
  <r>
    <n v="835"/>
    <n v="27261"/>
    <d v="2026-04-23T00:00:00"/>
    <d v="2026-04-26T00:00:00"/>
    <s v="USD"/>
    <n v="132.88"/>
    <n v="114.27679999999999"/>
    <d v="2026-06-10T00:00:00"/>
    <x v="6"/>
    <n v="6"/>
    <x v="2"/>
    <s v="Ace Hotel Kyoto"/>
    <n v="0"/>
  </r>
  <r>
    <n v="835"/>
    <n v="29097"/>
    <d v="2026-04-29T00:00:00"/>
    <d v="2026-04-30T00:00:00"/>
    <s v="USD"/>
    <n v="123.16"/>
    <n v="105.91759999999999"/>
    <d v="2026-06-14T00:00:00"/>
    <x v="6"/>
    <n v="6"/>
    <x v="2"/>
    <s v="THE ST. REGIS OSAKA"/>
    <n v="0"/>
  </r>
  <r>
    <n v="835"/>
    <n v="29097"/>
    <d v="2026-04-29T00:00:00"/>
    <d v="2026-04-30T00:00:00"/>
    <s v="USD"/>
    <n v="61.88"/>
    <n v="53.216799999999999"/>
    <d v="2026-06-14T00:00:00"/>
    <x v="6"/>
    <n v="6"/>
    <x v="2"/>
    <s v="THE ST. REGIS OSAKA"/>
    <n v="0"/>
  </r>
  <r>
    <n v="835"/>
    <n v="25907"/>
    <d v="2026-05-02T00:00:00"/>
    <d v="2026-05-03T00:00:00"/>
    <s v="USD"/>
    <n v="119.04"/>
    <n v="102.37440000000001"/>
    <d v="2026-06-17T00:00:00"/>
    <x v="6"/>
    <n v="6"/>
    <x v="2"/>
    <s v="THE OKURA TOKYO"/>
    <n v="0"/>
  </r>
  <r>
    <n v="835"/>
    <n v="25907"/>
    <d v="2026-05-02T00:00:00"/>
    <d v="2026-05-03T00:00:00"/>
    <s v="USD"/>
    <n v="55.37"/>
    <n v="47.618199999999995"/>
    <d v="2026-06-17T00:00:00"/>
    <x v="6"/>
    <n v="6"/>
    <x v="2"/>
    <s v="THE OKURA TOKYO"/>
    <n v="0"/>
  </r>
  <r>
    <n v="835"/>
    <n v="27490"/>
    <d v="2026-04-30T00:00:00"/>
    <d v="2026-05-02T00:00:00"/>
    <s v="USD"/>
    <n v="478"/>
    <n v="411.08"/>
    <d v="2026-06-16T00:00:00"/>
    <x v="6"/>
    <n v="6"/>
    <x v="2"/>
    <s v="HOSHINOYA FUJI"/>
    <n v="0"/>
  </r>
  <r>
    <n v="835"/>
    <n v="27490"/>
    <d v="2026-04-30T00:00:00"/>
    <d v="2026-05-02T00:00:00"/>
    <s v="USD"/>
    <n v="186"/>
    <n v="159.96"/>
    <d v="2026-06-16T00:00:00"/>
    <x v="6"/>
    <n v="6"/>
    <x v="2"/>
    <s v="HOSHINOYA FUJI"/>
    <n v="0"/>
  </r>
  <r>
    <n v="837"/>
    <n v="25908"/>
    <d v="2026-01-11T00:00:00"/>
    <d v="2026-01-15T00:00:00"/>
    <s v="USD"/>
    <n v="369.14"/>
    <n v="317.46039999999999"/>
    <d v="2026-03-01T00:00:00"/>
    <x v="4"/>
    <n v="3"/>
    <x v="2"/>
    <s v="MANDAPA A RITZ CARLTON RESERVE"/>
    <n v="0"/>
  </r>
  <r>
    <n v="838"/>
    <n v="25362"/>
    <d v="2026-03-23T00:00:00"/>
    <d v="2026-03-26T00:00:00"/>
    <s v="USD"/>
    <n v="1285.5"/>
    <n v="1105.53"/>
    <d v="2026-05-10T00:00:00"/>
    <x v="3"/>
    <n v="5"/>
    <x v="2"/>
    <s v="AMAN TOKYO"/>
    <n v="0"/>
  </r>
  <r>
    <n v="843"/>
    <n v="26512"/>
    <d v="2025-11-23T00:00:00"/>
    <d v="2025-11-27T00:00:00"/>
    <s v="USD"/>
    <n v="335.05"/>
    <n v="288.14300000000003"/>
    <d v="2026-01-11T00:00:00"/>
    <x v="1"/>
    <n v="1"/>
    <x v="2"/>
    <s v="FOUR SEASONS"/>
    <n v="0"/>
  </r>
  <r>
    <n v="844"/>
    <n v="33114"/>
    <d v="2025-12-25T00:00:00"/>
    <d v="2025-12-30T00:00:00"/>
    <s v="EUR"/>
    <n v="1216.5899999999999"/>
    <n v="1216.5899999999999"/>
    <d v="2026-02-13T00:00:00"/>
    <x v="2"/>
    <n v="2"/>
    <x v="2"/>
    <s v="THE RITZ CARLTON TENERIFE ABAMA"/>
    <n v="0"/>
  </r>
  <r>
    <n v="845"/>
    <n v="27053"/>
    <d v="2026-04-01T00:00:00"/>
    <d v="2026-04-12T00:00:00"/>
    <s v="USD"/>
    <n v="477.41"/>
    <n v="410.57260000000002"/>
    <d v="2026-05-27T00:00:00"/>
    <x v="3"/>
    <n v="5"/>
    <x v="2"/>
    <s v="Hoshinoya Tokyo"/>
    <n v="0"/>
  </r>
  <r>
    <n v="845"/>
    <n v="25035"/>
    <d v="2026-04-06T00:00:00"/>
    <d v="2026-04-08T00:00:00"/>
    <s v="USD"/>
    <n v="247.2"/>
    <n v="212.59199999999998"/>
    <d v="2026-05-23T00:00:00"/>
    <x v="3"/>
    <n v="5"/>
    <x v="2"/>
    <s v="BENESSE HOUSE HOTEL"/>
    <n v="0"/>
  </r>
  <r>
    <n v="848"/>
    <n v="26659"/>
    <d v="2025-12-19T00:00:00"/>
    <d v="2025-12-30T00:00:00"/>
    <s v="USD"/>
    <n v="4590.5"/>
    <n v="3947.83"/>
    <d v="2026-02-13T00:00:00"/>
    <x v="2"/>
    <n v="2"/>
    <x v="2"/>
    <s v="EGYPT BEYOND"/>
    <n v="0"/>
  </r>
  <r>
    <n v="848"/>
    <n v="26659"/>
    <d v="2025-12-18T00:00:00"/>
    <d v="2026-01-07T00:00:00"/>
    <s v="USD"/>
    <n v="380"/>
    <n v="326.8"/>
    <d v="2026-02-21T00:00:00"/>
    <x v="2"/>
    <n v="2"/>
    <x v="2"/>
    <s v="EGYPT BEYOND"/>
    <n v="0"/>
  </r>
  <r>
    <n v="848"/>
    <n v="26659"/>
    <d v="2025-12-23T00:00:00"/>
    <d v="2025-12-23T00:00:00"/>
    <s v="USD"/>
    <n v="150"/>
    <n v="129"/>
    <d v="2026-02-06T00:00:00"/>
    <x v="2"/>
    <n v="2"/>
    <x v="2"/>
    <s v="EGYPT BEYOND"/>
    <n v="0"/>
  </r>
  <r>
    <n v="849"/>
    <n v="28420"/>
    <d v="2025-12-22T00:00:00"/>
    <d v="2025-12-27T00:00:00"/>
    <s v="USD"/>
    <n v="220.6"/>
    <n v="189.71599999999998"/>
    <d v="2026-02-10T00:00:00"/>
    <x v="2"/>
    <n v="2"/>
    <x v="2"/>
    <s v="SIXT MÉXICO"/>
    <n v="0"/>
  </r>
  <r>
    <n v="852"/>
    <n v="25762"/>
    <d v="2025-04-04T00:00:00"/>
    <d v="2026-04-11T00:00:00"/>
    <s v="USD"/>
    <n v="427.79"/>
    <n v="367.89940000000001"/>
    <d v="2026-05-26T00:00:00"/>
    <x v="3"/>
    <n v="5"/>
    <x v="2"/>
    <s v="PULSO HOTEL FARIA LIMA"/>
    <n v="0"/>
  </r>
  <r>
    <n v="852"/>
    <n v="25762"/>
    <d v="2025-04-04T00:00:00"/>
    <d v="2026-04-11T00:00:00"/>
    <s v="USD"/>
    <n v="687.21"/>
    <n v="591.00060000000008"/>
    <d v="2026-05-26T00:00:00"/>
    <x v="3"/>
    <n v="5"/>
    <x v="2"/>
    <s v="PULSO HOTEL FARIA LIMA"/>
    <n v="0"/>
  </r>
  <r>
    <n v="856"/>
    <n v="24166"/>
    <d v="2025-11-21T00:00:00"/>
    <d v="2025-11-24T00:00:00"/>
    <s v="EUR"/>
    <n v="877.5"/>
    <n v="877.5"/>
    <d v="2026-01-08T00:00:00"/>
    <x v="1"/>
    <n v="1"/>
    <x v="2"/>
    <s v="LE BRISTOL PARIS"/>
    <n v="0"/>
  </r>
  <r>
    <n v="857"/>
    <n v="24166"/>
    <d v="2025-11-23T00:00:00"/>
    <d v="2025-11-26T00:00:00"/>
    <s v="EUR"/>
    <n v="908.1"/>
    <n v="908.1"/>
    <d v="2026-01-10T00:00:00"/>
    <x v="1"/>
    <n v="1"/>
    <x v="2"/>
    <s v="LE BRISTOL PARIS"/>
    <n v="0"/>
  </r>
  <r>
    <n v="858"/>
    <n v="28064"/>
    <d v="2025-11-14T00:00:00"/>
    <d v="2025-11-17T00:00:00"/>
    <s v="USD"/>
    <n v="782.87"/>
    <n v="673.26819999999998"/>
    <d v="2026-01-01T00:00:00"/>
    <x v="1"/>
    <n v="1"/>
    <x v="2"/>
    <s v="HOTEL ESENCIA"/>
    <n v="0"/>
  </r>
  <r>
    <n v="859"/>
    <n v="26659"/>
    <d v="2026-11-25T00:00:00"/>
    <d v="2026-11-29T00:00:00"/>
    <s v="USD"/>
    <n v="1820"/>
    <n v="1565.2"/>
    <d v="2027-01-13T00:00:00"/>
    <x v="1"/>
    <n v="1"/>
    <x v="3"/>
    <s v="EGYPT BEYOND"/>
    <n v="0"/>
  </r>
  <r>
    <n v="860"/>
    <n v="27779"/>
    <d v="2025-12-12T00:00:00"/>
    <d v="2025-12-15T00:00:00"/>
    <s v="GBP"/>
    <n v="1049.3"/>
    <n v="1206.6949999999999"/>
    <d v="2026-01-29T00:00:00"/>
    <x v="1"/>
    <n v="1"/>
    <x v="2"/>
    <s v="THE LANESBOROUGH"/>
    <n v="0"/>
  </r>
  <r>
    <n v="861"/>
    <n v="31729"/>
    <d v="2025-09-30T00:00:00"/>
    <d v="2025-10-02T00:00:00"/>
    <s v="EUR"/>
    <n v="27.59"/>
    <n v="27.59"/>
    <d v="2025-11-16T00:00:00"/>
    <x v="11"/>
    <n v="11"/>
    <x v="1"/>
    <s v="BEST WESTERN PREMIER CMC GIRONA"/>
    <n v="0"/>
  </r>
  <r>
    <n v="865"/>
    <n v="30141"/>
    <d v="2026-01-03T00:00:00"/>
    <d v="2026-01-07T00:00:00"/>
    <s v="USD"/>
    <n v="277.08999999999997"/>
    <n v="238.29739999999998"/>
    <d v="2026-02-21T00:00:00"/>
    <x v="2"/>
    <n v="2"/>
    <x v="2"/>
    <s v="L'ERMITAGE BEVERLY HILLS"/>
    <n v="0"/>
  </r>
  <r>
    <n v="865"/>
    <n v="30141"/>
    <d v="2026-01-03T00:00:00"/>
    <d v="2026-01-07T00:00:00"/>
    <s v="USD"/>
    <n v="284.42"/>
    <n v="244.60120000000001"/>
    <d v="2026-02-21T00:00:00"/>
    <x v="2"/>
    <n v="2"/>
    <x v="2"/>
    <s v="L'ERMITAGE BEVERLY HILLS"/>
    <n v="0"/>
  </r>
  <r>
    <n v="866"/>
    <n v="33418"/>
    <d v="2026-11-02T00:00:00"/>
    <d v="2026-11-06T00:00:00"/>
    <s v="MXN"/>
    <n v="9972.48"/>
    <n v="478.67903999999999"/>
    <d v="2026-12-21T00:00:00"/>
    <x v="0"/>
    <n v="12"/>
    <x v="2"/>
    <s v="IC TRAVELIZ"/>
    <n v="0"/>
  </r>
  <r>
    <n v="870"/>
    <n v="23789"/>
    <d v="2026-04-26T00:00:00"/>
    <d v="2026-05-02T00:00:00"/>
    <s v="USD"/>
    <n v="2850.3"/>
    <n v="2451.2580000000003"/>
    <d v="2026-06-16T00:00:00"/>
    <x v="6"/>
    <n v="6"/>
    <x v="2"/>
    <s v="TRIUMPH TRAVEL"/>
    <n v="0"/>
  </r>
  <r>
    <n v="872"/>
    <n v="33418"/>
    <d v="2026-11-02T00:00:00"/>
    <d v="2026-11-06T00:00:00"/>
    <s v="MXN"/>
    <n v="4986.24"/>
    <n v="239.33951999999999"/>
    <d v="2026-12-21T00:00:00"/>
    <x v="0"/>
    <n v="12"/>
    <x v="2"/>
    <s v="IC TRAVELIZ"/>
    <n v="0"/>
  </r>
  <r>
    <n v="875"/>
    <n v="30141"/>
    <d v="2026-01-03T00:00:00"/>
    <d v="2026-01-07T00:00:00"/>
    <s v="USD"/>
    <n v="284.42"/>
    <n v="244.60120000000001"/>
    <d v="2026-02-21T00:00:00"/>
    <x v="2"/>
    <n v="2"/>
    <x v="2"/>
    <s v="L'ERMITAGE BEVERLY HILLS"/>
    <n v="0"/>
  </r>
  <r>
    <n v="881"/>
    <n v="27966"/>
    <d v="2026-01-28T00:00:00"/>
    <d v="2026-02-01T00:00:00"/>
    <s v="MXN"/>
    <n v="6000"/>
    <n v="288"/>
    <d v="2026-03-18T00:00:00"/>
    <x v="4"/>
    <n v="3"/>
    <x v="2"/>
    <s v="ROSEWOOD MANDARINA"/>
    <n v="0"/>
  </r>
  <r>
    <n v="882"/>
    <n v="30698"/>
    <d v="2026-01-10T00:00:00"/>
    <d v="2026-01-14T00:00:00"/>
    <s v="JPY"/>
    <n v="30976"/>
    <n v="170.36799999999999"/>
    <d v="2026-02-28T00:00:00"/>
    <x v="2"/>
    <n v="2"/>
    <x v="2"/>
    <s v="HILTON NISEKO VILLAGE"/>
    <n v="0"/>
  </r>
  <r>
    <n v="883"/>
    <n v="33519"/>
    <d v="2026-02-12T00:00:00"/>
    <d v="2026-02-15T00:00:00"/>
    <s v="USD"/>
    <n v="10"/>
    <n v="8.6"/>
    <d v="2026-04-01T00:00:00"/>
    <x v="5"/>
    <n v="4"/>
    <x v="2"/>
    <s v="WYNN AND ENCORE LAS VEGAS"/>
    <n v="0"/>
  </r>
  <r>
    <n v="883"/>
    <n v="34188"/>
    <d v="2026-02-15T00:00:00"/>
    <d v="2026-02-17T00:00:00"/>
    <s v="USD"/>
    <n v="254.5"/>
    <n v="218.87"/>
    <d v="2026-04-03T00:00:00"/>
    <x v="5"/>
    <n v="4"/>
    <x v="2"/>
    <s v="Shutters On The Beach"/>
    <n v="0"/>
  </r>
  <r>
    <n v="884"/>
    <n v="33513"/>
    <d v="2025-10-11T00:00:00"/>
    <d v="2025-10-13T00:00:00"/>
    <s v="USD"/>
    <n v="63.52"/>
    <n v="54.627200000000002"/>
    <d v="2025-11-27T00:00:00"/>
    <x v="11"/>
    <n v="11"/>
    <x v="1"/>
    <s v="LIVE AQUA CD DE MÉXICO BOSQUES"/>
    <n v="0"/>
  </r>
  <r>
    <n v="889"/>
    <n v="29952"/>
    <d v="2025-12-22T00:00:00"/>
    <d v="2025-12-22T00:00:00"/>
    <s v="USD"/>
    <n v="47.43"/>
    <n v="40.7898"/>
    <d v="2026-02-05T00:00:00"/>
    <x v="2"/>
    <n v="2"/>
    <x v="2"/>
    <s v="HOUSTON AIRPORT MARRIOTT AT GEORGE BUSH INTERCONTINENTAL"/>
    <n v="0"/>
  </r>
  <r>
    <n v="891"/>
    <n v="33697"/>
    <d v="2026-06-11T00:00:00"/>
    <d v="2026-07-23T00:00:00"/>
    <s v="MXN"/>
    <n v="236410"/>
    <n v="11347.68"/>
    <d v="2026-09-06T00:00:00"/>
    <x v="10"/>
    <n v="9"/>
    <x v="2"/>
    <s v="EVENTOS ESPECIALES MUNDOMEX S.A. DE C.V."/>
    <n v="0"/>
  </r>
  <r>
    <n v="892"/>
    <n v="33615"/>
    <d v="2025-10-09T00:00:00"/>
    <d v="2025-10-12T00:00:00"/>
    <s v="USD"/>
    <n v="387.25"/>
    <n v="333.03499999999997"/>
    <d v="2025-11-26T00:00:00"/>
    <x v="11"/>
    <n v="11"/>
    <x v="1"/>
    <s v="FOUR SEASONS RESORT LOS CABOS AT COSTA PALMAS"/>
    <n v="0"/>
  </r>
  <r>
    <n v="896"/>
    <n v="31311"/>
    <d v="2025-12-18T00:00:00"/>
    <d v="2025-12-26T00:00:00"/>
    <s v="USD"/>
    <n v="1771.95"/>
    <n v="1523.877"/>
    <d v="2026-02-09T00:00:00"/>
    <x v="2"/>
    <n v="2"/>
    <x v="2"/>
    <s v="DESTINATION ASIA TAILANDIA"/>
    <n v="0"/>
  </r>
  <r>
    <n v="901"/>
    <n v="33673"/>
    <d v="2025-12-26T00:00:00"/>
    <d v="2025-12-31T00:00:00"/>
    <s v="EUR"/>
    <n v="618.72"/>
    <n v="618.72"/>
    <d v="2026-02-14T00:00:00"/>
    <x v="2"/>
    <n v="2"/>
    <x v="2"/>
    <s v="AC BAQUEIRA SKI RESORT"/>
    <n v="0"/>
  </r>
  <r>
    <n v="902"/>
    <n v="25907"/>
    <d v="2026-04-11T00:00:00"/>
    <d v="2026-04-12T00:00:00"/>
    <s v="USD"/>
    <n v="140.44"/>
    <n v="120.77839999999999"/>
    <d v="2026-05-27T00:00:00"/>
    <x v="3"/>
    <n v="5"/>
    <x v="2"/>
    <s v="THE OKURA TOKYO"/>
    <n v="0"/>
  </r>
  <r>
    <n v="902"/>
    <n v="25053"/>
    <d v="2026-04-12T00:00:00"/>
    <d v="2026-04-14T00:00:00"/>
    <s v="USD"/>
    <n v="180.12"/>
    <n v="154.9032"/>
    <d v="2026-05-29T00:00:00"/>
    <x v="3"/>
    <n v="5"/>
    <x v="2"/>
    <s v="THE RITZ CARLTON NIKKO"/>
    <n v="0"/>
  </r>
  <r>
    <n v="903"/>
    <n v="26070"/>
    <d v="2026-05-06T00:00:00"/>
    <d v="2026-05-27T00:00:00"/>
    <s v="USD"/>
    <n v="485.19"/>
    <n v="417.26339999999999"/>
    <d v="2026-07-11T00:00:00"/>
    <x v="7"/>
    <n v="7"/>
    <x v="2"/>
    <s v="FOUR SEASONS HOTEL SEOUL"/>
    <n v="0"/>
  </r>
  <r>
    <n v="903"/>
    <n v="30268"/>
    <d v="2026-05-19T00:00:00"/>
    <d v="2026-05-21T00:00:00"/>
    <s v="USD"/>
    <n v="213.57"/>
    <n v="183.67019999999999"/>
    <d v="2026-07-05T00:00:00"/>
    <x v="7"/>
    <n v="7"/>
    <x v="2"/>
    <s v="PATINA OSAKA"/>
    <n v="0"/>
  </r>
  <r>
    <n v="903"/>
    <n v="25907"/>
    <d v="2026-05-22T00:00:00"/>
    <d v="2026-05-27T00:00:00"/>
    <s v="USD"/>
    <n v="497.58"/>
    <n v="427.91879999999998"/>
    <d v="2026-07-11T00:00:00"/>
    <x v="7"/>
    <n v="7"/>
    <x v="2"/>
    <s v="THE OKURA TOKYO"/>
    <n v="0"/>
  </r>
  <r>
    <n v="904"/>
    <n v="33690"/>
    <d v="2025-12-28T00:00:00"/>
    <d v="2025-12-31T00:00:00"/>
    <s v="USD"/>
    <n v="431"/>
    <n v="370.65999999999997"/>
    <d v="2026-02-14T00:00:00"/>
    <x v="2"/>
    <n v="2"/>
    <x v="2"/>
    <s v="INTERCONTINENTAL TOKYO BAY"/>
    <n v="0"/>
  </r>
  <r>
    <n v="904"/>
    <n v="33694"/>
    <d v="2025-12-31T00:00:00"/>
    <d v="2026-01-03T00:00:00"/>
    <s v="USD"/>
    <n v="207.28"/>
    <n v="178.26079999999999"/>
    <d v="2026-02-17T00:00:00"/>
    <x v="2"/>
    <n v="2"/>
    <x v="2"/>
    <s v="HYATT PLACE KYOTO"/>
    <n v="0"/>
  </r>
  <r>
    <n v="907"/>
    <n v="33711"/>
    <d v="2026-04-16T00:00:00"/>
    <d v="2026-04-19T00:00:00"/>
    <s v="MXN"/>
    <n v="10"/>
    <n v="0.48"/>
    <d v="2026-06-03T00:00:00"/>
    <x v="6"/>
    <n v="6"/>
    <x v="2"/>
    <s v="HOTEL INDIGO LA PAZ PUERTA CORTEZ"/>
    <n v="0"/>
  </r>
  <r>
    <n v="908"/>
    <n v="29688"/>
    <d v="2026-01-05T00:00:00"/>
    <d v="2026-01-07T00:00:00"/>
    <s v="USD"/>
    <n v="148.91999999999999"/>
    <n v="128.07119999999998"/>
    <d v="2026-02-21T00:00:00"/>
    <x v="2"/>
    <n v="2"/>
    <x v="2"/>
    <s v="TABLET HOTELS"/>
    <n v="0"/>
  </r>
  <r>
    <n v="911"/>
    <n v="33752"/>
    <d v="2025-10-15T00:00:00"/>
    <d v="2025-10-21T00:00:00"/>
    <s v="USD"/>
    <n v="1325.2"/>
    <n v="1139.672"/>
    <d v="2025-12-05T00:00:00"/>
    <x v="0"/>
    <n v="12"/>
    <x v="1"/>
    <s v="HOTEL HASSLER ROMA"/>
    <n v="0"/>
  </r>
  <r>
    <n v="913"/>
    <n v="28531"/>
    <d v="2026-09-05T00:00:00"/>
    <d v="2026-09-13T00:00:00"/>
    <s v="MXN"/>
    <n v="16187.2"/>
    <n v="776.98560000000009"/>
    <d v="2026-10-28T00:00:00"/>
    <x v="9"/>
    <n v="10"/>
    <x v="2"/>
    <s v="NAO TRAVEL COLLECTION"/>
    <n v="0"/>
  </r>
  <r>
    <n v="913"/>
    <n v="28531"/>
    <d v="2026-09-05T00:00:00"/>
    <d v="2026-09-13T00:00:00"/>
    <s v="MXN"/>
    <n v="19323.2"/>
    <n v="927.51360000000011"/>
    <d v="2026-10-28T00:00:00"/>
    <x v="9"/>
    <n v="10"/>
    <x v="2"/>
    <s v="NAO TRAVEL COLLECTION"/>
    <n v="0"/>
  </r>
  <r>
    <n v="919"/>
    <n v="33612"/>
    <d v="2025-12-21T00:00:00"/>
    <d v="2025-12-28T00:00:00"/>
    <s v="USD"/>
    <n v="1425"/>
    <n v="1225.5"/>
    <d v="2026-02-11T00:00:00"/>
    <x v="2"/>
    <n v="2"/>
    <x v="2"/>
    <s v="THE PENINSULA NEW YORK"/>
    <n v="0"/>
  </r>
  <r>
    <n v="922"/>
    <n v="25652"/>
    <d v="2025-11-09T00:00:00"/>
    <d v="2025-11-11T00:00:00"/>
    <s v="EUR"/>
    <n v="216.35"/>
    <n v="216.35"/>
    <d v="2025-12-26T00:00:00"/>
    <x v="0"/>
    <n v="12"/>
    <x v="1"/>
    <s v="FOUR SEASONS HOTEL MADRID"/>
    <n v="0"/>
  </r>
  <r>
    <n v="923"/>
    <n v="28512"/>
    <d v="2025-11-12T00:00:00"/>
    <d v="2025-11-13T00:00:00"/>
    <s v="EUR"/>
    <n v="93.56"/>
    <n v="93.56"/>
    <d v="2025-12-28T00:00:00"/>
    <x v="0"/>
    <n v="12"/>
    <x v="1"/>
    <s v="MANDARIN ORIENTAL RITZ MADRID"/>
    <n v="0"/>
  </r>
  <r>
    <n v="925"/>
    <n v="33830"/>
    <d v="2025-11-11T00:00:00"/>
    <d v="2025-11-12T00:00:00"/>
    <s v="EUR"/>
    <n v="12.3"/>
    <n v="12.3"/>
    <d v="2025-12-27T00:00:00"/>
    <x v="0"/>
    <n v="12"/>
    <x v="1"/>
    <s v="Parador de Cordoba"/>
    <n v="0"/>
  </r>
  <r>
    <n v="929"/>
    <n v="28512"/>
    <d v="2026-02-20T00:00:00"/>
    <d v="2026-02-22T00:00:00"/>
    <s v="EUR"/>
    <n v="158.6"/>
    <n v="158.6"/>
    <d v="2026-04-08T00:00:00"/>
    <x v="5"/>
    <n v="4"/>
    <x v="2"/>
    <s v="MANDARIN ORIENTAL RITZ MADRID"/>
    <n v="0"/>
  </r>
  <r>
    <n v="937"/>
    <n v="28934"/>
    <d v="2026-02-24T00:00:00"/>
    <d v="2026-03-11T00:00:00"/>
    <s v="USD"/>
    <n v="138.96"/>
    <n v="119.5056"/>
    <d v="2026-04-25T00:00:00"/>
    <x v="5"/>
    <n v="4"/>
    <x v="2"/>
    <s v="F1S USA"/>
    <n v="0"/>
  </r>
  <r>
    <n v="938"/>
    <n v="27648"/>
    <d v="2026-01-19T00:00:00"/>
    <d v="2026-01-29T00:00:00"/>
    <s v="USD"/>
    <n v="2918.4"/>
    <n v="2509.8240000000001"/>
    <d v="2026-03-15T00:00:00"/>
    <x v="4"/>
    <n v="3"/>
    <x v="2"/>
    <s v="THE BEVERLY HILLS HOTEL"/>
    <n v="0"/>
  </r>
  <r>
    <n v="938"/>
    <n v="30165"/>
    <d v="2026-01-19T00:00:00"/>
    <d v="2026-01-29T00:00:00"/>
    <s v="USD"/>
    <n v="2143"/>
    <n v="1842.98"/>
    <d v="2026-03-15T00:00:00"/>
    <x v="4"/>
    <n v="3"/>
    <x v="2"/>
    <s v="FOUR SEASONS HOTEL BOSTON"/>
    <n v="0"/>
  </r>
  <r>
    <n v="941"/>
    <n v="25362"/>
    <d v="2025-12-28T00:00:00"/>
    <d v="2025-12-31T00:00:00"/>
    <s v="USD"/>
    <n v="1399.68"/>
    <n v="1203.7248"/>
    <d v="2026-02-14T00:00:00"/>
    <x v="2"/>
    <n v="2"/>
    <x v="2"/>
    <s v="AMAN TOKYO"/>
    <n v="0"/>
  </r>
  <r>
    <n v="941"/>
    <n v="25017"/>
    <d v="2025-12-31T00:00:00"/>
    <d v="2026-01-02T00:00:00"/>
    <s v="USD"/>
    <n v="513.24"/>
    <n v="441.38639999999998"/>
    <d v="2026-02-16T00:00:00"/>
    <x v="2"/>
    <n v="2"/>
    <x v="2"/>
    <s v="AMAN KYOTO"/>
    <n v="0"/>
  </r>
  <r>
    <n v="942"/>
    <n v="27613"/>
    <d v="2025-12-20T00:00:00"/>
    <d v="2025-12-23T00:00:00"/>
    <s v="USD"/>
    <n v="103.2"/>
    <n v="88.751999999999995"/>
    <d v="2026-02-06T00:00:00"/>
    <x v="2"/>
    <n v="2"/>
    <x v="2"/>
    <s v="SOMMERRO"/>
    <n v="0"/>
  </r>
  <r>
    <n v="943"/>
    <n v="27613"/>
    <d v="2025-12-20T00:00:00"/>
    <d v="2025-12-23T00:00:00"/>
    <s v="USD"/>
    <n v="97.2"/>
    <n v="83.591999999999999"/>
    <d v="2026-02-06T00:00:00"/>
    <x v="2"/>
    <n v="2"/>
    <x v="2"/>
    <s v="SOMMERRO"/>
    <n v="0"/>
  </r>
  <r>
    <n v="944"/>
    <n v="27966"/>
    <d v="2025-11-13T00:00:00"/>
    <d v="2025-11-15T00:00:00"/>
    <s v="MXN"/>
    <n v="5520"/>
    <n v="264.95999999999998"/>
    <d v="2025-12-30T00:00:00"/>
    <x v="0"/>
    <n v="12"/>
    <x v="1"/>
    <s v="ROSEWOOD MANDARINA"/>
    <n v="0"/>
  </r>
  <r>
    <n v="947"/>
    <n v="33969"/>
    <d v="2025-12-27T00:00:00"/>
    <d v="2025-12-28T00:00:00"/>
    <s v="USD"/>
    <n v="14.21"/>
    <n v="12.220600000000001"/>
    <d v="2026-02-11T00:00:00"/>
    <x v="2"/>
    <n v="2"/>
    <x v="2"/>
    <s v="Hotel Indigo Denver Downtown"/>
    <n v="0"/>
  </r>
  <r>
    <n v="949"/>
    <n v="25427"/>
    <d v="2025-12-06T00:00:00"/>
    <d v="2025-12-10T00:00:00"/>
    <s v="USD"/>
    <n v="296.58"/>
    <n v="255.05879999999999"/>
    <d v="2026-01-24T00:00:00"/>
    <x v="1"/>
    <n v="1"/>
    <x v="2"/>
    <s v="Expedia TAAP"/>
    <n v="0"/>
  </r>
  <r>
    <n v="952"/>
    <n v="28058"/>
    <d v="2026-03-30T00:00:00"/>
    <d v="2026-04-02T00:00:00"/>
    <s v="USD"/>
    <n v="178.2"/>
    <n v="153.25199999999998"/>
    <d v="2026-05-17T00:00:00"/>
    <x v="3"/>
    <n v="5"/>
    <x v="2"/>
    <s v="EL CALLEJON HOTEL BOUTIQUE"/>
    <n v="0"/>
  </r>
  <r>
    <n v="952"/>
    <n v="27633"/>
    <d v="2026-04-03T00:00:00"/>
    <d v="2026-04-05T00:00:00"/>
    <s v="USD"/>
    <n v="310"/>
    <n v="266.60000000000002"/>
    <d v="2026-05-20T00:00:00"/>
    <x v="3"/>
    <n v="5"/>
    <x v="2"/>
    <s v="FOUR SEASONS RESORT TAMARINDO"/>
    <n v="0"/>
  </r>
  <r>
    <n v="952"/>
    <n v="29707"/>
    <d v="2026-03-27T00:00:00"/>
    <d v="2026-03-30T00:00:00"/>
    <s v="USD"/>
    <n v="162.4"/>
    <n v="139.66400000000002"/>
    <d v="2026-05-14T00:00:00"/>
    <x v="3"/>
    <n v="5"/>
    <x v="2"/>
    <s v="KIMPTON VIRGILIO"/>
    <n v="0"/>
  </r>
  <r>
    <n v="952"/>
    <n v="29707"/>
    <d v="2026-03-27T00:00:00"/>
    <d v="2026-03-30T00:00:00"/>
    <s v="USD"/>
    <n v="162.4"/>
    <n v="139.66400000000002"/>
    <d v="2026-05-14T00:00:00"/>
    <x v="3"/>
    <n v="5"/>
    <x v="2"/>
    <s v="KIMPTON VIRGILIO"/>
    <n v="0"/>
  </r>
  <r>
    <n v="952"/>
    <n v="29707"/>
    <d v="2026-04-02T00:00:00"/>
    <d v="2026-04-03T00:00:00"/>
    <s v="USD"/>
    <n v="54.13"/>
    <n v="46.5518"/>
    <d v="2026-05-18T00:00:00"/>
    <x v="3"/>
    <n v="5"/>
    <x v="2"/>
    <s v="KIMPTON VIRGILIO"/>
    <n v="0"/>
  </r>
  <r>
    <n v="952"/>
    <n v="29707"/>
    <d v="2026-04-02T00:00:00"/>
    <d v="2026-04-03T00:00:00"/>
    <s v="USD"/>
    <n v="54.13"/>
    <n v="46.5518"/>
    <d v="2026-05-18T00:00:00"/>
    <x v="3"/>
    <n v="5"/>
    <x v="2"/>
    <s v="KIMPTON VIRGILIO"/>
    <n v="0"/>
  </r>
  <r>
    <n v="952"/>
    <n v="29707"/>
    <d v="2026-04-09T00:00:00"/>
    <d v="2026-04-11T00:00:00"/>
    <s v="USD"/>
    <n v="108.27"/>
    <n v="93.112200000000001"/>
    <d v="2026-05-26T00:00:00"/>
    <x v="3"/>
    <n v="5"/>
    <x v="2"/>
    <s v="KIMPTON VIRGILIO"/>
    <n v="0"/>
  </r>
  <r>
    <n v="952"/>
    <n v="29707"/>
    <d v="2026-04-09T00:00:00"/>
    <d v="2026-04-11T00:00:00"/>
    <s v="USD"/>
    <n v="108.27"/>
    <n v="93.112200000000001"/>
    <d v="2026-05-26T00:00:00"/>
    <x v="3"/>
    <n v="5"/>
    <x v="2"/>
    <s v="KIMPTON VIRGILIO"/>
    <n v="0"/>
  </r>
  <r>
    <n v="953"/>
    <n v="34184"/>
    <d v="2026-01-07T00:00:00"/>
    <d v="2026-01-13T00:00:00"/>
    <s v="USD"/>
    <n v="370.28"/>
    <n v="318.44079999999997"/>
    <d v="2026-02-27T00:00:00"/>
    <x v="2"/>
    <n v="2"/>
    <x v="2"/>
    <s v="Cerulean Tower Tokyu Hotel"/>
    <n v="0"/>
  </r>
  <r>
    <n v="953"/>
    <n v="26070"/>
    <d v="2026-01-13T00:00:00"/>
    <d v="2026-01-18T00:00:00"/>
    <s v="USD"/>
    <n v="677"/>
    <n v="582.22"/>
    <d v="2026-03-04T00:00:00"/>
    <x v="4"/>
    <n v="3"/>
    <x v="2"/>
    <s v="FOUR SEASONS HOTEL SEOUL"/>
    <n v="0"/>
  </r>
  <r>
    <n v="954"/>
    <n v="34228"/>
    <d v="2026-03-17T00:00:00"/>
    <d v="2026-03-19T00:00:00"/>
    <s v="USD"/>
    <n v="95.51"/>
    <n v="82.138599999999997"/>
    <d v="2026-05-03T00:00:00"/>
    <x v="3"/>
    <n v="5"/>
    <x v="2"/>
    <s v="Sixty Beverly Hills"/>
    <n v="0"/>
  </r>
  <r>
    <n v="956"/>
    <n v="29146"/>
    <d v="2025-12-18T00:00:00"/>
    <d v="2025-12-20T00:00:00"/>
    <s v="USD"/>
    <n v="2322.75"/>
    <n v="1997.5650000000001"/>
    <d v="2026-02-03T00:00:00"/>
    <x v="2"/>
    <n v="2"/>
    <x v="2"/>
    <s v="THE WOODWARD AUBERGE COLLECTION"/>
    <n v="0"/>
  </r>
  <r>
    <n v="956"/>
    <n v="23527"/>
    <d v="2025-12-27T00:00:00"/>
    <d v="2025-12-30T00:00:00"/>
    <s v="USD"/>
    <n v="1807.6"/>
    <n v="1554.5359999999998"/>
    <d v="2026-02-13T00:00:00"/>
    <x v="2"/>
    <n v="2"/>
    <x v="2"/>
    <s v="PORTRAIT MILANO HOTEL LUNGARNO COLLECTION"/>
    <n v="0"/>
  </r>
  <r>
    <n v="956"/>
    <n v="27965"/>
    <d v="2025-12-30T00:00:00"/>
    <d v="2026-01-02T00:00:00"/>
    <s v="USD"/>
    <n v="2951.1"/>
    <n v="2537.9459999999999"/>
    <d v="2026-02-16T00:00:00"/>
    <x v="2"/>
    <n v="2"/>
    <x v="2"/>
    <s v="AMAN VENICE"/>
    <n v="0"/>
  </r>
  <r>
    <n v="962"/>
    <n v="24267"/>
    <d v="2026-01-06T00:00:00"/>
    <d v="2026-01-12T00:00:00"/>
    <s v="USD"/>
    <n v="170.7"/>
    <n v="146.80199999999999"/>
    <d v="2026-02-26T00:00:00"/>
    <x v="2"/>
    <n v="2"/>
    <x v="2"/>
    <s v="THE MARK HOTEL"/>
    <n v="0"/>
  </r>
  <r>
    <n v="963"/>
    <n v="27559"/>
    <d v="2026-01-22T00:00:00"/>
    <d v="2026-01-25T00:00:00"/>
    <s v="USD"/>
    <n v="359.25"/>
    <n v="308.95499999999998"/>
    <d v="2026-03-11T00:00:00"/>
    <x v="4"/>
    <n v="3"/>
    <x v="2"/>
    <s v="SOFITEL LEGEND SANTA CLARA CARTAGENA"/>
    <n v="0"/>
  </r>
  <r>
    <n v="965"/>
    <n v="28752"/>
    <d v="2025-12-17T00:00:00"/>
    <d v="2025-12-19T00:00:00"/>
    <s v="USD"/>
    <n v="268.5"/>
    <n v="230.91"/>
    <d v="2026-02-02T00:00:00"/>
    <x v="2"/>
    <n v="2"/>
    <x v="2"/>
    <s v="AT SLOANE"/>
    <n v="0"/>
  </r>
  <r>
    <n v="966"/>
    <n v="33519"/>
    <d v="2025-12-02T00:00:00"/>
    <d v="2025-12-04T00:00:00"/>
    <s v="USD"/>
    <n v="378"/>
    <n v="325.08"/>
    <d v="2026-01-18T00:00:00"/>
    <x v="1"/>
    <n v="1"/>
    <x v="2"/>
    <s v="WYNN AND ENCORE LAS VEGAS"/>
    <n v="0"/>
  </r>
  <r>
    <n v="967"/>
    <n v="26512"/>
    <d v="2026-04-21T00:00:00"/>
    <d v="2026-04-23T00:00:00"/>
    <s v="USD"/>
    <n v="154"/>
    <n v="132.44"/>
    <d v="2026-06-07T00:00:00"/>
    <x v="6"/>
    <n v="6"/>
    <x v="2"/>
    <s v="FOUR SEASONS"/>
    <n v="0"/>
  </r>
  <r>
    <n v="968"/>
    <n v="32017"/>
    <d v="2026-09-24T00:00:00"/>
    <d v="2026-09-27T00:00:00"/>
    <s v="USD"/>
    <n v="900"/>
    <n v="774"/>
    <d v="2026-11-11T00:00:00"/>
    <x v="11"/>
    <n v="11"/>
    <x v="2"/>
    <s v="CHEVAL BLANC MALDIVES"/>
    <n v="0"/>
  </r>
  <r>
    <n v="968"/>
    <n v="34261"/>
    <d v="2026-09-27T00:00:00"/>
    <d v="2026-09-30T00:00:00"/>
    <s v="USD"/>
    <n v="570"/>
    <n v="490.2"/>
    <d v="2026-11-14T00:00:00"/>
    <x v="11"/>
    <n v="11"/>
    <x v="2"/>
    <s v="The Ritz Carlton Maldives"/>
    <n v="0"/>
  </r>
  <r>
    <n v="970"/>
    <n v="34251"/>
    <d v="2025-12-10T00:00:00"/>
    <d v="2025-12-14T00:00:00"/>
    <s v="EUR"/>
    <n v="232"/>
    <n v="232"/>
    <d v="2026-01-28T00:00:00"/>
    <x v="1"/>
    <n v="1"/>
    <x v="2"/>
    <s v="Hotel Experimental Marais"/>
    <n v="0"/>
  </r>
  <r>
    <n v="972"/>
    <n v="24006"/>
    <d v="2026-01-21T00:00:00"/>
    <d v="2026-01-23T00:00:00"/>
    <s v="GBP"/>
    <n v="165"/>
    <n v="189.74999999999997"/>
    <d v="2026-03-09T00:00:00"/>
    <x v="4"/>
    <n v="3"/>
    <x v="2"/>
    <s v="ESTELLE MANOR"/>
    <n v="0"/>
  </r>
  <r>
    <n v="973"/>
    <n v="29688"/>
    <d v="2026-01-18T00:00:00"/>
    <d v="2026-01-21T00:00:00"/>
    <s v="EUR"/>
    <n v="242.24"/>
    <n v="242.24"/>
    <d v="2026-03-07T00:00:00"/>
    <x v="4"/>
    <n v="3"/>
    <x v="2"/>
    <s v="TABLET HOTELS"/>
    <n v="0"/>
  </r>
  <r>
    <n v="975"/>
    <n v="34260"/>
    <d v="2026-01-10T00:00:00"/>
    <d v="2026-01-11T00:00:00"/>
    <s v="MXN"/>
    <n v="1065.71"/>
    <n v="51.15408"/>
    <d v="2026-02-25T00:00:00"/>
    <x v="2"/>
    <n v="2"/>
    <x v="2"/>
    <s v="Amomoxtli"/>
    <n v="0"/>
  </r>
  <r>
    <n v="977"/>
    <n v="33565"/>
    <d v="2026-01-21T00:00:00"/>
    <d v="2026-01-23T00:00:00"/>
    <s v="USD"/>
    <n v="150"/>
    <n v="129"/>
    <d v="2026-03-09T00:00:00"/>
    <x v="4"/>
    <n v="3"/>
    <x v="2"/>
    <s v="AC HOTEL TOKYO GINZA"/>
    <n v="0"/>
  </r>
  <r>
    <n v="979"/>
    <n v="31465"/>
    <d v="2025-12-09T00:00:00"/>
    <d v="2025-12-12T00:00:00"/>
    <s v="USD"/>
    <n v="252.3"/>
    <n v="216.97800000000001"/>
    <d v="2026-01-26T00:00:00"/>
    <x v="1"/>
    <n v="1"/>
    <x v="2"/>
    <s v="ROCCO FORTE HOTEL DE RUSSIE"/>
    <n v="0"/>
  </r>
  <r>
    <n v="980"/>
    <n v="25704"/>
    <d v="2025-12-30T00:00:00"/>
    <d v="2026-01-02T00:00:00"/>
    <s v="USD"/>
    <n v="676.6"/>
    <n v="581.87599999999998"/>
    <d v="2026-02-16T00:00:00"/>
    <x v="2"/>
    <n v="2"/>
    <x v="2"/>
    <s v="ROSEWOOD VIENNA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  <r>
    <m/>
    <m/>
    <m/>
    <m/>
    <m/>
    <m/>
    <n v="0"/>
    <d v="1900-02-13T00:00:00"/>
    <x v="2"/>
    <n v="2"/>
    <x v="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8CAEE-983E-4658-9C66-997BD1796430}" name="Tabla dinámica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AF5" firstHeaderRow="1" firstDataRow="3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compact="0" numFmtId="164" outline="0" showAll="0"/>
    <pivotField axis="axisCol" compact="0" outline="0" showAll="0">
      <items count="13">
        <item x="1"/>
        <item x="2"/>
        <item x="4"/>
        <item x="5"/>
        <item x="3"/>
        <item x="6"/>
        <item x="7"/>
        <item x="8"/>
        <item x="10"/>
        <item x="9"/>
        <item x="11"/>
        <item x="0"/>
        <item t="default"/>
      </items>
    </pivotField>
    <pivotField compact="0" outline="0" showAll="0"/>
    <pivotField axis="axisCol" compact="0" outline="0" showAll="0">
      <items count="6">
        <item h="1" x="4"/>
        <item x="0"/>
        <item x="1"/>
        <item x="2"/>
        <item x="3"/>
        <item t="default"/>
      </items>
    </pivotField>
    <pivotField compact="0" outline="0" showAll="0"/>
    <pivotField compact="0" outline="0" showAll="0"/>
  </pivotFields>
  <rowItems count="1">
    <i/>
  </rowItems>
  <colFields count="2">
    <field x="10"/>
    <field x="8"/>
  </colFields>
  <colItems count="31">
    <i>
      <x v="1"/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t="default">
      <x v="4"/>
    </i>
    <i t="grand">
      <x/>
    </i>
  </colItems>
  <dataFields count="1">
    <dataField name="Suma de Comision en EUR" fld="6" baseField="0" baseItem="0" numFmtId="4"/>
  </dataFields>
  <formats count="4">
    <format dxfId="10">
      <pivotArea outline="0" fieldPosition="0">
        <references count="1">
          <reference field="10" count="1" selected="0" defaultSubtotal="1">
            <x v="1"/>
          </reference>
        </references>
      </pivotArea>
    </format>
    <format dxfId="9">
      <pivotArea outline="0" fieldPosition="0">
        <references count="2">
          <reference field="8" count="0" selected="0"/>
          <reference field="10" count="1" selected="0">
            <x v="2"/>
          </reference>
        </references>
      </pivotArea>
    </format>
    <format dxfId="8">
      <pivotArea outline="0" fieldPosition="0">
        <references count="2">
          <reference field="8" count="0" selected="0"/>
          <reference field="10" count="1" selected="0">
            <x v="3"/>
          </reference>
        </references>
      </pivotArea>
    </format>
    <format dxfId="7">
      <pivotArea outline="0" fieldPosition="0">
        <references count="2">
          <reference field="8" count="1" selected="0">
            <x v="0"/>
          </reference>
          <reference field="10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405C0-3472-45DB-BB89-DCD9628DF310}" name="Tabla 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J5" firstHeaderRow="1" firstDataRow="3" firstDataCol="1"/>
  <pivotFields count="13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64" outline="0" showAll="0"/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Items count="1">
    <i/>
  </rowItems>
  <colFields count="2">
    <field x="11"/>
    <field x="9"/>
  </colFields>
  <colItems count="9">
    <i>
      <x/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a de Comision en EUR" fld="6" baseField="0" baseItem="0"/>
  </dataFields>
  <formats count="3">
    <format dxfId="2">
      <pivotArea outline="0" fieldPosition="0">
        <references count="2">
          <reference field="9" count="1" selected="0">
            <x v="4"/>
          </reference>
          <reference field="11" count="1" selected="0">
            <x v="0"/>
          </reference>
        </references>
      </pivotArea>
    </format>
    <format dxfId="1">
      <pivotArea outline="0" fieldPosition="0">
        <references count="2">
          <reference field="9" count="1" selected="0">
            <x v="5"/>
          </reference>
          <reference field="11" count="1" selected="0">
            <x v="0"/>
          </reference>
        </references>
      </pivotArea>
    </format>
    <format dxfId="0">
      <pivotArea outline="0" fieldPosition="0">
        <references count="2">
          <reference field="9" count="4" selected="0">
            <x v="0"/>
            <x v="1"/>
            <x v="2"/>
            <x v="3"/>
          </reference>
          <reference field="11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B1E16-132F-4421-BB23-0975A206D3A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6" firstHeaderRow="1" firstDataRow="3" firstDataCol="1"/>
  <pivotFields count="13"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numFmtId="164" showAll="0"/>
    <pivotField axis="axisCol" showAll="0">
      <items count="7">
        <item x="2"/>
        <item x="1"/>
        <item x="3"/>
        <item x="4"/>
        <item x="5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Items count="1">
    <i/>
  </rowItems>
  <colFields count="2">
    <field x="11"/>
    <field x="9"/>
  </colFields>
  <colItems count="9">
    <i>
      <x/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mision en EUR" fld="6" baseField="0" baseItem="0" numFmtId="166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49323-282F-4654-8B65-A61EF4B52B98}" name="Table1" displayName="Table1" ref="A3:M6" totalsRowShown="0">
  <autoFilter ref="A3:M6" xr:uid="{F1649323-282F-4654-8B65-A61EF4B52B98}"/>
  <tableColumns count="13">
    <tableColumn id="1" xr3:uid="{DB6FD9CF-2599-4AC3-ACAB-A7B6204AE7FD}" name="folio"/>
    <tableColumn id="2" xr3:uid="{D548F21F-62BE-45C8-BD24-CB498436819C}" name="proveedor"/>
    <tableColumn id="3" xr3:uid="{C4E30133-8A11-4A4B-8C5F-7C717CFF9BC5}" name="inicio_estancia" dataDxfId="6"/>
    <tableColumn id="4" xr3:uid="{36541CB3-9E85-45D4-B1CE-E057CB56E721}" name="fin_estancia" dataDxfId="5"/>
    <tableColumn id="5" xr3:uid="{6271088E-E16B-4FD8-9448-CDC84F8E382A}" name="moneda"/>
    <tableColumn id="6" xr3:uid="{5C84AD05-E9DD-4B60-ADA6-A144EF36AEE6}" name="monto_comision"/>
    <tableColumn id="7" xr3:uid="{C8BF5DCC-EA64-4671-BF6E-2A49615A7769}" name="Comision en EUR"/>
    <tableColumn id="8" xr3:uid="{630B5C10-2116-4A86-8692-BA24BA3BEFA9}" name="Nombre Provedor"/>
    <tableColumn id="9" xr3:uid="{F8A0E0B9-59EC-4021-85AA-2639B3FDE122}" name="45 dias despues fin" dataDxfId="4"/>
    <tableColumn id="10" xr3:uid="{92177F70-024A-4A1D-BCB8-44BF6884F4EB}" name="mes 45 dias"/>
    <tableColumn id="11" xr3:uid="{CD08039D-3F4C-4574-BD37-1D71B7C5DE84}" name="Numero mes"/>
    <tableColumn id="12" xr3:uid="{41B93C33-8D35-427D-846E-2981B460BA97}" name="año 45 dias"/>
    <tableColumn id="13" xr3:uid="{EF338214-FB96-48F6-982E-F1A7C116208F}" name="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ooking.com/" TargetMode="External"/><Relationship Id="rId2" Type="http://schemas.openxmlformats.org/officeDocument/2006/relationships/hyperlink" Target="http://consolidador.com/" TargetMode="External"/><Relationship Id="rId1" Type="http://schemas.openxmlformats.org/officeDocument/2006/relationships/hyperlink" Target="http://jet2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ooking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E5007"/>
  <sheetViews>
    <sheetView workbookViewId="0">
      <selection activeCell="M33" sqref="M33:M34"/>
    </sheetView>
  </sheetViews>
  <sheetFormatPr baseColWidth="10" defaultColWidth="12.5" defaultRowHeight="15.75" customHeight="1"/>
  <cols>
    <col min="1" max="1" width="6.5" customWidth="1"/>
    <col min="2" max="2" width="20.1640625" customWidth="1"/>
    <col min="5" max="5" width="14.33203125" customWidth="1"/>
    <col min="7" max="7" width="17.5" style="6" customWidth="1"/>
    <col min="8" max="8" width="15.5" customWidth="1"/>
    <col min="12" max="12" width="41.5" customWidth="1"/>
    <col min="13" max="13" width="17.1640625" customWidth="1"/>
    <col min="18" max="18" width="49.83203125" customWidth="1"/>
  </cols>
  <sheetData>
    <row r="1" spans="1:3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Q1" s="28" t="s">
        <v>13</v>
      </c>
      <c r="R1" s="29" t="s">
        <v>14</v>
      </c>
      <c r="V1" s="1" t="s">
        <v>0</v>
      </c>
      <c r="W1" s="1" t="s">
        <v>15</v>
      </c>
      <c r="Z1" t="s">
        <v>16</v>
      </c>
      <c r="AA1" t="s">
        <v>17</v>
      </c>
      <c r="AB1" t="s">
        <v>18</v>
      </c>
    </row>
    <row r="2" spans="1:31" ht="15.75" customHeight="1">
      <c r="A2" s="3">
        <v>31</v>
      </c>
      <c r="B2" s="3">
        <v>24237</v>
      </c>
      <c r="C2" s="4">
        <v>45608</v>
      </c>
      <c r="D2" s="4">
        <v>45611</v>
      </c>
      <c r="E2" s="5" t="s">
        <v>19</v>
      </c>
      <c r="F2" s="3">
        <v>588.05999999999995</v>
      </c>
      <c r="G2" s="6">
        <f>F2*_xlfn.XLOOKUP(E2,Z:Z,AA:AA)</f>
        <v>588.05999999999995</v>
      </c>
      <c r="H2" s="7">
        <f t="shared" ref="H2:H256" si="0">D2+45</f>
        <v>45656</v>
      </c>
      <c r="I2" s="2" t="str">
        <f t="shared" ref="I2:I256" si="1">TEXT(H2,"mmmm")</f>
        <v>diciembre</v>
      </c>
      <c r="J2" s="2">
        <f t="shared" ref="J2:J256" si="2">IF(I2="enero",1,
IF(I2="febrero",2,
IF(I2="marzo",3,
IF(I2="abril",4,
IF(I2="mayo",5,
IF(I2="junio",6,
IF(I2="julio",7,
IF(I2="agosto",8,
IF(I2="septiembre",9,
IF(I2="octubre",10,
IF(I2="noviembre",11,
IF(I2="diciembre",12)))))))))))
)</f>
        <v>12</v>
      </c>
      <c r="K2" s="2">
        <f>YEAR(H2)</f>
        <v>2024</v>
      </c>
      <c r="L2" s="2" t="str">
        <f>_xlfn.XLOOKUP(B2,Q:Q,R:R)</f>
        <v>BULGARI HOTEL ROMA</v>
      </c>
      <c r="M2" s="2" t="str">
        <f>_xlfn.XLOOKUP(A2,V:V,W:W)</f>
        <v>DianaM</v>
      </c>
      <c r="O2" s="2"/>
      <c r="Q2" s="8">
        <v>23317</v>
      </c>
      <c r="R2" s="9" t="s">
        <v>20</v>
      </c>
      <c r="V2" s="3">
        <v>1</v>
      </c>
      <c r="W2" s="5" t="s">
        <v>21</v>
      </c>
      <c r="Z2" t="s">
        <v>19</v>
      </c>
      <c r="AA2">
        <v>1</v>
      </c>
      <c r="AB2">
        <v>1.1599999999999999</v>
      </c>
      <c r="AD2" s="10"/>
      <c r="AE2" s="10"/>
    </row>
    <row r="3" spans="1:31" ht="15.75" customHeight="1">
      <c r="A3" s="3">
        <v>31</v>
      </c>
      <c r="B3" s="3">
        <v>24242</v>
      </c>
      <c r="C3" s="4">
        <v>45616</v>
      </c>
      <c r="D3" s="4">
        <v>45618</v>
      </c>
      <c r="E3" s="5" t="s">
        <v>19</v>
      </c>
      <c r="F3" s="3">
        <v>220.8</v>
      </c>
      <c r="G3" s="6">
        <f t="shared" ref="G3:G66" si="3">F3*_xlfn.XLOOKUP(E3,Z:Z,AA:AA)</f>
        <v>220.8</v>
      </c>
      <c r="H3" s="7">
        <f t="shared" si="0"/>
        <v>45663</v>
      </c>
      <c r="I3" s="2" t="str">
        <f t="shared" si="1"/>
        <v>enero</v>
      </c>
      <c r="J3" s="2">
        <f t="shared" si="2"/>
        <v>1</v>
      </c>
      <c r="K3" s="2">
        <f t="shared" ref="K3:K66" si="4">YEAR(H3)</f>
        <v>2025</v>
      </c>
      <c r="L3" s="2" t="str">
        <f t="shared" ref="L3:L66" si="5">_xlfn.XLOOKUP(B3,Q:Q,R:R)</f>
        <v>THE GRITTI PALACE</v>
      </c>
      <c r="M3" s="2" t="str">
        <f t="shared" ref="M3:M66" si="6">_xlfn.XLOOKUP(A3,V:V,W:W)</f>
        <v>DianaM</v>
      </c>
      <c r="Q3" s="5">
        <v>23323</v>
      </c>
      <c r="R3" s="5" t="s">
        <v>22</v>
      </c>
      <c r="V3" s="3">
        <v>2</v>
      </c>
      <c r="W3" s="5" t="s">
        <v>23</v>
      </c>
      <c r="Z3" t="s">
        <v>24</v>
      </c>
      <c r="AA3">
        <v>0.86</v>
      </c>
      <c r="AB3">
        <v>1</v>
      </c>
      <c r="AD3" s="10"/>
      <c r="AE3" s="10"/>
    </row>
    <row r="4" spans="1:31" ht="15.75" customHeight="1">
      <c r="A4" s="3">
        <v>31</v>
      </c>
      <c r="B4" s="3">
        <v>23527</v>
      </c>
      <c r="C4" s="4">
        <v>45614</v>
      </c>
      <c r="D4" s="4">
        <v>45616</v>
      </c>
      <c r="E4" s="5" t="s">
        <v>19</v>
      </c>
      <c r="F4" s="3">
        <v>360</v>
      </c>
      <c r="G4" s="6">
        <f t="shared" si="3"/>
        <v>360</v>
      </c>
      <c r="H4" s="7">
        <f t="shared" si="0"/>
        <v>45661</v>
      </c>
      <c r="I4" s="2" t="str">
        <f t="shared" si="1"/>
        <v>enero</v>
      </c>
      <c r="J4" s="2">
        <f t="shared" si="2"/>
        <v>1</v>
      </c>
      <c r="K4" s="2">
        <f t="shared" si="4"/>
        <v>2025</v>
      </c>
      <c r="L4" s="2" t="str">
        <f t="shared" si="5"/>
        <v>PORTRAIT MILANO HOTEL LUNGARNO COLLECTION</v>
      </c>
      <c r="M4" s="2" t="str">
        <f t="shared" si="6"/>
        <v>DianaM</v>
      </c>
      <c r="Q4" s="3">
        <v>23324</v>
      </c>
      <c r="R4" s="5" t="s">
        <v>25</v>
      </c>
      <c r="V4" s="3">
        <v>2</v>
      </c>
      <c r="W4" s="5" t="s">
        <v>23</v>
      </c>
      <c r="Z4" t="s">
        <v>26</v>
      </c>
      <c r="AA4">
        <v>1.07</v>
      </c>
      <c r="AB4">
        <v>1.25</v>
      </c>
      <c r="AD4" s="10"/>
      <c r="AE4" s="10"/>
    </row>
    <row r="5" spans="1:31" ht="15.75" customHeight="1">
      <c r="A5" s="3">
        <v>57</v>
      </c>
      <c r="B5" s="3">
        <v>25780</v>
      </c>
      <c r="C5" s="4">
        <v>45994</v>
      </c>
      <c r="D5" s="4">
        <v>46024</v>
      </c>
      <c r="E5" s="5" t="s">
        <v>24</v>
      </c>
      <c r="F5" s="3">
        <v>42.75</v>
      </c>
      <c r="G5" s="6">
        <f t="shared" si="3"/>
        <v>36.765000000000001</v>
      </c>
      <c r="H5" s="7">
        <f t="shared" si="0"/>
        <v>46069</v>
      </c>
      <c r="I5" s="2" t="str">
        <f t="shared" si="1"/>
        <v>febrero</v>
      </c>
      <c r="J5" s="2">
        <f t="shared" si="2"/>
        <v>2</v>
      </c>
      <c r="K5" s="2">
        <f t="shared" si="4"/>
        <v>2026</v>
      </c>
      <c r="L5" s="2" t="str">
        <f t="shared" si="5"/>
        <v>ROLZO</v>
      </c>
      <c r="M5" s="2" t="str">
        <f t="shared" si="6"/>
        <v>DianaM</v>
      </c>
      <c r="Q5" s="3">
        <v>23331</v>
      </c>
      <c r="R5" s="5" t="s">
        <v>27</v>
      </c>
      <c r="V5" s="3">
        <v>3</v>
      </c>
      <c r="W5" s="5" t="s">
        <v>23</v>
      </c>
      <c r="Z5" t="s">
        <v>28</v>
      </c>
      <c r="AA5">
        <v>1.1499999999999999</v>
      </c>
      <c r="AB5">
        <v>1.34</v>
      </c>
      <c r="AD5" s="10"/>
      <c r="AE5" s="10"/>
    </row>
    <row r="6" spans="1:31" ht="15.75" customHeight="1">
      <c r="A6" s="3">
        <v>57</v>
      </c>
      <c r="B6" s="3">
        <v>25780</v>
      </c>
      <c r="C6" s="4">
        <v>45994</v>
      </c>
      <c r="D6" s="4">
        <v>46024</v>
      </c>
      <c r="E6" s="5" t="s">
        <v>24</v>
      </c>
      <c r="F6" s="3">
        <v>42.75</v>
      </c>
      <c r="G6" s="6">
        <f t="shared" si="3"/>
        <v>36.765000000000001</v>
      </c>
      <c r="H6" s="7">
        <f t="shared" si="0"/>
        <v>46069</v>
      </c>
      <c r="I6" s="2" t="str">
        <f t="shared" si="1"/>
        <v>febrero</v>
      </c>
      <c r="J6" s="2">
        <f t="shared" si="2"/>
        <v>2</v>
      </c>
      <c r="K6" s="2">
        <f t="shared" si="4"/>
        <v>2026</v>
      </c>
      <c r="L6" s="2" t="str">
        <f t="shared" si="5"/>
        <v>ROLZO</v>
      </c>
      <c r="M6" s="2" t="str">
        <f t="shared" si="6"/>
        <v>DianaM</v>
      </c>
      <c r="Q6" s="3">
        <v>23362</v>
      </c>
      <c r="R6" s="5" t="s">
        <v>29</v>
      </c>
      <c r="V6" s="3">
        <v>4</v>
      </c>
      <c r="W6" s="5" t="s">
        <v>23</v>
      </c>
      <c r="Z6" t="s">
        <v>30</v>
      </c>
      <c r="AA6">
        <v>1.1499999999999999</v>
      </c>
      <c r="AB6">
        <v>1.34</v>
      </c>
      <c r="AD6" s="10"/>
      <c r="AE6" s="10"/>
    </row>
    <row r="7" spans="1:31" ht="15.75" customHeight="1">
      <c r="A7" s="3">
        <v>57</v>
      </c>
      <c r="B7" s="3">
        <v>25780</v>
      </c>
      <c r="C7" s="4">
        <v>45994</v>
      </c>
      <c r="D7" s="4">
        <v>46024</v>
      </c>
      <c r="E7" s="5" t="s">
        <v>24</v>
      </c>
      <c r="F7" s="3">
        <v>65.25</v>
      </c>
      <c r="G7" s="6">
        <f t="shared" si="3"/>
        <v>56.115000000000002</v>
      </c>
      <c r="H7" s="7">
        <f t="shared" si="0"/>
        <v>46069</v>
      </c>
      <c r="I7" s="2" t="str">
        <f t="shared" si="1"/>
        <v>febrero</v>
      </c>
      <c r="J7" s="2">
        <f t="shared" si="2"/>
        <v>2</v>
      </c>
      <c r="K7" s="2">
        <f t="shared" si="4"/>
        <v>2026</v>
      </c>
      <c r="L7" s="2" t="str">
        <f t="shared" si="5"/>
        <v>ROLZO</v>
      </c>
      <c r="M7" s="2" t="str">
        <f t="shared" si="6"/>
        <v>DianaM</v>
      </c>
      <c r="Q7" s="3">
        <v>23376</v>
      </c>
      <c r="R7" s="5" t="s">
        <v>31</v>
      </c>
      <c r="V7" s="3">
        <v>4</v>
      </c>
      <c r="W7" s="5" t="s">
        <v>23</v>
      </c>
      <c r="Z7" t="s">
        <v>32</v>
      </c>
      <c r="AA7">
        <v>5.4999999999999997E-3</v>
      </c>
      <c r="AB7">
        <v>6.4000000000000003E-3</v>
      </c>
      <c r="AD7" s="10"/>
      <c r="AE7" s="10"/>
    </row>
    <row r="8" spans="1:31" ht="15.75" customHeight="1">
      <c r="A8" s="3">
        <v>57</v>
      </c>
      <c r="B8" s="3">
        <v>25780</v>
      </c>
      <c r="C8" s="4">
        <v>45994</v>
      </c>
      <c r="D8" s="4">
        <v>46024</v>
      </c>
      <c r="E8" s="5" t="s">
        <v>24</v>
      </c>
      <c r="F8" s="3">
        <v>65.25</v>
      </c>
      <c r="G8" s="6">
        <f t="shared" si="3"/>
        <v>56.115000000000002</v>
      </c>
      <c r="H8" s="7">
        <f t="shared" si="0"/>
        <v>46069</v>
      </c>
      <c r="I8" s="2" t="str">
        <f t="shared" si="1"/>
        <v>febrero</v>
      </c>
      <c r="J8" s="2">
        <f t="shared" si="2"/>
        <v>2</v>
      </c>
      <c r="K8" s="2">
        <f t="shared" si="4"/>
        <v>2026</v>
      </c>
      <c r="L8" s="2" t="str">
        <f t="shared" si="5"/>
        <v>ROLZO</v>
      </c>
      <c r="M8" s="2" t="str">
        <f t="shared" si="6"/>
        <v>DianaM</v>
      </c>
      <c r="Q8" s="3">
        <v>23401</v>
      </c>
      <c r="R8" s="5" t="s">
        <v>33</v>
      </c>
      <c r="V8" s="3">
        <v>5</v>
      </c>
      <c r="W8" s="5" t="s">
        <v>23</v>
      </c>
      <c r="Z8" t="s">
        <v>34</v>
      </c>
      <c r="AA8">
        <v>4.8000000000000001E-2</v>
      </c>
      <c r="AB8">
        <v>5.6000000000000001E-2</v>
      </c>
      <c r="AD8" s="10"/>
      <c r="AE8" s="10"/>
    </row>
    <row r="9" spans="1:31" ht="15.75" customHeight="1">
      <c r="A9" s="3">
        <v>62</v>
      </c>
      <c r="B9" s="3">
        <v>24989</v>
      </c>
      <c r="C9" s="4">
        <v>45750</v>
      </c>
      <c r="D9" s="4">
        <v>45752</v>
      </c>
      <c r="E9" s="5" t="s">
        <v>24</v>
      </c>
      <c r="F9" s="3">
        <v>60</v>
      </c>
      <c r="G9" s="6">
        <f t="shared" si="3"/>
        <v>51.6</v>
      </c>
      <c r="H9" s="7">
        <f t="shared" si="0"/>
        <v>45797</v>
      </c>
      <c r="I9" s="2" t="str">
        <f t="shared" si="1"/>
        <v>mayo</v>
      </c>
      <c r="J9" s="2">
        <f t="shared" si="2"/>
        <v>5</v>
      </c>
      <c r="K9" s="2">
        <f t="shared" si="4"/>
        <v>2025</v>
      </c>
      <c r="L9" s="2" t="str">
        <f t="shared" si="5"/>
        <v>HYATT CENTRIC KANAZAWA</v>
      </c>
      <c r="M9" s="2" t="str">
        <f t="shared" si="6"/>
        <v>DianaM</v>
      </c>
      <c r="Q9" s="3">
        <v>23461</v>
      </c>
      <c r="R9" s="5" t="s">
        <v>35</v>
      </c>
      <c r="V9" s="3">
        <v>6</v>
      </c>
      <c r="W9" s="5" t="s">
        <v>23</v>
      </c>
      <c r="AA9" s="3"/>
      <c r="AD9" s="11"/>
      <c r="AE9" s="11"/>
    </row>
    <row r="10" spans="1:31" ht="15.75" customHeight="1">
      <c r="A10" s="3">
        <v>80</v>
      </c>
      <c r="B10" s="3">
        <v>25077</v>
      </c>
      <c r="C10" s="4">
        <v>45693</v>
      </c>
      <c r="D10" s="4">
        <v>45698</v>
      </c>
      <c r="E10" s="5" t="s">
        <v>24</v>
      </c>
      <c r="F10" s="3">
        <v>225.04</v>
      </c>
      <c r="G10" s="6">
        <f t="shared" si="3"/>
        <v>193.53439999999998</v>
      </c>
      <c r="H10" s="7">
        <f t="shared" si="0"/>
        <v>45743</v>
      </c>
      <c r="I10" s="2" t="str">
        <f t="shared" si="1"/>
        <v>marzo</v>
      </c>
      <c r="J10" s="2">
        <f t="shared" si="2"/>
        <v>3</v>
      </c>
      <c r="K10" s="2">
        <f t="shared" si="4"/>
        <v>2025</v>
      </c>
      <c r="L10" s="2" t="str">
        <f t="shared" si="5"/>
        <v>ALVEAR PALACE HOTEL</v>
      </c>
      <c r="M10" s="2" t="str">
        <f t="shared" si="6"/>
        <v>MinervaH</v>
      </c>
      <c r="Q10" s="3">
        <v>23525</v>
      </c>
      <c r="R10" s="5" t="s">
        <v>36</v>
      </c>
      <c r="V10" s="3">
        <v>6</v>
      </c>
      <c r="W10" s="5" t="s">
        <v>23</v>
      </c>
      <c r="AA10" s="3"/>
      <c r="AD10" s="10"/>
      <c r="AE10" s="10"/>
    </row>
    <row r="11" spans="1:31" ht="15.75" customHeight="1">
      <c r="A11" s="3">
        <v>93</v>
      </c>
      <c r="B11" s="3">
        <v>25247</v>
      </c>
      <c r="C11" s="4">
        <v>45674</v>
      </c>
      <c r="D11" s="4">
        <v>45678</v>
      </c>
      <c r="E11" s="5" t="s">
        <v>19</v>
      </c>
      <c r="F11" s="3">
        <v>575.84</v>
      </c>
      <c r="G11" s="6">
        <f t="shared" si="3"/>
        <v>575.84</v>
      </c>
      <c r="H11" s="7">
        <f t="shared" si="0"/>
        <v>45723</v>
      </c>
      <c r="I11" s="2" t="str">
        <f t="shared" si="1"/>
        <v>marzo</v>
      </c>
      <c r="J11" s="2">
        <f t="shared" si="2"/>
        <v>3</v>
      </c>
      <c r="K11" s="2">
        <f t="shared" si="4"/>
        <v>2025</v>
      </c>
      <c r="L11" s="2" t="str">
        <f t="shared" si="5"/>
        <v>HOTEL FOUGERE</v>
      </c>
      <c r="M11" s="2" t="str">
        <f t="shared" si="6"/>
        <v>DianaM</v>
      </c>
      <c r="Q11" s="3">
        <v>23526</v>
      </c>
      <c r="R11" s="5" t="s">
        <v>37</v>
      </c>
      <c r="V11" s="3">
        <v>6</v>
      </c>
      <c r="W11" s="5" t="s">
        <v>23</v>
      </c>
      <c r="AA11" s="3"/>
      <c r="AD11" s="10"/>
      <c r="AE11" s="10"/>
    </row>
    <row r="12" spans="1:31" ht="15.75" customHeight="1">
      <c r="A12" s="3">
        <v>93</v>
      </c>
      <c r="B12" s="3">
        <v>25247</v>
      </c>
      <c r="C12" s="4">
        <v>45674</v>
      </c>
      <c r="D12" s="4">
        <v>45678</v>
      </c>
      <c r="E12" s="5" t="s">
        <v>19</v>
      </c>
      <c r="F12" s="3">
        <v>910.52</v>
      </c>
      <c r="G12" s="6">
        <f t="shared" si="3"/>
        <v>910.52</v>
      </c>
      <c r="H12" s="7">
        <f t="shared" si="0"/>
        <v>45723</v>
      </c>
      <c r="I12" s="2" t="str">
        <f t="shared" si="1"/>
        <v>marzo</v>
      </c>
      <c r="J12" s="2">
        <f t="shared" si="2"/>
        <v>3</v>
      </c>
      <c r="K12" s="2">
        <f t="shared" si="4"/>
        <v>2025</v>
      </c>
      <c r="L12" s="2" t="str">
        <f t="shared" si="5"/>
        <v>HOTEL FOUGERE</v>
      </c>
      <c r="M12" s="2" t="str">
        <f t="shared" si="6"/>
        <v>DianaM</v>
      </c>
      <c r="Q12" s="3">
        <v>23527</v>
      </c>
      <c r="R12" s="5" t="s">
        <v>38</v>
      </c>
      <c r="V12" s="3">
        <v>7</v>
      </c>
      <c r="W12" s="5" t="s">
        <v>23</v>
      </c>
      <c r="AA12" s="3"/>
      <c r="AD12" s="10"/>
      <c r="AE12" s="10"/>
    </row>
    <row r="13" spans="1:31" ht="15.75" customHeight="1">
      <c r="A13" s="3">
        <v>94</v>
      </c>
      <c r="B13" s="3">
        <v>24992</v>
      </c>
      <c r="C13" s="4">
        <v>45690</v>
      </c>
      <c r="D13" s="4">
        <v>45693</v>
      </c>
      <c r="E13" s="5" t="s">
        <v>34</v>
      </c>
      <c r="F13" s="3">
        <v>504.9</v>
      </c>
      <c r="G13" s="6">
        <f t="shared" si="3"/>
        <v>24.235199999999999</v>
      </c>
      <c r="H13" s="7">
        <f t="shared" si="0"/>
        <v>45738</v>
      </c>
      <c r="I13" s="2" t="str">
        <f t="shared" si="1"/>
        <v>marzo</v>
      </c>
      <c r="J13" s="2">
        <f t="shared" si="2"/>
        <v>3</v>
      </c>
      <c r="K13" s="2">
        <f t="shared" si="4"/>
        <v>2025</v>
      </c>
      <c r="L13" s="2" t="str">
        <f t="shared" si="5"/>
        <v>CASA POLANCO HOTEL BOUTIQUE</v>
      </c>
      <c r="M13" s="2" t="str">
        <f t="shared" si="6"/>
        <v>VeronicaN</v>
      </c>
      <c r="Q13" s="3">
        <v>23590</v>
      </c>
      <c r="R13" s="5" t="s">
        <v>39</v>
      </c>
      <c r="V13" s="3">
        <v>7</v>
      </c>
      <c r="W13" s="5" t="s">
        <v>23</v>
      </c>
      <c r="AA13" s="3"/>
      <c r="AD13" s="10"/>
      <c r="AE13" s="10"/>
    </row>
    <row r="14" spans="1:31" ht="15.75" customHeight="1">
      <c r="A14" s="3">
        <v>95</v>
      </c>
      <c r="B14" s="3">
        <v>24992</v>
      </c>
      <c r="C14" s="4">
        <v>45689</v>
      </c>
      <c r="D14" s="4">
        <v>45693</v>
      </c>
      <c r="E14" s="5" t="s">
        <v>34</v>
      </c>
      <c r="F14" s="3">
        <v>88.3</v>
      </c>
      <c r="G14" s="6">
        <f t="shared" si="3"/>
        <v>4.2384000000000004</v>
      </c>
      <c r="H14" s="7">
        <f t="shared" si="0"/>
        <v>45738</v>
      </c>
      <c r="I14" s="2" t="str">
        <f t="shared" si="1"/>
        <v>marzo</v>
      </c>
      <c r="J14" s="2">
        <f t="shared" si="2"/>
        <v>3</v>
      </c>
      <c r="K14" s="2">
        <f t="shared" si="4"/>
        <v>2025</v>
      </c>
      <c r="L14" s="2" t="str">
        <f t="shared" si="5"/>
        <v>CASA POLANCO HOTEL BOUTIQUE</v>
      </c>
      <c r="M14" s="2" t="str">
        <f t="shared" si="6"/>
        <v>VeronicaN</v>
      </c>
      <c r="Q14" s="3">
        <v>23619</v>
      </c>
      <c r="R14" s="5" t="s">
        <v>40</v>
      </c>
      <c r="V14" s="3">
        <v>7</v>
      </c>
      <c r="W14" s="5" t="s">
        <v>23</v>
      </c>
      <c r="AA14" s="3"/>
      <c r="AD14" s="10"/>
      <c r="AE14" s="10"/>
    </row>
    <row r="15" spans="1:31" ht="15.75" customHeight="1">
      <c r="A15" s="3">
        <v>97</v>
      </c>
      <c r="B15" s="3">
        <v>25247</v>
      </c>
      <c r="C15" s="4">
        <v>45703</v>
      </c>
      <c r="D15" s="4">
        <v>45704</v>
      </c>
      <c r="E15" s="5" t="s">
        <v>19</v>
      </c>
      <c r="F15" s="3">
        <v>44</v>
      </c>
      <c r="G15" s="6">
        <f t="shared" si="3"/>
        <v>44</v>
      </c>
      <c r="H15" s="7">
        <f t="shared" si="0"/>
        <v>45749</v>
      </c>
      <c r="I15" s="2" t="str">
        <f t="shared" si="1"/>
        <v>abril</v>
      </c>
      <c r="J15" s="2">
        <f t="shared" si="2"/>
        <v>4</v>
      </c>
      <c r="K15" s="2">
        <f t="shared" si="4"/>
        <v>2025</v>
      </c>
      <c r="L15" s="2" t="str">
        <f t="shared" si="5"/>
        <v>HOTEL FOUGERE</v>
      </c>
      <c r="M15" s="2" t="str">
        <f t="shared" si="6"/>
        <v>VeronicaN</v>
      </c>
      <c r="Q15" s="3">
        <v>23666</v>
      </c>
      <c r="R15" s="5" t="s">
        <v>41</v>
      </c>
      <c r="V15" s="3">
        <v>7</v>
      </c>
      <c r="W15" s="5" t="s">
        <v>23</v>
      </c>
      <c r="AA15" s="3"/>
      <c r="AD15" s="10"/>
      <c r="AE15" s="10"/>
    </row>
    <row r="16" spans="1:31" ht="15.75" customHeight="1">
      <c r="A16" s="3">
        <v>104</v>
      </c>
      <c r="B16" s="3">
        <v>25365</v>
      </c>
      <c r="C16" s="4">
        <v>45706</v>
      </c>
      <c r="D16" s="4">
        <v>45709</v>
      </c>
      <c r="E16" s="5" t="s">
        <v>24</v>
      </c>
      <c r="F16" s="3">
        <v>484.7</v>
      </c>
      <c r="G16" s="6">
        <f t="shared" si="3"/>
        <v>416.84199999999998</v>
      </c>
      <c r="H16" s="7">
        <f t="shared" si="0"/>
        <v>45754</v>
      </c>
      <c r="I16" s="2" t="str">
        <f t="shared" si="1"/>
        <v>abril</v>
      </c>
      <c r="J16" s="2">
        <f t="shared" si="2"/>
        <v>4</v>
      </c>
      <c r="K16" s="2">
        <f t="shared" si="4"/>
        <v>2025</v>
      </c>
      <c r="L16" s="2" t="str">
        <f t="shared" si="5"/>
        <v>THE SHINMONZEN</v>
      </c>
      <c r="M16" s="2" t="str">
        <f t="shared" si="6"/>
        <v>VeronicaN</v>
      </c>
      <c r="Q16" s="3">
        <v>23789</v>
      </c>
      <c r="R16" s="5" t="s">
        <v>42</v>
      </c>
      <c r="V16" s="3">
        <v>7</v>
      </c>
      <c r="W16" s="5" t="s">
        <v>23</v>
      </c>
      <c r="AA16" s="3"/>
      <c r="AD16" s="10"/>
      <c r="AE16" s="10"/>
    </row>
    <row r="17" spans="1:31" ht="15.75" customHeight="1">
      <c r="A17" s="3">
        <v>111</v>
      </c>
      <c r="B17" s="3">
        <v>25372</v>
      </c>
      <c r="C17" s="4">
        <v>45647</v>
      </c>
      <c r="D17" s="4">
        <v>45663</v>
      </c>
      <c r="E17" s="5" t="s">
        <v>30</v>
      </c>
      <c r="F17" s="3">
        <v>1377.4</v>
      </c>
      <c r="G17" s="6">
        <f t="shared" si="3"/>
        <v>1584.01</v>
      </c>
      <c r="H17" s="7">
        <f t="shared" si="0"/>
        <v>45708</v>
      </c>
      <c r="I17" s="2" t="str">
        <f t="shared" si="1"/>
        <v>febrero</v>
      </c>
      <c r="J17" s="2">
        <f t="shared" si="2"/>
        <v>2</v>
      </c>
      <c r="K17" s="2">
        <f t="shared" si="4"/>
        <v>2025</v>
      </c>
      <c r="L17" s="2" t="str">
        <f t="shared" si="5"/>
        <v>Queen Of Clubs Lifestyle Luxury Services LTD</v>
      </c>
      <c r="M17" s="2" t="str">
        <f t="shared" si="6"/>
        <v>VeronicaN</v>
      </c>
      <c r="Q17" s="3">
        <v>23898</v>
      </c>
      <c r="R17" s="5" t="s">
        <v>43</v>
      </c>
      <c r="V17" s="3">
        <v>7</v>
      </c>
      <c r="W17" s="5" t="s">
        <v>23</v>
      </c>
      <c r="AA17" s="3"/>
      <c r="AD17" s="10"/>
      <c r="AE17" s="10"/>
    </row>
    <row r="18" spans="1:31" ht="15.75" customHeight="1">
      <c r="A18" s="3">
        <v>113</v>
      </c>
      <c r="B18" s="3">
        <v>24994</v>
      </c>
      <c r="C18" s="4">
        <v>45652</v>
      </c>
      <c r="D18" s="4">
        <v>45661</v>
      </c>
      <c r="E18" s="5" t="s">
        <v>24</v>
      </c>
      <c r="F18" s="3">
        <v>1699.1</v>
      </c>
      <c r="G18" s="6">
        <f t="shared" si="3"/>
        <v>1461.2259999999999</v>
      </c>
      <c r="H18" s="7">
        <f t="shared" si="0"/>
        <v>45706</v>
      </c>
      <c r="I18" s="2" t="str">
        <f t="shared" si="1"/>
        <v>febrero</v>
      </c>
      <c r="J18" s="2">
        <f t="shared" si="2"/>
        <v>2</v>
      </c>
      <c r="K18" s="2">
        <f t="shared" si="4"/>
        <v>2025</v>
      </c>
      <c r="L18" s="2" t="str">
        <f t="shared" si="5"/>
        <v>SKI SHOP</v>
      </c>
      <c r="M18" s="2" t="str">
        <f t="shared" si="6"/>
        <v>MariaM</v>
      </c>
      <c r="Q18" s="3">
        <v>23899</v>
      </c>
      <c r="R18" s="5" t="s">
        <v>44</v>
      </c>
      <c r="V18" s="3">
        <v>7</v>
      </c>
      <c r="W18" s="5" t="s">
        <v>23</v>
      </c>
      <c r="AA18" s="3"/>
      <c r="AD18" s="10"/>
      <c r="AE18" s="11"/>
    </row>
    <row r="19" spans="1:31" ht="15.75" customHeight="1">
      <c r="A19" s="3">
        <v>113</v>
      </c>
      <c r="B19" s="3">
        <v>24994</v>
      </c>
      <c r="C19" s="4">
        <v>45652</v>
      </c>
      <c r="D19" s="4">
        <v>45661</v>
      </c>
      <c r="E19" s="5" t="s">
        <v>24</v>
      </c>
      <c r="F19" s="3">
        <v>59</v>
      </c>
      <c r="G19" s="6">
        <f t="shared" si="3"/>
        <v>50.74</v>
      </c>
      <c r="H19" s="7">
        <f t="shared" si="0"/>
        <v>45706</v>
      </c>
      <c r="I19" s="2" t="str">
        <f t="shared" si="1"/>
        <v>febrero</v>
      </c>
      <c r="J19" s="2">
        <f t="shared" si="2"/>
        <v>2</v>
      </c>
      <c r="K19" s="2">
        <f t="shared" si="4"/>
        <v>2025</v>
      </c>
      <c r="L19" s="2" t="str">
        <f t="shared" si="5"/>
        <v>SKI SHOP</v>
      </c>
      <c r="M19" s="2" t="str">
        <f t="shared" si="6"/>
        <v>MariaM</v>
      </c>
      <c r="Q19" s="3">
        <v>23900</v>
      </c>
      <c r="R19" s="5" t="s">
        <v>45</v>
      </c>
      <c r="V19" s="3">
        <v>7</v>
      </c>
      <c r="W19" s="5" t="s">
        <v>23</v>
      </c>
      <c r="AA19" s="3"/>
      <c r="AD19" s="11"/>
      <c r="AE19" s="11"/>
    </row>
    <row r="20" spans="1:31" ht="15.75" customHeight="1">
      <c r="A20" s="3">
        <v>113</v>
      </c>
      <c r="B20" s="3">
        <v>24994</v>
      </c>
      <c r="C20" s="4">
        <v>45652</v>
      </c>
      <c r="D20" s="4">
        <v>45661</v>
      </c>
      <c r="E20" s="5" t="s">
        <v>24</v>
      </c>
      <c r="F20" s="3">
        <v>74.7</v>
      </c>
      <c r="G20" s="6">
        <f t="shared" si="3"/>
        <v>64.242000000000004</v>
      </c>
      <c r="H20" s="7">
        <f t="shared" si="0"/>
        <v>45706</v>
      </c>
      <c r="I20" s="2" t="str">
        <f t="shared" si="1"/>
        <v>febrero</v>
      </c>
      <c r="J20" s="2">
        <f t="shared" si="2"/>
        <v>2</v>
      </c>
      <c r="K20" s="2">
        <f t="shared" si="4"/>
        <v>2025</v>
      </c>
      <c r="L20" s="2" t="str">
        <f t="shared" si="5"/>
        <v>SKI SHOP</v>
      </c>
      <c r="M20" s="2" t="str">
        <f t="shared" si="6"/>
        <v>MariaM</v>
      </c>
      <c r="Q20" s="3">
        <v>23921</v>
      </c>
      <c r="R20" s="5" t="s">
        <v>46</v>
      </c>
      <c r="V20" s="3">
        <v>7</v>
      </c>
      <c r="W20" s="5" t="s">
        <v>23</v>
      </c>
      <c r="AA20" s="3"/>
      <c r="AD20" s="11"/>
      <c r="AE20" s="11"/>
    </row>
    <row r="21" spans="1:31" ht="15.75" customHeight="1">
      <c r="A21" s="3">
        <v>115</v>
      </c>
      <c r="B21" s="3">
        <v>25383</v>
      </c>
      <c r="C21" s="4">
        <v>45954</v>
      </c>
      <c r="D21" s="4">
        <v>45965</v>
      </c>
      <c r="E21" s="5" t="s">
        <v>24</v>
      </c>
      <c r="F21" s="3">
        <v>12245</v>
      </c>
      <c r="G21" s="6">
        <f t="shared" si="3"/>
        <v>10530.7</v>
      </c>
      <c r="H21" s="7">
        <f t="shared" si="0"/>
        <v>46010</v>
      </c>
      <c r="I21" s="2" t="str">
        <f t="shared" si="1"/>
        <v>diciembre</v>
      </c>
      <c r="J21" s="2">
        <f t="shared" si="2"/>
        <v>12</v>
      </c>
      <c r="K21" s="2">
        <f t="shared" si="4"/>
        <v>2025</v>
      </c>
      <c r="L21" s="2" t="str">
        <f t="shared" si="5"/>
        <v>Silversea</v>
      </c>
      <c r="M21" s="2" t="str">
        <f t="shared" si="6"/>
        <v>MartinB</v>
      </c>
      <c r="Q21" s="3">
        <v>23931</v>
      </c>
      <c r="R21" s="5" t="s">
        <v>47</v>
      </c>
      <c r="V21" s="3">
        <v>7</v>
      </c>
      <c r="W21" s="5" t="s">
        <v>23</v>
      </c>
      <c r="AA21" s="3"/>
      <c r="AD21" s="11"/>
      <c r="AE21" s="11"/>
    </row>
    <row r="22" spans="1:31" ht="15.75" customHeight="1">
      <c r="A22" s="3">
        <v>120</v>
      </c>
      <c r="B22" s="3">
        <v>25427</v>
      </c>
      <c r="C22" s="4">
        <v>45774</v>
      </c>
      <c r="D22" s="4">
        <v>45776</v>
      </c>
      <c r="E22" s="5" t="s">
        <v>24</v>
      </c>
      <c r="F22" s="3">
        <v>87.54</v>
      </c>
      <c r="G22" s="6">
        <f t="shared" si="3"/>
        <v>75.284400000000005</v>
      </c>
      <c r="H22" s="7">
        <f t="shared" si="0"/>
        <v>45821</v>
      </c>
      <c r="I22" s="2" t="str">
        <f t="shared" si="1"/>
        <v>junio</v>
      </c>
      <c r="J22" s="2">
        <f t="shared" si="2"/>
        <v>6</v>
      </c>
      <c r="K22" s="2">
        <f t="shared" si="4"/>
        <v>2025</v>
      </c>
      <c r="L22" s="2" t="str">
        <f t="shared" si="5"/>
        <v>Expedia TAAP</v>
      </c>
      <c r="M22" s="2" t="str">
        <f t="shared" si="6"/>
        <v>PaulinaV</v>
      </c>
      <c r="Q22" s="3">
        <v>23934</v>
      </c>
      <c r="R22" s="5" t="s">
        <v>48</v>
      </c>
      <c r="V22" s="3">
        <v>7</v>
      </c>
      <c r="W22" s="5" t="s">
        <v>23</v>
      </c>
      <c r="AA22" s="3"/>
      <c r="AD22" s="10"/>
      <c r="AE22" s="10"/>
    </row>
    <row r="23" spans="1:31" ht="15.75" customHeight="1">
      <c r="A23" s="3">
        <v>120</v>
      </c>
      <c r="B23" s="3">
        <v>25427</v>
      </c>
      <c r="C23" s="4">
        <v>45762</v>
      </c>
      <c r="D23" s="4">
        <v>45763</v>
      </c>
      <c r="E23" s="5" t="s">
        <v>24</v>
      </c>
      <c r="F23" s="3">
        <v>20.21</v>
      </c>
      <c r="G23" s="6">
        <f t="shared" si="3"/>
        <v>17.380600000000001</v>
      </c>
      <c r="H23" s="7">
        <f t="shared" si="0"/>
        <v>45808</v>
      </c>
      <c r="I23" s="2" t="str">
        <f t="shared" si="1"/>
        <v>mayo</v>
      </c>
      <c r="J23" s="2">
        <f t="shared" si="2"/>
        <v>5</v>
      </c>
      <c r="K23" s="2">
        <f t="shared" si="4"/>
        <v>2025</v>
      </c>
      <c r="L23" s="2" t="str">
        <f t="shared" si="5"/>
        <v>Expedia TAAP</v>
      </c>
      <c r="M23" s="2" t="str">
        <f t="shared" si="6"/>
        <v>PaulinaV</v>
      </c>
      <c r="Q23" s="3">
        <v>23935</v>
      </c>
      <c r="R23" s="5" t="s">
        <v>49</v>
      </c>
      <c r="V23" s="3">
        <v>8</v>
      </c>
      <c r="W23" s="5" t="s">
        <v>23</v>
      </c>
      <c r="AA23" s="3"/>
      <c r="AD23" s="10"/>
      <c r="AE23" s="10"/>
    </row>
    <row r="24" spans="1:31" ht="15.75" customHeight="1">
      <c r="A24" s="3">
        <v>121</v>
      </c>
      <c r="B24" s="3">
        <v>25427</v>
      </c>
      <c r="C24" s="4">
        <v>45813</v>
      </c>
      <c r="D24" s="4">
        <v>45814</v>
      </c>
      <c r="E24" s="5" t="s">
        <v>24</v>
      </c>
      <c r="F24" s="3">
        <v>20.67</v>
      </c>
      <c r="G24" s="6">
        <f t="shared" si="3"/>
        <v>17.776200000000003</v>
      </c>
      <c r="H24" s="7">
        <f t="shared" si="0"/>
        <v>45859</v>
      </c>
      <c r="I24" s="2" t="str">
        <f t="shared" si="1"/>
        <v>julio</v>
      </c>
      <c r="J24" s="2">
        <f t="shared" si="2"/>
        <v>7</v>
      </c>
      <c r="K24" s="2">
        <f t="shared" si="4"/>
        <v>2025</v>
      </c>
      <c r="L24" s="2" t="str">
        <f t="shared" si="5"/>
        <v>Expedia TAAP</v>
      </c>
      <c r="M24" s="2" t="str">
        <f t="shared" si="6"/>
        <v>ClaudiaF</v>
      </c>
      <c r="Q24" s="3">
        <v>23965</v>
      </c>
      <c r="R24" s="5" t="s">
        <v>50</v>
      </c>
      <c r="V24" s="3">
        <v>8</v>
      </c>
      <c r="W24" s="5" t="s">
        <v>23</v>
      </c>
      <c r="AA24" s="3"/>
      <c r="AD24" s="11"/>
      <c r="AE24" s="11"/>
    </row>
    <row r="25" spans="1:31" ht="15.75" customHeight="1">
      <c r="A25" s="3">
        <v>121</v>
      </c>
      <c r="B25" s="3">
        <v>25427</v>
      </c>
      <c r="C25" s="4">
        <v>45818</v>
      </c>
      <c r="D25" s="4">
        <v>45824</v>
      </c>
      <c r="E25" s="5" t="s">
        <v>24</v>
      </c>
      <c r="F25" s="3">
        <v>133.59</v>
      </c>
      <c r="G25" s="6">
        <f t="shared" si="3"/>
        <v>114.8874</v>
      </c>
      <c r="H25" s="7">
        <f t="shared" si="0"/>
        <v>45869</v>
      </c>
      <c r="I25" s="2" t="str">
        <f t="shared" si="1"/>
        <v>julio</v>
      </c>
      <c r="J25" s="2">
        <f t="shared" si="2"/>
        <v>7</v>
      </c>
      <c r="K25" s="2">
        <f t="shared" si="4"/>
        <v>2025</v>
      </c>
      <c r="L25" s="2" t="str">
        <f t="shared" si="5"/>
        <v>Expedia TAAP</v>
      </c>
      <c r="M25" s="2" t="str">
        <f t="shared" si="6"/>
        <v>ClaudiaF</v>
      </c>
      <c r="Q25" s="3">
        <v>23966</v>
      </c>
      <c r="R25" s="5" t="s">
        <v>51</v>
      </c>
      <c r="V25" s="3">
        <v>8</v>
      </c>
      <c r="W25" s="5" t="s">
        <v>23</v>
      </c>
      <c r="AA25" s="3"/>
      <c r="AD25" s="10"/>
      <c r="AE25" s="10"/>
    </row>
    <row r="26" spans="1:31" ht="15.75" customHeight="1">
      <c r="A26" s="3">
        <v>123</v>
      </c>
      <c r="B26" s="3">
        <v>25453</v>
      </c>
      <c r="C26" s="4">
        <v>45702</v>
      </c>
      <c r="D26" s="4">
        <v>45704</v>
      </c>
      <c r="E26" s="5" t="s">
        <v>34</v>
      </c>
      <c r="F26" s="3">
        <v>30.42</v>
      </c>
      <c r="G26" s="6">
        <f t="shared" si="3"/>
        <v>1.4601600000000001</v>
      </c>
      <c r="H26" s="7">
        <f t="shared" si="0"/>
        <v>45749</v>
      </c>
      <c r="I26" s="2" t="str">
        <f t="shared" si="1"/>
        <v>abril</v>
      </c>
      <c r="J26" s="2">
        <f t="shared" si="2"/>
        <v>4</v>
      </c>
      <c r="K26" s="2">
        <f t="shared" si="4"/>
        <v>2025</v>
      </c>
      <c r="L26" s="2" t="str">
        <f t="shared" si="5"/>
        <v>WYNDHAM SANTIAGO PETTRA HOTEL</v>
      </c>
      <c r="M26" s="2" t="str">
        <f t="shared" si="6"/>
        <v>LucianaE</v>
      </c>
      <c r="Q26" s="3">
        <v>23996</v>
      </c>
      <c r="R26" s="5" t="s">
        <v>52</v>
      </c>
      <c r="V26" s="3">
        <v>8</v>
      </c>
      <c r="W26" s="5" t="s">
        <v>23</v>
      </c>
      <c r="AA26" s="3"/>
      <c r="AD26" s="11"/>
      <c r="AE26" s="11"/>
    </row>
    <row r="27" spans="1:31" ht="15.75" customHeight="1">
      <c r="A27" s="3">
        <v>125</v>
      </c>
      <c r="B27" s="3">
        <v>25453</v>
      </c>
      <c r="C27" s="4">
        <v>45702</v>
      </c>
      <c r="D27" s="4">
        <v>45704</v>
      </c>
      <c r="E27" s="5" t="s">
        <v>34</v>
      </c>
      <c r="F27" s="3">
        <v>30.42</v>
      </c>
      <c r="G27" s="6">
        <f t="shared" si="3"/>
        <v>1.4601600000000001</v>
      </c>
      <c r="H27" s="7">
        <f t="shared" si="0"/>
        <v>45749</v>
      </c>
      <c r="I27" s="2" t="str">
        <f t="shared" si="1"/>
        <v>abril</v>
      </c>
      <c r="J27" s="2">
        <f t="shared" si="2"/>
        <v>4</v>
      </c>
      <c r="K27" s="2">
        <f t="shared" si="4"/>
        <v>2025</v>
      </c>
      <c r="L27" s="2" t="str">
        <f t="shared" si="5"/>
        <v>WYNDHAM SANTIAGO PETTRA HOTEL</v>
      </c>
      <c r="M27" s="2" t="str">
        <f t="shared" si="6"/>
        <v>MartinB</v>
      </c>
      <c r="Q27" s="3">
        <v>24006</v>
      </c>
      <c r="R27" s="5" t="s">
        <v>53</v>
      </c>
      <c r="V27" s="3">
        <v>8</v>
      </c>
      <c r="W27" s="5" t="s">
        <v>23</v>
      </c>
      <c r="AD27" s="10"/>
      <c r="AE27" s="10"/>
    </row>
    <row r="28" spans="1:31" ht="15.75" customHeight="1">
      <c r="A28" s="3">
        <v>126</v>
      </c>
      <c r="B28" s="3">
        <v>28420</v>
      </c>
      <c r="C28" s="4">
        <v>45809</v>
      </c>
      <c r="D28" s="4">
        <v>45841</v>
      </c>
      <c r="E28" s="5" t="s">
        <v>19</v>
      </c>
      <c r="F28" s="3">
        <v>109.4</v>
      </c>
      <c r="G28" s="6">
        <f t="shared" si="3"/>
        <v>109.4</v>
      </c>
      <c r="H28" s="7">
        <f t="shared" si="0"/>
        <v>45886</v>
      </c>
      <c r="I28" s="2" t="str">
        <f t="shared" si="1"/>
        <v>agosto</v>
      </c>
      <c r="J28" s="2">
        <f t="shared" si="2"/>
        <v>8</v>
      </c>
      <c r="K28" s="2">
        <f t="shared" si="4"/>
        <v>2025</v>
      </c>
      <c r="L28" s="2" t="str">
        <f t="shared" si="5"/>
        <v>SIXT MÉXICO</v>
      </c>
      <c r="M28" s="2" t="str">
        <f t="shared" si="6"/>
        <v>LucianaE</v>
      </c>
      <c r="Q28" s="3">
        <v>24009</v>
      </c>
      <c r="R28" s="5" t="s">
        <v>54</v>
      </c>
      <c r="V28" s="3">
        <v>8</v>
      </c>
      <c r="W28" s="5" t="s">
        <v>23</v>
      </c>
      <c r="AA28" s="3"/>
      <c r="AD28" s="10"/>
      <c r="AE28" s="10"/>
    </row>
    <row r="29" spans="1:31" ht="15.75" customHeight="1">
      <c r="A29" s="3">
        <v>163</v>
      </c>
      <c r="B29" s="3">
        <v>28420</v>
      </c>
      <c r="C29" s="4">
        <v>45832</v>
      </c>
      <c r="D29" s="4">
        <v>45854</v>
      </c>
      <c r="E29" s="5" t="s">
        <v>19</v>
      </c>
      <c r="F29" s="3">
        <v>151.96</v>
      </c>
      <c r="G29" s="6">
        <f t="shared" si="3"/>
        <v>151.96</v>
      </c>
      <c r="H29" s="7">
        <f t="shared" si="0"/>
        <v>45899</v>
      </c>
      <c r="I29" s="2" t="str">
        <f t="shared" si="1"/>
        <v>agosto</v>
      </c>
      <c r="J29" s="2">
        <f t="shared" si="2"/>
        <v>8</v>
      </c>
      <c r="K29" s="2">
        <f t="shared" si="4"/>
        <v>2025</v>
      </c>
      <c r="L29" s="2" t="str">
        <f t="shared" si="5"/>
        <v>SIXT MÉXICO</v>
      </c>
      <c r="M29" s="2" t="str">
        <f t="shared" si="6"/>
        <v>IsraelB</v>
      </c>
      <c r="Q29" s="3">
        <v>24017</v>
      </c>
      <c r="R29" s="5" t="s">
        <v>55</v>
      </c>
      <c r="V29" s="3">
        <v>9</v>
      </c>
      <c r="W29" s="5" t="s">
        <v>23</v>
      </c>
      <c r="AD29" s="10"/>
      <c r="AE29" s="10"/>
    </row>
    <row r="30" spans="1:31" ht="15.75" customHeight="1">
      <c r="A30" s="3">
        <v>171</v>
      </c>
      <c r="B30" s="3">
        <v>25427</v>
      </c>
      <c r="C30" s="4">
        <v>45755</v>
      </c>
      <c r="D30" s="4">
        <v>45757</v>
      </c>
      <c r="E30" s="5" t="s">
        <v>24</v>
      </c>
      <c r="F30" s="3">
        <v>92.27</v>
      </c>
      <c r="G30" s="6">
        <f t="shared" si="3"/>
        <v>79.352199999999996</v>
      </c>
      <c r="H30" s="7">
        <f t="shared" si="0"/>
        <v>45802</v>
      </c>
      <c r="I30" s="2" t="str">
        <f t="shared" si="1"/>
        <v>mayo</v>
      </c>
      <c r="J30" s="2">
        <f t="shared" si="2"/>
        <v>5</v>
      </c>
      <c r="K30" s="2">
        <f t="shared" si="4"/>
        <v>2025</v>
      </c>
      <c r="L30" s="2" t="str">
        <f t="shared" si="5"/>
        <v>Expedia TAAP</v>
      </c>
      <c r="M30" s="2" t="str">
        <f t="shared" si="6"/>
        <v>VeronicaN</v>
      </c>
      <c r="Q30" s="3">
        <v>24166</v>
      </c>
      <c r="R30" s="5" t="s">
        <v>56</v>
      </c>
      <c r="V30" s="3">
        <v>10</v>
      </c>
      <c r="W30" s="5" t="s">
        <v>23</v>
      </c>
      <c r="AD30" s="10"/>
      <c r="AE30" s="10"/>
    </row>
    <row r="31" spans="1:31" ht="15.75" customHeight="1">
      <c r="A31" s="3">
        <v>172</v>
      </c>
      <c r="B31" s="3">
        <v>25908</v>
      </c>
      <c r="C31" s="4">
        <v>45955</v>
      </c>
      <c r="D31" s="4">
        <v>45958</v>
      </c>
      <c r="E31" s="5" t="s">
        <v>24</v>
      </c>
      <c r="F31" s="3">
        <v>208.55</v>
      </c>
      <c r="G31" s="6">
        <f t="shared" si="3"/>
        <v>179.35300000000001</v>
      </c>
      <c r="H31" s="7">
        <f t="shared" si="0"/>
        <v>46003</v>
      </c>
      <c r="I31" s="2" t="str">
        <f t="shared" si="1"/>
        <v>diciembre</v>
      </c>
      <c r="J31" s="2">
        <f t="shared" si="2"/>
        <v>12</v>
      </c>
      <c r="K31" s="2">
        <f t="shared" si="4"/>
        <v>2025</v>
      </c>
      <c r="L31" s="2" t="str">
        <f t="shared" si="5"/>
        <v>MANDAPA A RITZ CARLTON RESERVE</v>
      </c>
      <c r="M31" s="2" t="str">
        <f t="shared" si="6"/>
        <v>LuisHdz</v>
      </c>
      <c r="Q31" s="3">
        <v>24210</v>
      </c>
      <c r="R31" s="5" t="s">
        <v>57</v>
      </c>
      <c r="V31" s="3">
        <v>10</v>
      </c>
      <c r="W31" s="5" t="s">
        <v>58</v>
      </c>
      <c r="AD31" s="10"/>
      <c r="AE31" s="10"/>
    </row>
    <row r="32" spans="1:31" ht="15.75" customHeight="1">
      <c r="A32" s="3">
        <v>172</v>
      </c>
      <c r="B32" s="3">
        <v>28282</v>
      </c>
      <c r="C32" s="4">
        <v>45961</v>
      </c>
      <c r="D32" s="4">
        <v>45962</v>
      </c>
      <c r="E32" s="5" t="s">
        <v>24</v>
      </c>
      <c r="F32" s="3">
        <v>17.27</v>
      </c>
      <c r="G32" s="6">
        <f t="shared" si="3"/>
        <v>14.8522</v>
      </c>
      <c r="H32" s="7">
        <f t="shared" si="0"/>
        <v>46007</v>
      </c>
      <c r="I32" s="2" t="str">
        <f t="shared" si="1"/>
        <v>diciembre</v>
      </c>
      <c r="J32" s="2">
        <f t="shared" si="2"/>
        <v>12</v>
      </c>
      <c r="K32" s="2">
        <f t="shared" si="4"/>
        <v>2025</v>
      </c>
      <c r="L32" s="2" t="str">
        <f t="shared" si="5"/>
        <v>GRAND HYATT INCHEON</v>
      </c>
      <c r="M32" s="2" t="str">
        <f t="shared" si="6"/>
        <v>LuisHdz</v>
      </c>
      <c r="Q32" s="3">
        <v>24224</v>
      </c>
      <c r="R32" s="5" t="s">
        <v>59</v>
      </c>
      <c r="V32" s="3">
        <v>10</v>
      </c>
      <c r="W32" s="5" t="s">
        <v>60</v>
      </c>
      <c r="AD32" s="10"/>
      <c r="AE32" s="10"/>
    </row>
    <row r="33" spans="1:31" ht="15.75" customHeight="1">
      <c r="A33" s="3">
        <v>180</v>
      </c>
      <c r="B33" s="3">
        <v>25993</v>
      </c>
      <c r="C33" s="4">
        <v>45751</v>
      </c>
      <c r="D33" s="4">
        <v>45753</v>
      </c>
      <c r="E33" s="5" t="s">
        <v>24</v>
      </c>
      <c r="F33" s="3">
        <v>303.52999999999997</v>
      </c>
      <c r="G33" s="6">
        <f t="shared" si="3"/>
        <v>261.03579999999999</v>
      </c>
      <c r="H33" s="7">
        <f t="shared" si="0"/>
        <v>45798</v>
      </c>
      <c r="I33" s="2" t="str">
        <f t="shared" si="1"/>
        <v>mayo</v>
      </c>
      <c r="J33" s="2">
        <f t="shared" si="2"/>
        <v>5</v>
      </c>
      <c r="K33" s="2">
        <f t="shared" si="4"/>
        <v>2025</v>
      </c>
      <c r="L33" s="2" t="str">
        <f t="shared" si="5"/>
        <v>THE LODGE AT BLUE SKY AUBERGE COLLECTION</v>
      </c>
      <c r="M33" s="2" t="str">
        <f t="shared" si="6"/>
        <v>LucianaE</v>
      </c>
      <c r="Q33" s="3">
        <v>24227</v>
      </c>
      <c r="R33" s="5" t="s">
        <v>61</v>
      </c>
      <c r="V33" s="3">
        <v>11</v>
      </c>
      <c r="W33" s="5" t="s">
        <v>23</v>
      </c>
      <c r="AD33" s="10"/>
      <c r="AE33" s="10"/>
    </row>
    <row r="34" spans="1:31" ht="15.75" customHeight="1">
      <c r="A34" s="3">
        <v>198</v>
      </c>
      <c r="B34" s="3">
        <v>25904</v>
      </c>
      <c r="C34" s="4">
        <v>45954</v>
      </c>
      <c r="D34" s="4">
        <v>45957</v>
      </c>
      <c r="E34" s="5" t="s">
        <v>24</v>
      </c>
      <c r="F34" s="3">
        <v>399.9</v>
      </c>
      <c r="G34" s="6">
        <f t="shared" si="3"/>
        <v>343.91399999999999</v>
      </c>
      <c r="H34" s="7">
        <f t="shared" si="0"/>
        <v>46002</v>
      </c>
      <c r="I34" s="2" t="str">
        <f t="shared" si="1"/>
        <v>diciembre</v>
      </c>
      <c r="J34" s="2">
        <f t="shared" si="2"/>
        <v>12</v>
      </c>
      <c r="K34" s="2">
        <f t="shared" si="4"/>
        <v>2025</v>
      </c>
      <c r="L34" s="2" t="str">
        <f t="shared" si="5"/>
        <v>FOUR SEASONS HOTEL TOKYO AT OTEMACHI</v>
      </c>
      <c r="M34" s="2">
        <f t="shared" si="6"/>
        <v>0</v>
      </c>
      <c r="Q34" s="3">
        <v>24231</v>
      </c>
      <c r="R34" s="5" t="s">
        <v>62</v>
      </c>
      <c r="V34" s="3">
        <v>11</v>
      </c>
      <c r="W34" s="5" t="s">
        <v>23</v>
      </c>
      <c r="AD34" s="10"/>
      <c r="AE34" s="10"/>
    </row>
    <row r="35" spans="1:31" ht="15.75" customHeight="1">
      <c r="A35" s="3">
        <v>198</v>
      </c>
      <c r="B35" s="3">
        <v>25904</v>
      </c>
      <c r="C35" s="4">
        <v>45954</v>
      </c>
      <c r="D35" s="4">
        <v>45957</v>
      </c>
      <c r="E35" s="5" t="s">
        <v>24</v>
      </c>
      <c r="F35" s="3">
        <v>399.9</v>
      </c>
      <c r="G35" s="6">
        <f t="shared" si="3"/>
        <v>343.91399999999999</v>
      </c>
      <c r="H35" s="7">
        <f t="shared" si="0"/>
        <v>46002</v>
      </c>
      <c r="I35" s="2" t="str">
        <f t="shared" si="1"/>
        <v>diciembre</v>
      </c>
      <c r="J35" s="2">
        <f t="shared" si="2"/>
        <v>12</v>
      </c>
      <c r="K35" s="2">
        <f t="shared" si="4"/>
        <v>2025</v>
      </c>
      <c r="L35" s="2" t="str">
        <f t="shared" si="5"/>
        <v>FOUR SEASONS HOTEL TOKYO AT OTEMACHI</v>
      </c>
      <c r="M35" s="2">
        <f t="shared" si="6"/>
        <v>0</v>
      </c>
      <c r="Q35" s="3">
        <v>24232</v>
      </c>
      <c r="R35" s="5" t="s">
        <v>63</v>
      </c>
      <c r="V35" s="3">
        <v>11</v>
      </c>
      <c r="W35" s="5" t="s">
        <v>23</v>
      </c>
      <c r="AD35" s="11"/>
      <c r="AE35" s="10"/>
    </row>
    <row r="36" spans="1:31" ht="15.75" customHeight="1">
      <c r="A36" s="3">
        <v>198</v>
      </c>
      <c r="B36" s="3">
        <v>25904</v>
      </c>
      <c r="C36" s="4">
        <v>45954</v>
      </c>
      <c r="D36" s="4">
        <v>45957</v>
      </c>
      <c r="E36" s="5" t="s">
        <v>24</v>
      </c>
      <c r="F36" s="3">
        <v>399.9</v>
      </c>
      <c r="G36" s="6">
        <f t="shared" si="3"/>
        <v>343.91399999999999</v>
      </c>
      <c r="H36" s="7">
        <f t="shared" si="0"/>
        <v>46002</v>
      </c>
      <c r="I36" s="2" t="str">
        <f t="shared" si="1"/>
        <v>diciembre</v>
      </c>
      <c r="J36" s="2">
        <f t="shared" si="2"/>
        <v>12</v>
      </c>
      <c r="K36" s="2">
        <f t="shared" si="4"/>
        <v>2025</v>
      </c>
      <c r="L36" s="2" t="str">
        <f t="shared" si="5"/>
        <v>FOUR SEASONS HOTEL TOKYO AT OTEMACHI</v>
      </c>
      <c r="M36" s="2">
        <f t="shared" si="6"/>
        <v>0</v>
      </c>
      <c r="Q36" s="3">
        <v>24236</v>
      </c>
      <c r="R36" s="5" t="s">
        <v>64</v>
      </c>
      <c r="V36" s="3">
        <v>11</v>
      </c>
      <c r="W36" s="5" t="s">
        <v>23</v>
      </c>
      <c r="AD36" s="11"/>
      <c r="AE36" s="10"/>
    </row>
    <row r="37" spans="1:31" ht="15.75" customHeight="1">
      <c r="A37" s="3">
        <v>198</v>
      </c>
      <c r="B37" s="3">
        <v>25904</v>
      </c>
      <c r="C37" s="4">
        <v>45952</v>
      </c>
      <c r="D37" s="4">
        <v>45954</v>
      </c>
      <c r="E37" s="5" t="s">
        <v>24</v>
      </c>
      <c r="F37" s="3">
        <v>373.99</v>
      </c>
      <c r="G37" s="6">
        <f t="shared" si="3"/>
        <v>321.63139999999999</v>
      </c>
      <c r="H37" s="7">
        <f t="shared" si="0"/>
        <v>45999</v>
      </c>
      <c r="I37" s="2" t="str">
        <f t="shared" si="1"/>
        <v>diciembre</v>
      </c>
      <c r="J37" s="2">
        <f t="shared" si="2"/>
        <v>12</v>
      </c>
      <c r="K37" s="2">
        <f t="shared" si="4"/>
        <v>2025</v>
      </c>
      <c r="L37" s="2" t="str">
        <f t="shared" si="5"/>
        <v>FOUR SEASONS HOTEL TOKYO AT OTEMACHI</v>
      </c>
      <c r="M37" s="2">
        <f t="shared" si="6"/>
        <v>0</v>
      </c>
      <c r="Q37" s="3">
        <v>24237</v>
      </c>
      <c r="R37" s="5" t="s">
        <v>65</v>
      </c>
      <c r="V37" s="3">
        <v>12</v>
      </c>
      <c r="W37" s="5" t="s">
        <v>23</v>
      </c>
      <c r="AD37" s="10"/>
      <c r="AE37" s="10"/>
    </row>
    <row r="38" spans="1:31" ht="15.75" customHeight="1">
      <c r="A38" s="3">
        <v>198</v>
      </c>
      <c r="B38" s="3">
        <v>25904</v>
      </c>
      <c r="C38" s="4">
        <v>45954</v>
      </c>
      <c r="D38" s="4">
        <v>45957</v>
      </c>
      <c r="E38" s="5" t="s">
        <v>24</v>
      </c>
      <c r="F38" s="3">
        <v>370.33</v>
      </c>
      <c r="G38" s="6">
        <f t="shared" si="3"/>
        <v>318.48379999999997</v>
      </c>
      <c r="H38" s="7">
        <f t="shared" si="0"/>
        <v>46002</v>
      </c>
      <c r="I38" s="2" t="str">
        <f t="shared" si="1"/>
        <v>diciembre</v>
      </c>
      <c r="J38" s="2">
        <f t="shared" si="2"/>
        <v>12</v>
      </c>
      <c r="K38" s="2">
        <f t="shared" si="4"/>
        <v>2025</v>
      </c>
      <c r="L38" s="2" t="str">
        <f t="shared" si="5"/>
        <v>FOUR SEASONS HOTEL TOKYO AT OTEMACHI</v>
      </c>
      <c r="M38" s="2">
        <f t="shared" si="6"/>
        <v>0</v>
      </c>
      <c r="Q38" s="3">
        <v>24239</v>
      </c>
      <c r="R38" s="5" t="s">
        <v>66</v>
      </c>
      <c r="V38" s="3">
        <v>12</v>
      </c>
      <c r="W38" s="5" t="s">
        <v>23</v>
      </c>
      <c r="AD38" s="10"/>
      <c r="AE38" s="10"/>
    </row>
    <row r="39" spans="1:31" ht="15.75" customHeight="1">
      <c r="A39" s="3">
        <v>198</v>
      </c>
      <c r="B39" s="3">
        <v>24989</v>
      </c>
      <c r="C39" s="4">
        <v>45961</v>
      </c>
      <c r="D39" s="4">
        <v>45962</v>
      </c>
      <c r="E39" s="5" t="s">
        <v>24</v>
      </c>
      <c r="F39" s="3">
        <v>22.55</v>
      </c>
      <c r="G39" s="6">
        <f t="shared" si="3"/>
        <v>19.393000000000001</v>
      </c>
      <c r="H39" s="7">
        <f t="shared" si="0"/>
        <v>46007</v>
      </c>
      <c r="I39" s="2" t="str">
        <f t="shared" si="1"/>
        <v>diciembre</v>
      </c>
      <c r="J39" s="2">
        <f t="shared" si="2"/>
        <v>12</v>
      </c>
      <c r="K39" s="2">
        <f t="shared" si="4"/>
        <v>2025</v>
      </c>
      <c r="L39" s="2" t="str">
        <f t="shared" si="5"/>
        <v>HYATT CENTRIC KANAZAWA</v>
      </c>
      <c r="M39" s="2">
        <f t="shared" si="6"/>
        <v>0</v>
      </c>
      <c r="Q39" s="3">
        <v>24241</v>
      </c>
      <c r="R39" s="5" t="s">
        <v>67</v>
      </c>
      <c r="V39" s="3">
        <v>12</v>
      </c>
      <c r="W39" s="5" t="s">
        <v>68</v>
      </c>
      <c r="AD39" s="10"/>
      <c r="AE39" s="11"/>
    </row>
    <row r="40" spans="1:31" ht="15.75" customHeight="1">
      <c r="A40" s="3">
        <v>215</v>
      </c>
      <c r="B40" s="3">
        <v>28730</v>
      </c>
      <c r="C40" s="4">
        <v>45904</v>
      </c>
      <c r="D40" s="4">
        <v>45907</v>
      </c>
      <c r="E40" s="5" t="s">
        <v>19</v>
      </c>
      <c r="F40" s="3">
        <v>510.94</v>
      </c>
      <c r="G40" s="6">
        <f t="shared" si="3"/>
        <v>510.94</v>
      </c>
      <c r="H40" s="7">
        <f t="shared" si="0"/>
        <v>45952</v>
      </c>
      <c r="I40" s="2" t="str">
        <f t="shared" si="1"/>
        <v>octubre</v>
      </c>
      <c r="J40" s="2">
        <f t="shared" si="2"/>
        <v>10</v>
      </c>
      <c r="K40" s="2">
        <f t="shared" si="4"/>
        <v>2025</v>
      </c>
      <c r="L40" s="2" t="str">
        <f t="shared" si="5"/>
        <v>THE ST. REGIS FLORENCE</v>
      </c>
      <c r="M40" s="2">
        <f t="shared" si="6"/>
        <v>0</v>
      </c>
      <c r="Q40" s="3">
        <v>24242</v>
      </c>
      <c r="R40" s="5" t="s">
        <v>69</v>
      </c>
      <c r="V40" s="3">
        <v>12</v>
      </c>
      <c r="W40" s="5" t="s">
        <v>68</v>
      </c>
      <c r="AD40" s="10"/>
      <c r="AE40" s="11"/>
    </row>
    <row r="41" spans="1:31" ht="15.75" customHeight="1">
      <c r="A41" s="3">
        <v>215</v>
      </c>
      <c r="B41" s="3">
        <v>30769</v>
      </c>
      <c r="C41" s="4">
        <v>45907</v>
      </c>
      <c r="D41" s="4">
        <v>45910</v>
      </c>
      <c r="E41" s="5" t="s">
        <v>19</v>
      </c>
      <c r="F41" s="3">
        <v>407.98</v>
      </c>
      <c r="G41" s="6">
        <f t="shared" si="3"/>
        <v>407.98</v>
      </c>
      <c r="H41" s="7">
        <f t="shared" si="0"/>
        <v>45955</v>
      </c>
      <c r="I41" s="2" t="str">
        <f t="shared" si="1"/>
        <v>octubre</v>
      </c>
      <c r="J41" s="2">
        <f t="shared" si="2"/>
        <v>10</v>
      </c>
      <c r="K41" s="2">
        <f t="shared" si="4"/>
        <v>2025</v>
      </c>
      <c r="L41" s="2" t="str">
        <f t="shared" si="5"/>
        <v>THE ST. REGIS VENICE</v>
      </c>
      <c r="M41" s="2">
        <f t="shared" si="6"/>
        <v>0</v>
      </c>
      <c r="Q41" s="3">
        <v>24262</v>
      </c>
      <c r="R41" s="5" t="s">
        <v>70</v>
      </c>
      <c r="V41" s="3">
        <v>12</v>
      </c>
      <c r="W41" s="5" t="s">
        <v>23</v>
      </c>
      <c r="AA41" s="3"/>
      <c r="AD41" s="10"/>
      <c r="AE41" s="10"/>
    </row>
    <row r="42" spans="1:31" ht="15.75" customHeight="1">
      <c r="A42" s="3">
        <v>222</v>
      </c>
      <c r="B42" s="3">
        <v>25706</v>
      </c>
      <c r="C42" s="4">
        <v>45861</v>
      </c>
      <c r="D42" s="4">
        <v>45871</v>
      </c>
      <c r="E42" s="5" t="s">
        <v>24</v>
      </c>
      <c r="F42" s="3">
        <v>3706</v>
      </c>
      <c r="G42" s="6">
        <f t="shared" si="3"/>
        <v>3187.16</v>
      </c>
      <c r="H42" s="7">
        <f t="shared" si="0"/>
        <v>45916</v>
      </c>
      <c r="I42" s="2" t="str">
        <f t="shared" si="1"/>
        <v>septiembre</v>
      </c>
      <c r="J42" s="2">
        <f t="shared" si="2"/>
        <v>9</v>
      </c>
      <c r="K42" s="2">
        <f t="shared" si="4"/>
        <v>2025</v>
      </c>
      <c r="L42" s="2" t="str">
        <f t="shared" si="5"/>
        <v>CRYSTAL CRUISES</v>
      </c>
      <c r="M42" s="2">
        <f t="shared" si="6"/>
        <v>0</v>
      </c>
      <c r="Q42" s="3">
        <v>24263</v>
      </c>
      <c r="R42" s="5" t="s">
        <v>71</v>
      </c>
      <c r="V42" s="3">
        <v>12</v>
      </c>
      <c r="W42" s="5" t="s">
        <v>23</v>
      </c>
      <c r="AA42" s="3"/>
      <c r="AD42" s="12"/>
      <c r="AE42" s="12"/>
    </row>
    <row r="43" spans="1:31" ht="15.75" customHeight="1">
      <c r="A43" s="3">
        <v>222</v>
      </c>
      <c r="B43" s="3">
        <v>25706</v>
      </c>
      <c r="C43" s="4">
        <v>45861</v>
      </c>
      <c r="D43" s="4">
        <v>45871</v>
      </c>
      <c r="E43" s="5" t="s">
        <v>24</v>
      </c>
      <c r="F43" s="3">
        <v>3706</v>
      </c>
      <c r="G43" s="6">
        <f t="shared" si="3"/>
        <v>3187.16</v>
      </c>
      <c r="H43" s="7">
        <f t="shared" si="0"/>
        <v>45916</v>
      </c>
      <c r="I43" s="2" t="str">
        <f t="shared" si="1"/>
        <v>septiembre</v>
      </c>
      <c r="J43" s="2">
        <f t="shared" si="2"/>
        <v>9</v>
      </c>
      <c r="K43" s="2">
        <f t="shared" si="4"/>
        <v>2025</v>
      </c>
      <c r="L43" s="2" t="str">
        <f t="shared" si="5"/>
        <v>CRYSTAL CRUISES</v>
      </c>
      <c r="M43" s="2">
        <f t="shared" si="6"/>
        <v>0</v>
      </c>
      <c r="Q43" s="3">
        <v>24267</v>
      </c>
      <c r="R43" s="5" t="s">
        <v>72</v>
      </c>
      <c r="V43" s="3">
        <v>12</v>
      </c>
      <c r="W43" s="5" t="s">
        <v>23</v>
      </c>
      <c r="AA43" s="3"/>
      <c r="AD43" s="11"/>
      <c r="AE43" s="11"/>
    </row>
    <row r="44" spans="1:31" ht="15.75" customHeight="1">
      <c r="A44" s="3">
        <v>239</v>
      </c>
      <c r="B44" s="3">
        <v>29435</v>
      </c>
      <c r="C44" s="4">
        <v>45769</v>
      </c>
      <c r="D44" s="4">
        <v>45802</v>
      </c>
      <c r="E44" s="5" t="s">
        <v>24</v>
      </c>
      <c r="F44" s="3">
        <v>559.57000000000005</v>
      </c>
      <c r="G44" s="6">
        <f t="shared" si="3"/>
        <v>481.23020000000002</v>
      </c>
      <c r="H44" s="7">
        <f t="shared" si="0"/>
        <v>45847</v>
      </c>
      <c r="I44" s="2" t="str">
        <f t="shared" si="1"/>
        <v>julio</v>
      </c>
      <c r="J44" s="2">
        <f t="shared" si="2"/>
        <v>7</v>
      </c>
      <c r="K44" s="2">
        <f t="shared" si="4"/>
        <v>2025</v>
      </c>
      <c r="L44" s="2" t="str">
        <f t="shared" si="5"/>
        <v>Misincu LAF</v>
      </c>
      <c r="M44" s="2">
        <f t="shared" si="6"/>
        <v>0</v>
      </c>
      <c r="Q44" s="3">
        <v>24338</v>
      </c>
      <c r="R44" s="5" t="s">
        <v>73</v>
      </c>
      <c r="V44" s="3">
        <v>12</v>
      </c>
      <c r="W44" s="5" t="s">
        <v>23</v>
      </c>
      <c r="AD44" s="10"/>
      <c r="AE44" s="10"/>
    </row>
    <row r="45" spans="1:31" ht="15.75" customHeight="1">
      <c r="A45" s="3">
        <v>239</v>
      </c>
      <c r="B45" s="3">
        <v>29551</v>
      </c>
      <c r="C45" s="4">
        <v>45769</v>
      </c>
      <c r="D45" s="4">
        <v>45802</v>
      </c>
      <c r="E45" s="5" t="s">
        <v>24</v>
      </c>
      <c r="F45" s="3">
        <v>1035.29</v>
      </c>
      <c r="G45" s="6">
        <f t="shared" si="3"/>
        <v>890.34939999999995</v>
      </c>
      <c r="H45" s="7">
        <f t="shared" si="0"/>
        <v>45847</v>
      </c>
      <c r="I45" s="2" t="str">
        <f t="shared" si="1"/>
        <v>julio</v>
      </c>
      <c r="J45" s="2">
        <f t="shared" si="2"/>
        <v>7</v>
      </c>
      <c r="K45" s="2">
        <f t="shared" si="4"/>
        <v>2025</v>
      </c>
      <c r="L45" s="2" t="str">
        <f t="shared" si="5"/>
        <v>PENSIONE AMERICA</v>
      </c>
      <c r="M45" s="2">
        <f t="shared" si="6"/>
        <v>0</v>
      </c>
      <c r="Q45" s="3">
        <v>24399</v>
      </c>
      <c r="R45" s="5" t="s">
        <v>74</v>
      </c>
      <c r="V45" s="3">
        <v>12</v>
      </c>
      <c r="W45" s="5" t="s">
        <v>23</v>
      </c>
      <c r="AD45" s="11"/>
      <c r="AE45" s="11"/>
    </row>
    <row r="46" spans="1:31" ht="15.75" customHeight="1">
      <c r="A46" s="3">
        <v>239</v>
      </c>
      <c r="B46" s="3">
        <v>26070</v>
      </c>
      <c r="C46" s="4">
        <v>45769</v>
      </c>
      <c r="D46" s="4">
        <v>45863</v>
      </c>
      <c r="E46" s="5" t="s">
        <v>24</v>
      </c>
      <c r="F46" s="3">
        <v>63.8</v>
      </c>
      <c r="G46" s="6">
        <f t="shared" si="3"/>
        <v>54.867999999999995</v>
      </c>
      <c r="H46" s="7">
        <f t="shared" si="0"/>
        <v>45908</v>
      </c>
      <c r="I46" s="2" t="str">
        <f t="shared" si="1"/>
        <v>septiembre</v>
      </c>
      <c r="J46" s="2">
        <f t="shared" si="2"/>
        <v>9</v>
      </c>
      <c r="K46" s="2">
        <f t="shared" si="4"/>
        <v>2025</v>
      </c>
      <c r="L46" s="2" t="str">
        <f t="shared" si="5"/>
        <v>FOUR SEASONS HOTEL SEOUL</v>
      </c>
      <c r="M46" s="2">
        <f t="shared" si="6"/>
        <v>0</v>
      </c>
      <c r="Q46" s="3">
        <v>24401</v>
      </c>
      <c r="R46" s="5" t="s">
        <v>75</v>
      </c>
      <c r="V46" s="3">
        <v>12</v>
      </c>
      <c r="W46" s="5" t="s">
        <v>23</v>
      </c>
      <c r="AD46" s="11"/>
      <c r="AE46" s="11"/>
    </row>
    <row r="47" spans="1:31" ht="15.75" customHeight="1">
      <c r="A47" s="3">
        <v>242</v>
      </c>
      <c r="B47" s="3">
        <v>23931</v>
      </c>
      <c r="C47" s="4">
        <v>45775</v>
      </c>
      <c r="D47" s="4">
        <v>45775</v>
      </c>
      <c r="E47" s="5" t="s">
        <v>34</v>
      </c>
      <c r="F47" s="3">
        <v>500</v>
      </c>
      <c r="G47" s="6">
        <f t="shared" si="3"/>
        <v>24</v>
      </c>
      <c r="H47" s="7">
        <f t="shared" si="0"/>
        <v>45820</v>
      </c>
      <c r="I47" s="2" t="str">
        <f t="shared" si="1"/>
        <v>junio</v>
      </c>
      <c r="J47" s="2">
        <f t="shared" si="2"/>
        <v>6</v>
      </c>
      <c r="K47" s="2">
        <f t="shared" si="4"/>
        <v>2025</v>
      </c>
      <c r="L47" s="2" t="str">
        <f t="shared" si="5"/>
        <v>Abercrombie and Kent Europe</v>
      </c>
      <c r="M47" s="2">
        <f t="shared" si="6"/>
        <v>0</v>
      </c>
      <c r="Q47" s="3">
        <v>24440</v>
      </c>
      <c r="R47" s="5" t="s">
        <v>76</v>
      </c>
      <c r="V47" s="3">
        <v>12</v>
      </c>
      <c r="W47" s="5" t="s">
        <v>23</v>
      </c>
      <c r="AD47" s="11"/>
      <c r="AE47" s="11"/>
    </row>
    <row r="48" spans="1:31" ht="15.75" customHeight="1">
      <c r="A48" s="3">
        <v>251</v>
      </c>
      <c r="B48" s="3">
        <v>27253</v>
      </c>
      <c r="C48" s="4">
        <v>45795</v>
      </c>
      <c r="D48" s="4">
        <v>45798</v>
      </c>
      <c r="E48" s="5" t="s">
        <v>19</v>
      </c>
      <c r="F48" s="3">
        <v>103.1</v>
      </c>
      <c r="G48" s="6">
        <f t="shared" si="3"/>
        <v>103.1</v>
      </c>
      <c r="H48" s="7">
        <f t="shared" si="0"/>
        <v>45843</v>
      </c>
      <c r="I48" s="2" t="str">
        <f t="shared" si="1"/>
        <v>julio</v>
      </c>
      <c r="J48" s="2">
        <f t="shared" si="2"/>
        <v>7</v>
      </c>
      <c r="K48" s="2">
        <f t="shared" si="4"/>
        <v>2025</v>
      </c>
      <c r="L48" s="2" t="str">
        <f t="shared" si="5"/>
        <v>HOTEL EMBASSY</v>
      </c>
      <c r="M48" s="2">
        <f t="shared" si="6"/>
        <v>0</v>
      </c>
      <c r="Q48" s="3">
        <v>24443</v>
      </c>
      <c r="R48" s="5" t="s">
        <v>77</v>
      </c>
      <c r="V48" s="3">
        <v>12</v>
      </c>
      <c r="W48" s="5" t="s">
        <v>23</v>
      </c>
      <c r="AD48" s="10"/>
      <c r="AE48" s="10"/>
    </row>
    <row r="49" spans="1:31" ht="15.75" customHeight="1">
      <c r="A49" s="3">
        <v>257</v>
      </c>
      <c r="B49" s="3">
        <v>23590</v>
      </c>
      <c r="C49" s="4">
        <v>46056</v>
      </c>
      <c r="D49" s="4">
        <v>46061</v>
      </c>
      <c r="E49" s="5" t="s">
        <v>24</v>
      </c>
      <c r="F49" s="3">
        <v>41.84</v>
      </c>
      <c r="G49" s="6">
        <f t="shared" si="3"/>
        <v>35.982400000000005</v>
      </c>
      <c r="H49" s="7">
        <f t="shared" si="0"/>
        <v>46106</v>
      </c>
      <c r="I49" s="2" t="str">
        <f t="shared" si="1"/>
        <v>marzo</v>
      </c>
      <c r="J49" s="2">
        <f t="shared" si="2"/>
        <v>3</v>
      </c>
      <c r="K49" s="2">
        <f t="shared" si="4"/>
        <v>2026</v>
      </c>
      <c r="L49" s="2" t="str">
        <f t="shared" si="5"/>
        <v>Aeromexico</v>
      </c>
      <c r="M49" s="2">
        <f t="shared" si="6"/>
        <v>0</v>
      </c>
      <c r="Q49" s="3">
        <v>24490</v>
      </c>
      <c r="R49" s="5" t="s">
        <v>78</v>
      </c>
      <c r="V49" s="3">
        <v>12</v>
      </c>
      <c r="W49" s="5" t="s">
        <v>23</v>
      </c>
      <c r="AD49" s="11"/>
      <c r="AE49" s="11"/>
    </row>
    <row r="50" spans="1:31" ht="15.75" customHeight="1">
      <c r="A50" s="3">
        <v>257</v>
      </c>
      <c r="B50" s="3">
        <v>25689</v>
      </c>
      <c r="C50" s="4">
        <v>46056</v>
      </c>
      <c r="D50" s="4">
        <v>46061</v>
      </c>
      <c r="E50" s="5" t="s">
        <v>24</v>
      </c>
      <c r="F50" s="3">
        <v>2243.44</v>
      </c>
      <c r="G50" s="6">
        <f t="shared" si="3"/>
        <v>1929.3584000000001</v>
      </c>
      <c r="H50" s="7">
        <f t="shared" si="0"/>
        <v>46106</v>
      </c>
      <c r="I50" s="2" t="str">
        <f t="shared" si="1"/>
        <v>marzo</v>
      </c>
      <c r="J50" s="2">
        <f t="shared" si="2"/>
        <v>3</v>
      </c>
      <c r="K50" s="2">
        <f t="shared" si="4"/>
        <v>2026</v>
      </c>
      <c r="L50" s="2" t="str">
        <f t="shared" si="5"/>
        <v>AMAN NEW YORK</v>
      </c>
      <c r="M50" s="2">
        <f t="shared" si="6"/>
        <v>0</v>
      </c>
      <c r="Q50" s="3">
        <v>24493</v>
      </c>
      <c r="R50" s="5" t="s">
        <v>79</v>
      </c>
      <c r="V50" s="3">
        <v>13</v>
      </c>
      <c r="W50" s="5" t="s">
        <v>80</v>
      </c>
      <c r="AD50" s="10"/>
      <c r="AE50" s="10"/>
    </row>
    <row r="51" spans="1:31" ht="15.75" customHeight="1">
      <c r="A51" s="3">
        <v>262</v>
      </c>
      <c r="B51" s="3">
        <v>27721</v>
      </c>
      <c r="C51" s="4">
        <v>46016</v>
      </c>
      <c r="D51" s="4">
        <v>46027</v>
      </c>
      <c r="E51" s="5" t="s">
        <v>24</v>
      </c>
      <c r="F51" s="3">
        <v>96.46</v>
      </c>
      <c r="G51" s="6">
        <f t="shared" si="3"/>
        <v>82.95559999999999</v>
      </c>
      <c r="H51" s="7">
        <f t="shared" si="0"/>
        <v>46072</v>
      </c>
      <c r="I51" s="2" t="str">
        <f t="shared" si="1"/>
        <v>febrero</v>
      </c>
      <c r="J51" s="2">
        <f t="shared" si="2"/>
        <v>2</v>
      </c>
      <c r="K51" s="2">
        <f t="shared" si="4"/>
        <v>2026</v>
      </c>
      <c r="L51" s="2" t="str">
        <f t="shared" si="5"/>
        <v>TURISMO EXMAR</v>
      </c>
      <c r="M51" s="2">
        <f t="shared" si="6"/>
        <v>0</v>
      </c>
      <c r="Q51" s="3">
        <v>24495</v>
      </c>
      <c r="R51" s="5" t="s">
        <v>81</v>
      </c>
      <c r="V51" s="3">
        <v>14</v>
      </c>
      <c r="W51" s="5" t="s">
        <v>23</v>
      </c>
      <c r="AD51" s="11"/>
      <c r="AE51" s="11"/>
    </row>
    <row r="52" spans="1:31" ht="15.75" customHeight="1">
      <c r="A52" s="3">
        <v>262</v>
      </c>
      <c r="B52" s="3">
        <v>27721</v>
      </c>
      <c r="C52" s="4">
        <v>46016</v>
      </c>
      <c r="D52" s="4">
        <v>46027</v>
      </c>
      <c r="E52" s="5" t="s">
        <v>24</v>
      </c>
      <c r="F52" s="3">
        <v>96.46</v>
      </c>
      <c r="G52" s="6">
        <f t="shared" si="3"/>
        <v>82.95559999999999</v>
      </c>
      <c r="H52" s="7">
        <f t="shared" si="0"/>
        <v>46072</v>
      </c>
      <c r="I52" s="2" t="str">
        <f t="shared" si="1"/>
        <v>febrero</v>
      </c>
      <c r="J52" s="2">
        <f t="shared" si="2"/>
        <v>2</v>
      </c>
      <c r="K52" s="2">
        <f t="shared" si="4"/>
        <v>2026</v>
      </c>
      <c r="L52" s="2" t="str">
        <f t="shared" si="5"/>
        <v>TURISMO EXMAR</v>
      </c>
      <c r="M52" s="2">
        <f t="shared" si="6"/>
        <v>0</v>
      </c>
      <c r="Q52" s="3">
        <v>24750</v>
      </c>
      <c r="R52" s="5" t="s">
        <v>82</v>
      </c>
      <c r="V52" s="3">
        <v>14</v>
      </c>
      <c r="W52" s="5" t="s">
        <v>23</v>
      </c>
      <c r="AD52" s="10"/>
      <c r="AE52" s="10"/>
    </row>
    <row r="53" spans="1:31" ht="15.75" customHeight="1">
      <c r="A53" s="3">
        <v>262</v>
      </c>
      <c r="B53" s="3">
        <v>27721</v>
      </c>
      <c r="C53" s="4">
        <v>46016</v>
      </c>
      <c r="D53" s="4">
        <v>46027</v>
      </c>
      <c r="E53" s="5" t="s">
        <v>24</v>
      </c>
      <c r="F53" s="3">
        <v>96.46</v>
      </c>
      <c r="G53" s="6">
        <f t="shared" si="3"/>
        <v>82.95559999999999</v>
      </c>
      <c r="H53" s="7">
        <f t="shared" si="0"/>
        <v>46072</v>
      </c>
      <c r="I53" s="2" t="str">
        <f t="shared" si="1"/>
        <v>febrero</v>
      </c>
      <c r="J53" s="2">
        <f t="shared" si="2"/>
        <v>2</v>
      </c>
      <c r="K53" s="2">
        <f t="shared" si="4"/>
        <v>2026</v>
      </c>
      <c r="L53" s="2" t="str">
        <f t="shared" si="5"/>
        <v>TURISMO EXMAR</v>
      </c>
      <c r="M53" s="2">
        <f t="shared" si="6"/>
        <v>0</v>
      </c>
      <c r="Q53" s="3">
        <v>24811</v>
      </c>
      <c r="R53" s="5" t="s">
        <v>83</v>
      </c>
      <c r="V53" s="3">
        <v>14</v>
      </c>
      <c r="W53" s="5" t="s">
        <v>23</v>
      </c>
      <c r="AD53" s="10"/>
      <c r="AE53" s="10"/>
    </row>
    <row r="54" spans="1:31" ht="15.75" customHeight="1">
      <c r="A54" s="3">
        <v>262</v>
      </c>
      <c r="B54" s="3">
        <v>27721</v>
      </c>
      <c r="C54" s="4">
        <v>46016</v>
      </c>
      <c r="D54" s="4">
        <v>46027</v>
      </c>
      <c r="E54" s="5" t="s">
        <v>24</v>
      </c>
      <c r="F54" s="3">
        <v>102.64</v>
      </c>
      <c r="G54" s="6">
        <f t="shared" si="3"/>
        <v>88.270399999999995</v>
      </c>
      <c r="H54" s="7">
        <f t="shared" si="0"/>
        <v>46072</v>
      </c>
      <c r="I54" s="2" t="str">
        <f t="shared" si="1"/>
        <v>febrero</v>
      </c>
      <c r="J54" s="2">
        <f t="shared" si="2"/>
        <v>2</v>
      </c>
      <c r="K54" s="2">
        <f t="shared" si="4"/>
        <v>2026</v>
      </c>
      <c r="L54" s="2" t="str">
        <f t="shared" si="5"/>
        <v>TURISMO EXMAR</v>
      </c>
      <c r="M54" s="2">
        <f t="shared" si="6"/>
        <v>0</v>
      </c>
      <c r="Q54" s="3">
        <v>24812</v>
      </c>
      <c r="R54" s="5" t="s">
        <v>84</v>
      </c>
      <c r="V54" s="3">
        <v>14</v>
      </c>
      <c r="W54" s="5" t="s">
        <v>23</v>
      </c>
      <c r="AD54" s="10"/>
      <c r="AE54" s="10"/>
    </row>
    <row r="55" spans="1:31" ht="15.75" customHeight="1">
      <c r="A55" s="3">
        <v>262</v>
      </c>
      <c r="B55" s="3">
        <v>27721</v>
      </c>
      <c r="C55" s="4">
        <v>46016</v>
      </c>
      <c r="D55" s="4">
        <v>46027</v>
      </c>
      <c r="E55" s="5" t="s">
        <v>24</v>
      </c>
      <c r="F55" s="3">
        <v>102.64</v>
      </c>
      <c r="G55" s="6">
        <f t="shared" si="3"/>
        <v>88.270399999999995</v>
      </c>
      <c r="H55" s="7">
        <f t="shared" si="0"/>
        <v>46072</v>
      </c>
      <c r="I55" s="2" t="str">
        <f t="shared" si="1"/>
        <v>febrero</v>
      </c>
      <c r="J55" s="2">
        <f t="shared" si="2"/>
        <v>2</v>
      </c>
      <c r="K55" s="2">
        <f t="shared" si="4"/>
        <v>2026</v>
      </c>
      <c r="L55" s="2" t="str">
        <f t="shared" si="5"/>
        <v>TURISMO EXMAR</v>
      </c>
      <c r="M55" s="2">
        <f t="shared" si="6"/>
        <v>0</v>
      </c>
      <c r="Q55" s="3">
        <v>24825</v>
      </c>
      <c r="R55" s="5" t="s">
        <v>85</v>
      </c>
      <c r="V55" s="3">
        <v>14</v>
      </c>
      <c r="W55" s="5" t="s">
        <v>23</v>
      </c>
      <c r="AD55" s="11"/>
      <c r="AE55" s="11"/>
    </row>
    <row r="56" spans="1:31" ht="15.75" customHeight="1">
      <c r="A56" s="3">
        <v>262</v>
      </c>
      <c r="B56" s="3">
        <v>27721</v>
      </c>
      <c r="C56" s="4">
        <v>46016</v>
      </c>
      <c r="D56" s="4">
        <v>46027</v>
      </c>
      <c r="E56" s="5" t="s">
        <v>24</v>
      </c>
      <c r="F56" s="3">
        <v>102.64</v>
      </c>
      <c r="G56" s="6">
        <f t="shared" si="3"/>
        <v>88.270399999999995</v>
      </c>
      <c r="H56" s="7">
        <f t="shared" si="0"/>
        <v>46072</v>
      </c>
      <c r="I56" s="2" t="str">
        <f t="shared" si="1"/>
        <v>febrero</v>
      </c>
      <c r="J56" s="2">
        <f t="shared" si="2"/>
        <v>2</v>
      </c>
      <c r="K56" s="2">
        <f t="shared" si="4"/>
        <v>2026</v>
      </c>
      <c r="L56" s="2" t="str">
        <f t="shared" si="5"/>
        <v>TURISMO EXMAR</v>
      </c>
      <c r="M56" s="2">
        <f t="shared" si="6"/>
        <v>0</v>
      </c>
      <c r="Q56" s="3">
        <v>24878</v>
      </c>
      <c r="R56" s="5" t="s">
        <v>86</v>
      </c>
      <c r="V56" s="3">
        <v>14</v>
      </c>
      <c r="W56" s="5" t="s">
        <v>23</v>
      </c>
      <c r="AD56" s="10"/>
      <c r="AE56" s="10"/>
    </row>
    <row r="57" spans="1:31" ht="15.75" customHeight="1">
      <c r="A57" s="3">
        <v>262</v>
      </c>
      <c r="B57" s="3">
        <v>27721</v>
      </c>
      <c r="C57" s="4">
        <v>46016</v>
      </c>
      <c r="D57" s="4">
        <v>46027</v>
      </c>
      <c r="E57" s="5" t="s">
        <v>24</v>
      </c>
      <c r="F57" s="3">
        <v>108.82</v>
      </c>
      <c r="G57" s="6">
        <f t="shared" si="3"/>
        <v>93.585199999999986</v>
      </c>
      <c r="H57" s="7">
        <f t="shared" si="0"/>
        <v>46072</v>
      </c>
      <c r="I57" s="2" t="str">
        <f t="shared" si="1"/>
        <v>febrero</v>
      </c>
      <c r="J57" s="2">
        <f t="shared" si="2"/>
        <v>2</v>
      </c>
      <c r="K57" s="2">
        <f t="shared" si="4"/>
        <v>2026</v>
      </c>
      <c r="L57" s="2" t="str">
        <f t="shared" si="5"/>
        <v>TURISMO EXMAR</v>
      </c>
      <c r="M57" s="2">
        <f t="shared" si="6"/>
        <v>0</v>
      </c>
      <c r="Q57" s="3">
        <v>24893</v>
      </c>
      <c r="R57" s="5" t="s">
        <v>87</v>
      </c>
      <c r="V57" s="3">
        <v>14</v>
      </c>
      <c r="W57" s="5" t="s">
        <v>23</v>
      </c>
      <c r="AD57" s="11"/>
      <c r="AE57" s="11"/>
    </row>
    <row r="58" spans="1:31" ht="15.75" customHeight="1">
      <c r="A58" s="3">
        <v>262</v>
      </c>
      <c r="B58" s="3">
        <v>27721</v>
      </c>
      <c r="C58" s="4">
        <v>46016</v>
      </c>
      <c r="D58" s="4">
        <v>46027</v>
      </c>
      <c r="E58" s="5" t="s">
        <v>24</v>
      </c>
      <c r="F58" s="3">
        <v>108.82</v>
      </c>
      <c r="G58" s="6">
        <f t="shared" si="3"/>
        <v>93.585199999999986</v>
      </c>
      <c r="H58" s="7">
        <f t="shared" si="0"/>
        <v>46072</v>
      </c>
      <c r="I58" s="2" t="str">
        <f t="shared" si="1"/>
        <v>febrero</v>
      </c>
      <c r="J58" s="2">
        <f t="shared" si="2"/>
        <v>2</v>
      </c>
      <c r="K58" s="2">
        <f t="shared" si="4"/>
        <v>2026</v>
      </c>
      <c r="L58" s="2" t="str">
        <f t="shared" si="5"/>
        <v>TURISMO EXMAR</v>
      </c>
      <c r="M58" s="2">
        <f t="shared" si="6"/>
        <v>0</v>
      </c>
      <c r="Q58" s="3">
        <v>24894</v>
      </c>
      <c r="R58" s="5" t="s">
        <v>88</v>
      </c>
      <c r="V58" s="3">
        <v>14</v>
      </c>
      <c r="W58" s="5" t="s">
        <v>89</v>
      </c>
      <c r="AD58" s="10"/>
      <c r="AE58" s="10"/>
    </row>
    <row r="59" spans="1:31" ht="15.75" customHeight="1">
      <c r="A59" s="3">
        <v>272</v>
      </c>
      <c r="B59" s="3">
        <v>27448</v>
      </c>
      <c r="C59" s="4">
        <v>45784</v>
      </c>
      <c r="D59" s="4">
        <v>45789</v>
      </c>
      <c r="E59" s="5" t="s">
        <v>24</v>
      </c>
      <c r="F59" s="3">
        <v>677.3</v>
      </c>
      <c r="G59" s="6">
        <f t="shared" si="3"/>
        <v>582.47799999999995</v>
      </c>
      <c r="H59" s="7">
        <f t="shared" si="0"/>
        <v>45834</v>
      </c>
      <c r="I59" s="2" t="str">
        <f t="shared" si="1"/>
        <v>junio</v>
      </c>
      <c r="J59" s="2">
        <f t="shared" si="2"/>
        <v>6</v>
      </c>
      <c r="K59" s="2">
        <f t="shared" si="4"/>
        <v>2025</v>
      </c>
      <c r="L59" s="2" t="str">
        <f t="shared" si="5"/>
        <v>THE LOWELL HOTEL</v>
      </c>
      <c r="M59" s="2">
        <f t="shared" si="6"/>
        <v>0</v>
      </c>
      <c r="Q59" s="3">
        <v>24898</v>
      </c>
      <c r="R59" s="5" t="s">
        <v>90</v>
      </c>
      <c r="V59" s="3">
        <v>14</v>
      </c>
      <c r="W59" s="5" t="s">
        <v>23</v>
      </c>
      <c r="AD59" s="10"/>
      <c r="AE59" s="10"/>
    </row>
    <row r="60" spans="1:31" ht="15.75" customHeight="1">
      <c r="A60" s="3">
        <v>272</v>
      </c>
      <c r="B60" s="3">
        <v>27448</v>
      </c>
      <c r="C60" s="4">
        <v>45784</v>
      </c>
      <c r="D60" s="4">
        <v>45789</v>
      </c>
      <c r="E60" s="5" t="s">
        <v>24</v>
      </c>
      <c r="F60" s="3">
        <v>1777.5</v>
      </c>
      <c r="G60" s="6">
        <f t="shared" si="3"/>
        <v>1528.6499999999999</v>
      </c>
      <c r="H60" s="7">
        <f t="shared" si="0"/>
        <v>45834</v>
      </c>
      <c r="I60" s="2" t="str">
        <f t="shared" si="1"/>
        <v>junio</v>
      </c>
      <c r="J60" s="2">
        <f t="shared" si="2"/>
        <v>6</v>
      </c>
      <c r="K60" s="2">
        <f t="shared" si="4"/>
        <v>2025</v>
      </c>
      <c r="L60" s="2" t="str">
        <f t="shared" si="5"/>
        <v>THE LOWELL HOTEL</v>
      </c>
      <c r="M60" s="2">
        <f t="shared" si="6"/>
        <v>0</v>
      </c>
      <c r="Q60" s="3">
        <v>24922</v>
      </c>
      <c r="R60" s="5" t="s">
        <v>91</v>
      </c>
      <c r="V60" s="3">
        <v>14</v>
      </c>
      <c r="W60" s="5" t="s">
        <v>68</v>
      </c>
      <c r="AD60" s="11"/>
      <c r="AE60" s="11"/>
    </row>
    <row r="61" spans="1:31" ht="15.75" customHeight="1">
      <c r="A61" s="3">
        <v>273</v>
      </c>
      <c r="B61" s="3">
        <v>26673</v>
      </c>
      <c r="C61" s="4">
        <v>45777</v>
      </c>
      <c r="D61" s="4">
        <v>45782</v>
      </c>
      <c r="E61" s="5" t="s">
        <v>19</v>
      </c>
      <c r="F61" s="3">
        <v>337.35</v>
      </c>
      <c r="G61" s="6">
        <f t="shared" si="3"/>
        <v>337.35</v>
      </c>
      <c r="H61" s="7">
        <f t="shared" si="0"/>
        <v>45827</v>
      </c>
      <c r="I61" s="2" t="str">
        <f t="shared" si="1"/>
        <v>junio</v>
      </c>
      <c r="J61" s="2">
        <f t="shared" si="2"/>
        <v>6</v>
      </c>
      <c r="K61" s="2">
        <f t="shared" si="4"/>
        <v>2025</v>
      </c>
      <c r="L61" s="2" t="str">
        <f t="shared" si="5"/>
        <v>URSO HOTEL AND SPA</v>
      </c>
      <c r="M61" s="2">
        <f t="shared" si="6"/>
        <v>0</v>
      </c>
      <c r="Q61" s="3">
        <v>24961</v>
      </c>
      <c r="R61" s="5" t="s">
        <v>92</v>
      </c>
      <c r="V61" s="3">
        <v>14</v>
      </c>
      <c r="W61" s="5" t="s">
        <v>68</v>
      </c>
      <c r="AD61" s="11"/>
      <c r="AE61" s="10"/>
    </row>
    <row r="62" spans="1:31" ht="15.75" customHeight="1">
      <c r="A62" s="3">
        <v>275</v>
      </c>
      <c r="B62" s="3">
        <v>27486</v>
      </c>
      <c r="C62" s="4">
        <v>45810</v>
      </c>
      <c r="D62" s="4">
        <v>45812</v>
      </c>
      <c r="E62" s="5" t="s">
        <v>19</v>
      </c>
      <c r="F62" s="3">
        <v>480</v>
      </c>
      <c r="G62" s="6">
        <f t="shared" si="3"/>
        <v>480</v>
      </c>
      <c r="H62" s="7">
        <f t="shared" si="0"/>
        <v>45857</v>
      </c>
      <c r="I62" s="2" t="str">
        <f t="shared" si="1"/>
        <v>julio</v>
      </c>
      <c r="J62" s="2">
        <f t="shared" si="2"/>
        <v>7</v>
      </c>
      <c r="K62" s="2">
        <f t="shared" si="4"/>
        <v>2025</v>
      </c>
      <c r="L62" s="2" t="str">
        <f t="shared" si="5"/>
        <v>MANDARIN ORIENTAL, PARIS HOTEL</v>
      </c>
      <c r="M62" s="2">
        <f t="shared" si="6"/>
        <v>0</v>
      </c>
      <c r="Q62" s="3">
        <v>24966</v>
      </c>
      <c r="R62" s="5" t="s">
        <v>93</v>
      </c>
      <c r="V62" s="3">
        <v>14</v>
      </c>
      <c r="W62" s="5" t="s">
        <v>94</v>
      </c>
      <c r="AD62" s="11"/>
      <c r="AE62" s="11"/>
    </row>
    <row r="63" spans="1:31" ht="15.75" customHeight="1">
      <c r="A63" s="3">
        <v>278</v>
      </c>
      <c r="B63" s="3">
        <v>25904</v>
      </c>
      <c r="C63" s="4">
        <v>45973</v>
      </c>
      <c r="D63" s="4">
        <v>45986</v>
      </c>
      <c r="E63" s="5" t="s">
        <v>24</v>
      </c>
      <c r="F63" s="3">
        <v>257.92</v>
      </c>
      <c r="G63" s="6">
        <f t="shared" si="3"/>
        <v>221.81120000000001</v>
      </c>
      <c r="H63" s="7">
        <f t="shared" si="0"/>
        <v>46031</v>
      </c>
      <c r="I63" s="2" t="str">
        <f t="shared" si="1"/>
        <v>enero</v>
      </c>
      <c r="J63" s="2">
        <f t="shared" si="2"/>
        <v>1</v>
      </c>
      <c r="K63" s="2">
        <f t="shared" si="4"/>
        <v>2026</v>
      </c>
      <c r="L63" s="2" t="str">
        <f t="shared" si="5"/>
        <v>FOUR SEASONS HOTEL TOKYO AT OTEMACHI</v>
      </c>
      <c r="M63" s="2">
        <f t="shared" si="6"/>
        <v>0</v>
      </c>
      <c r="Q63" s="3">
        <v>24971</v>
      </c>
      <c r="R63" s="5" t="s">
        <v>95</v>
      </c>
      <c r="V63" s="3">
        <v>14</v>
      </c>
      <c r="W63" s="5" t="s">
        <v>94</v>
      </c>
      <c r="AD63" s="11"/>
      <c r="AE63" s="11"/>
    </row>
    <row r="64" spans="1:31" ht="15.75" customHeight="1">
      <c r="A64" s="3">
        <v>287</v>
      </c>
      <c r="B64" s="3">
        <v>27547</v>
      </c>
      <c r="C64" s="4">
        <v>45834</v>
      </c>
      <c r="D64" s="4">
        <v>45836</v>
      </c>
      <c r="E64" s="5" t="s">
        <v>19</v>
      </c>
      <c r="F64" s="3">
        <v>72.5</v>
      </c>
      <c r="G64" s="6">
        <f t="shared" si="3"/>
        <v>72.5</v>
      </c>
      <c r="H64" s="7">
        <f t="shared" si="0"/>
        <v>45881</v>
      </c>
      <c r="I64" s="2" t="str">
        <f t="shared" si="1"/>
        <v>agosto</v>
      </c>
      <c r="J64" s="2">
        <f t="shared" si="2"/>
        <v>8</v>
      </c>
      <c r="K64" s="2">
        <f t="shared" si="4"/>
        <v>2025</v>
      </c>
      <c r="L64" s="2" t="str">
        <f t="shared" si="5"/>
        <v>HOTEL LIAUTAUD CASSIS</v>
      </c>
      <c r="M64" s="2">
        <f t="shared" si="6"/>
        <v>0</v>
      </c>
      <c r="Q64" s="3">
        <v>24972</v>
      </c>
      <c r="R64" s="5" t="s">
        <v>96</v>
      </c>
      <c r="V64" s="3">
        <v>14</v>
      </c>
      <c r="W64" s="5" t="s">
        <v>68</v>
      </c>
      <c r="AD64" s="10"/>
      <c r="AE64" s="11"/>
    </row>
    <row r="65" spans="1:31" ht="15.75" customHeight="1">
      <c r="A65" s="3">
        <v>287</v>
      </c>
      <c r="B65" s="3">
        <v>27554</v>
      </c>
      <c r="C65" s="4">
        <v>45843</v>
      </c>
      <c r="D65" s="4">
        <v>45848</v>
      </c>
      <c r="E65" s="5" t="s">
        <v>19</v>
      </c>
      <c r="F65" s="3">
        <v>201.05</v>
      </c>
      <c r="G65" s="6">
        <f t="shared" si="3"/>
        <v>201.05</v>
      </c>
      <c r="H65" s="7">
        <f t="shared" si="0"/>
        <v>45893</v>
      </c>
      <c r="I65" s="2" t="str">
        <f t="shared" si="1"/>
        <v>agosto</v>
      </c>
      <c r="J65" s="2">
        <f t="shared" si="2"/>
        <v>8</v>
      </c>
      <c r="K65" s="2">
        <f t="shared" si="4"/>
        <v>2025</v>
      </c>
      <c r="L65" s="2" t="str">
        <f t="shared" si="5"/>
        <v>HOTEL LORD BYRON</v>
      </c>
      <c r="M65" s="2">
        <f t="shared" si="6"/>
        <v>0</v>
      </c>
      <c r="Q65" s="3">
        <v>24979</v>
      </c>
      <c r="R65" s="5" t="s">
        <v>97</v>
      </c>
      <c r="V65" s="3">
        <v>14</v>
      </c>
      <c r="W65" s="5" t="s">
        <v>68</v>
      </c>
      <c r="AD65" s="11"/>
      <c r="AE65" s="11"/>
    </row>
    <row r="66" spans="1:31" ht="15.75" customHeight="1">
      <c r="A66" s="3">
        <v>295</v>
      </c>
      <c r="B66" s="3">
        <v>25372</v>
      </c>
      <c r="C66" s="4">
        <v>45854</v>
      </c>
      <c r="D66" s="4">
        <v>45870</v>
      </c>
      <c r="E66" s="5" t="s">
        <v>24</v>
      </c>
      <c r="F66" s="3">
        <v>6752.1</v>
      </c>
      <c r="G66" s="6">
        <f t="shared" si="3"/>
        <v>5806.8060000000005</v>
      </c>
      <c r="H66" s="7">
        <f t="shared" si="0"/>
        <v>45915</v>
      </c>
      <c r="I66" s="2" t="str">
        <f t="shared" si="1"/>
        <v>septiembre</v>
      </c>
      <c r="J66" s="2">
        <f t="shared" si="2"/>
        <v>9</v>
      </c>
      <c r="K66" s="2">
        <f t="shared" si="4"/>
        <v>2025</v>
      </c>
      <c r="L66" s="2" t="str">
        <f t="shared" si="5"/>
        <v>Queen Of Clubs Lifestyle Luxury Services LTD</v>
      </c>
      <c r="M66" s="2">
        <f t="shared" si="6"/>
        <v>0</v>
      </c>
      <c r="Q66" s="3">
        <v>24982</v>
      </c>
      <c r="R66" s="5" t="s">
        <v>98</v>
      </c>
      <c r="V66" s="3">
        <v>15</v>
      </c>
      <c r="W66" s="5" t="s">
        <v>94</v>
      </c>
      <c r="AD66" s="11"/>
      <c r="AE66" s="11"/>
    </row>
    <row r="67" spans="1:31" ht="15.75" customHeight="1">
      <c r="A67" s="3">
        <v>295</v>
      </c>
      <c r="B67" s="3">
        <v>25372</v>
      </c>
      <c r="C67" s="4">
        <v>45854</v>
      </c>
      <c r="D67" s="4">
        <v>45870</v>
      </c>
      <c r="E67" s="5" t="s">
        <v>24</v>
      </c>
      <c r="F67" s="3">
        <v>7715.82</v>
      </c>
      <c r="G67" s="6">
        <f t="shared" ref="G67:G130" si="7">F67*_xlfn.XLOOKUP(E67,Z:Z,AA:AA)</f>
        <v>6635.6052</v>
      </c>
      <c r="H67" s="7">
        <f t="shared" si="0"/>
        <v>45915</v>
      </c>
      <c r="I67" s="2" t="str">
        <f t="shared" si="1"/>
        <v>septiembre</v>
      </c>
      <c r="J67" s="2">
        <f t="shared" si="2"/>
        <v>9</v>
      </c>
      <c r="K67" s="2">
        <f t="shared" ref="K67:K130" si="8">YEAR(H67)</f>
        <v>2025</v>
      </c>
      <c r="L67" s="2" t="str">
        <f t="shared" ref="L67:L130" si="9">_xlfn.XLOOKUP(B67,Q:Q,R:R)</f>
        <v>Queen Of Clubs Lifestyle Luxury Services LTD</v>
      </c>
      <c r="M67" s="2">
        <f t="shared" ref="M67:M130" si="10">_xlfn.XLOOKUP(A67,V:V,W:W)</f>
        <v>0</v>
      </c>
      <c r="Q67" s="3">
        <v>24984</v>
      </c>
      <c r="R67" s="5" t="s">
        <v>99</v>
      </c>
      <c r="V67" s="3">
        <v>16</v>
      </c>
      <c r="W67" s="5" t="s">
        <v>94</v>
      </c>
      <c r="AD67" s="11"/>
      <c r="AE67" s="11"/>
    </row>
    <row r="68" spans="1:31" ht="15.75" customHeight="1">
      <c r="A68" s="3">
        <v>295</v>
      </c>
      <c r="B68" s="3">
        <v>25372</v>
      </c>
      <c r="C68" s="4">
        <v>45867</v>
      </c>
      <c r="D68" s="4">
        <v>45898</v>
      </c>
      <c r="E68" s="5" t="s">
        <v>24</v>
      </c>
      <c r="F68" s="3">
        <v>1905.17</v>
      </c>
      <c r="G68" s="6">
        <f t="shared" si="7"/>
        <v>1638.4462000000001</v>
      </c>
      <c r="H68" s="7">
        <f t="shared" si="0"/>
        <v>45943</v>
      </c>
      <c r="I68" s="2" t="str">
        <f t="shared" si="1"/>
        <v>octubre</v>
      </c>
      <c r="J68" s="2">
        <f t="shared" si="2"/>
        <v>10</v>
      </c>
      <c r="K68" s="2">
        <f t="shared" si="8"/>
        <v>2025</v>
      </c>
      <c r="L68" s="2" t="str">
        <f t="shared" si="9"/>
        <v>Queen Of Clubs Lifestyle Luxury Services LTD</v>
      </c>
      <c r="M68" s="2">
        <f t="shared" si="10"/>
        <v>0</v>
      </c>
      <c r="Q68" s="3">
        <v>24987</v>
      </c>
      <c r="R68" s="5" t="s">
        <v>100</v>
      </c>
      <c r="V68" s="3">
        <v>16</v>
      </c>
      <c r="W68" s="5" t="s">
        <v>94</v>
      </c>
      <c r="AD68" s="11"/>
      <c r="AE68" s="11"/>
    </row>
    <row r="69" spans="1:31" ht="15.75" customHeight="1">
      <c r="A69" s="3">
        <v>295</v>
      </c>
      <c r="B69" s="3">
        <v>25372</v>
      </c>
      <c r="C69" s="4">
        <v>45854</v>
      </c>
      <c r="D69" s="4">
        <v>45870</v>
      </c>
      <c r="E69" s="5" t="s">
        <v>24</v>
      </c>
      <c r="F69" s="3">
        <v>1099.82</v>
      </c>
      <c r="G69" s="6">
        <f t="shared" si="7"/>
        <v>945.84519999999998</v>
      </c>
      <c r="H69" s="7">
        <f t="shared" si="0"/>
        <v>45915</v>
      </c>
      <c r="I69" s="2" t="str">
        <f t="shared" si="1"/>
        <v>septiembre</v>
      </c>
      <c r="J69" s="2">
        <f t="shared" si="2"/>
        <v>9</v>
      </c>
      <c r="K69" s="2">
        <f t="shared" si="8"/>
        <v>2025</v>
      </c>
      <c r="L69" s="2" t="str">
        <f t="shared" si="9"/>
        <v>Queen Of Clubs Lifestyle Luxury Services LTD</v>
      </c>
      <c r="M69" s="2">
        <f t="shared" si="10"/>
        <v>0</v>
      </c>
      <c r="Q69" s="3">
        <v>24988</v>
      </c>
      <c r="R69" s="5" t="s">
        <v>101</v>
      </c>
      <c r="V69" s="3">
        <v>16</v>
      </c>
      <c r="W69" s="5" t="s">
        <v>94</v>
      </c>
      <c r="AD69" s="11"/>
      <c r="AE69" s="11"/>
    </row>
    <row r="70" spans="1:31" ht="15.75" customHeight="1">
      <c r="A70" s="3">
        <v>329</v>
      </c>
      <c r="B70" s="3">
        <v>28064</v>
      </c>
      <c r="C70" s="4">
        <v>45953</v>
      </c>
      <c r="D70" s="4">
        <v>45955</v>
      </c>
      <c r="E70" s="5" t="s">
        <v>24</v>
      </c>
      <c r="F70" s="3">
        <v>1011.14</v>
      </c>
      <c r="G70" s="6">
        <f t="shared" si="7"/>
        <v>869.58039999999994</v>
      </c>
      <c r="H70" s="7">
        <f t="shared" si="0"/>
        <v>46000</v>
      </c>
      <c r="I70" s="2" t="str">
        <f t="shared" si="1"/>
        <v>diciembre</v>
      </c>
      <c r="J70" s="2">
        <f t="shared" si="2"/>
        <v>12</v>
      </c>
      <c r="K70" s="2">
        <f t="shared" si="8"/>
        <v>2025</v>
      </c>
      <c r="L70" s="2" t="str">
        <f t="shared" si="9"/>
        <v>HOTEL ESENCIA</v>
      </c>
      <c r="M70" s="2">
        <f t="shared" si="10"/>
        <v>0</v>
      </c>
      <c r="Q70" s="3">
        <v>24989</v>
      </c>
      <c r="R70" s="5" t="s">
        <v>102</v>
      </c>
      <c r="V70" s="3">
        <v>16</v>
      </c>
      <c r="W70" s="5" t="s">
        <v>23</v>
      </c>
      <c r="AD70" s="10"/>
      <c r="AE70" s="10"/>
    </row>
    <row r="71" spans="1:31" ht="15.75" customHeight="1">
      <c r="A71" s="3">
        <v>342</v>
      </c>
      <c r="B71" s="3">
        <v>27931</v>
      </c>
      <c r="C71" s="4">
        <v>45844</v>
      </c>
      <c r="D71" s="4">
        <v>45845</v>
      </c>
      <c r="E71" s="5" t="s">
        <v>34</v>
      </c>
      <c r="F71" s="3">
        <v>599.69000000000005</v>
      </c>
      <c r="G71" s="6">
        <f t="shared" si="7"/>
        <v>28.785120000000003</v>
      </c>
      <c r="H71" s="7">
        <f t="shared" si="0"/>
        <v>45890</v>
      </c>
      <c r="I71" s="2" t="str">
        <f t="shared" si="1"/>
        <v>agosto</v>
      </c>
      <c r="J71" s="2">
        <f t="shared" si="2"/>
        <v>8</v>
      </c>
      <c r="K71" s="2">
        <f t="shared" si="8"/>
        <v>2025</v>
      </c>
      <c r="L71" s="2" t="str">
        <f t="shared" si="9"/>
        <v>Bedsonline</v>
      </c>
      <c r="M71" s="2">
        <f t="shared" si="10"/>
        <v>0</v>
      </c>
      <c r="Q71" s="3">
        <v>24991</v>
      </c>
      <c r="R71" s="5" t="s">
        <v>103</v>
      </c>
      <c r="V71" s="3">
        <v>16</v>
      </c>
      <c r="W71" s="5" t="s">
        <v>68</v>
      </c>
      <c r="AD71" s="11"/>
      <c r="AE71" s="10"/>
    </row>
    <row r="72" spans="1:31" ht="15.75" customHeight="1">
      <c r="A72" s="3">
        <v>364</v>
      </c>
      <c r="B72" s="3">
        <v>24989</v>
      </c>
      <c r="C72" s="4">
        <v>45808</v>
      </c>
      <c r="D72" s="4">
        <v>45809</v>
      </c>
      <c r="E72" s="5" t="s">
        <v>24</v>
      </c>
      <c r="F72" s="3">
        <v>27.03</v>
      </c>
      <c r="G72" s="6">
        <f t="shared" si="7"/>
        <v>23.245799999999999</v>
      </c>
      <c r="H72" s="7">
        <f t="shared" si="0"/>
        <v>45854</v>
      </c>
      <c r="I72" s="2" t="str">
        <f t="shared" si="1"/>
        <v>julio</v>
      </c>
      <c r="J72" s="2">
        <f t="shared" si="2"/>
        <v>7</v>
      </c>
      <c r="K72" s="2">
        <f t="shared" si="8"/>
        <v>2025</v>
      </c>
      <c r="L72" s="2" t="str">
        <f t="shared" si="9"/>
        <v>HYATT CENTRIC KANAZAWA</v>
      </c>
      <c r="M72" s="2">
        <f t="shared" si="10"/>
        <v>0</v>
      </c>
      <c r="Q72" s="3">
        <v>24992</v>
      </c>
      <c r="R72" s="5" t="s">
        <v>104</v>
      </c>
      <c r="V72" s="3">
        <v>16</v>
      </c>
      <c r="W72" s="5" t="s">
        <v>68</v>
      </c>
      <c r="AD72" s="10"/>
      <c r="AE72" s="10"/>
    </row>
    <row r="73" spans="1:31" ht="15.75" customHeight="1">
      <c r="A73" s="3">
        <v>367</v>
      </c>
      <c r="B73" s="3">
        <v>27364</v>
      </c>
      <c r="C73" s="4">
        <v>45825</v>
      </c>
      <c r="D73" s="4">
        <v>45838</v>
      </c>
      <c r="E73" s="5" t="s">
        <v>34</v>
      </c>
      <c r="F73" s="3">
        <v>302.24</v>
      </c>
      <c r="G73" s="6">
        <f t="shared" si="7"/>
        <v>14.507520000000001</v>
      </c>
      <c r="H73" s="7">
        <f t="shared" si="0"/>
        <v>45883</v>
      </c>
      <c r="I73" s="2" t="str">
        <f t="shared" si="1"/>
        <v>agosto</v>
      </c>
      <c r="J73" s="2">
        <f t="shared" si="2"/>
        <v>8</v>
      </c>
      <c r="K73" s="2">
        <f t="shared" si="8"/>
        <v>2025</v>
      </c>
      <c r="L73" s="2" t="str">
        <f t="shared" si="9"/>
        <v>ASIANA AIRLINES</v>
      </c>
      <c r="M73" s="2">
        <f t="shared" si="10"/>
        <v>0</v>
      </c>
      <c r="Q73" s="3">
        <v>24994</v>
      </c>
      <c r="R73" s="5" t="s">
        <v>105</v>
      </c>
      <c r="V73" s="3">
        <v>16</v>
      </c>
      <c r="W73" s="5" t="s">
        <v>68</v>
      </c>
      <c r="AD73" s="10"/>
      <c r="AE73" s="10"/>
    </row>
    <row r="74" spans="1:31" ht="15.75" customHeight="1">
      <c r="A74" s="3">
        <v>367</v>
      </c>
      <c r="B74" s="3">
        <v>24399</v>
      </c>
      <c r="C74" s="4">
        <v>45825</v>
      </c>
      <c r="D74" s="4">
        <v>45838</v>
      </c>
      <c r="E74" s="5" t="s">
        <v>34</v>
      </c>
      <c r="F74" s="3">
        <v>220.48</v>
      </c>
      <c r="G74" s="6">
        <f t="shared" si="7"/>
        <v>10.58304</v>
      </c>
      <c r="H74" s="7">
        <f t="shared" si="0"/>
        <v>45883</v>
      </c>
      <c r="I74" s="2" t="str">
        <f t="shared" si="1"/>
        <v>agosto</v>
      </c>
      <c r="J74" s="2">
        <f t="shared" si="2"/>
        <v>8</v>
      </c>
      <c r="K74" s="2">
        <f t="shared" si="8"/>
        <v>2025</v>
      </c>
      <c r="L74" s="2" t="str">
        <f t="shared" si="9"/>
        <v>Ethiopian Airlines</v>
      </c>
      <c r="M74" s="2">
        <f t="shared" si="10"/>
        <v>0</v>
      </c>
      <c r="Q74" s="3">
        <v>24995</v>
      </c>
      <c r="R74" s="5" t="s">
        <v>106</v>
      </c>
      <c r="V74" s="3">
        <v>17</v>
      </c>
      <c r="W74" s="5" t="s">
        <v>68</v>
      </c>
      <c r="AD74" s="10"/>
      <c r="AE74" s="10"/>
    </row>
    <row r="75" spans="1:31" ht="15.75" customHeight="1">
      <c r="A75" s="3">
        <v>378</v>
      </c>
      <c r="B75" s="3">
        <v>30728</v>
      </c>
      <c r="C75" s="4">
        <v>45901</v>
      </c>
      <c r="D75" s="4">
        <v>45904</v>
      </c>
      <c r="E75" s="5" t="s">
        <v>24</v>
      </c>
      <c r="F75" s="3">
        <v>220</v>
      </c>
      <c r="G75" s="6">
        <f t="shared" si="7"/>
        <v>189.2</v>
      </c>
      <c r="H75" s="7">
        <f t="shared" si="0"/>
        <v>45949</v>
      </c>
      <c r="I75" s="2" t="str">
        <f t="shared" si="1"/>
        <v>octubre</v>
      </c>
      <c r="J75" s="2">
        <f t="shared" si="2"/>
        <v>10</v>
      </c>
      <c r="K75" s="2">
        <f t="shared" si="8"/>
        <v>2025</v>
      </c>
      <c r="L75" s="2" t="str">
        <f t="shared" si="9"/>
        <v>MATTERI YACHT CLUB</v>
      </c>
      <c r="M75" s="2">
        <f t="shared" si="10"/>
        <v>0</v>
      </c>
      <c r="Q75" s="3">
        <v>25010</v>
      </c>
      <c r="R75" s="5" t="s">
        <v>107</v>
      </c>
      <c r="V75" s="3">
        <v>18</v>
      </c>
      <c r="W75" s="5" t="s">
        <v>68</v>
      </c>
      <c r="AD75" s="10"/>
      <c r="AE75" s="10"/>
    </row>
    <row r="76" spans="1:31" ht="15.75" customHeight="1">
      <c r="A76" s="3">
        <v>378</v>
      </c>
      <c r="B76" s="3">
        <v>25780</v>
      </c>
      <c r="C76" s="4">
        <v>45901</v>
      </c>
      <c r="D76" s="4">
        <v>45901</v>
      </c>
      <c r="E76" s="5" t="s">
        <v>24</v>
      </c>
      <c r="F76" s="3">
        <v>61.35</v>
      </c>
      <c r="G76" s="6">
        <f t="shared" si="7"/>
        <v>52.761000000000003</v>
      </c>
      <c r="H76" s="7">
        <f t="shared" si="0"/>
        <v>45946</v>
      </c>
      <c r="I76" s="2" t="str">
        <f t="shared" si="1"/>
        <v>octubre</v>
      </c>
      <c r="J76" s="2">
        <f t="shared" si="2"/>
        <v>10</v>
      </c>
      <c r="K76" s="2">
        <f t="shared" si="8"/>
        <v>2025</v>
      </c>
      <c r="L76" s="2" t="str">
        <f t="shared" si="9"/>
        <v>ROLZO</v>
      </c>
      <c r="M76" s="2">
        <f t="shared" si="10"/>
        <v>0</v>
      </c>
      <c r="Q76" s="3">
        <v>25011</v>
      </c>
      <c r="R76" s="5" t="s">
        <v>108</v>
      </c>
      <c r="V76" s="3">
        <v>18</v>
      </c>
      <c r="W76" s="5" t="s">
        <v>68</v>
      </c>
      <c r="AD76" s="11"/>
      <c r="AE76" s="10"/>
    </row>
    <row r="77" spans="1:31" ht="15.75" customHeight="1">
      <c r="A77" s="3">
        <v>388</v>
      </c>
      <c r="B77" s="3">
        <v>28454</v>
      </c>
      <c r="C77" s="4">
        <v>45967</v>
      </c>
      <c r="D77" s="4">
        <v>45970</v>
      </c>
      <c r="E77" s="5" t="s">
        <v>24</v>
      </c>
      <c r="F77" s="3">
        <v>229.02</v>
      </c>
      <c r="G77" s="6">
        <f t="shared" si="7"/>
        <v>196.9572</v>
      </c>
      <c r="H77" s="7">
        <f t="shared" si="0"/>
        <v>46015</v>
      </c>
      <c r="I77" s="2" t="str">
        <f t="shared" si="1"/>
        <v>diciembre</v>
      </c>
      <c r="J77" s="2">
        <f t="shared" si="2"/>
        <v>12</v>
      </c>
      <c r="K77" s="2">
        <f t="shared" si="8"/>
        <v>2025</v>
      </c>
      <c r="L77" s="2" t="str">
        <f t="shared" si="9"/>
        <v>FOUR SEASONS HOTEL BANGKOK AT CHAO PHRAYA RIVER</v>
      </c>
      <c r="M77" s="2">
        <f t="shared" si="10"/>
        <v>0</v>
      </c>
      <c r="Q77" s="3">
        <v>25014</v>
      </c>
      <c r="R77" s="5" t="s">
        <v>109</v>
      </c>
      <c r="V77" s="3">
        <v>18</v>
      </c>
      <c r="W77" s="5" t="s">
        <v>94</v>
      </c>
      <c r="AD77" s="10"/>
      <c r="AE77" s="10"/>
    </row>
    <row r="78" spans="1:31" ht="15.75" customHeight="1">
      <c r="A78" s="3">
        <v>389</v>
      </c>
      <c r="B78" s="3">
        <v>28454</v>
      </c>
      <c r="C78" s="4">
        <v>45967</v>
      </c>
      <c r="D78" s="4">
        <v>45970</v>
      </c>
      <c r="E78" s="5" t="s">
        <v>24</v>
      </c>
      <c r="F78" s="3">
        <v>229.02</v>
      </c>
      <c r="G78" s="6">
        <f t="shared" si="7"/>
        <v>196.9572</v>
      </c>
      <c r="H78" s="7">
        <f t="shared" si="0"/>
        <v>46015</v>
      </c>
      <c r="I78" s="2" t="str">
        <f t="shared" si="1"/>
        <v>diciembre</v>
      </c>
      <c r="J78" s="2">
        <f t="shared" si="2"/>
        <v>12</v>
      </c>
      <c r="K78" s="2">
        <f t="shared" si="8"/>
        <v>2025</v>
      </c>
      <c r="L78" s="2" t="str">
        <f t="shared" si="9"/>
        <v>FOUR SEASONS HOTEL BANGKOK AT CHAO PHRAYA RIVER</v>
      </c>
      <c r="M78" s="2">
        <f t="shared" si="10"/>
        <v>0</v>
      </c>
      <c r="Q78" s="3">
        <v>25016</v>
      </c>
      <c r="R78" s="5" t="s">
        <v>110</v>
      </c>
      <c r="V78" s="3">
        <v>18</v>
      </c>
      <c r="W78" s="5" t="s">
        <v>94</v>
      </c>
      <c r="AD78" s="11"/>
      <c r="AE78" s="11"/>
    </row>
    <row r="79" spans="1:31" ht="15.75" customHeight="1">
      <c r="A79" s="3">
        <v>391</v>
      </c>
      <c r="B79" s="3">
        <v>28454</v>
      </c>
      <c r="C79" s="4">
        <v>45967</v>
      </c>
      <c r="D79" s="4">
        <v>45970</v>
      </c>
      <c r="E79" s="5" t="s">
        <v>24</v>
      </c>
      <c r="F79" s="3">
        <v>229.02</v>
      </c>
      <c r="G79" s="6">
        <f t="shared" si="7"/>
        <v>196.9572</v>
      </c>
      <c r="H79" s="7">
        <f t="shared" si="0"/>
        <v>46015</v>
      </c>
      <c r="I79" s="2" t="str">
        <f t="shared" si="1"/>
        <v>diciembre</v>
      </c>
      <c r="J79" s="2">
        <f t="shared" si="2"/>
        <v>12</v>
      </c>
      <c r="K79" s="2">
        <f t="shared" si="8"/>
        <v>2025</v>
      </c>
      <c r="L79" s="2" t="str">
        <f t="shared" si="9"/>
        <v>FOUR SEASONS HOTEL BANGKOK AT CHAO PHRAYA RIVER</v>
      </c>
      <c r="M79" s="2">
        <f t="shared" si="10"/>
        <v>0</v>
      </c>
      <c r="Q79" s="3">
        <v>25017</v>
      </c>
      <c r="R79" s="5" t="s">
        <v>111</v>
      </c>
      <c r="V79" s="3">
        <v>19</v>
      </c>
      <c r="W79" s="5" t="s">
        <v>94</v>
      </c>
      <c r="AD79" s="11"/>
      <c r="AE79" s="10"/>
    </row>
    <row r="80" spans="1:31" ht="15.75" customHeight="1">
      <c r="A80" s="3">
        <v>392</v>
      </c>
      <c r="B80" s="3">
        <v>24989</v>
      </c>
      <c r="C80" s="4">
        <v>46020</v>
      </c>
      <c r="D80" s="4">
        <v>46021</v>
      </c>
      <c r="E80" s="5" t="s">
        <v>24</v>
      </c>
      <c r="F80" s="3">
        <v>78.5</v>
      </c>
      <c r="G80" s="6">
        <f t="shared" si="7"/>
        <v>67.510000000000005</v>
      </c>
      <c r="H80" s="7">
        <f t="shared" si="0"/>
        <v>46066</v>
      </c>
      <c r="I80" s="2" t="str">
        <f t="shared" si="1"/>
        <v>febrero</v>
      </c>
      <c r="J80" s="2">
        <f t="shared" si="2"/>
        <v>2</v>
      </c>
      <c r="K80" s="2">
        <f t="shared" si="8"/>
        <v>2026</v>
      </c>
      <c r="L80" s="2" t="str">
        <f t="shared" si="9"/>
        <v>HYATT CENTRIC KANAZAWA</v>
      </c>
      <c r="M80" s="2">
        <f t="shared" si="10"/>
        <v>0</v>
      </c>
      <c r="Q80" s="3">
        <v>25022</v>
      </c>
      <c r="R80" s="5" t="s">
        <v>112</v>
      </c>
      <c r="V80" s="3">
        <v>20</v>
      </c>
      <c r="W80" s="5" t="s">
        <v>94</v>
      </c>
      <c r="AD80" s="10"/>
      <c r="AE80" s="10"/>
    </row>
    <row r="81" spans="1:31" ht="15.75" customHeight="1">
      <c r="A81" s="3">
        <v>392</v>
      </c>
      <c r="B81" s="3">
        <v>23362</v>
      </c>
      <c r="C81" s="4">
        <v>46026</v>
      </c>
      <c r="D81" s="4">
        <v>46029</v>
      </c>
      <c r="E81" s="5" t="s">
        <v>24</v>
      </c>
      <c r="F81" s="3">
        <v>1867.01</v>
      </c>
      <c r="G81" s="6">
        <f t="shared" si="7"/>
        <v>1605.6286</v>
      </c>
      <c r="H81" s="7">
        <f t="shared" si="0"/>
        <v>46074</v>
      </c>
      <c r="I81" s="2" t="str">
        <f t="shared" si="1"/>
        <v>febrero</v>
      </c>
      <c r="J81" s="2">
        <f t="shared" si="2"/>
        <v>2</v>
      </c>
      <c r="K81" s="2">
        <f t="shared" si="8"/>
        <v>2026</v>
      </c>
      <c r="L81" s="2" t="str">
        <f t="shared" si="9"/>
        <v>SKIUSA SKI TRAVEL EXPERT TOUR OPERATOR</v>
      </c>
      <c r="M81" s="2">
        <f t="shared" si="10"/>
        <v>0</v>
      </c>
      <c r="Q81" s="3">
        <v>25024</v>
      </c>
      <c r="R81" s="5" t="s">
        <v>113</v>
      </c>
      <c r="V81" s="3">
        <v>21</v>
      </c>
      <c r="W81" s="5" t="s">
        <v>94</v>
      </c>
      <c r="AD81" s="10"/>
      <c r="AE81" s="10"/>
    </row>
    <row r="82" spans="1:31" ht="15.75" customHeight="1">
      <c r="A82" s="3">
        <v>406</v>
      </c>
      <c r="B82" s="3">
        <v>29215</v>
      </c>
      <c r="C82" s="4">
        <v>45839</v>
      </c>
      <c r="D82" s="4">
        <v>45843</v>
      </c>
      <c r="E82" s="5" t="s">
        <v>24</v>
      </c>
      <c r="F82" s="3">
        <v>1037.2</v>
      </c>
      <c r="G82" s="6">
        <f t="shared" si="7"/>
        <v>891.99200000000008</v>
      </c>
      <c r="H82" s="7">
        <f t="shared" si="0"/>
        <v>45888</v>
      </c>
      <c r="I82" s="2" t="str">
        <f t="shared" si="1"/>
        <v>agosto</v>
      </c>
      <c r="J82" s="2">
        <f t="shared" si="2"/>
        <v>8</v>
      </c>
      <c r="K82" s="2">
        <f t="shared" si="8"/>
        <v>2025</v>
      </c>
      <c r="L82" s="2" t="str">
        <f t="shared" si="9"/>
        <v>MACAKIZI BODRUM</v>
      </c>
      <c r="M82" s="2">
        <f t="shared" si="10"/>
        <v>0</v>
      </c>
      <c r="Q82" s="3">
        <v>25028</v>
      </c>
      <c r="R82" s="5" t="s">
        <v>114</v>
      </c>
      <c r="V82" s="3">
        <v>21</v>
      </c>
      <c r="W82" s="5" t="s">
        <v>94</v>
      </c>
      <c r="AD82" s="11"/>
      <c r="AE82" s="10"/>
    </row>
    <row r="83" spans="1:31" ht="15.75" customHeight="1">
      <c r="A83" s="3">
        <v>409</v>
      </c>
      <c r="B83" s="3">
        <v>28497</v>
      </c>
      <c r="C83" s="4">
        <v>45865</v>
      </c>
      <c r="D83" s="4">
        <v>45866</v>
      </c>
      <c r="E83" s="5" t="s">
        <v>24</v>
      </c>
      <c r="F83" s="3">
        <v>230.49</v>
      </c>
      <c r="G83" s="6">
        <f t="shared" si="7"/>
        <v>198.22140000000002</v>
      </c>
      <c r="H83" s="7">
        <f t="shared" si="0"/>
        <v>45911</v>
      </c>
      <c r="I83" s="2" t="str">
        <f t="shared" si="1"/>
        <v>septiembre</v>
      </c>
      <c r="J83" s="2">
        <f t="shared" si="2"/>
        <v>9</v>
      </c>
      <c r="K83" s="2">
        <f t="shared" si="8"/>
        <v>2025</v>
      </c>
      <c r="L83" s="2" t="str">
        <f t="shared" si="9"/>
        <v>FOUR SEASONS HOTEL DES BERGUES</v>
      </c>
      <c r="M83" s="2">
        <f t="shared" si="10"/>
        <v>0</v>
      </c>
      <c r="Q83" s="3">
        <v>25035</v>
      </c>
      <c r="R83" s="5" t="s">
        <v>115</v>
      </c>
      <c r="V83" s="3">
        <v>21</v>
      </c>
      <c r="W83" s="5" t="s">
        <v>89</v>
      </c>
      <c r="AD83" s="10"/>
      <c r="AE83" s="10"/>
    </row>
    <row r="84" spans="1:31" ht="15.75" customHeight="1">
      <c r="A84" s="3">
        <v>409</v>
      </c>
      <c r="B84" s="3">
        <v>28497</v>
      </c>
      <c r="C84" s="4">
        <v>45865</v>
      </c>
      <c r="D84" s="4">
        <v>45866</v>
      </c>
      <c r="E84" s="5" t="s">
        <v>24</v>
      </c>
      <c r="F84" s="3">
        <v>196</v>
      </c>
      <c r="G84" s="6">
        <f t="shared" si="7"/>
        <v>168.56</v>
      </c>
      <c r="H84" s="7">
        <f t="shared" si="0"/>
        <v>45911</v>
      </c>
      <c r="I84" s="2" t="str">
        <f t="shared" si="1"/>
        <v>septiembre</v>
      </c>
      <c r="J84" s="2">
        <f t="shared" si="2"/>
        <v>9</v>
      </c>
      <c r="K84" s="2">
        <f t="shared" si="8"/>
        <v>2025</v>
      </c>
      <c r="L84" s="2" t="str">
        <f t="shared" si="9"/>
        <v>FOUR SEASONS HOTEL DES BERGUES</v>
      </c>
      <c r="M84" s="2">
        <f t="shared" si="10"/>
        <v>0</v>
      </c>
      <c r="Q84" s="3">
        <v>25036</v>
      </c>
      <c r="R84" s="5" t="s">
        <v>116</v>
      </c>
      <c r="V84" s="3">
        <v>21</v>
      </c>
      <c r="W84" s="5" t="s">
        <v>89</v>
      </c>
      <c r="AD84" s="10"/>
      <c r="AE84" s="10"/>
    </row>
    <row r="85" spans="1:31" ht="15.75" customHeight="1">
      <c r="A85" s="3">
        <v>415</v>
      </c>
      <c r="B85" s="3">
        <v>27364</v>
      </c>
      <c r="C85" s="4">
        <v>45825</v>
      </c>
      <c r="D85" s="4">
        <v>45838</v>
      </c>
      <c r="E85" s="5" t="s">
        <v>24</v>
      </c>
      <c r="F85" s="3">
        <v>254.9</v>
      </c>
      <c r="G85" s="6">
        <f t="shared" si="7"/>
        <v>219.214</v>
      </c>
      <c r="H85" s="7">
        <f t="shared" si="0"/>
        <v>45883</v>
      </c>
      <c r="I85" s="2" t="str">
        <f t="shared" si="1"/>
        <v>agosto</v>
      </c>
      <c r="J85" s="2">
        <f t="shared" si="2"/>
        <v>8</v>
      </c>
      <c r="K85" s="2">
        <f t="shared" si="8"/>
        <v>2025</v>
      </c>
      <c r="L85" s="2" t="str">
        <f t="shared" si="9"/>
        <v>ASIANA AIRLINES</v>
      </c>
      <c r="M85" s="2">
        <f t="shared" si="10"/>
        <v>0</v>
      </c>
      <c r="Q85" s="3">
        <v>25040</v>
      </c>
      <c r="R85" s="5" t="s">
        <v>117</v>
      </c>
      <c r="V85" s="3">
        <v>21</v>
      </c>
      <c r="W85" s="5" t="s">
        <v>23</v>
      </c>
      <c r="AD85" s="10"/>
      <c r="AE85" s="11"/>
    </row>
    <row r="86" spans="1:31" ht="15.75" customHeight="1">
      <c r="A86" s="3">
        <v>424</v>
      </c>
      <c r="B86" s="3">
        <v>29689</v>
      </c>
      <c r="C86" s="4">
        <v>45897</v>
      </c>
      <c r="D86" s="4">
        <v>45907</v>
      </c>
      <c r="E86" s="5" t="s">
        <v>19</v>
      </c>
      <c r="F86" s="3">
        <v>5362.55</v>
      </c>
      <c r="G86" s="6">
        <f t="shared" si="7"/>
        <v>5362.55</v>
      </c>
      <c r="H86" s="7">
        <f t="shared" si="0"/>
        <v>45952</v>
      </c>
      <c r="I86" s="2" t="str">
        <f t="shared" si="1"/>
        <v>octubre</v>
      </c>
      <c r="J86" s="2">
        <f t="shared" si="2"/>
        <v>10</v>
      </c>
      <c r="K86" s="2">
        <f t="shared" si="8"/>
        <v>2025</v>
      </c>
      <c r="L86" s="2" t="str">
        <f t="shared" si="9"/>
        <v>HOTEL LA PALMA</v>
      </c>
      <c r="M86" s="2">
        <f t="shared" si="10"/>
        <v>0</v>
      </c>
      <c r="Q86" s="3">
        <v>25049</v>
      </c>
      <c r="R86" s="5" t="s">
        <v>118</v>
      </c>
      <c r="V86" s="3">
        <v>21</v>
      </c>
      <c r="W86" s="5" t="s">
        <v>23</v>
      </c>
      <c r="AD86" s="10"/>
      <c r="AE86" s="11"/>
    </row>
    <row r="87" spans="1:31" ht="15.75" customHeight="1">
      <c r="A87" s="3">
        <v>428</v>
      </c>
      <c r="B87" s="3">
        <v>28420</v>
      </c>
      <c r="C87" s="4">
        <v>45931</v>
      </c>
      <c r="D87" s="4">
        <v>45935</v>
      </c>
      <c r="E87" s="5" t="s">
        <v>19</v>
      </c>
      <c r="F87" s="3">
        <v>63.8</v>
      </c>
      <c r="G87" s="6">
        <f t="shared" si="7"/>
        <v>63.8</v>
      </c>
      <c r="H87" s="7">
        <f t="shared" si="0"/>
        <v>45980</v>
      </c>
      <c r="I87" s="2" t="str">
        <f t="shared" si="1"/>
        <v>noviembre</v>
      </c>
      <c r="J87" s="2">
        <f t="shared" si="2"/>
        <v>11</v>
      </c>
      <c r="K87" s="2">
        <f t="shared" si="8"/>
        <v>2025</v>
      </c>
      <c r="L87" s="2" t="str">
        <f t="shared" si="9"/>
        <v>SIXT MÉXICO</v>
      </c>
      <c r="M87" s="2">
        <f t="shared" si="10"/>
        <v>0</v>
      </c>
      <c r="Q87" s="3">
        <v>25050</v>
      </c>
      <c r="R87" s="5" t="s">
        <v>119</v>
      </c>
      <c r="V87" s="3">
        <v>22</v>
      </c>
      <c r="W87" s="5" t="s">
        <v>89</v>
      </c>
      <c r="AD87" s="10"/>
      <c r="AE87" s="10"/>
    </row>
    <row r="88" spans="1:31" ht="15.75" customHeight="1">
      <c r="A88" s="3">
        <v>435</v>
      </c>
      <c r="B88" s="3">
        <v>27937</v>
      </c>
      <c r="C88" s="4">
        <v>45854</v>
      </c>
      <c r="D88" s="4">
        <v>45858</v>
      </c>
      <c r="E88" s="5" t="s">
        <v>24</v>
      </c>
      <c r="F88" s="3">
        <v>800.84</v>
      </c>
      <c r="G88" s="6">
        <f t="shared" si="7"/>
        <v>688.72239999999999</v>
      </c>
      <c r="H88" s="7">
        <f t="shared" si="0"/>
        <v>45903</v>
      </c>
      <c r="I88" s="2" t="str">
        <f t="shared" si="1"/>
        <v>septiembre</v>
      </c>
      <c r="J88" s="2">
        <f t="shared" si="2"/>
        <v>9</v>
      </c>
      <c r="K88" s="2">
        <f t="shared" si="8"/>
        <v>2025</v>
      </c>
      <c r="L88" s="2" t="str">
        <f t="shared" si="9"/>
        <v>J.K. PLACE ROMA</v>
      </c>
      <c r="M88" s="2">
        <f t="shared" si="10"/>
        <v>0</v>
      </c>
      <c r="Q88" s="3">
        <v>25053</v>
      </c>
      <c r="R88" s="5" t="s">
        <v>120</v>
      </c>
      <c r="V88" s="3">
        <v>23</v>
      </c>
      <c r="W88" s="5" t="s">
        <v>89</v>
      </c>
      <c r="AD88" s="11"/>
      <c r="AE88" s="11"/>
    </row>
    <row r="89" spans="1:31" ht="15.75" customHeight="1">
      <c r="A89" s="3">
        <v>445</v>
      </c>
      <c r="B89" s="3">
        <v>28996</v>
      </c>
      <c r="C89" s="4">
        <v>46023</v>
      </c>
      <c r="D89" s="4">
        <v>46027</v>
      </c>
      <c r="E89" s="5" t="s">
        <v>24</v>
      </c>
      <c r="F89" s="3">
        <v>3475.73</v>
      </c>
      <c r="G89" s="6">
        <f t="shared" si="7"/>
        <v>2989.1277999999998</v>
      </c>
      <c r="H89" s="7">
        <f t="shared" si="0"/>
        <v>46072</v>
      </c>
      <c r="I89" s="2" t="str">
        <f t="shared" si="1"/>
        <v>febrero</v>
      </c>
      <c r="J89" s="2">
        <f t="shared" si="2"/>
        <v>2</v>
      </c>
      <c r="K89" s="2">
        <f t="shared" si="8"/>
        <v>2026</v>
      </c>
      <c r="L89" s="2" t="str">
        <f t="shared" si="9"/>
        <v>AMAN VILLAS AT NUSA DUA</v>
      </c>
      <c r="M89" s="2">
        <f t="shared" si="10"/>
        <v>0</v>
      </c>
      <c r="Q89" s="3">
        <v>25056</v>
      </c>
      <c r="R89" s="5" t="s">
        <v>121</v>
      </c>
      <c r="V89" s="3">
        <v>23</v>
      </c>
      <c r="W89" s="5" t="s">
        <v>23</v>
      </c>
      <c r="AD89" s="10"/>
      <c r="AE89" s="10"/>
    </row>
    <row r="90" spans="1:31" ht="15.75" customHeight="1">
      <c r="A90" s="3">
        <v>445</v>
      </c>
      <c r="B90" s="3">
        <v>26070</v>
      </c>
      <c r="C90" s="4">
        <v>46010</v>
      </c>
      <c r="D90" s="4">
        <v>46013</v>
      </c>
      <c r="E90" s="5" t="s">
        <v>24</v>
      </c>
      <c r="F90" s="3">
        <v>609.9</v>
      </c>
      <c r="G90" s="6">
        <f t="shared" si="7"/>
        <v>524.51400000000001</v>
      </c>
      <c r="H90" s="7">
        <f t="shared" si="0"/>
        <v>46058</v>
      </c>
      <c r="I90" s="2" t="str">
        <f t="shared" si="1"/>
        <v>febrero</v>
      </c>
      <c r="J90" s="2">
        <f t="shared" si="2"/>
        <v>2</v>
      </c>
      <c r="K90" s="2">
        <f t="shared" si="8"/>
        <v>2026</v>
      </c>
      <c r="L90" s="2" t="str">
        <f t="shared" si="9"/>
        <v>FOUR SEASONS HOTEL SEOUL</v>
      </c>
      <c r="M90" s="2">
        <f t="shared" si="10"/>
        <v>0</v>
      </c>
      <c r="Q90" s="3">
        <v>25057</v>
      </c>
      <c r="R90" s="5" t="s">
        <v>122</v>
      </c>
      <c r="V90" s="3">
        <v>24</v>
      </c>
      <c r="W90" s="5" t="s">
        <v>23</v>
      </c>
      <c r="AD90" s="13"/>
      <c r="AE90" s="13"/>
    </row>
    <row r="91" spans="1:31" ht="15.75" customHeight="1">
      <c r="A91" s="3">
        <v>445</v>
      </c>
      <c r="B91" s="3">
        <v>25057</v>
      </c>
      <c r="C91" s="4">
        <v>46015</v>
      </c>
      <c r="D91" s="4">
        <v>46019</v>
      </c>
      <c r="E91" s="5" t="s">
        <v>24</v>
      </c>
      <c r="F91" s="3">
        <v>1407.3</v>
      </c>
      <c r="G91" s="6">
        <f t="shared" si="7"/>
        <v>1210.278</v>
      </c>
      <c r="H91" s="7">
        <f t="shared" si="0"/>
        <v>46064</v>
      </c>
      <c r="I91" s="2" t="str">
        <f t="shared" si="1"/>
        <v>febrero</v>
      </c>
      <c r="J91" s="2">
        <f t="shared" si="2"/>
        <v>2</v>
      </c>
      <c r="K91" s="2">
        <f t="shared" si="8"/>
        <v>2026</v>
      </c>
      <c r="L91" s="2" t="str">
        <f t="shared" si="9"/>
        <v>HOTEL THE MITSUI KYOTO</v>
      </c>
      <c r="M91" s="2">
        <f t="shared" si="10"/>
        <v>0</v>
      </c>
      <c r="Q91" s="3">
        <v>25068</v>
      </c>
      <c r="R91" s="5" t="s">
        <v>123</v>
      </c>
      <c r="V91" s="3">
        <v>24</v>
      </c>
      <c r="W91" s="5" t="s">
        <v>23</v>
      </c>
      <c r="AD91" s="10"/>
      <c r="AE91" s="10"/>
    </row>
    <row r="92" spans="1:31" ht="15.75" customHeight="1">
      <c r="A92" s="3">
        <v>445</v>
      </c>
      <c r="B92" s="3">
        <v>25022</v>
      </c>
      <c r="C92" s="4">
        <v>46019</v>
      </c>
      <c r="D92" s="4">
        <v>46023</v>
      </c>
      <c r="E92" s="5" t="s">
        <v>24</v>
      </c>
      <c r="F92" s="3">
        <v>1808.4</v>
      </c>
      <c r="G92" s="6">
        <f t="shared" si="7"/>
        <v>1555.2240000000002</v>
      </c>
      <c r="H92" s="7">
        <f t="shared" si="0"/>
        <v>46068</v>
      </c>
      <c r="I92" s="2" t="str">
        <f t="shared" si="1"/>
        <v>febrero</v>
      </c>
      <c r="J92" s="2">
        <f t="shared" si="2"/>
        <v>2</v>
      </c>
      <c r="K92" s="2">
        <f t="shared" si="8"/>
        <v>2026</v>
      </c>
      <c r="L92" s="2" t="str">
        <f t="shared" si="9"/>
        <v>THE PENINSULA TOKYO</v>
      </c>
      <c r="M92" s="2">
        <f t="shared" si="10"/>
        <v>0</v>
      </c>
      <c r="Q92" s="3">
        <v>25072</v>
      </c>
      <c r="R92" s="5" t="s">
        <v>124</v>
      </c>
      <c r="V92" s="3">
        <v>25</v>
      </c>
      <c r="W92" s="5" t="s">
        <v>23</v>
      </c>
      <c r="AD92" s="10"/>
      <c r="AE92" s="10"/>
    </row>
    <row r="93" spans="1:31" ht="15.75" customHeight="1">
      <c r="A93" s="3">
        <v>445</v>
      </c>
      <c r="B93" s="3">
        <v>25022</v>
      </c>
      <c r="C93" s="4">
        <v>46034</v>
      </c>
      <c r="D93" s="4">
        <v>46035</v>
      </c>
      <c r="E93" s="5" t="s">
        <v>24</v>
      </c>
      <c r="F93" s="3">
        <v>246.6</v>
      </c>
      <c r="G93" s="6">
        <f t="shared" si="7"/>
        <v>212.07599999999999</v>
      </c>
      <c r="H93" s="7">
        <f t="shared" si="0"/>
        <v>46080</v>
      </c>
      <c r="I93" s="2" t="str">
        <f t="shared" si="1"/>
        <v>febrero</v>
      </c>
      <c r="J93" s="2">
        <f t="shared" si="2"/>
        <v>2</v>
      </c>
      <c r="K93" s="2">
        <f t="shared" si="8"/>
        <v>2026</v>
      </c>
      <c r="L93" s="2" t="str">
        <f t="shared" si="9"/>
        <v>THE PENINSULA TOKYO</v>
      </c>
      <c r="M93" s="2">
        <f t="shared" si="10"/>
        <v>0</v>
      </c>
      <c r="Q93" s="3">
        <v>25073</v>
      </c>
      <c r="R93" s="5" t="s">
        <v>125</v>
      </c>
      <c r="V93" s="3">
        <v>26</v>
      </c>
      <c r="W93" s="5" t="s">
        <v>23</v>
      </c>
      <c r="AD93" s="11"/>
      <c r="AE93" s="11"/>
    </row>
    <row r="94" spans="1:31" ht="15.75" customHeight="1">
      <c r="A94" s="3">
        <v>445</v>
      </c>
      <c r="B94" s="3">
        <v>30499</v>
      </c>
      <c r="C94" s="4">
        <v>46044</v>
      </c>
      <c r="D94" s="4">
        <v>46046</v>
      </c>
      <c r="E94" s="5" t="s">
        <v>24</v>
      </c>
      <c r="F94" s="3">
        <v>357.8</v>
      </c>
      <c r="G94" s="6">
        <f t="shared" si="7"/>
        <v>307.70800000000003</v>
      </c>
      <c r="H94" s="7">
        <f t="shared" si="0"/>
        <v>46091</v>
      </c>
      <c r="I94" s="2" t="str">
        <f t="shared" si="1"/>
        <v>marzo</v>
      </c>
      <c r="J94" s="2">
        <f t="shared" si="2"/>
        <v>3</v>
      </c>
      <c r="K94" s="2">
        <f t="shared" si="8"/>
        <v>2026</v>
      </c>
      <c r="L94" s="2" t="str">
        <f t="shared" si="9"/>
        <v>CAPELLA TAIPEI HOTEL</v>
      </c>
      <c r="M94" s="2">
        <f t="shared" si="10"/>
        <v>0</v>
      </c>
      <c r="Q94" s="3">
        <v>25075</v>
      </c>
      <c r="R94" s="5" t="s">
        <v>126</v>
      </c>
      <c r="V94" s="3">
        <v>26</v>
      </c>
      <c r="W94" s="5" t="s">
        <v>68</v>
      </c>
      <c r="AD94" s="11"/>
      <c r="AE94" s="11"/>
    </row>
    <row r="95" spans="1:31" ht="15.75" customHeight="1">
      <c r="A95" s="3">
        <v>450</v>
      </c>
      <c r="B95" s="3">
        <v>24263</v>
      </c>
      <c r="C95" s="4">
        <v>45971</v>
      </c>
      <c r="D95" s="4">
        <v>45978</v>
      </c>
      <c r="E95" s="5" t="s">
        <v>24</v>
      </c>
      <c r="F95" s="3">
        <v>200</v>
      </c>
      <c r="G95" s="6">
        <f t="shared" si="7"/>
        <v>172</v>
      </c>
      <c r="H95" s="7">
        <f t="shared" si="0"/>
        <v>46023</v>
      </c>
      <c r="I95" s="2" t="str">
        <f t="shared" si="1"/>
        <v>enero</v>
      </c>
      <c r="J95" s="2">
        <f t="shared" si="2"/>
        <v>1</v>
      </c>
      <c r="K95" s="2">
        <f t="shared" si="8"/>
        <v>2026</v>
      </c>
      <c r="L95" s="2" t="str">
        <f t="shared" si="9"/>
        <v>Turkish Airlines</v>
      </c>
      <c r="M95" s="2">
        <f t="shared" si="10"/>
        <v>0</v>
      </c>
      <c r="Q95" s="3">
        <v>25077</v>
      </c>
      <c r="R95" s="5" t="s">
        <v>127</v>
      </c>
      <c r="V95" s="3">
        <v>26</v>
      </c>
      <c r="W95" s="5" t="s">
        <v>68</v>
      </c>
      <c r="AD95" s="11"/>
      <c r="AE95" s="11"/>
    </row>
    <row r="96" spans="1:31" ht="15.75" customHeight="1">
      <c r="A96" s="3">
        <v>452</v>
      </c>
      <c r="B96" s="3">
        <v>28890</v>
      </c>
      <c r="C96" s="4">
        <v>46009</v>
      </c>
      <c r="D96" s="4">
        <v>46020</v>
      </c>
      <c r="E96" s="5" t="s">
        <v>24</v>
      </c>
      <c r="F96" s="3">
        <v>145.6</v>
      </c>
      <c r="G96" s="6">
        <f t="shared" si="7"/>
        <v>125.21599999999999</v>
      </c>
      <c r="H96" s="7">
        <f t="shared" si="0"/>
        <v>46065</v>
      </c>
      <c r="I96" s="2" t="str">
        <f t="shared" si="1"/>
        <v>febrero</v>
      </c>
      <c r="J96" s="2">
        <f t="shared" si="2"/>
        <v>2</v>
      </c>
      <c r="K96" s="2">
        <f t="shared" si="8"/>
        <v>2026</v>
      </c>
      <c r="L96" s="2" t="str">
        <f t="shared" si="9"/>
        <v>LA CONCHA RESORT AUTOGRAPH COLLECTION</v>
      </c>
      <c r="M96" s="2">
        <f t="shared" si="10"/>
        <v>0</v>
      </c>
      <c r="Q96" s="3">
        <v>25080</v>
      </c>
      <c r="R96" s="5" t="s">
        <v>128</v>
      </c>
      <c r="V96" s="3">
        <v>26</v>
      </c>
      <c r="W96" s="5" t="s">
        <v>68</v>
      </c>
      <c r="AD96" s="11"/>
      <c r="AE96" s="11"/>
    </row>
    <row r="97" spans="1:31" ht="15.75" customHeight="1">
      <c r="A97" s="3">
        <v>455</v>
      </c>
      <c r="B97" s="3">
        <v>28894</v>
      </c>
      <c r="C97" s="4">
        <v>46137</v>
      </c>
      <c r="D97" s="4">
        <v>46146</v>
      </c>
      <c r="E97" s="5" t="s">
        <v>24</v>
      </c>
      <c r="F97" s="3">
        <v>1998</v>
      </c>
      <c r="G97" s="6">
        <f t="shared" si="7"/>
        <v>1718.28</v>
      </c>
      <c r="H97" s="7">
        <f t="shared" si="0"/>
        <v>46191</v>
      </c>
      <c r="I97" s="2" t="str">
        <f t="shared" si="1"/>
        <v>junio</v>
      </c>
      <c r="J97" s="2">
        <f t="shared" si="2"/>
        <v>6</v>
      </c>
      <c r="K97" s="2">
        <f t="shared" si="8"/>
        <v>2026</v>
      </c>
      <c r="L97" s="2" t="str">
        <f t="shared" si="9"/>
        <v>Explora Journeys</v>
      </c>
      <c r="M97" s="2">
        <f t="shared" si="10"/>
        <v>0</v>
      </c>
      <c r="Q97" s="3">
        <v>25082</v>
      </c>
      <c r="R97" s="5" t="s">
        <v>129</v>
      </c>
      <c r="V97" s="3">
        <v>26</v>
      </c>
      <c r="W97" s="5" t="s">
        <v>23</v>
      </c>
      <c r="AD97" s="12"/>
      <c r="AE97" s="13"/>
    </row>
    <row r="98" spans="1:31" ht="15.75" customHeight="1">
      <c r="A98" s="3">
        <v>455</v>
      </c>
      <c r="B98" s="3">
        <v>28894</v>
      </c>
      <c r="C98" s="4">
        <v>46137</v>
      </c>
      <c r="D98" s="4">
        <v>46146</v>
      </c>
      <c r="E98" s="5" t="s">
        <v>24</v>
      </c>
      <c r="F98" s="3">
        <v>1998</v>
      </c>
      <c r="G98" s="6">
        <f t="shared" si="7"/>
        <v>1718.28</v>
      </c>
      <c r="H98" s="7">
        <f t="shared" si="0"/>
        <v>46191</v>
      </c>
      <c r="I98" s="2" t="str">
        <f t="shared" si="1"/>
        <v>junio</v>
      </c>
      <c r="J98" s="2">
        <f t="shared" si="2"/>
        <v>6</v>
      </c>
      <c r="K98" s="2">
        <f t="shared" si="8"/>
        <v>2026</v>
      </c>
      <c r="L98" s="2" t="str">
        <f t="shared" si="9"/>
        <v>Explora Journeys</v>
      </c>
      <c r="M98" s="2">
        <f t="shared" si="10"/>
        <v>0</v>
      </c>
      <c r="Q98" s="3">
        <v>25092</v>
      </c>
      <c r="R98" s="5" t="s">
        <v>130</v>
      </c>
      <c r="V98" s="3">
        <v>26</v>
      </c>
      <c r="W98" s="5" t="s">
        <v>68</v>
      </c>
      <c r="AD98" s="13"/>
      <c r="AE98" s="13"/>
    </row>
    <row r="99" spans="1:31" ht="15.75" customHeight="1">
      <c r="A99" s="3">
        <v>462</v>
      </c>
      <c r="B99" s="3">
        <v>26070</v>
      </c>
      <c r="C99" s="4">
        <v>45957</v>
      </c>
      <c r="D99" s="4">
        <v>45961</v>
      </c>
      <c r="E99" s="5" t="s">
        <v>24</v>
      </c>
      <c r="F99" s="3">
        <v>281.7</v>
      </c>
      <c r="G99" s="6">
        <f t="shared" si="7"/>
        <v>242.262</v>
      </c>
      <c r="H99" s="7">
        <f t="shared" si="0"/>
        <v>46006</v>
      </c>
      <c r="I99" s="2" t="str">
        <f t="shared" si="1"/>
        <v>diciembre</v>
      </c>
      <c r="J99" s="2">
        <f t="shared" si="2"/>
        <v>12</v>
      </c>
      <c r="K99" s="2">
        <f t="shared" si="8"/>
        <v>2025</v>
      </c>
      <c r="L99" s="2" t="str">
        <f t="shared" si="9"/>
        <v>FOUR SEASONS HOTEL SEOUL</v>
      </c>
      <c r="M99" s="2">
        <f t="shared" si="10"/>
        <v>0</v>
      </c>
      <c r="Q99" s="3">
        <v>25101</v>
      </c>
      <c r="R99" s="5" t="s">
        <v>131</v>
      </c>
      <c r="V99" s="3">
        <v>26</v>
      </c>
      <c r="W99" s="5" t="s">
        <v>23</v>
      </c>
      <c r="AD99" s="11"/>
      <c r="AE99" s="11"/>
    </row>
    <row r="100" spans="1:31" ht="15.75" customHeight="1">
      <c r="A100" s="3">
        <v>462</v>
      </c>
      <c r="B100" s="3">
        <v>29026</v>
      </c>
      <c r="C100" s="4">
        <v>45961</v>
      </c>
      <c r="D100" s="4">
        <v>45964</v>
      </c>
      <c r="E100" s="5" t="s">
        <v>24</v>
      </c>
      <c r="F100" s="3">
        <v>184.6</v>
      </c>
      <c r="G100" s="6">
        <f t="shared" si="7"/>
        <v>158.756</v>
      </c>
      <c r="H100" s="7">
        <f t="shared" si="0"/>
        <v>46009</v>
      </c>
      <c r="I100" s="2" t="str">
        <f t="shared" si="1"/>
        <v>diciembre</v>
      </c>
      <c r="J100" s="2">
        <f t="shared" si="2"/>
        <v>12</v>
      </c>
      <c r="K100" s="2">
        <f t="shared" si="8"/>
        <v>2025</v>
      </c>
      <c r="L100" s="2" t="str">
        <f t="shared" si="9"/>
        <v>PARK HYATT KYOTO</v>
      </c>
      <c r="M100" s="2">
        <f t="shared" si="10"/>
        <v>0</v>
      </c>
      <c r="Q100" s="3">
        <v>25102</v>
      </c>
      <c r="R100" s="5" t="s">
        <v>132</v>
      </c>
      <c r="V100" s="3">
        <v>26</v>
      </c>
      <c r="W100" s="5" t="s">
        <v>68</v>
      </c>
      <c r="AD100" s="10"/>
      <c r="AE100" s="10"/>
    </row>
    <row r="101" spans="1:31" ht="15.75" customHeight="1">
      <c r="A101" s="3">
        <v>462</v>
      </c>
      <c r="B101" s="3">
        <v>28389</v>
      </c>
      <c r="C101" s="4">
        <v>45964</v>
      </c>
      <c r="D101" s="4">
        <v>45968</v>
      </c>
      <c r="E101" s="5" t="s">
        <v>24</v>
      </c>
      <c r="F101" s="3">
        <v>227.2</v>
      </c>
      <c r="G101" s="6">
        <f t="shared" si="7"/>
        <v>195.392</v>
      </c>
      <c r="H101" s="7">
        <f t="shared" si="0"/>
        <v>46013</v>
      </c>
      <c r="I101" s="2" t="str">
        <f t="shared" si="1"/>
        <v>diciembre</v>
      </c>
      <c r="J101" s="2">
        <f t="shared" si="2"/>
        <v>12</v>
      </c>
      <c r="K101" s="2">
        <f t="shared" si="8"/>
        <v>2025</v>
      </c>
      <c r="L101" s="2" t="str">
        <f t="shared" si="9"/>
        <v>ROSEWOOD HONG KONG</v>
      </c>
      <c r="M101" s="2">
        <f t="shared" si="10"/>
        <v>0</v>
      </c>
      <c r="Q101" s="3">
        <v>25107</v>
      </c>
      <c r="R101" s="5" t="s">
        <v>133</v>
      </c>
      <c r="V101" s="3">
        <v>26</v>
      </c>
      <c r="W101" s="5" t="s">
        <v>89</v>
      </c>
      <c r="AD101" s="10"/>
      <c r="AE101" s="10"/>
    </row>
    <row r="102" spans="1:31" ht="15.75" customHeight="1">
      <c r="A102" s="3">
        <v>462</v>
      </c>
      <c r="B102" s="3">
        <v>30692</v>
      </c>
      <c r="C102" s="4">
        <v>45968</v>
      </c>
      <c r="D102" s="4">
        <v>45970</v>
      </c>
      <c r="E102" s="5" t="s">
        <v>24</v>
      </c>
      <c r="F102" s="3">
        <v>56.1</v>
      </c>
      <c r="G102" s="6">
        <f t="shared" si="7"/>
        <v>48.246000000000002</v>
      </c>
      <c r="H102" s="7">
        <f t="shared" si="0"/>
        <v>46015</v>
      </c>
      <c r="I102" s="2" t="str">
        <f t="shared" si="1"/>
        <v>diciembre</v>
      </c>
      <c r="J102" s="2">
        <f t="shared" si="2"/>
        <v>12</v>
      </c>
      <c r="K102" s="2">
        <f t="shared" si="8"/>
        <v>2025</v>
      </c>
      <c r="L102" s="2" t="str">
        <f t="shared" si="9"/>
        <v>SOFITEL LEGEND METROPOLE HANOI</v>
      </c>
      <c r="M102" s="2">
        <f t="shared" si="10"/>
        <v>0</v>
      </c>
      <c r="Q102" s="3">
        <v>25166</v>
      </c>
      <c r="R102" s="5" t="s">
        <v>134</v>
      </c>
      <c r="V102" s="3">
        <v>26</v>
      </c>
      <c r="W102" s="5" t="s">
        <v>94</v>
      </c>
      <c r="AD102" s="11"/>
      <c r="AE102" s="11"/>
    </row>
    <row r="103" spans="1:31" ht="15.75" customHeight="1">
      <c r="A103" s="3">
        <v>462</v>
      </c>
      <c r="B103" s="3">
        <v>34235</v>
      </c>
      <c r="C103" s="4">
        <v>45970</v>
      </c>
      <c r="D103" s="4">
        <v>45972</v>
      </c>
      <c r="E103" s="5" t="s">
        <v>24</v>
      </c>
      <c r="F103" s="3">
        <v>136.1</v>
      </c>
      <c r="G103" s="6">
        <f t="shared" si="7"/>
        <v>117.04599999999999</v>
      </c>
      <c r="H103" s="7">
        <f t="shared" si="0"/>
        <v>46017</v>
      </c>
      <c r="I103" s="2" t="str">
        <f t="shared" si="1"/>
        <v>diciembre</v>
      </c>
      <c r="J103" s="2">
        <f t="shared" si="2"/>
        <v>12</v>
      </c>
      <c r="K103" s="2">
        <f t="shared" si="8"/>
        <v>2025</v>
      </c>
      <c r="L103" s="2" t="str">
        <f t="shared" si="9"/>
        <v>Four Seasons The Nam Hai</v>
      </c>
      <c r="M103" s="2">
        <f t="shared" si="10"/>
        <v>0</v>
      </c>
      <c r="Q103" s="3">
        <v>25188</v>
      </c>
      <c r="R103" s="5" t="s">
        <v>135</v>
      </c>
      <c r="V103" s="3">
        <v>27</v>
      </c>
      <c r="W103" s="5" t="s">
        <v>89</v>
      </c>
      <c r="AD103" s="11"/>
      <c r="AE103" s="11"/>
    </row>
    <row r="104" spans="1:31" ht="15.75" customHeight="1">
      <c r="A104" s="3">
        <v>462</v>
      </c>
      <c r="B104" s="3">
        <v>28496</v>
      </c>
      <c r="C104" s="4">
        <v>45972</v>
      </c>
      <c r="D104" s="4">
        <v>45975</v>
      </c>
      <c r="E104" s="5" t="s">
        <v>24</v>
      </c>
      <c r="F104" s="3">
        <v>192.9</v>
      </c>
      <c r="G104" s="6">
        <f t="shared" si="7"/>
        <v>165.89400000000001</v>
      </c>
      <c r="H104" s="7">
        <f t="shared" si="0"/>
        <v>46020</v>
      </c>
      <c r="I104" s="2" t="str">
        <f t="shared" si="1"/>
        <v>diciembre</v>
      </c>
      <c r="J104" s="2">
        <f t="shared" si="2"/>
        <v>12</v>
      </c>
      <c r="K104" s="2">
        <f t="shared" si="8"/>
        <v>2025</v>
      </c>
      <c r="L104" s="2" t="str">
        <f t="shared" si="9"/>
        <v>BULGARI HOTEL SHANGHAI</v>
      </c>
      <c r="M104" s="2">
        <f t="shared" si="10"/>
        <v>0</v>
      </c>
      <c r="Q104" s="3">
        <v>25194</v>
      </c>
      <c r="R104" s="5" t="s">
        <v>136</v>
      </c>
      <c r="V104" s="3">
        <v>27</v>
      </c>
      <c r="W104" s="5" t="s">
        <v>68</v>
      </c>
      <c r="AD104" s="11"/>
      <c r="AE104" s="10"/>
    </row>
    <row r="105" spans="1:31" ht="15.75" customHeight="1">
      <c r="A105" s="3">
        <v>468</v>
      </c>
      <c r="B105" s="3">
        <v>28494</v>
      </c>
      <c r="C105" s="4">
        <v>45964</v>
      </c>
      <c r="D105" s="4">
        <v>45966</v>
      </c>
      <c r="E105" s="5" t="s">
        <v>24</v>
      </c>
      <c r="F105" s="3">
        <v>938.88</v>
      </c>
      <c r="G105" s="6">
        <f t="shared" si="7"/>
        <v>807.43679999999995</v>
      </c>
      <c r="H105" s="7">
        <f t="shared" si="0"/>
        <v>46011</v>
      </c>
      <c r="I105" s="2" t="str">
        <f t="shared" si="1"/>
        <v>diciembre</v>
      </c>
      <c r="J105" s="2">
        <f t="shared" si="2"/>
        <v>12</v>
      </c>
      <c r="K105" s="2">
        <f t="shared" si="8"/>
        <v>2025</v>
      </c>
      <c r="L105" s="2" t="str">
        <f t="shared" si="9"/>
        <v>AIRELLES CHATEAU DE VERSAILLES, LE GRAND CONTROLE</v>
      </c>
      <c r="M105" s="2">
        <f t="shared" si="10"/>
        <v>0</v>
      </c>
      <c r="Q105" s="3">
        <v>25215</v>
      </c>
      <c r="R105" s="5" t="s">
        <v>137</v>
      </c>
      <c r="V105" s="3">
        <v>27</v>
      </c>
      <c r="W105" s="5" t="s">
        <v>68</v>
      </c>
      <c r="AD105" s="10"/>
      <c r="AE105" s="10"/>
    </row>
    <row r="106" spans="1:31" ht="15.75" customHeight="1">
      <c r="A106" s="3">
        <v>475</v>
      </c>
      <c r="B106" s="3">
        <v>29081</v>
      </c>
      <c r="C106" s="4">
        <v>45846</v>
      </c>
      <c r="D106" s="4">
        <v>45848</v>
      </c>
      <c r="E106" s="5" t="s">
        <v>24</v>
      </c>
      <c r="F106" s="3">
        <v>134.33000000000001</v>
      </c>
      <c r="G106" s="6">
        <f t="shared" si="7"/>
        <v>115.52380000000001</v>
      </c>
      <c r="H106" s="7">
        <f t="shared" si="0"/>
        <v>45893</v>
      </c>
      <c r="I106" s="2" t="str">
        <f t="shared" si="1"/>
        <v>agosto</v>
      </c>
      <c r="J106" s="2">
        <f t="shared" si="2"/>
        <v>8</v>
      </c>
      <c r="K106" s="2">
        <f t="shared" si="8"/>
        <v>2025</v>
      </c>
      <c r="L106" s="2" t="str">
        <f t="shared" si="9"/>
        <v>PARK LANE HOTEL NEW YORK</v>
      </c>
      <c r="M106" s="2">
        <f t="shared" si="10"/>
        <v>0</v>
      </c>
      <c r="Q106" s="3">
        <v>25223</v>
      </c>
      <c r="R106" s="5" t="s">
        <v>138</v>
      </c>
      <c r="V106" s="3">
        <v>27</v>
      </c>
      <c r="W106" s="5" t="s">
        <v>68</v>
      </c>
      <c r="AD106" s="10"/>
      <c r="AE106" s="10"/>
    </row>
    <row r="107" spans="1:31" ht="15.75" customHeight="1">
      <c r="A107" s="3">
        <v>475</v>
      </c>
      <c r="B107" s="3">
        <v>29081</v>
      </c>
      <c r="C107" s="4">
        <v>45846</v>
      </c>
      <c r="D107" s="4">
        <v>45848</v>
      </c>
      <c r="E107" s="5" t="s">
        <v>24</v>
      </c>
      <c r="F107" s="3">
        <v>165.93</v>
      </c>
      <c r="G107" s="6">
        <f t="shared" si="7"/>
        <v>142.69980000000001</v>
      </c>
      <c r="H107" s="7">
        <f t="shared" si="0"/>
        <v>45893</v>
      </c>
      <c r="I107" s="2" t="str">
        <f t="shared" si="1"/>
        <v>agosto</v>
      </c>
      <c r="J107" s="2">
        <f t="shared" si="2"/>
        <v>8</v>
      </c>
      <c r="K107" s="2">
        <f t="shared" si="8"/>
        <v>2025</v>
      </c>
      <c r="L107" s="2" t="str">
        <f t="shared" si="9"/>
        <v>PARK LANE HOTEL NEW YORK</v>
      </c>
      <c r="M107" s="2">
        <f t="shared" si="10"/>
        <v>0</v>
      </c>
      <c r="Q107" s="3">
        <v>25238</v>
      </c>
      <c r="R107" s="5" t="s">
        <v>139</v>
      </c>
      <c r="V107" s="3">
        <v>28</v>
      </c>
      <c r="W107" s="5" t="s">
        <v>68</v>
      </c>
      <c r="AD107" s="10"/>
      <c r="AE107" s="10"/>
    </row>
    <row r="108" spans="1:31" ht="15.75" customHeight="1">
      <c r="A108" s="3">
        <v>475</v>
      </c>
      <c r="B108" s="3">
        <v>29081</v>
      </c>
      <c r="C108" s="4">
        <v>45845</v>
      </c>
      <c r="D108" s="4">
        <v>45846</v>
      </c>
      <c r="E108" s="5" t="s">
        <v>24</v>
      </c>
      <c r="F108" s="3">
        <v>55.71</v>
      </c>
      <c r="G108" s="6">
        <f t="shared" si="7"/>
        <v>47.910600000000002</v>
      </c>
      <c r="H108" s="7">
        <f t="shared" si="0"/>
        <v>45891</v>
      </c>
      <c r="I108" s="2" t="str">
        <f t="shared" si="1"/>
        <v>agosto</v>
      </c>
      <c r="J108" s="2">
        <f t="shared" si="2"/>
        <v>8</v>
      </c>
      <c r="K108" s="2">
        <f t="shared" si="8"/>
        <v>2025</v>
      </c>
      <c r="L108" s="2" t="str">
        <f t="shared" si="9"/>
        <v>PARK LANE HOTEL NEW YORK</v>
      </c>
      <c r="M108" s="2">
        <f t="shared" si="10"/>
        <v>0</v>
      </c>
      <c r="Q108" s="3">
        <v>25240</v>
      </c>
      <c r="R108" s="5" t="s">
        <v>140</v>
      </c>
      <c r="V108" s="3">
        <v>28</v>
      </c>
      <c r="W108" s="5" t="s">
        <v>68</v>
      </c>
      <c r="AD108" s="10"/>
      <c r="AE108" s="10"/>
    </row>
    <row r="109" spans="1:31" ht="15.75" customHeight="1">
      <c r="A109" s="3">
        <v>475</v>
      </c>
      <c r="B109" s="3">
        <v>29081</v>
      </c>
      <c r="C109" s="4">
        <v>45845</v>
      </c>
      <c r="D109" s="4">
        <v>45846</v>
      </c>
      <c r="E109" s="5" t="s">
        <v>24</v>
      </c>
      <c r="F109" s="3">
        <v>55.71</v>
      </c>
      <c r="G109" s="6">
        <f t="shared" si="7"/>
        <v>47.910600000000002</v>
      </c>
      <c r="H109" s="7">
        <f t="shared" si="0"/>
        <v>45891</v>
      </c>
      <c r="I109" s="2" t="str">
        <f t="shared" si="1"/>
        <v>agosto</v>
      </c>
      <c r="J109" s="2">
        <f t="shared" si="2"/>
        <v>8</v>
      </c>
      <c r="K109" s="2">
        <f t="shared" si="8"/>
        <v>2025</v>
      </c>
      <c r="L109" s="2" t="str">
        <f t="shared" si="9"/>
        <v>PARK LANE HOTEL NEW YORK</v>
      </c>
      <c r="M109" s="2">
        <f t="shared" si="10"/>
        <v>0</v>
      </c>
      <c r="Q109" s="3">
        <v>25247</v>
      </c>
      <c r="R109" s="5" t="s">
        <v>141</v>
      </c>
      <c r="V109" s="3">
        <v>28</v>
      </c>
      <c r="W109" s="5" t="s">
        <v>89</v>
      </c>
      <c r="AD109" s="10"/>
      <c r="AE109" s="10"/>
    </row>
    <row r="110" spans="1:31" ht="15.75" customHeight="1">
      <c r="A110" s="3">
        <v>482</v>
      </c>
      <c r="B110" s="3">
        <v>23527</v>
      </c>
      <c r="C110" s="4">
        <v>45850</v>
      </c>
      <c r="D110" s="4">
        <v>45851</v>
      </c>
      <c r="E110" s="5" t="s">
        <v>19</v>
      </c>
      <c r="F110" s="3">
        <v>130</v>
      </c>
      <c r="G110" s="6">
        <f t="shared" si="7"/>
        <v>130</v>
      </c>
      <c r="H110" s="7">
        <f t="shared" si="0"/>
        <v>45896</v>
      </c>
      <c r="I110" s="2" t="str">
        <f t="shared" si="1"/>
        <v>agosto</v>
      </c>
      <c r="J110" s="2">
        <f t="shared" si="2"/>
        <v>8</v>
      </c>
      <c r="K110" s="2">
        <f t="shared" si="8"/>
        <v>2025</v>
      </c>
      <c r="L110" s="2" t="str">
        <f t="shared" si="9"/>
        <v>PORTRAIT MILANO HOTEL LUNGARNO COLLECTION</v>
      </c>
      <c r="M110" s="2">
        <f t="shared" si="10"/>
        <v>0</v>
      </c>
      <c r="Q110" s="3">
        <v>25263</v>
      </c>
      <c r="R110" s="5" t="s">
        <v>142</v>
      </c>
      <c r="V110" s="3">
        <v>28</v>
      </c>
      <c r="W110" s="5" t="s">
        <v>89</v>
      </c>
      <c r="AD110" s="11"/>
      <c r="AE110" s="11"/>
    </row>
    <row r="111" spans="1:31" ht="15.75" customHeight="1">
      <c r="A111" s="3">
        <v>482</v>
      </c>
      <c r="B111" s="3">
        <v>23527</v>
      </c>
      <c r="C111" s="4">
        <v>45850</v>
      </c>
      <c r="D111" s="4">
        <v>45851</v>
      </c>
      <c r="E111" s="5" t="s">
        <v>19</v>
      </c>
      <c r="F111" s="3">
        <v>130</v>
      </c>
      <c r="G111" s="6">
        <f t="shared" si="7"/>
        <v>130</v>
      </c>
      <c r="H111" s="7">
        <f t="shared" si="0"/>
        <v>45896</v>
      </c>
      <c r="I111" s="2" t="str">
        <f t="shared" si="1"/>
        <v>agosto</v>
      </c>
      <c r="J111" s="2">
        <f t="shared" si="2"/>
        <v>8</v>
      </c>
      <c r="K111" s="2">
        <f t="shared" si="8"/>
        <v>2025</v>
      </c>
      <c r="L111" s="2" t="str">
        <f t="shared" si="9"/>
        <v>PORTRAIT MILANO HOTEL LUNGARNO COLLECTION</v>
      </c>
      <c r="M111" s="2">
        <f t="shared" si="10"/>
        <v>0</v>
      </c>
      <c r="Q111" s="3">
        <v>25269</v>
      </c>
      <c r="R111" s="5" t="s">
        <v>143</v>
      </c>
      <c r="V111" s="3">
        <v>28</v>
      </c>
      <c r="W111" s="5" t="s">
        <v>89</v>
      </c>
      <c r="AD111" s="11"/>
      <c r="AE111" s="11"/>
    </row>
    <row r="112" spans="1:31" ht="15.75" customHeight="1">
      <c r="A112" s="3">
        <v>486</v>
      </c>
      <c r="B112" s="3">
        <v>27858</v>
      </c>
      <c r="C112" s="4">
        <v>45866</v>
      </c>
      <c r="D112" s="4">
        <v>45869</v>
      </c>
      <c r="E112" s="5" t="s">
        <v>19</v>
      </c>
      <c r="F112" s="3">
        <v>600</v>
      </c>
      <c r="G112" s="6">
        <f t="shared" si="7"/>
        <v>600</v>
      </c>
      <c r="H112" s="7">
        <f t="shared" si="0"/>
        <v>45914</v>
      </c>
      <c r="I112" s="2" t="str">
        <f t="shared" si="1"/>
        <v>septiembre</v>
      </c>
      <c r="J112" s="2">
        <f t="shared" si="2"/>
        <v>9</v>
      </c>
      <c r="K112" s="2">
        <f t="shared" si="8"/>
        <v>2025</v>
      </c>
      <c r="L112" s="2" t="str">
        <f t="shared" si="9"/>
        <v>GRAND HOTEL A VILLA FELTRINELLI</v>
      </c>
      <c r="M112" s="2">
        <f t="shared" si="10"/>
        <v>0</v>
      </c>
      <c r="Q112" s="3">
        <v>25274</v>
      </c>
      <c r="R112" s="5" t="s">
        <v>144</v>
      </c>
      <c r="V112" s="3">
        <v>28</v>
      </c>
      <c r="W112" s="5" t="s">
        <v>89</v>
      </c>
      <c r="AD112" s="11"/>
      <c r="AE112" s="10"/>
    </row>
    <row r="113" spans="1:31" ht="15.75" customHeight="1">
      <c r="A113" s="3">
        <v>486</v>
      </c>
      <c r="B113" s="3">
        <v>24825</v>
      </c>
      <c r="C113" s="4">
        <v>45869</v>
      </c>
      <c r="D113" s="4">
        <v>45872</v>
      </c>
      <c r="E113" s="5" t="s">
        <v>19</v>
      </c>
      <c r="F113" s="3">
        <v>240</v>
      </c>
      <c r="G113" s="6">
        <f t="shared" si="7"/>
        <v>240</v>
      </c>
      <c r="H113" s="7">
        <f t="shared" si="0"/>
        <v>45917</v>
      </c>
      <c r="I113" s="2" t="str">
        <f t="shared" si="1"/>
        <v>septiembre</v>
      </c>
      <c r="J113" s="2">
        <f t="shared" si="2"/>
        <v>9</v>
      </c>
      <c r="K113" s="2">
        <f t="shared" si="8"/>
        <v>2025</v>
      </c>
      <c r="L113" s="2" t="str">
        <f t="shared" si="9"/>
        <v>THE PENINSULA ISTANBUL</v>
      </c>
      <c r="M113" s="2">
        <f t="shared" si="10"/>
        <v>0</v>
      </c>
      <c r="Q113" s="3">
        <v>25318</v>
      </c>
      <c r="R113" s="5" t="s">
        <v>145</v>
      </c>
      <c r="V113" s="3">
        <v>28</v>
      </c>
      <c r="W113" s="5" t="s">
        <v>68</v>
      </c>
      <c r="AD113" s="10"/>
      <c r="AE113" s="10"/>
    </row>
    <row r="114" spans="1:31" ht="15.75" customHeight="1">
      <c r="A114" s="3">
        <v>486</v>
      </c>
      <c r="B114" s="3">
        <v>29215</v>
      </c>
      <c r="C114" s="4">
        <v>45872</v>
      </c>
      <c r="D114" s="4">
        <v>45876</v>
      </c>
      <c r="E114" s="5" t="s">
        <v>19</v>
      </c>
      <c r="F114" s="3">
        <v>520</v>
      </c>
      <c r="G114" s="6">
        <f t="shared" si="7"/>
        <v>520</v>
      </c>
      <c r="H114" s="7">
        <f t="shared" si="0"/>
        <v>45921</v>
      </c>
      <c r="I114" s="2" t="str">
        <f t="shared" si="1"/>
        <v>septiembre</v>
      </c>
      <c r="J114" s="2">
        <f t="shared" si="2"/>
        <v>9</v>
      </c>
      <c r="K114" s="2">
        <f t="shared" si="8"/>
        <v>2025</v>
      </c>
      <c r="L114" s="2" t="str">
        <f t="shared" si="9"/>
        <v>MACAKIZI BODRUM</v>
      </c>
      <c r="M114" s="2">
        <f t="shared" si="10"/>
        <v>0</v>
      </c>
      <c r="Q114" s="3">
        <v>25338</v>
      </c>
      <c r="R114" s="5" t="s">
        <v>146</v>
      </c>
      <c r="V114" s="3">
        <v>28</v>
      </c>
      <c r="W114" s="5" t="s">
        <v>68</v>
      </c>
      <c r="AD114" s="11"/>
      <c r="AE114" s="11"/>
    </row>
    <row r="115" spans="1:31" ht="15.75" customHeight="1">
      <c r="A115" s="3">
        <v>490</v>
      </c>
      <c r="B115" s="3">
        <v>29220</v>
      </c>
      <c r="C115" s="4">
        <v>45865</v>
      </c>
      <c r="D115" s="4">
        <v>45867</v>
      </c>
      <c r="E115" s="5" t="s">
        <v>24</v>
      </c>
      <c r="F115" s="3">
        <v>264.8</v>
      </c>
      <c r="G115" s="6">
        <f t="shared" si="7"/>
        <v>227.72800000000001</v>
      </c>
      <c r="H115" s="7">
        <f t="shared" si="0"/>
        <v>45912</v>
      </c>
      <c r="I115" s="2" t="str">
        <f t="shared" si="1"/>
        <v>septiembre</v>
      </c>
      <c r="J115" s="2">
        <f t="shared" si="2"/>
        <v>9</v>
      </c>
      <c r="K115" s="2">
        <f t="shared" si="8"/>
        <v>2025</v>
      </c>
      <c r="L115" s="2" t="str">
        <f t="shared" si="9"/>
        <v>FALSLED KRO RELAIS AND CHATEAUX</v>
      </c>
      <c r="M115" s="2">
        <f t="shared" si="10"/>
        <v>0</v>
      </c>
      <c r="Q115" s="3">
        <v>25348</v>
      </c>
      <c r="R115" s="5" t="s">
        <v>147</v>
      </c>
      <c r="V115" s="3">
        <v>28</v>
      </c>
      <c r="W115" s="5" t="s">
        <v>23</v>
      </c>
      <c r="AD115" s="10"/>
      <c r="AE115" s="10"/>
    </row>
    <row r="116" spans="1:31" ht="15.75" customHeight="1">
      <c r="A116" s="3">
        <v>498</v>
      </c>
      <c r="B116" s="3">
        <v>25372</v>
      </c>
      <c r="C116" s="4">
        <v>45850</v>
      </c>
      <c r="D116" s="4">
        <v>45855</v>
      </c>
      <c r="E116" s="5" t="s">
        <v>30</v>
      </c>
      <c r="F116" s="3">
        <v>177.92</v>
      </c>
      <c r="G116" s="6">
        <f t="shared" si="7"/>
        <v>204.60799999999998</v>
      </c>
      <c r="H116" s="7">
        <f t="shared" si="0"/>
        <v>45900</v>
      </c>
      <c r="I116" s="2" t="str">
        <f t="shared" si="1"/>
        <v>agosto</v>
      </c>
      <c r="J116" s="2">
        <f t="shared" si="2"/>
        <v>8</v>
      </c>
      <c r="K116" s="2">
        <f t="shared" si="8"/>
        <v>2025</v>
      </c>
      <c r="L116" s="2" t="str">
        <f t="shared" si="9"/>
        <v>Queen Of Clubs Lifestyle Luxury Services LTD</v>
      </c>
      <c r="M116" s="2">
        <f t="shared" si="10"/>
        <v>0</v>
      </c>
      <c r="Q116" s="3">
        <v>25360</v>
      </c>
      <c r="R116" s="5" t="s">
        <v>148</v>
      </c>
      <c r="V116" s="3">
        <v>28</v>
      </c>
      <c r="W116" s="5" t="s">
        <v>89</v>
      </c>
      <c r="AD116" s="10"/>
      <c r="AE116" s="10"/>
    </row>
    <row r="117" spans="1:31" ht="15.75" customHeight="1">
      <c r="A117" s="3">
        <v>500</v>
      </c>
      <c r="B117" s="3">
        <v>29469</v>
      </c>
      <c r="C117" s="4">
        <v>45939</v>
      </c>
      <c r="D117" s="4">
        <v>45941</v>
      </c>
      <c r="E117" s="5" t="s">
        <v>19</v>
      </c>
      <c r="F117" s="3">
        <v>116.36</v>
      </c>
      <c r="G117" s="6">
        <f t="shared" si="7"/>
        <v>116.36</v>
      </c>
      <c r="H117" s="7">
        <f t="shared" si="0"/>
        <v>45986</v>
      </c>
      <c r="I117" s="2" t="str">
        <f t="shared" si="1"/>
        <v>noviembre</v>
      </c>
      <c r="J117" s="2">
        <f t="shared" si="2"/>
        <v>11</v>
      </c>
      <c r="K117" s="2">
        <f t="shared" si="8"/>
        <v>2025</v>
      </c>
      <c r="L117" s="2" t="str">
        <f t="shared" si="9"/>
        <v>d´Estournel</v>
      </c>
      <c r="M117" s="2">
        <f t="shared" si="10"/>
        <v>0</v>
      </c>
      <c r="Q117" s="3">
        <v>25362</v>
      </c>
      <c r="R117" s="5" t="s">
        <v>149</v>
      </c>
      <c r="V117" s="3">
        <v>28</v>
      </c>
      <c r="W117" s="5" t="s">
        <v>94</v>
      </c>
      <c r="AD117" s="10"/>
      <c r="AE117" s="10"/>
    </row>
    <row r="118" spans="1:31" ht="15.75" customHeight="1">
      <c r="A118" s="3">
        <v>501</v>
      </c>
      <c r="B118" s="3">
        <v>29251</v>
      </c>
      <c r="C118" s="4">
        <v>46111</v>
      </c>
      <c r="D118" s="4">
        <v>46116</v>
      </c>
      <c r="E118" s="5" t="s">
        <v>24</v>
      </c>
      <c r="F118" s="3">
        <v>1149</v>
      </c>
      <c r="G118" s="6">
        <f t="shared" si="7"/>
        <v>988.14</v>
      </c>
      <c r="H118" s="7">
        <f t="shared" si="0"/>
        <v>46161</v>
      </c>
      <c r="I118" s="2" t="str">
        <f t="shared" si="1"/>
        <v>mayo</v>
      </c>
      <c r="J118" s="2">
        <f t="shared" si="2"/>
        <v>5</v>
      </c>
      <c r="K118" s="2">
        <f t="shared" si="8"/>
        <v>2026</v>
      </c>
      <c r="L118" s="2" t="str">
        <f t="shared" si="9"/>
        <v>THE TOKYO EDITION TORANOMON</v>
      </c>
      <c r="M118" s="2">
        <f t="shared" si="10"/>
        <v>0</v>
      </c>
      <c r="Q118" s="3">
        <v>25363</v>
      </c>
      <c r="R118" s="5" t="s">
        <v>150</v>
      </c>
      <c r="V118" s="3">
        <v>28</v>
      </c>
      <c r="W118" s="5" t="s">
        <v>23</v>
      </c>
      <c r="AD118" s="10"/>
      <c r="AE118" s="10"/>
    </row>
    <row r="119" spans="1:31" ht="15.75" customHeight="1">
      <c r="A119" s="3">
        <v>509</v>
      </c>
      <c r="B119" s="3">
        <v>27105</v>
      </c>
      <c r="C119" s="4">
        <v>45883</v>
      </c>
      <c r="D119" s="4">
        <v>45886</v>
      </c>
      <c r="E119" s="5" t="s">
        <v>24</v>
      </c>
      <c r="F119" s="3">
        <v>238.9</v>
      </c>
      <c r="G119" s="6">
        <f t="shared" si="7"/>
        <v>205.45400000000001</v>
      </c>
      <c r="H119" s="7">
        <f t="shared" si="0"/>
        <v>45931</v>
      </c>
      <c r="I119" s="2" t="str">
        <f t="shared" si="1"/>
        <v>octubre</v>
      </c>
      <c r="J119" s="2">
        <f t="shared" si="2"/>
        <v>10</v>
      </c>
      <c r="K119" s="2">
        <f t="shared" si="8"/>
        <v>2025</v>
      </c>
      <c r="L119" s="2" t="str">
        <f t="shared" si="9"/>
        <v>THE PENINSULA CHICAGO</v>
      </c>
      <c r="M119" s="2">
        <f t="shared" si="10"/>
        <v>0</v>
      </c>
      <c r="Q119" s="3">
        <v>25364</v>
      </c>
      <c r="R119" s="5" t="s">
        <v>151</v>
      </c>
      <c r="V119" s="3">
        <v>28</v>
      </c>
      <c r="W119" s="5" t="s">
        <v>89</v>
      </c>
      <c r="AD119" s="10"/>
      <c r="AE119" s="10"/>
    </row>
    <row r="120" spans="1:31" ht="15.75" customHeight="1">
      <c r="A120" s="3">
        <v>515</v>
      </c>
      <c r="B120" s="3">
        <v>28783</v>
      </c>
      <c r="C120" s="4">
        <v>45653</v>
      </c>
      <c r="D120" s="4">
        <v>45659</v>
      </c>
      <c r="E120" s="5" t="s">
        <v>19</v>
      </c>
      <c r="F120" s="3">
        <v>881.66</v>
      </c>
      <c r="G120" s="6">
        <f t="shared" si="7"/>
        <v>881.66</v>
      </c>
      <c r="H120" s="7">
        <f t="shared" si="0"/>
        <v>45704</v>
      </c>
      <c r="I120" s="2" t="str">
        <f t="shared" si="1"/>
        <v>febrero</v>
      </c>
      <c r="J120" s="2">
        <f t="shared" si="2"/>
        <v>2</v>
      </c>
      <c r="K120" s="2">
        <f t="shared" si="8"/>
        <v>2025</v>
      </c>
      <c r="L120" s="2" t="str">
        <f t="shared" si="9"/>
        <v>LE REFUGE DE SOLAISE</v>
      </c>
      <c r="M120" s="2">
        <f t="shared" si="10"/>
        <v>0</v>
      </c>
      <c r="Q120" s="3">
        <v>25365</v>
      </c>
      <c r="R120" s="5" t="s">
        <v>152</v>
      </c>
      <c r="V120" s="3">
        <v>29</v>
      </c>
      <c r="W120" s="5" t="s">
        <v>94</v>
      </c>
      <c r="AD120" s="10"/>
      <c r="AE120" s="10"/>
    </row>
    <row r="121" spans="1:31" ht="15.75" customHeight="1">
      <c r="A121" s="3">
        <v>516</v>
      </c>
      <c r="B121" s="3">
        <v>28783</v>
      </c>
      <c r="C121" s="4">
        <v>45653</v>
      </c>
      <c r="D121" s="4">
        <v>45659</v>
      </c>
      <c r="E121" s="5" t="s">
        <v>19</v>
      </c>
      <c r="F121" s="3">
        <v>629.76</v>
      </c>
      <c r="G121" s="6">
        <f t="shared" si="7"/>
        <v>629.76</v>
      </c>
      <c r="H121" s="7">
        <f t="shared" si="0"/>
        <v>45704</v>
      </c>
      <c r="I121" s="2" t="str">
        <f t="shared" si="1"/>
        <v>febrero</v>
      </c>
      <c r="J121" s="2">
        <f t="shared" si="2"/>
        <v>2</v>
      </c>
      <c r="K121" s="2">
        <f t="shared" si="8"/>
        <v>2025</v>
      </c>
      <c r="L121" s="2" t="str">
        <f t="shared" si="9"/>
        <v>LE REFUGE DE SOLAISE</v>
      </c>
      <c r="M121" s="2">
        <f t="shared" si="10"/>
        <v>0</v>
      </c>
      <c r="Q121" s="3">
        <v>25366</v>
      </c>
      <c r="R121" s="5" t="s">
        <v>153</v>
      </c>
      <c r="V121" s="3">
        <v>29</v>
      </c>
      <c r="W121" s="5" t="s">
        <v>94</v>
      </c>
      <c r="AD121" s="11"/>
      <c r="AE121" s="11"/>
    </row>
    <row r="122" spans="1:31" ht="15.75" customHeight="1">
      <c r="A122" s="3">
        <v>525</v>
      </c>
      <c r="B122" s="3">
        <v>30616</v>
      </c>
      <c r="C122" s="4">
        <v>45936</v>
      </c>
      <c r="D122" s="4">
        <v>45939</v>
      </c>
      <c r="E122" s="5" t="s">
        <v>24</v>
      </c>
      <c r="F122" s="3">
        <v>84.77</v>
      </c>
      <c r="G122" s="6">
        <f t="shared" si="7"/>
        <v>72.902199999999993</v>
      </c>
      <c r="H122" s="7">
        <f t="shared" si="0"/>
        <v>45984</v>
      </c>
      <c r="I122" s="2" t="str">
        <f t="shared" si="1"/>
        <v>noviembre</v>
      </c>
      <c r="J122" s="2">
        <f t="shared" si="2"/>
        <v>11</v>
      </c>
      <c r="K122" s="2">
        <f t="shared" si="8"/>
        <v>2025</v>
      </c>
      <c r="L122" s="2" t="str">
        <f t="shared" si="9"/>
        <v>GRACE HOTEL, AUBERGE COLLECTION</v>
      </c>
      <c r="M122" s="2">
        <f t="shared" si="10"/>
        <v>0</v>
      </c>
      <c r="Q122" s="3">
        <v>25371</v>
      </c>
      <c r="R122" s="5" t="s">
        <v>154</v>
      </c>
      <c r="V122" s="3">
        <v>29</v>
      </c>
      <c r="W122" s="5" t="s">
        <v>94</v>
      </c>
      <c r="AD122" s="11"/>
      <c r="AE122" s="11"/>
    </row>
    <row r="123" spans="1:31" ht="15.75" customHeight="1">
      <c r="A123" s="3">
        <v>525</v>
      </c>
      <c r="B123" s="3">
        <v>30616</v>
      </c>
      <c r="C123" s="4">
        <v>45949</v>
      </c>
      <c r="D123" s="4">
        <v>45952</v>
      </c>
      <c r="E123" s="5" t="s">
        <v>24</v>
      </c>
      <c r="F123" s="3">
        <v>79.94</v>
      </c>
      <c r="G123" s="6">
        <f t="shared" si="7"/>
        <v>68.748400000000004</v>
      </c>
      <c r="H123" s="7">
        <f t="shared" si="0"/>
        <v>45997</v>
      </c>
      <c r="I123" s="2" t="str">
        <f t="shared" si="1"/>
        <v>diciembre</v>
      </c>
      <c r="J123" s="2">
        <f t="shared" si="2"/>
        <v>12</v>
      </c>
      <c r="K123" s="2">
        <f t="shared" si="8"/>
        <v>2025</v>
      </c>
      <c r="L123" s="2" t="str">
        <f t="shared" si="9"/>
        <v>GRACE HOTEL, AUBERGE COLLECTION</v>
      </c>
      <c r="M123" s="2">
        <f t="shared" si="10"/>
        <v>0</v>
      </c>
      <c r="Q123" s="3">
        <v>25372</v>
      </c>
      <c r="R123" s="5" t="s">
        <v>155</v>
      </c>
      <c r="V123" s="3">
        <v>29</v>
      </c>
      <c r="W123" s="5" t="s">
        <v>23</v>
      </c>
      <c r="AD123" s="10"/>
      <c r="AE123" s="11"/>
    </row>
    <row r="124" spans="1:31" ht="15.75" customHeight="1">
      <c r="A124" s="3">
        <v>528</v>
      </c>
      <c r="B124" s="3">
        <v>29512</v>
      </c>
      <c r="C124" s="4">
        <v>46016</v>
      </c>
      <c r="D124" s="4">
        <v>46021</v>
      </c>
      <c r="E124" s="5" t="s">
        <v>24</v>
      </c>
      <c r="F124" s="3">
        <v>465</v>
      </c>
      <c r="G124" s="6">
        <f t="shared" si="7"/>
        <v>399.9</v>
      </c>
      <c r="H124" s="7">
        <f t="shared" si="0"/>
        <v>46066</v>
      </c>
      <c r="I124" s="2" t="str">
        <f t="shared" si="1"/>
        <v>febrero</v>
      </c>
      <c r="J124" s="2">
        <f t="shared" si="2"/>
        <v>2</v>
      </c>
      <c r="K124" s="2">
        <f t="shared" si="8"/>
        <v>2026</v>
      </c>
      <c r="L124" s="2" t="str">
        <f t="shared" si="9"/>
        <v>CASA DE CAMPO RESORT AND VILLAS</v>
      </c>
      <c r="M124" s="2">
        <f t="shared" si="10"/>
        <v>0</v>
      </c>
      <c r="Q124" s="3">
        <v>25373</v>
      </c>
      <c r="R124" s="5" t="s">
        <v>156</v>
      </c>
      <c r="V124" s="3">
        <v>29</v>
      </c>
      <c r="W124" s="5" t="s">
        <v>60</v>
      </c>
      <c r="AD124" s="11"/>
      <c r="AE124" s="11"/>
    </row>
    <row r="125" spans="1:31" ht="15.75" customHeight="1">
      <c r="A125" s="3">
        <v>529</v>
      </c>
      <c r="B125" s="3">
        <v>29839</v>
      </c>
      <c r="C125" s="4">
        <v>45866</v>
      </c>
      <c r="D125" s="4">
        <v>45868</v>
      </c>
      <c r="E125" s="5" t="s">
        <v>26</v>
      </c>
      <c r="F125" s="3">
        <v>216</v>
      </c>
      <c r="G125" s="6">
        <f t="shared" si="7"/>
        <v>231.12</v>
      </c>
      <c r="H125" s="7">
        <f t="shared" si="0"/>
        <v>45913</v>
      </c>
      <c r="I125" s="2" t="str">
        <f t="shared" si="1"/>
        <v>septiembre</v>
      </c>
      <c r="J125" s="2">
        <f t="shared" si="2"/>
        <v>9</v>
      </c>
      <c r="K125" s="2">
        <f t="shared" si="8"/>
        <v>2025</v>
      </c>
      <c r="L125" s="2" t="str">
        <f t="shared" si="9"/>
        <v>BAUR AU LAC</v>
      </c>
      <c r="M125" s="2">
        <f t="shared" si="10"/>
        <v>0</v>
      </c>
      <c r="Q125" s="3">
        <v>25374</v>
      </c>
      <c r="R125" s="5" t="s">
        <v>157</v>
      </c>
      <c r="V125" s="3">
        <v>29</v>
      </c>
      <c r="W125" s="5" t="s">
        <v>158</v>
      </c>
      <c r="AD125" s="10"/>
      <c r="AE125" s="10"/>
    </row>
    <row r="126" spans="1:31" ht="15.75" customHeight="1">
      <c r="A126" s="3">
        <v>537</v>
      </c>
      <c r="B126" s="3">
        <v>29688</v>
      </c>
      <c r="C126" s="4">
        <v>45915</v>
      </c>
      <c r="D126" s="4">
        <v>45930</v>
      </c>
      <c r="E126" s="5" t="s">
        <v>19</v>
      </c>
      <c r="F126" s="3">
        <v>112.36</v>
      </c>
      <c r="G126" s="6">
        <f t="shared" si="7"/>
        <v>112.36</v>
      </c>
      <c r="H126" s="7">
        <f t="shared" si="0"/>
        <v>45975</v>
      </c>
      <c r="I126" s="2" t="str">
        <f t="shared" si="1"/>
        <v>noviembre</v>
      </c>
      <c r="J126" s="2">
        <f t="shared" si="2"/>
        <v>11</v>
      </c>
      <c r="K126" s="2">
        <f t="shared" si="8"/>
        <v>2025</v>
      </c>
      <c r="L126" s="2" t="str">
        <f t="shared" si="9"/>
        <v>TABLET HOTELS</v>
      </c>
      <c r="M126" s="2">
        <f t="shared" si="10"/>
        <v>0</v>
      </c>
      <c r="Q126" s="3">
        <v>25375</v>
      </c>
      <c r="R126" s="5" t="s">
        <v>159</v>
      </c>
      <c r="V126" s="3">
        <v>29</v>
      </c>
      <c r="W126" s="5" t="s">
        <v>60</v>
      </c>
      <c r="AD126" s="11"/>
      <c r="AE126" s="11"/>
    </row>
    <row r="127" spans="1:31" ht="15.75" customHeight="1">
      <c r="A127" s="3">
        <v>537</v>
      </c>
      <c r="B127" s="3">
        <v>29687</v>
      </c>
      <c r="C127" s="4">
        <v>45918</v>
      </c>
      <c r="D127" s="4">
        <v>45919</v>
      </c>
      <c r="E127" s="5" t="s">
        <v>19</v>
      </c>
      <c r="F127" s="3">
        <v>28.04</v>
      </c>
      <c r="G127" s="6">
        <f t="shared" si="7"/>
        <v>28.04</v>
      </c>
      <c r="H127" s="7">
        <f t="shared" si="0"/>
        <v>45964</v>
      </c>
      <c r="I127" s="2" t="str">
        <f t="shared" si="1"/>
        <v>noviembre</v>
      </c>
      <c r="J127" s="2">
        <f t="shared" si="2"/>
        <v>11</v>
      </c>
      <c r="K127" s="2">
        <f t="shared" si="8"/>
        <v>2025</v>
      </c>
      <c r="L127" s="2" t="str">
        <f t="shared" si="9"/>
        <v>CAPPUCCINA COUNTRY RESORT</v>
      </c>
      <c r="M127" s="2">
        <f t="shared" si="10"/>
        <v>0</v>
      </c>
      <c r="Q127" s="3">
        <v>25377</v>
      </c>
      <c r="R127" s="5" t="s">
        <v>160</v>
      </c>
      <c r="V127" s="3">
        <v>30</v>
      </c>
      <c r="W127" s="5" t="s">
        <v>23</v>
      </c>
      <c r="AD127" s="11"/>
      <c r="AE127" s="11"/>
    </row>
    <row r="128" spans="1:31" ht="15.75" customHeight="1">
      <c r="A128" s="3">
        <v>537</v>
      </c>
      <c r="B128" s="3">
        <v>29688</v>
      </c>
      <c r="C128" s="4">
        <v>45922</v>
      </c>
      <c r="D128" s="4">
        <v>45924</v>
      </c>
      <c r="E128" s="5" t="s">
        <v>19</v>
      </c>
      <c r="F128" s="3">
        <v>68.09</v>
      </c>
      <c r="G128" s="6">
        <f t="shared" si="7"/>
        <v>68.09</v>
      </c>
      <c r="H128" s="7">
        <f t="shared" si="0"/>
        <v>45969</v>
      </c>
      <c r="I128" s="2" t="str">
        <f t="shared" si="1"/>
        <v>noviembre</v>
      </c>
      <c r="J128" s="2">
        <f t="shared" si="2"/>
        <v>11</v>
      </c>
      <c r="K128" s="2">
        <f t="shared" si="8"/>
        <v>2025</v>
      </c>
      <c r="L128" s="2" t="str">
        <f t="shared" si="9"/>
        <v>TABLET HOTELS</v>
      </c>
      <c r="M128" s="2">
        <f t="shared" si="10"/>
        <v>0</v>
      </c>
      <c r="Q128" s="3">
        <v>25379</v>
      </c>
      <c r="R128" s="5" t="s">
        <v>161</v>
      </c>
      <c r="V128" s="3">
        <v>31</v>
      </c>
      <c r="W128" s="5" t="s">
        <v>23</v>
      </c>
      <c r="AD128" s="10"/>
      <c r="AE128" s="10"/>
    </row>
    <row r="129" spans="1:31" ht="15.75" customHeight="1">
      <c r="A129" s="3">
        <v>537</v>
      </c>
      <c r="B129" s="3">
        <v>28420</v>
      </c>
      <c r="C129" s="4">
        <v>45924</v>
      </c>
      <c r="D129" s="4">
        <v>45924</v>
      </c>
      <c r="E129" s="5" t="s">
        <v>19</v>
      </c>
      <c r="F129" s="3">
        <v>13.62</v>
      </c>
      <c r="G129" s="6">
        <f t="shared" si="7"/>
        <v>13.62</v>
      </c>
      <c r="H129" s="7">
        <f t="shared" si="0"/>
        <v>45969</v>
      </c>
      <c r="I129" s="2" t="str">
        <f t="shared" si="1"/>
        <v>noviembre</v>
      </c>
      <c r="J129" s="2">
        <f t="shared" si="2"/>
        <v>11</v>
      </c>
      <c r="K129" s="2">
        <f t="shared" si="8"/>
        <v>2025</v>
      </c>
      <c r="L129" s="2" t="str">
        <f t="shared" si="9"/>
        <v>SIXT MÉXICO</v>
      </c>
      <c r="M129" s="2">
        <f t="shared" si="10"/>
        <v>0</v>
      </c>
      <c r="Q129" s="3">
        <v>25383</v>
      </c>
      <c r="R129" s="5" t="s">
        <v>162</v>
      </c>
      <c r="V129" s="3">
        <v>31</v>
      </c>
      <c r="W129" s="5" t="s">
        <v>68</v>
      </c>
      <c r="AD129" s="11"/>
      <c r="AE129" s="11"/>
    </row>
    <row r="130" spans="1:31" ht="15.75" customHeight="1">
      <c r="A130" s="3">
        <v>537</v>
      </c>
      <c r="B130" s="3">
        <v>28420</v>
      </c>
      <c r="C130" s="4">
        <v>45918</v>
      </c>
      <c r="D130" s="4">
        <v>45920</v>
      </c>
      <c r="E130" s="5" t="s">
        <v>19</v>
      </c>
      <c r="F130" s="3">
        <v>29.07</v>
      </c>
      <c r="G130" s="6">
        <f t="shared" si="7"/>
        <v>29.07</v>
      </c>
      <c r="H130" s="7">
        <f t="shared" si="0"/>
        <v>45965</v>
      </c>
      <c r="I130" s="2" t="str">
        <f t="shared" si="1"/>
        <v>noviembre</v>
      </c>
      <c r="J130" s="2">
        <f t="shared" si="2"/>
        <v>11</v>
      </c>
      <c r="K130" s="2">
        <f t="shared" si="8"/>
        <v>2025</v>
      </c>
      <c r="L130" s="2" t="str">
        <f t="shared" si="9"/>
        <v>SIXT MÉXICO</v>
      </c>
      <c r="M130" s="2">
        <f t="shared" si="10"/>
        <v>0</v>
      </c>
      <c r="Q130" s="3">
        <v>25386</v>
      </c>
      <c r="R130" s="5" t="s">
        <v>163</v>
      </c>
      <c r="V130" s="3">
        <v>31</v>
      </c>
      <c r="W130" s="5" t="s">
        <v>68</v>
      </c>
      <c r="AD130" s="10"/>
      <c r="AE130" s="10"/>
    </row>
    <row r="131" spans="1:31" ht="15.75" customHeight="1">
      <c r="A131" s="3">
        <v>540</v>
      </c>
      <c r="B131" s="3">
        <v>25372</v>
      </c>
      <c r="C131" s="4">
        <v>45870</v>
      </c>
      <c r="D131" s="4">
        <v>45871</v>
      </c>
      <c r="E131" s="5" t="s">
        <v>24</v>
      </c>
      <c r="F131" s="3">
        <v>854.66</v>
      </c>
      <c r="G131" s="6">
        <f t="shared" ref="G131:G194" si="11">F131*_xlfn.XLOOKUP(E131,Z:Z,AA:AA)</f>
        <v>735.00759999999991</v>
      </c>
      <c r="H131" s="7">
        <f t="shared" si="0"/>
        <v>45916</v>
      </c>
      <c r="I131" s="2" t="str">
        <f t="shared" si="1"/>
        <v>septiembre</v>
      </c>
      <c r="J131" s="2">
        <f t="shared" si="2"/>
        <v>9</v>
      </c>
      <c r="K131" s="2">
        <f t="shared" ref="K131:K194" si="12">YEAR(H131)</f>
        <v>2025</v>
      </c>
      <c r="L131" s="2" t="str">
        <f t="shared" ref="L131:L194" si="13">_xlfn.XLOOKUP(B131,Q:Q,R:R)</f>
        <v>Queen Of Clubs Lifestyle Luxury Services LTD</v>
      </c>
      <c r="M131" s="2">
        <f t="shared" ref="M131:M174" si="14">_xlfn.XLOOKUP(A131,V:V,W:W)</f>
        <v>0</v>
      </c>
      <c r="Q131" s="3">
        <v>25387</v>
      </c>
      <c r="R131" s="5" t="s">
        <v>164</v>
      </c>
      <c r="V131" s="3">
        <v>31</v>
      </c>
      <c r="W131" s="5" t="s">
        <v>68</v>
      </c>
      <c r="AD131" s="10"/>
      <c r="AE131" s="10"/>
    </row>
    <row r="132" spans="1:31" ht="15.75" customHeight="1">
      <c r="A132" s="3">
        <v>548</v>
      </c>
      <c r="B132" s="3">
        <v>25372</v>
      </c>
      <c r="C132" s="4">
        <v>45858</v>
      </c>
      <c r="D132" s="4">
        <v>45865</v>
      </c>
      <c r="E132" s="5" t="s">
        <v>19</v>
      </c>
      <c r="F132" s="3">
        <v>4842.7</v>
      </c>
      <c r="G132" s="6">
        <f t="shared" si="11"/>
        <v>4842.7</v>
      </c>
      <c r="H132" s="7">
        <f t="shared" si="0"/>
        <v>45910</v>
      </c>
      <c r="I132" s="2" t="str">
        <f t="shared" si="1"/>
        <v>septiembre</v>
      </c>
      <c r="J132" s="2">
        <f t="shared" si="2"/>
        <v>9</v>
      </c>
      <c r="K132" s="2">
        <f t="shared" si="12"/>
        <v>2025</v>
      </c>
      <c r="L132" s="2" t="str">
        <f t="shared" si="13"/>
        <v>Queen Of Clubs Lifestyle Luxury Services LTD</v>
      </c>
      <c r="M132" s="2">
        <f t="shared" si="14"/>
        <v>0</v>
      </c>
      <c r="Q132" s="3">
        <v>25409</v>
      </c>
      <c r="R132" s="5" t="s">
        <v>165</v>
      </c>
      <c r="V132" s="3">
        <v>31</v>
      </c>
      <c r="W132" s="5" t="s">
        <v>23</v>
      </c>
      <c r="AD132" s="11"/>
      <c r="AE132" s="11"/>
    </row>
    <row r="133" spans="1:31" ht="15.75" customHeight="1">
      <c r="A133" s="3">
        <v>549</v>
      </c>
      <c r="B133" s="3">
        <v>25372</v>
      </c>
      <c r="C133" s="4">
        <v>45855</v>
      </c>
      <c r="D133" s="4">
        <v>45858</v>
      </c>
      <c r="E133" s="5" t="s">
        <v>26</v>
      </c>
      <c r="F133" s="3">
        <v>3291</v>
      </c>
      <c r="G133" s="6">
        <f t="shared" si="11"/>
        <v>3521.3700000000003</v>
      </c>
      <c r="H133" s="7">
        <f t="shared" si="0"/>
        <v>45903</v>
      </c>
      <c r="I133" s="2" t="str">
        <f t="shared" si="1"/>
        <v>septiembre</v>
      </c>
      <c r="J133" s="2">
        <f t="shared" si="2"/>
        <v>9</v>
      </c>
      <c r="K133" s="2">
        <f t="shared" si="12"/>
        <v>2025</v>
      </c>
      <c r="L133" s="2" t="str">
        <f t="shared" si="13"/>
        <v>Queen Of Clubs Lifestyle Luxury Services LTD</v>
      </c>
      <c r="M133" s="2">
        <f t="shared" si="14"/>
        <v>0</v>
      </c>
      <c r="Q133" s="3">
        <v>25411</v>
      </c>
      <c r="R133" s="5" t="s">
        <v>166</v>
      </c>
      <c r="V133" s="3">
        <v>32</v>
      </c>
      <c r="W133" s="5" t="s">
        <v>23</v>
      </c>
      <c r="AD133" s="10"/>
      <c r="AE133" s="10"/>
    </row>
    <row r="134" spans="1:31" ht="15.75" customHeight="1">
      <c r="A134" s="3">
        <v>552</v>
      </c>
      <c r="B134" s="3">
        <v>30434</v>
      </c>
      <c r="C134" s="4">
        <v>46023</v>
      </c>
      <c r="D134" s="4">
        <v>46026</v>
      </c>
      <c r="E134" s="5" t="s">
        <v>24</v>
      </c>
      <c r="F134" s="3">
        <v>308</v>
      </c>
      <c r="G134" s="6">
        <f t="shared" si="11"/>
        <v>264.88</v>
      </c>
      <c r="H134" s="7">
        <f t="shared" si="0"/>
        <v>46071</v>
      </c>
      <c r="I134" s="2" t="str">
        <f t="shared" si="1"/>
        <v>febrero</v>
      </c>
      <c r="J134" s="2">
        <f t="shared" si="2"/>
        <v>2</v>
      </c>
      <c r="K134" s="2">
        <f t="shared" si="12"/>
        <v>2026</v>
      </c>
      <c r="L134" s="2" t="str">
        <f t="shared" si="13"/>
        <v>WELLINGTON HOTEL &amp; SPA MADRID</v>
      </c>
      <c r="M134" s="2">
        <f t="shared" si="14"/>
        <v>0</v>
      </c>
      <c r="Q134" s="3">
        <v>25412</v>
      </c>
      <c r="R134" s="5" t="s">
        <v>167</v>
      </c>
      <c r="V134" s="3">
        <v>32</v>
      </c>
      <c r="W134" s="5" t="s">
        <v>168</v>
      </c>
      <c r="AD134" s="10"/>
      <c r="AE134" s="10"/>
    </row>
    <row r="135" spans="1:31" ht="15.75" customHeight="1">
      <c r="A135" s="3">
        <v>560</v>
      </c>
      <c r="B135" s="3">
        <v>30110</v>
      </c>
      <c r="C135" s="4">
        <v>45885</v>
      </c>
      <c r="D135" s="4">
        <v>45887</v>
      </c>
      <c r="E135" s="5" t="s">
        <v>30</v>
      </c>
      <c r="F135" s="3">
        <v>138</v>
      </c>
      <c r="G135" s="6">
        <f t="shared" si="11"/>
        <v>158.69999999999999</v>
      </c>
      <c r="H135" s="7">
        <f t="shared" si="0"/>
        <v>45932</v>
      </c>
      <c r="I135" s="2" t="str">
        <f t="shared" si="1"/>
        <v>octubre</v>
      </c>
      <c r="J135" s="2">
        <f t="shared" si="2"/>
        <v>10</v>
      </c>
      <c r="K135" s="2">
        <f t="shared" si="12"/>
        <v>2025</v>
      </c>
      <c r="L135" s="2" t="str">
        <f t="shared" si="13"/>
        <v>THE NEWT IN SOMERSET</v>
      </c>
      <c r="M135" s="2">
        <f t="shared" si="14"/>
        <v>0</v>
      </c>
      <c r="Q135" s="3">
        <v>25413</v>
      </c>
      <c r="R135" s="5" t="s">
        <v>169</v>
      </c>
      <c r="V135" s="3">
        <v>33</v>
      </c>
      <c r="W135" s="5" t="s">
        <v>23</v>
      </c>
      <c r="AD135" s="10"/>
      <c r="AE135" s="10"/>
    </row>
    <row r="136" spans="1:31" ht="15.75" customHeight="1">
      <c r="A136" s="3">
        <v>561</v>
      </c>
      <c r="B136" s="3">
        <v>27195</v>
      </c>
      <c r="C136" s="4">
        <v>45942</v>
      </c>
      <c r="D136" s="4">
        <v>45945</v>
      </c>
      <c r="E136" s="5" t="s">
        <v>34</v>
      </c>
      <c r="F136" s="3">
        <v>3686.05</v>
      </c>
      <c r="G136" s="6">
        <f t="shared" si="11"/>
        <v>176.93040000000002</v>
      </c>
      <c r="H136" s="7">
        <f t="shared" si="0"/>
        <v>45990</v>
      </c>
      <c r="I136" s="2" t="str">
        <f t="shared" si="1"/>
        <v>noviembre</v>
      </c>
      <c r="J136" s="2">
        <f t="shared" si="2"/>
        <v>11</v>
      </c>
      <c r="K136" s="2">
        <f t="shared" si="12"/>
        <v>2025</v>
      </c>
      <c r="L136" s="2" t="str">
        <f t="shared" si="13"/>
        <v>CROSSING MANZONI</v>
      </c>
      <c r="M136" s="2">
        <f t="shared" si="14"/>
        <v>0</v>
      </c>
      <c r="Q136" s="3">
        <v>25426</v>
      </c>
      <c r="R136" s="5" t="s">
        <v>170</v>
      </c>
      <c r="V136" s="3">
        <v>33</v>
      </c>
      <c r="W136" s="5" t="s">
        <v>80</v>
      </c>
      <c r="AD136" s="10"/>
      <c r="AE136" s="10"/>
    </row>
    <row r="137" spans="1:31" ht="15.75" customHeight="1">
      <c r="A137" s="3">
        <v>563</v>
      </c>
      <c r="B137" s="3">
        <v>30165</v>
      </c>
      <c r="C137" s="4">
        <v>45926</v>
      </c>
      <c r="D137" s="4">
        <v>45928</v>
      </c>
      <c r="E137" s="5" t="s">
        <v>24</v>
      </c>
      <c r="F137" s="3">
        <v>348</v>
      </c>
      <c r="G137" s="6">
        <f t="shared" si="11"/>
        <v>299.27999999999997</v>
      </c>
      <c r="H137" s="7">
        <f t="shared" si="0"/>
        <v>45973</v>
      </c>
      <c r="I137" s="2" t="str">
        <f t="shared" si="1"/>
        <v>noviembre</v>
      </c>
      <c r="J137" s="2">
        <f t="shared" si="2"/>
        <v>11</v>
      </c>
      <c r="K137" s="2">
        <f t="shared" si="12"/>
        <v>2025</v>
      </c>
      <c r="L137" s="2" t="str">
        <f t="shared" si="13"/>
        <v>FOUR SEASONS HOTEL BOSTON</v>
      </c>
      <c r="M137" s="2">
        <f t="shared" si="14"/>
        <v>0</v>
      </c>
      <c r="Q137" s="3">
        <v>25427</v>
      </c>
      <c r="R137" s="5" t="s">
        <v>171</v>
      </c>
      <c r="V137" s="3">
        <v>33</v>
      </c>
      <c r="W137" s="5" t="s">
        <v>23</v>
      </c>
      <c r="AD137" s="10"/>
      <c r="AE137" s="10"/>
    </row>
    <row r="138" spans="1:31" ht="15.75" customHeight="1">
      <c r="A138" s="3">
        <v>563</v>
      </c>
      <c r="B138" s="3">
        <v>30165</v>
      </c>
      <c r="C138" s="4">
        <v>45926</v>
      </c>
      <c r="D138" s="4">
        <v>45928</v>
      </c>
      <c r="E138" s="5" t="s">
        <v>24</v>
      </c>
      <c r="F138" s="3">
        <v>411</v>
      </c>
      <c r="G138" s="6">
        <f t="shared" si="11"/>
        <v>353.46</v>
      </c>
      <c r="H138" s="7">
        <f t="shared" si="0"/>
        <v>45973</v>
      </c>
      <c r="I138" s="2" t="str">
        <f t="shared" si="1"/>
        <v>noviembre</v>
      </c>
      <c r="J138" s="2">
        <f t="shared" si="2"/>
        <v>11</v>
      </c>
      <c r="K138" s="2">
        <f t="shared" si="12"/>
        <v>2025</v>
      </c>
      <c r="L138" s="2" t="str">
        <f t="shared" si="13"/>
        <v>FOUR SEASONS HOTEL BOSTON</v>
      </c>
      <c r="M138" s="2">
        <f t="shared" si="14"/>
        <v>0</v>
      </c>
      <c r="Q138" s="3">
        <v>25446</v>
      </c>
      <c r="R138" s="5" t="s">
        <v>172</v>
      </c>
      <c r="V138" s="3">
        <v>33</v>
      </c>
      <c r="W138" s="5" t="s">
        <v>23</v>
      </c>
      <c r="AD138" s="10"/>
      <c r="AE138" s="10"/>
    </row>
    <row r="139" spans="1:31" ht="15.75" customHeight="1">
      <c r="A139" s="3">
        <v>566</v>
      </c>
      <c r="B139" s="3">
        <v>28282</v>
      </c>
      <c r="C139" s="4">
        <v>45951</v>
      </c>
      <c r="D139" s="4">
        <v>45952</v>
      </c>
      <c r="E139" s="5" t="s">
        <v>34</v>
      </c>
      <c r="F139" s="3">
        <v>353.47</v>
      </c>
      <c r="G139" s="6">
        <f t="shared" si="11"/>
        <v>16.966560000000001</v>
      </c>
      <c r="H139" s="7">
        <f t="shared" si="0"/>
        <v>45997</v>
      </c>
      <c r="I139" s="2" t="str">
        <f t="shared" si="1"/>
        <v>diciembre</v>
      </c>
      <c r="J139" s="2">
        <f t="shared" si="2"/>
        <v>12</v>
      </c>
      <c r="K139" s="2">
        <f t="shared" si="12"/>
        <v>2025</v>
      </c>
      <c r="L139" s="2" t="str">
        <f t="shared" si="13"/>
        <v>GRAND HYATT INCHEON</v>
      </c>
      <c r="M139" s="2">
        <f t="shared" si="14"/>
        <v>0</v>
      </c>
      <c r="Q139" s="3">
        <v>25451</v>
      </c>
      <c r="R139" s="5" t="s">
        <v>173</v>
      </c>
      <c r="V139" s="3">
        <v>33</v>
      </c>
      <c r="W139" s="5" t="s">
        <v>168</v>
      </c>
      <c r="AD139" s="11"/>
      <c r="AE139" s="10"/>
    </row>
    <row r="140" spans="1:31" ht="15.75" customHeight="1">
      <c r="A140" s="3">
        <v>566</v>
      </c>
      <c r="B140" s="3">
        <v>25057</v>
      </c>
      <c r="C140" s="4">
        <v>45942</v>
      </c>
      <c r="D140" s="4">
        <v>45945</v>
      </c>
      <c r="E140" s="5" t="s">
        <v>34</v>
      </c>
      <c r="F140" s="3">
        <v>9001.4699999999993</v>
      </c>
      <c r="G140" s="6">
        <f t="shared" si="11"/>
        <v>432.07056</v>
      </c>
      <c r="H140" s="7">
        <f t="shared" si="0"/>
        <v>45990</v>
      </c>
      <c r="I140" s="2" t="str">
        <f t="shared" si="1"/>
        <v>noviembre</v>
      </c>
      <c r="J140" s="2">
        <f t="shared" si="2"/>
        <v>11</v>
      </c>
      <c r="K140" s="2">
        <f t="shared" si="12"/>
        <v>2025</v>
      </c>
      <c r="L140" s="2" t="str">
        <f t="shared" si="13"/>
        <v>HOTEL THE MITSUI KYOTO</v>
      </c>
      <c r="M140" s="2">
        <f t="shared" si="14"/>
        <v>0</v>
      </c>
      <c r="Q140" s="3">
        <v>25452</v>
      </c>
      <c r="R140" s="5" t="s">
        <v>174</v>
      </c>
      <c r="V140" s="3">
        <v>33</v>
      </c>
      <c r="W140" s="5" t="s">
        <v>168</v>
      </c>
      <c r="AD140" s="11"/>
      <c r="AE140" s="10"/>
    </row>
    <row r="141" spans="1:31" ht="15.75" customHeight="1">
      <c r="A141" s="3">
        <v>566</v>
      </c>
      <c r="B141" s="3">
        <v>30859</v>
      </c>
      <c r="C141" s="4">
        <v>45947</v>
      </c>
      <c r="D141" s="4">
        <v>45951</v>
      </c>
      <c r="E141" s="5" t="s">
        <v>34</v>
      </c>
      <c r="F141" s="3">
        <v>11146.29</v>
      </c>
      <c r="G141" s="6">
        <f t="shared" si="11"/>
        <v>535.02192000000002</v>
      </c>
      <c r="H141" s="7">
        <f t="shared" si="0"/>
        <v>45996</v>
      </c>
      <c r="I141" s="2" t="str">
        <f t="shared" si="1"/>
        <v>diciembre</v>
      </c>
      <c r="J141" s="2">
        <f t="shared" si="2"/>
        <v>12</v>
      </c>
      <c r="K141" s="2">
        <f t="shared" si="12"/>
        <v>2025</v>
      </c>
      <c r="L141" s="2" t="str">
        <f t="shared" si="13"/>
        <v>THE TOKYO EDITION GINZA</v>
      </c>
      <c r="M141" s="2">
        <f t="shared" si="14"/>
        <v>0</v>
      </c>
      <c r="Q141" s="3">
        <v>25453</v>
      </c>
      <c r="R141" s="5" t="s">
        <v>175</v>
      </c>
      <c r="V141" s="3">
        <v>33</v>
      </c>
      <c r="W141" s="5" t="s">
        <v>23</v>
      </c>
      <c r="AD141" s="10"/>
      <c r="AE141" s="10"/>
    </row>
    <row r="142" spans="1:31" ht="15.75" customHeight="1">
      <c r="A142" s="3">
        <v>566</v>
      </c>
      <c r="B142" s="3">
        <v>25053</v>
      </c>
      <c r="C142" s="4">
        <v>45945</v>
      </c>
      <c r="D142" s="4">
        <v>45947</v>
      </c>
      <c r="E142" s="5" t="s">
        <v>34</v>
      </c>
      <c r="F142" s="3">
        <v>5009.24</v>
      </c>
      <c r="G142" s="6">
        <f t="shared" si="11"/>
        <v>240.44352000000001</v>
      </c>
      <c r="H142" s="7">
        <f t="shared" si="0"/>
        <v>45992</v>
      </c>
      <c r="I142" s="2" t="str">
        <f t="shared" si="1"/>
        <v>diciembre</v>
      </c>
      <c r="J142" s="2">
        <f t="shared" si="2"/>
        <v>12</v>
      </c>
      <c r="K142" s="2">
        <f t="shared" si="12"/>
        <v>2025</v>
      </c>
      <c r="L142" s="2" t="str">
        <f t="shared" si="13"/>
        <v>THE RITZ CARLTON NIKKO</v>
      </c>
      <c r="M142" s="2">
        <f t="shared" si="14"/>
        <v>0</v>
      </c>
      <c r="Q142" s="3">
        <v>25505</v>
      </c>
      <c r="R142" s="5" t="s">
        <v>176</v>
      </c>
      <c r="V142" s="3">
        <v>33</v>
      </c>
      <c r="W142" s="5" t="s">
        <v>68</v>
      </c>
      <c r="AD142" s="11"/>
      <c r="AE142" s="11"/>
    </row>
    <row r="143" spans="1:31" ht="15.75" customHeight="1">
      <c r="A143" s="3">
        <v>566</v>
      </c>
      <c r="B143" s="3">
        <v>26070</v>
      </c>
      <c r="C143" s="4">
        <v>45937</v>
      </c>
      <c r="D143" s="4">
        <v>45938</v>
      </c>
      <c r="E143" s="5" t="s">
        <v>34</v>
      </c>
      <c r="F143" s="3">
        <v>1156.01</v>
      </c>
      <c r="G143" s="6">
        <f t="shared" si="11"/>
        <v>55.488480000000003</v>
      </c>
      <c r="H143" s="7">
        <f t="shared" si="0"/>
        <v>45983</v>
      </c>
      <c r="I143" s="2" t="str">
        <f t="shared" si="1"/>
        <v>noviembre</v>
      </c>
      <c r="J143" s="2">
        <f t="shared" si="2"/>
        <v>11</v>
      </c>
      <c r="K143" s="2">
        <f t="shared" si="12"/>
        <v>2025</v>
      </c>
      <c r="L143" s="2" t="str">
        <f t="shared" si="13"/>
        <v>FOUR SEASONS HOTEL SEOUL</v>
      </c>
      <c r="M143" s="2">
        <f t="shared" si="14"/>
        <v>0</v>
      </c>
      <c r="Q143" s="3">
        <v>25514</v>
      </c>
      <c r="R143" s="5" t="s">
        <v>177</v>
      </c>
      <c r="V143" s="3">
        <v>33</v>
      </c>
      <c r="W143" s="5" t="s">
        <v>21</v>
      </c>
      <c r="AD143" s="11"/>
      <c r="AE143" s="11"/>
    </row>
    <row r="144" spans="1:31" ht="15.75" customHeight="1">
      <c r="A144" s="3">
        <v>574</v>
      </c>
      <c r="B144" s="3">
        <v>30222</v>
      </c>
      <c r="C144" s="4">
        <v>45996</v>
      </c>
      <c r="D144" s="4">
        <v>46001</v>
      </c>
      <c r="E144" s="5" t="s">
        <v>24</v>
      </c>
      <c r="F144" s="3">
        <v>747.5</v>
      </c>
      <c r="G144" s="6">
        <f t="shared" si="11"/>
        <v>642.85</v>
      </c>
      <c r="H144" s="7">
        <f t="shared" si="0"/>
        <v>46046</v>
      </c>
      <c r="I144" s="2" t="str">
        <f t="shared" si="1"/>
        <v>enero</v>
      </c>
      <c r="J144" s="2">
        <f t="shared" si="2"/>
        <v>1</v>
      </c>
      <c r="K144" s="2">
        <f t="shared" si="12"/>
        <v>2026</v>
      </c>
      <c r="L144" s="2" t="str">
        <f t="shared" si="13"/>
        <v>THE CARLYLE A ROSEWOOD HOTEL</v>
      </c>
      <c r="M144" s="2">
        <f t="shared" si="14"/>
        <v>0</v>
      </c>
      <c r="Q144" s="3">
        <v>25515</v>
      </c>
      <c r="R144" s="5" t="s">
        <v>178</v>
      </c>
      <c r="V144" s="3">
        <v>33</v>
      </c>
      <c r="W144" s="5" t="s">
        <v>23</v>
      </c>
      <c r="AD144" s="10"/>
      <c r="AE144" s="11"/>
    </row>
    <row r="145" spans="1:31" ht="15.75" customHeight="1">
      <c r="A145" s="3">
        <v>577</v>
      </c>
      <c r="B145" s="3">
        <v>29081</v>
      </c>
      <c r="C145" s="4">
        <v>45873</v>
      </c>
      <c r="D145" s="4">
        <v>45877</v>
      </c>
      <c r="E145" s="5" t="s">
        <v>24</v>
      </c>
      <c r="F145" s="3">
        <v>433.48</v>
      </c>
      <c r="G145" s="6">
        <f t="shared" si="11"/>
        <v>372.7928</v>
      </c>
      <c r="H145" s="7">
        <f t="shared" si="0"/>
        <v>45922</v>
      </c>
      <c r="I145" s="2" t="str">
        <f t="shared" si="1"/>
        <v>septiembre</v>
      </c>
      <c r="J145" s="2">
        <f t="shared" si="2"/>
        <v>9</v>
      </c>
      <c r="K145" s="2">
        <f t="shared" si="12"/>
        <v>2025</v>
      </c>
      <c r="L145" s="2" t="str">
        <f t="shared" si="13"/>
        <v>PARK LANE HOTEL NEW YORK</v>
      </c>
      <c r="M145" s="2">
        <f t="shared" si="14"/>
        <v>0</v>
      </c>
      <c r="Q145" s="3">
        <v>25546</v>
      </c>
      <c r="R145" s="5" t="s">
        <v>179</v>
      </c>
      <c r="V145" s="3">
        <v>33</v>
      </c>
      <c r="W145" s="5" t="s">
        <v>23</v>
      </c>
      <c r="AD145" s="10"/>
      <c r="AE145" s="10"/>
    </row>
    <row r="146" spans="1:31" ht="15.75" customHeight="1">
      <c r="A146" s="3">
        <v>577</v>
      </c>
      <c r="B146" s="3">
        <v>29081</v>
      </c>
      <c r="C146" s="4">
        <v>45873</v>
      </c>
      <c r="D146" s="4">
        <v>45877</v>
      </c>
      <c r="E146" s="5" t="s">
        <v>24</v>
      </c>
      <c r="F146" s="3">
        <v>433.48</v>
      </c>
      <c r="G146" s="6">
        <f t="shared" si="11"/>
        <v>372.7928</v>
      </c>
      <c r="H146" s="7">
        <f t="shared" si="0"/>
        <v>45922</v>
      </c>
      <c r="I146" s="2" t="str">
        <f t="shared" si="1"/>
        <v>septiembre</v>
      </c>
      <c r="J146" s="2">
        <f t="shared" si="2"/>
        <v>9</v>
      </c>
      <c r="K146" s="2">
        <f t="shared" si="12"/>
        <v>2025</v>
      </c>
      <c r="L146" s="2" t="str">
        <f t="shared" si="13"/>
        <v>PARK LANE HOTEL NEW YORK</v>
      </c>
      <c r="M146" s="2">
        <f t="shared" si="14"/>
        <v>0</v>
      </c>
      <c r="Q146" s="3">
        <v>25619</v>
      </c>
      <c r="R146" s="5" t="s">
        <v>180</v>
      </c>
      <c r="V146" s="3">
        <v>33</v>
      </c>
      <c r="W146" s="5" t="s">
        <v>23</v>
      </c>
      <c r="AD146" s="11"/>
      <c r="AE146" s="10"/>
    </row>
    <row r="147" spans="1:31" ht="15.75" customHeight="1">
      <c r="A147" s="3">
        <v>577</v>
      </c>
      <c r="B147" s="3">
        <v>29081</v>
      </c>
      <c r="C147" s="4">
        <v>45871</v>
      </c>
      <c r="D147" s="4">
        <v>45878</v>
      </c>
      <c r="E147" s="5" t="s">
        <v>24</v>
      </c>
      <c r="F147" s="3">
        <v>668.75</v>
      </c>
      <c r="G147" s="6">
        <f t="shared" si="11"/>
        <v>575.125</v>
      </c>
      <c r="H147" s="7">
        <f t="shared" si="0"/>
        <v>45923</v>
      </c>
      <c r="I147" s="2" t="str">
        <f t="shared" si="1"/>
        <v>septiembre</v>
      </c>
      <c r="J147" s="2">
        <f t="shared" si="2"/>
        <v>9</v>
      </c>
      <c r="K147" s="2">
        <f t="shared" si="12"/>
        <v>2025</v>
      </c>
      <c r="L147" s="2" t="str">
        <f t="shared" si="13"/>
        <v>PARK LANE HOTEL NEW YORK</v>
      </c>
      <c r="M147" s="2">
        <f t="shared" si="14"/>
        <v>0</v>
      </c>
      <c r="Q147" s="3">
        <v>25623</v>
      </c>
      <c r="R147" s="5" t="s">
        <v>181</v>
      </c>
      <c r="V147" s="3">
        <v>33</v>
      </c>
      <c r="W147" s="5" t="s">
        <v>58</v>
      </c>
      <c r="AD147" s="10"/>
      <c r="AE147" s="10"/>
    </row>
    <row r="148" spans="1:31" ht="15.75" customHeight="1">
      <c r="A148" s="3">
        <v>584</v>
      </c>
      <c r="B148" s="3">
        <v>26593</v>
      </c>
      <c r="C148" s="4">
        <v>45833</v>
      </c>
      <c r="D148" s="4">
        <v>45837</v>
      </c>
      <c r="E148" s="5" t="s">
        <v>24</v>
      </c>
      <c r="F148" s="3">
        <v>538.84</v>
      </c>
      <c r="G148" s="6">
        <f t="shared" si="11"/>
        <v>463.4024</v>
      </c>
      <c r="H148" s="7">
        <f t="shared" si="0"/>
        <v>45882</v>
      </c>
      <c r="I148" s="2" t="str">
        <f t="shared" si="1"/>
        <v>agosto</v>
      </c>
      <c r="J148" s="2">
        <f t="shared" si="2"/>
        <v>8</v>
      </c>
      <c r="K148" s="2">
        <f t="shared" si="12"/>
        <v>2025</v>
      </c>
      <c r="L148" s="2" t="str">
        <f t="shared" si="13"/>
        <v>THE BALMORAL, A ROCCO FORTE HOTEL</v>
      </c>
      <c r="M148" s="2">
        <f t="shared" si="14"/>
        <v>0</v>
      </c>
      <c r="Q148" s="3">
        <v>25624</v>
      </c>
      <c r="R148" s="5" t="s">
        <v>182</v>
      </c>
      <c r="V148" s="3">
        <v>33</v>
      </c>
      <c r="W148" s="5" t="s">
        <v>58</v>
      </c>
      <c r="AD148" s="11"/>
      <c r="AE148" s="11"/>
    </row>
    <row r="149" spans="1:31" ht="15.75" customHeight="1">
      <c r="A149" s="3">
        <v>584</v>
      </c>
      <c r="B149" s="3">
        <v>26593</v>
      </c>
      <c r="C149" s="4">
        <v>45833</v>
      </c>
      <c r="D149" s="4">
        <v>45837</v>
      </c>
      <c r="E149" s="5" t="s">
        <v>24</v>
      </c>
      <c r="F149" s="3">
        <v>215.1</v>
      </c>
      <c r="G149" s="6">
        <f t="shared" si="11"/>
        <v>184.98599999999999</v>
      </c>
      <c r="H149" s="7">
        <f t="shared" si="0"/>
        <v>45882</v>
      </c>
      <c r="I149" s="2" t="str">
        <f t="shared" si="1"/>
        <v>agosto</v>
      </c>
      <c r="J149" s="2">
        <f t="shared" si="2"/>
        <v>8</v>
      </c>
      <c r="K149" s="2">
        <f t="shared" si="12"/>
        <v>2025</v>
      </c>
      <c r="L149" s="2" t="str">
        <f t="shared" si="13"/>
        <v>THE BALMORAL, A ROCCO FORTE HOTEL</v>
      </c>
      <c r="M149" s="2">
        <f t="shared" si="14"/>
        <v>0</v>
      </c>
      <c r="Q149" s="3">
        <v>25633</v>
      </c>
      <c r="R149" s="5" t="s">
        <v>183</v>
      </c>
      <c r="V149" s="3">
        <v>33</v>
      </c>
      <c r="W149" s="5" t="s">
        <v>58</v>
      </c>
      <c r="AD149" s="10"/>
      <c r="AE149" s="10"/>
    </row>
    <row r="150" spans="1:31" ht="15.75" customHeight="1">
      <c r="A150" s="3">
        <v>584</v>
      </c>
      <c r="B150" s="3">
        <v>26593</v>
      </c>
      <c r="C150" s="4">
        <v>45833</v>
      </c>
      <c r="D150" s="4">
        <v>45837</v>
      </c>
      <c r="E150" s="5" t="s">
        <v>24</v>
      </c>
      <c r="F150" s="3">
        <v>108.16</v>
      </c>
      <c r="G150" s="6">
        <f t="shared" si="11"/>
        <v>93.017600000000002</v>
      </c>
      <c r="H150" s="7">
        <f t="shared" si="0"/>
        <v>45882</v>
      </c>
      <c r="I150" s="2" t="str">
        <f t="shared" si="1"/>
        <v>agosto</v>
      </c>
      <c r="J150" s="2">
        <f t="shared" si="2"/>
        <v>8</v>
      </c>
      <c r="K150" s="2">
        <f t="shared" si="12"/>
        <v>2025</v>
      </c>
      <c r="L150" s="2" t="str">
        <f t="shared" si="13"/>
        <v>THE BALMORAL, A ROCCO FORTE HOTEL</v>
      </c>
      <c r="M150" s="2">
        <f t="shared" si="14"/>
        <v>0</v>
      </c>
      <c r="Q150" s="3">
        <v>25637</v>
      </c>
      <c r="R150" s="5" t="s">
        <v>184</v>
      </c>
      <c r="V150" s="3">
        <v>33</v>
      </c>
      <c r="W150" s="5" t="s">
        <v>23</v>
      </c>
      <c r="AD150" s="10"/>
      <c r="AE150" s="10"/>
    </row>
    <row r="151" spans="1:31" ht="15.75" customHeight="1">
      <c r="A151" s="3">
        <v>585</v>
      </c>
      <c r="B151" s="3">
        <v>28420</v>
      </c>
      <c r="C151" s="4">
        <v>45981</v>
      </c>
      <c r="D151" s="4">
        <v>45984</v>
      </c>
      <c r="E151" s="5" t="s">
        <v>34</v>
      </c>
      <c r="F151" s="3">
        <v>1832.95</v>
      </c>
      <c r="G151" s="6">
        <f t="shared" si="11"/>
        <v>87.9816</v>
      </c>
      <c r="H151" s="7">
        <f t="shared" si="0"/>
        <v>46029</v>
      </c>
      <c r="I151" s="2" t="str">
        <f t="shared" si="1"/>
        <v>enero</v>
      </c>
      <c r="J151" s="2">
        <f t="shared" si="2"/>
        <v>1</v>
      </c>
      <c r="K151" s="2">
        <f t="shared" si="12"/>
        <v>2026</v>
      </c>
      <c r="L151" s="2" t="str">
        <f t="shared" si="13"/>
        <v>SIXT MÉXICO</v>
      </c>
      <c r="M151" s="2">
        <f t="shared" si="14"/>
        <v>0</v>
      </c>
      <c r="Q151" s="3">
        <v>25641</v>
      </c>
      <c r="R151" s="5" t="s">
        <v>185</v>
      </c>
      <c r="V151" s="3">
        <v>33</v>
      </c>
      <c r="W151" s="5" t="s">
        <v>168</v>
      </c>
      <c r="AD151" s="10"/>
      <c r="AE151" s="10"/>
    </row>
    <row r="152" spans="1:31" ht="15.75" customHeight="1">
      <c r="A152" s="3">
        <v>591</v>
      </c>
      <c r="B152" s="3">
        <v>29081</v>
      </c>
      <c r="C152" s="4">
        <v>45846</v>
      </c>
      <c r="D152" s="4">
        <v>45848</v>
      </c>
      <c r="E152" s="5" t="s">
        <v>24</v>
      </c>
      <c r="F152" s="3">
        <v>189.44</v>
      </c>
      <c r="G152" s="6">
        <f t="shared" si="11"/>
        <v>162.91839999999999</v>
      </c>
      <c r="H152" s="7">
        <f t="shared" si="0"/>
        <v>45893</v>
      </c>
      <c r="I152" s="2" t="str">
        <f t="shared" si="1"/>
        <v>agosto</v>
      </c>
      <c r="J152" s="2">
        <f t="shared" si="2"/>
        <v>8</v>
      </c>
      <c r="K152" s="2">
        <f t="shared" si="12"/>
        <v>2025</v>
      </c>
      <c r="L152" s="2" t="str">
        <f t="shared" si="13"/>
        <v>PARK LANE HOTEL NEW YORK</v>
      </c>
      <c r="M152" s="2">
        <f t="shared" si="14"/>
        <v>0</v>
      </c>
      <c r="Q152" s="3">
        <v>25643</v>
      </c>
      <c r="R152" s="5" t="s">
        <v>186</v>
      </c>
      <c r="V152" s="3">
        <v>33</v>
      </c>
      <c r="W152" s="5" t="s">
        <v>94</v>
      </c>
      <c r="AD152" s="11"/>
      <c r="AE152" s="11"/>
    </row>
    <row r="153" spans="1:31" ht="15.75" customHeight="1">
      <c r="A153" s="3">
        <v>591</v>
      </c>
      <c r="B153" s="3">
        <v>29081</v>
      </c>
      <c r="C153" s="4">
        <v>45845</v>
      </c>
      <c r="D153" s="4">
        <v>45846</v>
      </c>
      <c r="E153" s="5" t="s">
        <v>24</v>
      </c>
      <c r="F153" s="3">
        <v>64.28</v>
      </c>
      <c r="G153" s="6">
        <f t="shared" si="11"/>
        <v>55.280799999999999</v>
      </c>
      <c r="H153" s="7">
        <f t="shared" si="0"/>
        <v>45891</v>
      </c>
      <c r="I153" s="2" t="str">
        <f t="shared" si="1"/>
        <v>agosto</v>
      </c>
      <c r="J153" s="2">
        <f t="shared" si="2"/>
        <v>8</v>
      </c>
      <c r="K153" s="2">
        <f t="shared" si="12"/>
        <v>2025</v>
      </c>
      <c r="L153" s="2" t="str">
        <f t="shared" si="13"/>
        <v>PARK LANE HOTEL NEW YORK</v>
      </c>
      <c r="M153" s="2">
        <f t="shared" si="14"/>
        <v>0</v>
      </c>
      <c r="Q153" s="3">
        <v>25649</v>
      </c>
      <c r="R153" s="5" t="s">
        <v>187</v>
      </c>
      <c r="V153" s="3">
        <v>33</v>
      </c>
      <c r="W153" s="5" t="s">
        <v>23</v>
      </c>
      <c r="AD153" s="10"/>
      <c r="AE153" s="11"/>
    </row>
    <row r="154" spans="1:31" ht="15.75" customHeight="1">
      <c r="A154" s="3">
        <v>591</v>
      </c>
      <c r="B154" s="3">
        <v>29081</v>
      </c>
      <c r="C154" s="4">
        <v>45845</v>
      </c>
      <c r="D154" s="4">
        <v>45846</v>
      </c>
      <c r="E154" s="5" t="s">
        <v>24</v>
      </c>
      <c r="F154" s="3">
        <v>64.28</v>
      </c>
      <c r="G154" s="6">
        <f t="shared" si="11"/>
        <v>55.280799999999999</v>
      </c>
      <c r="H154" s="7">
        <f t="shared" si="0"/>
        <v>45891</v>
      </c>
      <c r="I154" s="2" t="str">
        <f t="shared" si="1"/>
        <v>agosto</v>
      </c>
      <c r="J154" s="2">
        <f t="shared" si="2"/>
        <v>8</v>
      </c>
      <c r="K154" s="2">
        <f t="shared" si="12"/>
        <v>2025</v>
      </c>
      <c r="L154" s="2" t="str">
        <f t="shared" si="13"/>
        <v>PARK LANE HOTEL NEW YORK</v>
      </c>
      <c r="M154" s="2">
        <f t="shared" si="14"/>
        <v>0</v>
      </c>
      <c r="Q154" s="3">
        <v>25650</v>
      </c>
      <c r="R154" s="5" t="s">
        <v>188</v>
      </c>
      <c r="V154" s="3">
        <v>33</v>
      </c>
      <c r="W154" s="5" t="s">
        <v>158</v>
      </c>
      <c r="AD154" s="10"/>
      <c r="AE154" s="10"/>
    </row>
    <row r="155" spans="1:31" ht="15.75" customHeight="1">
      <c r="A155" s="3">
        <v>592</v>
      </c>
      <c r="B155" s="3">
        <v>30138</v>
      </c>
      <c r="C155" s="4">
        <v>45900</v>
      </c>
      <c r="D155" s="4">
        <v>45903</v>
      </c>
      <c r="E155" s="5" t="s">
        <v>24</v>
      </c>
      <c r="F155" s="3">
        <v>303.44</v>
      </c>
      <c r="G155" s="6">
        <f t="shared" si="11"/>
        <v>260.95839999999998</v>
      </c>
      <c r="H155" s="7">
        <f t="shared" si="0"/>
        <v>45948</v>
      </c>
      <c r="I155" s="2" t="str">
        <f t="shared" si="1"/>
        <v>octubre</v>
      </c>
      <c r="J155" s="2">
        <f t="shared" si="2"/>
        <v>10</v>
      </c>
      <c r="K155" s="2">
        <f t="shared" si="12"/>
        <v>2025</v>
      </c>
      <c r="L155" s="2" t="str">
        <f t="shared" si="13"/>
        <v>THE RITZ CARLTON LAKE TAHOE</v>
      </c>
      <c r="M155" s="2">
        <f t="shared" si="14"/>
        <v>0</v>
      </c>
      <c r="Q155" s="3">
        <v>25651</v>
      </c>
      <c r="R155" s="5" t="s">
        <v>189</v>
      </c>
      <c r="V155" s="3">
        <v>33</v>
      </c>
      <c r="W155" s="5" t="s">
        <v>68</v>
      </c>
      <c r="AD155" s="10"/>
      <c r="AE155" s="10"/>
    </row>
    <row r="156" spans="1:31" ht="15.75" customHeight="1">
      <c r="A156" s="3">
        <v>600</v>
      </c>
      <c r="B156" s="3">
        <v>27195</v>
      </c>
      <c r="C156" s="4">
        <v>45942</v>
      </c>
      <c r="D156" s="4">
        <v>45945</v>
      </c>
      <c r="E156" s="5" t="s">
        <v>24</v>
      </c>
      <c r="F156" s="3">
        <v>156.06</v>
      </c>
      <c r="G156" s="6">
        <f t="shared" si="11"/>
        <v>134.2116</v>
      </c>
      <c r="H156" s="7">
        <f t="shared" si="0"/>
        <v>45990</v>
      </c>
      <c r="I156" s="2" t="str">
        <f t="shared" si="1"/>
        <v>noviembre</v>
      </c>
      <c r="J156" s="2">
        <f t="shared" si="2"/>
        <v>11</v>
      </c>
      <c r="K156" s="2">
        <f t="shared" si="12"/>
        <v>2025</v>
      </c>
      <c r="L156" s="2" t="str">
        <f t="shared" si="13"/>
        <v>CROSSING MANZONI</v>
      </c>
      <c r="M156" s="2">
        <f t="shared" si="14"/>
        <v>0</v>
      </c>
      <c r="Q156" s="3">
        <v>25652</v>
      </c>
      <c r="R156" s="5" t="s">
        <v>190</v>
      </c>
      <c r="V156" s="3">
        <v>34</v>
      </c>
      <c r="W156" s="5" t="s">
        <v>80</v>
      </c>
      <c r="AD156" s="10"/>
      <c r="AE156" s="11"/>
    </row>
    <row r="157" spans="1:31" ht="15.75" customHeight="1">
      <c r="A157" s="3">
        <v>601</v>
      </c>
      <c r="B157" s="3">
        <v>29146</v>
      </c>
      <c r="C157" s="4">
        <v>45900</v>
      </c>
      <c r="D157" s="4">
        <v>45901</v>
      </c>
      <c r="E157" s="5" t="s">
        <v>26</v>
      </c>
      <c r="F157" s="3">
        <v>296.24</v>
      </c>
      <c r="G157" s="6">
        <f t="shared" si="11"/>
        <v>316.97680000000003</v>
      </c>
      <c r="H157" s="7">
        <f t="shared" si="0"/>
        <v>45946</v>
      </c>
      <c r="I157" s="2" t="str">
        <f t="shared" si="1"/>
        <v>octubre</v>
      </c>
      <c r="J157" s="2">
        <f t="shared" si="2"/>
        <v>10</v>
      </c>
      <c r="K157" s="2">
        <f t="shared" si="12"/>
        <v>2025</v>
      </c>
      <c r="L157" s="2" t="str">
        <f t="shared" si="13"/>
        <v>THE WOODWARD AUBERGE COLLECTION</v>
      </c>
      <c r="M157" s="2">
        <f t="shared" si="14"/>
        <v>0</v>
      </c>
      <c r="Q157" s="3">
        <v>25656</v>
      </c>
      <c r="R157" s="5" t="s">
        <v>191</v>
      </c>
      <c r="V157" s="3">
        <v>34</v>
      </c>
      <c r="W157" s="5" t="s">
        <v>68</v>
      </c>
      <c r="AD157" s="10"/>
      <c r="AE157" s="10"/>
    </row>
    <row r="158" spans="1:31" ht="15.75" customHeight="1">
      <c r="A158" s="3">
        <v>604</v>
      </c>
      <c r="B158" s="3">
        <v>30500</v>
      </c>
      <c r="C158" s="4">
        <v>45878</v>
      </c>
      <c r="D158" s="4">
        <v>45880</v>
      </c>
      <c r="E158" s="5" t="s">
        <v>19</v>
      </c>
      <c r="F158" s="3">
        <v>142.5</v>
      </c>
      <c r="G158" s="6">
        <f t="shared" si="11"/>
        <v>142.5</v>
      </c>
      <c r="H158" s="7">
        <f t="shared" si="0"/>
        <v>45925</v>
      </c>
      <c r="I158" s="2" t="str">
        <f t="shared" si="1"/>
        <v>septiembre</v>
      </c>
      <c r="J158" s="2">
        <f t="shared" si="2"/>
        <v>9</v>
      </c>
      <c r="K158" s="2">
        <f t="shared" si="12"/>
        <v>2025</v>
      </c>
      <c r="L158" s="2" t="str">
        <f t="shared" si="13"/>
        <v>MAJESTIC HOTEL AND SPA BARCELONA</v>
      </c>
      <c r="M158" s="2">
        <f t="shared" si="14"/>
        <v>0</v>
      </c>
      <c r="Q158" s="3">
        <v>25672</v>
      </c>
      <c r="R158" s="5" t="s">
        <v>192</v>
      </c>
      <c r="V158" s="3">
        <v>34</v>
      </c>
      <c r="W158" s="5" t="s">
        <v>89</v>
      </c>
      <c r="AD158" s="11"/>
      <c r="AE158" s="11"/>
    </row>
    <row r="159" spans="1:31" ht="15.75" customHeight="1">
      <c r="A159" s="3">
        <v>604</v>
      </c>
      <c r="B159" s="3">
        <v>30500</v>
      </c>
      <c r="C159" s="4">
        <v>45894</v>
      </c>
      <c r="D159" s="4">
        <v>45895</v>
      </c>
      <c r="E159" s="5" t="s">
        <v>19</v>
      </c>
      <c r="F159" s="3">
        <v>52.64</v>
      </c>
      <c r="G159" s="6">
        <f t="shared" si="11"/>
        <v>52.64</v>
      </c>
      <c r="H159" s="7">
        <f t="shared" si="0"/>
        <v>45940</v>
      </c>
      <c r="I159" s="2" t="str">
        <f t="shared" si="1"/>
        <v>octubre</v>
      </c>
      <c r="J159" s="2">
        <f t="shared" si="2"/>
        <v>10</v>
      </c>
      <c r="K159" s="2">
        <f t="shared" si="12"/>
        <v>2025</v>
      </c>
      <c r="L159" s="2" t="str">
        <f t="shared" si="13"/>
        <v>MAJESTIC HOTEL AND SPA BARCELONA</v>
      </c>
      <c r="M159" s="2">
        <f t="shared" si="14"/>
        <v>0</v>
      </c>
      <c r="Q159" s="3">
        <v>25684</v>
      </c>
      <c r="R159" s="5" t="s">
        <v>193</v>
      </c>
      <c r="V159" s="3">
        <v>34</v>
      </c>
      <c r="W159" s="5" t="s">
        <v>23</v>
      </c>
      <c r="AD159" s="10"/>
      <c r="AE159" s="10"/>
    </row>
    <row r="160" spans="1:31" ht="15.75" customHeight="1">
      <c r="A160" s="3">
        <v>608</v>
      </c>
      <c r="B160" s="3">
        <v>27647</v>
      </c>
      <c r="C160" s="4">
        <v>45907</v>
      </c>
      <c r="D160" s="4">
        <v>45910</v>
      </c>
      <c r="E160" s="5" t="s">
        <v>19</v>
      </c>
      <c r="F160" s="3">
        <v>739.5</v>
      </c>
      <c r="G160" s="6">
        <f t="shared" si="11"/>
        <v>739.5</v>
      </c>
      <c r="H160" s="7">
        <f t="shared" si="0"/>
        <v>45955</v>
      </c>
      <c r="I160" s="2" t="str">
        <f t="shared" si="1"/>
        <v>octubre</v>
      </c>
      <c r="J160" s="2">
        <f t="shared" si="2"/>
        <v>10</v>
      </c>
      <c r="K160" s="2">
        <f t="shared" si="12"/>
        <v>2025</v>
      </c>
      <c r="L160" s="2" t="str">
        <f t="shared" si="13"/>
        <v>FOUR SEASONS HOTEL FIRENZE</v>
      </c>
      <c r="M160" s="2">
        <f t="shared" si="14"/>
        <v>0</v>
      </c>
      <c r="Q160" s="3">
        <v>25689</v>
      </c>
      <c r="R160" s="5" t="s">
        <v>194</v>
      </c>
      <c r="V160" s="3">
        <v>35</v>
      </c>
      <c r="W160" s="5" t="s">
        <v>195</v>
      </c>
      <c r="AD160" s="10"/>
      <c r="AE160" s="10"/>
    </row>
    <row r="161" spans="1:31" ht="15.75" customHeight="1">
      <c r="A161" s="3">
        <v>610</v>
      </c>
      <c r="B161" s="3">
        <v>25704</v>
      </c>
      <c r="C161" s="4">
        <v>45928</v>
      </c>
      <c r="D161" s="4">
        <v>45931</v>
      </c>
      <c r="E161" s="5" t="s">
        <v>24</v>
      </c>
      <c r="F161" s="3">
        <v>376.76</v>
      </c>
      <c r="G161" s="6">
        <f t="shared" si="11"/>
        <v>324.0136</v>
      </c>
      <c r="H161" s="7">
        <f t="shared" si="0"/>
        <v>45976</v>
      </c>
      <c r="I161" s="2" t="str">
        <f t="shared" si="1"/>
        <v>noviembre</v>
      </c>
      <c r="J161" s="2">
        <f t="shared" si="2"/>
        <v>11</v>
      </c>
      <c r="K161" s="2">
        <f t="shared" si="12"/>
        <v>2025</v>
      </c>
      <c r="L161" s="2" t="str">
        <f t="shared" si="13"/>
        <v>ROSEWOOD VIENNA</v>
      </c>
      <c r="M161" s="2">
        <f t="shared" si="14"/>
        <v>0</v>
      </c>
      <c r="Q161" s="3">
        <v>25693</v>
      </c>
      <c r="R161" s="5" t="s">
        <v>196</v>
      </c>
      <c r="V161" s="3">
        <v>35</v>
      </c>
      <c r="W161" s="5" t="s">
        <v>94</v>
      </c>
      <c r="AD161" s="10"/>
      <c r="AE161" s="10"/>
    </row>
    <row r="162" spans="1:31" ht="15.75" customHeight="1">
      <c r="A162" s="3">
        <v>613</v>
      </c>
      <c r="B162" s="3">
        <v>28531</v>
      </c>
      <c r="C162" s="4">
        <v>45952</v>
      </c>
      <c r="D162" s="4">
        <v>45963</v>
      </c>
      <c r="E162" s="5" t="s">
        <v>24</v>
      </c>
      <c r="F162" s="3">
        <v>3727.65</v>
      </c>
      <c r="G162" s="6">
        <f t="shared" si="11"/>
        <v>3205.779</v>
      </c>
      <c r="H162" s="7">
        <f t="shared" si="0"/>
        <v>46008</v>
      </c>
      <c r="I162" s="2" t="str">
        <f t="shared" si="1"/>
        <v>diciembre</v>
      </c>
      <c r="J162" s="2">
        <f t="shared" si="2"/>
        <v>12</v>
      </c>
      <c r="K162" s="2">
        <f t="shared" si="12"/>
        <v>2025</v>
      </c>
      <c r="L162" s="2" t="str">
        <f t="shared" si="13"/>
        <v>NAO TRAVEL COLLECTION</v>
      </c>
      <c r="M162" s="2">
        <f t="shared" si="14"/>
        <v>0</v>
      </c>
      <c r="Q162" s="3">
        <v>25694</v>
      </c>
      <c r="R162" s="5" t="s">
        <v>197</v>
      </c>
      <c r="V162" s="3">
        <v>35</v>
      </c>
      <c r="W162" s="5" t="s">
        <v>94</v>
      </c>
      <c r="AD162" s="11"/>
      <c r="AE162" s="11"/>
    </row>
    <row r="163" spans="1:31" ht="15.75" customHeight="1">
      <c r="A163" s="3">
        <v>614</v>
      </c>
      <c r="B163" s="3">
        <v>27931</v>
      </c>
      <c r="C163" s="4">
        <v>45918</v>
      </c>
      <c r="D163" s="4">
        <v>45926</v>
      </c>
      <c r="E163" s="5" t="s">
        <v>24</v>
      </c>
      <c r="F163" s="3">
        <v>1028.29</v>
      </c>
      <c r="G163" s="6">
        <f t="shared" si="11"/>
        <v>884.32939999999996</v>
      </c>
      <c r="H163" s="7">
        <f t="shared" si="0"/>
        <v>45971</v>
      </c>
      <c r="I163" s="2" t="str">
        <f t="shared" si="1"/>
        <v>noviembre</v>
      </c>
      <c r="J163" s="2">
        <f t="shared" si="2"/>
        <v>11</v>
      </c>
      <c r="K163" s="2">
        <f t="shared" si="12"/>
        <v>2025</v>
      </c>
      <c r="L163" s="2" t="str">
        <f t="shared" si="13"/>
        <v>Bedsonline</v>
      </c>
      <c r="M163" s="2">
        <f t="shared" si="14"/>
        <v>0</v>
      </c>
      <c r="Q163" s="3">
        <v>25704</v>
      </c>
      <c r="R163" s="5" t="s">
        <v>198</v>
      </c>
      <c r="V163" s="3">
        <v>35</v>
      </c>
      <c r="W163" s="5" t="s">
        <v>94</v>
      </c>
      <c r="AD163" s="10"/>
      <c r="AE163" s="10"/>
    </row>
    <row r="164" spans="1:31" ht="15.75" customHeight="1">
      <c r="A164" s="3">
        <v>614</v>
      </c>
      <c r="B164" s="3">
        <v>30572</v>
      </c>
      <c r="C164" s="4">
        <v>45918</v>
      </c>
      <c r="D164" s="4">
        <v>45926</v>
      </c>
      <c r="E164" s="5" t="s">
        <v>24</v>
      </c>
      <c r="F164" s="3">
        <v>27.74</v>
      </c>
      <c r="G164" s="6">
        <f t="shared" si="11"/>
        <v>23.856399999999997</v>
      </c>
      <c r="H164" s="7">
        <f t="shared" si="0"/>
        <v>45971</v>
      </c>
      <c r="I164" s="2" t="str">
        <f t="shared" si="1"/>
        <v>noviembre</v>
      </c>
      <c r="J164" s="2">
        <f t="shared" si="2"/>
        <v>11</v>
      </c>
      <c r="K164" s="2">
        <f t="shared" si="12"/>
        <v>2025</v>
      </c>
      <c r="L164" s="2" t="str">
        <f t="shared" si="13"/>
        <v>Rail Europe</v>
      </c>
      <c r="M164" s="2">
        <f t="shared" si="14"/>
        <v>0</v>
      </c>
      <c r="Q164" s="3">
        <v>25706</v>
      </c>
      <c r="R164" s="5" t="s">
        <v>199</v>
      </c>
      <c r="V164" s="3">
        <v>35</v>
      </c>
      <c r="W164" s="5" t="s">
        <v>23</v>
      </c>
      <c r="AD164" s="10"/>
      <c r="AE164" s="10"/>
    </row>
    <row r="165" spans="1:31" ht="15.75" customHeight="1">
      <c r="A165" s="3">
        <v>618</v>
      </c>
      <c r="B165" s="3">
        <v>25247</v>
      </c>
      <c r="C165" s="4">
        <v>45897</v>
      </c>
      <c r="D165" s="4">
        <v>45901</v>
      </c>
      <c r="E165" s="5" t="s">
        <v>19</v>
      </c>
      <c r="F165" s="3">
        <v>192</v>
      </c>
      <c r="G165" s="6">
        <f t="shared" si="11"/>
        <v>192</v>
      </c>
      <c r="H165" s="7">
        <f t="shared" si="0"/>
        <v>45946</v>
      </c>
      <c r="I165" s="2" t="str">
        <f t="shared" si="1"/>
        <v>octubre</v>
      </c>
      <c r="J165" s="2">
        <f t="shared" si="2"/>
        <v>10</v>
      </c>
      <c r="K165" s="2">
        <f t="shared" si="12"/>
        <v>2025</v>
      </c>
      <c r="L165" s="2" t="str">
        <f t="shared" si="13"/>
        <v>HOTEL FOUGERE</v>
      </c>
      <c r="M165" s="2">
        <f t="shared" si="14"/>
        <v>0</v>
      </c>
      <c r="Q165" s="3">
        <v>25721</v>
      </c>
      <c r="R165" s="5" t="s">
        <v>200</v>
      </c>
      <c r="V165" s="3">
        <v>35</v>
      </c>
      <c r="W165" s="5" t="s">
        <v>94</v>
      </c>
      <c r="AD165" s="10"/>
      <c r="AE165" s="11"/>
    </row>
    <row r="166" spans="1:31" ht="15.75" customHeight="1">
      <c r="A166" s="3">
        <v>619</v>
      </c>
      <c r="B166" s="3">
        <v>29006</v>
      </c>
      <c r="C166" s="4">
        <v>45832</v>
      </c>
      <c r="D166" s="4">
        <v>45833</v>
      </c>
      <c r="E166" s="5" t="s">
        <v>30</v>
      </c>
      <c r="F166" s="3">
        <v>107.2</v>
      </c>
      <c r="G166" s="6">
        <f t="shared" si="11"/>
        <v>123.27999999999999</v>
      </c>
      <c r="H166" s="7">
        <f t="shared" si="0"/>
        <v>45878</v>
      </c>
      <c r="I166" s="2" t="str">
        <f t="shared" si="1"/>
        <v>agosto</v>
      </c>
      <c r="J166" s="2">
        <f t="shared" si="2"/>
        <v>8</v>
      </c>
      <c r="K166" s="2">
        <f t="shared" si="12"/>
        <v>2025</v>
      </c>
      <c r="L166" s="2" t="str">
        <f t="shared" si="13"/>
        <v>ROSEWOOD LONDON</v>
      </c>
      <c r="M166" s="2">
        <f t="shared" si="14"/>
        <v>0</v>
      </c>
      <c r="Q166" s="3">
        <v>25726</v>
      </c>
      <c r="R166" s="5" t="s">
        <v>201</v>
      </c>
      <c r="V166" s="3">
        <v>35</v>
      </c>
      <c r="W166" s="5" t="s">
        <v>23</v>
      </c>
      <c r="AD166" s="10"/>
      <c r="AE166" s="10"/>
    </row>
    <row r="167" spans="1:31" ht="15.75" customHeight="1">
      <c r="A167" s="3">
        <v>623</v>
      </c>
      <c r="B167" s="3">
        <v>30500</v>
      </c>
      <c r="C167" s="4">
        <v>45894</v>
      </c>
      <c r="D167" s="4">
        <v>45895</v>
      </c>
      <c r="E167" s="5" t="s">
        <v>19</v>
      </c>
      <c r="F167" s="3">
        <v>59.55</v>
      </c>
      <c r="G167" s="6">
        <f t="shared" si="11"/>
        <v>59.55</v>
      </c>
      <c r="H167" s="7">
        <f t="shared" si="0"/>
        <v>45940</v>
      </c>
      <c r="I167" s="2" t="str">
        <f t="shared" si="1"/>
        <v>octubre</v>
      </c>
      <c r="J167" s="2">
        <f t="shared" si="2"/>
        <v>10</v>
      </c>
      <c r="K167" s="2">
        <f t="shared" si="12"/>
        <v>2025</v>
      </c>
      <c r="L167" s="2" t="str">
        <f t="shared" si="13"/>
        <v>MAJESTIC HOTEL AND SPA BARCELONA</v>
      </c>
      <c r="M167" s="2">
        <f t="shared" si="14"/>
        <v>0</v>
      </c>
      <c r="Q167" s="3">
        <v>25760</v>
      </c>
      <c r="R167" s="5" t="s">
        <v>202</v>
      </c>
      <c r="V167" s="3">
        <v>35</v>
      </c>
      <c r="W167" s="5" t="s">
        <v>23</v>
      </c>
      <c r="AD167" s="10"/>
      <c r="AE167" s="10"/>
    </row>
    <row r="168" spans="1:31" ht="15.75" customHeight="1">
      <c r="A168" s="3">
        <v>625</v>
      </c>
      <c r="B168" s="3">
        <v>28350</v>
      </c>
      <c r="C168" s="4">
        <v>45960</v>
      </c>
      <c r="D168" s="4">
        <v>45964</v>
      </c>
      <c r="E168" s="5" t="s">
        <v>32</v>
      </c>
      <c r="F168" s="3">
        <v>37973.5</v>
      </c>
      <c r="G168" s="6">
        <f t="shared" si="11"/>
        <v>208.85424999999998</v>
      </c>
      <c r="H168" s="7">
        <f t="shared" si="0"/>
        <v>46009</v>
      </c>
      <c r="I168" s="2" t="str">
        <f t="shared" si="1"/>
        <v>diciembre</v>
      </c>
      <c r="J168" s="2">
        <f t="shared" si="2"/>
        <v>12</v>
      </c>
      <c r="K168" s="2">
        <f t="shared" si="12"/>
        <v>2025</v>
      </c>
      <c r="L168" s="2" t="str">
        <f t="shared" si="13"/>
        <v>FOUR SEASONS HOTEL OSAKA</v>
      </c>
      <c r="M168" s="2">
        <f t="shared" si="14"/>
        <v>0</v>
      </c>
      <c r="Q168" s="3">
        <v>25762</v>
      </c>
      <c r="R168" s="5" t="s">
        <v>203</v>
      </c>
      <c r="V168" s="3">
        <v>36</v>
      </c>
      <c r="W168" s="5" t="s">
        <v>204</v>
      </c>
      <c r="AD168" s="11"/>
      <c r="AE168" s="11"/>
    </row>
    <row r="169" spans="1:31" ht="15.75" customHeight="1">
      <c r="A169" s="3">
        <v>627</v>
      </c>
      <c r="B169" s="3">
        <v>30623</v>
      </c>
      <c r="C169" s="4">
        <v>45928</v>
      </c>
      <c r="D169" s="4">
        <v>45931</v>
      </c>
      <c r="E169" s="5" t="s">
        <v>30</v>
      </c>
      <c r="F169" s="3">
        <v>123.03</v>
      </c>
      <c r="G169" s="6">
        <f t="shared" si="11"/>
        <v>141.4845</v>
      </c>
      <c r="H169" s="7">
        <f t="shared" si="0"/>
        <v>45976</v>
      </c>
      <c r="I169" s="2" t="str">
        <f t="shared" si="1"/>
        <v>noviembre</v>
      </c>
      <c r="J169" s="2">
        <f t="shared" si="2"/>
        <v>11</v>
      </c>
      <c r="K169" s="2">
        <f t="shared" si="12"/>
        <v>2025</v>
      </c>
      <c r="L169" s="2" t="str">
        <f t="shared" si="13"/>
        <v>THE MAYFAIR TOWNHOUSE</v>
      </c>
      <c r="M169" s="2">
        <f t="shared" si="14"/>
        <v>0</v>
      </c>
      <c r="Q169" s="3">
        <v>25763</v>
      </c>
      <c r="R169" s="5" t="s">
        <v>205</v>
      </c>
      <c r="V169" s="3">
        <v>36</v>
      </c>
      <c r="W169" s="5" t="s">
        <v>23</v>
      </c>
      <c r="AD169" s="10"/>
      <c r="AE169" s="10"/>
    </row>
    <row r="170" spans="1:31" ht="15.75" customHeight="1">
      <c r="A170" s="3">
        <v>628</v>
      </c>
      <c r="B170" s="3">
        <v>30327</v>
      </c>
      <c r="C170" s="4">
        <v>45913</v>
      </c>
      <c r="D170" s="4">
        <v>45915</v>
      </c>
      <c r="E170" s="5" t="s">
        <v>24</v>
      </c>
      <c r="F170" s="3">
        <v>25.03</v>
      </c>
      <c r="G170" s="6">
        <f t="shared" si="11"/>
        <v>21.5258</v>
      </c>
      <c r="H170" s="7">
        <f t="shared" si="0"/>
        <v>45960</v>
      </c>
      <c r="I170" s="2" t="str">
        <f t="shared" si="1"/>
        <v>octubre</v>
      </c>
      <c r="J170" s="2">
        <f t="shared" si="2"/>
        <v>10</v>
      </c>
      <c r="K170" s="2">
        <f t="shared" si="12"/>
        <v>2025</v>
      </c>
      <c r="L170" s="2" t="str">
        <f t="shared" si="13"/>
        <v>HOTEL DE LA CITÉ ROYALE RESTAURANT AND SPA</v>
      </c>
      <c r="M170" s="2">
        <f t="shared" si="14"/>
        <v>0</v>
      </c>
      <c r="Q170" s="3">
        <v>25770</v>
      </c>
      <c r="R170" s="5" t="s">
        <v>206</v>
      </c>
      <c r="V170" s="3">
        <v>36</v>
      </c>
      <c r="W170" s="5" t="s">
        <v>80</v>
      </c>
      <c r="AD170" s="10"/>
      <c r="AE170" s="10"/>
    </row>
    <row r="171" spans="1:31" ht="15.75" customHeight="1">
      <c r="A171" s="3">
        <v>628</v>
      </c>
      <c r="B171" s="3">
        <v>30327</v>
      </c>
      <c r="C171" s="4">
        <v>45912</v>
      </c>
      <c r="D171" s="4">
        <v>45913</v>
      </c>
      <c r="E171" s="5" t="s">
        <v>24</v>
      </c>
      <c r="F171" s="3">
        <v>12.88</v>
      </c>
      <c r="G171" s="6">
        <f t="shared" si="11"/>
        <v>11.0768</v>
      </c>
      <c r="H171" s="7">
        <f t="shared" si="0"/>
        <v>45958</v>
      </c>
      <c r="I171" s="2" t="str">
        <f t="shared" si="1"/>
        <v>octubre</v>
      </c>
      <c r="J171" s="2">
        <f t="shared" si="2"/>
        <v>10</v>
      </c>
      <c r="K171" s="2">
        <f t="shared" si="12"/>
        <v>2025</v>
      </c>
      <c r="L171" s="2" t="str">
        <f t="shared" si="13"/>
        <v>HOTEL DE LA CITÉ ROYALE RESTAURANT AND SPA</v>
      </c>
      <c r="M171" s="2">
        <f t="shared" si="14"/>
        <v>0</v>
      </c>
      <c r="Q171" s="3">
        <v>25771</v>
      </c>
      <c r="R171" s="5" t="s">
        <v>207</v>
      </c>
      <c r="V171" s="3">
        <v>36</v>
      </c>
      <c r="W171" s="5" t="s">
        <v>204</v>
      </c>
      <c r="AD171" s="10"/>
      <c r="AE171" s="10"/>
    </row>
    <row r="172" spans="1:31" ht="15.75" customHeight="1">
      <c r="A172" s="3">
        <v>632</v>
      </c>
      <c r="B172" s="3">
        <v>27261</v>
      </c>
      <c r="C172" s="4">
        <v>45859</v>
      </c>
      <c r="D172" s="4">
        <v>45868</v>
      </c>
      <c r="E172" s="5" t="s">
        <v>19</v>
      </c>
      <c r="F172" s="3">
        <v>1500</v>
      </c>
      <c r="G172" s="6">
        <f t="shared" si="11"/>
        <v>1500</v>
      </c>
      <c r="H172" s="7">
        <f t="shared" si="0"/>
        <v>45913</v>
      </c>
      <c r="I172" s="2" t="str">
        <f t="shared" si="1"/>
        <v>septiembre</v>
      </c>
      <c r="J172" s="2">
        <f t="shared" si="2"/>
        <v>9</v>
      </c>
      <c r="K172" s="2">
        <f t="shared" si="12"/>
        <v>2025</v>
      </c>
      <c r="L172" s="2" t="str">
        <f t="shared" si="13"/>
        <v>Ace Hotel Kyoto</v>
      </c>
      <c r="M172" s="2">
        <f t="shared" si="14"/>
        <v>0</v>
      </c>
      <c r="Q172" s="3">
        <v>25772</v>
      </c>
      <c r="R172" s="5" t="s">
        <v>208</v>
      </c>
      <c r="V172" s="3">
        <v>36</v>
      </c>
      <c r="W172" s="5" t="s">
        <v>94</v>
      </c>
      <c r="AD172" s="10"/>
      <c r="AE172" s="10"/>
    </row>
    <row r="173" spans="1:31" ht="15.75" customHeight="1">
      <c r="A173" s="3">
        <v>637</v>
      </c>
      <c r="B173" s="3">
        <v>28300</v>
      </c>
      <c r="C173" s="4">
        <v>45914</v>
      </c>
      <c r="D173" s="4">
        <v>45915</v>
      </c>
      <c r="E173" s="5" t="s">
        <v>19</v>
      </c>
      <c r="F173" s="3">
        <v>105.35</v>
      </c>
      <c r="G173" s="6">
        <f t="shared" si="11"/>
        <v>105.35</v>
      </c>
      <c r="H173" s="7">
        <f t="shared" si="0"/>
        <v>45960</v>
      </c>
      <c r="I173" s="2" t="str">
        <f t="shared" si="1"/>
        <v>octubre</v>
      </c>
      <c r="J173" s="2">
        <f t="shared" si="2"/>
        <v>10</v>
      </c>
      <c r="K173" s="2">
        <f t="shared" si="12"/>
        <v>2025</v>
      </c>
      <c r="L173" s="2" t="str">
        <f t="shared" si="13"/>
        <v>CARLTON CANNES, A REGENT HOTEL</v>
      </c>
      <c r="M173" s="2">
        <f t="shared" si="14"/>
        <v>0</v>
      </c>
      <c r="Q173" s="3">
        <v>25773</v>
      </c>
      <c r="R173" s="5" t="s">
        <v>209</v>
      </c>
      <c r="V173" s="3">
        <v>36</v>
      </c>
      <c r="W173" s="5" t="s">
        <v>94</v>
      </c>
      <c r="AD173" s="10"/>
      <c r="AE173" s="10"/>
    </row>
    <row r="174" spans="1:31" ht="15.75" customHeight="1">
      <c r="A174" s="3">
        <v>638</v>
      </c>
      <c r="B174" s="3">
        <v>28512</v>
      </c>
      <c r="C174" s="4">
        <v>45869</v>
      </c>
      <c r="D174" s="4">
        <v>45872</v>
      </c>
      <c r="E174" s="5" t="s">
        <v>19</v>
      </c>
      <c r="F174" s="3">
        <v>375</v>
      </c>
      <c r="G174" s="6">
        <f t="shared" si="11"/>
        <v>375</v>
      </c>
      <c r="H174" s="7">
        <f t="shared" si="0"/>
        <v>45917</v>
      </c>
      <c r="I174" s="2" t="str">
        <f t="shared" si="1"/>
        <v>septiembre</v>
      </c>
      <c r="J174" s="2">
        <f t="shared" si="2"/>
        <v>9</v>
      </c>
      <c r="K174" s="2">
        <f t="shared" si="12"/>
        <v>2025</v>
      </c>
      <c r="L174" s="2" t="str">
        <f t="shared" si="13"/>
        <v>MANDARIN ORIENTAL RITZ MADRID</v>
      </c>
      <c r="M174" s="2">
        <f t="shared" si="14"/>
        <v>0</v>
      </c>
      <c r="Q174" s="3">
        <v>25774</v>
      </c>
      <c r="R174" s="5" t="s">
        <v>210</v>
      </c>
      <c r="V174" s="3">
        <v>36</v>
      </c>
      <c r="W174" s="5" t="s">
        <v>94</v>
      </c>
      <c r="AD174" s="11"/>
      <c r="AE174" s="11"/>
    </row>
    <row r="175" spans="1:31" ht="15.75" customHeight="1">
      <c r="A175" s="3">
        <v>638</v>
      </c>
      <c r="B175" s="3">
        <v>28512</v>
      </c>
      <c r="C175" s="4">
        <v>45869</v>
      </c>
      <c r="D175" s="4">
        <v>45872</v>
      </c>
      <c r="E175" s="5" t="s">
        <v>19</v>
      </c>
      <c r="F175" s="3">
        <v>515.35</v>
      </c>
      <c r="G175" s="6">
        <f t="shared" si="11"/>
        <v>515.35</v>
      </c>
      <c r="H175" s="7">
        <f t="shared" si="0"/>
        <v>45917</v>
      </c>
      <c r="I175" s="2" t="str">
        <f t="shared" si="1"/>
        <v>septiembre</v>
      </c>
      <c r="J175" s="2">
        <f t="shared" si="2"/>
        <v>9</v>
      </c>
      <c r="K175" s="2">
        <f t="shared" si="12"/>
        <v>2025</v>
      </c>
      <c r="L175" s="2" t="str">
        <f t="shared" si="13"/>
        <v>MANDARIN ORIENTAL RITZ MADRID</v>
      </c>
      <c r="M175" s="2">
        <f t="shared" ref="M175:M194" si="15">_xlfn.XLOOKUP(A175,V:V,W:W)</f>
        <v>0</v>
      </c>
      <c r="Q175" s="3">
        <v>25775</v>
      </c>
      <c r="R175" s="5" t="s">
        <v>211</v>
      </c>
      <c r="V175" s="3">
        <v>36</v>
      </c>
      <c r="W175" s="5" t="s">
        <v>23</v>
      </c>
      <c r="AD175" s="11"/>
      <c r="AE175" s="11"/>
    </row>
    <row r="176" spans="1:31" ht="15.75" customHeight="1">
      <c r="A176" s="3">
        <v>640</v>
      </c>
      <c r="B176" s="3">
        <v>25780</v>
      </c>
      <c r="C176" s="4">
        <v>45901</v>
      </c>
      <c r="D176" s="4">
        <v>45901</v>
      </c>
      <c r="E176" s="5" t="s">
        <v>19</v>
      </c>
      <c r="F176" s="3">
        <v>69.400000000000006</v>
      </c>
      <c r="G176" s="6">
        <f t="shared" si="11"/>
        <v>69.400000000000006</v>
      </c>
      <c r="H176" s="7">
        <f t="shared" si="0"/>
        <v>45946</v>
      </c>
      <c r="I176" s="2" t="str">
        <f t="shared" si="1"/>
        <v>octubre</v>
      </c>
      <c r="J176" s="2">
        <f t="shared" si="2"/>
        <v>10</v>
      </c>
      <c r="K176" s="2">
        <f t="shared" si="12"/>
        <v>2025</v>
      </c>
      <c r="L176" s="2" t="str">
        <f t="shared" si="13"/>
        <v>ROLZO</v>
      </c>
      <c r="M176" s="2">
        <f t="shared" si="15"/>
        <v>0</v>
      </c>
      <c r="Q176" s="3">
        <v>25780</v>
      </c>
      <c r="R176" s="5" t="s">
        <v>212</v>
      </c>
      <c r="V176" s="3">
        <v>36</v>
      </c>
      <c r="W176" s="5" t="s">
        <v>80</v>
      </c>
      <c r="AD176" s="11"/>
      <c r="AE176" s="11"/>
    </row>
    <row r="177" spans="1:31" ht="15.75" customHeight="1">
      <c r="A177" s="3">
        <v>643</v>
      </c>
      <c r="B177" s="3">
        <v>30703</v>
      </c>
      <c r="C177" s="4">
        <v>45964</v>
      </c>
      <c r="D177" s="4">
        <v>45969</v>
      </c>
      <c r="E177" s="5" t="s">
        <v>32</v>
      </c>
      <c r="F177" s="3">
        <v>120000</v>
      </c>
      <c r="G177" s="6">
        <f t="shared" si="11"/>
        <v>660</v>
      </c>
      <c r="H177" s="7">
        <f t="shared" si="0"/>
        <v>46014</v>
      </c>
      <c r="I177" s="2" t="str">
        <f t="shared" si="1"/>
        <v>diciembre</v>
      </c>
      <c r="J177" s="2">
        <f t="shared" si="2"/>
        <v>12</v>
      </c>
      <c r="K177" s="2">
        <f t="shared" si="12"/>
        <v>2025</v>
      </c>
      <c r="L177" s="2" t="str">
        <f t="shared" si="13"/>
        <v>SOWAKA KYOTO</v>
      </c>
      <c r="M177" s="2">
        <f t="shared" si="15"/>
        <v>0</v>
      </c>
      <c r="Q177" s="3">
        <v>25799</v>
      </c>
      <c r="R177" s="5" t="s">
        <v>213</v>
      </c>
      <c r="V177" s="3">
        <v>37</v>
      </c>
      <c r="W177" s="5" t="s">
        <v>94</v>
      </c>
      <c r="AD177" s="11"/>
      <c r="AE177" s="11"/>
    </row>
    <row r="178" spans="1:31" ht="15.75" customHeight="1">
      <c r="A178" s="3">
        <v>644</v>
      </c>
      <c r="B178" s="3">
        <v>30697</v>
      </c>
      <c r="C178" s="4">
        <v>45802</v>
      </c>
      <c r="D178" s="4">
        <v>45898</v>
      </c>
      <c r="E178" s="5" t="s">
        <v>24</v>
      </c>
      <c r="F178" s="3">
        <v>286.61</v>
      </c>
      <c r="G178" s="6">
        <f t="shared" si="11"/>
        <v>246.4846</v>
      </c>
      <c r="H178" s="7">
        <f t="shared" si="0"/>
        <v>45943</v>
      </c>
      <c r="I178" s="2" t="str">
        <f t="shared" si="1"/>
        <v>octubre</v>
      </c>
      <c r="J178" s="2">
        <f t="shared" si="2"/>
        <v>10</v>
      </c>
      <c r="K178" s="2">
        <f t="shared" si="12"/>
        <v>2025</v>
      </c>
      <c r="L178" s="2" t="str">
        <f t="shared" si="13"/>
        <v>PALACIO COPACABANA</v>
      </c>
      <c r="M178" s="2">
        <f t="shared" si="15"/>
        <v>0</v>
      </c>
      <c r="Q178" s="3">
        <v>25802</v>
      </c>
      <c r="R178" s="5" t="s">
        <v>214</v>
      </c>
      <c r="V178" s="3">
        <v>37</v>
      </c>
      <c r="W178" s="5" t="s">
        <v>23</v>
      </c>
      <c r="AD178" s="11"/>
      <c r="AE178" s="11"/>
    </row>
    <row r="179" spans="1:31" ht="15.75" customHeight="1">
      <c r="A179" s="3">
        <v>645</v>
      </c>
      <c r="B179" s="3">
        <v>30702</v>
      </c>
      <c r="C179" s="4">
        <v>45789</v>
      </c>
      <c r="D179" s="4">
        <v>45793</v>
      </c>
      <c r="E179" s="5" t="s">
        <v>24</v>
      </c>
      <c r="F179" s="3">
        <v>256.64</v>
      </c>
      <c r="G179" s="6">
        <f t="shared" si="11"/>
        <v>220.71039999999999</v>
      </c>
      <c r="H179" s="7">
        <f t="shared" si="0"/>
        <v>45838</v>
      </c>
      <c r="I179" s="2" t="str">
        <f t="shared" si="1"/>
        <v>junio</v>
      </c>
      <c r="J179" s="2">
        <f t="shared" si="2"/>
        <v>6</v>
      </c>
      <c r="K179" s="2">
        <f t="shared" si="12"/>
        <v>2025</v>
      </c>
      <c r="L179" s="2" t="str">
        <f t="shared" si="13"/>
        <v>NAYARA ALTO ATACAMA DESERT</v>
      </c>
      <c r="M179" s="2">
        <f t="shared" si="15"/>
        <v>0</v>
      </c>
      <c r="Q179" s="3">
        <v>25812</v>
      </c>
      <c r="R179" s="5" t="s">
        <v>215</v>
      </c>
      <c r="V179" s="3">
        <v>37</v>
      </c>
      <c r="W179" s="5" t="s">
        <v>23</v>
      </c>
      <c r="AD179" s="10"/>
      <c r="AE179" s="10"/>
    </row>
    <row r="180" spans="1:31" ht="15.75" customHeight="1">
      <c r="A180" s="3">
        <v>646</v>
      </c>
      <c r="B180" s="3">
        <v>30691</v>
      </c>
      <c r="C180" s="4">
        <v>45800</v>
      </c>
      <c r="D180" s="4">
        <v>45894</v>
      </c>
      <c r="E180" s="5" t="s">
        <v>24</v>
      </c>
      <c r="F180" s="3">
        <v>201.72</v>
      </c>
      <c r="G180" s="6">
        <f t="shared" si="11"/>
        <v>173.47919999999999</v>
      </c>
      <c r="H180" s="7">
        <f t="shared" si="0"/>
        <v>45939</v>
      </c>
      <c r="I180" s="2" t="str">
        <f t="shared" si="1"/>
        <v>octubre</v>
      </c>
      <c r="J180" s="2">
        <f t="shared" si="2"/>
        <v>10</v>
      </c>
      <c r="K180" s="2">
        <f t="shared" si="12"/>
        <v>2025</v>
      </c>
      <c r="L180" s="2" t="str">
        <f t="shared" si="13"/>
        <v>HOTEL DAS CATARATAS, A BELMOND HOTEL, IGUASSU FALLS</v>
      </c>
      <c r="M180" s="2">
        <f t="shared" si="15"/>
        <v>0</v>
      </c>
      <c r="Q180" s="3">
        <v>25814</v>
      </c>
      <c r="R180" s="5" t="s">
        <v>216</v>
      </c>
      <c r="V180" s="3">
        <v>37</v>
      </c>
      <c r="W180" s="5" t="s">
        <v>217</v>
      </c>
      <c r="AD180" s="11"/>
      <c r="AE180" s="11"/>
    </row>
    <row r="181" spans="1:31" ht="15.75" customHeight="1">
      <c r="A181" s="3">
        <v>647</v>
      </c>
      <c r="B181" s="3">
        <v>28913</v>
      </c>
      <c r="C181" s="4">
        <v>45796</v>
      </c>
      <c r="D181" s="4">
        <v>45800</v>
      </c>
      <c r="E181" s="5" t="s">
        <v>24</v>
      </c>
      <c r="F181" s="3">
        <v>120</v>
      </c>
      <c r="G181" s="6">
        <f t="shared" si="11"/>
        <v>103.2</v>
      </c>
      <c r="H181" s="7">
        <f t="shared" si="0"/>
        <v>45845</v>
      </c>
      <c r="I181" s="2" t="str">
        <f t="shared" si="1"/>
        <v>julio</v>
      </c>
      <c r="J181" s="2">
        <f t="shared" si="2"/>
        <v>7</v>
      </c>
      <c r="K181" s="2">
        <f t="shared" si="12"/>
        <v>2025</v>
      </c>
      <c r="L181" s="2" t="str">
        <f t="shared" si="13"/>
        <v>CASA LUCIA MEMBER OF MELIA COLLECTION</v>
      </c>
      <c r="M181" s="2">
        <f t="shared" si="15"/>
        <v>0</v>
      </c>
      <c r="Q181" s="3">
        <v>25816</v>
      </c>
      <c r="R181" s="5" t="s">
        <v>218</v>
      </c>
      <c r="V181" s="3">
        <v>37</v>
      </c>
      <c r="W181" s="5" t="s">
        <v>217</v>
      </c>
      <c r="AD181" s="10"/>
      <c r="AE181" s="10"/>
    </row>
    <row r="182" spans="1:31" ht="15.75" customHeight="1">
      <c r="A182" s="3">
        <v>648</v>
      </c>
      <c r="B182" s="3">
        <v>25364</v>
      </c>
      <c r="C182" s="4">
        <v>46094</v>
      </c>
      <c r="D182" s="4">
        <v>46097</v>
      </c>
      <c r="E182" s="5" t="s">
        <v>32</v>
      </c>
      <c r="F182" s="3">
        <v>41000</v>
      </c>
      <c r="G182" s="6">
        <f t="shared" si="11"/>
        <v>225.5</v>
      </c>
      <c r="H182" s="7">
        <f t="shared" si="0"/>
        <v>46142</v>
      </c>
      <c r="I182" s="2" t="str">
        <f t="shared" si="1"/>
        <v>abril</v>
      </c>
      <c r="J182" s="2">
        <f t="shared" si="2"/>
        <v>4</v>
      </c>
      <c r="K182" s="2">
        <f t="shared" si="12"/>
        <v>2026</v>
      </c>
      <c r="L182" s="2" t="str">
        <f t="shared" si="13"/>
        <v>Ritz nikko</v>
      </c>
      <c r="M182" s="2">
        <f t="shared" si="15"/>
        <v>0</v>
      </c>
      <c r="Q182" s="3">
        <v>25820</v>
      </c>
      <c r="R182" s="5" t="s">
        <v>219</v>
      </c>
      <c r="V182" s="3">
        <v>38</v>
      </c>
      <c r="W182" s="5" t="s">
        <v>220</v>
      </c>
      <c r="AD182" s="10"/>
      <c r="AE182" s="10"/>
    </row>
    <row r="183" spans="1:31" ht="15.75" customHeight="1">
      <c r="A183" s="3">
        <v>648</v>
      </c>
      <c r="B183" s="3">
        <v>25014</v>
      </c>
      <c r="C183" s="4">
        <v>46097</v>
      </c>
      <c r="D183" s="4">
        <v>46100</v>
      </c>
      <c r="E183" s="5" t="s">
        <v>32</v>
      </c>
      <c r="F183" s="3">
        <v>75000</v>
      </c>
      <c r="G183" s="6">
        <f t="shared" si="11"/>
        <v>412.5</v>
      </c>
      <c r="H183" s="7">
        <f t="shared" si="0"/>
        <v>46145</v>
      </c>
      <c r="I183" s="2" t="str">
        <f t="shared" si="1"/>
        <v>mayo</v>
      </c>
      <c r="J183" s="2">
        <f t="shared" si="2"/>
        <v>5</v>
      </c>
      <c r="K183" s="2">
        <f t="shared" si="12"/>
        <v>2026</v>
      </c>
      <c r="L183" s="2" t="str">
        <f t="shared" si="13"/>
        <v>JANU TOKYO</v>
      </c>
      <c r="M183" s="2">
        <f t="shared" si="15"/>
        <v>0</v>
      </c>
      <c r="Q183" s="3">
        <v>25822</v>
      </c>
      <c r="R183" s="5" t="s">
        <v>221</v>
      </c>
      <c r="V183" s="3">
        <v>39</v>
      </c>
      <c r="W183" s="5" t="s">
        <v>89</v>
      </c>
      <c r="AD183" s="10"/>
      <c r="AE183" s="10"/>
    </row>
    <row r="184" spans="1:31" ht="15.75" customHeight="1">
      <c r="A184" s="3">
        <v>648</v>
      </c>
      <c r="B184" s="3">
        <v>30690</v>
      </c>
      <c r="C184" s="4">
        <v>46100</v>
      </c>
      <c r="D184" s="4">
        <v>46103</v>
      </c>
      <c r="E184" s="5" t="s">
        <v>32</v>
      </c>
      <c r="F184" s="3">
        <v>68655</v>
      </c>
      <c r="G184" s="6">
        <f t="shared" si="11"/>
        <v>377.60249999999996</v>
      </c>
      <c r="H184" s="7">
        <f t="shared" si="0"/>
        <v>46148</v>
      </c>
      <c r="I184" s="2" t="str">
        <f t="shared" si="1"/>
        <v>mayo</v>
      </c>
      <c r="J184" s="2">
        <f t="shared" si="2"/>
        <v>5</v>
      </c>
      <c r="K184" s="2">
        <f t="shared" si="12"/>
        <v>2026</v>
      </c>
      <c r="L184" s="2" t="str">
        <f t="shared" si="13"/>
        <v>FOUR SEASONS HOTEL KYOTO</v>
      </c>
      <c r="M184" s="2">
        <f t="shared" si="15"/>
        <v>0</v>
      </c>
      <c r="Q184" s="3">
        <v>25823</v>
      </c>
      <c r="R184" s="5" t="s">
        <v>222</v>
      </c>
      <c r="V184" s="3">
        <v>40</v>
      </c>
      <c r="W184" s="5" t="s">
        <v>89</v>
      </c>
      <c r="AD184" s="10"/>
      <c r="AE184" s="10"/>
    </row>
    <row r="185" spans="1:31" ht="15.75" customHeight="1">
      <c r="A185" s="3">
        <v>648</v>
      </c>
      <c r="B185" s="3">
        <v>28350</v>
      </c>
      <c r="C185" s="4">
        <v>46103</v>
      </c>
      <c r="D185" s="4">
        <v>46105</v>
      </c>
      <c r="E185" s="5" t="s">
        <v>32</v>
      </c>
      <c r="F185" s="3">
        <v>25024</v>
      </c>
      <c r="G185" s="6">
        <f t="shared" si="11"/>
        <v>137.63200000000001</v>
      </c>
      <c r="H185" s="7">
        <f t="shared" si="0"/>
        <v>46150</v>
      </c>
      <c r="I185" s="2" t="str">
        <f t="shared" si="1"/>
        <v>mayo</v>
      </c>
      <c r="J185" s="2">
        <f t="shared" si="2"/>
        <v>5</v>
      </c>
      <c r="K185" s="2">
        <f t="shared" si="12"/>
        <v>2026</v>
      </c>
      <c r="L185" s="2" t="str">
        <f t="shared" si="13"/>
        <v>FOUR SEASONS HOTEL OSAKA</v>
      </c>
      <c r="M185" s="2">
        <f t="shared" si="15"/>
        <v>0</v>
      </c>
      <c r="Q185" s="3">
        <v>25824</v>
      </c>
      <c r="R185" s="5" t="s">
        <v>223</v>
      </c>
      <c r="V185" s="3">
        <v>41</v>
      </c>
      <c r="W185" s="5" t="s">
        <v>23</v>
      </c>
      <c r="AD185" s="10"/>
      <c r="AE185" s="10"/>
    </row>
    <row r="186" spans="1:31" ht="15.75" customHeight="1">
      <c r="A186" s="3">
        <v>648</v>
      </c>
      <c r="B186" s="3">
        <v>25904</v>
      </c>
      <c r="C186" s="4">
        <v>46105</v>
      </c>
      <c r="D186" s="4">
        <v>46107</v>
      </c>
      <c r="E186" s="5" t="s">
        <v>32</v>
      </c>
      <c r="F186" s="3">
        <v>55579.4</v>
      </c>
      <c r="G186" s="6">
        <f t="shared" si="11"/>
        <v>305.68669999999997</v>
      </c>
      <c r="H186" s="7">
        <f t="shared" si="0"/>
        <v>46152</v>
      </c>
      <c r="I186" s="2" t="str">
        <f t="shared" si="1"/>
        <v>mayo</v>
      </c>
      <c r="J186" s="2">
        <f t="shared" si="2"/>
        <v>5</v>
      </c>
      <c r="K186" s="2">
        <f t="shared" si="12"/>
        <v>2026</v>
      </c>
      <c r="L186" s="2" t="str">
        <f t="shared" si="13"/>
        <v>FOUR SEASONS HOTEL TOKYO AT OTEMACHI</v>
      </c>
      <c r="M186" s="2">
        <f t="shared" si="15"/>
        <v>0</v>
      </c>
      <c r="Q186" s="3">
        <v>25857</v>
      </c>
      <c r="R186" s="5" t="s">
        <v>224</v>
      </c>
      <c r="V186" s="3">
        <v>41</v>
      </c>
      <c r="W186" s="5" t="s">
        <v>68</v>
      </c>
      <c r="AD186" s="10"/>
      <c r="AE186" s="10"/>
    </row>
    <row r="187" spans="1:31" ht="15.75" customHeight="1">
      <c r="A187" s="3">
        <v>649</v>
      </c>
      <c r="B187" s="3">
        <v>30619</v>
      </c>
      <c r="C187" s="4">
        <v>46027</v>
      </c>
      <c r="D187" s="4">
        <v>46029</v>
      </c>
      <c r="E187" s="5" t="s">
        <v>24</v>
      </c>
      <c r="F187" s="3">
        <v>264</v>
      </c>
      <c r="G187" s="6">
        <f t="shared" si="11"/>
        <v>227.04</v>
      </c>
      <c r="H187" s="7">
        <f t="shared" si="0"/>
        <v>46074</v>
      </c>
      <c r="I187" s="2" t="str">
        <f t="shared" si="1"/>
        <v>febrero</v>
      </c>
      <c r="J187" s="2">
        <f t="shared" si="2"/>
        <v>2</v>
      </c>
      <c r="K187" s="2">
        <f t="shared" si="12"/>
        <v>2026</v>
      </c>
      <c r="L187" s="2" t="str">
        <f t="shared" si="13"/>
        <v>ROSEWOOD LUANG PRABANG</v>
      </c>
      <c r="M187" s="2">
        <f t="shared" si="15"/>
        <v>0</v>
      </c>
      <c r="Q187" s="3">
        <v>25888</v>
      </c>
      <c r="R187" s="5" t="s">
        <v>225</v>
      </c>
      <c r="V187" s="3">
        <v>41</v>
      </c>
      <c r="W187" s="5" t="s">
        <v>89</v>
      </c>
      <c r="AD187" s="10"/>
      <c r="AE187" s="11"/>
    </row>
    <row r="188" spans="1:31" ht="15.75" customHeight="1">
      <c r="A188" s="3">
        <v>649</v>
      </c>
      <c r="B188" s="3">
        <v>30698</v>
      </c>
      <c r="C188" s="4">
        <v>46040</v>
      </c>
      <c r="D188" s="4">
        <v>46044</v>
      </c>
      <c r="E188" s="5" t="s">
        <v>24</v>
      </c>
      <c r="F188" s="3">
        <v>193.73</v>
      </c>
      <c r="G188" s="6">
        <f t="shared" si="11"/>
        <v>166.6078</v>
      </c>
      <c r="H188" s="7">
        <f t="shared" si="0"/>
        <v>46089</v>
      </c>
      <c r="I188" s="2" t="str">
        <f t="shared" si="1"/>
        <v>marzo</v>
      </c>
      <c r="J188" s="2">
        <f t="shared" si="2"/>
        <v>3</v>
      </c>
      <c r="K188" s="2">
        <f t="shared" si="12"/>
        <v>2026</v>
      </c>
      <c r="L188" s="2" t="str">
        <f t="shared" si="13"/>
        <v>HILTON NISEKO VILLAGE</v>
      </c>
      <c r="M188" s="2">
        <f t="shared" si="15"/>
        <v>0</v>
      </c>
      <c r="Q188" s="3">
        <v>25889</v>
      </c>
      <c r="R188" s="5" t="s">
        <v>226</v>
      </c>
      <c r="V188" s="3">
        <v>42</v>
      </c>
      <c r="W188" s="5" t="s">
        <v>23</v>
      </c>
      <c r="AD188" s="10"/>
      <c r="AE188" s="10"/>
    </row>
    <row r="189" spans="1:31" ht="15.75" customHeight="1">
      <c r="A189" s="3">
        <v>649</v>
      </c>
      <c r="B189" s="3">
        <v>30693</v>
      </c>
      <c r="C189" s="4">
        <v>46037</v>
      </c>
      <c r="D189" s="4">
        <v>46039</v>
      </c>
      <c r="E189" s="5" t="s">
        <v>24</v>
      </c>
      <c r="F189" s="3">
        <v>150</v>
      </c>
      <c r="G189" s="6">
        <f t="shared" si="11"/>
        <v>129</v>
      </c>
      <c r="H189" s="7">
        <f t="shared" si="0"/>
        <v>46084</v>
      </c>
      <c r="I189" s="2" t="str">
        <f t="shared" si="1"/>
        <v>marzo</v>
      </c>
      <c r="J189" s="2">
        <f t="shared" si="2"/>
        <v>3</v>
      </c>
      <c r="K189" s="2">
        <f t="shared" si="12"/>
        <v>2026</v>
      </c>
      <c r="L189" s="2" t="str">
        <f t="shared" si="13"/>
        <v>ALILA VILLAS ULUWATU</v>
      </c>
      <c r="M189" s="2">
        <f t="shared" si="15"/>
        <v>0</v>
      </c>
      <c r="Q189" s="3">
        <v>25902</v>
      </c>
      <c r="R189" s="5" t="s">
        <v>227</v>
      </c>
      <c r="V189" s="3">
        <v>43</v>
      </c>
      <c r="W189" s="5" t="s">
        <v>23</v>
      </c>
      <c r="AD189" s="10"/>
      <c r="AE189" s="10"/>
    </row>
    <row r="190" spans="1:31" ht="15.75" customHeight="1">
      <c r="A190" s="3">
        <v>649</v>
      </c>
      <c r="B190" s="3">
        <v>30692</v>
      </c>
      <c r="C190" s="4">
        <v>46029</v>
      </c>
      <c r="D190" s="4">
        <v>46031</v>
      </c>
      <c r="E190" s="5" t="s">
        <v>24</v>
      </c>
      <c r="F190" s="3">
        <v>86.18</v>
      </c>
      <c r="G190" s="6">
        <f t="shared" si="11"/>
        <v>74.114800000000002</v>
      </c>
      <c r="H190" s="7">
        <f t="shared" si="0"/>
        <v>46076</v>
      </c>
      <c r="I190" s="2" t="str">
        <f t="shared" si="1"/>
        <v>febrero</v>
      </c>
      <c r="J190" s="2">
        <f t="shared" si="2"/>
        <v>2</v>
      </c>
      <c r="K190" s="2">
        <f t="shared" si="12"/>
        <v>2026</v>
      </c>
      <c r="L190" s="2" t="str">
        <f t="shared" si="13"/>
        <v>SOFITEL LEGEND METROPOLE HANOI</v>
      </c>
      <c r="M190" s="2">
        <f t="shared" si="15"/>
        <v>0</v>
      </c>
      <c r="Q190" s="3">
        <v>25903</v>
      </c>
      <c r="R190" s="5" t="s">
        <v>228</v>
      </c>
      <c r="V190" s="3">
        <v>44</v>
      </c>
      <c r="W190" s="5" t="s">
        <v>23</v>
      </c>
      <c r="AD190" s="11"/>
      <c r="AE190" s="11"/>
    </row>
    <row r="191" spans="1:31" ht="15.75" customHeight="1">
      <c r="A191" s="3">
        <v>649</v>
      </c>
      <c r="B191" s="3">
        <v>25907</v>
      </c>
      <c r="C191" s="4">
        <v>46044</v>
      </c>
      <c r="D191" s="4">
        <v>46046</v>
      </c>
      <c r="E191" s="5" t="s">
        <v>24</v>
      </c>
      <c r="F191" s="3">
        <v>107.82</v>
      </c>
      <c r="G191" s="6">
        <f t="shared" si="11"/>
        <v>92.725199999999987</v>
      </c>
      <c r="H191" s="7">
        <f t="shared" si="0"/>
        <v>46091</v>
      </c>
      <c r="I191" s="2" t="str">
        <f t="shared" si="1"/>
        <v>marzo</v>
      </c>
      <c r="J191" s="2">
        <f t="shared" si="2"/>
        <v>3</v>
      </c>
      <c r="K191" s="2">
        <f t="shared" si="12"/>
        <v>2026</v>
      </c>
      <c r="L191" s="2" t="str">
        <f t="shared" si="13"/>
        <v>THE OKURA TOKYO</v>
      </c>
      <c r="M191" s="2">
        <f t="shared" si="15"/>
        <v>0</v>
      </c>
      <c r="Q191" s="3">
        <v>25904</v>
      </c>
      <c r="R191" s="5" t="s">
        <v>229</v>
      </c>
      <c r="V191" s="3">
        <v>44</v>
      </c>
      <c r="W191" s="5" t="s">
        <v>89</v>
      </c>
      <c r="AD191" s="10"/>
      <c r="AE191" s="10"/>
    </row>
    <row r="192" spans="1:31" ht="15.75" customHeight="1">
      <c r="A192" s="3">
        <v>649</v>
      </c>
      <c r="B192" s="3">
        <v>33515</v>
      </c>
      <c r="C192" s="4">
        <v>46040</v>
      </c>
      <c r="D192" s="4">
        <v>46044</v>
      </c>
      <c r="E192" s="5" t="s">
        <v>24</v>
      </c>
      <c r="F192" s="3">
        <v>104.12</v>
      </c>
      <c r="G192" s="6">
        <f t="shared" si="11"/>
        <v>89.543199999999999</v>
      </c>
      <c r="H192" s="7">
        <f t="shared" si="0"/>
        <v>46089</v>
      </c>
      <c r="I192" s="2" t="str">
        <f t="shared" si="1"/>
        <v>marzo</v>
      </c>
      <c r="J192" s="2">
        <f t="shared" si="2"/>
        <v>3</v>
      </c>
      <c r="K192" s="2">
        <f t="shared" si="12"/>
        <v>2026</v>
      </c>
      <c r="L192" s="2" t="str">
        <f t="shared" si="13"/>
        <v>PARK HYATT NISEKO HANAZONO</v>
      </c>
      <c r="M192" s="2">
        <f t="shared" si="15"/>
        <v>0</v>
      </c>
      <c r="Q192" s="3">
        <v>25906</v>
      </c>
      <c r="R192" s="5" t="s">
        <v>230</v>
      </c>
      <c r="V192" s="3">
        <v>44</v>
      </c>
      <c r="W192" s="5" t="s">
        <v>68</v>
      </c>
      <c r="AD192" s="10"/>
      <c r="AE192" s="10"/>
    </row>
    <row r="193" spans="1:31" ht="15.75" customHeight="1">
      <c r="A193" s="3">
        <v>653</v>
      </c>
      <c r="B193" s="3">
        <v>30723</v>
      </c>
      <c r="C193" s="4">
        <v>46153</v>
      </c>
      <c r="D193" s="4">
        <v>46154</v>
      </c>
      <c r="E193" s="5" t="s">
        <v>24</v>
      </c>
      <c r="F193" s="3">
        <v>26</v>
      </c>
      <c r="G193" s="6">
        <f t="shared" si="11"/>
        <v>22.36</v>
      </c>
      <c r="H193" s="7">
        <f t="shared" si="0"/>
        <v>46199</v>
      </c>
      <c r="I193" s="2" t="str">
        <f t="shared" si="1"/>
        <v>junio</v>
      </c>
      <c r="J193" s="2">
        <f t="shared" si="2"/>
        <v>6</v>
      </c>
      <c r="K193" s="2">
        <f t="shared" si="12"/>
        <v>2026</v>
      </c>
      <c r="L193" s="2" t="str">
        <f t="shared" si="13"/>
        <v>EL SINGULAR SANTIAGO HOTEL LASTARRIA</v>
      </c>
      <c r="M193" s="2">
        <f t="shared" si="15"/>
        <v>0</v>
      </c>
      <c r="Q193" s="3">
        <v>25907</v>
      </c>
      <c r="R193" s="5" t="s">
        <v>231</v>
      </c>
      <c r="V193" s="3">
        <v>44</v>
      </c>
      <c r="W193" s="5" t="s">
        <v>23</v>
      </c>
      <c r="AD193" s="11"/>
      <c r="AE193" s="11"/>
    </row>
    <row r="194" spans="1:31" ht="15.75" customHeight="1">
      <c r="A194" s="3">
        <v>654</v>
      </c>
      <c r="B194" s="3">
        <v>30721</v>
      </c>
      <c r="C194" s="4">
        <v>46158</v>
      </c>
      <c r="D194" s="4">
        <v>46161</v>
      </c>
      <c r="E194" s="5" t="s">
        <v>24</v>
      </c>
      <c r="F194" s="3">
        <v>193.5</v>
      </c>
      <c r="G194" s="6">
        <f t="shared" si="11"/>
        <v>166.41</v>
      </c>
      <c r="H194" s="7">
        <f t="shared" si="0"/>
        <v>46206</v>
      </c>
      <c r="I194" s="2" t="str">
        <f t="shared" si="1"/>
        <v>julio</v>
      </c>
      <c r="J194" s="2">
        <f t="shared" si="2"/>
        <v>7</v>
      </c>
      <c r="K194" s="2">
        <f t="shared" si="12"/>
        <v>2026</v>
      </c>
      <c r="L194" s="2" t="str">
        <f t="shared" si="13"/>
        <v>THE VINES RESORT &amp; SPA</v>
      </c>
      <c r="M194" s="2">
        <f t="shared" si="15"/>
        <v>0</v>
      </c>
      <c r="Q194" s="3">
        <v>25908</v>
      </c>
      <c r="R194" s="5" t="s">
        <v>232</v>
      </c>
      <c r="V194" s="3">
        <v>44</v>
      </c>
      <c r="W194" s="5" t="s">
        <v>68</v>
      </c>
      <c r="AD194" s="11"/>
      <c r="AE194" s="11"/>
    </row>
    <row r="195" spans="1:31" ht="15.75" customHeight="1">
      <c r="A195" s="3">
        <v>663</v>
      </c>
      <c r="B195" s="3">
        <v>30808</v>
      </c>
      <c r="C195" s="4">
        <v>46011</v>
      </c>
      <c r="D195" s="4">
        <v>46018</v>
      </c>
      <c r="E195" s="5" t="s">
        <v>19</v>
      </c>
      <c r="F195" s="3">
        <v>40000</v>
      </c>
      <c r="G195" s="6">
        <f t="shared" ref="G195:G258" si="16">F195*_xlfn.XLOOKUP(E195,Z:Z,AA:AA)</f>
        <v>40000</v>
      </c>
      <c r="H195" s="7">
        <f t="shared" si="0"/>
        <v>46063</v>
      </c>
      <c r="I195" s="2" t="str">
        <f t="shared" si="1"/>
        <v>febrero</v>
      </c>
      <c r="J195" s="2">
        <f t="shared" si="2"/>
        <v>2</v>
      </c>
      <c r="K195" s="2">
        <f t="shared" ref="K195:K258" si="17">YEAR(H195)</f>
        <v>2026</v>
      </c>
      <c r="L195" s="2" t="str">
        <f t="shared" ref="L195:L258" si="18">_xlfn.XLOOKUP(B195,Q:Q,R:R)</f>
        <v>Les Airelles Courchevel</v>
      </c>
      <c r="M195" s="2">
        <f t="shared" ref="M195:M258" si="19">_xlfn.XLOOKUP(A195,V:V,W:W)</f>
        <v>0</v>
      </c>
      <c r="Q195" s="3">
        <v>25909</v>
      </c>
      <c r="R195" s="5" t="s">
        <v>233</v>
      </c>
      <c r="V195" s="3">
        <v>44</v>
      </c>
      <c r="W195" s="5" t="s">
        <v>94</v>
      </c>
      <c r="AD195" s="10"/>
      <c r="AE195" s="10"/>
    </row>
    <row r="196" spans="1:31" ht="15.75" customHeight="1">
      <c r="A196" s="3">
        <v>665</v>
      </c>
      <c r="B196" s="3">
        <v>30812</v>
      </c>
      <c r="C196" s="4">
        <v>45815</v>
      </c>
      <c r="D196" s="4">
        <v>45820</v>
      </c>
      <c r="E196" s="5" t="s">
        <v>24</v>
      </c>
      <c r="F196" s="3">
        <v>322.5</v>
      </c>
      <c r="G196" s="6">
        <f t="shared" si="16"/>
        <v>277.35000000000002</v>
      </c>
      <c r="H196" s="7">
        <f t="shared" si="0"/>
        <v>45865</v>
      </c>
      <c r="I196" s="2" t="str">
        <f t="shared" si="1"/>
        <v>julio</v>
      </c>
      <c r="J196" s="2">
        <f t="shared" si="2"/>
        <v>7</v>
      </c>
      <c r="K196" s="2">
        <f t="shared" si="17"/>
        <v>2025</v>
      </c>
      <c r="L196" s="2" t="str">
        <f t="shared" si="18"/>
        <v>MEADOWOOD NAPA VALLEY</v>
      </c>
      <c r="M196" s="2">
        <f t="shared" si="19"/>
        <v>0</v>
      </c>
      <c r="Q196" s="3">
        <v>25910</v>
      </c>
      <c r="R196" s="5" t="s">
        <v>234</v>
      </c>
      <c r="V196" s="3">
        <v>44</v>
      </c>
      <c r="W196" s="5" t="s">
        <v>89</v>
      </c>
      <c r="AD196" s="11"/>
      <c r="AE196" s="10"/>
    </row>
    <row r="197" spans="1:31" ht="15.75" customHeight="1">
      <c r="A197" s="3">
        <v>667</v>
      </c>
      <c r="B197" s="3">
        <v>30831</v>
      </c>
      <c r="C197" s="4">
        <v>45951</v>
      </c>
      <c r="D197" s="4">
        <v>45955</v>
      </c>
      <c r="E197" s="5" t="s">
        <v>24</v>
      </c>
      <c r="F197" s="3">
        <v>822.8</v>
      </c>
      <c r="G197" s="6">
        <f t="shared" si="16"/>
        <v>707.60799999999995</v>
      </c>
      <c r="H197" s="7">
        <f t="shared" si="0"/>
        <v>46000</v>
      </c>
      <c r="I197" s="2" t="str">
        <f t="shared" si="1"/>
        <v>diciembre</v>
      </c>
      <c r="J197" s="2">
        <f t="shared" si="2"/>
        <v>12</v>
      </c>
      <c r="K197" s="2">
        <f t="shared" si="17"/>
        <v>2025</v>
      </c>
      <c r="L197" s="2" t="str">
        <f t="shared" si="18"/>
        <v>AMANWANA</v>
      </c>
      <c r="M197" s="2">
        <f t="shared" si="19"/>
        <v>0</v>
      </c>
      <c r="Q197" s="3">
        <v>25911</v>
      </c>
      <c r="R197" s="5" t="s">
        <v>235</v>
      </c>
      <c r="V197" s="3">
        <v>44</v>
      </c>
      <c r="W197" s="5" t="s">
        <v>23</v>
      </c>
      <c r="AD197" s="11"/>
      <c r="AE197" s="11"/>
    </row>
    <row r="198" spans="1:31" ht="15.75" customHeight="1">
      <c r="A198" s="3">
        <v>671</v>
      </c>
      <c r="B198" s="3">
        <v>27487</v>
      </c>
      <c r="C198" s="4">
        <v>46143</v>
      </c>
      <c r="D198" s="4">
        <v>46147</v>
      </c>
      <c r="E198" s="5" t="s">
        <v>24</v>
      </c>
      <c r="F198" s="3">
        <v>598.5</v>
      </c>
      <c r="G198" s="6">
        <f t="shared" si="16"/>
        <v>514.71</v>
      </c>
      <c r="H198" s="7">
        <f t="shared" si="0"/>
        <v>46192</v>
      </c>
      <c r="I198" s="2" t="str">
        <f t="shared" si="1"/>
        <v>junio</v>
      </c>
      <c r="J198" s="2">
        <f t="shared" si="2"/>
        <v>6</v>
      </c>
      <c r="K198" s="2">
        <f t="shared" si="17"/>
        <v>2026</v>
      </c>
      <c r="L198" s="2" t="str">
        <f t="shared" si="18"/>
        <v>FOUR SEASONS RESORT PUNTA MITA</v>
      </c>
      <c r="M198" s="2">
        <f t="shared" si="19"/>
        <v>0</v>
      </c>
      <c r="Q198" s="3">
        <v>25912</v>
      </c>
      <c r="R198" s="5" t="s">
        <v>236</v>
      </c>
      <c r="V198" s="3">
        <v>44</v>
      </c>
      <c r="W198" s="5" t="s">
        <v>89</v>
      </c>
      <c r="AD198" s="10"/>
      <c r="AE198" s="10"/>
    </row>
    <row r="199" spans="1:31" ht="15.75" customHeight="1">
      <c r="A199" s="3">
        <v>672</v>
      </c>
      <c r="B199" s="3">
        <v>30953</v>
      </c>
      <c r="C199" s="4">
        <v>45922</v>
      </c>
      <c r="D199" s="4">
        <v>45924</v>
      </c>
      <c r="E199" s="5" t="s">
        <v>19</v>
      </c>
      <c r="F199" s="3">
        <v>336.74</v>
      </c>
      <c r="G199" s="6">
        <f t="shared" si="16"/>
        <v>336.74</v>
      </c>
      <c r="H199" s="7">
        <f t="shared" si="0"/>
        <v>45969</v>
      </c>
      <c r="I199" s="2" t="str">
        <f t="shared" si="1"/>
        <v>noviembre</v>
      </c>
      <c r="J199" s="2">
        <f t="shared" si="2"/>
        <v>11</v>
      </c>
      <c r="K199" s="2">
        <f t="shared" si="17"/>
        <v>2025</v>
      </c>
      <c r="L199" s="2" t="str">
        <f t="shared" si="18"/>
        <v>THE BOTREE HOTEL</v>
      </c>
      <c r="M199" s="2">
        <f t="shared" si="19"/>
        <v>0</v>
      </c>
      <c r="Q199" s="3">
        <v>25918</v>
      </c>
      <c r="R199" s="5" t="s">
        <v>237</v>
      </c>
      <c r="V199" s="3">
        <v>45</v>
      </c>
      <c r="W199" s="5" t="s">
        <v>94</v>
      </c>
      <c r="AD199" s="10"/>
      <c r="AE199" s="10"/>
    </row>
    <row r="200" spans="1:31" ht="15.75" customHeight="1">
      <c r="A200" s="3">
        <v>672</v>
      </c>
      <c r="B200" s="3">
        <v>30960</v>
      </c>
      <c r="C200" s="4">
        <v>45929</v>
      </c>
      <c r="D200" s="4">
        <v>45930</v>
      </c>
      <c r="E200" s="5" t="s">
        <v>19</v>
      </c>
      <c r="F200" s="3">
        <v>51.91</v>
      </c>
      <c r="G200" s="6">
        <f t="shared" si="16"/>
        <v>51.91</v>
      </c>
      <c r="H200" s="7">
        <f t="shared" si="0"/>
        <v>45975</v>
      </c>
      <c r="I200" s="2" t="str">
        <f t="shared" si="1"/>
        <v>noviembre</v>
      </c>
      <c r="J200" s="2">
        <f t="shared" si="2"/>
        <v>11</v>
      </c>
      <c r="K200" s="2">
        <f t="shared" si="17"/>
        <v>2025</v>
      </c>
      <c r="L200" s="2" t="str">
        <f t="shared" si="18"/>
        <v>MELIA MADRID SERRANO</v>
      </c>
      <c r="M200" s="2">
        <f t="shared" si="19"/>
        <v>0</v>
      </c>
      <c r="Q200" s="3">
        <v>25922</v>
      </c>
      <c r="R200" s="5" t="s">
        <v>238</v>
      </c>
      <c r="V200" s="3">
        <v>45</v>
      </c>
      <c r="W200" s="5" t="s">
        <v>68</v>
      </c>
      <c r="AD200" s="10"/>
      <c r="AE200" s="10"/>
    </row>
    <row r="201" spans="1:31" ht="15.75" customHeight="1">
      <c r="A201" s="3">
        <v>673</v>
      </c>
      <c r="B201" s="3">
        <v>30869</v>
      </c>
      <c r="C201" s="4">
        <v>46172</v>
      </c>
      <c r="D201" s="4">
        <v>46176</v>
      </c>
      <c r="E201" s="5" t="s">
        <v>24</v>
      </c>
      <c r="F201" s="3">
        <v>178.84</v>
      </c>
      <c r="G201" s="6">
        <f t="shared" si="16"/>
        <v>153.80240000000001</v>
      </c>
      <c r="H201" s="7">
        <f t="shared" si="0"/>
        <v>46221</v>
      </c>
      <c r="I201" s="2" t="str">
        <f t="shared" si="1"/>
        <v>julio</v>
      </c>
      <c r="J201" s="2">
        <f t="shared" si="2"/>
        <v>7</v>
      </c>
      <c r="K201" s="2">
        <f t="shared" si="17"/>
        <v>2026</v>
      </c>
      <c r="L201" s="2" t="str">
        <f t="shared" si="18"/>
        <v>HAMARES BOUTIQUE HOTEL</v>
      </c>
      <c r="M201" s="2">
        <f t="shared" si="19"/>
        <v>0</v>
      </c>
      <c r="Q201" s="3">
        <v>25924</v>
      </c>
      <c r="R201" s="5" t="s">
        <v>239</v>
      </c>
      <c r="V201" s="3">
        <v>45</v>
      </c>
      <c r="W201" s="5" t="s">
        <v>204</v>
      </c>
      <c r="AD201" s="11"/>
      <c r="AE201" s="11"/>
    </row>
    <row r="202" spans="1:31" ht="15.75" customHeight="1">
      <c r="A202" s="3">
        <v>674</v>
      </c>
      <c r="B202" s="3">
        <v>30870</v>
      </c>
      <c r="C202" s="4">
        <v>46171</v>
      </c>
      <c r="D202" s="4">
        <v>46172</v>
      </c>
      <c r="E202" s="5" t="s">
        <v>24</v>
      </c>
      <c r="F202" s="3">
        <v>79.849999999999994</v>
      </c>
      <c r="G202" s="6">
        <f t="shared" si="16"/>
        <v>68.670999999999992</v>
      </c>
      <c r="H202" s="7">
        <f t="shared" si="0"/>
        <v>46217</v>
      </c>
      <c r="I202" s="2" t="str">
        <f t="shared" si="1"/>
        <v>julio</v>
      </c>
      <c r="J202" s="2">
        <f t="shared" si="2"/>
        <v>7</v>
      </c>
      <c r="K202" s="2">
        <f t="shared" si="17"/>
        <v>2026</v>
      </c>
      <c r="L202" s="2" t="str">
        <f t="shared" si="18"/>
        <v>ROSEWOOD SAO PAULO</v>
      </c>
      <c r="M202" s="2">
        <f t="shared" si="19"/>
        <v>0</v>
      </c>
      <c r="Q202" s="3">
        <v>25926</v>
      </c>
      <c r="R202" s="5" t="s">
        <v>240</v>
      </c>
      <c r="V202" s="3">
        <v>45</v>
      </c>
      <c r="W202" s="5" t="s">
        <v>204</v>
      </c>
      <c r="AD202" s="11"/>
      <c r="AE202" s="11"/>
    </row>
    <row r="203" spans="1:31" ht="15.75" customHeight="1">
      <c r="A203" s="3">
        <v>674</v>
      </c>
      <c r="B203" s="3">
        <v>30870</v>
      </c>
      <c r="C203" s="4">
        <v>46176</v>
      </c>
      <c r="D203" s="4">
        <v>46179</v>
      </c>
      <c r="E203" s="5" t="s">
        <v>24</v>
      </c>
      <c r="F203" s="3">
        <v>188.9</v>
      </c>
      <c r="G203" s="6">
        <f t="shared" si="16"/>
        <v>162.45400000000001</v>
      </c>
      <c r="H203" s="7">
        <f t="shared" si="0"/>
        <v>46224</v>
      </c>
      <c r="I203" s="2" t="str">
        <f t="shared" si="1"/>
        <v>julio</v>
      </c>
      <c r="J203" s="2">
        <f t="shared" si="2"/>
        <v>7</v>
      </c>
      <c r="K203" s="2">
        <f t="shared" si="17"/>
        <v>2026</v>
      </c>
      <c r="L203" s="2" t="str">
        <f t="shared" si="18"/>
        <v>ROSEWOOD SAO PAULO</v>
      </c>
      <c r="M203" s="2">
        <f t="shared" si="19"/>
        <v>0</v>
      </c>
      <c r="Q203" s="3">
        <v>25927</v>
      </c>
      <c r="R203" s="5" t="s">
        <v>241</v>
      </c>
      <c r="V203" s="3">
        <v>46</v>
      </c>
      <c r="W203" s="5" t="s">
        <v>23</v>
      </c>
      <c r="AD203" s="11"/>
      <c r="AE203" s="11"/>
    </row>
    <row r="204" spans="1:31" ht="15.75" customHeight="1">
      <c r="A204" s="3">
        <v>680</v>
      </c>
      <c r="B204" s="3">
        <v>30217</v>
      </c>
      <c r="C204" s="4">
        <v>45973</v>
      </c>
      <c r="D204" s="4">
        <v>45977</v>
      </c>
      <c r="E204" s="5" t="s">
        <v>24</v>
      </c>
      <c r="F204" s="3">
        <v>287.8</v>
      </c>
      <c r="G204" s="6">
        <f t="shared" si="16"/>
        <v>247.50800000000001</v>
      </c>
      <c r="H204" s="7">
        <f t="shared" si="0"/>
        <v>46022</v>
      </c>
      <c r="I204" s="2" t="str">
        <f t="shared" si="1"/>
        <v>diciembre</v>
      </c>
      <c r="J204" s="2">
        <f t="shared" si="2"/>
        <v>12</v>
      </c>
      <c r="K204" s="2">
        <f t="shared" si="17"/>
        <v>2025</v>
      </c>
      <c r="L204" s="2" t="str">
        <f t="shared" si="18"/>
        <v>THE DOMINICK</v>
      </c>
      <c r="M204" s="2">
        <f t="shared" si="19"/>
        <v>0</v>
      </c>
      <c r="Q204" s="3">
        <v>25931</v>
      </c>
      <c r="R204" s="5" t="s">
        <v>242</v>
      </c>
      <c r="V204" s="3">
        <v>47</v>
      </c>
      <c r="W204" s="5" t="s">
        <v>94</v>
      </c>
      <c r="AD204" s="11"/>
      <c r="AE204" s="11"/>
    </row>
    <row r="205" spans="1:31" ht="15.75" customHeight="1">
      <c r="A205" s="3">
        <v>685</v>
      </c>
      <c r="B205" s="3">
        <v>27086</v>
      </c>
      <c r="C205" s="4">
        <v>45927</v>
      </c>
      <c r="D205" s="4">
        <v>45934</v>
      </c>
      <c r="E205" s="5" t="s">
        <v>24</v>
      </c>
      <c r="F205" s="3">
        <v>3320</v>
      </c>
      <c r="G205" s="6">
        <f t="shared" si="16"/>
        <v>2855.2</v>
      </c>
      <c r="H205" s="7">
        <f t="shared" si="0"/>
        <v>45979</v>
      </c>
      <c r="I205" s="2" t="str">
        <f t="shared" si="1"/>
        <v>noviembre</v>
      </c>
      <c r="J205" s="2">
        <f t="shared" si="2"/>
        <v>11</v>
      </c>
      <c r="K205" s="2">
        <f t="shared" si="17"/>
        <v>2025</v>
      </c>
      <c r="L205" s="2" t="str">
        <f t="shared" si="18"/>
        <v>THE RITZ CARLTON YACHT COLLECTION</v>
      </c>
      <c r="M205" s="2">
        <f t="shared" si="19"/>
        <v>0</v>
      </c>
      <c r="Q205" s="3">
        <v>25942</v>
      </c>
      <c r="R205" s="5" t="s">
        <v>243</v>
      </c>
      <c r="V205" s="3">
        <v>47</v>
      </c>
      <c r="W205" s="5" t="s">
        <v>23</v>
      </c>
      <c r="AD205" s="11"/>
      <c r="AE205" s="11"/>
    </row>
    <row r="206" spans="1:31" ht="15.75" customHeight="1">
      <c r="A206" s="3">
        <v>693</v>
      </c>
      <c r="B206" s="3">
        <v>30988</v>
      </c>
      <c r="C206" s="4">
        <v>45918</v>
      </c>
      <c r="D206" s="4">
        <v>45922</v>
      </c>
      <c r="E206" s="5" t="s">
        <v>19</v>
      </c>
      <c r="F206" s="3">
        <v>638</v>
      </c>
      <c r="G206" s="6">
        <f t="shared" si="16"/>
        <v>638</v>
      </c>
      <c r="H206" s="7">
        <f t="shared" si="0"/>
        <v>45967</v>
      </c>
      <c r="I206" s="2" t="str">
        <f t="shared" si="1"/>
        <v>noviembre</v>
      </c>
      <c r="J206" s="2">
        <f t="shared" si="2"/>
        <v>11</v>
      </c>
      <c r="K206" s="2">
        <f t="shared" si="17"/>
        <v>2025</v>
      </c>
      <c r="L206" s="2" t="str">
        <f t="shared" si="18"/>
        <v>SIX SENSES ROME</v>
      </c>
      <c r="M206" s="2">
        <f t="shared" si="19"/>
        <v>0</v>
      </c>
      <c r="Q206" s="3">
        <v>25943</v>
      </c>
      <c r="R206" s="5" t="s">
        <v>244</v>
      </c>
      <c r="V206" s="3">
        <v>47</v>
      </c>
      <c r="W206" s="5" t="s">
        <v>23</v>
      </c>
      <c r="AD206" s="11"/>
      <c r="AE206" s="11"/>
    </row>
    <row r="207" spans="1:31" ht="15.75" customHeight="1">
      <c r="A207" s="3">
        <v>696</v>
      </c>
      <c r="B207" s="3">
        <v>28454</v>
      </c>
      <c r="C207" s="4">
        <v>45967</v>
      </c>
      <c r="D207" s="4">
        <v>45970</v>
      </c>
      <c r="E207" s="5" t="s">
        <v>24</v>
      </c>
      <c r="F207" s="3">
        <v>245.26</v>
      </c>
      <c r="G207" s="6">
        <f t="shared" si="16"/>
        <v>210.92359999999999</v>
      </c>
      <c r="H207" s="7">
        <f t="shared" si="0"/>
        <v>46015</v>
      </c>
      <c r="I207" s="2" t="str">
        <f t="shared" si="1"/>
        <v>diciembre</v>
      </c>
      <c r="J207" s="2">
        <f t="shared" si="2"/>
        <v>12</v>
      </c>
      <c r="K207" s="2">
        <f t="shared" si="17"/>
        <v>2025</v>
      </c>
      <c r="L207" s="2" t="str">
        <f t="shared" si="18"/>
        <v>FOUR SEASONS HOTEL BANGKOK AT CHAO PHRAYA RIVER</v>
      </c>
      <c r="M207" s="2">
        <f t="shared" si="19"/>
        <v>0</v>
      </c>
      <c r="Q207" s="3">
        <v>25954</v>
      </c>
      <c r="R207" s="5" t="s">
        <v>245</v>
      </c>
      <c r="V207" s="3">
        <v>47</v>
      </c>
      <c r="W207" s="5" t="s">
        <v>68</v>
      </c>
      <c r="AD207" s="10"/>
      <c r="AE207" s="10"/>
    </row>
    <row r="208" spans="1:31" ht="15.75" customHeight="1">
      <c r="A208" s="3">
        <v>702</v>
      </c>
      <c r="B208" s="3">
        <v>25075</v>
      </c>
      <c r="C208" s="4">
        <v>45962</v>
      </c>
      <c r="D208" s="4">
        <v>45963</v>
      </c>
      <c r="E208" s="5" t="s">
        <v>24</v>
      </c>
      <c r="F208" s="3">
        <v>43.9</v>
      </c>
      <c r="G208" s="6">
        <f t="shared" si="16"/>
        <v>37.753999999999998</v>
      </c>
      <c r="H208" s="7">
        <f t="shared" si="0"/>
        <v>46008</v>
      </c>
      <c r="I208" s="2" t="str">
        <f t="shared" si="1"/>
        <v>diciembre</v>
      </c>
      <c r="J208" s="2">
        <f t="shared" si="2"/>
        <v>12</v>
      </c>
      <c r="K208" s="2">
        <f t="shared" si="17"/>
        <v>2025</v>
      </c>
      <c r="L208" s="2" t="str">
        <f t="shared" si="18"/>
        <v>THE RITZ-CARLTON SANTIAGO</v>
      </c>
      <c r="M208" s="2">
        <f t="shared" si="19"/>
        <v>0</v>
      </c>
      <c r="Q208" s="3">
        <v>25957</v>
      </c>
      <c r="R208" s="5" t="s">
        <v>246</v>
      </c>
      <c r="V208" s="3">
        <v>48</v>
      </c>
      <c r="W208" s="5" t="s">
        <v>68</v>
      </c>
      <c r="AD208" s="12"/>
      <c r="AE208" s="12"/>
    </row>
    <row r="209" spans="1:31" ht="15.75" customHeight="1">
      <c r="A209" s="3">
        <v>702</v>
      </c>
      <c r="B209" s="3">
        <v>25075</v>
      </c>
      <c r="C209" s="4">
        <v>45962</v>
      </c>
      <c r="D209" s="4">
        <v>45963</v>
      </c>
      <c r="E209" s="5" t="s">
        <v>24</v>
      </c>
      <c r="F209" s="3">
        <v>43.9</v>
      </c>
      <c r="G209" s="6">
        <f t="shared" si="16"/>
        <v>37.753999999999998</v>
      </c>
      <c r="H209" s="7">
        <f t="shared" si="0"/>
        <v>46008</v>
      </c>
      <c r="I209" s="2" t="str">
        <f t="shared" si="1"/>
        <v>diciembre</v>
      </c>
      <c r="J209" s="2">
        <f t="shared" si="2"/>
        <v>12</v>
      </c>
      <c r="K209" s="2">
        <f t="shared" si="17"/>
        <v>2025</v>
      </c>
      <c r="L209" s="2" t="str">
        <f t="shared" si="18"/>
        <v>THE RITZ-CARLTON SANTIAGO</v>
      </c>
      <c r="M209" s="2">
        <f t="shared" si="19"/>
        <v>0</v>
      </c>
      <c r="Q209" s="3">
        <v>25990</v>
      </c>
      <c r="R209" s="5" t="s">
        <v>247</v>
      </c>
      <c r="V209" s="3">
        <v>48</v>
      </c>
      <c r="W209" s="5" t="s">
        <v>68</v>
      </c>
      <c r="AD209" s="12"/>
      <c r="AE209" s="12"/>
    </row>
    <row r="210" spans="1:31" ht="15.75" customHeight="1">
      <c r="A210" s="3">
        <v>702</v>
      </c>
      <c r="B210" s="3">
        <v>25075</v>
      </c>
      <c r="C210" s="4">
        <v>45962</v>
      </c>
      <c r="D210" s="4">
        <v>45963</v>
      </c>
      <c r="E210" s="5" t="s">
        <v>24</v>
      </c>
      <c r="F210" s="3">
        <v>43.9</v>
      </c>
      <c r="G210" s="6">
        <f t="shared" si="16"/>
        <v>37.753999999999998</v>
      </c>
      <c r="H210" s="7">
        <f t="shared" si="0"/>
        <v>46008</v>
      </c>
      <c r="I210" s="2" t="str">
        <f t="shared" si="1"/>
        <v>diciembre</v>
      </c>
      <c r="J210" s="2">
        <f t="shared" si="2"/>
        <v>12</v>
      </c>
      <c r="K210" s="2">
        <f t="shared" si="17"/>
        <v>2025</v>
      </c>
      <c r="L210" s="2" t="str">
        <f t="shared" si="18"/>
        <v>THE RITZ-CARLTON SANTIAGO</v>
      </c>
      <c r="M210" s="2">
        <f t="shared" si="19"/>
        <v>0</v>
      </c>
      <c r="Q210" s="3">
        <v>25993</v>
      </c>
      <c r="R210" s="5" t="s">
        <v>248</v>
      </c>
      <c r="V210" s="3">
        <v>49</v>
      </c>
      <c r="W210" s="5" t="s">
        <v>89</v>
      </c>
      <c r="AD210" s="10"/>
      <c r="AE210" s="10"/>
    </row>
    <row r="211" spans="1:31" ht="15.75" customHeight="1">
      <c r="A211" s="3">
        <v>702</v>
      </c>
      <c r="B211" s="3">
        <v>25075</v>
      </c>
      <c r="C211" s="4">
        <v>45962</v>
      </c>
      <c r="D211" s="4">
        <v>45963</v>
      </c>
      <c r="E211" s="5" t="s">
        <v>24</v>
      </c>
      <c r="F211" s="3">
        <v>43.9</v>
      </c>
      <c r="G211" s="6">
        <f t="shared" si="16"/>
        <v>37.753999999999998</v>
      </c>
      <c r="H211" s="7">
        <f t="shared" si="0"/>
        <v>46008</v>
      </c>
      <c r="I211" s="2" t="str">
        <f t="shared" si="1"/>
        <v>diciembre</v>
      </c>
      <c r="J211" s="2">
        <f t="shared" si="2"/>
        <v>12</v>
      </c>
      <c r="K211" s="2">
        <f t="shared" si="17"/>
        <v>2025</v>
      </c>
      <c r="L211" s="2" t="str">
        <f t="shared" si="18"/>
        <v>THE RITZ-CARLTON SANTIAGO</v>
      </c>
      <c r="M211" s="2">
        <f t="shared" si="19"/>
        <v>0</v>
      </c>
      <c r="Q211" s="3">
        <v>26013</v>
      </c>
      <c r="R211" s="5" t="s">
        <v>249</v>
      </c>
      <c r="V211" s="3">
        <v>50</v>
      </c>
      <c r="W211" s="5" t="s">
        <v>158</v>
      </c>
      <c r="AD211" s="10"/>
      <c r="AE211" s="10"/>
    </row>
    <row r="212" spans="1:31" ht="15.75" customHeight="1">
      <c r="A212" s="3">
        <v>705</v>
      </c>
      <c r="B212" s="3">
        <v>31064</v>
      </c>
      <c r="C212" s="4">
        <v>45755</v>
      </c>
      <c r="D212" s="4">
        <v>45763</v>
      </c>
      <c r="E212" s="5" t="s">
        <v>24</v>
      </c>
      <c r="F212" s="3">
        <v>568.11</v>
      </c>
      <c r="G212" s="6">
        <f t="shared" si="16"/>
        <v>488.57460000000003</v>
      </c>
      <c r="H212" s="7">
        <f t="shared" si="0"/>
        <v>45808</v>
      </c>
      <c r="I212" s="2" t="str">
        <f t="shared" si="1"/>
        <v>mayo</v>
      </c>
      <c r="J212" s="2">
        <f t="shared" si="2"/>
        <v>5</v>
      </c>
      <c r="K212" s="2">
        <f t="shared" si="17"/>
        <v>2025</v>
      </c>
      <c r="L212" s="2" t="str">
        <f t="shared" si="18"/>
        <v>GRAND HOTEL SON NET</v>
      </c>
      <c r="M212" s="2">
        <f t="shared" si="19"/>
        <v>0</v>
      </c>
      <c r="Q212" s="3">
        <v>26065</v>
      </c>
      <c r="R212" s="5" t="s">
        <v>250</v>
      </c>
      <c r="V212" s="3">
        <v>50</v>
      </c>
      <c r="W212" s="5" t="s">
        <v>158</v>
      </c>
      <c r="AD212" s="11"/>
      <c r="AE212" s="11"/>
    </row>
    <row r="213" spans="1:31" ht="15.75" customHeight="1">
      <c r="A213" s="3">
        <v>705</v>
      </c>
      <c r="B213" s="3">
        <v>31064</v>
      </c>
      <c r="C213" s="4">
        <v>45755</v>
      </c>
      <c r="D213" s="4">
        <v>45763</v>
      </c>
      <c r="E213" s="5" t="s">
        <v>24</v>
      </c>
      <c r="F213" s="3">
        <v>568.11</v>
      </c>
      <c r="G213" s="6">
        <f t="shared" si="16"/>
        <v>488.57460000000003</v>
      </c>
      <c r="H213" s="7">
        <f t="shared" si="0"/>
        <v>45808</v>
      </c>
      <c r="I213" s="2" t="str">
        <f t="shared" si="1"/>
        <v>mayo</v>
      </c>
      <c r="J213" s="2">
        <f t="shared" si="2"/>
        <v>5</v>
      </c>
      <c r="K213" s="2">
        <f t="shared" si="17"/>
        <v>2025</v>
      </c>
      <c r="L213" s="2" t="str">
        <f t="shared" si="18"/>
        <v>GRAND HOTEL SON NET</v>
      </c>
      <c r="M213" s="2">
        <f t="shared" si="19"/>
        <v>0</v>
      </c>
      <c r="Q213" s="3">
        <v>26070</v>
      </c>
      <c r="R213" s="5" t="s">
        <v>251</v>
      </c>
      <c r="V213" s="3">
        <v>50</v>
      </c>
      <c r="W213" s="5" t="s">
        <v>23</v>
      </c>
      <c r="AD213" s="10"/>
      <c r="AE213" s="10"/>
    </row>
    <row r="214" spans="1:31" ht="15.75" customHeight="1">
      <c r="A214" s="3">
        <v>707</v>
      </c>
      <c r="B214" s="3">
        <v>30694</v>
      </c>
      <c r="C214" s="4">
        <v>45673</v>
      </c>
      <c r="D214" s="4">
        <v>45677</v>
      </c>
      <c r="E214" s="5" t="s">
        <v>24</v>
      </c>
      <c r="F214" s="3">
        <v>2042.1</v>
      </c>
      <c r="G214" s="6">
        <f t="shared" si="16"/>
        <v>1756.2059999999999</v>
      </c>
      <c r="H214" s="7">
        <f t="shared" si="0"/>
        <v>45722</v>
      </c>
      <c r="I214" s="2" t="str">
        <f t="shared" si="1"/>
        <v>marzo</v>
      </c>
      <c r="J214" s="2">
        <f t="shared" si="2"/>
        <v>3</v>
      </c>
      <c r="K214" s="2">
        <f t="shared" si="17"/>
        <v>2025</v>
      </c>
      <c r="L214" s="2" t="str">
        <f t="shared" si="18"/>
        <v>AMAN ROSA ALPINA</v>
      </c>
      <c r="M214" s="2">
        <f t="shared" si="19"/>
        <v>0</v>
      </c>
      <c r="Q214" s="3">
        <v>26085</v>
      </c>
      <c r="R214" s="5" t="s">
        <v>252</v>
      </c>
      <c r="V214" s="3">
        <v>50</v>
      </c>
      <c r="W214" s="5" t="s">
        <v>23</v>
      </c>
      <c r="AD214" s="11"/>
      <c r="AE214" s="11"/>
    </row>
    <row r="215" spans="1:31" ht="15.75" customHeight="1">
      <c r="A215" s="3">
        <v>707</v>
      </c>
      <c r="B215" s="3">
        <v>24242</v>
      </c>
      <c r="C215" s="4">
        <v>45677</v>
      </c>
      <c r="D215" s="4">
        <v>45679</v>
      </c>
      <c r="E215" s="5" t="s">
        <v>24</v>
      </c>
      <c r="F215" s="3">
        <v>353.99</v>
      </c>
      <c r="G215" s="6">
        <f t="shared" si="16"/>
        <v>304.4314</v>
      </c>
      <c r="H215" s="7">
        <f t="shared" si="0"/>
        <v>45724</v>
      </c>
      <c r="I215" s="2" t="str">
        <f t="shared" si="1"/>
        <v>marzo</v>
      </c>
      <c r="J215" s="2">
        <f t="shared" si="2"/>
        <v>3</v>
      </c>
      <c r="K215" s="2">
        <f t="shared" si="17"/>
        <v>2025</v>
      </c>
      <c r="L215" s="2" t="str">
        <f t="shared" si="18"/>
        <v>THE GRITTI PALACE</v>
      </c>
      <c r="M215" s="2">
        <f t="shared" si="19"/>
        <v>0</v>
      </c>
      <c r="Q215" s="3">
        <v>26152</v>
      </c>
      <c r="R215" s="5" t="s">
        <v>253</v>
      </c>
      <c r="V215" s="3">
        <v>50</v>
      </c>
      <c r="W215" s="5" t="s">
        <v>94</v>
      </c>
      <c r="AD215" s="10"/>
      <c r="AE215" s="10"/>
    </row>
    <row r="216" spans="1:31" ht="15.75" customHeight="1">
      <c r="A216" s="3">
        <v>707</v>
      </c>
      <c r="B216" s="3">
        <v>25364</v>
      </c>
      <c r="C216" s="4">
        <v>46033</v>
      </c>
      <c r="D216" s="4">
        <v>46034</v>
      </c>
      <c r="E216" s="5" t="s">
        <v>24</v>
      </c>
      <c r="F216" s="3">
        <v>248.62</v>
      </c>
      <c r="G216" s="6">
        <f t="shared" si="16"/>
        <v>213.81319999999999</v>
      </c>
      <c r="H216" s="7">
        <f t="shared" si="0"/>
        <v>46079</v>
      </c>
      <c r="I216" s="2" t="str">
        <f t="shared" si="1"/>
        <v>febrero</v>
      </c>
      <c r="J216" s="2">
        <f t="shared" si="2"/>
        <v>2</v>
      </c>
      <c r="K216" s="2">
        <f t="shared" si="17"/>
        <v>2026</v>
      </c>
      <c r="L216" s="2" t="str">
        <f t="shared" si="18"/>
        <v>Ritz nikko</v>
      </c>
      <c r="M216" s="2">
        <f t="shared" si="19"/>
        <v>0</v>
      </c>
      <c r="Q216" s="3">
        <v>26216</v>
      </c>
      <c r="R216" s="5" t="s">
        <v>254</v>
      </c>
      <c r="V216" s="3">
        <v>51</v>
      </c>
      <c r="W216" s="5" t="s">
        <v>158</v>
      </c>
      <c r="AD216" s="10"/>
      <c r="AE216" s="10"/>
    </row>
    <row r="217" spans="1:31" ht="15.75" customHeight="1">
      <c r="A217" s="3">
        <v>707</v>
      </c>
      <c r="B217" s="3">
        <v>25364</v>
      </c>
      <c r="C217" s="4">
        <v>46044</v>
      </c>
      <c r="D217" s="4">
        <v>46046</v>
      </c>
      <c r="E217" s="5" t="s">
        <v>24</v>
      </c>
      <c r="F217" s="3">
        <v>828.74</v>
      </c>
      <c r="G217" s="6">
        <f t="shared" si="16"/>
        <v>712.71640000000002</v>
      </c>
      <c r="H217" s="7">
        <f t="shared" si="0"/>
        <v>46091</v>
      </c>
      <c r="I217" s="2" t="str">
        <f t="shared" si="1"/>
        <v>marzo</v>
      </c>
      <c r="J217" s="2">
        <f t="shared" si="2"/>
        <v>3</v>
      </c>
      <c r="K217" s="2">
        <f t="shared" si="17"/>
        <v>2026</v>
      </c>
      <c r="L217" s="2" t="str">
        <f t="shared" si="18"/>
        <v>Ritz nikko</v>
      </c>
      <c r="M217" s="2">
        <f t="shared" si="19"/>
        <v>0</v>
      </c>
      <c r="Q217" s="3">
        <v>26232</v>
      </c>
      <c r="R217" s="5" t="s">
        <v>255</v>
      </c>
      <c r="V217" s="3">
        <v>52</v>
      </c>
      <c r="W217" s="5" t="s">
        <v>23</v>
      </c>
      <c r="AD217" s="10"/>
      <c r="AE217" s="11"/>
    </row>
    <row r="218" spans="1:31" ht="15.75" customHeight="1">
      <c r="A218" s="3">
        <v>708</v>
      </c>
      <c r="B218" s="3">
        <v>26070</v>
      </c>
      <c r="C218" s="4">
        <v>46046</v>
      </c>
      <c r="D218" s="4">
        <v>46050</v>
      </c>
      <c r="E218" s="5" t="s">
        <v>24</v>
      </c>
      <c r="F218" s="3">
        <v>180.64</v>
      </c>
      <c r="G218" s="6">
        <f t="shared" si="16"/>
        <v>155.35039999999998</v>
      </c>
      <c r="H218" s="7">
        <f t="shared" si="0"/>
        <v>46095</v>
      </c>
      <c r="I218" s="2" t="str">
        <f t="shared" si="1"/>
        <v>marzo</v>
      </c>
      <c r="J218" s="2">
        <f t="shared" si="2"/>
        <v>3</v>
      </c>
      <c r="K218" s="2">
        <f t="shared" si="17"/>
        <v>2026</v>
      </c>
      <c r="L218" s="2" t="str">
        <f t="shared" si="18"/>
        <v>FOUR SEASONS HOTEL SEOUL</v>
      </c>
      <c r="M218" s="2">
        <f t="shared" si="19"/>
        <v>0</v>
      </c>
      <c r="Q218" s="3">
        <v>26277</v>
      </c>
      <c r="R218" s="5" t="s">
        <v>256</v>
      </c>
      <c r="V218" s="3">
        <v>53</v>
      </c>
      <c r="W218" s="5" t="s">
        <v>158</v>
      </c>
      <c r="AD218" s="11"/>
      <c r="AE218" s="11"/>
    </row>
    <row r="219" spans="1:31" ht="15.75" customHeight="1">
      <c r="A219" s="3">
        <v>710</v>
      </c>
      <c r="B219" s="3">
        <v>25780</v>
      </c>
      <c r="C219" s="4">
        <v>45919</v>
      </c>
      <c r="D219" s="4">
        <v>45919</v>
      </c>
      <c r="E219" s="5" t="s">
        <v>19</v>
      </c>
      <c r="F219" s="3">
        <v>30</v>
      </c>
      <c r="G219" s="6">
        <f t="shared" si="16"/>
        <v>30</v>
      </c>
      <c r="H219" s="7">
        <f t="shared" si="0"/>
        <v>45964</v>
      </c>
      <c r="I219" s="2" t="str">
        <f t="shared" si="1"/>
        <v>noviembre</v>
      </c>
      <c r="J219" s="2">
        <f t="shared" si="2"/>
        <v>11</v>
      </c>
      <c r="K219" s="2">
        <f t="shared" si="17"/>
        <v>2025</v>
      </c>
      <c r="L219" s="2" t="str">
        <f t="shared" si="18"/>
        <v>ROLZO</v>
      </c>
      <c r="M219" s="2">
        <f t="shared" si="19"/>
        <v>0</v>
      </c>
      <c r="Q219" s="3">
        <v>26285</v>
      </c>
      <c r="R219" s="5" t="s">
        <v>257</v>
      </c>
      <c r="V219" s="3">
        <v>53</v>
      </c>
      <c r="W219" s="5" t="s">
        <v>23</v>
      </c>
      <c r="AD219" s="11"/>
      <c r="AE219" s="10"/>
    </row>
    <row r="220" spans="1:31" ht="15.75" customHeight="1">
      <c r="A220" s="3">
        <v>710</v>
      </c>
      <c r="B220" s="3">
        <v>25780</v>
      </c>
      <c r="C220" s="4">
        <v>45929</v>
      </c>
      <c r="D220" s="4">
        <v>45929</v>
      </c>
      <c r="E220" s="5" t="s">
        <v>19</v>
      </c>
      <c r="F220" s="3">
        <v>30</v>
      </c>
      <c r="G220" s="6">
        <f t="shared" si="16"/>
        <v>30</v>
      </c>
      <c r="H220" s="7">
        <f t="shared" si="0"/>
        <v>45974</v>
      </c>
      <c r="I220" s="2" t="str">
        <f t="shared" si="1"/>
        <v>noviembre</v>
      </c>
      <c r="J220" s="2">
        <f t="shared" si="2"/>
        <v>11</v>
      </c>
      <c r="K220" s="2">
        <f t="shared" si="17"/>
        <v>2025</v>
      </c>
      <c r="L220" s="2" t="str">
        <f t="shared" si="18"/>
        <v>ROLZO</v>
      </c>
      <c r="M220" s="2">
        <f t="shared" si="19"/>
        <v>0</v>
      </c>
      <c r="Q220" s="3">
        <v>26287</v>
      </c>
      <c r="R220" s="5" t="s">
        <v>258</v>
      </c>
      <c r="V220" s="3">
        <v>54</v>
      </c>
      <c r="W220" s="5" t="s">
        <v>68</v>
      </c>
      <c r="AD220" s="11"/>
      <c r="AE220" s="10"/>
    </row>
    <row r="221" spans="1:31" ht="15.75" customHeight="1">
      <c r="A221" s="3">
        <v>720</v>
      </c>
      <c r="B221" s="3">
        <v>28731</v>
      </c>
      <c r="C221" s="4">
        <v>45870</v>
      </c>
      <c r="D221" s="4">
        <v>45870</v>
      </c>
      <c r="E221" s="5" t="s">
        <v>24</v>
      </c>
      <c r="F221" s="3">
        <v>0.5</v>
      </c>
      <c r="G221" s="6">
        <f t="shared" si="16"/>
        <v>0.43</v>
      </c>
      <c r="H221" s="7">
        <f t="shared" si="0"/>
        <v>45915</v>
      </c>
      <c r="I221" s="2" t="str">
        <f t="shared" si="1"/>
        <v>septiembre</v>
      </c>
      <c r="J221" s="2">
        <f t="shared" si="2"/>
        <v>9</v>
      </c>
      <c r="K221" s="2">
        <f t="shared" si="17"/>
        <v>2025</v>
      </c>
      <c r="L221" s="2" t="str">
        <f t="shared" si="18"/>
        <v>ASIA EXOTICA</v>
      </c>
      <c r="M221" s="2">
        <f t="shared" si="19"/>
        <v>0</v>
      </c>
      <c r="Q221" s="3">
        <v>26288</v>
      </c>
      <c r="R221" s="5" t="s">
        <v>259</v>
      </c>
      <c r="V221" s="3">
        <v>55</v>
      </c>
      <c r="W221" s="5" t="s">
        <v>68</v>
      </c>
      <c r="AD221" s="11"/>
      <c r="AE221" s="10"/>
    </row>
    <row r="222" spans="1:31" ht="15.75" customHeight="1">
      <c r="A222" s="3">
        <v>720</v>
      </c>
      <c r="B222" s="3">
        <v>26638</v>
      </c>
      <c r="C222" s="4">
        <v>45870</v>
      </c>
      <c r="D222" s="4">
        <v>45871</v>
      </c>
      <c r="E222" s="5" t="s">
        <v>24</v>
      </c>
      <c r="F222" s="3">
        <v>50</v>
      </c>
      <c r="G222" s="6">
        <f t="shared" si="16"/>
        <v>43</v>
      </c>
      <c r="H222" s="7">
        <f t="shared" si="0"/>
        <v>45916</v>
      </c>
      <c r="I222" s="2" t="str">
        <f t="shared" si="1"/>
        <v>septiembre</v>
      </c>
      <c r="J222" s="2">
        <f t="shared" si="2"/>
        <v>9</v>
      </c>
      <c r="K222" s="2">
        <f t="shared" si="17"/>
        <v>2025</v>
      </c>
      <c r="L222" s="2" t="str">
        <f t="shared" si="18"/>
        <v>AJET</v>
      </c>
      <c r="M222" s="2">
        <f t="shared" si="19"/>
        <v>0</v>
      </c>
      <c r="Q222" s="3">
        <v>26346</v>
      </c>
      <c r="R222" s="5" t="s">
        <v>260</v>
      </c>
      <c r="V222" s="3">
        <v>56</v>
      </c>
      <c r="W222" s="5" t="s">
        <v>158</v>
      </c>
      <c r="AD222" s="10"/>
      <c r="AE222" s="10"/>
    </row>
    <row r="223" spans="1:31" ht="15.75" customHeight="1">
      <c r="A223" s="3">
        <v>726</v>
      </c>
      <c r="B223" s="3">
        <v>31065</v>
      </c>
      <c r="C223" s="4">
        <v>45981</v>
      </c>
      <c r="D223" s="4">
        <v>45985</v>
      </c>
      <c r="E223" s="5" t="s">
        <v>24</v>
      </c>
      <c r="F223" s="3">
        <v>554</v>
      </c>
      <c r="G223" s="6">
        <f t="shared" si="16"/>
        <v>476.44</v>
      </c>
      <c r="H223" s="7">
        <f t="shared" si="0"/>
        <v>46030</v>
      </c>
      <c r="I223" s="2" t="str">
        <f t="shared" si="1"/>
        <v>enero</v>
      </c>
      <c r="J223" s="2">
        <f t="shared" si="2"/>
        <v>1</v>
      </c>
      <c r="K223" s="2">
        <f t="shared" si="17"/>
        <v>2026</v>
      </c>
      <c r="L223" s="2" t="str">
        <f t="shared" si="18"/>
        <v>ROSEWOOD MANSION ON TURTLE CREEK</v>
      </c>
      <c r="M223" s="2">
        <f t="shared" si="19"/>
        <v>0</v>
      </c>
      <c r="Q223" s="3">
        <v>26348</v>
      </c>
      <c r="R223" s="5" t="s">
        <v>261</v>
      </c>
      <c r="V223" s="3">
        <v>56</v>
      </c>
      <c r="W223" s="5" t="s">
        <v>68</v>
      </c>
      <c r="AD223" s="10"/>
      <c r="AE223" s="10"/>
    </row>
    <row r="224" spans="1:31" ht="15.75" customHeight="1">
      <c r="A224" s="3">
        <v>726</v>
      </c>
      <c r="B224" s="3">
        <v>27704</v>
      </c>
      <c r="C224" s="4">
        <v>45981</v>
      </c>
      <c r="D224" s="4">
        <v>45981</v>
      </c>
      <c r="E224" s="5" t="s">
        <v>24</v>
      </c>
      <c r="F224" s="3">
        <v>15.34</v>
      </c>
      <c r="G224" s="6">
        <f t="shared" si="16"/>
        <v>13.192399999999999</v>
      </c>
      <c r="H224" s="7">
        <f t="shared" si="0"/>
        <v>46026</v>
      </c>
      <c r="I224" s="2" t="str">
        <f t="shared" si="1"/>
        <v>enero</v>
      </c>
      <c r="J224" s="2">
        <f t="shared" si="2"/>
        <v>1</v>
      </c>
      <c r="K224" s="2">
        <f t="shared" si="17"/>
        <v>2026</v>
      </c>
      <c r="L224" s="2" t="str">
        <f t="shared" si="18"/>
        <v>Blacklane</v>
      </c>
      <c r="M224" s="2">
        <f t="shared" si="19"/>
        <v>0</v>
      </c>
      <c r="Q224" s="3">
        <v>26368</v>
      </c>
      <c r="R224" s="5" t="s">
        <v>262</v>
      </c>
      <c r="V224" s="3">
        <v>56</v>
      </c>
      <c r="W224" s="5" t="s">
        <v>23</v>
      </c>
      <c r="AD224" s="11"/>
      <c r="AE224" s="11"/>
    </row>
    <row r="225" spans="1:31" ht="15.75" customHeight="1">
      <c r="A225" s="3">
        <v>726</v>
      </c>
      <c r="B225" s="3">
        <v>27704</v>
      </c>
      <c r="C225" s="4">
        <v>45985</v>
      </c>
      <c r="D225" s="4">
        <v>45985</v>
      </c>
      <c r="E225" s="5" t="s">
        <v>24</v>
      </c>
      <c r="F225" s="3">
        <v>15.95</v>
      </c>
      <c r="G225" s="6">
        <f t="shared" si="16"/>
        <v>13.716999999999999</v>
      </c>
      <c r="H225" s="7">
        <f t="shared" si="0"/>
        <v>46030</v>
      </c>
      <c r="I225" s="2" t="str">
        <f t="shared" si="1"/>
        <v>enero</v>
      </c>
      <c r="J225" s="2">
        <f t="shared" si="2"/>
        <v>1</v>
      </c>
      <c r="K225" s="2">
        <f t="shared" si="17"/>
        <v>2026</v>
      </c>
      <c r="L225" s="2" t="str">
        <f t="shared" si="18"/>
        <v>Blacklane</v>
      </c>
      <c r="M225" s="2">
        <f t="shared" si="19"/>
        <v>0</v>
      </c>
      <c r="Q225" s="3">
        <v>26427</v>
      </c>
      <c r="R225" s="5" t="s">
        <v>263</v>
      </c>
      <c r="V225" s="3">
        <v>56</v>
      </c>
      <c r="W225" s="5" t="s">
        <v>264</v>
      </c>
      <c r="AD225" s="11"/>
      <c r="AE225" s="11"/>
    </row>
    <row r="226" spans="1:31" ht="15.75" customHeight="1">
      <c r="A226" s="3">
        <v>727</v>
      </c>
      <c r="B226" s="3">
        <v>25348</v>
      </c>
      <c r="C226" s="4">
        <v>45990</v>
      </c>
      <c r="D226" s="4">
        <v>45991</v>
      </c>
      <c r="E226" s="5" t="s">
        <v>24</v>
      </c>
      <c r="F226" s="3">
        <v>139</v>
      </c>
      <c r="G226" s="6">
        <f t="shared" si="16"/>
        <v>119.53999999999999</v>
      </c>
      <c r="H226" s="7">
        <f t="shared" si="0"/>
        <v>46036</v>
      </c>
      <c r="I226" s="2" t="str">
        <f t="shared" si="1"/>
        <v>enero</v>
      </c>
      <c r="J226" s="2">
        <f t="shared" si="2"/>
        <v>1</v>
      </c>
      <c r="K226" s="2">
        <f t="shared" si="17"/>
        <v>2026</v>
      </c>
      <c r="L226" s="2" t="str">
        <f t="shared" si="18"/>
        <v>ARABIAN LUX</v>
      </c>
      <c r="M226" s="2">
        <f t="shared" si="19"/>
        <v>0</v>
      </c>
      <c r="Q226" s="3">
        <v>26428</v>
      </c>
      <c r="R226" s="5" t="s">
        <v>265</v>
      </c>
      <c r="V226" s="3">
        <v>56</v>
      </c>
      <c r="W226" s="5" t="s">
        <v>266</v>
      </c>
      <c r="AD226" s="11"/>
      <c r="AE226" s="11"/>
    </row>
    <row r="227" spans="1:31" ht="15.75" customHeight="1">
      <c r="A227" s="3">
        <v>729</v>
      </c>
      <c r="B227" s="3">
        <v>31084</v>
      </c>
      <c r="C227" s="4">
        <v>45857</v>
      </c>
      <c r="D227" s="4">
        <v>45866</v>
      </c>
      <c r="E227" s="5" t="s">
        <v>24</v>
      </c>
      <c r="F227" s="3">
        <v>438.6</v>
      </c>
      <c r="G227" s="6">
        <f t="shared" si="16"/>
        <v>377.19600000000003</v>
      </c>
      <c r="H227" s="7">
        <f t="shared" si="0"/>
        <v>45911</v>
      </c>
      <c r="I227" s="2" t="str">
        <f t="shared" si="1"/>
        <v>septiembre</v>
      </c>
      <c r="J227" s="2">
        <f t="shared" si="2"/>
        <v>9</v>
      </c>
      <c r="K227" s="2">
        <f t="shared" si="17"/>
        <v>2025</v>
      </c>
      <c r="L227" s="2" t="str">
        <f t="shared" si="18"/>
        <v>HYATT UNION SQUARE NEW YORK</v>
      </c>
      <c r="M227" s="2">
        <f t="shared" si="19"/>
        <v>0</v>
      </c>
      <c r="Q227" s="3">
        <v>26429</v>
      </c>
      <c r="R227" s="5" t="s">
        <v>267</v>
      </c>
      <c r="V227" s="3">
        <v>56</v>
      </c>
      <c r="W227" s="5" t="s">
        <v>23</v>
      </c>
      <c r="AD227" s="10"/>
      <c r="AE227" s="10"/>
    </row>
    <row r="228" spans="1:31" ht="15.75" customHeight="1">
      <c r="A228" s="3">
        <v>729</v>
      </c>
      <c r="B228" s="3">
        <v>31084</v>
      </c>
      <c r="C228" s="4">
        <v>45868</v>
      </c>
      <c r="D228" s="4">
        <v>45888</v>
      </c>
      <c r="E228" s="5" t="s">
        <v>24</v>
      </c>
      <c r="F228" s="3">
        <v>906.5</v>
      </c>
      <c r="G228" s="6">
        <f t="shared" si="16"/>
        <v>779.59</v>
      </c>
      <c r="H228" s="7">
        <f t="shared" si="0"/>
        <v>45933</v>
      </c>
      <c r="I228" s="2" t="str">
        <f t="shared" si="1"/>
        <v>octubre</v>
      </c>
      <c r="J228" s="2">
        <f t="shared" si="2"/>
        <v>10</v>
      </c>
      <c r="K228" s="2">
        <f t="shared" si="17"/>
        <v>2025</v>
      </c>
      <c r="L228" s="2" t="str">
        <f t="shared" si="18"/>
        <v>HYATT UNION SQUARE NEW YORK</v>
      </c>
      <c r="M228" s="2">
        <f t="shared" si="19"/>
        <v>0</v>
      </c>
      <c r="Q228" s="3">
        <v>26452</v>
      </c>
      <c r="R228" s="5" t="s">
        <v>268</v>
      </c>
      <c r="V228" s="3">
        <v>56</v>
      </c>
      <c r="W228" s="5" t="s">
        <v>158</v>
      </c>
      <c r="AD228" s="10"/>
      <c r="AE228" s="10"/>
    </row>
    <row r="229" spans="1:31" ht="15.75" customHeight="1">
      <c r="A229" s="3">
        <v>729</v>
      </c>
      <c r="B229" s="3">
        <v>31084</v>
      </c>
      <c r="C229" s="4">
        <v>45867</v>
      </c>
      <c r="D229" s="4">
        <v>45872</v>
      </c>
      <c r="E229" s="5" t="s">
        <v>24</v>
      </c>
      <c r="F229" s="3">
        <v>406.1</v>
      </c>
      <c r="G229" s="6">
        <f t="shared" si="16"/>
        <v>349.24600000000004</v>
      </c>
      <c r="H229" s="7">
        <f t="shared" si="0"/>
        <v>45917</v>
      </c>
      <c r="I229" s="2" t="str">
        <f t="shared" si="1"/>
        <v>septiembre</v>
      </c>
      <c r="J229" s="2">
        <f t="shared" si="2"/>
        <v>9</v>
      </c>
      <c r="K229" s="2">
        <f t="shared" si="17"/>
        <v>2025</v>
      </c>
      <c r="L229" s="2" t="str">
        <f t="shared" si="18"/>
        <v>HYATT UNION SQUARE NEW YORK</v>
      </c>
      <c r="M229" s="2">
        <f t="shared" si="19"/>
        <v>0</v>
      </c>
      <c r="Q229" s="3">
        <v>26512</v>
      </c>
      <c r="R229" s="5" t="s">
        <v>269</v>
      </c>
      <c r="V229" s="3">
        <v>56</v>
      </c>
      <c r="W229" s="5" t="s">
        <v>94</v>
      </c>
      <c r="AD229" s="10"/>
      <c r="AE229" s="10"/>
    </row>
    <row r="230" spans="1:31" ht="15.75" customHeight="1">
      <c r="A230" s="3">
        <v>736</v>
      </c>
      <c r="B230" s="3">
        <v>25372</v>
      </c>
      <c r="C230" s="4">
        <v>46184</v>
      </c>
      <c r="D230" s="4">
        <v>46214</v>
      </c>
      <c r="E230" s="5" t="s">
        <v>24</v>
      </c>
      <c r="F230" s="3">
        <v>1390</v>
      </c>
      <c r="G230" s="6">
        <f t="shared" si="16"/>
        <v>1195.4000000000001</v>
      </c>
      <c r="H230" s="7">
        <f t="shared" si="0"/>
        <v>46259</v>
      </c>
      <c r="I230" s="2" t="str">
        <f t="shared" si="1"/>
        <v>agosto</v>
      </c>
      <c r="J230" s="2">
        <f t="shared" si="2"/>
        <v>8</v>
      </c>
      <c r="K230" s="2">
        <f t="shared" si="17"/>
        <v>2026</v>
      </c>
      <c r="L230" s="2" t="str">
        <f t="shared" si="18"/>
        <v>Queen Of Clubs Lifestyle Luxury Services LTD</v>
      </c>
      <c r="M230" s="2">
        <f t="shared" si="19"/>
        <v>0</v>
      </c>
      <c r="Q230" s="3">
        <v>26535</v>
      </c>
      <c r="R230" s="5" t="s">
        <v>270</v>
      </c>
      <c r="V230" s="3">
        <v>56</v>
      </c>
      <c r="W230" s="5" t="s">
        <v>94</v>
      </c>
      <c r="AD230" s="10"/>
      <c r="AE230" s="10"/>
    </row>
    <row r="231" spans="1:31" ht="15.75" customHeight="1">
      <c r="A231" s="3">
        <v>739</v>
      </c>
      <c r="B231" s="3">
        <v>27195</v>
      </c>
      <c r="C231" s="4">
        <v>46030</v>
      </c>
      <c r="D231" s="4">
        <v>46033</v>
      </c>
      <c r="E231" s="5" t="s">
        <v>19</v>
      </c>
      <c r="F231" s="3">
        <v>282</v>
      </c>
      <c r="G231" s="6">
        <f t="shared" si="16"/>
        <v>282</v>
      </c>
      <c r="H231" s="7">
        <f t="shared" si="0"/>
        <v>46078</v>
      </c>
      <c r="I231" s="2" t="str">
        <f t="shared" si="1"/>
        <v>febrero</v>
      </c>
      <c r="J231" s="2">
        <f t="shared" si="2"/>
        <v>2</v>
      </c>
      <c r="K231" s="2">
        <f t="shared" si="17"/>
        <v>2026</v>
      </c>
      <c r="L231" s="2" t="str">
        <f t="shared" si="18"/>
        <v>CROSSING MANZONI</v>
      </c>
      <c r="M231" s="2">
        <f t="shared" si="19"/>
        <v>0</v>
      </c>
      <c r="Q231" s="3">
        <v>26554</v>
      </c>
      <c r="R231" s="5" t="s">
        <v>271</v>
      </c>
      <c r="V231" s="3">
        <v>56</v>
      </c>
      <c r="W231" s="5" t="s">
        <v>23</v>
      </c>
      <c r="AD231" s="11"/>
      <c r="AE231" s="11"/>
    </row>
    <row r="232" spans="1:31" ht="15.75" customHeight="1">
      <c r="A232" s="3">
        <v>739</v>
      </c>
      <c r="B232" s="3">
        <v>29025</v>
      </c>
      <c r="C232" s="4">
        <v>46033</v>
      </c>
      <c r="D232" s="4">
        <v>46037</v>
      </c>
      <c r="E232" s="5" t="s">
        <v>19</v>
      </c>
      <c r="F232" s="3">
        <v>184.32</v>
      </c>
      <c r="G232" s="6">
        <f t="shared" si="16"/>
        <v>184.32</v>
      </c>
      <c r="H232" s="7">
        <f t="shared" si="0"/>
        <v>46082</v>
      </c>
      <c r="I232" s="2" t="str">
        <f t="shared" si="1"/>
        <v>marzo</v>
      </c>
      <c r="J232" s="2">
        <f t="shared" si="2"/>
        <v>3</v>
      </c>
      <c r="K232" s="2">
        <f t="shared" si="17"/>
        <v>2026</v>
      </c>
      <c r="L232" s="2" t="str">
        <f t="shared" si="18"/>
        <v>LEFAY RESORT AND SPA DOLOMITI</v>
      </c>
      <c r="M232" s="2">
        <f t="shared" si="19"/>
        <v>0</v>
      </c>
      <c r="Q232" s="3">
        <v>26574</v>
      </c>
      <c r="R232" s="5" t="s">
        <v>272</v>
      </c>
      <c r="V232" s="3">
        <v>56</v>
      </c>
      <c r="W232" s="5" t="s">
        <v>94</v>
      </c>
      <c r="AD232" s="11"/>
      <c r="AE232" s="11"/>
    </row>
    <row r="233" spans="1:31" ht="15.75" customHeight="1">
      <c r="A233" s="3">
        <v>739</v>
      </c>
      <c r="B233" s="3">
        <v>28259</v>
      </c>
      <c r="C233" s="4">
        <v>46037</v>
      </c>
      <c r="D233" s="4">
        <v>46040</v>
      </c>
      <c r="E233" s="5" t="s">
        <v>19</v>
      </c>
      <c r="F233" s="3">
        <v>154.85</v>
      </c>
      <c r="G233" s="6">
        <f t="shared" si="16"/>
        <v>154.85</v>
      </c>
      <c r="H233" s="7">
        <f t="shared" si="0"/>
        <v>46085</v>
      </c>
      <c r="I233" s="2" t="str">
        <f t="shared" si="1"/>
        <v>marzo</v>
      </c>
      <c r="J233" s="2">
        <f t="shared" si="2"/>
        <v>3</v>
      </c>
      <c r="K233" s="2">
        <f t="shared" si="17"/>
        <v>2026</v>
      </c>
      <c r="L233" s="2" t="str">
        <f t="shared" si="18"/>
        <v>HOTEL AUBEPINE</v>
      </c>
      <c r="M233" s="2">
        <f t="shared" si="19"/>
        <v>0</v>
      </c>
      <c r="Q233" s="3">
        <v>26591</v>
      </c>
      <c r="R233" s="5" t="s">
        <v>273</v>
      </c>
      <c r="V233" s="3">
        <v>56</v>
      </c>
      <c r="W233" s="5" t="s">
        <v>58</v>
      </c>
      <c r="AD233" s="11"/>
      <c r="AE233" s="11"/>
    </row>
    <row r="234" spans="1:31" ht="15.75" customHeight="1">
      <c r="A234" s="3">
        <v>741</v>
      </c>
      <c r="B234" s="3">
        <v>24878</v>
      </c>
      <c r="C234" s="4">
        <v>46063</v>
      </c>
      <c r="D234" s="4">
        <v>46070</v>
      </c>
      <c r="E234" s="5" t="s">
        <v>26</v>
      </c>
      <c r="F234" s="3">
        <v>2440.7600000000002</v>
      </c>
      <c r="G234" s="6">
        <f t="shared" si="16"/>
        <v>2611.6132000000002</v>
      </c>
      <c r="H234" s="7">
        <f t="shared" si="0"/>
        <v>46115</v>
      </c>
      <c r="I234" s="2" t="str">
        <f t="shared" si="1"/>
        <v>abril</v>
      </c>
      <c r="J234" s="2">
        <f t="shared" si="2"/>
        <v>4</v>
      </c>
      <c r="K234" s="2">
        <f t="shared" si="17"/>
        <v>2026</v>
      </c>
      <c r="L234" s="2" t="str">
        <f t="shared" si="18"/>
        <v>THE ALPINA GSTAAD</v>
      </c>
      <c r="M234" s="2">
        <f t="shared" si="19"/>
        <v>0</v>
      </c>
      <c r="Q234" s="3">
        <v>26592</v>
      </c>
      <c r="R234" s="5" t="s">
        <v>274</v>
      </c>
      <c r="V234" s="3">
        <v>56</v>
      </c>
      <c r="W234" s="5" t="s">
        <v>264</v>
      </c>
      <c r="AD234" s="13"/>
      <c r="AE234" s="13"/>
    </row>
    <row r="235" spans="1:31" ht="15.75" customHeight="1">
      <c r="A235" s="3">
        <v>743</v>
      </c>
      <c r="B235" s="3">
        <v>30616</v>
      </c>
      <c r="C235" s="4">
        <v>45983</v>
      </c>
      <c r="D235" s="4">
        <v>45987</v>
      </c>
      <c r="E235" s="5" t="s">
        <v>24</v>
      </c>
      <c r="F235" s="3">
        <v>269.08</v>
      </c>
      <c r="G235" s="6">
        <f t="shared" si="16"/>
        <v>231.40879999999999</v>
      </c>
      <c r="H235" s="7">
        <f t="shared" si="0"/>
        <v>46032</v>
      </c>
      <c r="I235" s="2" t="str">
        <f t="shared" si="1"/>
        <v>enero</v>
      </c>
      <c r="J235" s="2">
        <f t="shared" si="2"/>
        <v>1</v>
      </c>
      <c r="K235" s="2">
        <f t="shared" si="17"/>
        <v>2026</v>
      </c>
      <c r="L235" s="2" t="str">
        <f t="shared" si="18"/>
        <v>GRACE HOTEL, AUBERGE COLLECTION</v>
      </c>
      <c r="M235" s="2">
        <f t="shared" si="19"/>
        <v>0</v>
      </c>
      <c r="Q235" s="3">
        <v>26593</v>
      </c>
      <c r="R235" s="5" t="s">
        <v>275</v>
      </c>
      <c r="V235" s="3">
        <v>56</v>
      </c>
      <c r="W235" s="5" t="s">
        <v>266</v>
      </c>
      <c r="AD235" s="13"/>
      <c r="AE235" s="13"/>
    </row>
    <row r="236" spans="1:31" ht="15.75" customHeight="1">
      <c r="A236" s="3">
        <v>743</v>
      </c>
      <c r="B236" s="3">
        <v>24239</v>
      </c>
      <c r="C236" s="4">
        <v>45987</v>
      </c>
      <c r="D236" s="4">
        <v>45990</v>
      </c>
      <c r="E236" s="5" t="s">
        <v>24</v>
      </c>
      <c r="F236" s="3">
        <v>283.5</v>
      </c>
      <c r="G236" s="6">
        <f t="shared" si="16"/>
        <v>243.81</v>
      </c>
      <c r="H236" s="7">
        <f t="shared" si="0"/>
        <v>46035</v>
      </c>
      <c r="I236" s="2" t="str">
        <f t="shared" si="1"/>
        <v>enero</v>
      </c>
      <c r="J236" s="2">
        <f t="shared" si="2"/>
        <v>1</v>
      </c>
      <c r="K236" s="2">
        <f t="shared" si="17"/>
        <v>2026</v>
      </c>
      <c r="L236" s="2" t="str">
        <f t="shared" si="18"/>
        <v>UNITED PLACES HOTEL BOTANIC GARDENS</v>
      </c>
      <c r="M236" s="2">
        <f t="shared" si="19"/>
        <v>0</v>
      </c>
      <c r="Q236" s="3">
        <v>26612</v>
      </c>
      <c r="R236" s="5" t="s">
        <v>276</v>
      </c>
      <c r="V236" s="3">
        <v>56</v>
      </c>
      <c r="W236" s="5" t="s">
        <v>23</v>
      </c>
      <c r="AD236" s="11"/>
      <c r="AE236" s="11"/>
    </row>
    <row r="237" spans="1:31" ht="15.75" customHeight="1">
      <c r="A237" s="3">
        <v>744</v>
      </c>
      <c r="B237" s="3">
        <v>28243</v>
      </c>
      <c r="C237" s="4">
        <v>46019</v>
      </c>
      <c r="D237" s="4">
        <v>46020</v>
      </c>
      <c r="E237" s="5" t="s">
        <v>24</v>
      </c>
      <c r="F237" s="3">
        <v>62.98</v>
      </c>
      <c r="G237" s="6">
        <f t="shared" si="16"/>
        <v>54.162799999999997</v>
      </c>
      <c r="H237" s="7">
        <f t="shared" si="0"/>
        <v>46065</v>
      </c>
      <c r="I237" s="2" t="str">
        <f t="shared" si="1"/>
        <v>febrero</v>
      </c>
      <c r="J237" s="2">
        <f t="shared" si="2"/>
        <v>2</v>
      </c>
      <c r="K237" s="2">
        <f t="shared" si="17"/>
        <v>2026</v>
      </c>
      <c r="L237" s="2" t="str">
        <f t="shared" si="18"/>
        <v>ROSEWOOD HOTEL GEORGIA</v>
      </c>
      <c r="M237" s="2">
        <f t="shared" si="19"/>
        <v>0</v>
      </c>
      <c r="Q237" s="3">
        <v>26615</v>
      </c>
      <c r="R237" s="5" t="s">
        <v>277</v>
      </c>
      <c r="V237" s="3">
        <v>56</v>
      </c>
      <c r="W237" s="5" t="s">
        <v>23</v>
      </c>
      <c r="AD237" s="10"/>
      <c r="AE237" s="10"/>
    </row>
    <row r="238" spans="1:31" ht="15.75" customHeight="1">
      <c r="A238" s="3">
        <v>744</v>
      </c>
      <c r="B238" s="3">
        <v>28243</v>
      </c>
      <c r="C238" s="4">
        <v>46019</v>
      </c>
      <c r="D238" s="4">
        <v>46020</v>
      </c>
      <c r="E238" s="5" t="s">
        <v>24</v>
      </c>
      <c r="F238" s="3">
        <v>62.98</v>
      </c>
      <c r="G238" s="6">
        <f t="shared" si="16"/>
        <v>54.162799999999997</v>
      </c>
      <c r="H238" s="7">
        <f t="shared" si="0"/>
        <v>46065</v>
      </c>
      <c r="I238" s="2" t="str">
        <f t="shared" si="1"/>
        <v>febrero</v>
      </c>
      <c r="J238" s="2">
        <f t="shared" si="2"/>
        <v>2</v>
      </c>
      <c r="K238" s="2">
        <f t="shared" si="17"/>
        <v>2026</v>
      </c>
      <c r="L238" s="2" t="str">
        <f t="shared" si="18"/>
        <v>ROSEWOOD HOTEL GEORGIA</v>
      </c>
      <c r="M238" s="2">
        <f t="shared" si="19"/>
        <v>0</v>
      </c>
      <c r="Q238" s="3">
        <v>26616</v>
      </c>
      <c r="R238" s="5" t="s">
        <v>278</v>
      </c>
      <c r="V238" s="3">
        <v>57</v>
      </c>
      <c r="W238" s="5" t="s">
        <v>23</v>
      </c>
      <c r="AD238" s="10"/>
      <c r="AE238" s="10"/>
    </row>
    <row r="239" spans="1:31" ht="15.75" customHeight="1">
      <c r="A239" s="3">
        <v>744</v>
      </c>
      <c r="B239" s="3">
        <v>28243</v>
      </c>
      <c r="C239" s="4">
        <v>46019</v>
      </c>
      <c r="D239" s="4">
        <v>46020</v>
      </c>
      <c r="E239" s="5" t="s">
        <v>24</v>
      </c>
      <c r="F239" s="3">
        <v>65.55</v>
      </c>
      <c r="G239" s="6">
        <f t="shared" si="16"/>
        <v>56.372999999999998</v>
      </c>
      <c r="H239" s="7">
        <f t="shared" si="0"/>
        <v>46065</v>
      </c>
      <c r="I239" s="2" t="str">
        <f t="shared" si="1"/>
        <v>febrero</v>
      </c>
      <c r="J239" s="2">
        <f t="shared" si="2"/>
        <v>2</v>
      </c>
      <c r="K239" s="2">
        <f t="shared" si="17"/>
        <v>2026</v>
      </c>
      <c r="L239" s="2" t="str">
        <f t="shared" si="18"/>
        <v>ROSEWOOD HOTEL GEORGIA</v>
      </c>
      <c r="M239" s="2">
        <f t="shared" si="19"/>
        <v>0</v>
      </c>
      <c r="Q239" s="3">
        <v>26624</v>
      </c>
      <c r="R239" s="5" t="s">
        <v>279</v>
      </c>
      <c r="V239" s="3">
        <v>57</v>
      </c>
      <c r="W239" s="5" t="s">
        <v>23</v>
      </c>
      <c r="AD239" s="10"/>
      <c r="AE239" s="10"/>
    </row>
    <row r="240" spans="1:31" ht="15.75" customHeight="1">
      <c r="A240" s="3">
        <v>746</v>
      </c>
      <c r="B240" s="3">
        <v>31400</v>
      </c>
      <c r="C240" s="4">
        <v>46109</v>
      </c>
      <c r="D240" s="4">
        <v>46112</v>
      </c>
      <c r="E240" s="5" t="s">
        <v>24</v>
      </c>
      <c r="F240" s="3">
        <v>118.39</v>
      </c>
      <c r="G240" s="6">
        <f t="shared" si="16"/>
        <v>101.8154</v>
      </c>
      <c r="H240" s="7">
        <f t="shared" si="0"/>
        <v>46157</v>
      </c>
      <c r="I240" s="2" t="str">
        <f t="shared" si="1"/>
        <v>mayo</v>
      </c>
      <c r="J240" s="2">
        <f t="shared" si="2"/>
        <v>5</v>
      </c>
      <c r="K240" s="2">
        <f t="shared" si="17"/>
        <v>2026</v>
      </c>
      <c r="L240" s="2" t="str">
        <f t="shared" si="18"/>
        <v>HILTON GARDEN INN KYOTO SHIJO KARASUMA</v>
      </c>
      <c r="M240" s="2">
        <f t="shared" si="19"/>
        <v>0</v>
      </c>
      <c r="Q240" s="3">
        <v>26638</v>
      </c>
      <c r="R240" s="5" t="s">
        <v>280</v>
      </c>
      <c r="V240" s="3">
        <v>57</v>
      </c>
      <c r="W240" s="5" t="s">
        <v>89</v>
      </c>
      <c r="AD240" s="10"/>
      <c r="AE240" s="11"/>
    </row>
    <row r="241" spans="1:31" ht="15.75" customHeight="1">
      <c r="A241" s="3">
        <v>746</v>
      </c>
      <c r="B241" s="3">
        <v>31310</v>
      </c>
      <c r="C241" s="4">
        <v>46129</v>
      </c>
      <c r="D241" s="4">
        <v>46130</v>
      </c>
      <c r="E241" s="5" t="s">
        <v>24</v>
      </c>
      <c r="F241" s="3">
        <v>37.630000000000003</v>
      </c>
      <c r="G241" s="6">
        <f t="shared" si="16"/>
        <v>32.361800000000002</v>
      </c>
      <c r="H241" s="7">
        <f t="shared" si="0"/>
        <v>46175</v>
      </c>
      <c r="I241" s="2" t="str">
        <f t="shared" si="1"/>
        <v>junio</v>
      </c>
      <c r="J241" s="2">
        <f t="shared" si="2"/>
        <v>6</v>
      </c>
      <c r="K241" s="2">
        <f t="shared" si="17"/>
        <v>2026</v>
      </c>
      <c r="L241" s="2" t="str">
        <f t="shared" si="18"/>
        <v>MITSUI GARDEN HOTEL GINZA-GOCHOME</v>
      </c>
      <c r="M241" s="2">
        <f t="shared" si="19"/>
        <v>0</v>
      </c>
      <c r="Q241" s="3">
        <v>26648</v>
      </c>
      <c r="R241" s="5" t="s">
        <v>281</v>
      </c>
      <c r="V241" s="3">
        <v>57</v>
      </c>
      <c r="W241" s="5" t="s">
        <v>282</v>
      </c>
      <c r="AD241" s="11"/>
      <c r="AE241" s="10"/>
    </row>
    <row r="242" spans="1:31" ht="15.75" customHeight="1">
      <c r="A242" s="3">
        <v>746</v>
      </c>
      <c r="B242" s="3">
        <v>31981</v>
      </c>
      <c r="C242" s="4">
        <v>46112</v>
      </c>
      <c r="D242" s="4">
        <v>46115</v>
      </c>
      <c r="E242" s="5" t="s">
        <v>24</v>
      </c>
      <c r="F242" s="3">
        <v>126.98</v>
      </c>
      <c r="G242" s="6">
        <f t="shared" si="16"/>
        <v>109.2028</v>
      </c>
      <c r="H242" s="7">
        <f t="shared" si="0"/>
        <v>46160</v>
      </c>
      <c r="I242" s="2" t="str">
        <f t="shared" si="1"/>
        <v>mayo</v>
      </c>
      <c r="J242" s="2">
        <f t="shared" si="2"/>
        <v>5</v>
      </c>
      <c r="K242" s="2">
        <f t="shared" si="17"/>
        <v>2026</v>
      </c>
      <c r="L242" s="2" t="str">
        <f t="shared" si="18"/>
        <v>FAIRMONT SINGAPORE</v>
      </c>
      <c r="M242" s="2">
        <f t="shared" si="19"/>
        <v>0</v>
      </c>
      <c r="Q242" s="3">
        <v>26650</v>
      </c>
      <c r="R242" s="5" t="s">
        <v>283</v>
      </c>
      <c r="V242" s="3">
        <v>57</v>
      </c>
      <c r="W242" s="5" t="s">
        <v>23</v>
      </c>
      <c r="AD242" s="11"/>
      <c r="AE242" s="11"/>
    </row>
    <row r="243" spans="1:31" ht="15.75" customHeight="1">
      <c r="A243" s="3">
        <v>746</v>
      </c>
      <c r="B243" s="3">
        <v>32367</v>
      </c>
      <c r="C243" s="4">
        <v>46119</v>
      </c>
      <c r="D243" s="4">
        <v>46120</v>
      </c>
      <c r="E243" s="5" t="s">
        <v>24</v>
      </c>
      <c r="F243" s="3">
        <v>25.1</v>
      </c>
      <c r="G243" s="6">
        <f t="shared" si="16"/>
        <v>21.586000000000002</v>
      </c>
      <c r="H243" s="7">
        <f t="shared" si="0"/>
        <v>46165</v>
      </c>
      <c r="I243" s="2" t="str">
        <f t="shared" si="1"/>
        <v>mayo</v>
      </c>
      <c r="J243" s="2">
        <f t="shared" si="2"/>
        <v>5</v>
      </c>
      <c r="K243" s="2">
        <f t="shared" si="17"/>
        <v>2026</v>
      </c>
      <c r="L243" s="2" t="str">
        <f t="shared" si="18"/>
        <v>JW Marriott Bangkok</v>
      </c>
      <c r="M243" s="2">
        <f t="shared" si="19"/>
        <v>0</v>
      </c>
      <c r="Q243" s="3">
        <v>26659</v>
      </c>
      <c r="R243" s="5" t="s">
        <v>284</v>
      </c>
      <c r="V243" s="3">
        <v>57</v>
      </c>
      <c r="W243" s="5" t="s">
        <v>264</v>
      </c>
      <c r="AD243" s="10"/>
      <c r="AE243" s="11"/>
    </row>
    <row r="244" spans="1:31" ht="15.75" customHeight="1">
      <c r="A244" s="3">
        <v>746</v>
      </c>
      <c r="B244" s="3">
        <v>31471</v>
      </c>
      <c r="C244" s="4">
        <v>46122</v>
      </c>
      <c r="D244" s="4">
        <v>46125</v>
      </c>
      <c r="E244" s="5" t="s">
        <v>24</v>
      </c>
      <c r="F244" s="3">
        <v>482.9</v>
      </c>
      <c r="G244" s="6">
        <f t="shared" si="16"/>
        <v>415.29399999999998</v>
      </c>
      <c r="H244" s="7">
        <f t="shared" si="0"/>
        <v>46170</v>
      </c>
      <c r="I244" s="2" t="str">
        <f t="shared" si="1"/>
        <v>mayo</v>
      </c>
      <c r="J244" s="2">
        <f t="shared" si="2"/>
        <v>5</v>
      </c>
      <c r="K244" s="2">
        <f t="shared" si="17"/>
        <v>2026</v>
      </c>
      <c r="L244" s="2" t="str">
        <f t="shared" si="18"/>
        <v>Premier Resorts &amp; Hotels Co.,Ltd.</v>
      </c>
      <c r="M244" s="2">
        <f t="shared" si="19"/>
        <v>0</v>
      </c>
      <c r="Q244" s="3">
        <v>26673</v>
      </c>
      <c r="R244" s="5" t="s">
        <v>285</v>
      </c>
      <c r="V244" s="3">
        <v>57</v>
      </c>
      <c r="W244" s="5" t="s">
        <v>204</v>
      </c>
      <c r="AD244" s="11"/>
      <c r="AE244" s="10"/>
    </row>
    <row r="245" spans="1:31" ht="15.75" customHeight="1">
      <c r="A245" s="3">
        <v>746</v>
      </c>
      <c r="B245" s="3">
        <v>31473</v>
      </c>
      <c r="C245" s="4">
        <v>46127</v>
      </c>
      <c r="D245" s="4">
        <v>46129</v>
      </c>
      <c r="E245" s="5" t="s">
        <v>24</v>
      </c>
      <c r="F245" s="3">
        <v>60.74</v>
      </c>
      <c r="G245" s="6">
        <f t="shared" si="16"/>
        <v>52.236400000000003</v>
      </c>
      <c r="H245" s="7">
        <f t="shared" si="0"/>
        <v>46174</v>
      </c>
      <c r="I245" s="2" t="str">
        <f t="shared" si="1"/>
        <v>junio</v>
      </c>
      <c r="J245" s="2">
        <f t="shared" si="2"/>
        <v>6</v>
      </c>
      <c r="K245" s="2">
        <f t="shared" si="17"/>
        <v>2026</v>
      </c>
      <c r="L245" s="2" t="str">
        <f t="shared" si="18"/>
        <v>INTERCONTINENTAL GRAND STANFORD HONG KONG BY IHG</v>
      </c>
      <c r="M245" s="2">
        <f t="shared" si="19"/>
        <v>0</v>
      </c>
      <c r="Q245" s="3">
        <v>26682</v>
      </c>
      <c r="R245" s="5" t="s">
        <v>286</v>
      </c>
      <c r="V245" s="3">
        <v>57</v>
      </c>
      <c r="W245" s="5" t="s">
        <v>204</v>
      </c>
      <c r="AD245" s="11"/>
      <c r="AE245" s="11"/>
    </row>
    <row r="246" spans="1:31" ht="15.75" customHeight="1">
      <c r="A246" s="3">
        <v>746</v>
      </c>
      <c r="B246" s="3">
        <v>31469</v>
      </c>
      <c r="C246" s="4">
        <v>46120</v>
      </c>
      <c r="D246" s="4">
        <v>46122</v>
      </c>
      <c r="E246" s="5" t="s">
        <v>24</v>
      </c>
      <c r="F246" s="3">
        <v>43.87</v>
      </c>
      <c r="G246" s="6">
        <f t="shared" si="16"/>
        <v>37.728199999999994</v>
      </c>
      <c r="H246" s="7">
        <f t="shared" si="0"/>
        <v>46167</v>
      </c>
      <c r="I246" s="2" t="str">
        <f t="shared" si="1"/>
        <v>mayo</v>
      </c>
      <c r="J246" s="2">
        <f t="shared" si="2"/>
        <v>5</v>
      </c>
      <c r="K246" s="2">
        <f t="shared" si="17"/>
        <v>2026</v>
      </c>
      <c r="L246" s="2" t="str">
        <f t="shared" si="18"/>
        <v>ANANTARA CHIANG MAI RESORT</v>
      </c>
      <c r="M246" s="2">
        <f t="shared" si="19"/>
        <v>0</v>
      </c>
      <c r="Q246" s="3">
        <v>26750</v>
      </c>
      <c r="R246" s="5" t="s">
        <v>287</v>
      </c>
      <c r="V246" s="3">
        <v>57</v>
      </c>
      <c r="W246" s="5" t="s">
        <v>23</v>
      </c>
      <c r="AD246" s="11"/>
      <c r="AE246" s="11"/>
    </row>
    <row r="247" spans="1:31" ht="15.75" customHeight="1">
      <c r="A247" s="3">
        <v>751</v>
      </c>
      <c r="B247" s="3">
        <v>31854</v>
      </c>
      <c r="C247" s="4">
        <v>45980</v>
      </c>
      <c r="D247" s="4">
        <v>45985</v>
      </c>
      <c r="E247" s="5" t="s">
        <v>19</v>
      </c>
      <c r="F247" s="3">
        <v>2432.5</v>
      </c>
      <c r="G247" s="6">
        <f t="shared" si="16"/>
        <v>2432.5</v>
      </c>
      <c r="H247" s="7">
        <f t="shared" si="0"/>
        <v>46030</v>
      </c>
      <c r="I247" s="2" t="str">
        <f t="shared" si="1"/>
        <v>enero</v>
      </c>
      <c r="J247" s="2">
        <f t="shared" si="2"/>
        <v>1</v>
      </c>
      <c r="K247" s="2">
        <f t="shared" si="17"/>
        <v>2026</v>
      </c>
      <c r="L247" s="2" t="str">
        <f t="shared" si="18"/>
        <v>FOUR SEASONS HOTEL PRAGUE</v>
      </c>
      <c r="M247" s="2">
        <f t="shared" si="19"/>
        <v>0</v>
      </c>
      <c r="Q247" s="3">
        <v>26751</v>
      </c>
      <c r="R247" s="5" t="s">
        <v>288</v>
      </c>
      <c r="V247" s="3">
        <v>57</v>
      </c>
      <c r="W247" s="5" t="s">
        <v>89</v>
      </c>
      <c r="AD247" s="11"/>
      <c r="AE247" s="11"/>
    </row>
    <row r="248" spans="1:31" ht="15.75" customHeight="1">
      <c r="A248" s="3">
        <v>752</v>
      </c>
      <c r="B248" s="3">
        <v>28934</v>
      </c>
      <c r="C248" s="4">
        <v>45973</v>
      </c>
      <c r="D248" s="4">
        <v>45973</v>
      </c>
      <c r="E248" s="5" t="s">
        <v>34</v>
      </c>
      <c r="F248" s="3">
        <v>2656.98</v>
      </c>
      <c r="G248" s="6">
        <f t="shared" si="16"/>
        <v>127.53504000000001</v>
      </c>
      <c r="H248" s="7">
        <f t="shared" si="0"/>
        <v>46018</v>
      </c>
      <c r="I248" s="2" t="str">
        <f t="shared" si="1"/>
        <v>diciembre</v>
      </c>
      <c r="J248" s="2">
        <f t="shared" si="2"/>
        <v>12</v>
      </c>
      <c r="K248" s="2">
        <f t="shared" si="17"/>
        <v>2025</v>
      </c>
      <c r="L248" s="2" t="str">
        <f t="shared" si="18"/>
        <v>F1S USA</v>
      </c>
      <c r="M248" s="2">
        <f t="shared" si="19"/>
        <v>0</v>
      </c>
      <c r="Q248" s="3">
        <v>26753</v>
      </c>
      <c r="R248" s="5" t="s">
        <v>289</v>
      </c>
      <c r="V248" s="3">
        <v>57</v>
      </c>
      <c r="W248" s="5" t="s">
        <v>204</v>
      </c>
      <c r="AD248" s="11"/>
      <c r="AE248" s="11"/>
    </row>
    <row r="249" spans="1:31" ht="15.75" customHeight="1">
      <c r="A249" s="3">
        <v>752</v>
      </c>
      <c r="B249" s="3">
        <v>28934</v>
      </c>
      <c r="C249" s="4">
        <v>45973</v>
      </c>
      <c r="D249" s="4">
        <v>45973</v>
      </c>
      <c r="E249" s="5" t="s">
        <v>34</v>
      </c>
      <c r="F249" s="3">
        <v>3685.5</v>
      </c>
      <c r="G249" s="6">
        <f t="shared" si="16"/>
        <v>176.904</v>
      </c>
      <c r="H249" s="7">
        <f t="shared" si="0"/>
        <v>46018</v>
      </c>
      <c r="I249" s="2" t="str">
        <f t="shared" si="1"/>
        <v>diciembre</v>
      </c>
      <c r="J249" s="2">
        <f t="shared" si="2"/>
        <v>12</v>
      </c>
      <c r="K249" s="2">
        <f t="shared" si="17"/>
        <v>2025</v>
      </c>
      <c r="L249" s="2" t="str">
        <f t="shared" si="18"/>
        <v>F1S USA</v>
      </c>
      <c r="M249" s="2">
        <f t="shared" si="19"/>
        <v>0</v>
      </c>
      <c r="Q249" s="3">
        <v>26756</v>
      </c>
      <c r="R249" s="5" t="s">
        <v>290</v>
      </c>
      <c r="V249" s="3">
        <v>57</v>
      </c>
      <c r="W249" s="5" t="s">
        <v>217</v>
      </c>
      <c r="AD249" s="10"/>
      <c r="AE249" s="10"/>
    </row>
    <row r="250" spans="1:31" ht="15.75" customHeight="1">
      <c r="A250" s="3">
        <v>759</v>
      </c>
      <c r="B250" s="3">
        <v>27086</v>
      </c>
      <c r="C250" s="4">
        <v>45941</v>
      </c>
      <c r="D250" s="4">
        <v>45948</v>
      </c>
      <c r="E250" s="5" t="s">
        <v>24</v>
      </c>
      <c r="F250" s="3">
        <v>4940</v>
      </c>
      <c r="G250" s="6">
        <f t="shared" si="16"/>
        <v>4248.3999999999996</v>
      </c>
      <c r="H250" s="7">
        <f t="shared" si="0"/>
        <v>45993</v>
      </c>
      <c r="I250" s="2" t="str">
        <f t="shared" si="1"/>
        <v>diciembre</v>
      </c>
      <c r="J250" s="2">
        <f t="shared" si="2"/>
        <v>12</v>
      </c>
      <c r="K250" s="2">
        <f t="shared" si="17"/>
        <v>2025</v>
      </c>
      <c r="L250" s="2" t="str">
        <f t="shared" si="18"/>
        <v>THE RITZ CARLTON YACHT COLLECTION</v>
      </c>
      <c r="M250" s="2">
        <f t="shared" si="19"/>
        <v>0</v>
      </c>
      <c r="Q250" s="3">
        <v>26813</v>
      </c>
      <c r="R250" s="5" t="s">
        <v>291</v>
      </c>
      <c r="V250" s="3">
        <v>57</v>
      </c>
      <c r="W250" s="5" t="s">
        <v>217</v>
      </c>
      <c r="AD250" s="10"/>
      <c r="AE250" s="10"/>
    </row>
    <row r="251" spans="1:31" ht="15.75" customHeight="1">
      <c r="A251" s="3">
        <v>759</v>
      </c>
      <c r="B251" s="3">
        <v>24166</v>
      </c>
      <c r="C251" s="4">
        <v>45948</v>
      </c>
      <c r="D251" s="4">
        <v>45950</v>
      </c>
      <c r="E251" s="5" t="s">
        <v>24</v>
      </c>
      <c r="F251" s="3">
        <v>747.8</v>
      </c>
      <c r="G251" s="6">
        <f t="shared" si="16"/>
        <v>643.10799999999995</v>
      </c>
      <c r="H251" s="7">
        <f t="shared" si="0"/>
        <v>45995</v>
      </c>
      <c r="I251" s="2" t="str">
        <f t="shared" si="1"/>
        <v>diciembre</v>
      </c>
      <c r="J251" s="2">
        <f t="shared" si="2"/>
        <v>12</v>
      </c>
      <c r="K251" s="2">
        <f t="shared" si="17"/>
        <v>2025</v>
      </c>
      <c r="L251" s="2" t="str">
        <f t="shared" si="18"/>
        <v>LE BRISTOL PARIS</v>
      </c>
      <c r="M251" s="2">
        <f t="shared" si="19"/>
        <v>0</v>
      </c>
      <c r="Q251" s="3">
        <v>27033</v>
      </c>
      <c r="R251" s="5" t="s">
        <v>292</v>
      </c>
      <c r="V251" s="3">
        <v>57</v>
      </c>
      <c r="W251" s="5" t="s">
        <v>23</v>
      </c>
      <c r="AD251" s="10"/>
      <c r="AE251" s="10"/>
    </row>
    <row r="252" spans="1:31" ht="15.75" customHeight="1">
      <c r="A252" s="3">
        <v>759</v>
      </c>
      <c r="B252" s="3">
        <v>25363</v>
      </c>
      <c r="C252" s="4">
        <v>45950</v>
      </c>
      <c r="D252" s="4">
        <v>45952</v>
      </c>
      <c r="E252" s="5" t="s">
        <v>24</v>
      </c>
      <c r="F252" s="3">
        <v>381.94</v>
      </c>
      <c r="G252" s="6">
        <f t="shared" si="16"/>
        <v>328.46839999999997</v>
      </c>
      <c r="H252" s="7">
        <f t="shared" si="0"/>
        <v>45997</v>
      </c>
      <c r="I252" s="2" t="str">
        <f t="shared" si="1"/>
        <v>diciembre</v>
      </c>
      <c r="J252" s="2">
        <f t="shared" si="2"/>
        <v>12</v>
      </c>
      <c r="K252" s="2">
        <f t="shared" si="17"/>
        <v>2025</v>
      </c>
      <c r="L252" s="2" t="str">
        <f t="shared" si="18"/>
        <v>ROSEWOOD VILLA MAGNA</v>
      </c>
      <c r="M252" s="2">
        <f t="shared" si="19"/>
        <v>0</v>
      </c>
      <c r="Q252" s="3">
        <v>27040</v>
      </c>
      <c r="R252" s="5" t="s">
        <v>293</v>
      </c>
      <c r="V252" s="3">
        <v>57</v>
      </c>
      <c r="W252" s="5" t="s">
        <v>204</v>
      </c>
      <c r="AD252" s="10"/>
      <c r="AE252" s="11"/>
    </row>
    <row r="253" spans="1:31" ht="15.75" customHeight="1">
      <c r="A253" s="3">
        <v>760</v>
      </c>
      <c r="B253" s="3">
        <v>27086</v>
      </c>
      <c r="C253" s="4">
        <v>45941</v>
      </c>
      <c r="D253" s="4">
        <v>45948</v>
      </c>
      <c r="E253" s="5" t="s">
        <v>24</v>
      </c>
      <c r="F253" s="3">
        <v>3060</v>
      </c>
      <c r="G253" s="6">
        <f t="shared" si="16"/>
        <v>2631.6</v>
      </c>
      <c r="H253" s="7">
        <f t="shared" si="0"/>
        <v>45993</v>
      </c>
      <c r="I253" s="2" t="str">
        <f t="shared" si="1"/>
        <v>diciembre</v>
      </c>
      <c r="J253" s="2">
        <f t="shared" si="2"/>
        <v>12</v>
      </c>
      <c r="K253" s="2">
        <f t="shared" si="17"/>
        <v>2025</v>
      </c>
      <c r="L253" s="2" t="str">
        <f t="shared" si="18"/>
        <v>THE RITZ CARLTON YACHT COLLECTION</v>
      </c>
      <c r="M253" s="2">
        <f t="shared" si="19"/>
        <v>0</v>
      </c>
      <c r="Q253" s="3">
        <v>27047</v>
      </c>
      <c r="R253" s="5" t="s">
        <v>294</v>
      </c>
      <c r="V253" s="3">
        <v>57</v>
      </c>
      <c r="W253" s="5" t="s">
        <v>94</v>
      </c>
      <c r="AD253" s="10"/>
      <c r="AE253" s="11"/>
    </row>
    <row r="254" spans="1:31" ht="15.75" customHeight="1">
      <c r="A254" s="3">
        <v>765</v>
      </c>
      <c r="B254" s="3">
        <v>31111</v>
      </c>
      <c r="C254" s="4">
        <v>45999</v>
      </c>
      <c r="D254" s="4">
        <v>46002</v>
      </c>
      <c r="E254" s="5" t="s">
        <v>24</v>
      </c>
      <c r="F254" s="3">
        <v>31932.9</v>
      </c>
      <c r="G254" s="6">
        <f t="shared" si="16"/>
        <v>27462.294000000002</v>
      </c>
      <c r="H254" s="7">
        <f t="shared" si="0"/>
        <v>46047</v>
      </c>
      <c r="I254" s="2" t="str">
        <f t="shared" si="1"/>
        <v>enero</v>
      </c>
      <c r="J254" s="2">
        <f t="shared" si="2"/>
        <v>1</v>
      </c>
      <c r="K254" s="2">
        <f t="shared" si="17"/>
        <v>2026</v>
      </c>
      <c r="L254" s="2" t="str">
        <f t="shared" si="18"/>
        <v>GRAND VELAS RIVIERA NAYARIT</v>
      </c>
      <c r="M254" s="2">
        <f t="shared" si="19"/>
        <v>0</v>
      </c>
      <c r="Q254" s="3">
        <v>27048</v>
      </c>
      <c r="R254" s="5" t="s">
        <v>295</v>
      </c>
      <c r="V254" s="3">
        <v>57</v>
      </c>
      <c r="W254" s="5" t="s">
        <v>68</v>
      </c>
      <c r="AD254" s="13"/>
      <c r="AE254" s="13"/>
    </row>
    <row r="255" spans="1:31" ht="15.75" customHeight="1">
      <c r="A255" s="3">
        <v>765</v>
      </c>
      <c r="B255" s="3">
        <v>31111</v>
      </c>
      <c r="C255" s="4">
        <v>45999</v>
      </c>
      <c r="D255" s="4">
        <v>46002</v>
      </c>
      <c r="E255" s="5" t="s">
        <v>24</v>
      </c>
      <c r="F255" s="3">
        <v>3901.5</v>
      </c>
      <c r="G255" s="6">
        <f t="shared" si="16"/>
        <v>3355.29</v>
      </c>
      <c r="H255" s="7">
        <f t="shared" si="0"/>
        <v>46047</v>
      </c>
      <c r="I255" s="2" t="str">
        <f t="shared" si="1"/>
        <v>enero</v>
      </c>
      <c r="J255" s="2">
        <f t="shared" si="2"/>
        <v>1</v>
      </c>
      <c r="K255" s="2">
        <f t="shared" si="17"/>
        <v>2026</v>
      </c>
      <c r="L255" s="2" t="str">
        <f t="shared" si="18"/>
        <v>GRAND VELAS RIVIERA NAYARIT</v>
      </c>
      <c r="M255" s="2">
        <f t="shared" si="19"/>
        <v>0</v>
      </c>
      <c r="Q255" s="3">
        <v>27049</v>
      </c>
      <c r="R255" s="5" t="s">
        <v>296</v>
      </c>
      <c r="V255" s="3">
        <v>57</v>
      </c>
      <c r="W255" s="5" t="s">
        <v>23</v>
      </c>
      <c r="AD255" s="11"/>
      <c r="AE255" s="11"/>
    </row>
    <row r="256" spans="1:31" ht="15.75" customHeight="1">
      <c r="A256" s="3">
        <v>765</v>
      </c>
      <c r="B256" s="3">
        <v>31111</v>
      </c>
      <c r="C256" s="4">
        <v>45999</v>
      </c>
      <c r="D256" s="4">
        <v>46002</v>
      </c>
      <c r="E256" s="5" t="s">
        <v>24</v>
      </c>
      <c r="F256" s="3">
        <v>5996.11</v>
      </c>
      <c r="G256" s="6">
        <f t="shared" si="16"/>
        <v>5156.6545999999998</v>
      </c>
      <c r="H256" s="7">
        <f t="shared" si="0"/>
        <v>46047</v>
      </c>
      <c r="I256" s="2" t="str">
        <f t="shared" si="1"/>
        <v>enero</v>
      </c>
      <c r="J256" s="2">
        <f t="shared" si="2"/>
        <v>1</v>
      </c>
      <c r="K256" s="2">
        <f t="shared" si="17"/>
        <v>2026</v>
      </c>
      <c r="L256" s="2" t="str">
        <f t="shared" si="18"/>
        <v>GRAND VELAS RIVIERA NAYARIT</v>
      </c>
      <c r="M256" s="2">
        <f t="shared" si="19"/>
        <v>0</v>
      </c>
      <c r="Q256" s="3">
        <v>27050</v>
      </c>
      <c r="R256" s="5" t="s">
        <v>297</v>
      </c>
      <c r="V256" s="3">
        <v>57</v>
      </c>
      <c r="W256" s="5" t="s">
        <v>68</v>
      </c>
      <c r="AD256" s="10"/>
      <c r="AE256" s="10"/>
    </row>
    <row r="257" spans="1:31" ht="15.75" customHeight="1">
      <c r="A257" s="3">
        <v>769</v>
      </c>
      <c r="B257" s="3">
        <v>31058</v>
      </c>
      <c r="C257" s="4">
        <v>45941</v>
      </c>
      <c r="D257" s="4">
        <v>45942</v>
      </c>
      <c r="E257" s="5" t="s">
        <v>19</v>
      </c>
      <c r="F257" s="3">
        <v>160</v>
      </c>
      <c r="G257" s="6">
        <f t="shared" si="16"/>
        <v>160</v>
      </c>
      <c r="H257" s="7">
        <f t="shared" ref="H257:H397" si="20">D257+45</f>
        <v>45987</v>
      </c>
      <c r="I257" s="2" t="str">
        <f t="shared" ref="I257:I396" si="21">TEXT(H257,"mmmm")</f>
        <v>noviembre</v>
      </c>
      <c r="J257" s="2">
        <f t="shared" ref="J257:J396" si="22">IF(I257="enero",1,
IF(I257="febrero",2,
IF(I257="marzo",3,
IF(I257="abril",4,
IF(I257="mayo",5,
IF(I257="junio",6,
IF(I257="julio",7,
IF(I257="agosto",8,
IF(I257="septiembre",9,
IF(I257="octubre",10,
IF(I257="noviembre",11,
IF(I257="diciembre",12)))))))))))
)</f>
        <v>11</v>
      </c>
      <c r="K257" s="2">
        <f t="shared" si="17"/>
        <v>2025</v>
      </c>
      <c r="L257" s="2" t="str">
        <f t="shared" si="18"/>
        <v>FOUR SEASONS ASTIR PALACE HOTEL ATHENS</v>
      </c>
      <c r="M257" s="2">
        <f t="shared" si="19"/>
        <v>0</v>
      </c>
      <c r="Q257" s="3">
        <v>27051</v>
      </c>
      <c r="R257" s="5" t="s">
        <v>298</v>
      </c>
      <c r="V257" s="3">
        <v>57</v>
      </c>
      <c r="W257" s="5" t="s">
        <v>23</v>
      </c>
      <c r="AD257" s="13"/>
      <c r="AE257" s="13"/>
    </row>
    <row r="258" spans="1:31" ht="15.75" customHeight="1">
      <c r="A258" s="3">
        <v>770</v>
      </c>
      <c r="B258" s="3">
        <v>24166</v>
      </c>
      <c r="C258" s="4">
        <v>45983</v>
      </c>
      <c r="D258" s="4">
        <v>45986</v>
      </c>
      <c r="E258" s="5" t="s">
        <v>19</v>
      </c>
      <c r="F258" s="3">
        <v>585</v>
      </c>
      <c r="G258" s="6">
        <f t="shared" si="16"/>
        <v>585</v>
      </c>
      <c r="H258" s="7">
        <f t="shared" si="20"/>
        <v>46031</v>
      </c>
      <c r="I258" s="2" t="str">
        <f t="shared" si="21"/>
        <v>enero</v>
      </c>
      <c r="J258" s="2">
        <f t="shared" si="22"/>
        <v>1</v>
      </c>
      <c r="K258" s="2">
        <f t="shared" si="17"/>
        <v>2026</v>
      </c>
      <c r="L258" s="2" t="str">
        <f t="shared" si="18"/>
        <v>LE BRISTOL PARIS</v>
      </c>
      <c r="M258" s="2">
        <f t="shared" si="19"/>
        <v>0</v>
      </c>
      <c r="Q258" s="3">
        <v>27052</v>
      </c>
      <c r="R258" s="5" t="s">
        <v>299</v>
      </c>
      <c r="V258" s="3">
        <v>57</v>
      </c>
      <c r="W258" s="5" t="s">
        <v>89</v>
      </c>
      <c r="AD258" s="10"/>
      <c r="AE258" s="10"/>
    </row>
    <row r="259" spans="1:31" ht="15.75" customHeight="1">
      <c r="A259" s="3">
        <v>771</v>
      </c>
      <c r="B259" s="3">
        <v>31636</v>
      </c>
      <c r="C259" s="4">
        <v>45951</v>
      </c>
      <c r="D259" s="4">
        <v>45957</v>
      </c>
      <c r="E259" s="5" t="s">
        <v>19</v>
      </c>
      <c r="F259" s="3">
        <v>1083.82</v>
      </c>
      <c r="G259" s="6">
        <f t="shared" ref="G259:G322" si="23">F259*_xlfn.XLOOKUP(E259,Z:Z,AA:AA)</f>
        <v>1083.82</v>
      </c>
      <c r="H259" s="7">
        <f t="shared" si="20"/>
        <v>46002</v>
      </c>
      <c r="I259" s="2" t="str">
        <f t="shared" si="21"/>
        <v>diciembre</v>
      </c>
      <c r="J259" s="2">
        <f t="shared" si="22"/>
        <v>12</v>
      </c>
      <c r="K259" s="2">
        <f t="shared" ref="K259:K322" si="24">YEAR(H259)</f>
        <v>2025</v>
      </c>
      <c r="L259" s="2" t="str">
        <f t="shared" ref="L259:L322" si="25">_xlfn.XLOOKUP(B259,Q:Q,R:R)</f>
        <v>MAISON DELANO PARIS</v>
      </c>
      <c r="M259" s="2">
        <f t="shared" ref="M259:M322" si="26">_xlfn.XLOOKUP(A259,V:V,W:W)</f>
        <v>0</v>
      </c>
      <c r="Q259" s="3">
        <v>27053</v>
      </c>
      <c r="R259" s="5" t="s">
        <v>300</v>
      </c>
      <c r="V259" s="3">
        <v>57</v>
      </c>
      <c r="W259" s="5" t="s">
        <v>23</v>
      </c>
      <c r="AD259" s="10"/>
      <c r="AE259" s="10"/>
    </row>
    <row r="260" spans="1:31" ht="15.75" customHeight="1">
      <c r="A260" s="3">
        <v>774</v>
      </c>
      <c r="B260" s="3">
        <v>25022</v>
      </c>
      <c r="C260" s="4">
        <v>46014</v>
      </c>
      <c r="D260" s="4">
        <v>46016</v>
      </c>
      <c r="E260" s="5" t="s">
        <v>32</v>
      </c>
      <c r="F260" s="3">
        <v>48300</v>
      </c>
      <c r="G260" s="6">
        <f t="shared" si="23"/>
        <v>265.64999999999998</v>
      </c>
      <c r="H260" s="7">
        <f t="shared" si="20"/>
        <v>46061</v>
      </c>
      <c r="I260" s="2" t="str">
        <f t="shared" si="21"/>
        <v>febrero</v>
      </c>
      <c r="J260" s="2">
        <f t="shared" si="22"/>
        <v>2</v>
      </c>
      <c r="K260" s="2">
        <f t="shared" si="24"/>
        <v>2026</v>
      </c>
      <c r="L260" s="2" t="str">
        <f t="shared" si="25"/>
        <v>THE PENINSULA TOKYO</v>
      </c>
      <c r="M260" s="2">
        <f t="shared" si="26"/>
        <v>0</v>
      </c>
      <c r="Q260" s="3">
        <v>27060</v>
      </c>
      <c r="R260" s="5" t="s">
        <v>301</v>
      </c>
      <c r="V260" s="3">
        <v>57</v>
      </c>
      <c r="W260" s="5" t="s">
        <v>302</v>
      </c>
      <c r="AD260" s="10"/>
      <c r="AE260" s="10"/>
    </row>
    <row r="261" spans="1:31" ht="15.75" customHeight="1">
      <c r="A261" s="3">
        <v>774</v>
      </c>
      <c r="B261" s="3">
        <v>30698</v>
      </c>
      <c r="C261" s="4">
        <v>46032</v>
      </c>
      <c r="D261" s="4">
        <v>46036</v>
      </c>
      <c r="E261" s="5" t="s">
        <v>32</v>
      </c>
      <c r="F261" s="3">
        <v>30976</v>
      </c>
      <c r="G261" s="6">
        <f t="shared" si="23"/>
        <v>170.36799999999999</v>
      </c>
      <c r="H261" s="7">
        <f t="shared" si="20"/>
        <v>46081</v>
      </c>
      <c r="I261" s="2" t="str">
        <f t="shared" si="21"/>
        <v>febrero</v>
      </c>
      <c r="J261" s="2">
        <f t="shared" si="22"/>
        <v>2</v>
      </c>
      <c r="K261" s="2">
        <f t="shared" si="24"/>
        <v>2026</v>
      </c>
      <c r="L261" s="2" t="str">
        <f t="shared" si="25"/>
        <v>HILTON NISEKO VILLAGE</v>
      </c>
      <c r="M261" s="2">
        <f t="shared" si="26"/>
        <v>0</v>
      </c>
      <c r="Q261" s="3">
        <v>27079</v>
      </c>
      <c r="R261" s="5" t="s">
        <v>303</v>
      </c>
      <c r="V261" s="3">
        <v>57</v>
      </c>
      <c r="W261" s="5" t="s">
        <v>68</v>
      </c>
      <c r="AD261" s="11"/>
      <c r="AE261" s="11"/>
    </row>
    <row r="262" spans="1:31" ht="15.75" customHeight="1">
      <c r="A262" s="3">
        <v>775</v>
      </c>
      <c r="B262" s="3">
        <v>25022</v>
      </c>
      <c r="C262" s="4">
        <v>46015</v>
      </c>
      <c r="D262" s="4">
        <v>46016</v>
      </c>
      <c r="E262" s="5" t="s">
        <v>24</v>
      </c>
      <c r="F262" s="3">
        <v>24150</v>
      </c>
      <c r="G262" s="6">
        <f t="shared" si="23"/>
        <v>20769</v>
      </c>
      <c r="H262" s="7">
        <f t="shared" si="20"/>
        <v>46061</v>
      </c>
      <c r="I262" s="2" t="str">
        <f t="shared" si="21"/>
        <v>febrero</v>
      </c>
      <c r="J262" s="2">
        <f t="shared" si="22"/>
        <v>2</v>
      </c>
      <c r="K262" s="2">
        <f t="shared" si="24"/>
        <v>2026</v>
      </c>
      <c r="L262" s="2" t="str">
        <f t="shared" si="25"/>
        <v>THE PENINSULA TOKYO</v>
      </c>
      <c r="M262" s="2">
        <f t="shared" si="26"/>
        <v>0</v>
      </c>
      <c r="Q262" s="3">
        <v>27083</v>
      </c>
      <c r="R262" s="5" t="s">
        <v>304</v>
      </c>
      <c r="V262" s="3">
        <v>57</v>
      </c>
      <c r="W262" s="5" t="s">
        <v>23</v>
      </c>
      <c r="AD262" s="11"/>
      <c r="AE262" s="11"/>
    </row>
    <row r="263" spans="1:31" ht="15.75" customHeight="1">
      <c r="A263" s="3">
        <v>775</v>
      </c>
      <c r="B263" s="3">
        <v>25053</v>
      </c>
      <c r="C263" s="4">
        <v>46019</v>
      </c>
      <c r="D263" s="4">
        <v>46022</v>
      </c>
      <c r="E263" s="5" t="s">
        <v>24</v>
      </c>
      <c r="F263" s="3">
        <v>85100</v>
      </c>
      <c r="G263" s="6">
        <f t="shared" si="23"/>
        <v>73186</v>
      </c>
      <c r="H263" s="7">
        <f t="shared" si="20"/>
        <v>46067</v>
      </c>
      <c r="I263" s="2" t="str">
        <f t="shared" si="21"/>
        <v>febrero</v>
      </c>
      <c r="J263" s="2">
        <f t="shared" si="22"/>
        <v>2</v>
      </c>
      <c r="K263" s="2">
        <f t="shared" si="24"/>
        <v>2026</v>
      </c>
      <c r="L263" s="2" t="str">
        <f t="shared" si="25"/>
        <v>THE RITZ CARLTON NIKKO</v>
      </c>
      <c r="M263" s="2">
        <f t="shared" si="26"/>
        <v>0</v>
      </c>
      <c r="Q263" s="3">
        <v>27084</v>
      </c>
      <c r="R263" s="5" t="s">
        <v>305</v>
      </c>
      <c r="V263" s="3">
        <v>57</v>
      </c>
      <c r="W263" s="5" t="s">
        <v>302</v>
      </c>
      <c r="AD263" s="11"/>
      <c r="AE263" s="11"/>
    </row>
    <row r="264" spans="1:31" ht="15.75" customHeight="1">
      <c r="A264" s="3">
        <v>775</v>
      </c>
      <c r="B264" s="3">
        <v>33515</v>
      </c>
      <c r="C264" s="4">
        <v>46032</v>
      </c>
      <c r="D264" s="4">
        <v>46036</v>
      </c>
      <c r="E264" s="5" t="s">
        <v>32</v>
      </c>
      <c r="F264" s="3">
        <v>84770</v>
      </c>
      <c r="G264" s="6">
        <f t="shared" si="23"/>
        <v>466.23499999999996</v>
      </c>
      <c r="H264" s="7">
        <f t="shared" si="20"/>
        <v>46081</v>
      </c>
      <c r="I264" s="2" t="str">
        <f t="shared" si="21"/>
        <v>febrero</v>
      </c>
      <c r="J264" s="2">
        <f t="shared" si="22"/>
        <v>2</v>
      </c>
      <c r="K264" s="2">
        <f t="shared" si="24"/>
        <v>2026</v>
      </c>
      <c r="L264" s="2" t="str">
        <f t="shared" si="25"/>
        <v>PARK HYATT NISEKO HANAZONO</v>
      </c>
      <c r="M264" s="2">
        <f t="shared" si="26"/>
        <v>0</v>
      </c>
      <c r="Q264" s="3">
        <v>27085</v>
      </c>
      <c r="R264" s="5" t="s">
        <v>306</v>
      </c>
      <c r="V264" s="3">
        <v>57</v>
      </c>
      <c r="W264" s="5" t="s">
        <v>68</v>
      </c>
      <c r="AD264" s="11"/>
      <c r="AE264" s="11"/>
    </row>
    <row r="265" spans="1:31" ht="15.75" customHeight="1">
      <c r="A265" s="3">
        <v>775</v>
      </c>
      <c r="B265" s="3">
        <v>28293</v>
      </c>
      <c r="C265" s="4">
        <v>46025</v>
      </c>
      <c r="D265" s="4">
        <v>46029</v>
      </c>
      <c r="E265" s="5" t="s">
        <v>32</v>
      </c>
      <c r="F265" s="3">
        <v>90850</v>
      </c>
      <c r="G265" s="6">
        <f t="shared" si="23"/>
        <v>499.67499999999995</v>
      </c>
      <c r="H265" s="7">
        <f t="shared" si="20"/>
        <v>46074</v>
      </c>
      <c r="I265" s="2" t="str">
        <f t="shared" si="21"/>
        <v>febrero</v>
      </c>
      <c r="J265" s="2">
        <f t="shared" si="22"/>
        <v>2</v>
      </c>
      <c r="K265" s="2">
        <f t="shared" si="24"/>
        <v>2026</v>
      </c>
      <c r="L265" s="2" t="str">
        <f t="shared" si="25"/>
        <v>THE RITZ CARLTON KYOTO</v>
      </c>
      <c r="M265" s="2">
        <f t="shared" si="26"/>
        <v>0</v>
      </c>
      <c r="Q265" s="3">
        <v>27086</v>
      </c>
      <c r="R265" s="5" t="s">
        <v>307</v>
      </c>
      <c r="V265" s="3">
        <v>57</v>
      </c>
      <c r="W265" s="5" t="s">
        <v>68</v>
      </c>
      <c r="AD265" s="11"/>
      <c r="AE265" s="11"/>
    </row>
    <row r="266" spans="1:31" ht="15.75" customHeight="1">
      <c r="A266" s="3">
        <v>775</v>
      </c>
      <c r="B266" s="3">
        <v>25022</v>
      </c>
      <c r="C266" s="4">
        <v>46036</v>
      </c>
      <c r="D266" s="4">
        <v>46037</v>
      </c>
      <c r="E266" s="5" t="s">
        <v>32</v>
      </c>
      <c r="F266" s="3">
        <v>13800</v>
      </c>
      <c r="G266" s="6">
        <f t="shared" si="23"/>
        <v>75.899999999999991</v>
      </c>
      <c r="H266" s="7">
        <f t="shared" si="20"/>
        <v>46082</v>
      </c>
      <c r="I266" s="2" t="str">
        <f t="shared" si="21"/>
        <v>marzo</v>
      </c>
      <c r="J266" s="2">
        <f t="shared" si="22"/>
        <v>3</v>
      </c>
      <c r="K266" s="2">
        <f t="shared" si="24"/>
        <v>2026</v>
      </c>
      <c r="L266" s="2" t="str">
        <f t="shared" si="25"/>
        <v>THE PENINSULA TOKYO</v>
      </c>
      <c r="M266" s="2">
        <f t="shared" si="26"/>
        <v>0</v>
      </c>
      <c r="Q266" s="3">
        <v>27087</v>
      </c>
      <c r="R266" s="5" t="s">
        <v>308</v>
      </c>
      <c r="V266" s="3">
        <v>57</v>
      </c>
      <c r="W266" s="5" t="s">
        <v>68</v>
      </c>
      <c r="AD266" s="10"/>
      <c r="AE266" s="10"/>
    </row>
    <row r="267" spans="1:31" ht="15.75" customHeight="1">
      <c r="A267" s="3">
        <v>775</v>
      </c>
      <c r="B267" s="3">
        <v>28350</v>
      </c>
      <c r="C267" s="4">
        <v>46029</v>
      </c>
      <c r="D267" s="4">
        <v>46032</v>
      </c>
      <c r="E267" s="5" t="s">
        <v>32</v>
      </c>
      <c r="F267" s="3">
        <v>23000</v>
      </c>
      <c r="G267" s="6">
        <f t="shared" si="23"/>
        <v>126.49999999999999</v>
      </c>
      <c r="H267" s="7">
        <f t="shared" si="20"/>
        <v>46077</v>
      </c>
      <c r="I267" s="2" t="str">
        <f t="shared" si="21"/>
        <v>febrero</v>
      </c>
      <c r="J267" s="2">
        <f t="shared" si="22"/>
        <v>2</v>
      </c>
      <c r="K267" s="2">
        <f t="shared" si="24"/>
        <v>2026</v>
      </c>
      <c r="L267" s="2" t="str">
        <f t="shared" si="25"/>
        <v>FOUR SEASONS HOTEL OSAKA</v>
      </c>
      <c r="M267" s="2">
        <f t="shared" si="26"/>
        <v>0</v>
      </c>
      <c r="Q267" s="3">
        <v>27092</v>
      </c>
      <c r="R267" s="5" t="s">
        <v>309</v>
      </c>
      <c r="V267" s="3">
        <v>57</v>
      </c>
      <c r="W267" s="5" t="s">
        <v>68</v>
      </c>
      <c r="AD267" s="10"/>
      <c r="AE267" s="10"/>
    </row>
    <row r="268" spans="1:31" ht="15.75" customHeight="1">
      <c r="A268" s="3">
        <v>776</v>
      </c>
      <c r="B268" s="3">
        <v>33515</v>
      </c>
      <c r="C268" s="4">
        <v>46032</v>
      </c>
      <c r="D268" s="4">
        <v>46036</v>
      </c>
      <c r="E268" s="5" t="s">
        <v>32</v>
      </c>
      <c r="F268" s="3">
        <v>132340</v>
      </c>
      <c r="G268" s="6">
        <f t="shared" si="23"/>
        <v>727.87</v>
      </c>
      <c r="H268" s="7">
        <f t="shared" si="20"/>
        <v>46081</v>
      </c>
      <c r="I268" s="2" t="str">
        <f t="shared" si="21"/>
        <v>febrero</v>
      </c>
      <c r="J268" s="2">
        <f t="shared" si="22"/>
        <v>2</v>
      </c>
      <c r="K268" s="2">
        <f t="shared" si="24"/>
        <v>2026</v>
      </c>
      <c r="L268" s="2" t="str">
        <f t="shared" si="25"/>
        <v>PARK HYATT NISEKO HANAZONO</v>
      </c>
      <c r="M268" s="2">
        <f t="shared" si="26"/>
        <v>0</v>
      </c>
      <c r="Q268" s="3">
        <v>27105</v>
      </c>
      <c r="R268" s="5" t="s">
        <v>310</v>
      </c>
      <c r="V268" s="3">
        <v>57</v>
      </c>
      <c r="W268" s="5" t="s">
        <v>68</v>
      </c>
      <c r="AD268" s="10"/>
      <c r="AE268" s="10"/>
    </row>
    <row r="269" spans="1:31" ht="15.75" customHeight="1">
      <c r="A269" s="3">
        <v>776</v>
      </c>
      <c r="B269" s="3">
        <v>23362</v>
      </c>
      <c r="C269" s="4">
        <v>46033</v>
      </c>
      <c r="D269" s="4">
        <v>46035</v>
      </c>
      <c r="E269" s="5" t="s">
        <v>32</v>
      </c>
      <c r="F269" s="3">
        <v>59142.86</v>
      </c>
      <c r="G269" s="6">
        <f t="shared" si="23"/>
        <v>325.28573</v>
      </c>
      <c r="H269" s="7">
        <f t="shared" si="20"/>
        <v>46080</v>
      </c>
      <c r="I269" s="2" t="str">
        <f t="shared" si="21"/>
        <v>febrero</v>
      </c>
      <c r="J269" s="2">
        <f t="shared" si="22"/>
        <v>2</v>
      </c>
      <c r="K269" s="2">
        <f t="shared" si="24"/>
        <v>2026</v>
      </c>
      <c r="L269" s="2" t="str">
        <f t="shared" si="25"/>
        <v>SKIUSA SKI TRAVEL EXPERT TOUR OPERATOR</v>
      </c>
      <c r="M269" s="2">
        <f t="shared" si="26"/>
        <v>0</v>
      </c>
      <c r="Q269" s="3">
        <v>27108</v>
      </c>
      <c r="R269" s="5" t="s">
        <v>311</v>
      </c>
      <c r="V269" s="3">
        <v>58</v>
      </c>
      <c r="W269" s="5" t="s">
        <v>68</v>
      </c>
      <c r="AD269" s="11"/>
      <c r="AE269" s="11"/>
    </row>
    <row r="270" spans="1:31" ht="15.75" customHeight="1">
      <c r="A270" s="3">
        <v>781</v>
      </c>
      <c r="B270" s="3">
        <v>31978</v>
      </c>
      <c r="C270" s="4">
        <v>45928</v>
      </c>
      <c r="D270" s="4">
        <v>45934</v>
      </c>
      <c r="E270" s="5" t="s">
        <v>24</v>
      </c>
      <c r="F270" s="3">
        <v>177</v>
      </c>
      <c r="G270" s="6">
        <f t="shared" si="23"/>
        <v>152.22</v>
      </c>
      <c r="H270" s="7">
        <f t="shared" si="20"/>
        <v>45979</v>
      </c>
      <c r="I270" s="2" t="str">
        <f t="shared" si="21"/>
        <v>noviembre</v>
      </c>
      <c r="J270" s="2">
        <f t="shared" si="22"/>
        <v>11</v>
      </c>
      <c r="K270" s="2">
        <f t="shared" si="24"/>
        <v>2025</v>
      </c>
      <c r="L270" s="2" t="str">
        <f t="shared" si="25"/>
        <v>TRADERS HOTEL, KUALA LUMPUR</v>
      </c>
      <c r="M270" s="2">
        <f t="shared" si="26"/>
        <v>0</v>
      </c>
      <c r="Q270" s="3">
        <v>27109</v>
      </c>
      <c r="R270" s="5" t="s">
        <v>312</v>
      </c>
      <c r="V270" s="3">
        <v>58</v>
      </c>
      <c r="W270" s="5" t="s">
        <v>68</v>
      </c>
      <c r="AD270" s="10"/>
      <c r="AE270" s="10"/>
    </row>
    <row r="271" spans="1:31" ht="15.75" customHeight="1">
      <c r="A271" s="3">
        <v>782</v>
      </c>
      <c r="B271" s="3">
        <v>23317</v>
      </c>
      <c r="C271" s="4">
        <v>46019</v>
      </c>
      <c r="D271" s="4">
        <v>46023</v>
      </c>
      <c r="E271" s="5" t="s">
        <v>24</v>
      </c>
      <c r="F271" s="3">
        <v>608</v>
      </c>
      <c r="G271" s="6">
        <f t="shared" si="23"/>
        <v>522.88</v>
      </c>
      <c r="H271" s="7">
        <f t="shared" si="20"/>
        <v>46068</v>
      </c>
      <c r="I271" s="2" t="str">
        <f t="shared" si="21"/>
        <v>febrero</v>
      </c>
      <c r="J271" s="2">
        <f t="shared" si="22"/>
        <v>2</v>
      </c>
      <c r="K271" s="2">
        <f t="shared" si="24"/>
        <v>2026</v>
      </c>
      <c r="L271" s="2" t="str">
        <f t="shared" si="25"/>
        <v>THE LUXURY TRAVEL BOOK</v>
      </c>
      <c r="M271" s="2">
        <f t="shared" si="26"/>
        <v>0</v>
      </c>
      <c r="Q271" s="3">
        <v>27114</v>
      </c>
      <c r="R271" s="5" t="s">
        <v>313</v>
      </c>
      <c r="V271" s="3">
        <v>58</v>
      </c>
      <c r="W271" s="5" t="s">
        <v>68</v>
      </c>
      <c r="AD271" s="11"/>
      <c r="AE271" s="11"/>
    </row>
    <row r="272" spans="1:31" ht="15.75" customHeight="1">
      <c r="A272" s="3">
        <v>782</v>
      </c>
      <c r="B272" s="3">
        <v>25780</v>
      </c>
      <c r="C272" s="4">
        <v>46023</v>
      </c>
      <c r="D272" s="4">
        <v>46023</v>
      </c>
      <c r="E272" s="5" t="s">
        <v>24</v>
      </c>
      <c r="F272" s="3">
        <v>66.75</v>
      </c>
      <c r="G272" s="6">
        <f t="shared" si="23"/>
        <v>57.405000000000001</v>
      </c>
      <c r="H272" s="7">
        <f t="shared" si="20"/>
        <v>46068</v>
      </c>
      <c r="I272" s="2" t="str">
        <f t="shared" si="21"/>
        <v>febrero</v>
      </c>
      <c r="J272" s="2">
        <f t="shared" si="22"/>
        <v>2</v>
      </c>
      <c r="K272" s="2">
        <f t="shared" si="24"/>
        <v>2026</v>
      </c>
      <c r="L272" s="2" t="str">
        <f t="shared" si="25"/>
        <v>ROLZO</v>
      </c>
      <c r="M272" s="2">
        <f t="shared" si="26"/>
        <v>0</v>
      </c>
      <c r="Q272" s="3">
        <v>27115</v>
      </c>
      <c r="R272" s="5" t="s">
        <v>314</v>
      </c>
      <c r="V272" s="3">
        <v>58</v>
      </c>
      <c r="W272" s="5" t="s">
        <v>68</v>
      </c>
      <c r="AD272" s="11"/>
      <c r="AE272" s="11"/>
    </row>
    <row r="273" spans="1:31" ht="15.75" customHeight="1">
      <c r="A273" s="3">
        <v>782</v>
      </c>
      <c r="B273" s="3">
        <v>30769</v>
      </c>
      <c r="C273" s="4">
        <v>46023</v>
      </c>
      <c r="D273" s="4">
        <v>46026</v>
      </c>
      <c r="E273" s="5" t="s">
        <v>24</v>
      </c>
      <c r="F273" s="3">
        <v>331.21</v>
      </c>
      <c r="G273" s="6">
        <f t="shared" si="23"/>
        <v>284.84059999999999</v>
      </c>
      <c r="H273" s="7">
        <f t="shared" si="20"/>
        <v>46071</v>
      </c>
      <c r="I273" s="2" t="str">
        <f t="shared" si="21"/>
        <v>febrero</v>
      </c>
      <c r="J273" s="2">
        <f t="shared" si="22"/>
        <v>2</v>
      </c>
      <c r="K273" s="2">
        <f t="shared" si="24"/>
        <v>2026</v>
      </c>
      <c r="L273" s="2" t="str">
        <f t="shared" si="25"/>
        <v>THE ST. REGIS VENICE</v>
      </c>
      <c r="M273" s="2">
        <f t="shared" si="26"/>
        <v>0</v>
      </c>
      <c r="Q273" s="3">
        <v>27142</v>
      </c>
      <c r="R273" s="5" t="s">
        <v>315</v>
      </c>
      <c r="V273" s="3">
        <v>58</v>
      </c>
      <c r="W273" s="5" t="s">
        <v>68</v>
      </c>
      <c r="AD273" s="10"/>
      <c r="AE273" s="10"/>
    </row>
    <row r="274" spans="1:31" ht="15.75" customHeight="1">
      <c r="A274" s="3">
        <v>782</v>
      </c>
      <c r="B274" s="3">
        <v>30769</v>
      </c>
      <c r="C274" s="4">
        <v>46023</v>
      </c>
      <c r="D274" s="4">
        <v>46027</v>
      </c>
      <c r="E274" s="5" t="s">
        <v>24</v>
      </c>
      <c r="F274" s="3">
        <v>358.89</v>
      </c>
      <c r="G274" s="6">
        <f t="shared" si="23"/>
        <v>308.6454</v>
      </c>
      <c r="H274" s="7">
        <f t="shared" si="20"/>
        <v>46072</v>
      </c>
      <c r="I274" s="2" t="str">
        <f t="shared" si="21"/>
        <v>febrero</v>
      </c>
      <c r="J274" s="2">
        <f t="shared" si="22"/>
        <v>2</v>
      </c>
      <c r="K274" s="2">
        <f t="shared" si="24"/>
        <v>2026</v>
      </c>
      <c r="L274" s="2" t="str">
        <f t="shared" si="25"/>
        <v>THE ST. REGIS VENICE</v>
      </c>
      <c r="M274" s="2">
        <f t="shared" si="26"/>
        <v>0</v>
      </c>
      <c r="Q274" s="3">
        <v>27175</v>
      </c>
      <c r="R274" s="5" t="s">
        <v>316</v>
      </c>
      <c r="V274" s="3">
        <v>58</v>
      </c>
      <c r="W274" s="5" t="s">
        <v>68</v>
      </c>
      <c r="AD274" s="11"/>
      <c r="AE274" s="11"/>
    </row>
    <row r="275" spans="1:31" ht="15.75" customHeight="1">
      <c r="A275" s="3">
        <v>782</v>
      </c>
      <c r="B275" s="3">
        <v>30769</v>
      </c>
      <c r="C275" s="4">
        <v>46023</v>
      </c>
      <c r="D275" s="4">
        <v>46027</v>
      </c>
      <c r="E275" s="5" t="s">
        <v>24</v>
      </c>
      <c r="F275" s="3">
        <v>612.69000000000005</v>
      </c>
      <c r="G275" s="6">
        <f t="shared" si="23"/>
        <v>526.91340000000002</v>
      </c>
      <c r="H275" s="7">
        <f t="shared" si="20"/>
        <v>46072</v>
      </c>
      <c r="I275" s="2" t="str">
        <f t="shared" si="21"/>
        <v>febrero</v>
      </c>
      <c r="J275" s="2">
        <f t="shared" si="22"/>
        <v>2</v>
      </c>
      <c r="K275" s="2">
        <f t="shared" si="24"/>
        <v>2026</v>
      </c>
      <c r="L275" s="2" t="str">
        <f t="shared" si="25"/>
        <v>THE ST. REGIS VENICE</v>
      </c>
      <c r="M275" s="2">
        <f t="shared" si="26"/>
        <v>0</v>
      </c>
      <c r="Q275" s="3">
        <v>27193</v>
      </c>
      <c r="R275" s="5" t="s">
        <v>317</v>
      </c>
      <c r="V275" s="3">
        <v>58</v>
      </c>
      <c r="W275" s="5" t="s">
        <v>68</v>
      </c>
      <c r="AD275" s="10"/>
      <c r="AE275" s="10"/>
    </row>
    <row r="276" spans="1:31" ht="15.75" customHeight="1">
      <c r="A276" s="3">
        <v>782</v>
      </c>
      <c r="B276" s="3">
        <v>29074</v>
      </c>
      <c r="C276" s="4">
        <v>46015</v>
      </c>
      <c r="D276" s="4">
        <v>46050</v>
      </c>
      <c r="E276" s="5" t="s">
        <v>24</v>
      </c>
      <c r="F276" s="3">
        <v>1166.92</v>
      </c>
      <c r="G276" s="6">
        <f t="shared" si="23"/>
        <v>1003.5512</v>
      </c>
      <c r="H276" s="7">
        <f t="shared" si="20"/>
        <v>46095</v>
      </c>
      <c r="I276" s="2" t="str">
        <f t="shared" si="21"/>
        <v>marzo</v>
      </c>
      <c r="J276" s="2">
        <f t="shared" si="22"/>
        <v>3</v>
      </c>
      <c r="K276" s="2">
        <f t="shared" si="24"/>
        <v>2026</v>
      </c>
      <c r="L276" s="2" t="str">
        <f t="shared" si="25"/>
        <v>HIGHSTAY</v>
      </c>
      <c r="M276" s="2">
        <f t="shared" si="26"/>
        <v>0</v>
      </c>
      <c r="Q276" s="3">
        <v>27194</v>
      </c>
      <c r="R276" s="5" t="s">
        <v>318</v>
      </c>
      <c r="V276" s="3">
        <v>58</v>
      </c>
      <c r="W276" s="5" t="s">
        <v>68</v>
      </c>
      <c r="AD276" s="10"/>
      <c r="AE276" s="11"/>
    </row>
    <row r="277" spans="1:31" ht="15.75" customHeight="1">
      <c r="A277" s="3">
        <v>783</v>
      </c>
      <c r="B277" s="3">
        <v>30923</v>
      </c>
      <c r="C277" s="4">
        <v>45968</v>
      </c>
      <c r="D277" s="4">
        <v>45976</v>
      </c>
      <c r="E277" s="5" t="s">
        <v>28</v>
      </c>
      <c r="F277" s="3">
        <v>327.08</v>
      </c>
      <c r="G277" s="6">
        <f t="shared" si="23"/>
        <v>376.14199999999994</v>
      </c>
      <c r="H277" s="7">
        <f t="shared" si="20"/>
        <v>46021</v>
      </c>
      <c r="I277" s="2" t="str">
        <f t="shared" si="21"/>
        <v>diciembre</v>
      </c>
      <c r="J277" s="2">
        <f t="shared" si="22"/>
        <v>12</v>
      </c>
      <c r="K277" s="2">
        <f t="shared" si="24"/>
        <v>2025</v>
      </c>
      <c r="L277" s="2" t="str">
        <f t="shared" si="25"/>
        <v>ROYAL GARDEN HOTEL</v>
      </c>
      <c r="M277" s="2">
        <f t="shared" si="26"/>
        <v>0</v>
      </c>
      <c r="Q277" s="3">
        <v>27195</v>
      </c>
      <c r="R277" s="5" t="s">
        <v>319</v>
      </c>
      <c r="V277" s="3">
        <v>58</v>
      </c>
      <c r="W277" s="5" t="s">
        <v>220</v>
      </c>
      <c r="AD277" s="10"/>
      <c r="AE277" s="10"/>
    </row>
    <row r="278" spans="1:31" ht="15.75" customHeight="1">
      <c r="A278" s="3">
        <v>785</v>
      </c>
      <c r="B278" s="3">
        <v>23789</v>
      </c>
      <c r="C278" s="4">
        <v>45947</v>
      </c>
      <c r="D278" s="4">
        <v>45951</v>
      </c>
      <c r="E278" s="5" t="s">
        <v>24</v>
      </c>
      <c r="F278" s="3">
        <v>4559</v>
      </c>
      <c r="G278" s="6">
        <f t="shared" si="23"/>
        <v>3920.74</v>
      </c>
      <c r="H278" s="7">
        <f t="shared" si="20"/>
        <v>45996</v>
      </c>
      <c r="I278" s="2" t="str">
        <f t="shared" si="21"/>
        <v>diciembre</v>
      </c>
      <c r="J278" s="2">
        <f t="shared" si="22"/>
        <v>12</v>
      </c>
      <c r="K278" s="2">
        <f t="shared" si="24"/>
        <v>2025</v>
      </c>
      <c r="L278" s="2" t="str">
        <f t="shared" si="25"/>
        <v>TRIUMPH TRAVEL</v>
      </c>
      <c r="M278" s="2">
        <f t="shared" si="26"/>
        <v>0</v>
      </c>
      <c r="Q278" s="3">
        <v>27210</v>
      </c>
      <c r="R278" s="5" t="s">
        <v>320</v>
      </c>
      <c r="V278" s="3">
        <v>58</v>
      </c>
      <c r="W278" s="5" t="s">
        <v>220</v>
      </c>
      <c r="AD278" s="10"/>
      <c r="AE278" s="10"/>
    </row>
    <row r="279" spans="1:31" ht="15.75" customHeight="1">
      <c r="A279" s="3">
        <v>786</v>
      </c>
      <c r="B279" s="3">
        <v>25269</v>
      </c>
      <c r="C279" s="4">
        <v>45982</v>
      </c>
      <c r="D279" s="4">
        <v>45991</v>
      </c>
      <c r="E279" s="5" t="s">
        <v>19</v>
      </c>
      <c r="F279" s="3">
        <v>214</v>
      </c>
      <c r="G279" s="6">
        <f t="shared" si="23"/>
        <v>214</v>
      </c>
      <c r="H279" s="7">
        <f t="shared" si="20"/>
        <v>46036</v>
      </c>
      <c r="I279" s="2" t="str">
        <f t="shared" si="21"/>
        <v>enero</v>
      </c>
      <c r="J279" s="2">
        <f t="shared" si="22"/>
        <v>1</v>
      </c>
      <c r="K279" s="2">
        <f t="shared" si="24"/>
        <v>2026</v>
      </c>
      <c r="L279" s="2" t="str">
        <f t="shared" si="25"/>
        <v>HOTEL ALFONSO XIII</v>
      </c>
      <c r="M279" s="2">
        <f t="shared" si="26"/>
        <v>0</v>
      </c>
      <c r="Q279" s="3">
        <v>27230</v>
      </c>
      <c r="R279" s="5" t="s">
        <v>321</v>
      </c>
      <c r="V279" s="3">
        <v>58</v>
      </c>
      <c r="W279" s="5" t="s">
        <v>94</v>
      </c>
      <c r="AD279" s="11"/>
      <c r="AE279" s="11"/>
    </row>
    <row r="280" spans="1:31" ht="15.75" customHeight="1">
      <c r="A280" s="3">
        <v>789</v>
      </c>
      <c r="B280" s="3">
        <v>25263</v>
      </c>
      <c r="C280" s="4">
        <v>46136</v>
      </c>
      <c r="D280" s="4">
        <v>46140</v>
      </c>
      <c r="E280" s="5" t="s">
        <v>19</v>
      </c>
      <c r="F280" s="3">
        <v>676.36</v>
      </c>
      <c r="G280" s="6">
        <f t="shared" si="23"/>
        <v>676.36</v>
      </c>
      <c r="H280" s="7">
        <f t="shared" si="20"/>
        <v>46185</v>
      </c>
      <c r="I280" s="2" t="str">
        <f t="shared" si="21"/>
        <v>junio</v>
      </c>
      <c r="J280" s="2">
        <f t="shared" si="22"/>
        <v>6</v>
      </c>
      <c r="K280" s="2">
        <f t="shared" si="24"/>
        <v>2026</v>
      </c>
      <c r="L280" s="2" t="str">
        <f t="shared" si="25"/>
        <v>HOTEL DU CAP EDEN ROC</v>
      </c>
      <c r="M280" s="2">
        <f t="shared" si="26"/>
        <v>0</v>
      </c>
      <c r="Q280" s="3">
        <v>27231</v>
      </c>
      <c r="R280" s="5" t="s">
        <v>322</v>
      </c>
      <c r="V280" s="3">
        <v>58</v>
      </c>
      <c r="W280" s="5" t="s">
        <v>94</v>
      </c>
      <c r="AD280" s="10"/>
      <c r="AE280" s="10"/>
    </row>
    <row r="281" spans="1:31" ht="15.75" customHeight="1">
      <c r="A281" s="3">
        <v>789</v>
      </c>
      <c r="B281" s="3">
        <v>32366</v>
      </c>
      <c r="C281" s="4">
        <v>46144</v>
      </c>
      <c r="D281" s="4">
        <v>46146</v>
      </c>
      <c r="E281" s="5" t="s">
        <v>19</v>
      </c>
      <c r="F281" s="3">
        <v>305</v>
      </c>
      <c r="G281" s="6">
        <f t="shared" si="23"/>
        <v>305</v>
      </c>
      <c r="H281" s="7">
        <f t="shared" si="20"/>
        <v>46191</v>
      </c>
      <c r="I281" s="2" t="str">
        <f t="shared" si="21"/>
        <v>junio</v>
      </c>
      <c r="J281" s="2">
        <f t="shared" si="22"/>
        <v>6</v>
      </c>
      <c r="K281" s="2">
        <f t="shared" si="24"/>
        <v>2026</v>
      </c>
      <c r="L281" s="2" t="str">
        <f t="shared" si="25"/>
        <v>HOTEL LES ROCHES BLANCHES</v>
      </c>
      <c r="M281" s="2">
        <f t="shared" si="26"/>
        <v>0</v>
      </c>
      <c r="Q281" s="3">
        <v>27236</v>
      </c>
      <c r="R281" s="5" t="s">
        <v>323</v>
      </c>
      <c r="V281" s="3">
        <v>58</v>
      </c>
      <c r="W281" s="5" t="s">
        <v>23</v>
      </c>
    </row>
    <row r="282" spans="1:31" ht="15.75" customHeight="1">
      <c r="A282" s="3">
        <v>789</v>
      </c>
      <c r="B282" s="3">
        <v>28494</v>
      </c>
      <c r="C282" s="4">
        <v>46146</v>
      </c>
      <c r="D282" s="4">
        <v>46148</v>
      </c>
      <c r="E282" s="5" t="s">
        <v>19</v>
      </c>
      <c r="F282" s="3">
        <v>702</v>
      </c>
      <c r="G282" s="6">
        <f t="shared" si="23"/>
        <v>702</v>
      </c>
      <c r="H282" s="7">
        <f t="shared" si="20"/>
        <v>46193</v>
      </c>
      <c r="I282" s="2" t="str">
        <f t="shared" si="21"/>
        <v>junio</v>
      </c>
      <c r="J282" s="2">
        <f t="shared" si="22"/>
        <v>6</v>
      </c>
      <c r="K282" s="2">
        <f t="shared" si="24"/>
        <v>2026</v>
      </c>
      <c r="L282" s="2" t="str">
        <f t="shared" si="25"/>
        <v>AIRELLES CHATEAU DE VERSAILLES, LE GRAND CONTROLE</v>
      </c>
      <c r="M282" s="2">
        <f t="shared" si="26"/>
        <v>0</v>
      </c>
      <c r="Q282" s="3">
        <v>27237</v>
      </c>
      <c r="R282" s="5" t="s">
        <v>324</v>
      </c>
      <c r="V282" s="3">
        <v>58</v>
      </c>
      <c r="W282" s="5" t="s">
        <v>23</v>
      </c>
    </row>
    <row r="283" spans="1:31" ht="15.75" customHeight="1">
      <c r="A283" s="3">
        <v>789</v>
      </c>
      <c r="B283" s="3">
        <v>32457</v>
      </c>
      <c r="C283" s="4">
        <v>46148</v>
      </c>
      <c r="D283" s="4">
        <v>46153</v>
      </c>
      <c r="E283" s="5" t="s">
        <v>19</v>
      </c>
      <c r="F283" s="3">
        <v>1215.5</v>
      </c>
      <c r="G283" s="6">
        <f t="shared" si="23"/>
        <v>1215.5</v>
      </c>
      <c r="H283" s="7">
        <f t="shared" si="20"/>
        <v>46198</v>
      </c>
      <c r="I283" s="2" t="str">
        <f t="shared" si="21"/>
        <v>junio</v>
      </c>
      <c r="J283" s="2">
        <f t="shared" si="22"/>
        <v>6</v>
      </c>
      <c r="K283" s="2">
        <f t="shared" si="24"/>
        <v>2026</v>
      </c>
      <c r="L283" s="2" t="str">
        <f t="shared" si="25"/>
        <v>Four Seasons Hotel George V, Paris</v>
      </c>
      <c r="M283" s="2">
        <f t="shared" si="26"/>
        <v>0</v>
      </c>
      <c r="Q283" s="3">
        <v>27238</v>
      </c>
      <c r="R283" s="5" t="s">
        <v>325</v>
      </c>
      <c r="V283" s="3">
        <v>59</v>
      </c>
      <c r="W283" s="5" t="s">
        <v>23</v>
      </c>
    </row>
    <row r="284" spans="1:31" ht="15.75" customHeight="1">
      <c r="A284" s="3">
        <v>789</v>
      </c>
      <c r="B284" s="3">
        <v>25386</v>
      </c>
      <c r="C284" s="4">
        <v>46153</v>
      </c>
      <c r="D284" s="4">
        <v>46158</v>
      </c>
      <c r="E284" s="5" t="s">
        <v>19</v>
      </c>
      <c r="F284" s="3">
        <v>614</v>
      </c>
      <c r="G284" s="6">
        <f t="shared" si="23"/>
        <v>614</v>
      </c>
      <c r="H284" s="7">
        <f t="shared" si="20"/>
        <v>46203</v>
      </c>
      <c r="I284" s="2" t="str">
        <f t="shared" si="21"/>
        <v>junio</v>
      </c>
      <c r="J284" s="2">
        <f t="shared" si="22"/>
        <v>6</v>
      </c>
      <c r="K284" s="2">
        <f t="shared" si="24"/>
        <v>2026</v>
      </c>
      <c r="L284" s="2" t="str">
        <f t="shared" si="25"/>
        <v>THE CONNAUGHT</v>
      </c>
      <c r="M284" s="2">
        <f t="shared" si="26"/>
        <v>0</v>
      </c>
      <c r="Q284" s="3">
        <v>27243</v>
      </c>
      <c r="R284" s="5" t="s">
        <v>326</v>
      </c>
      <c r="V284" s="3">
        <v>60</v>
      </c>
      <c r="W284" s="5" t="s">
        <v>23</v>
      </c>
    </row>
    <row r="285" spans="1:31" ht="15.75" customHeight="1">
      <c r="A285" s="3">
        <v>789</v>
      </c>
      <c r="B285" s="3">
        <v>28420</v>
      </c>
      <c r="C285" s="4">
        <v>46137</v>
      </c>
      <c r="D285" s="4">
        <v>46146</v>
      </c>
      <c r="E285" s="5" t="s">
        <v>19</v>
      </c>
      <c r="F285" s="3">
        <v>138.38999999999999</v>
      </c>
      <c r="G285" s="6">
        <f t="shared" si="23"/>
        <v>138.38999999999999</v>
      </c>
      <c r="H285" s="7">
        <f t="shared" si="20"/>
        <v>46191</v>
      </c>
      <c r="I285" s="2" t="str">
        <f t="shared" si="21"/>
        <v>junio</v>
      </c>
      <c r="J285" s="2">
        <f t="shared" si="22"/>
        <v>6</v>
      </c>
      <c r="K285" s="2">
        <f t="shared" si="24"/>
        <v>2026</v>
      </c>
      <c r="L285" s="2" t="str">
        <f t="shared" si="25"/>
        <v>SIXT MÉXICO</v>
      </c>
      <c r="M285" s="2">
        <f t="shared" si="26"/>
        <v>0</v>
      </c>
      <c r="Q285" s="3">
        <v>27247</v>
      </c>
      <c r="R285" s="5" t="s">
        <v>327</v>
      </c>
      <c r="V285" s="3">
        <v>61</v>
      </c>
      <c r="W285" s="5" t="s">
        <v>23</v>
      </c>
    </row>
    <row r="286" spans="1:31" ht="15.75" customHeight="1">
      <c r="A286" s="3">
        <v>791</v>
      </c>
      <c r="B286" s="3">
        <v>28749</v>
      </c>
      <c r="C286" s="4">
        <v>45957</v>
      </c>
      <c r="D286" s="4">
        <v>45958</v>
      </c>
      <c r="E286" s="5" t="s">
        <v>19</v>
      </c>
      <c r="F286" s="3">
        <v>72</v>
      </c>
      <c r="G286" s="6">
        <f t="shared" si="23"/>
        <v>72</v>
      </c>
      <c r="H286" s="7">
        <f t="shared" si="20"/>
        <v>46003</v>
      </c>
      <c r="I286" s="2" t="str">
        <f t="shared" si="21"/>
        <v>diciembre</v>
      </c>
      <c r="J286" s="2">
        <f t="shared" si="22"/>
        <v>12</v>
      </c>
      <c r="K286" s="2">
        <f t="shared" si="24"/>
        <v>2025</v>
      </c>
      <c r="L286" s="2" t="str">
        <f t="shared" si="25"/>
        <v>SAO LOURENCO DO BARROCAL</v>
      </c>
      <c r="M286" s="2">
        <f t="shared" si="26"/>
        <v>0</v>
      </c>
      <c r="Q286" s="3">
        <v>27248</v>
      </c>
      <c r="R286" s="5" t="s">
        <v>328</v>
      </c>
      <c r="V286" s="3">
        <v>62</v>
      </c>
      <c r="W286" s="5" t="s">
        <v>23</v>
      </c>
    </row>
    <row r="287" spans="1:31" ht="15.75" customHeight="1">
      <c r="A287" s="3">
        <v>791</v>
      </c>
      <c r="B287" s="3">
        <v>32160</v>
      </c>
      <c r="C287" s="4">
        <v>45958</v>
      </c>
      <c r="D287" s="4">
        <v>45960</v>
      </c>
      <c r="E287" s="5" t="s">
        <v>19</v>
      </c>
      <c r="F287" s="3">
        <v>57.1</v>
      </c>
      <c r="G287" s="6">
        <f t="shared" si="23"/>
        <v>57.1</v>
      </c>
      <c r="H287" s="7">
        <f t="shared" si="20"/>
        <v>46005</v>
      </c>
      <c r="I287" s="2" t="str">
        <f t="shared" si="21"/>
        <v>diciembre</v>
      </c>
      <c r="J287" s="2">
        <f t="shared" si="22"/>
        <v>12</v>
      </c>
      <c r="K287" s="2">
        <f t="shared" si="24"/>
        <v>2025</v>
      </c>
      <c r="L287" s="2" t="str">
        <f t="shared" si="25"/>
        <v>LX BOUTIQUE HOTEL</v>
      </c>
      <c r="M287" s="2">
        <f t="shared" si="26"/>
        <v>0</v>
      </c>
      <c r="Q287" s="3">
        <v>27253</v>
      </c>
      <c r="R287" s="5" t="s">
        <v>329</v>
      </c>
      <c r="V287" s="3">
        <v>62</v>
      </c>
      <c r="W287" s="5" t="s">
        <v>23</v>
      </c>
    </row>
    <row r="288" spans="1:31" ht="15.75" customHeight="1">
      <c r="A288" s="3">
        <v>794</v>
      </c>
      <c r="B288" s="3">
        <v>33349</v>
      </c>
      <c r="C288" s="4">
        <v>46027</v>
      </c>
      <c r="D288" s="4">
        <v>46033</v>
      </c>
      <c r="E288" s="5" t="s">
        <v>24</v>
      </c>
      <c r="F288" s="3">
        <v>689.8</v>
      </c>
      <c r="G288" s="6">
        <f t="shared" si="23"/>
        <v>593.22799999999995</v>
      </c>
      <c r="H288" s="7">
        <f t="shared" si="20"/>
        <v>46078</v>
      </c>
      <c r="I288" s="2" t="str">
        <f t="shared" si="21"/>
        <v>febrero</v>
      </c>
      <c r="J288" s="2">
        <f t="shared" si="22"/>
        <v>2</v>
      </c>
      <c r="K288" s="2">
        <f t="shared" si="24"/>
        <v>2026</v>
      </c>
      <c r="L288" s="2" t="str">
        <f t="shared" si="25"/>
        <v>1 HOTEL MAYFAIR</v>
      </c>
      <c r="M288" s="2">
        <f t="shared" si="26"/>
        <v>0</v>
      </c>
      <c r="Q288" s="3">
        <v>27254</v>
      </c>
      <c r="R288" s="5" t="s">
        <v>330</v>
      </c>
      <c r="V288" s="3">
        <v>62</v>
      </c>
      <c r="W288" s="5" t="s">
        <v>204</v>
      </c>
    </row>
    <row r="289" spans="1:23" ht="15.75" customHeight="1">
      <c r="A289" s="3">
        <v>798</v>
      </c>
      <c r="B289" s="3">
        <v>25014</v>
      </c>
      <c r="C289" s="4">
        <v>45994</v>
      </c>
      <c r="D289" s="4">
        <v>45996</v>
      </c>
      <c r="E289" s="5" t="s">
        <v>24</v>
      </c>
      <c r="F289" s="3">
        <v>576</v>
      </c>
      <c r="G289" s="6">
        <f t="shared" si="23"/>
        <v>495.36</v>
      </c>
      <c r="H289" s="7">
        <f t="shared" si="20"/>
        <v>46041</v>
      </c>
      <c r="I289" s="2" t="str">
        <f t="shared" si="21"/>
        <v>enero</v>
      </c>
      <c r="J289" s="2">
        <f t="shared" si="22"/>
        <v>1</v>
      </c>
      <c r="K289" s="2">
        <f t="shared" si="24"/>
        <v>2026</v>
      </c>
      <c r="L289" s="2" t="str">
        <f t="shared" si="25"/>
        <v>JANU TOKYO</v>
      </c>
      <c r="M289" s="2">
        <f t="shared" si="26"/>
        <v>0</v>
      </c>
      <c r="Q289" s="3">
        <v>27255</v>
      </c>
      <c r="R289" s="5" t="s">
        <v>331</v>
      </c>
      <c r="V289" s="3">
        <v>62</v>
      </c>
      <c r="W289" s="5" t="s">
        <v>23</v>
      </c>
    </row>
    <row r="290" spans="1:23" ht="15.75" customHeight="1">
      <c r="A290" s="3">
        <v>799</v>
      </c>
      <c r="B290" s="3">
        <v>25053</v>
      </c>
      <c r="C290" s="4">
        <v>46019</v>
      </c>
      <c r="D290" s="4">
        <v>46022</v>
      </c>
      <c r="E290" s="5" t="s">
        <v>32</v>
      </c>
      <c r="F290" s="3">
        <v>85100</v>
      </c>
      <c r="G290" s="6">
        <f t="shared" si="23"/>
        <v>468.04999999999995</v>
      </c>
      <c r="H290" s="7">
        <f t="shared" si="20"/>
        <v>46067</v>
      </c>
      <c r="I290" s="2" t="str">
        <f t="shared" si="21"/>
        <v>febrero</v>
      </c>
      <c r="J290" s="2">
        <f t="shared" si="22"/>
        <v>2</v>
      </c>
      <c r="K290" s="2">
        <f t="shared" si="24"/>
        <v>2026</v>
      </c>
      <c r="L290" s="2" t="str">
        <f t="shared" si="25"/>
        <v>THE RITZ CARLTON NIKKO</v>
      </c>
      <c r="M290" s="2">
        <f t="shared" si="26"/>
        <v>0</v>
      </c>
      <c r="Q290" s="3">
        <v>27256</v>
      </c>
      <c r="R290" s="5" t="s">
        <v>332</v>
      </c>
      <c r="V290" s="3">
        <v>62</v>
      </c>
      <c r="W290" s="5" t="s">
        <v>23</v>
      </c>
    </row>
    <row r="291" spans="1:23" ht="15.75" customHeight="1">
      <c r="A291" s="3">
        <v>799</v>
      </c>
      <c r="B291" s="3">
        <v>27697</v>
      </c>
      <c r="C291" s="4">
        <v>46025</v>
      </c>
      <c r="D291" s="4">
        <v>46029</v>
      </c>
      <c r="E291" s="5" t="s">
        <v>32</v>
      </c>
      <c r="F291" s="3">
        <v>16159</v>
      </c>
      <c r="G291" s="6">
        <f t="shared" si="23"/>
        <v>88.874499999999998</v>
      </c>
      <c r="H291" s="7">
        <f t="shared" si="20"/>
        <v>46074</v>
      </c>
      <c r="I291" s="2" t="str">
        <f t="shared" si="21"/>
        <v>febrero</v>
      </c>
      <c r="J291" s="2">
        <f t="shared" si="22"/>
        <v>2</v>
      </c>
      <c r="K291" s="2">
        <f t="shared" si="24"/>
        <v>2026</v>
      </c>
      <c r="L291" s="2" t="str">
        <f t="shared" si="25"/>
        <v>HILTON KYOTO</v>
      </c>
      <c r="M291" s="2">
        <f t="shared" si="26"/>
        <v>0</v>
      </c>
      <c r="Q291" s="3">
        <v>27261</v>
      </c>
      <c r="R291" s="5" t="s">
        <v>333</v>
      </c>
      <c r="V291" s="3">
        <v>62</v>
      </c>
      <c r="W291" s="5" t="s">
        <v>23</v>
      </c>
    </row>
    <row r="292" spans="1:23" ht="15.75" customHeight="1">
      <c r="A292" s="3">
        <v>799</v>
      </c>
      <c r="B292" s="3">
        <v>30698</v>
      </c>
      <c r="C292" s="4">
        <v>46032</v>
      </c>
      <c r="D292" s="4">
        <v>46036</v>
      </c>
      <c r="E292" s="5" t="s">
        <v>32</v>
      </c>
      <c r="F292" s="3">
        <v>30976</v>
      </c>
      <c r="G292" s="6">
        <f t="shared" si="23"/>
        <v>170.36799999999999</v>
      </c>
      <c r="H292" s="7">
        <f t="shared" si="20"/>
        <v>46081</v>
      </c>
      <c r="I292" s="2" t="str">
        <f t="shared" si="21"/>
        <v>febrero</v>
      </c>
      <c r="J292" s="2">
        <f t="shared" si="22"/>
        <v>2</v>
      </c>
      <c r="K292" s="2">
        <f t="shared" si="24"/>
        <v>2026</v>
      </c>
      <c r="L292" s="2" t="str">
        <f t="shared" si="25"/>
        <v>HILTON NISEKO VILLAGE</v>
      </c>
      <c r="M292" s="2">
        <f t="shared" si="26"/>
        <v>0</v>
      </c>
      <c r="Q292" s="3">
        <v>27264</v>
      </c>
      <c r="R292" s="5" t="s">
        <v>334</v>
      </c>
      <c r="V292" s="3">
        <v>62</v>
      </c>
      <c r="W292" s="5" t="s">
        <v>68</v>
      </c>
    </row>
    <row r="293" spans="1:23" ht="15.75" customHeight="1">
      <c r="A293" s="3">
        <v>799</v>
      </c>
      <c r="B293" s="3">
        <v>33565</v>
      </c>
      <c r="C293" s="4">
        <v>46018</v>
      </c>
      <c r="D293" s="4">
        <v>46019</v>
      </c>
      <c r="E293" s="5" t="s">
        <v>32</v>
      </c>
      <c r="F293" s="3">
        <v>9775</v>
      </c>
      <c r="G293" s="6">
        <f t="shared" si="23"/>
        <v>53.762499999999996</v>
      </c>
      <c r="H293" s="7">
        <f t="shared" si="20"/>
        <v>46064</v>
      </c>
      <c r="I293" s="2" t="str">
        <f t="shared" si="21"/>
        <v>febrero</v>
      </c>
      <c r="J293" s="2">
        <f t="shared" si="22"/>
        <v>2</v>
      </c>
      <c r="K293" s="2">
        <f t="shared" si="24"/>
        <v>2026</v>
      </c>
      <c r="L293" s="2" t="str">
        <f t="shared" si="25"/>
        <v>AC HOTEL TOKYO GINZA</v>
      </c>
      <c r="M293" s="2">
        <f t="shared" si="26"/>
        <v>0</v>
      </c>
      <c r="Q293" s="3">
        <v>27265</v>
      </c>
      <c r="R293" s="5" t="s">
        <v>335</v>
      </c>
      <c r="V293" s="3">
        <v>63</v>
      </c>
      <c r="W293" s="5" t="s">
        <v>23</v>
      </c>
    </row>
    <row r="294" spans="1:23" ht="15.75" customHeight="1">
      <c r="A294" s="3">
        <v>799</v>
      </c>
      <c r="B294" s="3">
        <v>33565</v>
      </c>
      <c r="C294" s="4">
        <v>46022</v>
      </c>
      <c r="D294" s="4">
        <v>46025</v>
      </c>
      <c r="E294" s="5" t="s">
        <v>32</v>
      </c>
      <c r="F294" s="3">
        <v>32315</v>
      </c>
      <c r="G294" s="6">
        <f t="shared" si="23"/>
        <v>177.73249999999999</v>
      </c>
      <c r="H294" s="7">
        <f t="shared" si="20"/>
        <v>46070</v>
      </c>
      <c r="I294" s="2" t="str">
        <f t="shared" si="21"/>
        <v>febrero</v>
      </c>
      <c r="J294" s="2">
        <f t="shared" si="22"/>
        <v>2</v>
      </c>
      <c r="K294" s="2">
        <f t="shared" si="24"/>
        <v>2026</v>
      </c>
      <c r="L294" s="2" t="str">
        <f t="shared" si="25"/>
        <v>AC HOTEL TOKYO GINZA</v>
      </c>
      <c r="M294" s="2">
        <f t="shared" si="26"/>
        <v>0</v>
      </c>
      <c r="Q294" s="3">
        <v>27301</v>
      </c>
      <c r="R294" s="5" t="s">
        <v>336</v>
      </c>
      <c r="V294" s="3">
        <v>64</v>
      </c>
      <c r="W294" s="5" t="s">
        <v>23</v>
      </c>
    </row>
    <row r="295" spans="1:23" ht="15.75" customHeight="1">
      <c r="A295" s="3">
        <v>799</v>
      </c>
      <c r="B295" s="3">
        <v>33565</v>
      </c>
      <c r="C295" s="4">
        <v>46036</v>
      </c>
      <c r="D295" s="4">
        <v>46037</v>
      </c>
      <c r="E295" s="5" t="s">
        <v>32</v>
      </c>
      <c r="F295" s="3">
        <v>5520</v>
      </c>
      <c r="G295" s="6">
        <f t="shared" si="23"/>
        <v>30.36</v>
      </c>
      <c r="H295" s="7">
        <f t="shared" si="20"/>
        <v>46082</v>
      </c>
      <c r="I295" s="2" t="str">
        <f t="shared" si="21"/>
        <v>marzo</v>
      </c>
      <c r="J295" s="2">
        <f t="shared" si="22"/>
        <v>3</v>
      </c>
      <c r="K295" s="2">
        <f t="shared" si="24"/>
        <v>2026</v>
      </c>
      <c r="L295" s="2" t="str">
        <f t="shared" si="25"/>
        <v>AC HOTEL TOKYO GINZA</v>
      </c>
      <c r="M295" s="2">
        <f t="shared" si="26"/>
        <v>0</v>
      </c>
      <c r="Q295" s="3">
        <v>27306</v>
      </c>
      <c r="R295" s="5" t="s">
        <v>337</v>
      </c>
      <c r="V295" s="3">
        <v>65</v>
      </c>
      <c r="W295" s="5" t="s">
        <v>68</v>
      </c>
    </row>
    <row r="296" spans="1:23" ht="15.75" customHeight="1">
      <c r="A296" s="3">
        <v>799</v>
      </c>
      <c r="B296" s="3">
        <v>33618</v>
      </c>
      <c r="C296" s="4">
        <v>46029</v>
      </c>
      <c r="D296" s="4">
        <v>46032</v>
      </c>
      <c r="E296" s="5" t="s">
        <v>32</v>
      </c>
      <c r="F296" s="3">
        <v>14490</v>
      </c>
      <c r="G296" s="6">
        <f t="shared" si="23"/>
        <v>79.694999999999993</v>
      </c>
      <c r="H296" s="7">
        <f t="shared" si="20"/>
        <v>46077</v>
      </c>
      <c r="I296" s="2" t="str">
        <f t="shared" si="21"/>
        <v>febrero</v>
      </c>
      <c r="J296" s="2">
        <f t="shared" si="22"/>
        <v>2</v>
      </c>
      <c r="K296" s="2">
        <f t="shared" si="24"/>
        <v>2026</v>
      </c>
      <c r="L296" s="2" t="str">
        <f t="shared" si="25"/>
        <v>CANOPY BY HILTON OSAKA UMEDA</v>
      </c>
      <c r="M296" s="2">
        <f t="shared" si="26"/>
        <v>0</v>
      </c>
      <c r="Q296" s="3">
        <v>27316</v>
      </c>
      <c r="R296" s="5" t="s">
        <v>338</v>
      </c>
      <c r="V296" s="3">
        <v>66</v>
      </c>
      <c r="W296" s="5" t="s">
        <v>220</v>
      </c>
    </row>
    <row r="297" spans="1:23" ht="15.75" customHeight="1">
      <c r="A297" s="3">
        <v>800</v>
      </c>
      <c r="B297" s="3">
        <v>32361</v>
      </c>
      <c r="C297" s="4">
        <v>45967</v>
      </c>
      <c r="D297" s="4">
        <v>45969</v>
      </c>
      <c r="E297" s="5" t="s">
        <v>24</v>
      </c>
      <c r="F297" s="3">
        <v>260.68</v>
      </c>
      <c r="G297" s="6">
        <f t="shared" si="23"/>
        <v>224.1848</v>
      </c>
      <c r="H297" s="7">
        <f t="shared" si="20"/>
        <v>46014</v>
      </c>
      <c r="I297" s="2" t="str">
        <f t="shared" si="21"/>
        <v>diciembre</v>
      </c>
      <c r="J297" s="2">
        <f t="shared" si="22"/>
        <v>12</v>
      </c>
      <c r="K297" s="2">
        <f t="shared" si="24"/>
        <v>2025</v>
      </c>
      <c r="L297" s="2" t="str">
        <f t="shared" si="25"/>
        <v>The Inn at Newport Ranch</v>
      </c>
      <c r="M297" s="2">
        <f t="shared" si="26"/>
        <v>0</v>
      </c>
      <c r="Q297" s="3">
        <v>27336</v>
      </c>
      <c r="R297" s="5" t="s">
        <v>339</v>
      </c>
      <c r="V297" s="3">
        <v>67</v>
      </c>
      <c r="W297" s="5" t="s">
        <v>220</v>
      </c>
    </row>
    <row r="298" spans="1:23" ht="15.75" customHeight="1">
      <c r="A298" s="3">
        <v>800</v>
      </c>
      <c r="B298" s="3">
        <v>32426</v>
      </c>
      <c r="C298" s="4">
        <v>45969</v>
      </c>
      <c r="D298" s="4">
        <v>45971</v>
      </c>
      <c r="E298" s="5" t="s">
        <v>24</v>
      </c>
      <c r="F298" s="3">
        <v>1044.45</v>
      </c>
      <c r="G298" s="6">
        <f t="shared" si="23"/>
        <v>898.22699999999998</v>
      </c>
      <c r="H298" s="7">
        <f t="shared" si="20"/>
        <v>46016</v>
      </c>
      <c r="I298" s="2" t="str">
        <f t="shared" si="21"/>
        <v>diciembre</v>
      </c>
      <c r="J298" s="2">
        <f t="shared" si="22"/>
        <v>12</v>
      </c>
      <c r="K298" s="2">
        <f t="shared" si="24"/>
        <v>2025</v>
      </c>
      <c r="L298" s="2" t="str">
        <f t="shared" si="25"/>
        <v>Stanly Ranch</v>
      </c>
      <c r="M298" s="2">
        <f t="shared" si="26"/>
        <v>0</v>
      </c>
      <c r="Q298" s="3">
        <v>27345</v>
      </c>
      <c r="R298" s="5" t="s">
        <v>340</v>
      </c>
      <c r="V298" s="3">
        <v>68</v>
      </c>
      <c r="W298" s="5" t="s">
        <v>94</v>
      </c>
    </row>
    <row r="299" spans="1:23" ht="15.75" customHeight="1">
      <c r="A299" s="3">
        <v>800</v>
      </c>
      <c r="B299" s="3">
        <v>33029</v>
      </c>
      <c r="C299" s="4">
        <v>45971</v>
      </c>
      <c r="D299" s="4">
        <v>45973</v>
      </c>
      <c r="E299" s="5" t="s">
        <v>24</v>
      </c>
      <c r="F299" s="3">
        <v>91</v>
      </c>
      <c r="G299" s="6">
        <f t="shared" si="23"/>
        <v>78.260000000000005</v>
      </c>
      <c r="H299" s="7">
        <f t="shared" si="20"/>
        <v>46018</v>
      </c>
      <c r="I299" s="2" t="str">
        <f t="shared" si="21"/>
        <v>diciembre</v>
      </c>
      <c r="J299" s="2">
        <f t="shared" si="22"/>
        <v>12</v>
      </c>
      <c r="K299" s="2">
        <f t="shared" si="24"/>
        <v>2025</v>
      </c>
      <c r="L299" s="2" t="str">
        <f t="shared" si="25"/>
        <v>Firefall Ranch</v>
      </c>
      <c r="M299" s="2">
        <f t="shared" si="26"/>
        <v>0</v>
      </c>
      <c r="Q299" s="3">
        <v>27356</v>
      </c>
      <c r="R299" s="5" t="s">
        <v>341</v>
      </c>
      <c r="V299" s="3">
        <v>69</v>
      </c>
      <c r="W299" s="5" t="s">
        <v>217</v>
      </c>
    </row>
    <row r="300" spans="1:23" ht="15.75" customHeight="1">
      <c r="A300" s="3">
        <v>801</v>
      </c>
      <c r="B300" s="3">
        <v>32341</v>
      </c>
      <c r="C300" s="4">
        <v>45954</v>
      </c>
      <c r="D300" s="4">
        <v>45956</v>
      </c>
      <c r="E300" s="5" t="s">
        <v>24</v>
      </c>
      <c r="F300" s="3">
        <v>85.84</v>
      </c>
      <c r="G300" s="6">
        <f t="shared" si="23"/>
        <v>73.822400000000002</v>
      </c>
      <c r="H300" s="7">
        <f t="shared" si="20"/>
        <v>46001</v>
      </c>
      <c r="I300" s="2" t="str">
        <f t="shared" si="21"/>
        <v>diciembre</v>
      </c>
      <c r="J300" s="2">
        <f t="shared" si="22"/>
        <v>12</v>
      </c>
      <c r="K300" s="2">
        <f t="shared" si="24"/>
        <v>2025</v>
      </c>
      <c r="L300" s="2" t="str">
        <f t="shared" si="25"/>
        <v>CALA DE MAR RESORT AND SPA IXTAPA</v>
      </c>
      <c r="M300" s="2">
        <f t="shared" si="26"/>
        <v>0</v>
      </c>
      <c r="Q300" s="3">
        <v>27364</v>
      </c>
      <c r="R300" s="5" t="s">
        <v>342</v>
      </c>
      <c r="V300" s="3">
        <v>69</v>
      </c>
      <c r="W300" s="5" t="s">
        <v>158</v>
      </c>
    </row>
    <row r="301" spans="1:23" ht="15.75" customHeight="1">
      <c r="A301" s="3">
        <v>805</v>
      </c>
      <c r="B301" s="3">
        <v>27931</v>
      </c>
      <c r="C301" s="4">
        <v>45926</v>
      </c>
      <c r="D301" s="4">
        <v>45930</v>
      </c>
      <c r="E301" s="5" t="s">
        <v>24</v>
      </c>
      <c r="F301" s="3">
        <v>173.36</v>
      </c>
      <c r="G301" s="6">
        <f t="shared" si="23"/>
        <v>149.08960000000002</v>
      </c>
      <c r="H301" s="7">
        <f t="shared" si="20"/>
        <v>45975</v>
      </c>
      <c r="I301" s="2" t="str">
        <f t="shared" si="21"/>
        <v>noviembre</v>
      </c>
      <c r="J301" s="2">
        <f t="shared" si="22"/>
        <v>11</v>
      </c>
      <c r="K301" s="2">
        <f t="shared" si="24"/>
        <v>2025</v>
      </c>
      <c r="L301" s="2" t="str">
        <f t="shared" si="25"/>
        <v>Bedsonline</v>
      </c>
      <c r="M301" s="2">
        <f t="shared" si="26"/>
        <v>0</v>
      </c>
      <c r="Q301" s="3">
        <v>27365</v>
      </c>
      <c r="R301" s="5" t="s">
        <v>343</v>
      </c>
      <c r="V301" s="3">
        <v>70</v>
      </c>
      <c r="W301" s="5" t="s">
        <v>23</v>
      </c>
    </row>
    <row r="302" spans="1:23" ht="15.75" customHeight="1">
      <c r="A302" s="3">
        <v>806</v>
      </c>
      <c r="B302" s="3">
        <v>27633</v>
      </c>
      <c r="C302" s="4">
        <v>45973</v>
      </c>
      <c r="D302" s="4">
        <v>45978</v>
      </c>
      <c r="E302" s="5" t="s">
        <v>24</v>
      </c>
      <c r="F302" s="3">
        <v>1426.2</v>
      </c>
      <c r="G302" s="6">
        <f t="shared" si="23"/>
        <v>1226.5319999999999</v>
      </c>
      <c r="H302" s="7">
        <f t="shared" si="20"/>
        <v>46023</v>
      </c>
      <c r="I302" s="2" t="str">
        <f t="shared" si="21"/>
        <v>enero</v>
      </c>
      <c r="J302" s="2">
        <f t="shared" si="22"/>
        <v>1</v>
      </c>
      <c r="K302" s="2">
        <f t="shared" si="24"/>
        <v>2026</v>
      </c>
      <c r="L302" s="2" t="str">
        <f t="shared" si="25"/>
        <v>FOUR SEASONS RESORT TAMARINDO</v>
      </c>
      <c r="M302" s="2">
        <f t="shared" si="26"/>
        <v>0</v>
      </c>
      <c r="Q302" s="3">
        <v>27368</v>
      </c>
      <c r="R302" s="5" t="s">
        <v>344</v>
      </c>
      <c r="V302" s="3">
        <v>71</v>
      </c>
      <c r="W302" s="5" t="s">
        <v>23</v>
      </c>
    </row>
    <row r="303" spans="1:23" ht="15.75" customHeight="1">
      <c r="A303" s="3">
        <v>807</v>
      </c>
      <c r="B303" s="3">
        <v>25036</v>
      </c>
      <c r="C303" s="4">
        <v>46007</v>
      </c>
      <c r="D303" s="4">
        <v>46017</v>
      </c>
      <c r="E303" s="5" t="s">
        <v>24</v>
      </c>
      <c r="F303" s="3">
        <v>16490</v>
      </c>
      <c r="G303" s="6">
        <f t="shared" si="23"/>
        <v>14181.4</v>
      </c>
      <c r="H303" s="7">
        <f t="shared" si="20"/>
        <v>46062</v>
      </c>
      <c r="I303" s="2" t="str">
        <f t="shared" si="21"/>
        <v>febrero</v>
      </c>
      <c r="J303" s="2">
        <f t="shared" si="22"/>
        <v>2</v>
      </c>
      <c r="K303" s="2">
        <f t="shared" si="24"/>
        <v>2026</v>
      </c>
      <c r="L303" s="2" t="str">
        <f t="shared" si="25"/>
        <v>HUMMINGBIRD TRAVEL</v>
      </c>
      <c r="M303" s="2">
        <f t="shared" si="26"/>
        <v>0</v>
      </c>
      <c r="Q303" s="3">
        <v>27371</v>
      </c>
      <c r="R303" s="5" t="s">
        <v>345</v>
      </c>
      <c r="V303" s="3">
        <v>71</v>
      </c>
      <c r="W303" s="5" t="s">
        <v>89</v>
      </c>
    </row>
    <row r="304" spans="1:23" ht="15.75" customHeight="1">
      <c r="A304" s="3">
        <v>809</v>
      </c>
      <c r="B304" s="3">
        <v>32410</v>
      </c>
      <c r="C304" s="4">
        <v>46065</v>
      </c>
      <c r="D304" s="4">
        <v>46068</v>
      </c>
      <c r="E304" s="5" t="s">
        <v>34</v>
      </c>
      <c r="F304" s="3">
        <v>17419.05</v>
      </c>
      <c r="G304" s="6">
        <f t="shared" si="23"/>
        <v>836.11439999999993</v>
      </c>
      <c r="H304" s="7">
        <f t="shared" si="20"/>
        <v>46113</v>
      </c>
      <c r="I304" s="2" t="str">
        <f t="shared" si="21"/>
        <v>abril</v>
      </c>
      <c r="J304" s="2">
        <f t="shared" si="22"/>
        <v>4</v>
      </c>
      <c r="K304" s="2">
        <f t="shared" si="24"/>
        <v>2026</v>
      </c>
      <c r="L304" s="2" t="str">
        <f t="shared" si="25"/>
        <v>CASA LUNA CABOS</v>
      </c>
      <c r="M304" s="2">
        <f t="shared" si="26"/>
        <v>0</v>
      </c>
      <c r="Q304" s="3">
        <v>27387</v>
      </c>
      <c r="R304" s="5" t="s">
        <v>346</v>
      </c>
      <c r="V304" s="3">
        <v>71</v>
      </c>
      <c r="W304" s="5" t="s">
        <v>89</v>
      </c>
    </row>
    <row r="305" spans="1:23" ht="15.75" customHeight="1">
      <c r="A305" s="3">
        <v>815</v>
      </c>
      <c r="B305" s="3">
        <v>32554</v>
      </c>
      <c r="C305" s="4">
        <v>46007</v>
      </c>
      <c r="D305" s="4">
        <v>46011</v>
      </c>
      <c r="E305" s="5" t="s">
        <v>34</v>
      </c>
      <c r="F305" s="3">
        <v>27505.919999999998</v>
      </c>
      <c r="G305" s="6">
        <f t="shared" si="23"/>
        <v>1320.2841599999999</v>
      </c>
      <c r="H305" s="7">
        <f t="shared" si="20"/>
        <v>46056</v>
      </c>
      <c r="I305" s="2" t="str">
        <f t="shared" si="21"/>
        <v>febrero</v>
      </c>
      <c r="J305" s="2">
        <f t="shared" si="22"/>
        <v>2</v>
      </c>
      <c r="K305" s="2">
        <f t="shared" si="24"/>
        <v>2026</v>
      </c>
      <c r="L305" s="2" t="str">
        <f t="shared" si="25"/>
        <v>AMANERA HOTEL</v>
      </c>
      <c r="M305" s="2">
        <f t="shared" si="26"/>
        <v>0</v>
      </c>
      <c r="Q305" s="3">
        <v>27434</v>
      </c>
      <c r="R305" s="5" t="s">
        <v>347</v>
      </c>
      <c r="V305" s="3">
        <v>71</v>
      </c>
      <c r="W305" s="5" t="s">
        <v>60</v>
      </c>
    </row>
    <row r="306" spans="1:23" ht="15.75" customHeight="1">
      <c r="A306" s="3">
        <v>821</v>
      </c>
      <c r="B306" s="3">
        <v>33027</v>
      </c>
      <c r="C306" s="4">
        <v>45972</v>
      </c>
      <c r="D306" s="4">
        <v>45973</v>
      </c>
      <c r="E306" s="5" t="s">
        <v>19</v>
      </c>
      <c r="F306" s="3">
        <v>42</v>
      </c>
      <c r="G306" s="6">
        <f t="shared" si="23"/>
        <v>42</v>
      </c>
      <c r="H306" s="7">
        <f t="shared" si="20"/>
        <v>46018</v>
      </c>
      <c r="I306" s="2" t="str">
        <f t="shared" si="21"/>
        <v>diciembre</v>
      </c>
      <c r="J306" s="2">
        <f t="shared" si="22"/>
        <v>12</v>
      </c>
      <c r="K306" s="2">
        <f t="shared" si="24"/>
        <v>2025</v>
      </c>
      <c r="L306" s="2" t="str">
        <f t="shared" si="25"/>
        <v>Pousada de Lisboa Small Luxury Hotels</v>
      </c>
      <c r="M306" s="2">
        <f t="shared" si="26"/>
        <v>0</v>
      </c>
      <c r="Q306" s="3">
        <v>27436</v>
      </c>
      <c r="R306" s="5" t="s">
        <v>348</v>
      </c>
      <c r="V306" s="3">
        <v>71</v>
      </c>
      <c r="W306" s="5" t="s">
        <v>23</v>
      </c>
    </row>
    <row r="307" spans="1:23" ht="15.75" customHeight="1">
      <c r="A307" s="3">
        <v>822</v>
      </c>
      <c r="B307" s="3">
        <v>32544</v>
      </c>
      <c r="C307" s="4">
        <v>45973</v>
      </c>
      <c r="D307" s="4">
        <v>45977</v>
      </c>
      <c r="E307" s="5" t="s">
        <v>24</v>
      </c>
      <c r="F307" s="3">
        <v>1210</v>
      </c>
      <c r="G307" s="6">
        <f t="shared" si="23"/>
        <v>1040.5999999999999</v>
      </c>
      <c r="H307" s="7">
        <f t="shared" si="20"/>
        <v>46022</v>
      </c>
      <c r="I307" s="2" t="str">
        <f t="shared" si="21"/>
        <v>diciembre</v>
      </c>
      <c r="J307" s="2">
        <f t="shared" si="22"/>
        <v>12</v>
      </c>
      <c r="K307" s="2">
        <f t="shared" si="24"/>
        <v>2025</v>
      </c>
      <c r="L307" s="2" t="str">
        <f t="shared" si="25"/>
        <v>ICELAND ENCOUNTER</v>
      </c>
      <c r="M307" s="2">
        <f t="shared" si="26"/>
        <v>0</v>
      </c>
      <c r="Q307" s="3">
        <v>27437</v>
      </c>
      <c r="R307" s="5" t="s">
        <v>349</v>
      </c>
      <c r="V307" s="3">
        <v>71</v>
      </c>
      <c r="W307" s="5" t="s">
        <v>23</v>
      </c>
    </row>
    <row r="308" spans="1:23" ht="15.75" customHeight="1">
      <c r="A308" s="3">
        <v>830</v>
      </c>
      <c r="B308" s="3">
        <v>27633</v>
      </c>
      <c r="C308" s="4">
        <v>46015</v>
      </c>
      <c r="D308" s="4">
        <v>46024</v>
      </c>
      <c r="E308" s="5" t="s">
        <v>24</v>
      </c>
      <c r="F308" s="3">
        <v>9160</v>
      </c>
      <c r="G308" s="6">
        <f t="shared" si="23"/>
        <v>7877.5999999999995</v>
      </c>
      <c r="H308" s="7">
        <f t="shared" si="20"/>
        <v>46069</v>
      </c>
      <c r="I308" s="2" t="str">
        <f t="shared" si="21"/>
        <v>febrero</v>
      </c>
      <c r="J308" s="2">
        <f t="shared" si="22"/>
        <v>2</v>
      </c>
      <c r="K308" s="2">
        <f t="shared" si="24"/>
        <v>2026</v>
      </c>
      <c r="L308" s="2" t="str">
        <f t="shared" si="25"/>
        <v>FOUR SEASONS RESORT TAMARINDO</v>
      </c>
      <c r="M308" s="2">
        <f t="shared" si="26"/>
        <v>0</v>
      </c>
      <c r="Q308" s="3">
        <v>27439</v>
      </c>
      <c r="R308" s="5" t="s">
        <v>350</v>
      </c>
      <c r="V308" s="3">
        <v>71</v>
      </c>
      <c r="W308" s="5" t="s">
        <v>23</v>
      </c>
    </row>
    <row r="309" spans="1:23" ht="15.75" customHeight="1">
      <c r="A309" s="3">
        <v>830</v>
      </c>
      <c r="B309" s="3">
        <v>27633</v>
      </c>
      <c r="C309" s="4">
        <v>46015</v>
      </c>
      <c r="D309" s="4">
        <v>46024</v>
      </c>
      <c r="E309" s="5" t="s">
        <v>24</v>
      </c>
      <c r="F309" s="3">
        <v>2300</v>
      </c>
      <c r="G309" s="6">
        <f t="shared" si="23"/>
        <v>1978</v>
      </c>
      <c r="H309" s="7">
        <f t="shared" si="20"/>
        <v>46069</v>
      </c>
      <c r="I309" s="2" t="str">
        <f t="shared" si="21"/>
        <v>febrero</v>
      </c>
      <c r="J309" s="2">
        <f t="shared" si="22"/>
        <v>2</v>
      </c>
      <c r="K309" s="2">
        <f t="shared" si="24"/>
        <v>2026</v>
      </c>
      <c r="L309" s="2" t="str">
        <f t="shared" si="25"/>
        <v>FOUR SEASONS RESORT TAMARINDO</v>
      </c>
      <c r="M309" s="2">
        <f t="shared" si="26"/>
        <v>0</v>
      </c>
      <c r="Q309" s="3">
        <v>27447</v>
      </c>
      <c r="R309" s="5" t="s">
        <v>351</v>
      </c>
      <c r="V309" s="3">
        <v>71</v>
      </c>
      <c r="W309" s="5" t="s">
        <v>23</v>
      </c>
    </row>
    <row r="310" spans="1:23" ht="15.75" customHeight="1">
      <c r="A310" s="3">
        <v>832</v>
      </c>
      <c r="B310" s="3">
        <v>32425</v>
      </c>
      <c r="C310" s="4">
        <v>46011</v>
      </c>
      <c r="D310" s="4">
        <v>46014</v>
      </c>
      <c r="E310" s="5" t="s">
        <v>24</v>
      </c>
      <c r="F310" s="3">
        <v>2527.5</v>
      </c>
      <c r="G310" s="6">
        <f t="shared" si="23"/>
        <v>2173.65</v>
      </c>
      <c r="H310" s="7">
        <f t="shared" si="20"/>
        <v>46059</v>
      </c>
      <c r="I310" s="2" t="str">
        <f t="shared" si="21"/>
        <v>febrero</v>
      </c>
      <c r="J310" s="2">
        <f t="shared" si="22"/>
        <v>2</v>
      </c>
      <c r="K310" s="2">
        <f t="shared" si="24"/>
        <v>2026</v>
      </c>
      <c r="L310" s="2" t="str">
        <f t="shared" si="25"/>
        <v>Post Ranch Inn</v>
      </c>
      <c r="M310" s="2">
        <f t="shared" si="26"/>
        <v>0</v>
      </c>
      <c r="Q310" s="3">
        <v>27448</v>
      </c>
      <c r="R310" s="5" t="s">
        <v>352</v>
      </c>
      <c r="V310" s="3">
        <v>71</v>
      </c>
      <c r="W310" s="5" t="s">
        <v>23</v>
      </c>
    </row>
    <row r="311" spans="1:23" ht="15.75" customHeight="1">
      <c r="A311" s="3">
        <v>832</v>
      </c>
      <c r="B311" s="3">
        <v>32426</v>
      </c>
      <c r="C311" s="4">
        <v>46014</v>
      </c>
      <c r="D311" s="4">
        <v>46017</v>
      </c>
      <c r="E311" s="5" t="s">
        <v>24</v>
      </c>
      <c r="F311" s="3">
        <v>1178.0999999999999</v>
      </c>
      <c r="G311" s="6">
        <f t="shared" si="23"/>
        <v>1013.1659999999999</v>
      </c>
      <c r="H311" s="7">
        <f t="shared" si="20"/>
        <v>46062</v>
      </c>
      <c r="I311" s="2" t="str">
        <f t="shared" si="21"/>
        <v>febrero</v>
      </c>
      <c r="J311" s="2">
        <f t="shared" si="22"/>
        <v>2</v>
      </c>
      <c r="K311" s="2">
        <f t="shared" si="24"/>
        <v>2026</v>
      </c>
      <c r="L311" s="2" t="str">
        <f t="shared" si="25"/>
        <v>Stanly Ranch</v>
      </c>
      <c r="M311" s="2">
        <f t="shared" si="26"/>
        <v>0</v>
      </c>
      <c r="Q311" s="3">
        <v>27453</v>
      </c>
      <c r="R311" s="5" t="s">
        <v>353</v>
      </c>
      <c r="V311" s="3">
        <v>72</v>
      </c>
      <c r="W311" s="5" t="s">
        <v>266</v>
      </c>
    </row>
    <row r="312" spans="1:23" ht="15.75" customHeight="1">
      <c r="A312" s="3">
        <v>834</v>
      </c>
      <c r="B312" s="3">
        <v>33422</v>
      </c>
      <c r="C312" s="4">
        <v>46015</v>
      </c>
      <c r="D312" s="4">
        <v>46021</v>
      </c>
      <c r="E312" s="5" t="s">
        <v>24</v>
      </c>
      <c r="F312" s="3">
        <v>-580.5</v>
      </c>
      <c r="G312" s="6">
        <f t="shared" si="23"/>
        <v>-499.23</v>
      </c>
      <c r="H312" s="7">
        <f t="shared" si="20"/>
        <v>46066</v>
      </c>
      <c r="I312" s="2" t="str">
        <f t="shared" si="21"/>
        <v>febrero</v>
      </c>
      <c r="J312" s="2">
        <f t="shared" si="22"/>
        <v>2</v>
      </c>
      <c r="K312" s="2">
        <f t="shared" si="24"/>
        <v>2026</v>
      </c>
      <c r="L312" s="2" t="str">
        <f t="shared" si="25"/>
        <v>BHUTAN RESORT PRIVATE LIMITED AMANKORA</v>
      </c>
      <c r="M312" s="2">
        <f t="shared" si="26"/>
        <v>0</v>
      </c>
      <c r="Q312" s="3">
        <v>27474</v>
      </c>
      <c r="R312" s="5" t="s">
        <v>354</v>
      </c>
      <c r="V312" s="3">
        <v>73</v>
      </c>
      <c r="W312" s="5" t="s">
        <v>89</v>
      </c>
    </row>
    <row r="313" spans="1:23" ht="15.75" customHeight="1">
      <c r="A313" s="3">
        <v>835</v>
      </c>
      <c r="B313" s="3">
        <v>25907</v>
      </c>
      <c r="C313" s="4">
        <v>46130</v>
      </c>
      <c r="D313" s="4">
        <v>46134</v>
      </c>
      <c r="E313" s="5" t="s">
        <v>24</v>
      </c>
      <c r="F313" s="3">
        <v>521.09</v>
      </c>
      <c r="G313" s="6">
        <f t="shared" si="23"/>
        <v>448.13740000000001</v>
      </c>
      <c r="H313" s="7">
        <f t="shared" si="20"/>
        <v>46179</v>
      </c>
      <c r="I313" s="2" t="str">
        <f t="shared" si="21"/>
        <v>junio</v>
      </c>
      <c r="J313" s="2">
        <f t="shared" si="22"/>
        <v>6</v>
      </c>
      <c r="K313" s="2">
        <f t="shared" si="24"/>
        <v>2026</v>
      </c>
      <c r="L313" s="2" t="str">
        <f t="shared" si="25"/>
        <v>THE OKURA TOKYO</v>
      </c>
      <c r="M313" s="2">
        <f t="shared" si="26"/>
        <v>0</v>
      </c>
      <c r="Q313" s="3">
        <v>27486</v>
      </c>
      <c r="R313" s="5" t="s">
        <v>355</v>
      </c>
      <c r="V313" s="3">
        <v>73</v>
      </c>
      <c r="W313" s="5" t="s">
        <v>68</v>
      </c>
    </row>
    <row r="314" spans="1:23" ht="15.75" customHeight="1">
      <c r="A314" s="3">
        <v>835</v>
      </c>
      <c r="B314" s="3">
        <v>25907</v>
      </c>
      <c r="C314" s="4">
        <v>46130</v>
      </c>
      <c r="D314" s="4">
        <v>46134</v>
      </c>
      <c r="E314" s="5" t="s">
        <v>24</v>
      </c>
      <c r="F314" s="3">
        <v>248.82</v>
      </c>
      <c r="G314" s="6">
        <f t="shared" si="23"/>
        <v>213.98519999999999</v>
      </c>
      <c r="H314" s="7">
        <f t="shared" si="20"/>
        <v>46179</v>
      </c>
      <c r="I314" s="2" t="str">
        <f t="shared" si="21"/>
        <v>junio</v>
      </c>
      <c r="J314" s="2">
        <f t="shared" si="22"/>
        <v>6</v>
      </c>
      <c r="K314" s="2">
        <f t="shared" si="24"/>
        <v>2026</v>
      </c>
      <c r="L314" s="2" t="str">
        <f t="shared" si="25"/>
        <v>THE OKURA TOKYO</v>
      </c>
      <c r="M314" s="2">
        <f t="shared" si="26"/>
        <v>0</v>
      </c>
      <c r="Q314" s="3">
        <v>27487</v>
      </c>
      <c r="R314" s="5" t="s">
        <v>356</v>
      </c>
      <c r="V314" s="3">
        <v>74</v>
      </c>
      <c r="W314" s="5" t="s">
        <v>68</v>
      </c>
    </row>
    <row r="315" spans="1:23" ht="15.75" customHeight="1">
      <c r="A315" s="3">
        <v>835</v>
      </c>
      <c r="B315" s="3">
        <v>24989</v>
      </c>
      <c r="C315" s="4">
        <v>46134</v>
      </c>
      <c r="D315" s="4">
        <v>46135</v>
      </c>
      <c r="E315" s="5" t="s">
        <v>24</v>
      </c>
      <c r="F315" s="3">
        <v>72.2</v>
      </c>
      <c r="G315" s="6">
        <f t="shared" si="23"/>
        <v>62.091999999999999</v>
      </c>
      <c r="H315" s="7">
        <f t="shared" si="20"/>
        <v>46180</v>
      </c>
      <c r="I315" s="2" t="str">
        <f t="shared" si="21"/>
        <v>junio</v>
      </c>
      <c r="J315" s="2">
        <f t="shared" si="22"/>
        <v>6</v>
      </c>
      <c r="K315" s="2">
        <f t="shared" si="24"/>
        <v>2026</v>
      </c>
      <c r="L315" s="2" t="str">
        <f t="shared" si="25"/>
        <v>HYATT CENTRIC KANAZAWA</v>
      </c>
      <c r="M315" s="2">
        <f t="shared" si="26"/>
        <v>0</v>
      </c>
      <c r="Q315" s="3">
        <v>27490</v>
      </c>
      <c r="R315" s="5" t="s">
        <v>357</v>
      </c>
      <c r="V315" s="3">
        <v>75</v>
      </c>
      <c r="W315" s="5" t="s">
        <v>68</v>
      </c>
    </row>
    <row r="316" spans="1:23" ht="15.75" customHeight="1">
      <c r="A316" s="3">
        <v>835</v>
      </c>
      <c r="B316" s="3">
        <v>24989</v>
      </c>
      <c r="C316" s="4">
        <v>46134</v>
      </c>
      <c r="D316" s="4">
        <v>46135</v>
      </c>
      <c r="E316" s="5" t="s">
        <v>24</v>
      </c>
      <c r="F316" s="3">
        <v>20.39</v>
      </c>
      <c r="G316" s="6">
        <f t="shared" si="23"/>
        <v>17.535399999999999</v>
      </c>
      <c r="H316" s="7">
        <f t="shared" si="20"/>
        <v>46180</v>
      </c>
      <c r="I316" s="2" t="str">
        <f t="shared" si="21"/>
        <v>junio</v>
      </c>
      <c r="J316" s="2">
        <f t="shared" si="22"/>
        <v>6</v>
      </c>
      <c r="K316" s="2">
        <f t="shared" si="24"/>
        <v>2026</v>
      </c>
      <c r="L316" s="2" t="str">
        <f t="shared" si="25"/>
        <v>HYATT CENTRIC KANAZAWA</v>
      </c>
      <c r="M316" s="2">
        <f t="shared" si="26"/>
        <v>0</v>
      </c>
      <c r="Q316" s="3">
        <v>27539</v>
      </c>
      <c r="R316" s="5" t="s">
        <v>358</v>
      </c>
      <c r="V316" s="3">
        <v>76</v>
      </c>
      <c r="W316" s="5" t="s">
        <v>68</v>
      </c>
    </row>
    <row r="317" spans="1:23" ht="15.75" customHeight="1">
      <c r="A317" s="3">
        <v>835</v>
      </c>
      <c r="B317" s="3">
        <v>27261</v>
      </c>
      <c r="C317" s="4">
        <v>46135</v>
      </c>
      <c r="D317" s="4">
        <v>46138</v>
      </c>
      <c r="E317" s="5" t="s">
        <v>24</v>
      </c>
      <c r="F317" s="3">
        <v>406.45</v>
      </c>
      <c r="G317" s="6">
        <f t="shared" si="23"/>
        <v>349.54699999999997</v>
      </c>
      <c r="H317" s="7">
        <f t="shared" si="20"/>
        <v>46183</v>
      </c>
      <c r="I317" s="2" t="str">
        <f t="shared" si="21"/>
        <v>junio</v>
      </c>
      <c r="J317" s="2">
        <f t="shared" si="22"/>
        <v>6</v>
      </c>
      <c r="K317" s="2">
        <f t="shared" si="24"/>
        <v>2026</v>
      </c>
      <c r="L317" s="2" t="str">
        <f t="shared" si="25"/>
        <v>Ace Hotel Kyoto</v>
      </c>
      <c r="M317" s="2">
        <f t="shared" si="26"/>
        <v>0</v>
      </c>
      <c r="Q317" s="3">
        <v>27540</v>
      </c>
      <c r="R317" s="5" t="s">
        <v>359</v>
      </c>
      <c r="V317" s="3">
        <v>76</v>
      </c>
      <c r="W317" s="5" t="s">
        <v>68</v>
      </c>
    </row>
    <row r="318" spans="1:23" ht="15.75" customHeight="1">
      <c r="A318" s="3">
        <v>835</v>
      </c>
      <c r="B318" s="3">
        <v>27261</v>
      </c>
      <c r="C318" s="4">
        <v>46135</v>
      </c>
      <c r="D318" s="4">
        <v>46138</v>
      </c>
      <c r="E318" s="5" t="s">
        <v>24</v>
      </c>
      <c r="F318" s="3">
        <v>132.88</v>
      </c>
      <c r="G318" s="6">
        <f t="shared" si="23"/>
        <v>114.27679999999999</v>
      </c>
      <c r="H318" s="7">
        <f t="shared" si="20"/>
        <v>46183</v>
      </c>
      <c r="I318" s="2" t="str">
        <f t="shared" si="21"/>
        <v>junio</v>
      </c>
      <c r="J318" s="2">
        <f t="shared" si="22"/>
        <v>6</v>
      </c>
      <c r="K318" s="2">
        <f t="shared" si="24"/>
        <v>2026</v>
      </c>
      <c r="L318" s="2" t="str">
        <f t="shared" si="25"/>
        <v>Ace Hotel Kyoto</v>
      </c>
      <c r="M318" s="2">
        <f t="shared" si="26"/>
        <v>0</v>
      </c>
      <c r="Q318" s="3">
        <v>27541</v>
      </c>
      <c r="R318" s="5" t="s">
        <v>360</v>
      </c>
      <c r="V318" s="3">
        <v>76</v>
      </c>
      <c r="W318" s="5" t="s">
        <v>68</v>
      </c>
    </row>
    <row r="319" spans="1:23" ht="15.75" customHeight="1">
      <c r="A319" s="3">
        <v>835</v>
      </c>
      <c r="B319" s="3">
        <v>29097</v>
      </c>
      <c r="C319" s="4">
        <v>46141</v>
      </c>
      <c r="D319" s="4">
        <v>46142</v>
      </c>
      <c r="E319" s="5" t="s">
        <v>24</v>
      </c>
      <c r="F319" s="3">
        <v>123.16</v>
      </c>
      <c r="G319" s="6">
        <f t="shared" si="23"/>
        <v>105.91759999999999</v>
      </c>
      <c r="H319" s="7">
        <f t="shared" si="20"/>
        <v>46187</v>
      </c>
      <c r="I319" s="2" t="str">
        <f t="shared" si="21"/>
        <v>junio</v>
      </c>
      <c r="J319" s="2">
        <f t="shared" si="22"/>
        <v>6</v>
      </c>
      <c r="K319" s="2">
        <f t="shared" si="24"/>
        <v>2026</v>
      </c>
      <c r="L319" s="2" t="str">
        <f t="shared" si="25"/>
        <v>THE ST. REGIS OSAKA</v>
      </c>
      <c r="M319" s="2">
        <f t="shared" si="26"/>
        <v>0</v>
      </c>
      <c r="Q319" s="3">
        <v>27542</v>
      </c>
      <c r="R319" s="5" t="s">
        <v>361</v>
      </c>
      <c r="V319" s="3">
        <v>76</v>
      </c>
      <c r="W319" s="5" t="s">
        <v>68</v>
      </c>
    </row>
    <row r="320" spans="1:23" ht="15.75" customHeight="1">
      <c r="A320" s="3">
        <v>835</v>
      </c>
      <c r="B320" s="3">
        <v>29097</v>
      </c>
      <c r="C320" s="4">
        <v>46141</v>
      </c>
      <c r="D320" s="4">
        <v>46142</v>
      </c>
      <c r="E320" s="5" t="s">
        <v>24</v>
      </c>
      <c r="F320" s="3">
        <v>61.88</v>
      </c>
      <c r="G320" s="6">
        <f t="shared" si="23"/>
        <v>53.216799999999999</v>
      </c>
      <c r="H320" s="7">
        <f t="shared" si="20"/>
        <v>46187</v>
      </c>
      <c r="I320" s="2" t="str">
        <f t="shared" si="21"/>
        <v>junio</v>
      </c>
      <c r="J320" s="2">
        <f t="shared" si="22"/>
        <v>6</v>
      </c>
      <c r="K320" s="2">
        <f t="shared" si="24"/>
        <v>2026</v>
      </c>
      <c r="L320" s="2" t="str">
        <f t="shared" si="25"/>
        <v>THE ST. REGIS OSAKA</v>
      </c>
      <c r="M320" s="2">
        <f t="shared" si="26"/>
        <v>0</v>
      </c>
      <c r="Q320" s="3">
        <v>27543</v>
      </c>
      <c r="R320" s="5" t="s">
        <v>362</v>
      </c>
      <c r="V320" s="3">
        <v>77</v>
      </c>
      <c r="W320" s="5" t="s">
        <v>68</v>
      </c>
    </row>
    <row r="321" spans="1:23" ht="15.75" customHeight="1">
      <c r="A321" s="3">
        <v>835</v>
      </c>
      <c r="B321" s="3">
        <v>25907</v>
      </c>
      <c r="C321" s="4">
        <v>46144</v>
      </c>
      <c r="D321" s="4">
        <v>46145</v>
      </c>
      <c r="E321" s="5" t="s">
        <v>24</v>
      </c>
      <c r="F321" s="3">
        <v>119.04</v>
      </c>
      <c r="G321" s="6">
        <f t="shared" si="23"/>
        <v>102.37440000000001</v>
      </c>
      <c r="H321" s="7">
        <f t="shared" si="20"/>
        <v>46190</v>
      </c>
      <c r="I321" s="2" t="str">
        <f t="shared" si="21"/>
        <v>junio</v>
      </c>
      <c r="J321" s="2">
        <f t="shared" si="22"/>
        <v>6</v>
      </c>
      <c r="K321" s="2">
        <f t="shared" si="24"/>
        <v>2026</v>
      </c>
      <c r="L321" s="2" t="str">
        <f t="shared" si="25"/>
        <v>THE OKURA TOKYO</v>
      </c>
      <c r="M321" s="2">
        <f t="shared" si="26"/>
        <v>0</v>
      </c>
      <c r="Q321" s="3">
        <v>27544</v>
      </c>
      <c r="R321" s="5" t="s">
        <v>363</v>
      </c>
      <c r="V321" s="3">
        <v>78</v>
      </c>
      <c r="W321" s="5" t="s">
        <v>68</v>
      </c>
    </row>
    <row r="322" spans="1:23" ht="15.75" customHeight="1">
      <c r="A322" s="3">
        <v>835</v>
      </c>
      <c r="B322" s="3">
        <v>25907</v>
      </c>
      <c r="C322" s="4">
        <v>46144</v>
      </c>
      <c r="D322" s="4">
        <v>46145</v>
      </c>
      <c r="E322" s="5" t="s">
        <v>24</v>
      </c>
      <c r="F322" s="3">
        <v>55.37</v>
      </c>
      <c r="G322" s="6">
        <f t="shared" si="23"/>
        <v>47.618199999999995</v>
      </c>
      <c r="H322" s="7">
        <f t="shared" si="20"/>
        <v>46190</v>
      </c>
      <c r="I322" s="2" t="str">
        <f t="shared" si="21"/>
        <v>junio</v>
      </c>
      <c r="J322" s="2">
        <f t="shared" si="22"/>
        <v>6</v>
      </c>
      <c r="K322" s="2">
        <f t="shared" si="24"/>
        <v>2026</v>
      </c>
      <c r="L322" s="2" t="str">
        <f t="shared" si="25"/>
        <v>THE OKURA TOKYO</v>
      </c>
      <c r="M322" s="2">
        <f t="shared" si="26"/>
        <v>0</v>
      </c>
      <c r="Q322" s="3">
        <v>27546</v>
      </c>
      <c r="R322" s="5" t="s">
        <v>364</v>
      </c>
      <c r="V322" s="3">
        <v>79</v>
      </c>
      <c r="W322" s="5" t="s">
        <v>68</v>
      </c>
    </row>
    <row r="323" spans="1:23" ht="15.75" customHeight="1">
      <c r="A323" s="3">
        <v>835</v>
      </c>
      <c r="B323" s="3">
        <v>27490</v>
      </c>
      <c r="C323" s="4">
        <v>46142</v>
      </c>
      <c r="D323" s="4">
        <v>46144</v>
      </c>
      <c r="E323" s="5" t="s">
        <v>24</v>
      </c>
      <c r="F323" s="3">
        <v>478</v>
      </c>
      <c r="G323" s="6">
        <f t="shared" ref="G323:G386" si="27">F323*_xlfn.XLOOKUP(E323,Z:Z,AA:AA)</f>
        <v>411.08</v>
      </c>
      <c r="H323" s="7">
        <f t="shared" si="20"/>
        <v>46189</v>
      </c>
      <c r="I323" s="2" t="str">
        <f t="shared" si="21"/>
        <v>junio</v>
      </c>
      <c r="J323" s="2">
        <f t="shared" si="22"/>
        <v>6</v>
      </c>
      <c r="K323" s="2">
        <f t="shared" ref="K323:K386" si="28">YEAR(H323)</f>
        <v>2026</v>
      </c>
      <c r="L323" s="2" t="str">
        <f t="shared" ref="L323:L386" si="29">_xlfn.XLOOKUP(B323,Q:Q,R:R)</f>
        <v>HOSHINOYA FUJI</v>
      </c>
      <c r="M323" s="2">
        <f t="shared" ref="M323:M386" si="30">_xlfn.XLOOKUP(A323,V:V,W:W)</f>
        <v>0</v>
      </c>
      <c r="Q323" s="3">
        <v>27547</v>
      </c>
      <c r="R323" s="5" t="s">
        <v>365</v>
      </c>
      <c r="V323" s="3">
        <v>79</v>
      </c>
      <c r="W323" s="5" t="s">
        <v>68</v>
      </c>
    </row>
    <row r="324" spans="1:23" ht="15.75" customHeight="1">
      <c r="A324" s="3">
        <v>835</v>
      </c>
      <c r="B324" s="3">
        <v>27490</v>
      </c>
      <c r="C324" s="4">
        <v>46142</v>
      </c>
      <c r="D324" s="4">
        <v>46144</v>
      </c>
      <c r="E324" s="5" t="s">
        <v>24</v>
      </c>
      <c r="F324" s="3">
        <v>186</v>
      </c>
      <c r="G324" s="6">
        <f t="shared" si="27"/>
        <v>159.96</v>
      </c>
      <c r="H324" s="7">
        <f t="shared" si="20"/>
        <v>46189</v>
      </c>
      <c r="I324" s="2" t="str">
        <f t="shared" si="21"/>
        <v>junio</v>
      </c>
      <c r="J324" s="2">
        <f t="shared" si="22"/>
        <v>6</v>
      </c>
      <c r="K324" s="2">
        <f t="shared" si="28"/>
        <v>2026</v>
      </c>
      <c r="L324" s="2" t="str">
        <f t="shared" si="29"/>
        <v>HOSHINOYA FUJI</v>
      </c>
      <c r="M324" s="2">
        <f t="shared" si="30"/>
        <v>0</v>
      </c>
      <c r="Q324" s="3">
        <v>27551</v>
      </c>
      <c r="R324" s="5" t="s">
        <v>366</v>
      </c>
      <c r="V324" s="3">
        <v>80</v>
      </c>
      <c r="W324" s="5" t="s">
        <v>68</v>
      </c>
    </row>
    <row r="325" spans="1:23" ht="15.75" customHeight="1">
      <c r="A325" s="3">
        <v>837</v>
      </c>
      <c r="B325" s="3">
        <v>25908</v>
      </c>
      <c r="C325" s="4">
        <v>46033</v>
      </c>
      <c r="D325" s="4">
        <v>46037</v>
      </c>
      <c r="E325" s="5" t="s">
        <v>24</v>
      </c>
      <c r="F325" s="3">
        <v>369.14</v>
      </c>
      <c r="G325" s="6">
        <f t="shared" si="27"/>
        <v>317.46039999999999</v>
      </c>
      <c r="H325" s="7">
        <f t="shared" si="20"/>
        <v>46082</v>
      </c>
      <c r="I325" s="2" t="str">
        <f t="shared" si="21"/>
        <v>marzo</v>
      </c>
      <c r="J325" s="2">
        <f t="shared" si="22"/>
        <v>3</v>
      </c>
      <c r="K325" s="2">
        <f t="shared" si="28"/>
        <v>2026</v>
      </c>
      <c r="L325" s="2" t="str">
        <f t="shared" si="29"/>
        <v>MANDAPA A RITZ CARLTON RESERVE</v>
      </c>
      <c r="M325" s="2">
        <f t="shared" si="30"/>
        <v>0</v>
      </c>
      <c r="Q325" s="3">
        <v>27554</v>
      </c>
      <c r="R325" s="5" t="s">
        <v>367</v>
      </c>
      <c r="V325" s="3">
        <v>81</v>
      </c>
      <c r="W325" s="5" t="s">
        <v>68</v>
      </c>
    </row>
    <row r="326" spans="1:23" ht="15.75" customHeight="1">
      <c r="A326" s="3">
        <v>838</v>
      </c>
      <c r="B326" s="3">
        <v>25362</v>
      </c>
      <c r="C326" s="4">
        <v>46104</v>
      </c>
      <c r="D326" s="4">
        <v>46107</v>
      </c>
      <c r="E326" s="5" t="s">
        <v>24</v>
      </c>
      <c r="F326" s="3">
        <v>1285.5</v>
      </c>
      <c r="G326" s="6">
        <f t="shared" si="27"/>
        <v>1105.53</v>
      </c>
      <c r="H326" s="7">
        <f t="shared" si="20"/>
        <v>46152</v>
      </c>
      <c r="I326" s="2" t="str">
        <f t="shared" si="21"/>
        <v>mayo</v>
      </c>
      <c r="J326" s="2">
        <f t="shared" si="22"/>
        <v>5</v>
      </c>
      <c r="K326" s="2">
        <f t="shared" si="28"/>
        <v>2026</v>
      </c>
      <c r="L326" s="2" t="str">
        <f t="shared" si="29"/>
        <v>AMAN TOKYO</v>
      </c>
      <c r="M326" s="2">
        <f t="shared" si="30"/>
        <v>0</v>
      </c>
      <c r="Q326" s="3">
        <v>27559</v>
      </c>
      <c r="R326" s="5" t="s">
        <v>368</v>
      </c>
      <c r="V326" s="3">
        <v>81</v>
      </c>
      <c r="W326" s="5" t="s">
        <v>68</v>
      </c>
    </row>
    <row r="327" spans="1:23" ht="15.75" customHeight="1">
      <c r="A327" s="3">
        <v>843</v>
      </c>
      <c r="B327" s="3">
        <v>26512</v>
      </c>
      <c r="C327" s="4">
        <v>45984</v>
      </c>
      <c r="D327" s="4">
        <v>45988</v>
      </c>
      <c r="E327" s="5" t="s">
        <v>24</v>
      </c>
      <c r="F327" s="3">
        <v>335.05</v>
      </c>
      <c r="G327" s="6">
        <f t="shared" si="27"/>
        <v>288.14300000000003</v>
      </c>
      <c r="H327" s="7">
        <f t="shared" si="20"/>
        <v>46033</v>
      </c>
      <c r="I327" s="2" t="str">
        <f t="shared" si="21"/>
        <v>enero</v>
      </c>
      <c r="J327" s="2">
        <f t="shared" si="22"/>
        <v>1</v>
      </c>
      <c r="K327" s="2">
        <f t="shared" si="28"/>
        <v>2026</v>
      </c>
      <c r="L327" s="2" t="str">
        <f t="shared" si="29"/>
        <v>FOUR SEASONS</v>
      </c>
      <c r="M327" s="2">
        <f t="shared" si="30"/>
        <v>0</v>
      </c>
      <c r="Q327" s="3">
        <v>27573</v>
      </c>
      <c r="R327" s="5" t="s">
        <v>369</v>
      </c>
      <c r="V327" s="3">
        <v>82</v>
      </c>
      <c r="W327" s="5" t="s">
        <v>68</v>
      </c>
    </row>
    <row r="328" spans="1:23" ht="15.75" customHeight="1">
      <c r="A328" s="3">
        <v>844</v>
      </c>
      <c r="B328" s="3">
        <v>33114</v>
      </c>
      <c r="C328" s="4">
        <v>46016</v>
      </c>
      <c r="D328" s="4">
        <v>46021</v>
      </c>
      <c r="E328" s="5" t="s">
        <v>19</v>
      </c>
      <c r="F328" s="3">
        <v>1216.5899999999999</v>
      </c>
      <c r="G328" s="6">
        <f t="shared" si="27"/>
        <v>1216.5899999999999</v>
      </c>
      <c r="H328" s="7">
        <f t="shared" si="20"/>
        <v>46066</v>
      </c>
      <c r="I328" s="2" t="str">
        <f t="shared" si="21"/>
        <v>febrero</v>
      </c>
      <c r="J328" s="2">
        <f t="shared" si="22"/>
        <v>2</v>
      </c>
      <c r="K328" s="2">
        <f t="shared" si="28"/>
        <v>2026</v>
      </c>
      <c r="L328" s="2" t="str">
        <f t="shared" si="29"/>
        <v>THE RITZ CARLTON TENERIFE ABAMA</v>
      </c>
      <c r="M328" s="2">
        <f t="shared" si="30"/>
        <v>0</v>
      </c>
      <c r="Q328" s="3">
        <v>27585</v>
      </c>
      <c r="R328" s="5" t="s">
        <v>370</v>
      </c>
      <c r="V328" s="3">
        <v>82</v>
      </c>
      <c r="W328" s="5" t="s">
        <v>23</v>
      </c>
    </row>
    <row r="329" spans="1:23" ht="15.75" customHeight="1">
      <c r="A329" s="3">
        <v>845</v>
      </c>
      <c r="B329" s="3">
        <v>27053</v>
      </c>
      <c r="C329" s="4">
        <v>46113</v>
      </c>
      <c r="D329" s="4">
        <v>46124</v>
      </c>
      <c r="E329" s="5" t="s">
        <v>24</v>
      </c>
      <c r="F329" s="3">
        <v>477.41</v>
      </c>
      <c r="G329" s="6">
        <f t="shared" si="27"/>
        <v>410.57260000000002</v>
      </c>
      <c r="H329" s="7">
        <f t="shared" si="20"/>
        <v>46169</v>
      </c>
      <c r="I329" s="2" t="str">
        <f t="shared" si="21"/>
        <v>mayo</v>
      </c>
      <c r="J329" s="2">
        <f t="shared" si="22"/>
        <v>5</v>
      </c>
      <c r="K329" s="2">
        <f t="shared" si="28"/>
        <v>2026</v>
      </c>
      <c r="L329" s="2" t="str">
        <f t="shared" si="29"/>
        <v>Hoshinoya Tokyo</v>
      </c>
      <c r="M329" s="2">
        <f t="shared" si="30"/>
        <v>0</v>
      </c>
      <c r="Q329" s="3">
        <v>27586</v>
      </c>
      <c r="R329" s="5" t="s">
        <v>371</v>
      </c>
      <c r="V329" s="3">
        <v>82</v>
      </c>
      <c r="W329" s="5" t="s">
        <v>158</v>
      </c>
    </row>
    <row r="330" spans="1:23" ht="15.75" customHeight="1">
      <c r="A330" s="3">
        <v>845</v>
      </c>
      <c r="B330" s="3">
        <v>25035</v>
      </c>
      <c r="C330" s="4">
        <v>46118</v>
      </c>
      <c r="D330" s="4">
        <v>46120</v>
      </c>
      <c r="E330" s="5" t="s">
        <v>24</v>
      </c>
      <c r="F330" s="3">
        <v>247.2</v>
      </c>
      <c r="G330" s="6">
        <f t="shared" si="27"/>
        <v>212.59199999999998</v>
      </c>
      <c r="H330" s="7">
        <f t="shared" si="20"/>
        <v>46165</v>
      </c>
      <c r="I330" s="2" t="str">
        <f t="shared" si="21"/>
        <v>mayo</v>
      </c>
      <c r="J330" s="2">
        <f t="shared" si="22"/>
        <v>5</v>
      </c>
      <c r="K330" s="2">
        <f t="shared" si="28"/>
        <v>2026</v>
      </c>
      <c r="L330" s="2" t="str">
        <f t="shared" si="29"/>
        <v>BENESSE HOUSE HOTEL</v>
      </c>
      <c r="M330" s="2">
        <f t="shared" si="30"/>
        <v>0</v>
      </c>
      <c r="Q330" s="3">
        <v>27589</v>
      </c>
      <c r="R330" s="5" t="s">
        <v>372</v>
      </c>
      <c r="V330" s="3">
        <v>82</v>
      </c>
      <c r="W330" s="5" t="s">
        <v>158</v>
      </c>
    </row>
    <row r="331" spans="1:23" ht="15.75" customHeight="1">
      <c r="A331" s="3">
        <v>848</v>
      </c>
      <c r="B331" s="3">
        <v>26659</v>
      </c>
      <c r="C331" s="4">
        <v>46010</v>
      </c>
      <c r="D331" s="4">
        <v>46021</v>
      </c>
      <c r="E331" s="5" t="s">
        <v>24</v>
      </c>
      <c r="F331" s="3">
        <v>4590.5</v>
      </c>
      <c r="G331" s="6">
        <f t="shared" si="27"/>
        <v>3947.83</v>
      </c>
      <c r="H331" s="7">
        <f t="shared" si="20"/>
        <v>46066</v>
      </c>
      <c r="I331" s="2" t="str">
        <f t="shared" si="21"/>
        <v>febrero</v>
      </c>
      <c r="J331" s="2">
        <f t="shared" si="22"/>
        <v>2</v>
      </c>
      <c r="K331" s="2">
        <f t="shared" si="28"/>
        <v>2026</v>
      </c>
      <c r="L331" s="2" t="str">
        <f t="shared" si="29"/>
        <v>EGYPT BEYOND</v>
      </c>
      <c r="M331" s="2">
        <f t="shared" si="30"/>
        <v>0</v>
      </c>
      <c r="Q331" s="3">
        <v>27591</v>
      </c>
      <c r="R331" s="5" t="s">
        <v>373</v>
      </c>
      <c r="V331" s="3">
        <v>82</v>
      </c>
      <c r="W331" s="5" t="s">
        <v>23</v>
      </c>
    </row>
    <row r="332" spans="1:23" ht="15.75" customHeight="1">
      <c r="A332" s="3">
        <v>848</v>
      </c>
      <c r="B332" s="3">
        <v>26659</v>
      </c>
      <c r="C332" s="4">
        <v>46009</v>
      </c>
      <c r="D332" s="4">
        <v>46029</v>
      </c>
      <c r="E332" s="5" t="s">
        <v>24</v>
      </c>
      <c r="F332" s="3">
        <v>380</v>
      </c>
      <c r="G332" s="6">
        <f t="shared" si="27"/>
        <v>326.8</v>
      </c>
      <c r="H332" s="7">
        <f t="shared" si="20"/>
        <v>46074</v>
      </c>
      <c r="I332" s="2" t="str">
        <f t="shared" si="21"/>
        <v>febrero</v>
      </c>
      <c r="J332" s="2">
        <f t="shared" si="22"/>
        <v>2</v>
      </c>
      <c r="K332" s="2">
        <f t="shared" si="28"/>
        <v>2026</v>
      </c>
      <c r="L332" s="2" t="str">
        <f t="shared" si="29"/>
        <v>EGYPT BEYOND</v>
      </c>
      <c r="M332" s="2">
        <f t="shared" si="30"/>
        <v>0</v>
      </c>
      <c r="Q332" s="3">
        <v>27606</v>
      </c>
      <c r="R332" s="5" t="s">
        <v>374</v>
      </c>
      <c r="V332" s="3">
        <v>82</v>
      </c>
      <c r="W332" s="5" t="s">
        <v>68</v>
      </c>
    </row>
    <row r="333" spans="1:23" ht="15.75" customHeight="1">
      <c r="A333" s="3">
        <v>848</v>
      </c>
      <c r="B333" s="3">
        <v>26659</v>
      </c>
      <c r="C333" s="4">
        <v>46014</v>
      </c>
      <c r="D333" s="4">
        <v>46014</v>
      </c>
      <c r="E333" s="5" t="s">
        <v>24</v>
      </c>
      <c r="F333" s="3">
        <v>150</v>
      </c>
      <c r="G333" s="6">
        <f t="shared" si="27"/>
        <v>129</v>
      </c>
      <c r="H333" s="7">
        <f t="shared" si="20"/>
        <v>46059</v>
      </c>
      <c r="I333" s="2" t="str">
        <f t="shared" si="21"/>
        <v>febrero</v>
      </c>
      <c r="J333" s="2">
        <f t="shared" si="22"/>
        <v>2</v>
      </c>
      <c r="K333" s="2">
        <f t="shared" si="28"/>
        <v>2026</v>
      </c>
      <c r="L333" s="2" t="str">
        <f t="shared" si="29"/>
        <v>EGYPT BEYOND</v>
      </c>
      <c r="M333" s="2">
        <f t="shared" si="30"/>
        <v>0</v>
      </c>
      <c r="Q333" s="3">
        <v>27613</v>
      </c>
      <c r="R333" s="5" t="s">
        <v>375</v>
      </c>
      <c r="V333" s="3">
        <v>82</v>
      </c>
      <c r="W333" s="5" t="s">
        <v>89</v>
      </c>
    </row>
    <row r="334" spans="1:23" ht="15.75" customHeight="1">
      <c r="A334" s="3">
        <v>849</v>
      </c>
      <c r="B334" s="3">
        <v>28420</v>
      </c>
      <c r="C334" s="4">
        <v>46013</v>
      </c>
      <c r="D334" s="4">
        <v>46018</v>
      </c>
      <c r="E334" s="5" t="s">
        <v>24</v>
      </c>
      <c r="F334" s="3">
        <v>220.6</v>
      </c>
      <c r="G334" s="6">
        <f t="shared" si="27"/>
        <v>189.71599999999998</v>
      </c>
      <c r="H334" s="7">
        <f t="shared" si="20"/>
        <v>46063</v>
      </c>
      <c r="I334" s="2" t="str">
        <f t="shared" si="21"/>
        <v>febrero</v>
      </c>
      <c r="J334" s="2">
        <f t="shared" si="22"/>
        <v>2</v>
      </c>
      <c r="K334" s="2">
        <f t="shared" si="28"/>
        <v>2026</v>
      </c>
      <c r="L334" s="2" t="str">
        <f t="shared" si="29"/>
        <v>SIXT MÉXICO</v>
      </c>
      <c r="M334" s="2">
        <f t="shared" si="30"/>
        <v>0</v>
      </c>
      <c r="Q334" s="3">
        <v>27633</v>
      </c>
      <c r="R334" s="5" t="s">
        <v>376</v>
      </c>
      <c r="V334" s="3">
        <v>82</v>
      </c>
      <c r="W334" s="5" t="s">
        <v>68</v>
      </c>
    </row>
    <row r="335" spans="1:23" ht="15.75" customHeight="1">
      <c r="A335" s="3">
        <v>852</v>
      </c>
      <c r="B335" s="3">
        <v>25762</v>
      </c>
      <c r="C335" s="4">
        <v>45751</v>
      </c>
      <c r="D335" s="4">
        <v>46123</v>
      </c>
      <c r="E335" s="5" t="s">
        <v>24</v>
      </c>
      <c r="F335" s="3">
        <v>427.79</v>
      </c>
      <c r="G335" s="6">
        <f t="shared" si="27"/>
        <v>367.89940000000001</v>
      </c>
      <c r="H335" s="7">
        <f t="shared" si="20"/>
        <v>46168</v>
      </c>
      <c r="I335" s="2" t="str">
        <f t="shared" si="21"/>
        <v>mayo</v>
      </c>
      <c r="J335" s="2">
        <f t="shared" si="22"/>
        <v>5</v>
      </c>
      <c r="K335" s="2">
        <f t="shared" si="28"/>
        <v>2026</v>
      </c>
      <c r="L335" s="2" t="str">
        <f t="shared" si="29"/>
        <v>PULSO HOTEL FARIA LIMA</v>
      </c>
      <c r="M335" s="2">
        <f t="shared" si="30"/>
        <v>0</v>
      </c>
      <c r="Q335" s="3">
        <v>27647</v>
      </c>
      <c r="R335" s="5" t="s">
        <v>377</v>
      </c>
      <c r="V335" s="3">
        <v>82</v>
      </c>
      <c r="W335" s="5" t="s">
        <v>68</v>
      </c>
    </row>
    <row r="336" spans="1:23" ht="15.75" customHeight="1">
      <c r="A336" s="3">
        <v>852</v>
      </c>
      <c r="B336" s="3">
        <v>25762</v>
      </c>
      <c r="C336" s="4">
        <v>45751</v>
      </c>
      <c r="D336" s="4">
        <v>46123</v>
      </c>
      <c r="E336" s="5" t="s">
        <v>24</v>
      </c>
      <c r="F336" s="3">
        <v>687.21</v>
      </c>
      <c r="G336" s="6">
        <f t="shared" si="27"/>
        <v>591.00060000000008</v>
      </c>
      <c r="H336" s="7">
        <f t="shared" si="20"/>
        <v>46168</v>
      </c>
      <c r="I336" s="2" t="str">
        <f t="shared" si="21"/>
        <v>mayo</v>
      </c>
      <c r="J336" s="2">
        <f t="shared" si="22"/>
        <v>5</v>
      </c>
      <c r="K336" s="2">
        <f t="shared" si="28"/>
        <v>2026</v>
      </c>
      <c r="L336" s="2" t="str">
        <f t="shared" si="29"/>
        <v>PULSO HOTEL FARIA LIMA</v>
      </c>
      <c r="M336" s="2">
        <f t="shared" si="30"/>
        <v>0</v>
      </c>
      <c r="Q336" s="3">
        <v>27648</v>
      </c>
      <c r="R336" s="14" t="s">
        <v>378</v>
      </c>
      <c r="V336" s="3">
        <v>82</v>
      </c>
      <c r="W336" s="5" t="s">
        <v>68</v>
      </c>
    </row>
    <row r="337" spans="1:23" ht="15.75" customHeight="1">
      <c r="A337" s="3">
        <v>856</v>
      </c>
      <c r="B337" s="3">
        <v>24166</v>
      </c>
      <c r="C337" s="4">
        <v>45982</v>
      </c>
      <c r="D337" s="4">
        <v>45985</v>
      </c>
      <c r="E337" s="5" t="s">
        <v>19</v>
      </c>
      <c r="F337" s="3">
        <v>877.5</v>
      </c>
      <c r="G337" s="6">
        <f t="shared" si="27"/>
        <v>877.5</v>
      </c>
      <c r="H337" s="7">
        <f t="shared" si="20"/>
        <v>46030</v>
      </c>
      <c r="I337" s="2" t="str">
        <f t="shared" si="21"/>
        <v>enero</v>
      </c>
      <c r="J337" s="2">
        <f t="shared" si="22"/>
        <v>1</v>
      </c>
      <c r="K337" s="2">
        <f t="shared" si="28"/>
        <v>2026</v>
      </c>
      <c r="L337" s="2" t="str">
        <f t="shared" si="29"/>
        <v>LE BRISTOL PARIS</v>
      </c>
      <c r="M337" s="2">
        <f t="shared" si="30"/>
        <v>0</v>
      </c>
      <c r="Q337" s="3">
        <v>27650</v>
      </c>
      <c r="R337" s="5" t="s">
        <v>379</v>
      </c>
      <c r="V337" s="3">
        <v>82</v>
      </c>
      <c r="W337" s="5" t="s">
        <v>68</v>
      </c>
    </row>
    <row r="338" spans="1:23" ht="15.75" customHeight="1">
      <c r="A338" s="3">
        <v>857</v>
      </c>
      <c r="B338" s="3">
        <v>24166</v>
      </c>
      <c r="C338" s="4">
        <v>45984</v>
      </c>
      <c r="D338" s="4">
        <v>45987</v>
      </c>
      <c r="E338" s="5" t="s">
        <v>19</v>
      </c>
      <c r="F338" s="3">
        <v>908.1</v>
      </c>
      <c r="G338" s="6">
        <f t="shared" si="27"/>
        <v>908.1</v>
      </c>
      <c r="H338" s="7">
        <f t="shared" si="20"/>
        <v>46032</v>
      </c>
      <c r="I338" s="2" t="str">
        <f t="shared" si="21"/>
        <v>enero</v>
      </c>
      <c r="J338" s="2">
        <f t="shared" si="22"/>
        <v>1</v>
      </c>
      <c r="K338" s="2">
        <f t="shared" si="28"/>
        <v>2026</v>
      </c>
      <c r="L338" s="2" t="str">
        <f t="shared" si="29"/>
        <v>LE BRISTOL PARIS</v>
      </c>
      <c r="M338" s="2">
        <f t="shared" si="30"/>
        <v>0</v>
      </c>
      <c r="Q338" s="3">
        <v>27670</v>
      </c>
      <c r="R338" s="5" t="s">
        <v>380</v>
      </c>
      <c r="V338" s="3">
        <v>82</v>
      </c>
      <c r="W338" s="5" t="s">
        <v>68</v>
      </c>
    </row>
    <row r="339" spans="1:23" ht="15.75" customHeight="1">
      <c r="A339" s="3">
        <v>858</v>
      </c>
      <c r="B339" s="3">
        <v>28064</v>
      </c>
      <c r="C339" s="4">
        <v>45975</v>
      </c>
      <c r="D339" s="4">
        <v>45978</v>
      </c>
      <c r="E339" s="5" t="s">
        <v>24</v>
      </c>
      <c r="F339" s="3">
        <v>782.87</v>
      </c>
      <c r="G339" s="6">
        <f t="shared" si="27"/>
        <v>673.26819999999998</v>
      </c>
      <c r="H339" s="7">
        <f t="shared" si="20"/>
        <v>46023</v>
      </c>
      <c r="I339" s="2" t="str">
        <f t="shared" si="21"/>
        <v>enero</v>
      </c>
      <c r="J339" s="2">
        <f t="shared" si="22"/>
        <v>1</v>
      </c>
      <c r="K339" s="2">
        <f t="shared" si="28"/>
        <v>2026</v>
      </c>
      <c r="L339" s="2" t="str">
        <f t="shared" si="29"/>
        <v>HOTEL ESENCIA</v>
      </c>
      <c r="M339" s="2">
        <f t="shared" si="30"/>
        <v>0</v>
      </c>
      <c r="Q339" s="3">
        <v>27672</v>
      </c>
      <c r="R339" s="5" t="s">
        <v>381</v>
      </c>
      <c r="V339" s="3">
        <v>82</v>
      </c>
      <c r="W339" s="5" t="s">
        <v>68</v>
      </c>
    </row>
    <row r="340" spans="1:23" ht="15.75" customHeight="1">
      <c r="A340" s="3">
        <v>859</v>
      </c>
      <c r="B340" s="3">
        <v>26659</v>
      </c>
      <c r="C340" s="4">
        <v>46351</v>
      </c>
      <c r="D340" s="4">
        <v>46355</v>
      </c>
      <c r="E340" s="5" t="s">
        <v>24</v>
      </c>
      <c r="F340" s="3">
        <v>1820</v>
      </c>
      <c r="G340" s="6">
        <f t="shared" si="27"/>
        <v>1565.2</v>
      </c>
      <c r="H340" s="7">
        <f t="shared" si="20"/>
        <v>46400</v>
      </c>
      <c r="I340" s="2" t="str">
        <f t="shared" si="21"/>
        <v>enero</v>
      </c>
      <c r="J340" s="2">
        <f t="shared" si="22"/>
        <v>1</v>
      </c>
      <c r="K340" s="2">
        <f t="shared" si="28"/>
        <v>2027</v>
      </c>
      <c r="L340" s="2" t="str">
        <f t="shared" si="29"/>
        <v>EGYPT BEYOND</v>
      </c>
      <c r="M340" s="2">
        <f t="shared" si="30"/>
        <v>0</v>
      </c>
      <c r="Q340" s="3">
        <v>27693</v>
      </c>
      <c r="R340" s="5" t="s">
        <v>382</v>
      </c>
      <c r="V340" s="3">
        <v>82</v>
      </c>
      <c r="W340" s="5" t="s">
        <v>68</v>
      </c>
    </row>
    <row r="341" spans="1:23" ht="15.75" customHeight="1">
      <c r="A341" s="3">
        <v>860</v>
      </c>
      <c r="B341" s="3">
        <v>27779</v>
      </c>
      <c r="C341" s="4">
        <v>46003</v>
      </c>
      <c r="D341" s="4">
        <v>46006</v>
      </c>
      <c r="E341" s="5" t="s">
        <v>28</v>
      </c>
      <c r="F341" s="3">
        <v>1049.3</v>
      </c>
      <c r="G341" s="6">
        <f t="shared" si="27"/>
        <v>1206.6949999999999</v>
      </c>
      <c r="H341" s="7">
        <f t="shared" si="20"/>
        <v>46051</v>
      </c>
      <c r="I341" s="2" t="str">
        <f t="shared" si="21"/>
        <v>enero</v>
      </c>
      <c r="J341" s="2">
        <f t="shared" si="22"/>
        <v>1</v>
      </c>
      <c r="K341" s="2">
        <f t="shared" si="28"/>
        <v>2026</v>
      </c>
      <c r="L341" s="2" t="str">
        <f t="shared" si="29"/>
        <v>THE LANESBOROUGH</v>
      </c>
      <c r="M341" s="2">
        <f t="shared" si="30"/>
        <v>0</v>
      </c>
      <c r="Q341" s="3">
        <v>27697</v>
      </c>
      <c r="R341" s="5" t="s">
        <v>383</v>
      </c>
      <c r="V341" s="3">
        <v>82</v>
      </c>
      <c r="W341" s="5" t="s">
        <v>23</v>
      </c>
    </row>
    <row r="342" spans="1:23" ht="15.75" customHeight="1">
      <c r="A342" s="3">
        <v>861</v>
      </c>
      <c r="B342" s="3">
        <v>31729</v>
      </c>
      <c r="C342" s="4">
        <v>45930</v>
      </c>
      <c r="D342" s="4">
        <v>45932</v>
      </c>
      <c r="E342" s="5" t="s">
        <v>19</v>
      </c>
      <c r="F342" s="3">
        <v>27.59</v>
      </c>
      <c r="G342" s="6">
        <f t="shared" si="27"/>
        <v>27.59</v>
      </c>
      <c r="H342" s="7">
        <f t="shared" si="20"/>
        <v>45977</v>
      </c>
      <c r="I342" s="2" t="str">
        <f t="shared" si="21"/>
        <v>noviembre</v>
      </c>
      <c r="J342" s="2">
        <f t="shared" si="22"/>
        <v>11</v>
      </c>
      <c r="K342" s="2">
        <f t="shared" si="28"/>
        <v>2025</v>
      </c>
      <c r="L342" s="2" t="str">
        <f t="shared" si="29"/>
        <v>BEST WESTERN PREMIER CMC GIRONA</v>
      </c>
      <c r="M342" s="2">
        <f t="shared" si="30"/>
        <v>0</v>
      </c>
      <c r="Q342" s="3">
        <v>27703</v>
      </c>
      <c r="R342" s="5" t="s">
        <v>384</v>
      </c>
      <c r="V342" s="3">
        <v>82</v>
      </c>
      <c r="W342" s="5" t="s">
        <v>266</v>
      </c>
    </row>
    <row r="343" spans="1:23" ht="15.75" customHeight="1">
      <c r="A343" s="3">
        <v>865</v>
      </c>
      <c r="B343" s="3">
        <v>30141</v>
      </c>
      <c r="C343" s="4">
        <v>46025</v>
      </c>
      <c r="D343" s="4">
        <v>46029</v>
      </c>
      <c r="E343" s="5" t="s">
        <v>24</v>
      </c>
      <c r="F343" s="3">
        <v>277.08999999999997</v>
      </c>
      <c r="G343" s="6">
        <f t="shared" si="27"/>
        <v>238.29739999999998</v>
      </c>
      <c r="H343" s="7">
        <f t="shared" si="20"/>
        <v>46074</v>
      </c>
      <c r="I343" s="2" t="str">
        <f t="shared" si="21"/>
        <v>febrero</v>
      </c>
      <c r="J343" s="2">
        <f t="shared" si="22"/>
        <v>2</v>
      </c>
      <c r="K343" s="2">
        <f t="shared" si="28"/>
        <v>2026</v>
      </c>
      <c r="L343" s="2" t="str">
        <f t="shared" si="29"/>
        <v>L'ERMITAGE BEVERLY HILLS</v>
      </c>
      <c r="M343" s="2">
        <f t="shared" si="30"/>
        <v>0</v>
      </c>
      <c r="Q343" s="3">
        <v>27704</v>
      </c>
      <c r="R343" s="5" t="s">
        <v>385</v>
      </c>
      <c r="V343" s="3">
        <v>82</v>
      </c>
      <c r="W343" s="5" t="s">
        <v>168</v>
      </c>
    </row>
    <row r="344" spans="1:23" ht="15.75" customHeight="1">
      <c r="A344" s="3">
        <v>865</v>
      </c>
      <c r="B344" s="3">
        <v>30141</v>
      </c>
      <c r="C344" s="4">
        <v>46025</v>
      </c>
      <c r="D344" s="4">
        <v>46029</v>
      </c>
      <c r="E344" s="5" t="s">
        <v>24</v>
      </c>
      <c r="F344" s="3">
        <v>284.42</v>
      </c>
      <c r="G344" s="6">
        <f t="shared" si="27"/>
        <v>244.60120000000001</v>
      </c>
      <c r="H344" s="7">
        <f t="shared" si="20"/>
        <v>46074</v>
      </c>
      <c r="I344" s="2" t="str">
        <f t="shared" si="21"/>
        <v>febrero</v>
      </c>
      <c r="J344" s="2">
        <f t="shared" si="22"/>
        <v>2</v>
      </c>
      <c r="K344" s="2">
        <f t="shared" si="28"/>
        <v>2026</v>
      </c>
      <c r="L344" s="2" t="str">
        <f t="shared" si="29"/>
        <v>L'ERMITAGE BEVERLY HILLS</v>
      </c>
      <c r="M344" s="2">
        <f t="shared" si="30"/>
        <v>0</v>
      </c>
      <c r="Q344" s="3">
        <v>27716</v>
      </c>
      <c r="R344" s="5" t="s">
        <v>386</v>
      </c>
      <c r="V344" s="3">
        <v>83</v>
      </c>
      <c r="W344" s="5" t="s">
        <v>68</v>
      </c>
    </row>
    <row r="345" spans="1:23" ht="15.75" customHeight="1">
      <c r="A345" s="3">
        <v>866</v>
      </c>
      <c r="B345" s="3">
        <v>33418</v>
      </c>
      <c r="C345" s="4">
        <v>46328</v>
      </c>
      <c r="D345" s="4">
        <v>46332</v>
      </c>
      <c r="E345" s="5" t="s">
        <v>34</v>
      </c>
      <c r="F345" s="3">
        <v>9972.48</v>
      </c>
      <c r="G345" s="6">
        <f t="shared" si="27"/>
        <v>478.67903999999999</v>
      </c>
      <c r="H345" s="7">
        <f t="shared" si="20"/>
        <v>46377</v>
      </c>
      <c r="I345" s="2" t="str">
        <f t="shared" si="21"/>
        <v>diciembre</v>
      </c>
      <c r="J345" s="2">
        <f t="shared" si="22"/>
        <v>12</v>
      </c>
      <c r="K345" s="2">
        <f t="shared" si="28"/>
        <v>2026</v>
      </c>
      <c r="L345" s="2" t="str">
        <f t="shared" si="29"/>
        <v>IC TRAVELIZ</v>
      </c>
      <c r="M345" s="2">
        <f t="shared" si="30"/>
        <v>0</v>
      </c>
      <c r="Q345" s="3">
        <v>27717</v>
      </c>
      <c r="R345" s="5" t="s">
        <v>387</v>
      </c>
      <c r="V345" s="3">
        <v>84</v>
      </c>
      <c r="W345" s="5" t="s">
        <v>168</v>
      </c>
    </row>
    <row r="346" spans="1:23" ht="15.75" customHeight="1">
      <c r="A346" s="3">
        <v>870</v>
      </c>
      <c r="B346" s="3">
        <v>23789</v>
      </c>
      <c r="C346" s="4">
        <v>46138</v>
      </c>
      <c r="D346" s="4">
        <v>46144</v>
      </c>
      <c r="E346" s="5" t="s">
        <v>24</v>
      </c>
      <c r="F346" s="3">
        <v>2850.3</v>
      </c>
      <c r="G346" s="6">
        <f t="shared" si="27"/>
        <v>2451.2580000000003</v>
      </c>
      <c r="H346" s="7">
        <f t="shared" si="20"/>
        <v>46189</v>
      </c>
      <c r="I346" s="2" t="str">
        <f t="shared" si="21"/>
        <v>junio</v>
      </c>
      <c r="J346" s="2">
        <f t="shared" si="22"/>
        <v>6</v>
      </c>
      <c r="K346" s="2">
        <f t="shared" si="28"/>
        <v>2026</v>
      </c>
      <c r="L346" s="2" t="str">
        <f t="shared" si="29"/>
        <v>TRIUMPH TRAVEL</v>
      </c>
      <c r="M346" s="2">
        <f t="shared" si="30"/>
        <v>0</v>
      </c>
      <c r="Q346" s="3">
        <v>27719</v>
      </c>
      <c r="R346" s="5" t="s">
        <v>388</v>
      </c>
      <c r="V346" s="3">
        <v>84</v>
      </c>
      <c r="W346" s="5" t="s">
        <v>68</v>
      </c>
    </row>
    <row r="347" spans="1:23" ht="15.75" customHeight="1">
      <c r="A347" s="3">
        <v>872</v>
      </c>
      <c r="B347" s="3">
        <v>33418</v>
      </c>
      <c r="C347" s="4">
        <v>46328</v>
      </c>
      <c r="D347" s="4">
        <v>46332</v>
      </c>
      <c r="E347" s="5" t="s">
        <v>34</v>
      </c>
      <c r="F347" s="3">
        <v>4986.24</v>
      </c>
      <c r="G347" s="6">
        <f t="shared" si="27"/>
        <v>239.33951999999999</v>
      </c>
      <c r="H347" s="7">
        <f t="shared" si="20"/>
        <v>46377</v>
      </c>
      <c r="I347" s="2" t="str">
        <f t="shared" si="21"/>
        <v>diciembre</v>
      </c>
      <c r="J347" s="2">
        <f t="shared" si="22"/>
        <v>12</v>
      </c>
      <c r="K347" s="2">
        <f t="shared" si="28"/>
        <v>2026</v>
      </c>
      <c r="L347" s="2" t="str">
        <f t="shared" si="29"/>
        <v>IC TRAVELIZ</v>
      </c>
      <c r="M347" s="2">
        <f t="shared" si="30"/>
        <v>0</v>
      </c>
      <c r="Q347" s="3">
        <v>27721</v>
      </c>
      <c r="R347" s="5" t="s">
        <v>389</v>
      </c>
      <c r="V347" s="3">
        <v>84</v>
      </c>
      <c r="W347" s="5" t="s">
        <v>23</v>
      </c>
    </row>
    <row r="348" spans="1:23" ht="15.75" customHeight="1">
      <c r="A348" s="3">
        <v>875</v>
      </c>
      <c r="B348" s="3">
        <v>30141</v>
      </c>
      <c r="C348" s="4">
        <v>46025</v>
      </c>
      <c r="D348" s="4">
        <v>46029</v>
      </c>
      <c r="E348" s="5" t="s">
        <v>24</v>
      </c>
      <c r="F348" s="3">
        <v>284.42</v>
      </c>
      <c r="G348" s="6">
        <f t="shared" si="27"/>
        <v>244.60120000000001</v>
      </c>
      <c r="H348" s="7">
        <f t="shared" si="20"/>
        <v>46074</v>
      </c>
      <c r="I348" s="2" t="str">
        <f t="shared" si="21"/>
        <v>febrero</v>
      </c>
      <c r="J348" s="2">
        <f t="shared" si="22"/>
        <v>2</v>
      </c>
      <c r="K348" s="2">
        <f t="shared" si="28"/>
        <v>2026</v>
      </c>
      <c r="L348" s="2" t="str">
        <f t="shared" si="29"/>
        <v>L'ERMITAGE BEVERLY HILLS</v>
      </c>
      <c r="M348" s="2">
        <f t="shared" si="30"/>
        <v>0</v>
      </c>
      <c r="Q348" s="3">
        <v>27723</v>
      </c>
      <c r="R348" s="5" t="s">
        <v>390</v>
      </c>
      <c r="V348" s="3">
        <v>84</v>
      </c>
      <c r="W348" s="5" t="s">
        <v>23</v>
      </c>
    </row>
    <row r="349" spans="1:23" ht="15.75" customHeight="1">
      <c r="A349" s="3">
        <v>881</v>
      </c>
      <c r="B349" s="3">
        <v>27966</v>
      </c>
      <c r="C349" s="4">
        <v>46050</v>
      </c>
      <c r="D349" s="4">
        <v>46054</v>
      </c>
      <c r="E349" s="5" t="s">
        <v>34</v>
      </c>
      <c r="F349" s="3">
        <v>6000</v>
      </c>
      <c r="G349" s="6">
        <f t="shared" si="27"/>
        <v>288</v>
      </c>
      <c r="H349" s="7">
        <f t="shared" si="20"/>
        <v>46099</v>
      </c>
      <c r="I349" s="2" t="str">
        <f t="shared" si="21"/>
        <v>marzo</v>
      </c>
      <c r="J349" s="2">
        <f t="shared" si="22"/>
        <v>3</v>
      </c>
      <c r="K349" s="2">
        <f t="shared" si="28"/>
        <v>2026</v>
      </c>
      <c r="L349" s="2" t="str">
        <f t="shared" si="29"/>
        <v>ROSEWOOD MANDARINA</v>
      </c>
      <c r="M349" s="2">
        <f t="shared" si="30"/>
        <v>0</v>
      </c>
      <c r="Q349" s="3">
        <v>27724</v>
      </c>
      <c r="R349" s="5" t="s">
        <v>391</v>
      </c>
      <c r="V349" s="3">
        <v>85</v>
      </c>
      <c r="W349" s="5" t="s">
        <v>217</v>
      </c>
    </row>
    <row r="350" spans="1:23" ht="15.75" customHeight="1">
      <c r="A350" s="3">
        <v>882</v>
      </c>
      <c r="B350" s="3">
        <v>30698</v>
      </c>
      <c r="C350" s="4">
        <v>46032</v>
      </c>
      <c r="D350" s="4">
        <v>46036</v>
      </c>
      <c r="E350" s="5" t="s">
        <v>32</v>
      </c>
      <c r="F350" s="3">
        <v>30976</v>
      </c>
      <c r="G350" s="6">
        <f t="shared" si="27"/>
        <v>170.36799999999999</v>
      </c>
      <c r="H350" s="7">
        <f t="shared" si="20"/>
        <v>46081</v>
      </c>
      <c r="I350" s="2" t="str">
        <f t="shared" si="21"/>
        <v>febrero</v>
      </c>
      <c r="J350" s="2">
        <f t="shared" si="22"/>
        <v>2</v>
      </c>
      <c r="K350" s="2">
        <f t="shared" si="28"/>
        <v>2026</v>
      </c>
      <c r="L350" s="2" t="str">
        <f t="shared" si="29"/>
        <v>HILTON NISEKO VILLAGE</v>
      </c>
      <c r="M350" s="2">
        <f t="shared" si="30"/>
        <v>0</v>
      </c>
      <c r="Q350" s="3">
        <v>27725</v>
      </c>
      <c r="R350" s="5" t="s">
        <v>392</v>
      </c>
      <c r="V350" s="3">
        <v>85</v>
      </c>
      <c r="W350" s="5" t="s">
        <v>89</v>
      </c>
    </row>
    <row r="351" spans="1:23" ht="15.75" customHeight="1">
      <c r="A351" s="3">
        <v>883</v>
      </c>
      <c r="B351" s="3">
        <v>33519</v>
      </c>
      <c r="C351" s="4">
        <v>46065</v>
      </c>
      <c r="D351" s="4">
        <v>46068</v>
      </c>
      <c r="E351" s="5" t="s">
        <v>24</v>
      </c>
      <c r="F351" s="3">
        <v>10</v>
      </c>
      <c r="G351" s="6">
        <f t="shared" si="27"/>
        <v>8.6</v>
      </c>
      <c r="H351" s="7">
        <f t="shared" si="20"/>
        <v>46113</v>
      </c>
      <c r="I351" s="2" t="str">
        <f t="shared" si="21"/>
        <v>abril</v>
      </c>
      <c r="J351" s="2">
        <f t="shared" si="22"/>
        <v>4</v>
      </c>
      <c r="K351" s="2">
        <f t="shared" si="28"/>
        <v>2026</v>
      </c>
      <c r="L351" s="2" t="str">
        <f t="shared" si="29"/>
        <v>WYNN AND ENCORE LAS VEGAS</v>
      </c>
      <c r="M351" s="2">
        <f t="shared" si="30"/>
        <v>0</v>
      </c>
      <c r="Q351" s="3">
        <v>27739</v>
      </c>
      <c r="R351" s="5" t="s">
        <v>393</v>
      </c>
      <c r="V351" s="3">
        <v>85</v>
      </c>
      <c r="W351" s="5" t="s">
        <v>80</v>
      </c>
    </row>
    <row r="352" spans="1:23" ht="15.75" customHeight="1">
      <c r="A352" s="3">
        <v>883</v>
      </c>
      <c r="B352" s="3">
        <v>34188</v>
      </c>
      <c r="C352" s="4">
        <v>46068</v>
      </c>
      <c r="D352" s="4">
        <v>46070</v>
      </c>
      <c r="E352" s="5" t="s">
        <v>24</v>
      </c>
      <c r="F352" s="3">
        <v>254.5</v>
      </c>
      <c r="G352" s="6">
        <f t="shared" si="27"/>
        <v>218.87</v>
      </c>
      <c r="H352" s="7">
        <f t="shared" si="20"/>
        <v>46115</v>
      </c>
      <c r="I352" s="2" t="str">
        <f t="shared" si="21"/>
        <v>abril</v>
      </c>
      <c r="J352" s="2">
        <f t="shared" si="22"/>
        <v>4</v>
      </c>
      <c r="K352" s="2">
        <f t="shared" si="28"/>
        <v>2026</v>
      </c>
      <c r="L352" s="2" t="str">
        <f t="shared" si="29"/>
        <v>Shutters On The Beach</v>
      </c>
      <c r="M352" s="2">
        <f t="shared" si="30"/>
        <v>0</v>
      </c>
      <c r="Q352" s="3">
        <v>27746</v>
      </c>
      <c r="R352" s="5" t="s">
        <v>394</v>
      </c>
      <c r="V352" s="3">
        <v>85</v>
      </c>
      <c r="W352" s="5" t="s">
        <v>23</v>
      </c>
    </row>
    <row r="353" spans="1:23" ht="15.75" customHeight="1">
      <c r="A353" s="3">
        <v>884</v>
      </c>
      <c r="B353" s="3">
        <v>33513</v>
      </c>
      <c r="C353" s="4">
        <v>45941</v>
      </c>
      <c r="D353" s="4">
        <v>45943</v>
      </c>
      <c r="E353" s="5" t="s">
        <v>24</v>
      </c>
      <c r="F353" s="3">
        <v>63.52</v>
      </c>
      <c r="G353" s="6">
        <f t="shared" si="27"/>
        <v>54.627200000000002</v>
      </c>
      <c r="H353" s="7">
        <f t="shared" si="20"/>
        <v>45988</v>
      </c>
      <c r="I353" s="2" t="str">
        <f t="shared" si="21"/>
        <v>noviembre</v>
      </c>
      <c r="J353" s="2">
        <f t="shared" si="22"/>
        <v>11</v>
      </c>
      <c r="K353" s="2">
        <f t="shared" si="28"/>
        <v>2025</v>
      </c>
      <c r="L353" s="2" t="str">
        <f t="shared" si="29"/>
        <v>LIVE AQUA CD DE MÉXICO BOSQUES</v>
      </c>
      <c r="M353" s="2">
        <f t="shared" si="30"/>
        <v>0</v>
      </c>
      <c r="Q353" s="3">
        <v>27766</v>
      </c>
      <c r="R353" s="5" t="s">
        <v>395</v>
      </c>
      <c r="V353" s="3">
        <v>85</v>
      </c>
      <c r="W353" s="5" t="s">
        <v>23</v>
      </c>
    </row>
    <row r="354" spans="1:23" ht="15.75" customHeight="1">
      <c r="A354" s="3">
        <v>889</v>
      </c>
      <c r="B354" s="3">
        <v>29952</v>
      </c>
      <c r="C354" s="4">
        <v>46013</v>
      </c>
      <c r="D354" s="4">
        <v>46013</v>
      </c>
      <c r="E354" s="5" t="s">
        <v>24</v>
      </c>
      <c r="F354" s="3">
        <v>47.43</v>
      </c>
      <c r="G354" s="6">
        <f t="shared" si="27"/>
        <v>40.7898</v>
      </c>
      <c r="H354" s="7">
        <f t="shared" si="20"/>
        <v>46058</v>
      </c>
      <c r="I354" s="2" t="str">
        <f t="shared" si="21"/>
        <v>febrero</v>
      </c>
      <c r="J354" s="2">
        <f t="shared" si="22"/>
        <v>2</v>
      </c>
      <c r="K354" s="2">
        <f t="shared" si="28"/>
        <v>2026</v>
      </c>
      <c r="L354" s="2" t="str">
        <f t="shared" si="29"/>
        <v>HOUSTON AIRPORT MARRIOTT AT GEORGE BUSH INTERCONTINENTAL</v>
      </c>
      <c r="M354" s="2">
        <f t="shared" si="30"/>
        <v>0</v>
      </c>
      <c r="Q354" s="3">
        <v>27768</v>
      </c>
      <c r="R354" s="5" t="s">
        <v>396</v>
      </c>
      <c r="V354" s="3">
        <v>85</v>
      </c>
      <c r="W354" s="5" t="s">
        <v>23</v>
      </c>
    </row>
    <row r="355" spans="1:23" ht="15.75" customHeight="1">
      <c r="A355" s="3">
        <v>891</v>
      </c>
      <c r="B355" s="3">
        <v>33697</v>
      </c>
      <c r="C355" s="4">
        <v>46184</v>
      </c>
      <c r="D355" s="4">
        <v>46226</v>
      </c>
      <c r="E355" s="5" t="s">
        <v>34</v>
      </c>
      <c r="F355" s="3">
        <v>236410</v>
      </c>
      <c r="G355" s="6">
        <f t="shared" si="27"/>
        <v>11347.68</v>
      </c>
      <c r="H355" s="7">
        <f t="shared" si="20"/>
        <v>46271</v>
      </c>
      <c r="I355" s="2" t="str">
        <f t="shared" si="21"/>
        <v>septiembre</v>
      </c>
      <c r="J355" s="2">
        <f t="shared" si="22"/>
        <v>9</v>
      </c>
      <c r="K355" s="2">
        <f t="shared" si="28"/>
        <v>2026</v>
      </c>
      <c r="L355" s="2" t="str">
        <f t="shared" si="29"/>
        <v>EVENTOS ESPECIALES MUNDOMEX S.A. DE C.V.</v>
      </c>
      <c r="M355" s="2">
        <f t="shared" si="30"/>
        <v>0</v>
      </c>
      <c r="Q355" s="3">
        <v>27778</v>
      </c>
      <c r="R355" s="5" t="s">
        <v>397</v>
      </c>
      <c r="V355" s="3">
        <v>85</v>
      </c>
      <c r="W355" s="5" t="s">
        <v>23</v>
      </c>
    </row>
    <row r="356" spans="1:23" ht="15.75" customHeight="1">
      <c r="A356" s="3">
        <v>892</v>
      </c>
      <c r="B356" s="3">
        <v>33615</v>
      </c>
      <c r="C356" s="4">
        <v>45939</v>
      </c>
      <c r="D356" s="4">
        <v>45942</v>
      </c>
      <c r="E356" s="5" t="s">
        <v>24</v>
      </c>
      <c r="F356" s="3">
        <v>387.25</v>
      </c>
      <c r="G356" s="6">
        <f t="shared" si="27"/>
        <v>333.03499999999997</v>
      </c>
      <c r="H356" s="7">
        <f t="shared" si="20"/>
        <v>45987</v>
      </c>
      <c r="I356" s="2" t="str">
        <f t="shared" si="21"/>
        <v>noviembre</v>
      </c>
      <c r="J356" s="2">
        <f t="shared" si="22"/>
        <v>11</v>
      </c>
      <c r="K356" s="2">
        <f t="shared" si="28"/>
        <v>2025</v>
      </c>
      <c r="L356" s="2" t="str">
        <f t="shared" si="29"/>
        <v>FOUR SEASONS RESORT LOS CABOS AT COSTA PALMAS</v>
      </c>
      <c r="M356" s="2">
        <f t="shared" si="30"/>
        <v>0</v>
      </c>
      <c r="Q356" s="3">
        <v>27779</v>
      </c>
      <c r="R356" s="5" t="s">
        <v>398</v>
      </c>
      <c r="V356" s="3">
        <v>85</v>
      </c>
      <c r="W356" s="5" t="s">
        <v>89</v>
      </c>
    </row>
    <row r="357" spans="1:23" ht="15.75" customHeight="1">
      <c r="A357" s="3">
        <v>896</v>
      </c>
      <c r="B357" s="3">
        <v>31311</v>
      </c>
      <c r="C357" s="4">
        <v>46009</v>
      </c>
      <c r="D357" s="4">
        <v>46017</v>
      </c>
      <c r="E357" s="5" t="s">
        <v>24</v>
      </c>
      <c r="F357" s="3">
        <v>1771.95</v>
      </c>
      <c r="G357" s="6">
        <f t="shared" si="27"/>
        <v>1523.877</v>
      </c>
      <c r="H357" s="7">
        <f t="shared" si="20"/>
        <v>46062</v>
      </c>
      <c r="I357" s="2" t="str">
        <f t="shared" si="21"/>
        <v>febrero</v>
      </c>
      <c r="J357" s="2">
        <f t="shared" si="22"/>
        <v>2</v>
      </c>
      <c r="K357" s="2">
        <f t="shared" si="28"/>
        <v>2026</v>
      </c>
      <c r="L357" s="2" t="str">
        <f t="shared" si="29"/>
        <v>DESTINATION ASIA TAILANDIA</v>
      </c>
      <c r="M357" s="2">
        <f t="shared" si="30"/>
        <v>0</v>
      </c>
      <c r="Q357" s="3">
        <v>27781</v>
      </c>
      <c r="R357" s="5" t="s">
        <v>399</v>
      </c>
      <c r="V357" s="3">
        <v>85</v>
      </c>
      <c r="W357" s="5" t="s">
        <v>23</v>
      </c>
    </row>
    <row r="358" spans="1:23" ht="15.75" customHeight="1">
      <c r="A358" s="3">
        <v>901</v>
      </c>
      <c r="B358" s="3">
        <v>33673</v>
      </c>
      <c r="C358" s="4">
        <v>46017</v>
      </c>
      <c r="D358" s="4">
        <v>46022</v>
      </c>
      <c r="E358" s="5" t="s">
        <v>19</v>
      </c>
      <c r="F358" s="3">
        <v>618.72</v>
      </c>
      <c r="G358" s="6">
        <f t="shared" si="27"/>
        <v>618.72</v>
      </c>
      <c r="H358" s="7">
        <f t="shared" si="20"/>
        <v>46067</v>
      </c>
      <c r="I358" s="2" t="str">
        <f t="shared" si="21"/>
        <v>febrero</v>
      </c>
      <c r="J358" s="2">
        <f t="shared" si="22"/>
        <v>2</v>
      </c>
      <c r="K358" s="2">
        <f t="shared" si="28"/>
        <v>2026</v>
      </c>
      <c r="L358" s="2" t="str">
        <f t="shared" si="29"/>
        <v>AC BAQUEIRA SKI RESORT</v>
      </c>
      <c r="M358" s="2">
        <f t="shared" si="30"/>
        <v>0</v>
      </c>
      <c r="Q358" s="3">
        <v>27796</v>
      </c>
      <c r="R358" s="5" t="s">
        <v>400</v>
      </c>
      <c r="V358" s="3">
        <v>85</v>
      </c>
      <c r="W358" s="5" t="s">
        <v>23</v>
      </c>
    </row>
    <row r="359" spans="1:23" ht="15.75" customHeight="1">
      <c r="A359" s="3">
        <v>902</v>
      </c>
      <c r="B359" s="3">
        <v>25907</v>
      </c>
      <c r="C359" s="4">
        <v>46123</v>
      </c>
      <c r="D359" s="4">
        <v>46124</v>
      </c>
      <c r="E359" s="5" t="s">
        <v>24</v>
      </c>
      <c r="F359" s="3">
        <v>140.44</v>
      </c>
      <c r="G359" s="6">
        <f t="shared" si="27"/>
        <v>120.77839999999999</v>
      </c>
      <c r="H359" s="7">
        <f t="shared" si="20"/>
        <v>46169</v>
      </c>
      <c r="I359" s="2" t="str">
        <f t="shared" si="21"/>
        <v>mayo</v>
      </c>
      <c r="J359" s="2">
        <f t="shared" si="22"/>
        <v>5</v>
      </c>
      <c r="K359" s="2">
        <f t="shared" si="28"/>
        <v>2026</v>
      </c>
      <c r="L359" s="2" t="str">
        <f t="shared" si="29"/>
        <v>THE OKURA TOKYO</v>
      </c>
      <c r="M359" s="2">
        <f t="shared" si="30"/>
        <v>0</v>
      </c>
      <c r="Q359" s="3">
        <v>27797</v>
      </c>
      <c r="R359" s="5" t="s">
        <v>401</v>
      </c>
      <c r="V359" s="3">
        <v>85</v>
      </c>
      <c r="W359" s="5" t="s">
        <v>23</v>
      </c>
    </row>
    <row r="360" spans="1:23" ht="15.75" customHeight="1">
      <c r="A360" s="3">
        <v>902</v>
      </c>
      <c r="B360" s="3">
        <v>25053</v>
      </c>
      <c r="C360" s="4">
        <v>46124</v>
      </c>
      <c r="D360" s="4">
        <v>46126</v>
      </c>
      <c r="E360" s="5" t="s">
        <v>24</v>
      </c>
      <c r="F360" s="3">
        <v>180.12</v>
      </c>
      <c r="G360" s="6">
        <f t="shared" si="27"/>
        <v>154.9032</v>
      </c>
      <c r="H360" s="7">
        <f t="shared" si="20"/>
        <v>46171</v>
      </c>
      <c r="I360" s="2" t="str">
        <f t="shared" si="21"/>
        <v>mayo</v>
      </c>
      <c r="J360" s="2">
        <f t="shared" si="22"/>
        <v>5</v>
      </c>
      <c r="K360" s="2">
        <f t="shared" si="28"/>
        <v>2026</v>
      </c>
      <c r="L360" s="2" t="str">
        <f t="shared" si="29"/>
        <v>THE RITZ CARLTON NIKKO</v>
      </c>
      <c r="M360" s="2">
        <f t="shared" si="30"/>
        <v>0</v>
      </c>
      <c r="Q360" s="3">
        <v>27801</v>
      </c>
      <c r="R360" s="5" t="s">
        <v>402</v>
      </c>
      <c r="V360" s="3">
        <v>85</v>
      </c>
      <c r="W360" s="5" t="s">
        <v>302</v>
      </c>
    </row>
    <row r="361" spans="1:23" ht="15.75" customHeight="1">
      <c r="A361" s="3">
        <v>903</v>
      </c>
      <c r="B361" s="3">
        <v>26070</v>
      </c>
      <c r="C361" s="4">
        <v>46148</v>
      </c>
      <c r="D361" s="4">
        <v>46169</v>
      </c>
      <c r="E361" s="5" t="s">
        <v>24</v>
      </c>
      <c r="F361" s="3">
        <v>485.19</v>
      </c>
      <c r="G361" s="6">
        <f t="shared" si="27"/>
        <v>417.26339999999999</v>
      </c>
      <c r="H361" s="7">
        <f t="shared" si="20"/>
        <v>46214</v>
      </c>
      <c r="I361" s="2" t="str">
        <f t="shared" si="21"/>
        <v>julio</v>
      </c>
      <c r="J361" s="2">
        <f t="shared" si="22"/>
        <v>7</v>
      </c>
      <c r="K361" s="2">
        <f t="shared" si="28"/>
        <v>2026</v>
      </c>
      <c r="L361" s="2" t="str">
        <f t="shared" si="29"/>
        <v>FOUR SEASONS HOTEL SEOUL</v>
      </c>
      <c r="M361" s="2">
        <f t="shared" si="30"/>
        <v>0</v>
      </c>
      <c r="Q361" s="3">
        <v>27858</v>
      </c>
      <c r="R361" s="5" t="s">
        <v>403</v>
      </c>
      <c r="V361" s="3">
        <v>85</v>
      </c>
      <c r="W361" s="5" t="s">
        <v>23</v>
      </c>
    </row>
    <row r="362" spans="1:23" ht="15.75" customHeight="1">
      <c r="A362" s="3">
        <v>903</v>
      </c>
      <c r="B362" s="3">
        <v>30268</v>
      </c>
      <c r="C362" s="4">
        <v>46161</v>
      </c>
      <c r="D362" s="4">
        <v>46163</v>
      </c>
      <c r="E362" s="5" t="s">
        <v>24</v>
      </c>
      <c r="F362" s="3">
        <v>213.57</v>
      </c>
      <c r="G362" s="6">
        <f t="shared" si="27"/>
        <v>183.67019999999999</v>
      </c>
      <c r="H362" s="7">
        <f t="shared" si="20"/>
        <v>46208</v>
      </c>
      <c r="I362" s="2" t="str">
        <f t="shared" si="21"/>
        <v>julio</v>
      </c>
      <c r="J362" s="2">
        <f t="shared" si="22"/>
        <v>7</v>
      </c>
      <c r="K362" s="2">
        <f t="shared" si="28"/>
        <v>2026</v>
      </c>
      <c r="L362" s="2" t="str">
        <f t="shared" si="29"/>
        <v>PATINA OSAKA</v>
      </c>
      <c r="M362" s="2">
        <f t="shared" si="30"/>
        <v>0</v>
      </c>
      <c r="Q362" s="3">
        <v>27860</v>
      </c>
      <c r="R362" s="5" t="s">
        <v>404</v>
      </c>
      <c r="V362" s="3">
        <v>86</v>
      </c>
      <c r="W362" s="5" t="s">
        <v>23</v>
      </c>
    </row>
    <row r="363" spans="1:23" ht="15.75" customHeight="1">
      <c r="A363" s="3">
        <v>903</v>
      </c>
      <c r="B363" s="3">
        <v>25907</v>
      </c>
      <c r="C363" s="4">
        <v>46164</v>
      </c>
      <c r="D363" s="4">
        <v>46169</v>
      </c>
      <c r="E363" s="5" t="s">
        <v>24</v>
      </c>
      <c r="F363" s="3">
        <v>497.58</v>
      </c>
      <c r="G363" s="6">
        <f t="shared" si="27"/>
        <v>427.91879999999998</v>
      </c>
      <c r="H363" s="7">
        <f t="shared" si="20"/>
        <v>46214</v>
      </c>
      <c r="I363" s="2" t="str">
        <f t="shared" si="21"/>
        <v>julio</v>
      </c>
      <c r="J363" s="2">
        <f t="shared" si="22"/>
        <v>7</v>
      </c>
      <c r="K363" s="2">
        <f t="shared" si="28"/>
        <v>2026</v>
      </c>
      <c r="L363" s="2" t="str">
        <f t="shared" si="29"/>
        <v>THE OKURA TOKYO</v>
      </c>
      <c r="M363" s="2">
        <f t="shared" si="30"/>
        <v>0</v>
      </c>
      <c r="Q363" s="3">
        <v>27870</v>
      </c>
      <c r="R363" s="5" t="s">
        <v>405</v>
      </c>
      <c r="V363" s="3">
        <v>86</v>
      </c>
      <c r="W363" s="5" t="s">
        <v>68</v>
      </c>
    </row>
    <row r="364" spans="1:23" ht="15.75" customHeight="1">
      <c r="A364" s="3">
        <v>904</v>
      </c>
      <c r="B364" s="3">
        <v>33690</v>
      </c>
      <c r="C364" s="4">
        <v>46019</v>
      </c>
      <c r="D364" s="4">
        <v>46022</v>
      </c>
      <c r="E364" s="5" t="s">
        <v>24</v>
      </c>
      <c r="F364" s="3">
        <v>431</v>
      </c>
      <c r="G364" s="6">
        <f t="shared" si="27"/>
        <v>370.65999999999997</v>
      </c>
      <c r="H364" s="7">
        <f t="shared" si="20"/>
        <v>46067</v>
      </c>
      <c r="I364" s="2" t="str">
        <f t="shared" si="21"/>
        <v>febrero</v>
      </c>
      <c r="J364" s="2">
        <f t="shared" si="22"/>
        <v>2</v>
      </c>
      <c r="K364" s="2">
        <f t="shared" si="28"/>
        <v>2026</v>
      </c>
      <c r="L364" s="2" t="str">
        <f t="shared" si="29"/>
        <v>INTERCONTINENTAL TOKYO BAY</v>
      </c>
      <c r="M364" s="2">
        <f t="shared" si="30"/>
        <v>0</v>
      </c>
      <c r="Q364" s="3">
        <v>27884</v>
      </c>
      <c r="R364" s="5" t="s">
        <v>406</v>
      </c>
      <c r="V364" s="3">
        <v>87</v>
      </c>
      <c r="W364" s="5" t="s">
        <v>68</v>
      </c>
    </row>
    <row r="365" spans="1:23" ht="15.75" customHeight="1">
      <c r="A365" s="3">
        <v>904</v>
      </c>
      <c r="B365" s="3">
        <v>33694</v>
      </c>
      <c r="C365" s="4">
        <v>46022</v>
      </c>
      <c r="D365" s="4">
        <v>46025</v>
      </c>
      <c r="E365" s="5" t="s">
        <v>24</v>
      </c>
      <c r="F365" s="3">
        <v>207.28</v>
      </c>
      <c r="G365" s="6">
        <f t="shared" si="27"/>
        <v>178.26079999999999</v>
      </c>
      <c r="H365" s="7">
        <f t="shared" si="20"/>
        <v>46070</v>
      </c>
      <c r="I365" s="2" t="str">
        <f t="shared" si="21"/>
        <v>febrero</v>
      </c>
      <c r="J365" s="2">
        <f t="shared" si="22"/>
        <v>2</v>
      </c>
      <c r="K365" s="2">
        <f t="shared" si="28"/>
        <v>2026</v>
      </c>
      <c r="L365" s="2" t="str">
        <f t="shared" si="29"/>
        <v>HYATT PLACE KYOTO</v>
      </c>
      <c r="M365" s="2">
        <f t="shared" si="30"/>
        <v>0</v>
      </c>
      <c r="Q365" s="3">
        <v>27885</v>
      </c>
      <c r="R365" s="5" t="s">
        <v>407</v>
      </c>
      <c r="V365" s="3">
        <v>88</v>
      </c>
      <c r="W365" s="5" t="s">
        <v>94</v>
      </c>
    </row>
    <row r="366" spans="1:23" ht="15.75" customHeight="1">
      <c r="A366" s="3">
        <v>907</v>
      </c>
      <c r="B366" s="3">
        <v>33711</v>
      </c>
      <c r="C366" s="4">
        <v>46128</v>
      </c>
      <c r="D366" s="4">
        <v>46131</v>
      </c>
      <c r="E366" s="5" t="s">
        <v>34</v>
      </c>
      <c r="F366" s="3">
        <v>10</v>
      </c>
      <c r="G366" s="6">
        <f t="shared" si="27"/>
        <v>0.48</v>
      </c>
      <c r="H366" s="7">
        <f t="shared" si="20"/>
        <v>46176</v>
      </c>
      <c r="I366" s="2" t="str">
        <f t="shared" si="21"/>
        <v>junio</v>
      </c>
      <c r="J366" s="2">
        <f t="shared" si="22"/>
        <v>6</v>
      </c>
      <c r="K366" s="2">
        <f t="shared" si="28"/>
        <v>2026</v>
      </c>
      <c r="L366" s="2" t="str">
        <f t="shared" si="29"/>
        <v>HOTEL INDIGO LA PAZ PUERTA CORTEZ</v>
      </c>
      <c r="M366" s="2">
        <f t="shared" si="30"/>
        <v>0</v>
      </c>
      <c r="Q366" s="3">
        <v>27888</v>
      </c>
      <c r="R366" s="5" t="s">
        <v>408</v>
      </c>
      <c r="V366" s="3">
        <v>89</v>
      </c>
      <c r="W366" s="5" t="s">
        <v>23</v>
      </c>
    </row>
    <row r="367" spans="1:23" ht="15.75" customHeight="1">
      <c r="A367" s="3">
        <v>908</v>
      </c>
      <c r="B367" s="3">
        <v>29688</v>
      </c>
      <c r="C367" s="4">
        <v>46027</v>
      </c>
      <c r="D367" s="4">
        <v>46029</v>
      </c>
      <c r="E367" s="5" t="s">
        <v>24</v>
      </c>
      <c r="F367" s="3">
        <v>148.91999999999999</v>
      </c>
      <c r="G367" s="6">
        <f t="shared" si="27"/>
        <v>128.07119999999998</v>
      </c>
      <c r="H367" s="7">
        <f t="shared" si="20"/>
        <v>46074</v>
      </c>
      <c r="I367" s="2" t="str">
        <f t="shared" si="21"/>
        <v>febrero</v>
      </c>
      <c r="J367" s="2">
        <f t="shared" si="22"/>
        <v>2</v>
      </c>
      <c r="K367" s="2">
        <f t="shared" si="28"/>
        <v>2026</v>
      </c>
      <c r="L367" s="2" t="str">
        <f t="shared" si="29"/>
        <v>TABLET HOTELS</v>
      </c>
      <c r="M367" s="2">
        <f t="shared" si="30"/>
        <v>0</v>
      </c>
      <c r="Q367" s="3">
        <v>27889</v>
      </c>
      <c r="R367" s="5" t="s">
        <v>409</v>
      </c>
      <c r="V367" s="3">
        <v>89</v>
      </c>
      <c r="W367" s="5" t="s">
        <v>58</v>
      </c>
    </row>
    <row r="368" spans="1:23" ht="15.75" customHeight="1">
      <c r="A368" s="3">
        <v>911</v>
      </c>
      <c r="B368" s="3">
        <v>33752</v>
      </c>
      <c r="C368" s="4">
        <v>45945</v>
      </c>
      <c r="D368" s="4">
        <v>45951</v>
      </c>
      <c r="E368" s="5" t="s">
        <v>24</v>
      </c>
      <c r="F368" s="3">
        <v>1325.2</v>
      </c>
      <c r="G368" s="6">
        <f t="shared" si="27"/>
        <v>1139.672</v>
      </c>
      <c r="H368" s="7">
        <f t="shared" si="20"/>
        <v>45996</v>
      </c>
      <c r="I368" s="2" t="str">
        <f t="shared" si="21"/>
        <v>diciembre</v>
      </c>
      <c r="J368" s="2">
        <f t="shared" si="22"/>
        <v>12</v>
      </c>
      <c r="K368" s="2">
        <f t="shared" si="28"/>
        <v>2025</v>
      </c>
      <c r="L368" s="2" t="str">
        <f t="shared" si="29"/>
        <v>HOTEL HASSLER ROMA</v>
      </c>
      <c r="M368" s="2">
        <f t="shared" si="30"/>
        <v>0</v>
      </c>
      <c r="Q368" s="3">
        <v>27891</v>
      </c>
      <c r="R368" s="5" t="s">
        <v>410</v>
      </c>
      <c r="V368" s="3">
        <v>90</v>
      </c>
      <c r="W368" s="5" t="s">
        <v>58</v>
      </c>
    </row>
    <row r="369" spans="1:23" ht="15.75" customHeight="1">
      <c r="A369" s="3">
        <v>913</v>
      </c>
      <c r="B369" s="3">
        <v>28531</v>
      </c>
      <c r="C369" s="4">
        <v>46270</v>
      </c>
      <c r="D369" s="4">
        <v>46278</v>
      </c>
      <c r="E369" s="5" t="s">
        <v>34</v>
      </c>
      <c r="F369" s="3">
        <v>16187.2</v>
      </c>
      <c r="G369" s="6">
        <f t="shared" si="27"/>
        <v>776.98560000000009</v>
      </c>
      <c r="H369" s="7">
        <f t="shared" si="20"/>
        <v>46323</v>
      </c>
      <c r="I369" s="2" t="str">
        <f t="shared" si="21"/>
        <v>octubre</v>
      </c>
      <c r="J369" s="2">
        <f t="shared" si="22"/>
        <v>10</v>
      </c>
      <c r="K369" s="2">
        <f t="shared" si="28"/>
        <v>2026</v>
      </c>
      <c r="L369" s="2" t="str">
        <f t="shared" si="29"/>
        <v>NAO TRAVEL COLLECTION</v>
      </c>
      <c r="M369" s="2">
        <f t="shared" si="30"/>
        <v>0</v>
      </c>
      <c r="Q369" s="3">
        <v>27908</v>
      </c>
      <c r="R369" s="5" t="s">
        <v>411</v>
      </c>
      <c r="V369" s="3">
        <v>91</v>
      </c>
      <c r="W369" s="5" t="s">
        <v>23</v>
      </c>
    </row>
    <row r="370" spans="1:23" ht="15.75" customHeight="1">
      <c r="A370" s="3">
        <v>913</v>
      </c>
      <c r="B370" s="3">
        <v>28531</v>
      </c>
      <c r="C370" s="4">
        <v>46270</v>
      </c>
      <c r="D370" s="4">
        <v>46278</v>
      </c>
      <c r="E370" s="5" t="s">
        <v>34</v>
      </c>
      <c r="F370" s="3">
        <v>19323.2</v>
      </c>
      <c r="G370" s="6">
        <f t="shared" si="27"/>
        <v>927.51360000000011</v>
      </c>
      <c r="H370" s="7">
        <f t="shared" si="20"/>
        <v>46323</v>
      </c>
      <c r="I370" s="2" t="str">
        <f t="shared" si="21"/>
        <v>octubre</v>
      </c>
      <c r="J370" s="2">
        <f t="shared" si="22"/>
        <v>10</v>
      </c>
      <c r="K370" s="2">
        <f t="shared" si="28"/>
        <v>2026</v>
      </c>
      <c r="L370" s="2" t="str">
        <f t="shared" si="29"/>
        <v>NAO TRAVEL COLLECTION</v>
      </c>
      <c r="M370" s="2">
        <f t="shared" si="30"/>
        <v>0</v>
      </c>
      <c r="Q370" s="3">
        <v>27914</v>
      </c>
      <c r="R370" s="5" t="s">
        <v>412</v>
      </c>
      <c r="V370" s="3">
        <v>92</v>
      </c>
      <c r="W370" s="5" t="s">
        <v>68</v>
      </c>
    </row>
    <row r="371" spans="1:23" ht="15.75" customHeight="1">
      <c r="A371" s="3">
        <v>919</v>
      </c>
      <c r="B371" s="3">
        <v>33612</v>
      </c>
      <c r="C371" s="4">
        <v>46012</v>
      </c>
      <c r="D371" s="4">
        <v>46019</v>
      </c>
      <c r="E371" s="5" t="s">
        <v>24</v>
      </c>
      <c r="F371" s="3">
        <v>1425</v>
      </c>
      <c r="G371" s="6">
        <f t="shared" si="27"/>
        <v>1225.5</v>
      </c>
      <c r="H371" s="7">
        <f t="shared" si="20"/>
        <v>46064</v>
      </c>
      <c r="I371" s="2" t="str">
        <f t="shared" si="21"/>
        <v>febrero</v>
      </c>
      <c r="J371" s="2">
        <f t="shared" si="22"/>
        <v>2</v>
      </c>
      <c r="K371" s="2">
        <f t="shared" si="28"/>
        <v>2026</v>
      </c>
      <c r="L371" s="2" t="str">
        <f t="shared" si="29"/>
        <v>THE PENINSULA NEW YORK</v>
      </c>
      <c r="M371" s="2">
        <f t="shared" si="30"/>
        <v>0</v>
      </c>
      <c r="Q371" s="3">
        <v>27920</v>
      </c>
      <c r="R371" s="5" t="s">
        <v>413</v>
      </c>
      <c r="V371" s="3">
        <v>93</v>
      </c>
      <c r="W371" s="5" t="s">
        <v>23</v>
      </c>
    </row>
    <row r="372" spans="1:23" ht="15.75" customHeight="1">
      <c r="A372" s="3">
        <v>922</v>
      </c>
      <c r="B372" s="3">
        <v>25652</v>
      </c>
      <c r="C372" s="4">
        <v>45970</v>
      </c>
      <c r="D372" s="4">
        <v>45972</v>
      </c>
      <c r="E372" s="5" t="s">
        <v>19</v>
      </c>
      <c r="F372" s="3">
        <v>216.35</v>
      </c>
      <c r="G372" s="6">
        <f t="shared" si="27"/>
        <v>216.35</v>
      </c>
      <c r="H372" s="7">
        <f t="shared" si="20"/>
        <v>46017</v>
      </c>
      <c r="I372" s="2" t="str">
        <f t="shared" si="21"/>
        <v>diciembre</v>
      </c>
      <c r="J372" s="2">
        <f t="shared" si="22"/>
        <v>12</v>
      </c>
      <c r="K372" s="2">
        <f t="shared" si="28"/>
        <v>2025</v>
      </c>
      <c r="L372" s="2" t="str">
        <f t="shared" si="29"/>
        <v>FOUR SEASONS HOTEL MADRID</v>
      </c>
      <c r="M372" s="2">
        <f t="shared" si="30"/>
        <v>0</v>
      </c>
      <c r="Q372" s="3">
        <v>27924</v>
      </c>
      <c r="R372" s="5" t="s">
        <v>414</v>
      </c>
      <c r="V372" s="3">
        <v>93</v>
      </c>
      <c r="W372" s="5" t="s">
        <v>23</v>
      </c>
    </row>
    <row r="373" spans="1:23" ht="15.75" customHeight="1">
      <c r="A373" s="3">
        <v>923</v>
      </c>
      <c r="B373" s="3">
        <v>28512</v>
      </c>
      <c r="C373" s="4">
        <v>45973</v>
      </c>
      <c r="D373" s="4">
        <v>45974</v>
      </c>
      <c r="E373" s="5" t="s">
        <v>19</v>
      </c>
      <c r="F373" s="3">
        <v>93.56</v>
      </c>
      <c r="G373" s="6">
        <f t="shared" si="27"/>
        <v>93.56</v>
      </c>
      <c r="H373" s="7">
        <f t="shared" si="20"/>
        <v>46019</v>
      </c>
      <c r="I373" s="2" t="str">
        <f t="shared" si="21"/>
        <v>diciembre</v>
      </c>
      <c r="J373" s="2">
        <f t="shared" si="22"/>
        <v>12</v>
      </c>
      <c r="K373" s="2">
        <f t="shared" si="28"/>
        <v>2025</v>
      </c>
      <c r="L373" s="2" t="str">
        <f t="shared" si="29"/>
        <v>MANDARIN ORIENTAL RITZ MADRID</v>
      </c>
      <c r="M373" s="2">
        <f t="shared" si="30"/>
        <v>0</v>
      </c>
      <c r="Q373" s="3">
        <v>27931</v>
      </c>
      <c r="R373" s="5" t="s">
        <v>415</v>
      </c>
      <c r="V373" s="3">
        <v>94</v>
      </c>
      <c r="W373" s="5" t="s">
        <v>89</v>
      </c>
    </row>
    <row r="374" spans="1:23" ht="15.75" customHeight="1">
      <c r="A374" s="3">
        <v>925</v>
      </c>
      <c r="B374" s="3">
        <v>33830</v>
      </c>
      <c r="C374" s="4">
        <v>45972</v>
      </c>
      <c r="D374" s="4">
        <v>45973</v>
      </c>
      <c r="E374" s="5" t="s">
        <v>19</v>
      </c>
      <c r="F374" s="3">
        <v>12.3</v>
      </c>
      <c r="G374" s="6">
        <f t="shared" si="27"/>
        <v>12.3</v>
      </c>
      <c r="H374" s="7">
        <f t="shared" si="20"/>
        <v>46018</v>
      </c>
      <c r="I374" s="2" t="str">
        <f t="shared" si="21"/>
        <v>diciembre</v>
      </c>
      <c r="J374" s="2">
        <f t="shared" si="22"/>
        <v>12</v>
      </c>
      <c r="K374" s="2">
        <f t="shared" si="28"/>
        <v>2025</v>
      </c>
      <c r="L374" s="2" t="str">
        <f t="shared" si="29"/>
        <v>Parador de Cordoba</v>
      </c>
      <c r="M374" s="2">
        <f t="shared" si="30"/>
        <v>0</v>
      </c>
      <c r="Q374" s="3">
        <v>27934</v>
      </c>
      <c r="R374" s="5" t="s">
        <v>416</v>
      </c>
      <c r="V374" s="3">
        <v>95</v>
      </c>
      <c r="W374" s="5" t="s">
        <v>89</v>
      </c>
    </row>
    <row r="375" spans="1:23" ht="15.75" customHeight="1">
      <c r="A375" s="3">
        <v>929</v>
      </c>
      <c r="B375" s="3">
        <v>28512</v>
      </c>
      <c r="C375" s="4">
        <v>46073</v>
      </c>
      <c r="D375" s="4">
        <v>46075</v>
      </c>
      <c r="E375" s="5" t="s">
        <v>19</v>
      </c>
      <c r="F375" s="3">
        <v>158.6</v>
      </c>
      <c r="G375" s="6">
        <f t="shared" si="27"/>
        <v>158.6</v>
      </c>
      <c r="H375" s="7">
        <f t="shared" si="20"/>
        <v>46120</v>
      </c>
      <c r="I375" s="2" t="str">
        <f t="shared" si="21"/>
        <v>abril</v>
      </c>
      <c r="J375" s="2">
        <f t="shared" si="22"/>
        <v>4</v>
      </c>
      <c r="K375" s="2">
        <f t="shared" si="28"/>
        <v>2026</v>
      </c>
      <c r="L375" s="2" t="str">
        <f t="shared" si="29"/>
        <v>MANDARIN ORIENTAL RITZ MADRID</v>
      </c>
      <c r="M375" s="2">
        <f t="shared" si="30"/>
        <v>0</v>
      </c>
      <c r="Q375" s="3">
        <v>27936</v>
      </c>
      <c r="R375" s="5" t="s">
        <v>417</v>
      </c>
      <c r="V375" s="3">
        <v>96</v>
      </c>
      <c r="W375" s="5" t="s">
        <v>89</v>
      </c>
    </row>
    <row r="376" spans="1:23" ht="15.75" customHeight="1">
      <c r="A376" s="3">
        <v>937</v>
      </c>
      <c r="B376" s="3">
        <v>28934</v>
      </c>
      <c r="C376" s="4">
        <v>46077</v>
      </c>
      <c r="D376" s="4">
        <v>46092</v>
      </c>
      <c r="E376" s="5" t="s">
        <v>24</v>
      </c>
      <c r="F376" s="3">
        <v>138.96</v>
      </c>
      <c r="G376" s="6">
        <f t="shared" si="27"/>
        <v>119.5056</v>
      </c>
      <c r="H376" s="7">
        <f t="shared" si="20"/>
        <v>46137</v>
      </c>
      <c r="I376" s="2" t="str">
        <f t="shared" si="21"/>
        <v>abril</v>
      </c>
      <c r="J376" s="2">
        <f t="shared" si="22"/>
        <v>4</v>
      </c>
      <c r="K376" s="2">
        <f t="shared" si="28"/>
        <v>2026</v>
      </c>
      <c r="L376" s="2" t="str">
        <f t="shared" si="29"/>
        <v>F1S USA</v>
      </c>
      <c r="M376" s="2">
        <f t="shared" si="30"/>
        <v>0</v>
      </c>
      <c r="Q376" s="3">
        <v>27937</v>
      </c>
      <c r="R376" s="5" t="s">
        <v>418</v>
      </c>
      <c r="V376" s="3">
        <v>97</v>
      </c>
      <c r="W376" s="5" t="s">
        <v>89</v>
      </c>
    </row>
    <row r="377" spans="1:23" ht="15.75" customHeight="1">
      <c r="A377" s="3">
        <v>938</v>
      </c>
      <c r="B377" s="3">
        <v>27648</v>
      </c>
      <c r="C377" s="4">
        <v>46041</v>
      </c>
      <c r="D377" s="4">
        <v>46051</v>
      </c>
      <c r="E377" s="5" t="s">
        <v>24</v>
      </c>
      <c r="F377" s="3">
        <v>2918.4</v>
      </c>
      <c r="G377" s="6">
        <f t="shared" si="27"/>
        <v>2509.8240000000001</v>
      </c>
      <c r="H377" s="7">
        <f t="shared" si="20"/>
        <v>46096</v>
      </c>
      <c r="I377" s="2" t="str">
        <f t="shared" si="21"/>
        <v>marzo</v>
      </c>
      <c r="J377" s="2">
        <f t="shared" si="22"/>
        <v>3</v>
      </c>
      <c r="K377" s="2">
        <f t="shared" si="28"/>
        <v>2026</v>
      </c>
      <c r="L377" s="2" t="str">
        <f t="shared" si="29"/>
        <v>THE BEVERLY HILLS HOTEL</v>
      </c>
      <c r="M377" s="2">
        <f t="shared" si="30"/>
        <v>0</v>
      </c>
      <c r="Q377" s="3">
        <v>27945</v>
      </c>
      <c r="R377" s="5" t="s">
        <v>419</v>
      </c>
      <c r="V377" s="3">
        <v>98</v>
      </c>
      <c r="W377" s="5" t="s">
        <v>420</v>
      </c>
    </row>
    <row r="378" spans="1:23" ht="15.75" customHeight="1">
      <c r="A378" s="3">
        <v>938</v>
      </c>
      <c r="B378" s="3">
        <v>30165</v>
      </c>
      <c r="C378" s="4">
        <v>46041</v>
      </c>
      <c r="D378" s="4">
        <v>46051</v>
      </c>
      <c r="E378" s="5" t="s">
        <v>24</v>
      </c>
      <c r="F378" s="3">
        <v>2143</v>
      </c>
      <c r="G378" s="6">
        <f t="shared" si="27"/>
        <v>1842.98</v>
      </c>
      <c r="H378" s="7">
        <f t="shared" si="20"/>
        <v>46096</v>
      </c>
      <c r="I378" s="2" t="str">
        <f t="shared" si="21"/>
        <v>marzo</v>
      </c>
      <c r="J378" s="2">
        <f t="shared" si="22"/>
        <v>3</v>
      </c>
      <c r="K378" s="2">
        <f t="shared" si="28"/>
        <v>2026</v>
      </c>
      <c r="L378" s="2" t="str">
        <f t="shared" si="29"/>
        <v>FOUR SEASONS HOTEL BOSTON</v>
      </c>
      <c r="M378" s="2">
        <f t="shared" si="30"/>
        <v>0</v>
      </c>
      <c r="Q378" s="3">
        <v>27947</v>
      </c>
      <c r="R378" s="5" t="s">
        <v>421</v>
      </c>
      <c r="V378" s="3">
        <v>98</v>
      </c>
      <c r="W378" s="5" t="s">
        <v>23</v>
      </c>
    </row>
    <row r="379" spans="1:23" ht="15.75" customHeight="1">
      <c r="A379" s="3">
        <v>941</v>
      </c>
      <c r="B379" s="3">
        <v>25362</v>
      </c>
      <c r="C379" s="4">
        <v>46019</v>
      </c>
      <c r="D379" s="4">
        <v>46022</v>
      </c>
      <c r="E379" s="5" t="s">
        <v>24</v>
      </c>
      <c r="F379" s="3">
        <v>1399.68</v>
      </c>
      <c r="G379" s="6">
        <f t="shared" si="27"/>
        <v>1203.7248</v>
      </c>
      <c r="H379" s="7">
        <f t="shared" si="20"/>
        <v>46067</v>
      </c>
      <c r="I379" s="2" t="str">
        <f t="shared" si="21"/>
        <v>febrero</v>
      </c>
      <c r="J379" s="2">
        <f t="shared" si="22"/>
        <v>2</v>
      </c>
      <c r="K379" s="2">
        <f t="shared" si="28"/>
        <v>2026</v>
      </c>
      <c r="L379" s="2" t="str">
        <f t="shared" si="29"/>
        <v>AMAN TOKYO</v>
      </c>
      <c r="M379" s="2">
        <f t="shared" si="30"/>
        <v>0</v>
      </c>
      <c r="Q379" s="3">
        <v>27957</v>
      </c>
      <c r="R379" s="5" t="s">
        <v>422</v>
      </c>
      <c r="V379" s="3">
        <v>98</v>
      </c>
      <c r="W379" s="5" t="s">
        <v>23</v>
      </c>
    </row>
    <row r="380" spans="1:23" ht="15.75" customHeight="1">
      <c r="A380" s="3">
        <v>941</v>
      </c>
      <c r="B380" s="3">
        <v>25017</v>
      </c>
      <c r="C380" s="4">
        <v>46022</v>
      </c>
      <c r="D380" s="4">
        <v>46024</v>
      </c>
      <c r="E380" s="5" t="s">
        <v>24</v>
      </c>
      <c r="F380" s="3">
        <v>513.24</v>
      </c>
      <c r="G380" s="6">
        <f t="shared" si="27"/>
        <v>441.38639999999998</v>
      </c>
      <c r="H380" s="7">
        <f t="shared" si="20"/>
        <v>46069</v>
      </c>
      <c r="I380" s="2" t="str">
        <f t="shared" si="21"/>
        <v>febrero</v>
      </c>
      <c r="J380" s="2">
        <f t="shared" si="22"/>
        <v>2</v>
      </c>
      <c r="K380" s="2">
        <f t="shared" si="28"/>
        <v>2026</v>
      </c>
      <c r="L380" s="2" t="str">
        <f t="shared" si="29"/>
        <v>AMAN KYOTO</v>
      </c>
      <c r="M380" s="2">
        <f t="shared" si="30"/>
        <v>0</v>
      </c>
      <c r="Q380" s="3">
        <v>27965</v>
      </c>
      <c r="R380" s="5" t="s">
        <v>423</v>
      </c>
      <c r="V380" s="3">
        <v>98</v>
      </c>
      <c r="W380" s="5" t="s">
        <v>23</v>
      </c>
    </row>
    <row r="381" spans="1:23" ht="15.75" customHeight="1">
      <c r="A381" s="3">
        <v>942</v>
      </c>
      <c r="B381" s="3">
        <v>27613</v>
      </c>
      <c r="C381" s="4">
        <v>46011</v>
      </c>
      <c r="D381" s="4">
        <v>46014</v>
      </c>
      <c r="E381" s="5" t="s">
        <v>24</v>
      </c>
      <c r="F381" s="3">
        <v>103.2</v>
      </c>
      <c r="G381" s="6">
        <f t="shared" si="27"/>
        <v>88.751999999999995</v>
      </c>
      <c r="H381" s="7">
        <f t="shared" si="20"/>
        <v>46059</v>
      </c>
      <c r="I381" s="2" t="str">
        <f t="shared" si="21"/>
        <v>febrero</v>
      </c>
      <c r="J381" s="2">
        <f t="shared" si="22"/>
        <v>2</v>
      </c>
      <c r="K381" s="2">
        <f t="shared" si="28"/>
        <v>2026</v>
      </c>
      <c r="L381" s="2" t="str">
        <f t="shared" si="29"/>
        <v>SOMMERRO</v>
      </c>
      <c r="M381" s="2">
        <f t="shared" si="30"/>
        <v>0</v>
      </c>
      <c r="Q381" s="3">
        <v>27966</v>
      </c>
      <c r="R381" s="5" t="s">
        <v>424</v>
      </c>
      <c r="V381" s="3">
        <v>98</v>
      </c>
      <c r="W381" s="5" t="s">
        <v>23</v>
      </c>
    </row>
    <row r="382" spans="1:23" ht="15.75" customHeight="1">
      <c r="A382" s="3">
        <v>943</v>
      </c>
      <c r="B382" s="3">
        <v>27613</v>
      </c>
      <c r="C382" s="4">
        <v>46011</v>
      </c>
      <c r="D382" s="4">
        <v>46014</v>
      </c>
      <c r="E382" s="5" t="s">
        <v>24</v>
      </c>
      <c r="F382" s="3">
        <v>97.2</v>
      </c>
      <c r="G382" s="6">
        <f t="shared" si="27"/>
        <v>83.591999999999999</v>
      </c>
      <c r="H382" s="7">
        <f t="shared" si="20"/>
        <v>46059</v>
      </c>
      <c r="I382" s="2" t="str">
        <f t="shared" si="21"/>
        <v>febrero</v>
      </c>
      <c r="J382" s="2">
        <f t="shared" si="22"/>
        <v>2</v>
      </c>
      <c r="K382" s="2">
        <f t="shared" si="28"/>
        <v>2026</v>
      </c>
      <c r="L382" s="2" t="str">
        <f t="shared" si="29"/>
        <v>SOMMERRO</v>
      </c>
      <c r="M382" s="2">
        <f t="shared" si="30"/>
        <v>0</v>
      </c>
      <c r="Q382" s="3">
        <v>27967</v>
      </c>
      <c r="R382" s="5" t="s">
        <v>425</v>
      </c>
      <c r="V382" s="3">
        <v>98</v>
      </c>
      <c r="W382" s="5" t="s">
        <v>220</v>
      </c>
    </row>
    <row r="383" spans="1:23" ht="15.75" customHeight="1">
      <c r="A383" s="3">
        <v>944</v>
      </c>
      <c r="B383" s="3">
        <v>27966</v>
      </c>
      <c r="C383" s="4">
        <v>45974</v>
      </c>
      <c r="D383" s="4">
        <v>45976</v>
      </c>
      <c r="E383" s="5" t="s">
        <v>34</v>
      </c>
      <c r="F383" s="3">
        <v>5520</v>
      </c>
      <c r="G383" s="6">
        <f t="shared" si="27"/>
        <v>264.95999999999998</v>
      </c>
      <c r="H383" s="7">
        <f t="shared" si="20"/>
        <v>46021</v>
      </c>
      <c r="I383" s="2" t="str">
        <f t="shared" si="21"/>
        <v>diciembre</v>
      </c>
      <c r="J383" s="2">
        <f t="shared" si="22"/>
        <v>12</v>
      </c>
      <c r="K383" s="2">
        <f t="shared" si="28"/>
        <v>2025</v>
      </c>
      <c r="L383" s="2" t="str">
        <f t="shared" si="29"/>
        <v>ROSEWOOD MANDARINA</v>
      </c>
      <c r="M383" s="2">
        <f t="shared" si="30"/>
        <v>0</v>
      </c>
      <c r="Q383" s="3">
        <v>27975</v>
      </c>
      <c r="R383" s="5" t="s">
        <v>426</v>
      </c>
      <c r="V383" s="3">
        <v>98</v>
      </c>
      <c r="W383" s="5" t="s">
        <v>94</v>
      </c>
    </row>
    <row r="384" spans="1:23" ht="15.75" customHeight="1">
      <c r="A384" s="3">
        <v>947</v>
      </c>
      <c r="B384" s="3">
        <v>33969</v>
      </c>
      <c r="C384" s="4">
        <v>46018</v>
      </c>
      <c r="D384" s="4">
        <v>46019</v>
      </c>
      <c r="E384" s="5" t="s">
        <v>24</v>
      </c>
      <c r="F384" s="3">
        <v>14.21</v>
      </c>
      <c r="G384" s="6">
        <f t="shared" si="27"/>
        <v>12.220600000000001</v>
      </c>
      <c r="H384" s="7">
        <f t="shared" si="20"/>
        <v>46064</v>
      </c>
      <c r="I384" s="2" t="str">
        <f t="shared" si="21"/>
        <v>febrero</v>
      </c>
      <c r="J384" s="2">
        <f t="shared" si="22"/>
        <v>2</v>
      </c>
      <c r="K384" s="2">
        <f t="shared" si="28"/>
        <v>2026</v>
      </c>
      <c r="L384" s="2" t="str">
        <f t="shared" si="29"/>
        <v>Hotel Indigo Denver Downtown</v>
      </c>
      <c r="M384" s="2">
        <f t="shared" si="30"/>
        <v>0</v>
      </c>
      <c r="Q384" s="3">
        <v>27983</v>
      </c>
      <c r="R384" s="5" t="s">
        <v>427</v>
      </c>
      <c r="V384" s="3">
        <v>98</v>
      </c>
      <c r="W384" s="5" t="s">
        <v>23</v>
      </c>
    </row>
    <row r="385" spans="1:23" ht="15.75" customHeight="1">
      <c r="A385" s="3">
        <v>949</v>
      </c>
      <c r="B385" s="3">
        <v>25427</v>
      </c>
      <c r="C385" s="4">
        <v>45997</v>
      </c>
      <c r="D385" s="4">
        <v>46001</v>
      </c>
      <c r="E385" s="5" t="s">
        <v>24</v>
      </c>
      <c r="F385" s="3">
        <v>296.58</v>
      </c>
      <c r="G385" s="6">
        <f t="shared" si="27"/>
        <v>255.05879999999999</v>
      </c>
      <c r="H385" s="7">
        <f t="shared" si="20"/>
        <v>46046</v>
      </c>
      <c r="I385" s="2" t="str">
        <f t="shared" si="21"/>
        <v>enero</v>
      </c>
      <c r="J385" s="2">
        <f t="shared" si="22"/>
        <v>1</v>
      </c>
      <c r="K385" s="2">
        <f t="shared" si="28"/>
        <v>2026</v>
      </c>
      <c r="L385" s="2" t="str">
        <f t="shared" si="29"/>
        <v>Expedia TAAP</v>
      </c>
      <c r="M385" s="2">
        <f t="shared" si="30"/>
        <v>0</v>
      </c>
      <c r="Q385" s="3">
        <v>27992</v>
      </c>
      <c r="R385" s="5" t="s">
        <v>428</v>
      </c>
      <c r="V385" s="3">
        <v>98</v>
      </c>
      <c r="W385" s="5" t="s">
        <v>23</v>
      </c>
    </row>
    <row r="386" spans="1:23" ht="15.75" customHeight="1">
      <c r="A386" s="3">
        <v>952</v>
      </c>
      <c r="B386" s="3">
        <v>28058</v>
      </c>
      <c r="C386" s="4">
        <v>46111</v>
      </c>
      <c r="D386" s="4">
        <v>46114</v>
      </c>
      <c r="E386" s="5" t="s">
        <v>24</v>
      </c>
      <c r="F386" s="3">
        <v>178.2</v>
      </c>
      <c r="G386" s="6">
        <f t="shared" si="27"/>
        <v>153.25199999999998</v>
      </c>
      <c r="H386" s="7">
        <f t="shared" si="20"/>
        <v>46159</v>
      </c>
      <c r="I386" s="2" t="str">
        <f t="shared" si="21"/>
        <v>mayo</v>
      </c>
      <c r="J386" s="2">
        <f t="shared" si="22"/>
        <v>5</v>
      </c>
      <c r="K386" s="2">
        <f t="shared" si="28"/>
        <v>2026</v>
      </c>
      <c r="L386" s="2" t="str">
        <f t="shared" si="29"/>
        <v>EL CALLEJON HOTEL BOUTIQUE</v>
      </c>
      <c r="M386" s="2">
        <f t="shared" si="30"/>
        <v>0</v>
      </c>
      <c r="Q386" s="3">
        <v>27998</v>
      </c>
      <c r="R386" s="5" t="s">
        <v>429</v>
      </c>
      <c r="V386" s="3">
        <v>98</v>
      </c>
      <c r="W386" s="5" t="s">
        <v>23</v>
      </c>
    </row>
    <row r="387" spans="1:23" ht="15.75" customHeight="1">
      <c r="A387" s="3">
        <v>952</v>
      </c>
      <c r="B387" s="3">
        <v>27633</v>
      </c>
      <c r="C387" s="4">
        <v>46115</v>
      </c>
      <c r="D387" s="4">
        <v>46117</v>
      </c>
      <c r="E387" s="5" t="s">
        <v>24</v>
      </c>
      <c r="F387" s="3">
        <v>310</v>
      </c>
      <c r="G387" s="6">
        <f t="shared" ref="G387:G432" si="31">F387*_xlfn.XLOOKUP(E387,Z:Z,AA:AA)</f>
        <v>266.60000000000002</v>
      </c>
      <c r="H387" s="7">
        <f t="shared" si="20"/>
        <v>46162</v>
      </c>
      <c r="I387" s="2" t="str">
        <f t="shared" si="21"/>
        <v>mayo</v>
      </c>
      <c r="J387" s="2">
        <f t="shared" si="22"/>
        <v>5</v>
      </c>
      <c r="K387" s="2">
        <f t="shared" ref="K387:K432" si="32">YEAR(H387)</f>
        <v>2026</v>
      </c>
      <c r="L387" s="2" t="str">
        <f t="shared" ref="L387:L396" si="33">_xlfn.XLOOKUP(B387,Q:Q,R:R)</f>
        <v>FOUR SEASONS RESORT TAMARINDO</v>
      </c>
      <c r="M387" s="2">
        <f t="shared" ref="M387:M396" si="34">_xlfn.XLOOKUP(A387,V:V,W:W)</f>
        <v>0</v>
      </c>
      <c r="Q387" s="3">
        <v>28006</v>
      </c>
      <c r="R387" s="5" t="s">
        <v>430</v>
      </c>
      <c r="V387" s="3">
        <v>98</v>
      </c>
      <c r="W387" s="5" t="s">
        <v>420</v>
      </c>
    </row>
    <row r="388" spans="1:23" ht="15.75" customHeight="1">
      <c r="A388" s="3">
        <v>952</v>
      </c>
      <c r="B388" s="3">
        <v>29707</v>
      </c>
      <c r="C388" s="4">
        <v>46108</v>
      </c>
      <c r="D388" s="4">
        <v>46111</v>
      </c>
      <c r="E388" s="5" t="s">
        <v>24</v>
      </c>
      <c r="F388" s="3">
        <v>162.4</v>
      </c>
      <c r="G388" s="6">
        <f t="shared" si="31"/>
        <v>139.66400000000002</v>
      </c>
      <c r="H388" s="7">
        <f t="shared" si="20"/>
        <v>46156</v>
      </c>
      <c r="I388" s="2" t="str">
        <f t="shared" si="21"/>
        <v>mayo</v>
      </c>
      <c r="J388" s="2">
        <f t="shared" si="22"/>
        <v>5</v>
      </c>
      <c r="K388" s="2">
        <f t="shared" si="32"/>
        <v>2026</v>
      </c>
      <c r="L388" s="2" t="str">
        <f t="shared" si="33"/>
        <v>KIMPTON VIRGILIO</v>
      </c>
      <c r="M388" s="2">
        <f t="shared" si="34"/>
        <v>0</v>
      </c>
      <c r="Q388" s="3">
        <v>28020</v>
      </c>
      <c r="R388" s="5" t="s">
        <v>431</v>
      </c>
      <c r="V388" s="3">
        <v>98</v>
      </c>
      <c r="W388" s="5" t="s">
        <v>23</v>
      </c>
    </row>
    <row r="389" spans="1:23" ht="15.75" customHeight="1">
      <c r="A389" s="3">
        <v>952</v>
      </c>
      <c r="B389" s="3">
        <v>29707</v>
      </c>
      <c r="C389" s="4">
        <v>46108</v>
      </c>
      <c r="D389" s="4">
        <v>46111</v>
      </c>
      <c r="E389" s="5" t="s">
        <v>24</v>
      </c>
      <c r="F389" s="3">
        <v>162.4</v>
      </c>
      <c r="G389" s="6">
        <f t="shared" si="31"/>
        <v>139.66400000000002</v>
      </c>
      <c r="H389" s="7">
        <f t="shared" si="20"/>
        <v>46156</v>
      </c>
      <c r="I389" s="2" t="str">
        <f t="shared" si="21"/>
        <v>mayo</v>
      </c>
      <c r="J389" s="2">
        <f t="shared" si="22"/>
        <v>5</v>
      </c>
      <c r="K389" s="2">
        <f t="shared" si="32"/>
        <v>2026</v>
      </c>
      <c r="L389" s="2" t="str">
        <f t="shared" si="33"/>
        <v>KIMPTON VIRGILIO</v>
      </c>
      <c r="M389" s="2">
        <f t="shared" si="34"/>
        <v>0</v>
      </c>
      <c r="Q389" s="3">
        <v>28021</v>
      </c>
      <c r="R389" s="5" t="s">
        <v>432</v>
      </c>
      <c r="V389" s="3">
        <v>98</v>
      </c>
      <c r="W389" s="5" t="s">
        <v>94</v>
      </c>
    </row>
    <row r="390" spans="1:23" ht="15.75" customHeight="1">
      <c r="A390" s="3">
        <v>952</v>
      </c>
      <c r="B390" s="3">
        <v>29707</v>
      </c>
      <c r="C390" s="4">
        <v>46114</v>
      </c>
      <c r="D390" s="4">
        <v>46115</v>
      </c>
      <c r="E390" s="5" t="s">
        <v>24</v>
      </c>
      <c r="F390" s="3">
        <v>54.13</v>
      </c>
      <c r="G390" s="6">
        <f t="shared" si="31"/>
        <v>46.5518</v>
      </c>
      <c r="H390" s="7">
        <f t="shared" si="20"/>
        <v>46160</v>
      </c>
      <c r="I390" s="2" t="str">
        <f t="shared" si="21"/>
        <v>mayo</v>
      </c>
      <c r="J390" s="2">
        <f t="shared" si="22"/>
        <v>5</v>
      </c>
      <c r="K390" s="2">
        <f t="shared" si="32"/>
        <v>2026</v>
      </c>
      <c r="L390" s="2" t="str">
        <f t="shared" si="33"/>
        <v>KIMPTON VIRGILIO</v>
      </c>
      <c r="M390" s="2">
        <f t="shared" si="34"/>
        <v>0</v>
      </c>
      <c r="Q390" s="3">
        <v>28033</v>
      </c>
      <c r="R390" s="5" t="s">
        <v>433</v>
      </c>
      <c r="V390" s="3">
        <v>99</v>
      </c>
      <c r="W390" s="5" t="s">
        <v>94</v>
      </c>
    </row>
    <row r="391" spans="1:23" ht="15.75" customHeight="1">
      <c r="A391" s="3">
        <v>952</v>
      </c>
      <c r="B391" s="3">
        <v>29707</v>
      </c>
      <c r="C391" s="4">
        <v>46114</v>
      </c>
      <c r="D391" s="4">
        <v>46115</v>
      </c>
      <c r="E391" s="5" t="s">
        <v>24</v>
      </c>
      <c r="F391" s="3">
        <v>54.13</v>
      </c>
      <c r="G391" s="6">
        <f t="shared" si="31"/>
        <v>46.5518</v>
      </c>
      <c r="H391" s="7">
        <f t="shared" si="20"/>
        <v>46160</v>
      </c>
      <c r="I391" s="2" t="str">
        <f t="shared" si="21"/>
        <v>mayo</v>
      </c>
      <c r="J391" s="2">
        <f t="shared" si="22"/>
        <v>5</v>
      </c>
      <c r="K391" s="2">
        <f t="shared" si="32"/>
        <v>2026</v>
      </c>
      <c r="L391" s="2" t="str">
        <f t="shared" si="33"/>
        <v>KIMPTON VIRGILIO</v>
      </c>
      <c r="M391" s="2">
        <f t="shared" si="34"/>
        <v>0</v>
      </c>
      <c r="Q391" s="3">
        <v>28058</v>
      </c>
      <c r="R391" s="5" t="s">
        <v>434</v>
      </c>
      <c r="V391" s="3">
        <v>100</v>
      </c>
      <c r="W391" s="5" t="s">
        <v>68</v>
      </c>
    </row>
    <row r="392" spans="1:23" ht="15.75" customHeight="1">
      <c r="A392" s="3">
        <v>952</v>
      </c>
      <c r="B392" s="3">
        <v>29707</v>
      </c>
      <c r="C392" s="4">
        <v>46121</v>
      </c>
      <c r="D392" s="4">
        <v>46123</v>
      </c>
      <c r="E392" s="5" t="s">
        <v>24</v>
      </c>
      <c r="F392" s="3">
        <v>108.27</v>
      </c>
      <c r="G392" s="6">
        <f t="shared" si="31"/>
        <v>93.112200000000001</v>
      </c>
      <c r="H392" s="7">
        <f t="shared" si="20"/>
        <v>46168</v>
      </c>
      <c r="I392" s="2" t="str">
        <f t="shared" si="21"/>
        <v>mayo</v>
      </c>
      <c r="J392" s="2">
        <f t="shared" si="22"/>
        <v>5</v>
      </c>
      <c r="K392" s="2">
        <f t="shared" si="32"/>
        <v>2026</v>
      </c>
      <c r="L392" s="2" t="str">
        <f t="shared" si="33"/>
        <v>KIMPTON VIRGILIO</v>
      </c>
      <c r="M392" s="2">
        <f t="shared" si="34"/>
        <v>0</v>
      </c>
      <c r="Q392" s="3">
        <v>28064</v>
      </c>
      <c r="R392" s="5" t="s">
        <v>435</v>
      </c>
      <c r="V392" s="3">
        <v>100</v>
      </c>
      <c r="W392" s="5" t="s">
        <v>94</v>
      </c>
    </row>
    <row r="393" spans="1:23" ht="15.75" customHeight="1">
      <c r="A393" s="3">
        <v>952</v>
      </c>
      <c r="B393" s="3">
        <v>29707</v>
      </c>
      <c r="C393" s="4">
        <v>46121</v>
      </c>
      <c r="D393" s="4">
        <v>46123</v>
      </c>
      <c r="E393" s="5" t="s">
        <v>24</v>
      </c>
      <c r="F393" s="3">
        <v>108.27</v>
      </c>
      <c r="G393" s="6">
        <f t="shared" si="31"/>
        <v>93.112200000000001</v>
      </c>
      <c r="H393" s="7">
        <f t="shared" si="20"/>
        <v>46168</v>
      </c>
      <c r="I393" s="2" t="str">
        <f t="shared" si="21"/>
        <v>mayo</v>
      </c>
      <c r="J393" s="2">
        <f t="shared" si="22"/>
        <v>5</v>
      </c>
      <c r="K393" s="2">
        <f t="shared" si="32"/>
        <v>2026</v>
      </c>
      <c r="L393" s="2" t="str">
        <f t="shared" si="33"/>
        <v>KIMPTON VIRGILIO</v>
      </c>
      <c r="M393" s="2">
        <f t="shared" si="34"/>
        <v>0</v>
      </c>
      <c r="Q393" s="3">
        <v>28066</v>
      </c>
      <c r="R393" s="5" t="s">
        <v>436</v>
      </c>
      <c r="V393" s="3">
        <v>100</v>
      </c>
      <c r="W393" s="5" t="s">
        <v>94</v>
      </c>
    </row>
    <row r="394" spans="1:23" ht="15.75" customHeight="1">
      <c r="A394" s="3">
        <v>953</v>
      </c>
      <c r="B394" s="3">
        <v>34184</v>
      </c>
      <c r="C394" s="4">
        <v>46029</v>
      </c>
      <c r="D394" s="4">
        <v>46035</v>
      </c>
      <c r="E394" s="5" t="s">
        <v>24</v>
      </c>
      <c r="F394" s="3">
        <v>370.28</v>
      </c>
      <c r="G394" s="6">
        <f t="shared" si="31"/>
        <v>318.44079999999997</v>
      </c>
      <c r="H394" s="7">
        <f t="shared" si="20"/>
        <v>46080</v>
      </c>
      <c r="I394" s="2" t="str">
        <f t="shared" si="21"/>
        <v>febrero</v>
      </c>
      <c r="J394" s="2">
        <f t="shared" si="22"/>
        <v>2</v>
      </c>
      <c r="K394" s="2">
        <f t="shared" si="32"/>
        <v>2026</v>
      </c>
      <c r="L394" s="2" t="str">
        <f t="shared" si="33"/>
        <v>Cerulean Tower Tokyu Hotel</v>
      </c>
      <c r="M394" s="2">
        <f t="shared" si="34"/>
        <v>0</v>
      </c>
      <c r="Q394" s="3">
        <v>28067</v>
      </c>
      <c r="R394" s="5" t="s">
        <v>437</v>
      </c>
      <c r="V394" s="3">
        <v>100</v>
      </c>
      <c r="W394" s="5" t="s">
        <v>89</v>
      </c>
    </row>
    <row r="395" spans="1:23" ht="15.75" customHeight="1">
      <c r="A395" s="3">
        <v>953</v>
      </c>
      <c r="B395" s="3">
        <v>26070</v>
      </c>
      <c r="C395" s="4">
        <v>46035</v>
      </c>
      <c r="D395" s="4">
        <v>46040</v>
      </c>
      <c r="E395" s="5" t="s">
        <v>24</v>
      </c>
      <c r="F395" s="3">
        <v>677</v>
      </c>
      <c r="G395" s="6">
        <f t="shared" si="31"/>
        <v>582.22</v>
      </c>
      <c r="H395" s="7">
        <f t="shared" si="20"/>
        <v>46085</v>
      </c>
      <c r="I395" s="2" t="str">
        <f t="shared" si="21"/>
        <v>marzo</v>
      </c>
      <c r="J395" s="2">
        <f t="shared" si="22"/>
        <v>3</v>
      </c>
      <c r="K395" s="2">
        <f t="shared" si="32"/>
        <v>2026</v>
      </c>
      <c r="L395" s="2" t="str">
        <f t="shared" si="33"/>
        <v>FOUR SEASONS HOTEL SEOUL</v>
      </c>
      <c r="M395" s="2">
        <f t="shared" si="34"/>
        <v>0</v>
      </c>
      <c r="Q395" s="3">
        <v>28068</v>
      </c>
      <c r="R395" s="5" t="s">
        <v>438</v>
      </c>
      <c r="V395" s="3">
        <v>100</v>
      </c>
      <c r="W395" s="5" t="s">
        <v>23</v>
      </c>
    </row>
    <row r="396" spans="1:23" ht="15.75" customHeight="1">
      <c r="A396" s="3">
        <v>954</v>
      </c>
      <c r="B396" s="3">
        <v>34228</v>
      </c>
      <c r="C396" s="4">
        <v>46098</v>
      </c>
      <c r="D396" s="4">
        <v>46100</v>
      </c>
      <c r="E396" s="5" t="s">
        <v>24</v>
      </c>
      <c r="F396" s="3">
        <v>95.51</v>
      </c>
      <c r="G396" s="6">
        <f t="shared" si="31"/>
        <v>82.138599999999997</v>
      </c>
      <c r="H396" s="7">
        <f t="shared" si="20"/>
        <v>46145</v>
      </c>
      <c r="I396" s="2" t="str">
        <f t="shared" si="21"/>
        <v>mayo</v>
      </c>
      <c r="J396" s="2">
        <f t="shared" si="22"/>
        <v>5</v>
      </c>
      <c r="K396" s="2">
        <f t="shared" si="32"/>
        <v>2026</v>
      </c>
      <c r="L396" s="2" t="str">
        <f t="shared" si="33"/>
        <v>Sixty Beverly Hills</v>
      </c>
      <c r="M396" s="2">
        <f t="shared" si="34"/>
        <v>0</v>
      </c>
      <c r="Q396" s="3">
        <v>28072</v>
      </c>
      <c r="R396" s="5" t="s">
        <v>439</v>
      </c>
      <c r="V396" s="3">
        <v>101</v>
      </c>
      <c r="W396" s="5" t="s">
        <v>23</v>
      </c>
    </row>
    <row r="397" spans="1:23" ht="15.75" customHeight="1">
      <c r="A397" s="3">
        <v>956</v>
      </c>
      <c r="B397" s="3">
        <v>29146</v>
      </c>
      <c r="C397" s="4">
        <v>46009</v>
      </c>
      <c r="D397" s="4">
        <v>46011</v>
      </c>
      <c r="E397" s="5" t="s">
        <v>24</v>
      </c>
      <c r="F397" s="3">
        <v>2322.75</v>
      </c>
      <c r="G397" s="6">
        <f t="shared" si="31"/>
        <v>1997.5650000000001</v>
      </c>
      <c r="H397" s="7">
        <f t="shared" si="20"/>
        <v>46056</v>
      </c>
      <c r="I397" s="2" t="str">
        <f t="shared" ref="I397:I432" si="35">TEXT(H397,"mmmm")</f>
        <v>febrero</v>
      </c>
      <c r="J397" s="2">
        <f t="shared" ref="J397:J432" si="36">IF(I397="enero",1,
IF(I397="febrero",2,
IF(I397="marzo",3,
IF(I397="abril",4,
IF(I397="mayo",5,
IF(I397="junio",6,
IF(I397="julio",7,
IF(I397="agosto",8,
IF(I397="septiembre",9,
IF(I397="octubre",10,
IF(I397="noviembre",11,
IF(I397="diciembre",12)))))))))))
)</f>
        <v>2</v>
      </c>
      <c r="K397" s="2">
        <f t="shared" si="32"/>
        <v>2026</v>
      </c>
      <c r="L397" s="2" t="str">
        <f t="shared" ref="L397:L432" si="37">_xlfn.XLOOKUP(B397,Q:Q,R:R)</f>
        <v>THE WOODWARD AUBERGE COLLECTION</v>
      </c>
      <c r="M397" s="2">
        <f t="shared" ref="M397:M432" si="38">_xlfn.XLOOKUP(A397,V:V,W:W)</f>
        <v>0</v>
      </c>
      <c r="Q397" s="3">
        <v>28079</v>
      </c>
      <c r="R397" s="5" t="s">
        <v>440</v>
      </c>
      <c r="V397" s="3">
        <v>101</v>
      </c>
      <c r="W397" s="5" t="s">
        <v>23</v>
      </c>
    </row>
    <row r="398" spans="1:23" ht="15.75" customHeight="1">
      <c r="A398" s="3">
        <v>956</v>
      </c>
      <c r="B398" s="3">
        <v>23527</v>
      </c>
      <c r="C398" s="4">
        <v>46018</v>
      </c>
      <c r="D398" s="4">
        <v>46021</v>
      </c>
      <c r="E398" s="5" t="s">
        <v>24</v>
      </c>
      <c r="F398" s="3">
        <v>1807.6</v>
      </c>
      <c r="G398" s="6">
        <f t="shared" si="31"/>
        <v>1554.5359999999998</v>
      </c>
      <c r="H398" s="7">
        <f t="shared" ref="H398:H432" si="39">D398+45</f>
        <v>46066</v>
      </c>
      <c r="I398" s="2" t="str">
        <f t="shared" si="35"/>
        <v>febrero</v>
      </c>
      <c r="J398" s="2">
        <f t="shared" si="36"/>
        <v>2</v>
      </c>
      <c r="K398" s="2">
        <f t="shared" si="32"/>
        <v>2026</v>
      </c>
      <c r="L398" s="2" t="str">
        <f t="shared" si="37"/>
        <v>PORTRAIT MILANO HOTEL LUNGARNO COLLECTION</v>
      </c>
      <c r="M398" s="2">
        <f t="shared" si="38"/>
        <v>0</v>
      </c>
      <c r="Q398" s="3">
        <v>28115</v>
      </c>
      <c r="R398" s="5" t="s">
        <v>441</v>
      </c>
      <c r="V398" s="3">
        <v>101</v>
      </c>
      <c r="W398" s="5" t="s">
        <v>94</v>
      </c>
    </row>
    <row r="399" spans="1:23" ht="15.75" customHeight="1">
      <c r="A399" s="3">
        <v>956</v>
      </c>
      <c r="B399" s="3">
        <v>27965</v>
      </c>
      <c r="C399" s="4">
        <v>46021</v>
      </c>
      <c r="D399" s="4">
        <v>46024</v>
      </c>
      <c r="E399" s="5" t="s">
        <v>24</v>
      </c>
      <c r="F399" s="3">
        <v>2951.1</v>
      </c>
      <c r="G399" s="6">
        <f t="shared" si="31"/>
        <v>2537.9459999999999</v>
      </c>
      <c r="H399" s="7">
        <f t="shared" si="39"/>
        <v>46069</v>
      </c>
      <c r="I399" s="2" t="str">
        <f t="shared" si="35"/>
        <v>febrero</v>
      </c>
      <c r="J399" s="2">
        <f t="shared" si="36"/>
        <v>2</v>
      </c>
      <c r="K399" s="2">
        <f t="shared" si="32"/>
        <v>2026</v>
      </c>
      <c r="L399" s="2" t="str">
        <f t="shared" si="37"/>
        <v>AMAN VENICE</v>
      </c>
      <c r="M399" s="2">
        <f t="shared" si="38"/>
        <v>0</v>
      </c>
      <c r="Q399" s="3">
        <v>28127</v>
      </c>
      <c r="R399" s="5" t="s">
        <v>442</v>
      </c>
      <c r="V399" s="3">
        <v>102</v>
      </c>
      <c r="W399" s="5" t="s">
        <v>204</v>
      </c>
    </row>
    <row r="400" spans="1:23" ht="15.75" customHeight="1">
      <c r="A400" s="3">
        <v>962</v>
      </c>
      <c r="B400" s="3">
        <v>24267</v>
      </c>
      <c r="C400" s="4">
        <v>46028</v>
      </c>
      <c r="D400" s="4">
        <v>46034</v>
      </c>
      <c r="E400" s="5" t="s">
        <v>24</v>
      </c>
      <c r="F400" s="3">
        <v>170.7</v>
      </c>
      <c r="G400" s="6">
        <f t="shared" si="31"/>
        <v>146.80199999999999</v>
      </c>
      <c r="H400" s="7">
        <f t="shared" si="39"/>
        <v>46079</v>
      </c>
      <c r="I400" s="2" t="str">
        <f t="shared" si="35"/>
        <v>febrero</v>
      </c>
      <c r="J400" s="2">
        <f t="shared" si="36"/>
        <v>2</v>
      </c>
      <c r="K400" s="2">
        <f t="shared" si="32"/>
        <v>2026</v>
      </c>
      <c r="L400" s="2" t="str">
        <f t="shared" si="37"/>
        <v>THE MARK HOTEL</v>
      </c>
      <c r="M400" s="2">
        <f t="shared" si="38"/>
        <v>0</v>
      </c>
      <c r="Q400" s="3">
        <v>28167</v>
      </c>
      <c r="R400" s="5" t="s">
        <v>443</v>
      </c>
      <c r="V400" s="3">
        <v>102</v>
      </c>
      <c r="W400" s="5" t="s">
        <v>420</v>
      </c>
    </row>
    <row r="401" spans="1:23" ht="15.75" customHeight="1">
      <c r="A401" s="3">
        <v>963</v>
      </c>
      <c r="B401" s="3">
        <v>27559</v>
      </c>
      <c r="C401" s="4">
        <v>46044</v>
      </c>
      <c r="D401" s="4">
        <v>46047</v>
      </c>
      <c r="E401" s="5" t="s">
        <v>24</v>
      </c>
      <c r="F401" s="3">
        <v>359.25</v>
      </c>
      <c r="G401" s="6">
        <f t="shared" si="31"/>
        <v>308.95499999999998</v>
      </c>
      <c r="H401" s="7">
        <f t="shared" si="39"/>
        <v>46092</v>
      </c>
      <c r="I401" s="2" t="str">
        <f t="shared" si="35"/>
        <v>marzo</v>
      </c>
      <c r="J401" s="2">
        <f t="shared" si="36"/>
        <v>3</v>
      </c>
      <c r="K401" s="2">
        <f t="shared" si="32"/>
        <v>2026</v>
      </c>
      <c r="L401" s="2" t="str">
        <f t="shared" si="37"/>
        <v>SOFITEL LEGEND SANTA CLARA CARTAGENA</v>
      </c>
      <c r="M401" s="2">
        <f t="shared" si="38"/>
        <v>0</v>
      </c>
      <c r="Q401" s="3">
        <v>28197</v>
      </c>
      <c r="R401" s="5" t="s">
        <v>444</v>
      </c>
      <c r="V401" s="3">
        <v>102</v>
      </c>
      <c r="W401" s="5" t="s">
        <v>420</v>
      </c>
    </row>
    <row r="402" spans="1:23" ht="15.75" customHeight="1">
      <c r="A402" s="3">
        <v>965</v>
      </c>
      <c r="B402" s="3">
        <v>28752</v>
      </c>
      <c r="C402" s="4">
        <v>46008</v>
      </c>
      <c r="D402" s="4">
        <v>46010</v>
      </c>
      <c r="E402" s="5" t="s">
        <v>24</v>
      </c>
      <c r="F402" s="3">
        <v>268.5</v>
      </c>
      <c r="G402" s="6">
        <f t="shared" si="31"/>
        <v>230.91</v>
      </c>
      <c r="H402" s="7">
        <f t="shared" si="39"/>
        <v>46055</v>
      </c>
      <c r="I402" s="2" t="str">
        <f t="shared" si="35"/>
        <v>febrero</v>
      </c>
      <c r="J402" s="2">
        <f t="shared" si="36"/>
        <v>2</v>
      </c>
      <c r="K402" s="2">
        <f t="shared" si="32"/>
        <v>2026</v>
      </c>
      <c r="L402" s="2" t="str">
        <f t="shared" si="37"/>
        <v>AT SLOANE</v>
      </c>
      <c r="M402" s="2">
        <f t="shared" si="38"/>
        <v>0</v>
      </c>
      <c r="Q402" s="3">
        <v>28203</v>
      </c>
      <c r="R402" s="5" t="s">
        <v>445</v>
      </c>
      <c r="V402" s="3">
        <v>102</v>
      </c>
      <c r="W402" s="5" t="s">
        <v>420</v>
      </c>
    </row>
    <row r="403" spans="1:23" ht="15.75" customHeight="1">
      <c r="A403" s="3">
        <v>966</v>
      </c>
      <c r="B403" s="3">
        <v>33519</v>
      </c>
      <c r="C403" s="4">
        <v>45993</v>
      </c>
      <c r="D403" s="4">
        <v>45995</v>
      </c>
      <c r="E403" s="5" t="s">
        <v>24</v>
      </c>
      <c r="F403" s="3">
        <v>378</v>
      </c>
      <c r="G403" s="6">
        <f t="shared" si="31"/>
        <v>325.08</v>
      </c>
      <c r="H403" s="7">
        <f t="shared" si="39"/>
        <v>46040</v>
      </c>
      <c r="I403" s="2" t="str">
        <f t="shared" si="35"/>
        <v>enero</v>
      </c>
      <c r="J403" s="2">
        <f t="shared" si="36"/>
        <v>1</v>
      </c>
      <c r="K403" s="2">
        <f t="shared" si="32"/>
        <v>2026</v>
      </c>
      <c r="L403" s="2" t="str">
        <f t="shared" si="37"/>
        <v>WYNN AND ENCORE LAS VEGAS</v>
      </c>
      <c r="M403" s="2">
        <f t="shared" si="38"/>
        <v>0</v>
      </c>
      <c r="Q403" s="3">
        <v>28220</v>
      </c>
      <c r="R403" s="5" t="s">
        <v>446</v>
      </c>
      <c r="V403" s="3">
        <v>102</v>
      </c>
      <c r="W403" s="5" t="s">
        <v>89</v>
      </c>
    </row>
    <row r="404" spans="1:23" ht="15.75" customHeight="1">
      <c r="A404" s="3">
        <v>967</v>
      </c>
      <c r="B404" s="3">
        <v>26512</v>
      </c>
      <c r="C404" s="4">
        <v>46133</v>
      </c>
      <c r="D404" s="4">
        <v>46135</v>
      </c>
      <c r="E404" s="5" t="s">
        <v>24</v>
      </c>
      <c r="F404" s="3">
        <v>154</v>
      </c>
      <c r="G404" s="6">
        <f t="shared" si="31"/>
        <v>132.44</v>
      </c>
      <c r="H404" s="7">
        <f t="shared" si="39"/>
        <v>46180</v>
      </c>
      <c r="I404" s="2" t="str">
        <f t="shared" si="35"/>
        <v>junio</v>
      </c>
      <c r="J404" s="2">
        <f t="shared" si="36"/>
        <v>6</v>
      </c>
      <c r="K404" s="2">
        <f t="shared" si="32"/>
        <v>2026</v>
      </c>
      <c r="L404" s="2" t="str">
        <f t="shared" si="37"/>
        <v>FOUR SEASONS</v>
      </c>
      <c r="M404" s="2">
        <f t="shared" si="38"/>
        <v>0</v>
      </c>
      <c r="Q404" s="3">
        <v>28225</v>
      </c>
      <c r="R404" s="5" t="s">
        <v>447</v>
      </c>
      <c r="V404" s="3">
        <v>102</v>
      </c>
      <c r="W404" s="5" t="s">
        <v>23</v>
      </c>
    </row>
    <row r="405" spans="1:23" ht="15.75" customHeight="1">
      <c r="A405" s="3">
        <v>968</v>
      </c>
      <c r="B405" s="3">
        <v>32017</v>
      </c>
      <c r="C405" s="4">
        <v>46289</v>
      </c>
      <c r="D405" s="4">
        <v>46292</v>
      </c>
      <c r="E405" s="5" t="s">
        <v>24</v>
      </c>
      <c r="F405" s="3">
        <v>900</v>
      </c>
      <c r="G405" s="6">
        <f t="shared" si="31"/>
        <v>774</v>
      </c>
      <c r="H405" s="7">
        <f t="shared" si="39"/>
        <v>46337</v>
      </c>
      <c r="I405" s="2" t="str">
        <f t="shared" si="35"/>
        <v>noviembre</v>
      </c>
      <c r="J405" s="2">
        <f t="shared" si="36"/>
        <v>11</v>
      </c>
      <c r="K405" s="2">
        <f t="shared" si="32"/>
        <v>2026</v>
      </c>
      <c r="L405" s="2" t="str">
        <f t="shared" si="37"/>
        <v>CHEVAL BLANC MALDIVES</v>
      </c>
      <c r="M405" s="2">
        <f t="shared" si="38"/>
        <v>0</v>
      </c>
      <c r="Q405" s="3">
        <v>28228</v>
      </c>
      <c r="R405" s="5" t="s">
        <v>448</v>
      </c>
      <c r="V405" s="3">
        <v>103</v>
      </c>
      <c r="W405" s="5" t="s">
        <v>68</v>
      </c>
    </row>
    <row r="406" spans="1:23" ht="15.75" customHeight="1">
      <c r="A406" s="3">
        <v>968</v>
      </c>
      <c r="B406" s="3">
        <v>34261</v>
      </c>
      <c r="C406" s="4">
        <v>46292</v>
      </c>
      <c r="D406" s="4">
        <v>46295</v>
      </c>
      <c r="E406" s="5" t="s">
        <v>24</v>
      </c>
      <c r="F406" s="3">
        <v>570</v>
      </c>
      <c r="G406" s="6">
        <f t="shared" si="31"/>
        <v>490.2</v>
      </c>
      <c r="H406" s="7">
        <f t="shared" si="39"/>
        <v>46340</v>
      </c>
      <c r="I406" s="2" t="str">
        <f t="shared" si="35"/>
        <v>noviembre</v>
      </c>
      <c r="J406" s="2">
        <f t="shared" si="36"/>
        <v>11</v>
      </c>
      <c r="K406" s="2">
        <f t="shared" si="32"/>
        <v>2026</v>
      </c>
      <c r="L406" s="2" t="str">
        <f t="shared" si="37"/>
        <v>The Ritz Carlton Maldives</v>
      </c>
      <c r="M406" s="2">
        <f t="shared" si="38"/>
        <v>0</v>
      </c>
      <c r="Q406" s="3">
        <v>28231</v>
      </c>
      <c r="R406" s="5" t="s">
        <v>449</v>
      </c>
      <c r="V406" s="3">
        <v>104</v>
      </c>
      <c r="W406" s="5" t="s">
        <v>89</v>
      </c>
    </row>
    <row r="407" spans="1:23" ht="15.75" customHeight="1">
      <c r="A407" s="3">
        <v>970</v>
      </c>
      <c r="B407" s="3">
        <v>34251</v>
      </c>
      <c r="C407" s="4">
        <v>46001</v>
      </c>
      <c r="D407" s="4">
        <v>46005</v>
      </c>
      <c r="E407" s="5" t="s">
        <v>19</v>
      </c>
      <c r="F407" s="3">
        <v>232</v>
      </c>
      <c r="G407" s="6">
        <f t="shared" si="31"/>
        <v>232</v>
      </c>
      <c r="H407" s="7">
        <f t="shared" si="39"/>
        <v>46050</v>
      </c>
      <c r="I407" s="2" t="str">
        <f t="shared" si="35"/>
        <v>enero</v>
      </c>
      <c r="J407" s="2">
        <f t="shared" si="36"/>
        <v>1</v>
      </c>
      <c r="K407" s="2">
        <f t="shared" si="32"/>
        <v>2026</v>
      </c>
      <c r="L407" s="2" t="str">
        <f t="shared" si="37"/>
        <v>Hotel Experimental Marais</v>
      </c>
      <c r="M407" s="2">
        <f t="shared" si="38"/>
        <v>0</v>
      </c>
      <c r="Q407" s="3">
        <v>28232</v>
      </c>
      <c r="R407" s="5" t="s">
        <v>450</v>
      </c>
      <c r="V407" s="3">
        <v>104</v>
      </c>
      <c r="W407" s="5" t="s">
        <v>89</v>
      </c>
    </row>
    <row r="408" spans="1:23" ht="15.75" customHeight="1">
      <c r="A408" s="3">
        <v>972</v>
      </c>
      <c r="B408" s="3">
        <v>24006</v>
      </c>
      <c r="C408" s="4">
        <v>46043</v>
      </c>
      <c r="D408" s="4">
        <v>46045</v>
      </c>
      <c r="E408" s="5" t="s">
        <v>28</v>
      </c>
      <c r="F408" s="3">
        <v>165</v>
      </c>
      <c r="G408" s="6">
        <f t="shared" si="31"/>
        <v>189.74999999999997</v>
      </c>
      <c r="H408" s="7">
        <f t="shared" si="39"/>
        <v>46090</v>
      </c>
      <c r="I408" s="2" t="str">
        <f t="shared" si="35"/>
        <v>marzo</v>
      </c>
      <c r="J408" s="2">
        <f t="shared" si="36"/>
        <v>3</v>
      </c>
      <c r="K408" s="2">
        <f t="shared" si="32"/>
        <v>2026</v>
      </c>
      <c r="L408" s="2" t="str">
        <f t="shared" si="37"/>
        <v>ESTELLE MANOR</v>
      </c>
      <c r="M408" s="2">
        <f t="shared" si="38"/>
        <v>0</v>
      </c>
      <c r="Q408" s="3">
        <v>28236</v>
      </c>
      <c r="R408" s="5" t="s">
        <v>451</v>
      </c>
      <c r="V408" s="3">
        <v>104</v>
      </c>
      <c r="W408" s="5" t="s">
        <v>89</v>
      </c>
    </row>
    <row r="409" spans="1:23" ht="15.75" customHeight="1">
      <c r="A409" s="3">
        <v>973</v>
      </c>
      <c r="B409" s="3">
        <v>29688</v>
      </c>
      <c r="C409" s="4">
        <v>46040</v>
      </c>
      <c r="D409" s="4">
        <v>46043</v>
      </c>
      <c r="E409" s="5" t="s">
        <v>19</v>
      </c>
      <c r="F409" s="3">
        <v>242.24</v>
      </c>
      <c r="G409" s="6">
        <f t="shared" si="31"/>
        <v>242.24</v>
      </c>
      <c r="H409" s="7">
        <f t="shared" si="39"/>
        <v>46088</v>
      </c>
      <c r="I409" s="2" t="str">
        <f t="shared" si="35"/>
        <v>marzo</v>
      </c>
      <c r="J409" s="2">
        <f t="shared" si="36"/>
        <v>3</v>
      </c>
      <c r="K409" s="2">
        <f t="shared" si="32"/>
        <v>2026</v>
      </c>
      <c r="L409" s="2" t="str">
        <f t="shared" si="37"/>
        <v>TABLET HOTELS</v>
      </c>
      <c r="M409" s="2">
        <f t="shared" si="38"/>
        <v>0</v>
      </c>
      <c r="Q409" s="3">
        <v>28243</v>
      </c>
      <c r="R409" s="5" t="s">
        <v>452</v>
      </c>
      <c r="V409" s="3">
        <v>104</v>
      </c>
      <c r="W409" s="5" t="s">
        <v>89</v>
      </c>
    </row>
    <row r="410" spans="1:23" ht="15.75" customHeight="1">
      <c r="A410" s="3">
        <v>975</v>
      </c>
      <c r="B410" s="3">
        <v>34260</v>
      </c>
      <c r="C410" s="4">
        <v>46032</v>
      </c>
      <c r="D410" s="4">
        <v>46033</v>
      </c>
      <c r="E410" s="5" t="s">
        <v>34</v>
      </c>
      <c r="F410" s="3">
        <v>1065.71</v>
      </c>
      <c r="G410" s="6">
        <f t="shared" si="31"/>
        <v>51.15408</v>
      </c>
      <c r="H410" s="7">
        <f t="shared" si="39"/>
        <v>46078</v>
      </c>
      <c r="I410" s="2" t="str">
        <f t="shared" si="35"/>
        <v>febrero</v>
      </c>
      <c r="J410" s="2">
        <f t="shared" si="36"/>
        <v>2</v>
      </c>
      <c r="K410" s="2">
        <f t="shared" si="32"/>
        <v>2026</v>
      </c>
      <c r="L410" s="2" t="str">
        <f t="shared" si="37"/>
        <v>Amomoxtli</v>
      </c>
      <c r="M410" s="2">
        <f t="shared" si="38"/>
        <v>0</v>
      </c>
      <c r="Q410" s="3">
        <v>28259</v>
      </c>
      <c r="R410" s="14" t="s">
        <v>453</v>
      </c>
      <c r="V410" s="3">
        <v>105</v>
      </c>
      <c r="W410" s="5" t="s">
        <v>68</v>
      </c>
    </row>
    <row r="411" spans="1:23" ht="15.75" customHeight="1">
      <c r="A411" s="3">
        <v>977</v>
      </c>
      <c r="B411" s="3">
        <v>33565</v>
      </c>
      <c r="C411" s="4">
        <v>46043</v>
      </c>
      <c r="D411" s="4">
        <v>46045</v>
      </c>
      <c r="E411" s="5" t="s">
        <v>24</v>
      </c>
      <c r="F411" s="3">
        <v>150</v>
      </c>
      <c r="G411" s="6">
        <f t="shared" si="31"/>
        <v>129</v>
      </c>
      <c r="H411" s="7">
        <f t="shared" si="39"/>
        <v>46090</v>
      </c>
      <c r="I411" s="2" t="str">
        <f t="shared" si="35"/>
        <v>marzo</v>
      </c>
      <c r="J411" s="2">
        <f t="shared" si="36"/>
        <v>3</v>
      </c>
      <c r="K411" s="2">
        <f t="shared" si="32"/>
        <v>2026</v>
      </c>
      <c r="L411" s="2" t="str">
        <f t="shared" si="37"/>
        <v>AC HOTEL TOKYO GINZA</v>
      </c>
      <c r="M411" s="2">
        <f t="shared" si="38"/>
        <v>0</v>
      </c>
      <c r="Q411" s="3">
        <v>28273</v>
      </c>
      <c r="R411" s="5" t="s">
        <v>454</v>
      </c>
      <c r="V411" s="3">
        <v>106</v>
      </c>
      <c r="W411" s="5" t="s">
        <v>89</v>
      </c>
    </row>
    <row r="412" spans="1:23" ht="15.75" customHeight="1">
      <c r="A412" s="3">
        <v>979</v>
      </c>
      <c r="B412" s="3">
        <v>31465</v>
      </c>
      <c r="C412" s="4">
        <v>46000</v>
      </c>
      <c r="D412" s="4">
        <v>46003</v>
      </c>
      <c r="E412" s="5" t="s">
        <v>24</v>
      </c>
      <c r="F412" s="3">
        <v>252.3</v>
      </c>
      <c r="G412" s="6">
        <f t="shared" si="31"/>
        <v>216.97800000000001</v>
      </c>
      <c r="H412" s="7">
        <f t="shared" si="39"/>
        <v>46048</v>
      </c>
      <c r="I412" s="2" t="str">
        <f t="shared" si="35"/>
        <v>enero</v>
      </c>
      <c r="J412" s="2">
        <f t="shared" si="36"/>
        <v>1</v>
      </c>
      <c r="K412" s="2">
        <f t="shared" si="32"/>
        <v>2026</v>
      </c>
      <c r="L412" s="2" t="str">
        <f t="shared" si="37"/>
        <v>ROCCO FORTE HOTEL DE RUSSIE</v>
      </c>
      <c r="M412" s="2">
        <f t="shared" si="38"/>
        <v>0</v>
      </c>
      <c r="Q412" s="3">
        <v>28282</v>
      </c>
      <c r="R412" s="5" t="s">
        <v>455</v>
      </c>
      <c r="V412" s="3">
        <v>107</v>
      </c>
      <c r="W412" s="5" t="s">
        <v>58</v>
      </c>
    </row>
    <row r="413" spans="1:23" ht="15.75" customHeight="1">
      <c r="A413" s="3">
        <v>980</v>
      </c>
      <c r="B413" s="3">
        <v>25704</v>
      </c>
      <c r="C413" s="4">
        <v>46021</v>
      </c>
      <c r="D413" s="4">
        <v>46024</v>
      </c>
      <c r="E413" s="5" t="s">
        <v>24</v>
      </c>
      <c r="F413" s="3">
        <v>676.6</v>
      </c>
      <c r="G413" s="6">
        <f t="shared" si="31"/>
        <v>581.87599999999998</v>
      </c>
      <c r="H413" s="7">
        <f t="shared" si="39"/>
        <v>46069</v>
      </c>
      <c r="I413" s="2" t="str">
        <f t="shared" si="35"/>
        <v>febrero</v>
      </c>
      <c r="J413" s="2">
        <f t="shared" si="36"/>
        <v>2</v>
      </c>
      <c r="K413" s="2">
        <f t="shared" si="32"/>
        <v>2026</v>
      </c>
      <c r="L413" s="2" t="str">
        <f t="shared" si="37"/>
        <v>ROSEWOOD VIENNA</v>
      </c>
      <c r="M413" s="2">
        <f t="shared" si="38"/>
        <v>0</v>
      </c>
      <c r="Q413" s="3">
        <v>28293</v>
      </c>
      <c r="R413" s="5" t="s">
        <v>456</v>
      </c>
      <c r="V413" s="3">
        <v>107</v>
      </c>
      <c r="W413" s="5" t="s">
        <v>23</v>
      </c>
    </row>
    <row r="414" spans="1:23" ht="15.75" customHeight="1">
      <c r="A414" s="3"/>
      <c r="B414" s="3"/>
      <c r="C414" s="4"/>
      <c r="D414" s="4"/>
      <c r="E414" s="5"/>
      <c r="F414" s="3"/>
      <c r="G414" s="6">
        <f t="shared" si="31"/>
        <v>0</v>
      </c>
      <c r="H414" s="7">
        <f t="shared" si="39"/>
        <v>45</v>
      </c>
      <c r="I414" s="2" t="str">
        <f t="shared" si="35"/>
        <v>febrero</v>
      </c>
      <c r="J414" s="2">
        <f t="shared" si="36"/>
        <v>2</v>
      </c>
      <c r="K414" s="2">
        <f t="shared" si="32"/>
        <v>1900</v>
      </c>
      <c r="L414" s="2">
        <f t="shared" si="37"/>
        <v>0</v>
      </c>
      <c r="M414" s="2">
        <f t="shared" si="38"/>
        <v>0</v>
      </c>
      <c r="Q414" s="3">
        <v>28294</v>
      </c>
      <c r="R414" s="5" t="s">
        <v>457</v>
      </c>
      <c r="V414" s="3">
        <v>108</v>
      </c>
      <c r="W414" s="5" t="s">
        <v>60</v>
      </c>
    </row>
    <row r="415" spans="1:23" ht="15.75" customHeight="1">
      <c r="A415" s="3"/>
      <c r="B415" s="3"/>
      <c r="C415" s="4"/>
      <c r="D415" s="4"/>
      <c r="E415" s="5"/>
      <c r="F415" s="3"/>
      <c r="G415" s="6">
        <f t="shared" si="31"/>
        <v>0</v>
      </c>
      <c r="H415" s="7">
        <f t="shared" si="39"/>
        <v>45</v>
      </c>
      <c r="I415" s="2" t="str">
        <f t="shared" si="35"/>
        <v>febrero</v>
      </c>
      <c r="J415" s="2">
        <f t="shared" si="36"/>
        <v>2</v>
      </c>
      <c r="K415" s="2">
        <f t="shared" si="32"/>
        <v>1900</v>
      </c>
      <c r="L415" s="2">
        <f t="shared" si="37"/>
        <v>0</v>
      </c>
      <c r="M415" s="2">
        <f t="shared" si="38"/>
        <v>0</v>
      </c>
      <c r="Q415" s="3">
        <v>28300</v>
      </c>
      <c r="R415" s="5" t="s">
        <v>458</v>
      </c>
      <c r="V415" s="3">
        <v>109</v>
      </c>
      <c r="W415" s="5" t="s">
        <v>89</v>
      </c>
    </row>
    <row r="416" spans="1:23" ht="15.75" customHeight="1">
      <c r="A416" s="3"/>
      <c r="B416" s="3"/>
      <c r="C416" s="4"/>
      <c r="D416" s="4"/>
      <c r="E416" s="5"/>
      <c r="F416" s="3"/>
      <c r="G416" s="6">
        <f t="shared" si="31"/>
        <v>0</v>
      </c>
      <c r="H416" s="7">
        <f t="shared" si="39"/>
        <v>45</v>
      </c>
      <c r="I416" s="2" t="str">
        <f t="shared" si="35"/>
        <v>febrero</v>
      </c>
      <c r="J416" s="2">
        <f t="shared" si="36"/>
        <v>2</v>
      </c>
      <c r="K416" s="2">
        <f t="shared" si="32"/>
        <v>1900</v>
      </c>
      <c r="L416" s="2">
        <f t="shared" si="37"/>
        <v>0</v>
      </c>
      <c r="M416" s="2">
        <f t="shared" si="38"/>
        <v>0</v>
      </c>
      <c r="Q416" s="3">
        <v>28301</v>
      </c>
      <c r="R416" s="5" t="s">
        <v>459</v>
      </c>
      <c r="V416" s="3">
        <v>109</v>
      </c>
      <c r="W416" s="5" t="s">
        <v>58</v>
      </c>
    </row>
    <row r="417" spans="1:23" ht="15.75" customHeight="1">
      <c r="A417" s="3"/>
      <c r="B417" s="3"/>
      <c r="C417" s="4"/>
      <c r="D417" s="4"/>
      <c r="E417" s="5"/>
      <c r="F417" s="3"/>
      <c r="G417" s="6">
        <f t="shared" si="31"/>
        <v>0</v>
      </c>
      <c r="H417" s="7">
        <f t="shared" si="39"/>
        <v>45</v>
      </c>
      <c r="I417" s="2" t="str">
        <f t="shared" si="35"/>
        <v>febrero</v>
      </c>
      <c r="J417" s="2">
        <f t="shared" si="36"/>
        <v>2</v>
      </c>
      <c r="K417" s="2">
        <f t="shared" si="32"/>
        <v>1900</v>
      </c>
      <c r="L417" s="2">
        <f t="shared" si="37"/>
        <v>0</v>
      </c>
      <c r="M417" s="2">
        <f t="shared" si="38"/>
        <v>0</v>
      </c>
      <c r="Q417" s="3">
        <v>28307</v>
      </c>
      <c r="R417" s="5" t="s">
        <v>460</v>
      </c>
      <c r="V417" s="3">
        <v>109</v>
      </c>
      <c r="W417" s="5" t="s">
        <v>94</v>
      </c>
    </row>
    <row r="418" spans="1:23" ht="15.75" customHeight="1">
      <c r="A418" s="3"/>
      <c r="B418" s="3"/>
      <c r="C418" s="4"/>
      <c r="D418" s="4"/>
      <c r="E418" s="5"/>
      <c r="F418" s="3"/>
      <c r="G418" s="6">
        <f t="shared" si="31"/>
        <v>0</v>
      </c>
      <c r="H418" s="7">
        <f t="shared" si="39"/>
        <v>45</v>
      </c>
      <c r="I418" s="2" t="str">
        <f t="shared" si="35"/>
        <v>febrero</v>
      </c>
      <c r="J418" s="2">
        <f t="shared" si="36"/>
        <v>2</v>
      </c>
      <c r="K418" s="2">
        <f t="shared" si="32"/>
        <v>1900</v>
      </c>
      <c r="L418" s="2">
        <f t="shared" si="37"/>
        <v>0</v>
      </c>
      <c r="M418" s="2">
        <f t="shared" si="38"/>
        <v>0</v>
      </c>
      <c r="Q418" s="3">
        <v>28332</v>
      </c>
      <c r="R418" s="5" t="s">
        <v>461</v>
      </c>
      <c r="V418" s="3">
        <v>109</v>
      </c>
      <c r="W418" s="5" t="s">
        <v>89</v>
      </c>
    </row>
    <row r="419" spans="1:23" ht="15.75" customHeight="1">
      <c r="A419" s="3"/>
      <c r="B419" s="3"/>
      <c r="C419" s="4"/>
      <c r="D419" s="4"/>
      <c r="E419" s="5"/>
      <c r="F419" s="3"/>
      <c r="G419" s="6">
        <f t="shared" si="31"/>
        <v>0</v>
      </c>
      <c r="H419" s="7">
        <f t="shared" si="39"/>
        <v>45</v>
      </c>
      <c r="I419" s="2" t="str">
        <f t="shared" si="35"/>
        <v>febrero</v>
      </c>
      <c r="J419" s="2">
        <f t="shared" si="36"/>
        <v>2</v>
      </c>
      <c r="K419" s="2">
        <f t="shared" si="32"/>
        <v>1900</v>
      </c>
      <c r="L419" s="2">
        <f t="shared" si="37"/>
        <v>0</v>
      </c>
      <c r="M419" s="2">
        <f t="shared" si="38"/>
        <v>0</v>
      </c>
      <c r="Q419" s="3">
        <v>28335</v>
      </c>
      <c r="R419" s="5" t="s">
        <v>462</v>
      </c>
      <c r="V419" s="3">
        <v>110</v>
      </c>
      <c r="W419" s="5" t="s">
        <v>89</v>
      </c>
    </row>
    <row r="420" spans="1:23" ht="15.75" customHeight="1">
      <c r="A420" s="3"/>
      <c r="B420" s="3"/>
      <c r="C420" s="4"/>
      <c r="D420" s="4"/>
      <c r="E420" s="5"/>
      <c r="F420" s="3"/>
      <c r="G420" s="6">
        <f t="shared" si="31"/>
        <v>0</v>
      </c>
      <c r="H420" s="7">
        <f t="shared" si="39"/>
        <v>45</v>
      </c>
      <c r="I420" s="2" t="str">
        <f t="shared" si="35"/>
        <v>febrero</v>
      </c>
      <c r="J420" s="2">
        <f t="shared" si="36"/>
        <v>2</v>
      </c>
      <c r="K420" s="2">
        <f t="shared" si="32"/>
        <v>1900</v>
      </c>
      <c r="L420" s="2">
        <f t="shared" si="37"/>
        <v>0</v>
      </c>
      <c r="M420" s="2">
        <f t="shared" si="38"/>
        <v>0</v>
      </c>
      <c r="Q420" s="3">
        <v>28350</v>
      </c>
      <c r="R420" s="5" t="s">
        <v>463</v>
      </c>
      <c r="V420" s="3">
        <v>111</v>
      </c>
      <c r="W420" s="5" t="s">
        <v>89</v>
      </c>
    </row>
    <row r="421" spans="1:23" ht="15.75" customHeight="1">
      <c r="A421" s="3"/>
      <c r="B421" s="3"/>
      <c r="C421" s="4"/>
      <c r="D421" s="4"/>
      <c r="E421" s="5"/>
      <c r="F421" s="3"/>
      <c r="G421" s="6">
        <f t="shared" si="31"/>
        <v>0</v>
      </c>
      <c r="H421" s="7">
        <f t="shared" si="39"/>
        <v>45</v>
      </c>
      <c r="I421" s="2" t="str">
        <f t="shared" si="35"/>
        <v>febrero</v>
      </c>
      <c r="J421" s="2">
        <f t="shared" si="36"/>
        <v>2</v>
      </c>
      <c r="K421" s="2">
        <f t="shared" si="32"/>
        <v>1900</v>
      </c>
      <c r="L421" s="2">
        <f t="shared" si="37"/>
        <v>0</v>
      </c>
      <c r="M421" s="2">
        <f t="shared" si="38"/>
        <v>0</v>
      </c>
      <c r="Q421" s="3">
        <v>28361</v>
      </c>
      <c r="R421" s="5" t="s">
        <v>464</v>
      </c>
      <c r="V421" s="3">
        <v>111</v>
      </c>
      <c r="W421" s="5" t="s">
        <v>217</v>
      </c>
    </row>
    <row r="422" spans="1:23" ht="15.75" customHeight="1">
      <c r="A422" s="5"/>
      <c r="B422" s="5"/>
      <c r="C422" s="15"/>
      <c r="D422" s="15"/>
      <c r="E422" s="5"/>
      <c r="F422" s="5"/>
      <c r="G422" s="6">
        <f t="shared" si="31"/>
        <v>0</v>
      </c>
      <c r="H422" s="7">
        <f t="shared" si="39"/>
        <v>45</v>
      </c>
      <c r="I422" s="2" t="str">
        <f t="shared" si="35"/>
        <v>febrero</v>
      </c>
      <c r="J422" s="2">
        <f t="shared" si="36"/>
        <v>2</v>
      </c>
      <c r="K422" s="2">
        <f t="shared" si="32"/>
        <v>1900</v>
      </c>
      <c r="L422" s="2">
        <f t="shared" si="37"/>
        <v>0</v>
      </c>
      <c r="M422" s="2">
        <f t="shared" si="38"/>
        <v>0</v>
      </c>
      <c r="Q422" s="3">
        <v>28389</v>
      </c>
      <c r="R422" s="5" t="s">
        <v>465</v>
      </c>
      <c r="V422" s="3">
        <v>111</v>
      </c>
      <c r="W422" s="5" t="s">
        <v>23</v>
      </c>
    </row>
    <row r="423" spans="1:23" ht="15.75" customHeight="1">
      <c r="A423" s="5"/>
      <c r="B423" s="5"/>
      <c r="C423" s="15"/>
      <c r="D423" s="15"/>
      <c r="E423" s="5"/>
      <c r="F423" s="5"/>
      <c r="G423" s="6">
        <f t="shared" si="31"/>
        <v>0</v>
      </c>
      <c r="H423" s="7">
        <f t="shared" si="39"/>
        <v>45</v>
      </c>
      <c r="I423" s="2" t="str">
        <f t="shared" si="35"/>
        <v>febrero</v>
      </c>
      <c r="J423" s="2">
        <f t="shared" si="36"/>
        <v>2</v>
      </c>
      <c r="K423" s="2">
        <f t="shared" si="32"/>
        <v>1900</v>
      </c>
      <c r="L423" s="2">
        <f t="shared" si="37"/>
        <v>0</v>
      </c>
      <c r="M423" s="2">
        <f t="shared" si="38"/>
        <v>0</v>
      </c>
      <c r="Q423" s="3">
        <v>28391</v>
      </c>
      <c r="R423" s="5" t="s">
        <v>466</v>
      </c>
      <c r="V423" s="3">
        <v>111</v>
      </c>
      <c r="W423" s="5" t="s">
        <v>23</v>
      </c>
    </row>
    <row r="424" spans="1:23" ht="15.75" customHeight="1">
      <c r="A424" s="3"/>
      <c r="C424" s="7"/>
      <c r="D424" s="7"/>
      <c r="E424" s="5"/>
      <c r="G424" s="6">
        <f t="shared" si="31"/>
        <v>0</v>
      </c>
      <c r="H424" s="7">
        <f t="shared" si="39"/>
        <v>45</v>
      </c>
      <c r="I424" s="2" t="str">
        <f t="shared" si="35"/>
        <v>febrero</v>
      </c>
      <c r="J424" s="2">
        <f t="shared" si="36"/>
        <v>2</v>
      </c>
      <c r="K424" s="2">
        <f t="shared" si="32"/>
        <v>1900</v>
      </c>
      <c r="L424" s="2">
        <f t="shared" si="37"/>
        <v>0</v>
      </c>
      <c r="M424" s="2">
        <f t="shared" si="38"/>
        <v>0</v>
      </c>
      <c r="Q424" s="3">
        <v>28394</v>
      </c>
      <c r="R424" s="5" t="s">
        <v>467</v>
      </c>
      <c r="V424" s="3">
        <v>112</v>
      </c>
      <c r="W424" s="5" t="s">
        <v>89</v>
      </c>
    </row>
    <row r="425" spans="1:23" ht="15.75" customHeight="1">
      <c r="A425" s="3"/>
      <c r="C425" s="7"/>
      <c r="D425" s="7"/>
      <c r="E425" s="5"/>
      <c r="G425" s="6">
        <f t="shared" si="31"/>
        <v>0</v>
      </c>
      <c r="H425" s="7">
        <f t="shared" si="39"/>
        <v>45</v>
      </c>
      <c r="I425" s="2" t="str">
        <f t="shared" si="35"/>
        <v>febrero</v>
      </c>
      <c r="J425" s="2">
        <f t="shared" si="36"/>
        <v>2</v>
      </c>
      <c r="K425" s="2">
        <f t="shared" si="32"/>
        <v>1900</v>
      </c>
      <c r="L425" s="2">
        <f t="shared" si="37"/>
        <v>0</v>
      </c>
      <c r="M425" s="2">
        <f t="shared" si="38"/>
        <v>0</v>
      </c>
      <c r="Q425" s="3">
        <v>28420</v>
      </c>
      <c r="R425" s="5" t="s">
        <v>468</v>
      </c>
      <c r="V425" s="3">
        <v>113</v>
      </c>
      <c r="W425" s="5" t="s">
        <v>158</v>
      </c>
    </row>
    <row r="426" spans="1:23" ht="15.75" customHeight="1">
      <c r="A426" s="3"/>
      <c r="C426" s="7"/>
      <c r="D426" s="7"/>
      <c r="E426" s="5"/>
      <c r="G426" s="6">
        <f t="shared" si="31"/>
        <v>0</v>
      </c>
      <c r="H426" s="7">
        <f t="shared" si="39"/>
        <v>45</v>
      </c>
      <c r="I426" s="2" t="str">
        <f t="shared" si="35"/>
        <v>febrero</v>
      </c>
      <c r="J426" s="2">
        <f t="shared" si="36"/>
        <v>2</v>
      </c>
      <c r="K426" s="2">
        <f t="shared" si="32"/>
        <v>1900</v>
      </c>
      <c r="L426" s="2">
        <f t="shared" si="37"/>
        <v>0</v>
      </c>
      <c r="M426" s="2">
        <f t="shared" si="38"/>
        <v>0</v>
      </c>
      <c r="Q426" s="3">
        <v>28454</v>
      </c>
      <c r="R426" s="5" t="s">
        <v>469</v>
      </c>
      <c r="V426" s="3">
        <v>113</v>
      </c>
      <c r="W426" s="5" t="s">
        <v>266</v>
      </c>
    </row>
    <row r="427" spans="1:23" ht="15.75" customHeight="1">
      <c r="A427" s="3"/>
      <c r="C427" s="7"/>
      <c r="D427" s="7"/>
      <c r="E427" s="5"/>
      <c r="G427" s="6">
        <f t="shared" si="31"/>
        <v>0</v>
      </c>
      <c r="H427" s="7">
        <f t="shared" si="39"/>
        <v>45</v>
      </c>
      <c r="I427" s="2" t="str">
        <f t="shared" si="35"/>
        <v>febrero</v>
      </c>
      <c r="J427" s="2">
        <f t="shared" si="36"/>
        <v>2</v>
      </c>
      <c r="K427" s="2">
        <f t="shared" si="32"/>
        <v>1900</v>
      </c>
      <c r="L427" s="2">
        <f t="shared" si="37"/>
        <v>0</v>
      </c>
      <c r="M427" s="2">
        <f t="shared" si="38"/>
        <v>0</v>
      </c>
      <c r="Q427" s="3">
        <v>28490</v>
      </c>
      <c r="R427" s="5" t="s">
        <v>470</v>
      </c>
      <c r="V427" s="3">
        <v>113</v>
      </c>
      <c r="W427" s="5" t="s">
        <v>23</v>
      </c>
    </row>
    <row r="428" spans="1:23" ht="15.75" customHeight="1">
      <c r="A428" s="3"/>
      <c r="C428" s="7"/>
      <c r="D428" s="7"/>
      <c r="E428" s="5"/>
      <c r="G428" s="6">
        <f t="shared" si="31"/>
        <v>0</v>
      </c>
      <c r="H428" s="7">
        <f t="shared" si="39"/>
        <v>45</v>
      </c>
      <c r="I428" s="2" t="str">
        <f t="shared" si="35"/>
        <v>febrero</v>
      </c>
      <c r="J428" s="2">
        <f t="shared" si="36"/>
        <v>2</v>
      </c>
      <c r="K428" s="2">
        <f t="shared" si="32"/>
        <v>1900</v>
      </c>
      <c r="L428" s="2">
        <f t="shared" si="37"/>
        <v>0</v>
      </c>
      <c r="M428" s="2">
        <f t="shared" si="38"/>
        <v>0</v>
      </c>
      <c r="Q428" s="3">
        <v>28491</v>
      </c>
      <c r="R428" s="5" t="s">
        <v>471</v>
      </c>
      <c r="V428" s="3">
        <v>114</v>
      </c>
      <c r="W428" s="5" t="s">
        <v>68</v>
      </c>
    </row>
    <row r="429" spans="1:23" ht="15.75" customHeight="1">
      <c r="A429" s="3"/>
      <c r="C429" s="7"/>
      <c r="D429" s="7"/>
      <c r="E429" s="5"/>
      <c r="G429" s="6">
        <f t="shared" si="31"/>
        <v>0</v>
      </c>
      <c r="H429" s="7">
        <f t="shared" si="39"/>
        <v>45</v>
      </c>
      <c r="I429" s="2" t="str">
        <f t="shared" si="35"/>
        <v>febrero</v>
      </c>
      <c r="J429" s="2">
        <f t="shared" si="36"/>
        <v>2</v>
      </c>
      <c r="K429" s="2">
        <f t="shared" si="32"/>
        <v>1900</v>
      </c>
      <c r="L429" s="2">
        <f t="shared" si="37"/>
        <v>0</v>
      </c>
      <c r="M429" s="2">
        <f t="shared" si="38"/>
        <v>0</v>
      </c>
      <c r="Q429" s="3">
        <v>28494</v>
      </c>
      <c r="R429" s="5" t="s">
        <v>472</v>
      </c>
      <c r="V429" s="3">
        <v>115</v>
      </c>
      <c r="W429" s="5" t="s">
        <v>302</v>
      </c>
    </row>
    <row r="430" spans="1:23" ht="15.75" customHeight="1">
      <c r="A430" s="3"/>
      <c r="C430" s="7"/>
      <c r="D430" s="7"/>
      <c r="E430" s="5"/>
      <c r="G430" s="6">
        <f t="shared" si="31"/>
        <v>0</v>
      </c>
      <c r="H430" s="7">
        <f t="shared" si="39"/>
        <v>45</v>
      </c>
      <c r="I430" s="2" t="str">
        <f t="shared" si="35"/>
        <v>febrero</v>
      </c>
      <c r="J430" s="2">
        <f t="shared" si="36"/>
        <v>2</v>
      </c>
      <c r="K430" s="2">
        <f t="shared" si="32"/>
        <v>1900</v>
      </c>
      <c r="L430" s="2">
        <f t="shared" si="37"/>
        <v>0</v>
      </c>
      <c r="M430" s="2">
        <f t="shared" si="38"/>
        <v>0</v>
      </c>
      <c r="Q430" s="3">
        <v>28495</v>
      </c>
      <c r="R430" s="5" t="s">
        <v>473</v>
      </c>
      <c r="V430" s="3">
        <v>115</v>
      </c>
      <c r="W430" s="5" t="s">
        <v>204</v>
      </c>
    </row>
    <row r="431" spans="1:23" ht="15.75" customHeight="1">
      <c r="A431" s="3"/>
      <c r="C431" s="7"/>
      <c r="D431" s="7"/>
      <c r="E431" s="5"/>
      <c r="G431" s="6">
        <f t="shared" si="31"/>
        <v>0</v>
      </c>
      <c r="H431" s="7">
        <f t="shared" si="39"/>
        <v>45</v>
      </c>
      <c r="I431" s="2" t="str">
        <f t="shared" si="35"/>
        <v>febrero</v>
      </c>
      <c r="J431" s="2">
        <f t="shared" si="36"/>
        <v>2</v>
      </c>
      <c r="K431" s="2">
        <f t="shared" si="32"/>
        <v>1900</v>
      </c>
      <c r="L431" s="2">
        <f t="shared" si="37"/>
        <v>0</v>
      </c>
      <c r="M431" s="2">
        <f t="shared" si="38"/>
        <v>0</v>
      </c>
      <c r="Q431" s="3">
        <v>28496</v>
      </c>
      <c r="R431" s="5" t="s">
        <v>474</v>
      </c>
      <c r="V431" s="3">
        <v>115</v>
      </c>
      <c r="W431" s="5" t="s">
        <v>89</v>
      </c>
    </row>
    <row r="432" spans="1:23" ht="15.75" customHeight="1">
      <c r="A432" s="3"/>
      <c r="C432" s="7"/>
      <c r="D432" s="7"/>
      <c r="E432" s="5"/>
      <c r="G432" s="6">
        <f t="shared" si="31"/>
        <v>0</v>
      </c>
      <c r="H432" s="7">
        <f t="shared" si="39"/>
        <v>45</v>
      </c>
      <c r="I432" s="2" t="str">
        <f t="shared" si="35"/>
        <v>febrero</v>
      </c>
      <c r="J432" s="2">
        <f t="shared" si="36"/>
        <v>2</v>
      </c>
      <c r="K432" s="2">
        <f t="shared" si="32"/>
        <v>1900</v>
      </c>
      <c r="L432" s="2">
        <f t="shared" si="37"/>
        <v>0</v>
      </c>
      <c r="M432" s="2">
        <f t="shared" si="38"/>
        <v>0</v>
      </c>
      <c r="Q432" s="3">
        <v>28497</v>
      </c>
      <c r="R432" s="5" t="s">
        <v>475</v>
      </c>
      <c r="V432" s="3">
        <v>115</v>
      </c>
      <c r="W432" s="5" t="s">
        <v>23</v>
      </c>
    </row>
    <row r="433" spans="1:23" ht="15.75" customHeight="1">
      <c r="A433" s="3"/>
      <c r="C433" s="7"/>
      <c r="D433" s="7"/>
      <c r="E433" s="5"/>
      <c r="H433" s="7"/>
      <c r="Q433" s="3">
        <v>28512</v>
      </c>
      <c r="R433" s="5" t="s">
        <v>476</v>
      </c>
      <c r="V433" s="3">
        <v>115</v>
      </c>
      <c r="W433" s="5" t="s">
        <v>23</v>
      </c>
    </row>
    <row r="434" spans="1:23" ht="15.75" customHeight="1">
      <c r="A434" s="3"/>
      <c r="C434" s="7"/>
      <c r="D434" s="7"/>
      <c r="E434" s="5"/>
      <c r="H434" s="7"/>
      <c r="Q434" s="3">
        <v>28514</v>
      </c>
      <c r="R434" s="5" t="s">
        <v>477</v>
      </c>
      <c r="V434" s="3">
        <v>115</v>
      </c>
      <c r="W434" s="5" t="s">
        <v>266</v>
      </c>
    </row>
    <row r="435" spans="1:23" ht="15.75" customHeight="1">
      <c r="A435" s="3"/>
      <c r="C435" s="7"/>
      <c r="D435" s="7"/>
      <c r="E435" s="5"/>
      <c r="H435" s="7"/>
      <c r="Q435" s="3">
        <v>28527</v>
      </c>
      <c r="R435" s="5" t="s">
        <v>478</v>
      </c>
      <c r="V435" s="3">
        <v>115</v>
      </c>
      <c r="W435" s="5" t="s">
        <v>479</v>
      </c>
    </row>
    <row r="436" spans="1:23" ht="15.75" customHeight="1">
      <c r="A436" s="3"/>
      <c r="C436" s="7"/>
      <c r="D436" s="7"/>
      <c r="E436" s="5"/>
      <c r="H436" s="7"/>
      <c r="Q436" s="3">
        <v>28529</v>
      </c>
      <c r="R436" s="5" t="s">
        <v>480</v>
      </c>
      <c r="V436" s="3">
        <v>115</v>
      </c>
      <c r="W436" s="5" t="s">
        <v>481</v>
      </c>
    </row>
    <row r="437" spans="1:23" ht="15.75" customHeight="1">
      <c r="A437" s="3"/>
      <c r="C437" s="7"/>
      <c r="D437" s="7"/>
      <c r="E437" s="5"/>
      <c r="H437" s="7"/>
      <c r="Q437" s="3">
        <v>28531</v>
      </c>
      <c r="R437" s="5" t="s">
        <v>482</v>
      </c>
      <c r="V437" s="3">
        <v>115</v>
      </c>
      <c r="W437" s="5" t="s">
        <v>89</v>
      </c>
    </row>
    <row r="438" spans="1:23" ht="15.75" customHeight="1">
      <c r="A438" s="3"/>
      <c r="C438" s="7"/>
      <c r="D438" s="7"/>
      <c r="E438" s="5"/>
      <c r="H438" s="7"/>
      <c r="Q438" s="3">
        <v>28539</v>
      </c>
      <c r="R438" s="5" t="s">
        <v>483</v>
      </c>
      <c r="V438" s="3">
        <v>115</v>
      </c>
      <c r="W438" s="5" t="s">
        <v>302</v>
      </c>
    </row>
    <row r="439" spans="1:23" ht="15.75" customHeight="1">
      <c r="A439" s="3"/>
      <c r="C439" s="7"/>
      <c r="D439" s="7"/>
      <c r="E439" s="5"/>
      <c r="H439" s="7"/>
      <c r="Q439" s="3">
        <v>28546</v>
      </c>
      <c r="R439" s="5" t="s">
        <v>484</v>
      </c>
      <c r="V439" s="3">
        <v>115</v>
      </c>
      <c r="W439" s="5" t="s">
        <v>266</v>
      </c>
    </row>
    <row r="440" spans="1:23" ht="15.75" customHeight="1">
      <c r="A440" s="3"/>
      <c r="C440" s="7"/>
      <c r="D440" s="7"/>
      <c r="E440" s="5"/>
      <c r="H440" s="7"/>
      <c r="Q440" s="3">
        <v>28570</v>
      </c>
      <c r="R440" s="5" t="s">
        <v>485</v>
      </c>
      <c r="V440" s="3">
        <v>115</v>
      </c>
      <c r="W440" s="5" t="s">
        <v>23</v>
      </c>
    </row>
    <row r="441" spans="1:23" ht="15.75" customHeight="1">
      <c r="C441" s="7"/>
      <c r="D441" s="7"/>
      <c r="H441" s="7"/>
      <c r="Q441" s="3">
        <v>28604</v>
      </c>
      <c r="R441" s="5" t="s">
        <v>486</v>
      </c>
      <c r="V441" s="3">
        <v>115</v>
      </c>
      <c r="W441" s="5" t="s">
        <v>23</v>
      </c>
    </row>
    <row r="442" spans="1:23" ht="15.75" customHeight="1">
      <c r="C442" s="7"/>
      <c r="D442" s="7"/>
      <c r="H442" s="7"/>
      <c r="Q442" s="3">
        <v>28656</v>
      </c>
      <c r="R442" s="5" t="s">
        <v>487</v>
      </c>
      <c r="V442" s="3">
        <v>115</v>
      </c>
      <c r="W442" s="5" t="s">
        <v>23</v>
      </c>
    </row>
    <row r="443" spans="1:23" ht="15.75" customHeight="1">
      <c r="C443" s="7"/>
      <c r="D443" s="7"/>
      <c r="H443" s="7"/>
      <c r="Q443" s="3">
        <v>28661</v>
      </c>
      <c r="R443" s="5" t="s">
        <v>488</v>
      </c>
      <c r="V443" s="3">
        <v>115</v>
      </c>
      <c r="W443" s="5" t="s">
        <v>89</v>
      </c>
    </row>
    <row r="444" spans="1:23" ht="15.75" customHeight="1">
      <c r="C444" s="7"/>
      <c r="D444" s="7"/>
      <c r="H444" s="7"/>
      <c r="Q444" s="3">
        <v>28695</v>
      </c>
      <c r="R444" s="5" t="s">
        <v>489</v>
      </c>
      <c r="V444" s="3">
        <v>115</v>
      </c>
      <c r="W444" s="5" t="s">
        <v>23</v>
      </c>
    </row>
    <row r="445" spans="1:23" ht="15.75" customHeight="1">
      <c r="C445" s="7"/>
      <c r="D445" s="7"/>
      <c r="H445" s="7"/>
      <c r="Q445" s="3">
        <v>28705</v>
      </c>
      <c r="R445" s="5" t="s">
        <v>490</v>
      </c>
      <c r="V445" s="3">
        <v>115</v>
      </c>
      <c r="W445" s="5" t="s">
        <v>68</v>
      </c>
    </row>
    <row r="446" spans="1:23" ht="15.75" customHeight="1">
      <c r="C446" s="7"/>
      <c r="D446" s="7"/>
      <c r="H446" s="7"/>
      <c r="Q446" s="3">
        <v>28730</v>
      </c>
      <c r="R446" s="5" t="s">
        <v>491</v>
      </c>
      <c r="V446" s="3">
        <v>115</v>
      </c>
      <c r="W446" s="5" t="s">
        <v>168</v>
      </c>
    </row>
    <row r="447" spans="1:23" ht="15.75" customHeight="1">
      <c r="C447" s="7"/>
      <c r="D447" s="7"/>
      <c r="H447" s="7"/>
      <c r="Q447" s="3">
        <v>28731</v>
      </c>
      <c r="R447" s="5" t="s">
        <v>492</v>
      </c>
      <c r="V447" s="3">
        <v>115</v>
      </c>
      <c r="W447" s="5" t="s">
        <v>23</v>
      </c>
    </row>
    <row r="448" spans="1:23" ht="15.75" customHeight="1">
      <c r="C448" s="7"/>
      <c r="D448" s="7"/>
      <c r="H448" s="7"/>
      <c r="Q448" s="3">
        <v>28733</v>
      </c>
      <c r="R448" s="5" t="s">
        <v>493</v>
      </c>
      <c r="V448" s="3">
        <v>115</v>
      </c>
      <c r="W448" s="5" t="s">
        <v>494</v>
      </c>
    </row>
    <row r="449" spans="3:23" ht="15.75" customHeight="1">
      <c r="C449" s="7"/>
      <c r="D449" s="7"/>
      <c r="H449" s="7"/>
      <c r="Q449" s="3">
        <v>28734</v>
      </c>
      <c r="R449" s="5" t="s">
        <v>495</v>
      </c>
      <c r="V449" s="3">
        <v>115</v>
      </c>
      <c r="W449" s="5" t="s">
        <v>23</v>
      </c>
    </row>
    <row r="450" spans="3:23" ht="15.75" customHeight="1">
      <c r="C450" s="7"/>
      <c r="D450" s="7"/>
      <c r="H450" s="7"/>
      <c r="Q450" s="3">
        <v>28747</v>
      </c>
      <c r="R450" s="5" t="s">
        <v>496</v>
      </c>
      <c r="V450" s="3">
        <v>115</v>
      </c>
      <c r="W450" s="5" t="s">
        <v>89</v>
      </c>
    </row>
    <row r="451" spans="3:23" ht="15.75" customHeight="1">
      <c r="C451" s="7"/>
      <c r="D451" s="7"/>
      <c r="H451" s="7"/>
      <c r="Q451" s="3">
        <v>28748</v>
      </c>
      <c r="R451" s="5" t="s">
        <v>497</v>
      </c>
      <c r="V451" s="3">
        <v>115</v>
      </c>
      <c r="W451" s="5" t="s">
        <v>498</v>
      </c>
    </row>
    <row r="452" spans="3:23" ht="15.75" customHeight="1">
      <c r="C452" s="7"/>
      <c r="D452" s="7"/>
      <c r="H452" s="7"/>
      <c r="Q452" s="3">
        <v>28749</v>
      </c>
      <c r="R452" s="5" t="s">
        <v>499</v>
      </c>
      <c r="V452" s="3">
        <v>115</v>
      </c>
      <c r="W452" s="5" t="s">
        <v>494</v>
      </c>
    </row>
    <row r="453" spans="3:23" ht="15.75" customHeight="1">
      <c r="C453" s="7"/>
      <c r="D453" s="7"/>
      <c r="H453" s="7"/>
      <c r="Q453" s="3">
        <v>28751</v>
      </c>
      <c r="R453" s="5" t="s">
        <v>500</v>
      </c>
      <c r="V453" s="3">
        <v>115</v>
      </c>
      <c r="W453" s="5" t="s">
        <v>494</v>
      </c>
    </row>
    <row r="454" spans="3:23" ht="15.75" customHeight="1">
      <c r="C454" s="7"/>
      <c r="D454" s="7"/>
      <c r="H454" s="7"/>
      <c r="Q454" s="3">
        <v>28752</v>
      </c>
      <c r="R454" s="5" t="s">
        <v>501</v>
      </c>
      <c r="V454" s="3">
        <v>115</v>
      </c>
      <c r="W454" s="5" t="s">
        <v>502</v>
      </c>
    </row>
    <row r="455" spans="3:23" ht="15.75" customHeight="1">
      <c r="C455" s="7"/>
      <c r="D455" s="7"/>
      <c r="H455" s="7"/>
      <c r="Q455" s="3">
        <v>28761</v>
      </c>
      <c r="R455" s="5" t="s">
        <v>503</v>
      </c>
      <c r="V455" s="3">
        <v>115</v>
      </c>
      <c r="W455" s="5" t="s">
        <v>23</v>
      </c>
    </row>
    <row r="456" spans="3:23" ht="15.75" customHeight="1">
      <c r="C456" s="7"/>
      <c r="D456" s="7"/>
      <c r="H456" s="7"/>
      <c r="Q456" s="3">
        <v>28776</v>
      </c>
      <c r="R456" s="5" t="s">
        <v>504</v>
      </c>
      <c r="V456" s="3">
        <v>115</v>
      </c>
      <c r="W456" s="5" t="s">
        <v>168</v>
      </c>
    </row>
    <row r="457" spans="3:23" ht="15.75" customHeight="1">
      <c r="C457" s="7"/>
      <c r="D457" s="7"/>
      <c r="H457" s="7"/>
      <c r="Q457" s="3">
        <v>28779</v>
      </c>
      <c r="R457" s="5" t="s">
        <v>505</v>
      </c>
      <c r="V457" s="3">
        <v>115</v>
      </c>
      <c r="W457" s="5" t="s">
        <v>494</v>
      </c>
    </row>
    <row r="458" spans="3:23" ht="15.75" customHeight="1">
      <c r="C458" s="7"/>
      <c r="D458" s="7"/>
      <c r="H458" s="7"/>
      <c r="Q458" s="3">
        <v>28781</v>
      </c>
      <c r="R458" s="5" t="s">
        <v>506</v>
      </c>
      <c r="V458" s="3">
        <v>115</v>
      </c>
      <c r="W458" s="5" t="s">
        <v>89</v>
      </c>
    </row>
    <row r="459" spans="3:23" ht="15.75" customHeight="1">
      <c r="C459" s="7"/>
      <c r="D459" s="7"/>
      <c r="H459" s="7"/>
      <c r="Q459" s="3">
        <v>28783</v>
      </c>
      <c r="R459" s="5" t="s">
        <v>507</v>
      </c>
      <c r="V459" s="3">
        <v>115</v>
      </c>
      <c r="W459" s="5" t="s">
        <v>89</v>
      </c>
    </row>
    <row r="460" spans="3:23" ht="15.75" customHeight="1">
      <c r="C460" s="7"/>
      <c r="D460" s="7"/>
      <c r="H460" s="7"/>
      <c r="Q460" s="3">
        <v>28799</v>
      </c>
      <c r="R460" s="5" t="s">
        <v>508</v>
      </c>
      <c r="V460" s="3">
        <v>115</v>
      </c>
      <c r="W460" s="5" t="s">
        <v>89</v>
      </c>
    </row>
    <row r="461" spans="3:23" ht="15.75" customHeight="1">
      <c r="C461" s="7"/>
      <c r="D461" s="7"/>
      <c r="H461" s="7"/>
      <c r="Q461" s="3">
        <v>28838</v>
      </c>
      <c r="R461" s="5" t="s">
        <v>509</v>
      </c>
      <c r="V461" s="3">
        <v>115</v>
      </c>
      <c r="W461" s="5" t="s">
        <v>168</v>
      </c>
    </row>
    <row r="462" spans="3:23" ht="15.75" customHeight="1">
      <c r="C462" s="7"/>
      <c r="D462" s="7"/>
      <c r="H462" s="7"/>
      <c r="Q462" s="3">
        <v>28839</v>
      </c>
      <c r="R462" s="5" t="s">
        <v>510</v>
      </c>
      <c r="V462" s="3">
        <v>115</v>
      </c>
      <c r="W462" s="5" t="s">
        <v>68</v>
      </c>
    </row>
    <row r="463" spans="3:23" ht="15.75" customHeight="1">
      <c r="C463" s="7"/>
      <c r="D463" s="7"/>
      <c r="H463" s="7"/>
      <c r="Q463" s="3">
        <v>28849</v>
      </c>
      <c r="R463" s="5" t="s">
        <v>511</v>
      </c>
      <c r="V463" s="3">
        <v>115</v>
      </c>
      <c r="W463" s="5" t="s">
        <v>89</v>
      </c>
    </row>
    <row r="464" spans="3:23" ht="15.75" customHeight="1">
      <c r="C464" s="7"/>
      <c r="D464" s="7"/>
      <c r="H464" s="7"/>
      <c r="Q464" s="3">
        <v>28854</v>
      </c>
      <c r="R464" s="5" t="s">
        <v>512</v>
      </c>
      <c r="V464" s="3">
        <v>115</v>
      </c>
      <c r="W464" s="5" t="s">
        <v>21</v>
      </c>
    </row>
    <row r="465" spans="3:23" ht="15.75" customHeight="1">
      <c r="C465" s="7"/>
      <c r="D465" s="7"/>
      <c r="H465" s="7"/>
      <c r="Q465" s="3">
        <v>28890</v>
      </c>
      <c r="R465" s="5" t="s">
        <v>513</v>
      </c>
      <c r="V465" s="3">
        <v>115</v>
      </c>
      <c r="W465" s="5" t="s">
        <v>302</v>
      </c>
    </row>
    <row r="466" spans="3:23" ht="15.75" customHeight="1">
      <c r="C466" s="7"/>
      <c r="D466" s="7"/>
      <c r="H466" s="7"/>
      <c r="Q466" s="3">
        <v>28893</v>
      </c>
      <c r="R466" s="5" t="s">
        <v>514</v>
      </c>
      <c r="V466" s="3">
        <v>115</v>
      </c>
      <c r="W466" s="5" t="s">
        <v>204</v>
      </c>
    </row>
    <row r="467" spans="3:23" ht="15.75" customHeight="1">
      <c r="C467" s="7"/>
      <c r="D467" s="7"/>
      <c r="H467" s="7"/>
      <c r="Q467" s="3">
        <v>28894</v>
      </c>
      <c r="R467" s="5" t="s">
        <v>515</v>
      </c>
      <c r="V467" s="3">
        <v>115</v>
      </c>
      <c r="W467" s="5" t="s">
        <v>94</v>
      </c>
    </row>
    <row r="468" spans="3:23" ht="15.75" customHeight="1">
      <c r="C468" s="7"/>
      <c r="D468" s="7"/>
      <c r="H468" s="7"/>
      <c r="Q468" s="3">
        <v>28910</v>
      </c>
      <c r="R468" s="5" t="s">
        <v>516</v>
      </c>
      <c r="V468" s="3">
        <v>115</v>
      </c>
      <c r="W468" s="5" t="s">
        <v>220</v>
      </c>
    </row>
    <row r="469" spans="3:23" ht="15.75" customHeight="1">
      <c r="C469" s="7"/>
      <c r="D469" s="7"/>
      <c r="H469" s="7"/>
      <c r="Q469" s="3">
        <v>28913</v>
      </c>
      <c r="R469" s="5" t="s">
        <v>517</v>
      </c>
      <c r="V469" s="3">
        <v>115</v>
      </c>
      <c r="W469" s="5" t="s">
        <v>23</v>
      </c>
    </row>
    <row r="470" spans="3:23" ht="15.75" customHeight="1">
      <c r="C470" s="7"/>
      <c r="D470" s="7"/>
      <c r="H470" s="7"/>
      <c r="Q470" s="3">
        <v>28934</v>
      </c>
      <c r="R470" s="5" t="s">
        <v>518</v>
      </c>
      <c r="V470" s="3">
        <v>115</v>
      </c>
      <c r="W470" s="5" t="s">
        <v>89</v>
      </c>
    </row>
    <row r="471" spans="3:23" ht="15.75" customHeight="1">
      <c r="C471" s="7"/>
      <c r="D471" s="7"/>
      <c r="H471" s="7"/>
      <c r="Q471" s="3">
        <v>28936</v>
      </c>
      <c r="R471" s="5" t="s">
        <v>519</v>
      </c>
      <c r="V471" s="3">
        <v>115</v>
      </c>
      <c r="W471" s="5" t="s">
        <v>94</v>
      </c>
    </row>
    <row r="472" spans="3:23" ht="15.75" customHeight="1">
      <c r="C472" s="7"/>
      <c r="D472" s="7"/>
      <c r="H472" s="7"/>
      <c r="Q472" s="3">
        <v>28937</v>
      </c>
      <c r="R472" s="5" t="s">
        <v>520</v>
      </c>
      <c r="V472" s="3">
        <v>115</v>
      </c>
      <c r="W472" s="5" t="s">
        <v>89</v>
      </c>
    </row>
    <row r="473" spans="3:23" ht="15.75" customHeight="1">
      <c r="C473" s="7"/>
      <c r="D473" s="7"/>
      <c r="H473" s="7"/>
      <c r="Q473" s="3">
        <v>28939</v>
      </c>
      <c r="R473" s="5" t="s">
        <v>521</v>
      </c>
      <c r="V473" s="3">
        <v>115</v>
      </c>
      <c r="W473" s="5" t="s">
        <v>494</v>
      </c>
    </row>
    <row r="474" spans="3:23" ht="15.75" customHeight="1">
      <c r="C474" s="7"/>
      <c r="D474" s="7"/>
      <c r="H474" s="7"/>
      <c r="Q474" s="3">
        <v>28940</v>
      </c>
      <c r="R474" s="5" t="s">
        <v>522</v>
      </c>
      <c r="V474" s="3">
        <v>115</v>
      </c>
      <c r="W474" s="5" t="s">
        <v>479</v>
      </c>
    </row>
    <row r="475" spans="3:23" ht="15.75" customHeight="1">
      <c r="C475" s="7"/>
      <c r="D475" s="7"/>
      <c r="H475" s="7"/>
      <c r="Q475" s="3">
        <v>28942</v>
      </c>
      <c r="R475" s="5" t="s">
        <v>523</v>
      </c>
      <c r="V475" s="3">
        <v>115</v>
      </c>
      <c r="W475" s="5" t="s">
        <v>204</v>
      </c>
    </row>
    <row r="476" spans="3:23" ht="15.75" customHeight="1">
      <c r="C476" s="7"/>
      <c r="D476" s="7"/>
      <c r="H476" s="7"/>
      <c r="Q476" s="3">
        <v>28943</v>
      </c>
      <c r="R476" s="5" t="s">
        <v>524</v>
      </c>
      <c r="V476" s="3">
        <v>115</v>
      </c>
      <c r="W476" s="5" t="s">
        <v>68</v>
      </c>
    </row>
    <row r="477" spans="3:23" ht="15.75" customHeight="1">
      <c r="C477" s="7"/>
      <c r="D477" s="7"/>
      <c r="H477" s="7"/>
      <c r="Q477" s="3">
        <v>28973</v>
      </c>
      <c r="R477" s="5" t="s">
        <v>525</v>
      </c>
      <c r="V477" s="3">
        <v>115</v>
      </c>
      <c r="W477" s="5" t="s">
        <v>89</v>
      </c>
    </row>
    <row r="478" spans="3:23" ht="15.75" customHeight="1">
      <c r="C478" s="7"/>
      <c r="D478" s="7"/>
      <c r="H478" s="7"/>
      <c r="Q478" s="3">
        <v>28991</v>
      </c>
      <c r="R478" s="5" t="s">
        <v>526</v>
      </c>
      <c r="V478" s="3">
        <v>115</v>
      </c>
      <c r="W478" s="5" t="s">
        <v>302</v>
      </c>
    </row>
    <row r="479" spans="3:23" ht="15.75" customHeight="1">
      <c r="C479" s="7"/>
      <c r="D479" s="7"/>
      <c r="H479" s="7"/>
      <c r="Q479" s="3">
        <v>28996</v>
      </c>
      <c r="R479" s="5" t="s">
        <v>527</v>
      </c>
      <c r="V479" s="3">
        <v>115</v>
      </c>
      <c r="W479" s="5" t="s">
        <v>217</v>
      </c>
    </row>
    <row r="480" spans="3:23" ht="15.75" customHeight="1">
      <c r="C480" s="7"/>
      <c r="D480" s="7"/>
      <c r="H480" s="7"/>
      <c r="Q480" s="3">
        <v>29006</v>
      </c>
      <c r="R480" s="5" t="s">
        <v>528</v>
      </c>
      <c r="V480" s="3">
        <v>115</v>
      </c>
      <c r="W480" s="5" t="s">
        <v>217</v>
      </c>
    </row>
    <row r="481" spans="3:23" ht="15.75" customHeight="1">
      <c r="C481" s="7"/>
      <c r="D481" s="7"/>
      <c r="H481" s="7"/>
      <c r="Q481" s="3">
        <v>29023</v>
      </c>
      <c r="R481" s="5" t="s">
        <v>529</v>
      </c>
      <c r="V481" s="3">
        <v>115</v>
      </c>
      <c r="W481" s="5" t="s">
        <v>217</v>
      </c>
    </row>
    <row r="482" spans="3:23" ht="15.75" customHeight="1">
      <c r="C482" s="7"/>
      <c r="D482" s="7"/>
      <c r="H482" s="7"/>
      <c r="Q482" s="3">
        <v>29024</v>
      </c>
      <c r="R482" s="5" t="s">
        <v>530</v>
      </c>
      <c r="V482" s="3">
        <v>115</v>
      </c>
      <c r="W482" s="5" t="s">
        <v>94</v>
      </c>
    </row>
    <row r="483" spans="3:23" ht="15.75" customHeight="1">
      <c r="C483" s="7"/>
      <c r="D483" s="7"/>
      <c r="H483" s="7"/>
      <c r="Q483" s="3">
        <v>29025</v>
      </c>
      <c r="R483" s="5" t="s">
        <v>531</v>
      </c>
      <c r="V483" s="3">
        <v>115</v>
      </c>
      <c r="W483" s="5" t="s">
        <v>68</v>
      </c>
    </row>
    <row r="484" spans="3:23" ht="15.75" customHeight="1">
      <c r="C484" s="7"/>
      <c r="D484" s="7"/>
      <c r="H484" s="7"/>
      <c r="Q484" s="3">
        <v>29026</v>
      </c>
      <c r="R484" s="5" t="s">
        <v>532</v>
      </c>
      <c r="V484" s="3">
        <v>115</v>
      </c>
      <c r="W484" s="5" t="s">
        <v>68</v>
      </c>
    </row>
    <row r="485" spans="3:23" ht="15.75" customHeight="1">
      <c r="C485" s="7"/>
      <c r="D485" s="7"/>
      <c r="H485" s="7"/>
      <c r="Q485" s="3">
        <v>29027</v>
      </c>
      <c r="R485" s="5" t="s">
        <v>533</v>
      </c>
      <c r="V485" s="3">
        <v>115</v>
      </c>
      <c r="W485" s="5" t="s">
        <v>23</v>
      </c>
    </row>
    <row r="486" spans="3:23" ht="15.75" customHeight="1">
      <c r="C486" s="7"/>
      <c r="D486" s="7"/>
      <c r="H486" s="7"/>
      <c r="Q486" s="3">
        <v>29059</v>
      </c>
      <c r="R486" s="5" t="s">
        <v>534</v>
      </c>
      <c r="V486" s="3">
        <v>115</v>
      </c>
      <c r="W486" s="5" t="s">
        <v>23</v>
      </c>
    </row>
    <row r="487" spans="3:23" ht="15.75" customHeight="1">
      <c r="C487" s="7"/>
      <c r="D487" s="7"/>
      <c r="H487" s="7"/>
      <c r="Q487" s="3">
        <v>29070</v>
      </c>
      <c r="R487" s="5" t="s">
        <v>535</v>
      </c>
      <c r="V487" s="3">
        <v>115</v>
      </c>
      <c r="W487" s="5" t="s">
        <v>80</v>
      </c>
    </row>
    <row r="488" spans="3:23" ht="15.75" customHeight="1">
      <c r="C488" s="7"/>
      <c r="D488" s="7"/>
      <c r="H488" s="7"/>
      <c r="Q488" s="3">
        <v>29071</v>
      </c>
      <c r="R488" s="5" t="s">
        <v>536</v>
      </c>
      <c r="V488" s="3">
        <v>115</v>
      </c>
      <c r="W488" s="5" t="s">
        <v>89</v>
      </c>
    </row>
    <row r="489" spans="3:23" ht="15.75" customHeight="1">
      <c r="C489" s="7"/>
      <c r="D489" s="7"/>
      <c r="H489" s="7"/>
      <c r="Q489" s="3">
        <v>29072</v>
      </c>
      <c r="R489" s="5" t="s">
        <v>537</v>
      </c>
      <c r="V489" s="3">
        <v>115</v>
      </c>
      <c r="W489" s="5" t="s">
        <v>80</v>
      </c>
    </row>
    <row r="490" spans="3:23" ht="15.75" customHeight="1">
      <c r="C490" s="7"/>
      <c r="D490" s="7"/>
      <c r="H490" s="7"/>
      <c r="Q490" s="3">
        <v>29074</v>
      </c>
      <c r="R490" s="5" t="s">
        <v>538</v>
      </c>
      <c r="V490" s="3">
        <v>115</v>
      </c>
      <c r="W490" s="5" t="s">
        <v>23</v>
      </c>
    </row>
    <row r="491" spans="3:23" ht="15.75" customHeight="1">
      <c r="C491" s="7"/>
      <c r="D491" s="7"/>
      <c r="H491" s="7"/>
      <c r="Q491" s="3">
        <v>29075</v>
      </c>
      <c r="R491" s="5" t="s">
        <v>539</v>
      </c>
      <c r="V491" s="3">
        <v>115</v>
      </c>
      <c r="W491" s="5" t="s">
        <v>217</v>
      </c>
    </row>
    <row r="492" spans="3:23" ht="15.75" customHeight="1">
      <c r="C492" s="7"/>
      <c r="D492" s="7"/>
      <c r="H492" s="7"/>
      <c r="Q492" s="3">
        <v>29081</v>
      </c>
      <c r="R492" s="5" t="s">
        <v>540</v>
      </c>
      <c r="V492" s="3">
        <v>115</v>
      </c>
      <c r="W492" s="5" t="s">
        <v>217</v>
      </c>
    </row>
    <row r="493" spans="3:23" ht="15.75" customHeight="1">
      <c r="C493" s="7"/>
      <c r="D493" s="7"/>
      <c r="H493" s="7"/>
      <c r="Q493" s="3">
        <v>29097</v>
      </c>
      <c r="R493" s="5" t="s">
        <v>541</v>
      </c>
      <c r="V493" s="3">
        <v>115</v>
      </c>
      <c r="W493" s="5" t="s">
        <v>68</v>
      </c>
    </row>
    <row r="494" spans="3:23" ht="15.75" customHeight="1">
      <c r="C494" s="7"/>
      <c r="D494" s="7"/>
      <c r="H494" s="7"/>
      <c r="Q494" s="3">
        <v>29142</v>
      </c>
      <c r="R494" s="5" t="s">
        <v>542</v>
      </c>
      <c r="V494" s="3">
        <v>115</v>
      </c>
      <c r="W494" s="5" t="s">
        <v>23</v>
      </c>
    </row>
    <row r="495" spans="3:23" ht="15.75" customHeight="1">
      <c r="C495" s="7"/>
      <c r="D495" s="7"/>
      <c r="H495" s="7"/>
      <c r="Q495" s="3">
        <v>29146</v>
      </c>
      <c r="R495" s="5" t="s">
        <v>543</v>
      </c>
      <c r="V495" s="3">
        <v>115</v>
      </c>
      <c r="W495" s="5" t="s">
        <v>502</v>
      </c>
    </row>
    <row r="496" spans="3:23" ht="15.75" customHeight="1">
      <c r="C496" s="7"/>
      <c r="D496" s="7"/>
      <c r="H496" s="7"/>
      <c r="Q496" s="3">
        <v>29147</v>
      </c>
      <c r="R496" s="5" t="s">
        <v>544</v>
      </c>
      <c r="V496" s="3">
        <v>115</v>
      </c>
      <c r="W496" s="5" t="s">
        <v>68</v>
      </c>
    </row>
    <row r="497" spans="3:23" ht="15.75" customHeight="1">
      <c r="C497" s="7"/>
      <c r="D497" s="7"/>
      <c r="H497" s="7"/>
      <c r="Q497" s="3">
        <v>29154</v>
      </c>
      <c r="R497" s="5" t="s">
        <v>545</v>
      </c>
      <c r="V497" s="3">
        <v>115</v>
      </c>
      <c r="W497" s="5" t="s">
        <v>23</v>
      </c>
    </row>
    <row r="498" spans="3:23" ht="15.75" customHeight="1">
      <c r="C498" s="7"/>
      <c r="D498" s="7"/>
      <c r="H498" s="7"/>
      <c r="Q498" s="3">
        <v>29156</v>
      </c>
      <c r="R498" s="5" t="s">
        <v>546</v>
      </c>
      <c r="V498" s="3">
        <v>115</v>
      </c>
      <c r="W498" s="5" t="s">
        <v>94</v>
      </c>
    </row>
    <row r="499" spans="3:23" ht="15.75" customHeight="1">
      <c r="C499" s="7"/>
      <c r="D499" s="7"/>
      <c r="H499" s="7"/>
      <c r="Q499" s="3">
        <v>29194</v>
      </c>
      <c r="R499" s="5" t="s">
        <v>547</v>
      </c>
      <c r="V499" s="3">
        <v>116</v>
      </c>
      <c r="W499" s="5" t="s">
        <v>89</v>
      </c>
    </row>
    <row r="500" spans="3:23" ht="15.75" customHeight="1">
      <c r="C500" s="7"/>
      <c r="D500" s="7"/>
      <c r="H500" s="7"/>
      <c r="Q500" s="3">
        <v>29196</v>
      </c>
      <c r="R500" s="5" t="s">
        <v>548</v>
      </c>
      <c r="V500" s="3">
        <v>116</v>
      </c>
      <c r="W500" s="5" t="s">
        <v>89</v>
      </c>
    </row>
    <row r="501" spans="3:23" ht="15.75" customHeight="1">
      <c r="C501" s="7"/>
      <c r="D501" s="7"/>
      <c r="H501" s="7"/>
      <c r="Q501" s="3">
        <v>29214</v>
      </c>
      <c r="R501" s="5"/>
      <c r="V501" s="3">
        <v>117</v>
      </c>
      <c r="W501" s="5" t="s">
        <v>204</v>
      </c>
    </row>
    <row r="502" spans="3:23" ht="15.75" customHeight="1">
      <c r="C502" s="7"/>
      <c r="D502" s="7"/>
      <c r="H502" s="7"/>
      <c r="Q502" s="3">
        <v>29215</v>
      </c>
      <c r="R502" s="5" t="s">
        <v>549</v>
      </c>
      <c r="V502" s="3">
        <v>117</v>
      </c>
      <c r="W502" s="5" t="s">
        <v>217</v>
      </c>
    </row>
    <row r="503" spans="3:23" ht="15.75" customHeight="1">
      <c r="C503" s="7"/>
      <c r="D503" s="7"/>
      <c r="H503" s="7"/>
      <c r="Q503" s="3">
        <v>29220</v>
      </c>
      <c r="R503" s="5" t="s">
        <v>550</v>
      </c>
      <c r="V503" s="3">
        <v>118</v>
      </c>
      <c r="W503" s="5" t="s">
        <v>89</v>
      </c>
    </row>
    <row r="504" spans="3:23" ht="15.75" customHeight="1">
      <c r="C504" s="7"/>
      <c r="D504" s="7"/>
      <c r="H504" s="7"/>
      <c r="Q504" s="3">
        <v>29251</v>
      </c>
      <c r="R504" s="5" t="s">
        <v>551</v>
      </c>
      <c r="V504" s="3">
        <v>118</v>
      </c>
      <c r="W504" s="5" t="s">
        <v>89</v>
      </c>
    </row>
    <row r="505" spans="3:23" ht="15.75" customHeight="1">
      <c r="C505" s="7"/>
      <c r="D505" s="7"/>
      <c r="H505" s="7"/>
      <c r="Q505" s="3">
        <v>29253</v>
      </c>
      <c r="R505" s="5" t="s">
        <v>552</v>
      </c>
      <c r="V505" s="3">
        <v>118</v>
      </c>
      <c r="W505" s="5" t="s">
        <v>502</v>
      </c>
    </row>
    <row r="506" spans="3:23" ht="15.75" customHeight="1">
      <c r="C506" s="7"/>
      <c r="D506" s="7"/>
      <c r="H506" s="7"/>
      <c r="Q506" s="3">
        <v>29255</v>
      </c>
      <c r="R506" s="5" t="s">
        <v>553</v>
      </c>
      <c r="V506" s="3">
        <v>118</v>
      </c>
      <c r="W506" s="5" t="s">
        <v>68</v>
      </c>
    </row>
    <row r="507" spans="3:23" ht="15.75" customHeight="1">
      <c r="C507" s="7"/>
      <c r="D507" s="7"/>
      <c r="H507" s="7"/>
      <c r="Q507" s="3">
        <v>29257</v>
      </c>
      <c r="R507" s="5" t="s">
        <v>554</v>
      </c>
      <c r="V507" s="3">
        <v>119</v>
      </c>
      <c r="W507" s="5" t="s">
        <v>302</v>
      </c>
    </row>
    <row r="508" spans="3:23" ht="15.75" customHeight="1">
      <c r="C508" s="7"/>
      <c r="D508" s="7"/>
      <c r="H508" s="7"/>
      <c r="Q508" s="3">
        <v>29292</v>
      </c>
      <c r="R508" s="5" t="s">
        <v>555</v>
      </c>
      <c r="V508" s="3">
        <v>119</v>
      </c>
      <c r="W508" s="5" t="s">
        <v>23</v>
      </c>
    </row>
    <row r="509" spans="3:23" ht="15.75" customHeight="1">
      <c r="C509" s="7"/>
      <c r="D509" s="7"/>
      <c r="H509" s="7"/>
      <c r="Q509" s="3">
        <v>29293</v>
      </c>
      <c r="R509" s="5" t="s">
        <v>556</v>
      </c>
      <c r="V509" s="3">
        <v>119</v>
      </c>
      <c r="W509" s="5" t="s">
        <v>502</v>
      </c>
    </row>
    <row r="510" spans="3:23" ht="15.75" customHeight="1">
      <c r="C510" s="7"/>
      <c r="D510" s="7"/>
      <c r="H510" s="7"/>
      <c r="Q510" s="3">
        <v>29298</v>
      </c>
      <c r="R510" s="5" t="s">
        <v>557</v>
      </c>
      <c r="V510" s="3">
        <v>119</v>
      </c>
      <c r="W510" s="5" t="s">
        <v>23</v>
      </c>
    </row>
    <row r="511" spans="3:23" ht="15.75" customHeight="1">
      <c r="C511" s="7"/>
      <c r="D511" s="7"/>
      <c r="H511" s="7"/>
      <c r="Q511" s="3">
        <v>29299</v>
      </c>
      <c r="R511" s="5" t="s">
        <v>558</v>
      </c>
      <c r="V511" s="3">
        <v>119</v>
      </c>
      <c r="W511" s="5" t="s">
        <v>60</v>
      </c>
    </row>
    <row r="512" spans="3:23" ht="15.75" customHeight="1">
      <c r="C512" s="7"/>
      <c r="D512" s="7"/>
      <c r="H512" s="7"/>
      <c r="Q512" s="3">
        <v>29300</v>
      </c>
      <c r="R512" s="5" t="s">
        <v>559</v>
      </c>
      <c r="V512" s="3">
        <v>119</v>
      </c>
      <c r="W512" s="5" t="s">
        <v>68</v>
      </c>
    </row>
    <row r="513" spans="3:23" ht="15.75" customHeight="1">
      <c r="C513" s="7"/>
      <c r="D513" s="7"/>
      <c r="H513" s="7"/>
      <c r="Q513" s="3">
        <v>29351</v>
      </c>
      <c r="R513" s="5" t="s">
        <v>560</v>
      </c>
      <c r="V513" s="3">
        <v>119</v>
      </c>
      <c r="W513" s="5" t="s">
        <v>158</v>
      </c>
    </row>
    <row r="514" spans="3:23" ht="15.75" customHeight="1">
      <c r="C514" s="7"/>
      <c r="D514" s="7"/>
      <c r="H514" s="7"/>
      <c r="Q514" s="3">
        <v>29394</v>
      </c>
      <c r="R514" s="5" t="s">
        <v>561</v>
      </c>
      <c r="V514" s="3">
        <v>119</v>
      </c>
      <c r="W514" s="5" t="s">
        <v>562</v>
      </c>
    </row>
    <row r="515" spans="3:23" ht="15.75" customHeight="1">
      <c r="C515" s="7"/>
      <c r="D515" s="7"/>
      <c r="H515" s="7"/>
      <c r="Q515" s="3">
        <v>29399</v>
      </c>
      <c r="R515" s="5" t="s">
        <v>563</v>
      </c>
      <c r="V515" s="3">
        <v>119</v>
      </c>
      <c r="W515" s="5" t="s">
        <v>502</v>
      </c>
    </row>
    <row r="516" spans="3:23" ht="15.75" customHeight="1">
      <c r="C516" s="7"/>
      <c r="D516" s="7"/>
      <c r="H516" s="7"/>
      <c r="Q516" s="3">
        <v>29433</v>
      </c>
      <c r="R516" s="5" t="s">
        <v>564</v>
      </c>
      <c r="V516" s="3">
        <v>120</v>
      </c>
      <c r="W516" s="5" t="s">
        <v>420</v>
      </c>
    </row>
    <row r="517" spans="3:23" ht="15.75" customHeight="1">
      <c r="C517" s="7"/>
      <c r="D517" s="7"/>
      <c r="H517" s="7"/>
      <c r="Q517" s="3">
        <v>29434</v>
      </c>
      <c r="R517" s="14" t="s">
        <v>565</v>
      </c>
      <c r="V517" s="3">
        <v>120</v>
      </c>
      <c r="W517" s="5" t="s">
        <v>420</v>
      </c>
    </row>
    <row r="518" spans="3:23" ht="15.75" customHeight="1">
      <c r="C518" s="7"/>
      <c r="D518" s="7"/>
      <c r="H518" s="7"/>
      <c r="Q518" s="3">
        <v>29435</v>
      </c>
      <c r="R518" s="5" t="s">
        <v>566</v>
      </c>
      <c r="V518" s="3">
        <v>120</v>
      </c>
      <c r="W518" s="5" t="s">
        <v>498</v>
      </c>
    </row>
    <row r="519" spans="3:23" ht="15.75" customHeight="1">
      <c r="C519" s="7"/>
      <c r="D519" s="7"/>
      <c r="H519" s="7"/>
      <c r="Q519" s="3">
        <v>29436</v>
      </c>
      <c r="R519" s="5" t="s">
        <v>567</v>
      </c>
      <c r="V519" s="3">
        <v>121</v>
      </c>
      <c r="W519" s="5" t="s">
        <v>204</v>
      </c>
    </row>
    <row r="520" spans="3:23" ht="15.75" customHeight="1">
      <c r="C520" s="7"/>
      <c r="D520" s="7"/>
      <c r="H520" s="7"/>
      <c r="Q520" s="3">
        <v>29437</v>
      </c>
      <c r="R520" s="5" t="s">
        <v>568</v>
      </c>
      <c r="V520" s="3">
        <v>121</v>
      </c>
      <c r="W520" s="5" t="s">
        <v>89</v>
      </c>
    </row>
    <row r="521" spans="3:23" ht="15.75" customHeight="1">
      <c r="C521" s="7"/>
      <c r="D521" s="7"/>
      <c r="H521" s="7"/>
      <c r="Q521" s="3">
        <v>29467</v>
      </c>
      <c r="R521" s="5" t="s">
        <v>569</v>
      </c>
      <c r="V521" s="3">
        <v>122</v>
      </c>
      <c r="W521" s="5" t="s">
        <v>570</v>
      </c>
    </row>
    <row r="522" spans="3:23" ht="15.75" customHeight="1">
      <c r="C522" s="7"/>
      <c r="D522" s="7"/>
      <c r="H522" s="7"/>
      <c r="Q522" s="3">
        <v>29468</v>
      </c>
      <c r="R522" s="5" t="s">
        <v>571</v>
      </c>
      <c r="V522" s="3">
        <v>122</v>
      </c>
      <c r="W522" s="5" t="s">
        <v>89</v>
      </c>
    </row>
    <row r="523" spans="3:23" ht="15.75" customHeight="1">
      <c r="C523" s="7"/>
      <c r="D523" s="7"/>
      <c r="H523" s="7"/>
      <c r="Q523" s="3">
        <v>29469</v>
      </c>
      <c r="R523" s="5" t="s">
        <v>572</v>
      </c>
      <c r="V523" s="3">
        <v>122</v>
      </c>
      <c r="W523" s="5" t="s">
        <v>158</v>
      </c>
    </row>
    <row r="524" spans="3:23" ht="15.75" customHeight="1">
      <c r="C524" s="7"/>
      <c r="D524" s="7"/>
      <c r="H524" s="7"/>
      <c r="Q524" s="3">
        <v>29470</v>
      </c>
      <c r="R524" s="5" t="s">
        <v>573</v>
      </c>
      <c r="V524" s="3">
        <v>122</v>
      </c>
      <c r="W524" s="5" t="s">
        <v>158</v>
      </c>
    </row>
    <row r="525" spans="3:23" ht="15.75" customHeight="1">
      <c r="C525" s="7"/>
      <c r="D525" s="7"/>
      <c r="H525" s="7"/>
      <c r="Q525" s="3">
        <v>29471</v>
      </c>
      <c r="R525" s="5" t="s">
        <v>574</v>
      </c>
      <c r="V525" s="3">
        <v>122</v>
      </c>
      <c r="W525" s="5" t="s">
        <v>575</v>
      </c>
    </row>
    <row r="526" spans="3:23" ht="15.75" customHeight="1">
      <c r="C526" s="7"/>
      <c r="D526" s="7"/>
      <c r="H526" s="7"/>
      <c r="Q526" s="3">
        <v>29472</v>
      </c>
      <c r="R526" s="5" t="s">
        <v>576</v>
      </c>
      <c r="V526" s="3">
        <v>123</v>
      </c>
      <c r="W526" s="5" t="s">
        <v>94</v>
      </c>
    </row>
    <row r="527" spans="3:23" ht="15.75" customHeight="1">
      <c r="C527" s="7"/>
      <c r="D527" s="7"/>
      <c r="H527" s="7"/>
      <c r="Q527" s="3">
        <v>29473</v>
      </c>
      <c r="R527" s="5" t="s">
        <v>577</v>
      </c>
      <c r="V527" s="3">
        <v>123</v>
      </c>
      <c r="W527" s="5" t="s">
        <v>23</v>
      </c>
    </row>
    <row r="528" spans="3:23" ht="15.75" customHeight="1">
      <c r="C528" s="7"/>
      <c r="D528" s="7"/>
      <c r="H528" s="7"/>
      <c r="Q528" s="3">
        <v>29474</v>
      </c>
      <c r="R528" s="5" t="s">
        <v>578</v>
      </c>
      <c r="V528" s="3">
        <v>124</v>
      </c>
      <c r="W528" s="5" t="s">
        <v>23</v>
      </c>
    </row>
    <row r="529" spans="3:23" ht="15.75" customHeight="1">
      <c r="C529" s="7"/>
      <c r="D529" s="7"/>
      <c r="H529" s="7"/>
      <c r="Q529" s="3">
        <v>29478</v>
      </c>
      <c r="R529" s="5" t="s">
        <v>579</v>
      </c>
      <c r="V529" s="3">
        <v>124</v>
      </c>
      <c r="W529" s="5" t="s">
        <v>94</v>
      </c>
    </row>
    <row r="530" spans="3:23" ht="15.75" customHeight="1">
      <c r="C530" s="7"/>
      <c r="D530" s="7"/>
      <c r="H530" s="7"/>
      <c r="Q530" s="3">
        <v>29496</v>
      </c>
      <c r="R530" s="5" t="s">
        <v>580</v>
      </c>
      <c r="V530" s="3">
        <v>125</v>
      </c>
      <c r="W530" s="5" t="s">
        <v>302</v>
      </c>
    </row>
    <row r="531" spans="3:23" ht="15.75" customHeight="1">
      <c r="C531" s="7"/>
      <c r="D531" s="7"/>
      <c r="H531" s="7"/>
      <c r="Q531" s="3">
        <v>29499</v>
      </c>
      <c r="R531" s="5" t="s">
        <v>581</v>
      </c>
      <c r="V531" s="3">
        <v>126</v>
      </c>
      <c r="W531" s="5" t="s">
        <v>94</v>
      </c>
    </row>
    <row r="532" spans="3:23" ht="15.75" customHeight="1">
      <c r="C532" s="7"/>
      <c r="D532" s="7"/>
      <c r="H532" s="7"/>
      <c r="Q532" s="3">
        <v>29511</v>
      </c>
      <c r="R532" s="5" t="s">
        <v>582</v>
      </c>
      <c r="V532" s="3">
        <v>126</v>
      </c>
      <c r="W532" s="5" t="s">
        <v>23</v>
      </c>
    </row>
    <row r="533" spans="3:23" ht="15.75" customHeight="1">
      <c r="C533" s="7"/>
      <c r="D533" s="7"/>
      <c r="H533" s="7"/>
      <c r="Q533" s="3">
        <v>29512</v>
      </c>
      <c r="R533" s="5" t="s">
        <v>583</v>
      </c>
      <c r="V533" s="3">
        <v>126</v>
      </c>
      <c r="W533" s="5" t="s">
        <v>575</v>
      </c>
    </row>
    <row r="534" spans="3:23" ht="15.75" customHeight="1">
      <c r="C534" s="7"/>
      <c r="D534" s="7"/>
      <c r="H534" s="7"/>
      <c r="Q534" s="3">
        <v>29513</v>
      </c>
      <c r="R534" s="5" t="s">
        <v>584</v>
      </c>
      <c r="V534" s="3">
        <v>126</v>
      </c>
      <c r="W534" s="5" t="s">
        <v>479</v>
      </c>
    </row>
    <row r="535" spans="3:23" ht="15.75" customHeight="1">
      <c r="C535" s="7"/>
      <c r="D535" s="7"/>
      <c r="H535" s="7"/>
      <c r="Q535" s="3">
        <v>29522</v>
      </c>
      <c r="R535" s="5" t="s">
        <v>585</v>
      </c>
      <c r="V535" s="3">
        <v>126</v>
      </c>
      <c r="W535" s="5" t="s">
        <v>23</v>
      </c>
    </row>
    <row r="536" spans="3:23" ht="15.75" customHeight="1">
      <c r="C536" s="7"/>
      <c r="D536" s="7"/>
      <c r="H536" s="7"/>
      <c r="Q536" s="3">
        <v>29551</v>
      </c>
      <c r="R536" s="5" t="s">
        <v>586</v>
      </c>
      <c r="V536" s="3">
        <v>126</v>
      </c>
      <c r="W536" s="5" t="s">
        <v>89</v>
      </c>
    </row>
    <row r="537" spans="3:23" ht="15.75" customHeight="1">
      <c r="C537" s="7"/>
      <c r="D537" s="7"/>
      <c r="H537" s="7"/>
      <c r="Q537" s="3">
        <v>29580</v>
      </c>
      <c r="R537" s="5" t="s">
        <v>587</v>
      </c>
      <c r="V537" s="3">
        <v>126</v>
      </c>
      <c r="W537" s="5" t="s">
        <v>23</v>
      </c>
    </row>
    <row r="538" spans="3:23" ht="15.75" customHeight="1">
      <c r="C538" s="7"/>
      <c r="D538" s="7"/>
      <c r="H538" s="7"/>
      <c r="Q538" s="3">
        <v>29607</v>
      </c>
      <c r="R538" s="5" t="s">
        <v>588</v>
      </c>
      <c r="V538" s="3">
        <v>126</v>
      </c>
      <c r="W538" s="5" t="s">
        <v>68</v>
      </c>
    </row>
    <row r="539" spans="3:23" ht="15.75" customHeight="1">
      <c r="C539" s="7"/>
      <c r="D539" s="7"/>
      <c r="H539" s="7"/>
      <c r="Q539" s="3">
        <v>29633</v>
      </c>
      <c r="R539" s="5" t="s">
        <v>589</v>
      </c>
      <c r="V539" s="3">
        <v>126</v>
      </c>
      <c r="W539" s="5" t="s">
        <v>23</v>
      </c>
    </row>
    <row r="540" spans="3:23" ht="15.75" customHeight="1">
      <c r="C540" s="7"/>
      <c r="D540" s="7"/>
      <c r="H540" s="7"/>
      <c r="Q540" s="3">
        <v>29635</v>
      </c>
      <c r="R540" s="5" t="s">
        <v>590</v>
      </c>
      <c r="V540" s="3">
        <v>126</v>
      </c>
      <c r="W540" s="5" t="s">
        <v>89</v>
      </c>
    </row>
    <row r="541" spans="3:23" ht="15.75" customHeight="1">
      <c r="C541" s="7"/>
      <c r="D541" s="7"/>
      <c r="H541" s="7"/>
      <c r="Q541" s="3">
        <v>29637</v>
      </c>
      <c r="R541" s="5" t="s">
        <v>591</v>
      </c>
      <c r="V541" s="3">
        <v>126</v>
      </c>
      <c r="W541" s="5" t="s">
        <v>23</v>
      </c>
    </row>
    <row r="542" spans="3:23" ht="15.75" customHeight="1">
      <c r="C542" s="7"/>
      <c r="D542" s="7"/>
      <c r="H542" s="7"/>
      <c r="Q542" s="3">
        <v>29644</v>
      </c>
      <c r="R542" s="5" t="s">
        <v>592</v>
      </c>
      <c r="V542" s="3">
        <v>126</v>
      </c>
      <c r="W542" s="5" t="s">
        <v>89</v>
      </c>
    </row>
    <row r="543" spans="3:23" ht="15.75" customHeight="1">
      <c r="C543" s="7"/>
      <c r="D543" s="7"/>
      <c r="H543" s="7"/>
      <c r="Q543" s="3">
        <v>29648</v>
      </c>
      <c r="R543" s="5" t="s">
        <v>593</v>
      </c>
      <c r="V543" s="3">
        <v>126</v>
      </c>
      <c r="W543" s="5" t="s">
        <v>89</v>
      </c>
    </row>
    <row r="544" spans="3:23" ht="15.75" customHeight="1">
      <c r="C544" s="7"/>
      <c r="D544" s="7"/>
      <c r="H544" s="7"/>
      <c r="Q544" s="3">
        <v>29649</v>
      </c>
      <c r="R544" s="5" t="s">
        <v>594</v>
      </c>
      <c r="V544" s="3">
        <v>126</v>
      </c>
      <c r="W544" s="5" t="s">
        <v>498</v>
      </c>
    </row>
    <row r="545" spans="3:23" ht="15.75" customHeight="1">
      <c r="C545" s="7"/>
      <c r="D545" s="7"/>
      <c r="H545" s="7"/>
      <c r="Q545" s="3">
        <v>29668</v>
      </c>
      <c r="R545" s="5" t="s">
        <v>595</v>
      </c>
      <c r="V545" s="3">
        <v>126</v>
      </c>
      <c r="W545" s="5" t="s">
        <v>481</v>
      </c>
    </row>
    <row r="546" spans="3:23" ht="15.75" customHeight="1">
      <c r="C546" s="7"/>
      <c r="D546" s="7"/>
      <c r="H546" s="7"/>
      <c r="Q546" s="3">
        <v>29670</v>
      </c>
      <c r="R546" s="5" t="s">
        <v>596</v>
      </c>
      <c r="V546" s="3">
        <v>126</v>
      </c>
      <c r="W546" s="5" t="s">
        <v>89</v>
      </c>
    </row>
    <row r="547" spans="3:23" ht="15.75" customHeight="1">
      <c r="C547" s="7"/>
      <c r="D547" s="7"/>
      <c r="H547" s="7"/>
      <c r="Q547" s="3">
        <v>29682</v>
      </c>
      <c r="R547" s="5" t="s">
        <v>597</v>
      </c>
      <c r="V547" s="3">
        <v>126</v>
      </c>
      <c r="W547" s="5" t="s">
        <v>89</v>
      </c>
    </row>
    <row r="548" spans="3:23" ht="15.75" customHeight="1">
      <c r="C548" s="7"/>
      <c r="Q548" s="3">
        <v>29686</v>
      </c>
      <c r="R548" s="5" t="s">
        <v>598</v>
      </c>
      <c r="V548" s="3">
        <v>126</v>
      </c>
      <c r="W548" s="5" t="s">
        <v>89</v>
      </c>
    </row>
    <row r="549" spans="3:23" ht="15.75" customHeight="1">
      <c r="C549" s="7"/>
      <c r="Q549" s="3">
        <v>29687</v>
      </c>
      <c r="R549" s="5" t="s">
        <v>599</v>
      </c>
      <c r="V549" s="3">
        <v>126</v>
      </c>
      <c r="W549" s="5" t="s">
        <v>89</v>
      </c>
    </row>
    <row r="550" spans="3:23" ht="15.75" customHeight="1">
      <c r="C550" s="7"/>
      <c r="D550" s="7"/>
      <c r="H550" s="7"/>
      <c r="Q550" s="3">
        <v>29688</v>
      </c>
      <c r="R550" s="5" t="s">
        <v>600</v>
      </c>
      <c r="V550" s="3">
        <v>126</v>
      </c>
      <c r="W550" s="5" t="s">
        <v>89</v>
      </c>
    </row>
    <row r="551" spans="3:23" ht="15.75" customHeight="1">
      <c r="C551" s="7"/>
      <c r="D551" s="7"/>
      <c r="H551" s="7"/>
      <c r="Q551" s="3">
        <v>29689</v>
      </c>
      <c r="R551" s="5" t="s">
        <v>601</v>
      </c>
      <c r="V551" s="3">
        <v>126</v>
      </c>
      <c r="W551" s="5" t="s">
        <v>89</v>
      </c>
    </row>
    <row r="552" spans="3:23" ht="15.75" customHeight="1">
      <c r="C552" s="7"/>
      <c r="D552" s="7"/>
      <c r="H552" s="7"/>
      <c r="Q552" s="3">
        <v>29693</v>
      </c>
      <c r="R552" s="5" t="s">
        <v>602</v>
      </c>
      <c r="V552" s="3">
        <v>126</v>
      </c>
      <c r="W552" s="5" t="s">
        <v>68</v>
      </c>
    </row>
    <row r="553" spans="3:23" ht="15.75" customHeight="1">
      <c r="C553" s="7"/>
      <c r="D553" s="7"/>
      <c r="H553" s="7"/>
      <c r="Q553" s="3">
        <v>29707</v>
      </c>
      <c r="R553" s="5" t="s">
        <v>603</v>
      </c>
      <c r="V553" s="3">
        <v>126</v>
      </c>
      <c r="W553" s="5" t="s">
        <v>562</v>
      </c>
    </row>
    <row r="554" spans="3:23" ht="15.75" customHeight="1">
      <c r="C554" s="7"/>
      <c r="D554" s="7"/>
      <c r="H554" s="7"/>
      <c r="Q554" s="3">
        <v>29709</v>
      </c>
      <c r="R554" s="5" t="s">
        <v>604</v>
      </c>
      <c r="V554" s="3">
        <v>126</v>
      </c>
      <c r="W554" s="5" t="s">
        <v>80</v>
      </c>
    </row>
    <row r="555" spans="3:23" ht="15.75" customHeight="1">
      <c r="C555" s="7"/>
      <c r="D555" s="7"/>
      <c r="H555" s="7"/>
      <c r="Q555" s="3">
        <v>29759</v>
      </c>
      <c r="R555" s="5" t="s">
        <v>605</v>
      </c>
      <c r="V555" s="3">
        <v>126</v>
      </c>
      <c r="W555" s="5" t="s">
        <v>204</v>
      </c>
    </row>
    <row r="556" spans="3:23" ht="15.75" customHeight="1">
      <c r="C556" s="7"/>
      <c r="D556" s="7"/>
      <c r="H556" s="7"/>
      <c r="Q556" s="3">
        <v>29760</v>
      </c>
      <c r="R556" s="5" t="s">
        <v>606</v>
      </c>
      <c r="V556" s="3">
        <v>126</v>
      </c>
      <c r="W556" s="5" t="s">
        <v>23</v>
      </c>
    </row>
    <row r="557" spans="3:23" ht="15.75" customHeight="1">
      <c r="C557" s="7"/>
      <c r="D557" s="7"/>
      <c r="H557" s="7"/>
      <c r="Q557" s="3">
        <v>29762</v>
      </c>
      <c r="R557" s="5" t="s">
        <v>607</v>
      </c>
      <c r="V557" s="3">
        <v>126</v>
      </c>
      <c r="W557" s="5" t="s">
        <v>23</v>
      </c>
    </row>
    <row r="558" spans="3:23" ht="15.75" customHeight="1">
      <c r="C558" s="7"/>
      <c r="D558" s="7"/>
      <c r="H558" s="7"/>
      <c r="Q558" s="3">
        <v>29839</v>
      </c>
      <c r="R558" s="5" t="s">
        <v>608</v>
      </c>
      <c r="V558" s="3">
        <v>126</v>
      </c>
      <c r="W558" s="5" t="s">
        <v>89</v>
      </c>
    </row>
    <row r="559" spans="3:23" ht="15.75" customHeight="1">
      <c r="C559" s="7"/>
      <c r="D559" s="7"/>
      <c r="H559" s="7"/>
      <c r="Q559" s="3">
        <v>29841</v>
      </c>
      <c r="R559" s="5" t="s">
        <v>609</v>
      </c>
      <c r="V559" s="3">
        <v>126</v>
      </c>
      <c r="W559" s="5" t="s">
        <v>23</v>
      </c>
    </row>
    <row r="560" spans="3:23" ht="15.75" customHeight="1">
      <c r="C560" s="7"/>
      <c r="D560" s="7"/>
      <c r="H560" s="7"/>
      <c r="Q560" s="3">
        <v>29851</v>
      </c>
      <c r="R560" s="5" t="s">
        <v>610</v>
      </c>
      <c r="V560" s="3">
        <v>126</v>
      </c>
      <c r="W560" s="5" t="s">
        <v>611</v>
      </c>
    </row>
    <row r="561" spans="3:23" ht="15.75" customHeight="1">
      <c r="C561" s="7"/>
      <c r="D561" s="7"/>
      <c r="H561" s="7"/>
      <c r="Q561" s="3">
        <v>29880</v>
      </c>
      <c r="R561" s="5" t="s">
        <v>612</v>
      </c>
      <c r="V561" s="3">
        <v>126</v>
      </c>
      <c r="W561" s="5" t="s">
        <v>611</v>
      </c>
    </row>
    <row r="562" spans="3:23" ht="15.75" customHeight="1">
      <c r="C562" s="7"/>
      <c r="D562" s="7"/>
      <c r="H562" s="7"/>
      <c r="Q562" s="3">
        <v>29905</v>
      </c>
      <c r="R562" s="5" t="s">
        <v>613</v>
      </c>
      <c r="V562" s="3">
        <v>126</v>
      </c>
      <c r="W562" s="5" t="s">
        <v>68</v>
      </c>
    </row>
    <row r="563" spans="3:23" ht="15.75" customHeight="1">
      <c r="C563" s="7"/>
      <c r="D563" s="7"/>
      <c r="H563" s="7"/>
      <c r="Q563" s="3">
        <v>29915</v>
      </c>
      <c r="R563" s="5" t="s">
        <v>614</v>
      </c>
      <c r="V563" s="3">
        <v>126</v>
      </c>
      <c r="W563" s="5" t="s">
        <v>611</v>
      </c>
    </row>
    <row r="564" spans="3:23" ht="15.75" customHeight="1">
      <c r="C564" s="7"/>
      <c r="D564" s="7"/>
      <c r="H564" s="7"/>
      <c r="Q564" s="3">
        <v>29943</v>
      </c>
      <c r="R564" s="5" t="s">
        <v>615</v>
      </c>
      <c r="V564" s="3">
        <v>126</v>
      </c>
      <c r="W564" s="5" t="s">
        <v>611</v>
      </c>
    </row>
    <row r="565" spans="3:23" ht="15.75" customHeight="1">
      <c r="C565" s="7"/>
      <c r="D565" s="7"/>
      <c r="H565" s="7"/>
      <c r="Q565" s="3">
        <v>29949</v>
      </c>
      <c r="R565" s="5" t="s">
        <v>616</v>
      </c>
      <c r="V565" s="3">
        <v>126</v>
      </c>
      <c r="W565" s="5" t="s">
        <v>89</v>
      </c>
    </row>
    <row r="566" spans="3:23" ht="15.75" customHeight="1">
      <c r="C566" s="7"/>
      <c r="D566" s="7"/>
      <c r="H566" s="7"/>
      <c r="Q566" s="3">
        <v>29951</v>
      </c>
      <c r="R566" s="5" t="s">
        <v>617</v>
      </c>
      <c r="V566" s="3">
        <v>126</v>
      </c>
      <c r="W566" s="5" t="s">
        <v>23</v>
      </c>
    </row>
    <row r="567" spans="3:23" ht="15.75" customHeight="1">
      <c r="C567" s="7"/>
      <c r="D567" s="7"/>
      <c r="H567" s="7"/>
      <c r="Q567" s="3">
        <v>29952</v>
      </c>
      <c r="R567" s="5" t="s">
        <v>618</v>
      </c>
      <c r="V567" s="3">
        <v>126</v>
      </c>
      <c r="W567" s="5" t="s">
        <v>220</v>
      </c>
    </row>
    <row r="568" spans="3:23" ht="15.75" customHeight="1">
      <c r="C568" s="7"/>
      <c r="D568" s="7"/>
      <c r="H568" s="7"/>
      <c r="Q568" s="3">
        <v>29954</v>
      </c>
      <c r="R568" s="5" t="s">
        <v>619</v>
      </c>
      <c r="V568" s="3">
        <v>126</v>
      </c>
      <c r="W568" s="5" t="s">
        <v>498</v>
      </c>
    </row>
    <row r="569" spans="3:23" ht="15.75" customHeight="1">
      <c r="C569" s="7"/>
      <c r="D569" s="7"/>
      <c r="H569" s="7"/>
      <c r="Q569" s="3">
        <v>29955</v>
      </c>
      <c r="R569" s="5" t="s">
        <v>620</v>
      </c>
      <c r="V569" s="3">
        <v>126</v>
      </c>
      <c r="W569" s="5" t="s">
        <v>502</v>
      </c>
    </row>
    <row r="570" spans="3:23" ht="15.75" customHeight="1">
      <c r="C570" s="7"/>
      <c r="D570" s="7"/>
      <c r="H570" s="7"/>
      <c r="Q570" s="3">
        <v>29962</v>
      </c>
      <c r="R570" s="5" t="s">
        <v>621</v>
      </c>
      <c r="V570" s="3">
        <v>126</v>
      </c>
      <c r="W570" s="5" t="s">
        <v>481</v>
      </c>
    </row>
    <row r="571" spans="3:23" ht="15.75" customHeight="1">
      <c r="C571" s="7"/>
      <c r="D571" s="7"/>
      <c r="H571" s="7"/>
      <c r="Q571" s="3">
        <v>29970</v>
      </c>
      <c r="R571" s="5" t="s">
        <v>622</v>
      </c>
      <c r="V571" s="3">
        <v>126</v>
      </c>
      <c r="W571" s="5" t="s">
        <v>502</v>
      </c>
    </row>
    <row r="572" spans="3:23" ht="15.75" customHeight="1">
      <c r="C572" s="7"/>
      <c r="D572" s="7"/>
      <c r="H572" s="7"/>
      <c r="Q572" s="3">
        <v>29982</v>
      </c>
      <c r="R572" s="5" t="s">
        <v>623</v>
      </c>
      <c r="V572" s="3">
        <v>126</v>
      </c>
      <c r="W572" s="5" t="s">
        <v>481</v>
      </c>
    </row>
    <row r="573" spans="3:23" ht="15.75" customHeight="1">
      <c r="C573" s="7"/>
      <c r="D573" s="7"/>
      <c r="H573" s="7"/>
      <c r="Q573" s="3">
        <v>29983</v>
      </c>
      <c r="R573" s="5" t="s">
        <v>624</v>
      </c>
      <c r="V573" s="3">
        <v>126</v>
      </c>
      <c r="W573" s="5" t="s">
        <v>89</v>
      </c>
    </row>
    <row r="574" spans="3:23" ht="15.75" customHeight="1">
      <c r="C574" s="7"/>
      <c r="D574" s="7"/>
      <c r="H574" s="7"/>
      <c r="Q574" s="3">
        <v>29987</v>
      </c>
      <c r="R574" s="5" t="s">
        <v>625</v>
      </c>
      <c r="V574" s="3">
        <v>126</v>
      </c>
      <c r="W574" s="5" t="s">
        <v>89</v>
      </c>
    </row>
    <row r="575" spans="3:23" ht="15.75" customHeight="1">
      <c r="C575" s="7"/>
      <c r="D575" s="7"/>
      <c r="H575" s="7"/>
      <c r="Q575" s="3">
        <v>29989</v>
      </c>
      <c r="R575" s="5" t="s">
        <v>626</v>
      </c>
      <c r="V575" s="3">
        <v>126</v>
      </c>
      <c r="W575" s="5" t="s">
        <v>23</v>
      </c>
    </row>
    <row r="576" spans="3:23" ht="15.75" customHeight="1">
      <c r="C576" s="7"/>
      <c r="D576" s="7"/>
      <c r="H576" s="7"/>
      <c r="Q576" s="3">
        <v>29993</v>
      </c>
      <c r="R576" s="5" t="s">
        <v>627</v>
      </c>
      <c r="V576" s="3">
        <v>126</v>
      </c>
      <c r="W576" s="5" t="s">
        <v>23</v>
      </c>
    </row>
    <row r="577" spans="3:23" ht="15.75" customHeight="1">
      <c r="C577" s="7"/>
      <c r="D577" s="7"/>
      <c r="H577" s="7"/>
      <c r="Q577" s="3">
        <v>29994</v>
      </c>
      <c r="R577" s="5" t="s">
        <v>628</v>
      </c>
      <c r="V577" s="3">
        <v>126</v>
      </c>
      <c r="W577" s="5" t="s">
        <v>23</v>
      </c>
    </row>
    <row r="578" spans="3:23" ht="15.75" customHeight="1">
      <c r="C578" s="7"/>
      <c r="D578" s="7"/>
      <c r="H578" s="7"/>
      <c r="Q578" s="3">
        <v>30018</v>
      </c>
      <c r="R578" s="5" t="s">
        <v>629</v>
      </c>
      <c r="V578" s="3">
        <v>126</v>
      </c>
      <c r="W578" s="5" t="s">
        <v>630</v>
      </c>
    </row>
    <row r="579" spans="3:23" ht="15.75" customHeight="1">
      <c r="C579" s="7"/>
      <c r="D579" s="7"/>
      <c r="H579" s="7"/>
      <c r="Q579" s="3">
        <v>30026</v>
      </c>
      <c r="R579" s="5" t="s">
        <v>631</v>
      </c>
      <c r="V579" s="3">
        <v>126</v>
      </c>
      <c r="W579" s="5" t="s">
        <v>23</v>
      </c>
    </row>
    <row r="580" spans="3:23" ht="15.75" customHeight="1">
      <c r="C580" s="7"/>
      <c r="D580" s="7"/>
      <c r="H580" s="7"/>
      <c r="Q580" s="3">
        <v>30053</v>
      </c>
      <c r="R580" s="5" t="s">
        <v>632</v>
      </c>
      <c r="V580" s="3">
        <v>126</v>
      </c>
      <c r="W580" s="5" t="s">
        <v>23</v>
      </c>
    </row>
    <row r="581" spans="3:23" ht="15.75" customHeight="1">
      <c r="C581" s="7"/>
      <c r="D581" s="7"/>
      <c r="H581" s="7"/>
      <c r="Q581" s="3">
        <v>30064</v>
      </c>
      <c r="R581" s="5" t="s">
        <v>633</v>
      </c>
      <c r="V581" s="3">
        <v>126</v>
      </c>
      <c r="W581" s="5" t="s">
        <v>23</v>
      </c>
    </row>
    <row r="582" spans="3:23" ht="15.75" customHeight="1">
      <c r="C582" s="7"/>
      <c r="D582" s="7"/>
      <c r="H582" s="7"/>
      <c r="Q582" s="3">
        <v>30067</v>
      </c>
      <c r="R582" s="5" t="s">
        <v>634</v>
      </c>
      <c r="V582" s="3">
        <v>126</v>
      </c>
      <c r="W582" s="5" t="s">
        <v>611</v>
      </c>
    </row>
    <row r="583" spans="3:23" ht="15.75" customHeight="1">
      <c r="C583" s="7"/>
      <c r="D583" s="7"/>
      <c r="H583" s="7"/>
      <c r="Q583" s="3">
        <v>30070</v>
      </c>
      <c r="R583" s="5" t="s">
        <v>635</v>
      </c>
      <c r="V583" s="3">
        <v>126</v>
      </c>
      <c r="W583" s="5" t="s">
        <v>94</v>
      </c>
    </row>
    <row r="584" spans="3:23" ht="15.75" customHeight="1">
      <c r="C584" s="7"/>
      <c r="D584" s="7"/>
      <c r="H584" s="7"/>
      <c r="Q584" s="3">
        <v>30073</v>
      </c>
      <c r="R584" s="5" t="s">
        <v>636</v>
      </c>
      <c r="V584" s="3">
        <v>126</v>
      </c>
      <c r="W584" s="5" t="s">
        <v>575</v>
      </c>
    </row>
    <row r="585" spans="3:23" ht="15.75" customHeight="1">
      <c r="C585" s="7"/>
      <c r="D585" s="7"/>
      <c r="H585" s="7"/>
      <c r="Q585" s="3">
        <v>30100</v>
      </c>
      <c r="R585" s="5" t="s">
        <v>637</v>
      </c>
      <c r="V585" s="3">
        <v>127</v>
      </c>
      <c r="W585" s="5" t="s">
        <v>68</v>
      </c>
    </row>
    <row r="586" spans="3:23" ht="15.75" customHeight="1">
      <c r="C586" s="7"/>
      <c r="D586" s="7"/>
      <c r="H586" s="7"/>
      <c r="Q586" s="3">
        <v>30101</v>
      </c>
      <c r="R586" s="5" t="s">
        <v>638</v>
      </c>
      <c r="V586" s="3">
        <v>128</v>
      </c>
      <c r="W586" s="5" t="s">
        <v>168</v>
      </c>
    </row>
    <row r="587" spans="3:23" ht="15.75" customHeight="1">
      <c r="C587" s="7"/>
      <c r="D587" s="7"/>
      <c r="H587" s="7"/>
      <c r="Q587" s="3">
        <v>30102</v>
      </c>
      <c r="R587" s="5" t="s">
        <v>639</v>
      </c>
      <c r="V587" s="3">
        <v>129</v>
      </c>
      <c r="W587" s="5" t="s">
        <v>89</v>
      </c>
    </row>
    <row r="588" spans="3:23" ht="15.75" customHeight="1">
      <c r="C588" s="7"/>
      <c r="D588" s="7"/>
      <c r="H588" s="7"/>
      <c r="Q588" s="3">
        <v>30103</v>
      </c>
      <c r="R588" s="5" t="s">
        <v>640</v>
      </c>
      <c r="V588" s="3">
        <v>129</v>
      </c>
      <c r="W588" s="5" t="s">
        <v>575</v>
      </c>
    </row>
    <row r="589" spans="3:23" ht="15.75" customHeight="1">
      <c r="C589" s="7"/>
      <c r="D589" s="7"/>
      <c r="H589" s="7"/>
      <c r="Q589" s="3">
        <v>30104</v>
      </c>
      <c r="R589" s="5" t="s">
        <v>641</v>
      </c>
      <c r="V589" s="3">
        <v>130</v>
      </c>
      <c r="W589" s="5" t="s">
        <v>611</v>
      </c>
    </row>
    <row r="590" spans="3:23" ht="15.75" customHeight="1">
      <c r="C590" s="7"/>
      <c r="D590" s="7"/>
      <c r="H590" s="7"/>
      <c r="Q590" s="3">
        <v>30110</v>
      </c>
      <c r="R590" s="5" t="s">
        <v>642</v>
      </c>
      <c r="V590" s="3">
        <v>130</v>
      </c>
      <c r="W590" s="5" t="s">
        <v>611</v>
      </c>
    </row>
    <row r="591" spans="3:23" ht="15.75" customHeight="1">
      <c r="C591" s="7"/>
      <c r="D591" s="7"/>
      <c r="H591" s="7"/>
      <c r="Q591" s="3">
        <v>30111</v>
      </c>
      <c r="R591" s="5" t="s">
        <v>643</v>
      </c>
      <c r="V591" s="3">
        <v>131</v>
      </c>
      <c r="W591" s="5" t="s">
        <v>58</v>
      </c>
    </row>
    <row r="592" spans="3:23" ht="15.75" customHeight="1">
      <c r="C592" s="7"/>
      <c r="D592" s="7"/>
      <c r="H592" s="7"/>
      <c r="Q592" s="3">
        <v>30133</v>
      </c>
      <c r="R592" s="5" t="s">
        <v>644</v>
      </c>
      <c r="V592" s="3">
        <v>131</v>
      </c>
      <c r="W592" s="5" t="s">
        <v>58</v>
      </c>
    </row>
    <row r="593" spans="3:23" ht="15.75" customHeight="1">
      <c r="C593" s="7"/>
      <c r="D593" s="7"/>
      <c r="H593" s="7"/>
      <c r="Q593" s="3">
        <v>30137</v>
      </c>
      <c r="R593" s="5" t="s">
        <v>645</v>
      </c>
      <c r="V593" s="3">
        <v>131</v>
      </c>
      <c r="W593" s="5" t="s">
        <v>58</v>
      </c>
    </row>
    <row r="594" spans="3:23" ht="15.75" customHeight="1">
      <c r="C594" s="7"/>
      <c r="D594" s="7"/>
      <c r="H594" s="7"/>
      <c r="Q594" s="3">
        <v>30138</v>
      </c>
      <c r="R594" s="5" t="s">
        <v>646</v>
      </c>
      <c r="V594" s="3">
        <v>131</v>
      </c>
      <c r="W594" s="5" t="s">
        <v>89</v>
      </c>
    </row>
    <row r="595" spans="3:23" ht="15.75" customHeight="1">
      <c r="C595" s="7"/>
      <c r="D595" s="7"/>
      <c r="H595" s="7"/>
      <c r="Q595" s="3">
        <v>30140</v>
      </c>
      <c r="R595" s="5" t="s">
        <v>647</v>
      </c>
      <c r="V595" s="3">
        <v>131</v>
      </c>
      <c r="W595" s="5" t="s">
        <v>60</v>
      </c>
    </row>
    <row r="596" spans="3:23" ht="15.75" customHeight="1">
      <c r="C596" s="7"/>
      <c r="D596" s="7"/>
      <c r="H596" s="7"/>
      <c r="Q596" s="3">
        <v>30141</v>
      </c>
      <c r="R596" s="5" t="s">
        <v>648</v>
      </c>
      <c r="V596" s="3">
        <v>131</v>
      </c>
      <c r="W596" s="5" t="s">
        <v>89</v>
      </c>
    </row>
    <row r="597" spans="3:23" ht="15.75" customHeight="1">
      <c r="C597" s="7"/>
      <c r="D597" s="7"/>
      <c r="H597" s="7"/>
      <c r="Q597" s="3">
        <v>30164</v>
      </c>
      <c r="R597" s="5" t="s">
        <v>649</v>
      </c>
      <c r="V597" s="3">
        <v>131</v>
      </c>
      <c r="W597" s="5" t="s">
        <v>266</v>
      </c>
    </row>
    <row r="598" spans="3:23" ht="15.75" customHeight="1">
      <c r="C598" s="7"/>
      <c r="D598" s="7"/>
      <c r="H598" s="7"/>
      <c r="Q598" s="3">
        <v>30165</v>
      </c>
      <c r="R598" s="5" t="s">
        <v>650</v>
      </c>
      <c r="V598" s="3">
        <v>131</v>
      </c>
      <c r="W598" s="5" t="s">
        <v>89</v>
      </c>
    </row>
    <row r="599" spans="3:23" ht="15.75" customHeight="1">
      <c r="C599" s="7"/>
      <c r="D599" s="7"/>
      <c r="H599" s="7"/>
      <c r="Q599" s="3">
        <v>30166</v>
      </c>
      <c r="R599" s="5" t="s">
        <v>651</v>
      </c>
      <c r="V599" s="3">
        <v>131</v>
      </c>
      <c r="W599" s="5" t="s">
        <v>562</v>
      </c>
    </row>
    <row r="600" spans="3:23" ht="15.75" customHeight="1">
      <c r="C600" s="7"/>
      <c r="D600" s="7"/>
      <c r="H600" s="7"/>
      <c r="Q600" s="3">
        <v>30211</v>
      </c>
      <c r="R600" s="5" t="s">
        <v>652</v>
      </c>
      <c r="V600" s="3">
        <v>131</v>
      </c>
      <c r="W600" s="5" t="s">
        <v>58</v>
      </c>
    </row>
    <row r="601" spans="3:23" ht="15.75" customHeight="1">
      <c r="C601" s="7"/>
      <c r="D601" s="7"/>
      <c r="H601" s="7"/>
      <c r="Q601" s="3">
        <v>30212</v>
      </c>
      <c r="R601" s="5" t="s">
        <v>653</v>
      </c>
      <c r="V601" s="3">
        <v>131</v>
      </c>
      <c r="W601" s="5" t="s">
        <v>68</v>
      </c>
    </row>
    <row r="602" spans="3:23" ht="15.75" customHeight="1">
      <c r="C602" s="7"/>
      <c r="D602" s="7"/>
      <c r="H602" s="7"/>
      <c r="Q602" s="3">
        <v>30215</v>
      </c>
      <c r="R602" s="5" t="s">
        <v>654</v>
      </c>
      <c r="V602" s="3">
        <v>131</v>
      </c>
      <c r="W602" s="5" t="s">
        <v>611</v>
      </c>
    </row>
    <row r="603" spans="3:23" ht="15.75" customHeight="1">
      <c r="C603" s="7"/>
      <c r="D603" s="7"/>
      <c r="H603" s="7"/>
      <c r="Q603" s="3">
        <v>30216</v>
      </c>
      <c r="R603" s="5" t="s">
        <v>655</v>
      </c>
      <c r="V603" s="3">
        <v>131</v>
      </c>
      <c r="W603" s="5" t="s">
        <v>656</v>
      </c>
    </row>
    <row r="604" spans="3:23" ht="15.75" customHeight="1">
      <c r="C604" s="7"/>
      <c r="D604" s="7"/>
      <c r="H604" s="7"/>
      <c r="Q604" s="3">
        <v>30217</v>
      </c>
      <c r="R604" s="5" t="s">
        <v>657</v>
      </c>
      <c r="V604" s="3">
        <v>131</v>
      </c>
      <c r="W604" s="5" t="s">
        <v>656</v>
      </c>
    </row>
    <row r="605" spans="3:23" ht="15.75" customHeight="1">
      <c r="C605" s="7"/>
      <c r="D605" s="7"/>
      <c r="H605" s="7"/>
      <c r="Q605" s="3">
        <v>30220</v>
      </c>
      <c r="R605" s="5" t="s">
        <v>658</v>
      </c>
      <c r="V605" s="3">
        <v>131</v>
      </c>
      <c r="W605" s="5" t="s">
        <v>656</v>
      </c>
    </row>
    <row r="606" spans="3:23" ht="15.75" customHeight="1">
      <c r="C606" s="7"/>
      <c r="D606" s="7"/>
      <c r="H606" s="7"/>
      <c r="Q606" s="3">
        <v>30222</v>
      </c>
      <c r="R606" s="5" t="s">
        <v>659</v>
      </c>
      <c r="V606" s="3">
        <v>132</v>
      </c>
      <c r="W606" s="5" t="s">
        <v>656</v>
      </c>
    </row>
    <row r="607" spans="3:23" ht="15.75" customHeight="1">
      <c r="C607" s="7"/>
      <c r="D607" s="7"/>
      <c r="H607" s="7"/>
      <c r="Q607" s="3">
        <v>30237</v>
      </c>
      <c r="R607" s="5" t="s">
        <v>660</v>
      </c>
      <c r="V607" s="3">
        <v>132</v>
      </c>
      <c r="W607" s="5" t="s">
        <v>656</v>
      </c>
    </row>
    <row r="608" spans="3:23" ht="15.75" customHeight="1">
      <c r="C608" s="7"/>
      <c r="D608" s="7"/>
      <c r="H608" s="7"/>
      <c r="Q608" s="3">
        <v>30263</v>
      </c>
      <c r="R608" s="5" t="s">
        <v>661</v>
      </c>
      <c r="V608" s="3">
        <v>132</v>
      </c>
      <c r="W608" s="5" t="s">
        <v>656</v>
      </c>
    </row>
    <row r="609" spans="3:23" ht="15.75" customHeight="1">
      <c r="C609" s="7"/>
      <c r="D609" s="7"/>
      <c r="H609" s="7"/>
      <c r="Q609" s="3">
        <v>30264</v>
      </c>
      <c r="R609" s="5" t="s">
        <v>662</v>
      </c>
      <c r="V609" s="3">
        <v>132</v>
      </c>
      <c r="W609" s="5" t="s">
        <v>656</v>
      </c>
    </row>
    <row r="610" spans="3:23" ht="15.75" customHeight="1">
      <c r="C610" s="7"/>
      <c r="D610" s="7"/>
      <c r="H610" s="7"/>
      <c r="Q610" s="3">
        <v>30265</v>
      </c>
      <c r="R610" s="5" t="s">
        <v>663</v>
      </c>
      <c r="V610" s="3">
        <v>133</v>
      </c>
      <c r="W610" s="5" t="s">
        <v>664</v>
      </c>
    </row>
    <row r="611" spans="3:23" ht="15.75" customHeight="1">
      <c r="C611" s="7"/>
      <c r="D611" s="7"/>
      <c r="H611" s="7"/>
      <c r="Q611" s="3">
        <v>30266</v>
      </c>
      <c r="R611" s="5" t="s">
        <v>665</v>
      </c>
      <c r="V611" s="3">
        <v>133</v>
      </c>
      <c r="W611" s="5" t="s">
        <v>656</v>
      </c>
    </row>
    <row r="612" spans="3:23" ht="15.75" customHeight="1">
      <c r="C612" s="7"/>
      <c r="D612" s="7"/>
      <c r="H612" s="7"/>
      <c r="Q612" s="3">
        <v>30268</v>
      </c>
      <c r="R612" s="5" t="s">
        <v>666</v>
      </c>
      <c r="V612" s="3">
        <v>134</v>
      </c>
      <c r="W612" s="5" t="s">
        <v>302</v>
      </c>
    </row>
    <row r="613" spans="3:23" ht="15.75" customHeight="1">
      <c r="C613" s="7"/>
      <c r="D613" s="7"/>
      <c r="H613" s="7"/>
      <c r="Q613" s="3">
        <v>30296</v>
      </c>
      <c r="R613" s="5" t="s">
        <v>667</v>
      </c>
      <c r="V613" s="3">
        <v>134</v>
      </c>
      <c r="W613" s="5" t="s">
        <v>664</v>
      </c>
    </row>
    <row r="614" spans="3:23" ht="15.75" customHeight="1">
      <c r="C614" s="7"/>
      <c r="D614" s="7"/>
      <c r="H614" s="7"/>
      <c r="Q614" s="3">
        <v>30301</v>
      </c>
      <c r="R614" s="5" t="s">
        <v>668</v>
      </c>
      <c r="V614" s="3">
        <v>134</v>
      </c>
      <c r="W614" s="5" t="s">
        <v>664</v>
      </c>
    </row>
    <row r="615" spans="3:23" ht="15.75" customHeight="1">
      <c r="C615" s="7"/>
      <c r="D615" s="7"/>
      <c r="H615" s="7"/>
      <c r="Q615" s="3">
        <v>30302</v>
      </c>
      <c r="R615" s="5" t="s">
        <v>669</v>
      </c>
      <c r="V615" s="3">
        <v>134</v>
      </c>
      <c r="W615" s="5" t="s">
        <v>562</v>
      </c>
    </row>
    <row r="616" spans="3:23" ht="15.75" customHeight="1">
      <c r="C616" s="7"/>
      <c r="D616" s="7"/>
      <c r="H616" s="7"/>
      <c r="Q616" s="3">
        <v>30303</v>
      </c>
      <c r="R616" s="5" t="s">
        <v>670</v>
      </c>
      <c r="V616" s="3">
        <v>134</v>
      </c>
      <c r="W616" s="5" t="s">
        <v>204</v>
      </c>
    </row>
    <row r="617" spans="3:23" ht="15.75" customHeight="1">
      <c r="C617" s="7"/>
      <c r="D617" s="7"/>
      <c r="H617" s="7"/>
      <c r="Q617" s="3">
        <v>30306</v>
      </c>
      <c r="R617" s="5" t="s">
        <v>671</v>
      </c>
      <c r="V617" s="3">
        <v>134</v>
      </c>
      <c r="W617" s="5" t="s">
        <v>656</v>
      </c>
    </row>
    <row r="618" spans="3:23" ht="15.75" customHeight="1">
      <c r="C618" s="7"/>
      <c r="D618" s="7"/>
      <c r="H618" s="7"/>
      <c r="Q618" s="3">
        <v>30308</v>
      </c>
      <c r="R618" s="5" t="s">
        <v>672</v>
      </c>
      <c r="V618" s="3">
        <v>134</v>
      </c>
      <c r="W618" s="5" t="s">
        <v>94</v>
      </c>
    </row>
    <row r="619" spans="3:23" ht="15.75" customHeight="1">
      <c r="C619" s="7"/>
      <c r="D619" s="7"/>
      <c r="H619" s="7"/>
      <c r="Q619" s="3">
        <v>30313</v>
      </c>
      <c r="R619" s="5" t="s">
        <v>673</v>
      </c>
      <c r="V619" s="3">
        <v>134</v>
      </c>
      <c r="W619" s="5" t="s">
        <v>68</v>
      </c>
    </row>
    <row r="620" spans="3:23" ht="15.75" customHeight="1">
      <c r="C620" s="7"/>
      <c r="D620" s="7"/>
      <c r="H620" s="7"/>
      <c r="Q620" s="3">
        <v>30319</v>
      </c>
      <c r="R620" s="5" t="s">
        <v>674</v>
      </c>
      <c r="V620" s="3">
        <v>134</v>
      </c>
      <c r="W620" s="5" t="s">
        <v>575</v>
      </c>
    </row>
    <row r="621" spans="3:23" ht="15.75" customHeight="1">
      <c r="C621" s="7"/>
      <c r="D621" s="7"/>
      <c r="H621" s="7"/>
      <c r="Q621" s="3">
        <v>30320</v>
      </c>
      <c r="R621" s="5" t="s">
        <v>675</v>
      </c>
      <c r="V621" s="3">
        <v>134</v>
      </c>
      <c r="W621" s="5" t="s">
        <v>498</v>
      </c>
    </row>
    <row r="622" spans="3:23" ht="15.75" customHeight="1">
      <c r="C622" s="7"/>
      <c r="D622" s="7"/>
      <c r="H622" s="7"/>
      <c r="Q622" s="3">
        <v>30321</v>
      </c>
      <c r="R622" s="5" t="s">
        <v>676</v>
      </c>
      <c r="V622" s="3">
        <v>134</v>
      </c>
      <c r="W622" s="5" t="s">
        <v>266</v>
      </c>
    </row>
    <row r="623" spans="3:23" ht="15.75" customHeight="1">
      <c r="C623" s="7"/>
      <c r="D623" s="7"/>
      <c r="H623" s="7"/>
      <c r="Q623" s="3">
        <v>30326</v>
      </c>
      <c r="R623" s="5" t="s">
        <v>677</v>
      </c>
      <c r="V623" s="3">
        <v>134</v>
      </c>
      <c r="W623" s="5" t="s">
        <v>656</v>
      </c>
    </row>
    <row r="624" spans="3:23" ht="15.75" customHeight="1">
      <c r="C624" s="7"/>
      <c r="D624" s="7"/>
      <c r="H624" s="7"/>
      <c r="Q624" s="3">
        <v>30327</v>
      </c>
      <c r="R624" s="5" t="s">
        <v>678</v>
      </c>
      <c r="V624" s="3">
        <v>134</v>
      </c>
      <c r="W624" s="5" t="s">
        <v>656</v>
      </c>
    </row>
    <row r="625" spans="3:23" ht="15.75" customHeight="1">
      <c r="C625" s="7"/>
      <c r="D625" s="7"/>
      <c r="H625" s="7"/>
      <c r="Q625" s="3">
        <v>30348</v>
      </c>
      <c r="R625" s="5" t="s">
        <v>679</v>
      </c>
      <c r="V625" s="3">
        <v>134</v>
      </c>
      <c r="W625" s="5" t="s">
        <v>575</v>
      </c>
    </row>
    <row r="626" spans="3:23" ht="15.75" customHeight="1">
      <c r="C626" s="7"/>
      <c r="D626" s="7"/>
      <c r="H626" s="7"/>
      <c r="Q626" s="3">
        <v>30349</v>
      </c>
      <c r="R626" s="5" t="s">
        <v>680</v>
      </c>
      <c r="V626" s="3">
        <v>134</v>
      </c>
      <c r="W626" s="5" t="s">
        <v>656</v>
      </c>
    </row>
    <row r="627" spans="3:23" ht="15.75" customHeight="1">
      <c r="C627" s="7"/>
      <c r="D627" s="7"/>
      <c r="H627" s="7"/>
      <c r="Q627" s="3">
        <v>30351</v>
      </c>
      <c r="R627" s="5" t="s">
        <v>681</v>
      </c>
      <c r="V627" s="3">
        <v>135</v>
      </c>
      <c r="W627" s="5" t="s">
        <v>656</v>
      </c>
    </row>
    <row r="628" spans="3:23" ht="15.75" customHeight="1">
      <c r="C628" s="7"/>
      <c r="D628" s="7"/>
      <c r="H628" s="7"/>
      <c r="Q628" s="3">
        <v>30352</v>
      </c>
      <c r="R628" s="5" t="s">
        <v>682</v>
      </c>
      <c r="V628" s="3">
        <v>135</v>
      </c>
      <c r="W628" s="5" t="s">
        <v>656</v>
      </c>
    </row>
    <row r="629" spans="3:23" ht="15.75" customHeight="1">
      <c r="C629" s="7"/>
      <c r="D629" s="7"/>
      <c r="H629" s="7"/>
      <c r="Q629" s="3">
        <v>30353</v>
      </c>
      <c r="R629" s="5" t="s">
        <v>683</v>
      </c>
      <c r="V629" s="3">
        <v>135</v>
      </c>
      <c r="W629" s="5" t="s">
        <v>575</v>
      </c>
    </row>
    <row r="630" spans="3:23" ht="15.75" customHeight="1">
      <c r="C630" s="7"/>
      <c r="D630" s="7"/>
      <c r="H630" s="7"/>
      <c r="Q630" s="3">
        <v>30368</v>
      </c>
      <c r="R630" s="5" t="s">
        <v>684</v>
      </c>
      <c r="V630" s="3">
        <v>135</v>
      </c>
      <c r="W630" s="5" t="s">
        <v>23</v>
      </c>
    </row>
    <row r="631" spans="3:23" ht="15.75" customHeight="1">
      <c r="C631" s="7"/>
      <c r="D631" s="7"/>
      <c r="H631" s="7"/>
      <c r="Q631" s="3">
        <v>30383</v>
      </c>
      <c r="R631" s="5" t="s">
        <v>685</v>
      </c>
      <c r="V631" s="3">
        <v>135</v>
      </c>
      <c r="W631" s="5" t="s">
        <v>575</v>
      </c>
    </row>
    <row r="632" spans="3:23" ht="15.75" customHeight="1">
      <c r="C632" s="7"/>
      <c r="D632" s="7"/>
      <c r="H632" s="7"/>
      <c r="Q632" s="3">
        <v>30423</v>
      </c>
      <c r="R632" s="5" t="s">
        <v>686</v>
      </c>
      <c r="V632" s="3">
        <v>135</v>
      </c>
      <c r="W632" s="5" t="s">
        <v>23</v>
      </c>
    </row>
    <row r="633" spans="3:23" ht="15.75" customHeight="1">
      <c r="C633" s="7"/>
      <c r="D633" s="7"/>
      <c r="H633" s="7"/>
      <c r="Q633" s="3">
        <v>30434</v>
      </c>
      <c r="R633" s="5" t="s">
        <v>687</v>
      </c>
      <c r="V633" s="3">
        <v>136</v>
      </c>
      <c r="W633" s="5" t="s">
        <v>498</v>
      </c>
    </row>
    <row r="634" spans="3:23" ht="15.75" customHeight="1">
      <c r="C634" s="7"/>
      <c r="D634" s="7"/>
      <c r="H634" s="7"/>
      <c r="Q634" s="3">
        <v>30495</v>
      </c>
      <c r="R634" s="5" t="s">
        <v>688</v>
      </c>
      <c r="V634" s="3">
        <v>136</v>
      </c>
      <c r="W634" s="5" t="s">
        <v>204</v>
      </c>
    </row>
    <row r="635" spans="3:23" ht="15.75" customHeight="1">
      <c r="C635" s="7"/>
      <c r="D635" s="7"/>
      <c r="H635" s="7"/>
      <c r="Q635" s="3">
        <v>30499</v>
      </c>
      <c r="R635" s="5" t="s">
        <v>689</v>
      </c>
      <c r="V635" s="3">
        <v>136</v>
      </c>
      <c r="W635" s="5" t="s">
        <v>204</v>
      </c>
    </row>
    <row r="636" spans="3:23" ht="15.75" customHeight="1">
      <c r="C636" s="7"/>
      <c r="D636" s="7"/>
      <c r="H636" s="7"/>
      <c r="Q636" s="3">
        <v>30500</v>
      </c>
      <c r="R636" s="5" t="s">
        <v>690</v>
      </c>
      <c r="V636" s="3">
        <v>136</v>
      </c>
      <c r="W636" s="5" t="s">
        <v>656</v>
      </c>
    </row>
    <row r="637" spans="3:23" ht="15.75" customHeight="1">
      <c r="C637" s="7"/>
      <c r="D637" s="7"/>
      <c r="H637" s="7"/>
      <c r="Q637" s="3">
        <v>30504</v>
      </c>
      <c r="R637" s="5" t="s">
        <v>691</v>
      </c>
      <c r="V637" s="3">
        <v>136</v>
      </c>
      <c r="W637" s="5" t="s">
        <v>656</v>
      </c>
    </row>
    <row r="638" spans="3:23" ht="15.75" customHeight="1">
      <c r="C638" s="7"/>
      <c r="D638" s="7"/>
      <c r="H638" s="7"/>
      <c r="Q638" s="3">
        <v>30515</v>
      </c>
      <c r="R638" s="5" t="s">
        <v>692</v>
      </c>
      <c r="V638" s="3">
        <v>136</v>
      </c>
      <c r="W638" s="5" t="s">
        <v>656</v>
      </c>
    </row>
    <row r="639" spans="3:23" ht="15.75" customHeight="1">
      <c r="C639" s="7"/>
      <c r="D639" s="7"/>
      <c r="H639" s="7"/>
      <c r="Q639" s="3">
        <v>30572</v>
      </c>
      <c r="R639" s="5" t="s">
        <v>693</v>
      </c>
      <c r="V639" s="3">
        <v>136</v>
      </c>
      <c r="W639" s="5" t="s">
        <v>656</v>
      </c>
    </row>
    <row r="640" spans="3:23" ht="15.75" customHeight="1">
      <c r="C640" s="7"/>
      <c r="D640" s="7"/>
      <c r="H640" s="7"/>
      <c r="Q640" s="3">
        <v>30613</v>
      </c>
      <c r="R640" s="5" t="s">
        <v>694</v>
      </c>
      <c r="V640" s="3">
        <v>136</v>
      </c>
      <c r="W640" s="5" t="s">
        <v>575</v>
      </c>
    </row>
    <row r="641" spans="3:23" ht="15.75" customHeight="1">
      <c r="C641" s="7"/>
      <c r="D641" s="7"/>
      <c r="H641" s="7"/>
      <c r="Q641" s="3">
        <v>30614</v>
      </c>
      <c r="R641" s="5" t="s">
        <v>695</v>
      </c>
      <c r="V641" s="3">
        <v>136</v>
      </c>
      <c r="W641" s="5" t="s">
        <v>68</v>
      </c>
    </row>
    <row r="642" spans="3:23" ht="15.75" customHeight="1">
      <c r="C642" s="7"/>
      <c r="D642" s="7"/>
      <c r="H642" s="7"/>
      <c r="Q642" s="3">
        <v>30616</v>
      </c>
      <c r="R642" s="5" t="s">
        <v>696</v>
      </c>
      <c r="V642" s="3">
        <v>136</v>
      </c>
      <c r="W642" s="5" t="s">
        <v>575</v>
      </c>
    </row>
    <row r="643" spans="3:23" ht="15.75" customHeight="1">
      <c r="C643" s="7"/>
      <c r="D643" s="7"/>
      <c r="H643" s="7"/>
      <c r="Q643" s="3">
        <v>30619</v>
      </c>
      <c r="R643" s="5" t="s">
        <v>697</v>
      </c>
      <c r="V643" s="3">
        <v>136</v>
      </c>
      <c r="W643" s="5" t="s">
        <v>656</v>
      </c>
    </row>
    <row r="644" spans="3:23" ht="15.75" customHeight="1">
      <c r="C644" s="7"/>
      <c r="D644" s="7"/>
      <c r="H644" s="7"/>
      <c r="Q644" s="3">
        <v>30623</v>
      </c>
      <c r="R644" s="5" t="s">
        <v>698</v>
      </c>
      <c r="V644" s="3">
        <v>136</v>
      </c>
      <c r="W644" s="5" t="s">
        <v>656</v>
      </c>
    </row>
    <row r="645" spans="3:23" ht="15.75" customHeight="1">
      <c r="C645" s="7"/>
      <c r="D645" s="7"/>
      <c r="H645" s="7"/>
      <c r="Q645" s="3">
        <v>30640</v>
      </c>
      <c r="R645" s="5" t="s">
        <v>699</v>
      </c>
      <c r="V645" s="3">
        <v>136</v>
      </c>
      <c r="W645" s="5" t="s">
        <v>656</v>
      </c>
    </row>
    <row r="646" spans="3:23" ht="15.75" customHeight="1">
      <c r="C646" s="7"/>
      <c r="D646" s="7"/>
      <c r="H646" s="7"/>
      <c r="Q646" s="3">
        <v>30644</v>
      </c>
      <c r="R646" s="5" t="s">
        <v>700</v>
      </c>
      <c r="V646" s="3">
        <v>136</v>
      </c>
      <c r="W646" s="5" t="s">
        <v>656</v>
      </c>
    </row>
    <row r="647" spans="3:23" ht="15.75" customHeight="1">
      <c r="C647" s="7"/>
      <c r="D647" s="7"/>
      <c r="H647" s="7"/>
      <c r="Q647" s="3">
        <v>30687</v>
      </c>
      <c r="R647" s="5" t="s">
        <v>701</v>
      </c>
      <c r="V647" s="3">
        <v>136</v>
      </c>
      <c r="W647" s="5" t="s">
        <v>656</v>
      </c>
    </row>
    <row r="648" spans="3:23" ht="15.75" customHeight="1">
      <c r="C648" s="7"/>
      <c r="D648" s="7"/>
      <c r="H648" s="7"/>
      <c r="Q648" s="3">
        <v>30689</v>
      </c>
      <c r="R648" s="5" t="s">
        <v>702</v>
      </c>
      <c r="V648" s="3">
        <v>136</v>
      </c>
      <c r="W648" s="5" t="s">
        <v>656</v>
      </c>
    </row>
    <row r="649" spans="3:23" ht="15.75" customHeight="1">
      <c r="C649" s="7"/>
      <c r="D649" s="7"/>
      <c r="H649" s="7"/>
      <c r="Q649" s="3">
        <v>30690</v>
      </c>
      <c r="R649" s="5" t="s">
        <v>703</v>
      </c>
      <c r="V649" s="3">
        <v>136</v>
      </c>
      <c r="W649" s="5" t="s">
        <v>656</v>
      </c>
    </row>
    <row r="650" spans="3:23" ht="15.75" customHeight="1">
      <c r="C650" s="7"/>
      <c r="D650" s="7"/>
      <c r="H650" s="7"/>
      <c r="Q650" s="3">
        <v>30691</v>
      </c>
      <c r="R650" s="5" t="s">
        <v>704</v>
      </c>
      <c r="V650" s="3">
        <v>136</v>
      </c>
      <c r="W650" s="5" t="s">
        <v>656</v>
      </c>
    </row>
    <row r="651" spans="3:23" ht="15.75" customHeight="1">
      <c r="C651" s="7"/>
      <c r="D651" s="7"/>
      <c r="H651" s="7"/>
      <c r="Q651" s="3">
        <v>30692</v>
      </c>
      <c r="R651" s="5" t="s">
        <v>705</v>
      </c>
      <c r="V651" s="3">
        <v>136</v>
      </c>
      <c r="W651" s="5" t="s">
        <v>656</v>
      </c>
    </row>
    <row r="652" spans="3:23" ht="15.75" customHeight="1">
      <c r="C652" s="7"/>
      <c r="D652" s="7"/>
      <c r="H652" s="7"/>
      <c r="Q652" s="3">
        <v>30693</v>
      </c>
      <c r="R652" s="5" t="s">
        <v>706</v>
      </c>
      <c r="V652" s="3">
        <v>136</v>
      </c>
      <c r="W652" s="5" t="s">
        <v>656</v>
      </c>
    </row>
    <row r="653" spans="3:23" ht="15.75" customHeight="1">
      <c r="C653" s="7"/>
      <c r="D653" s="7"/>
      <c r="H653" s="7"/>
      <c r="Q653" s="3">
        <v>30694</v>
      </c>
      <c r="R653" s="5" t="s">
        <v>707</v>
      </c>
      <c r="V653" s="3">
        <v>136</v>
      </c>
      <c r="W653" s="5" t="s">
        <v>656</v>
      </c>
    </row>
    <row r="654" spans="3:23" ht="15.75" customHeight="1">
      <c r="C654" s="7"/>
      <c r="D654" s="7"/>
      <c r="H654" s="7"/>
      <c r="Q654" s="3">
        <v>30695</v>
      </c>
      <c r="R654" s="5" t="s">
        <v>708</v>
      </c>
      <c r="V654" s="3">
        <v>136</v>
      </c>
      <c r="W654" s="5" t="s">
        <v>656</v>
      </c>
    </row>
    <row r="655" spans="3:23" ht="15.75" customHeight="1">
      <c r="C655" s="7"/>
      <c r="D655" s="7"/>
      <c r="H655" s="7"/>
      <c r="Q655" s="3">
        <v>30697</v>
      </c>
      <c r="R655" s="5" t="s">
        <v>709</v>
      </c>
      <c r="V655" s="3">
        <v>136</v>
      </c>
      <c r="W655" s="5" t="s">
        <v>656</v>
      </c>
    </row>
    <row r="656" spans="3:23" ht="15.75" customHeight="1">
      <c r="C656" s="7"/>
      <c r="D656" s="7"/>
      <c r="H656" s="7"/>
      <c r="Q656" s="3">
        <v>30698</v>
      </c>
      <c r="R656" s="5" t="s">
        <v>710</v>
      </c>
      <c r="V656" s="3">
        <v>136</v>
      </c>
      <c r="W656" s="5" t="s">
        <v>68</v>
      </c>
    </row>
    <row r="657" spans="3:23" ht="15.75" customHeight="1">
      <c r="C657" s="7"/>
      <c r="D657" s="7"/>
      <c r="H657" s="7"/>
      <c r="Q657" s="3">
        <v>30699</v>
      </c>
      <c r="R657" s="5" t="s">
        <v>711</v>
      </c>
      <c r="V657" s="3">
        <v>137</v>
      </c>
      <c r="W657" s="5" t="s">
        <v>68</v>
      </c>
    </row>
    <row r="658" spans="3:23" ht="15.75" customHeight="1">
      <c r="C658" s="7"/>
      <c r="D658" s="7"/>
      <c r="H658" s="7"/>
      <c r="Q658" s="3">
        <v>30700</v>
      </c>
      <c r="R658" s="5" t="s">
        <v>712</v>
      </c>
      <c r="V658" s="3">
        <v>137</v>
      </c>
      <c r="W658" s="5" t="s">
        <v>494</v>
      </c>
    </row>
    <row r="659" spans="3:23" ht="15.75" customHeight="1">
      <c r="C659" s="7"/>
      <c r="D659" s="7"/>
      <c r="H659" s="7"/>
      <c r="Q659" s="3">
        <v>30701</v>
      </c>
      <c r="R659" s="5" t="s">
        <v>713</v>
      </c>
      <c r="V659" s="3">
        <v>137</v>
      </c>
      <c r="W659" s="5" t="s">
        <v>23</v>
      </c>
    </row>
    <row r="660" spans="3:23" ht="15.75" customHeight="1">
      <c r="C660" s="7"/>
      <c r="D660" s="7"/>
      <c r="H660" s="7"/>
      <c r="Q660" s="3">
        <v>30702</v>
      </c>
      <c r="R660" s="5" t="s">
        <v>714</v>
      </c>
      <c r="V660" s="3">
        <v>137</v>
      </c>
      <c r="W660" s="5" t="s">
        <v>89</v>
      </c>
    </row>
    <row r="661" spans="3:23" ht="15.75" customHeight="1">
      <c r="C661" s="7"/>
      <c r="D661" s="7"/>
      <c r="H661" s="7"/>
      <c r="Q661" s="3">
        <v>30703</v>
      </c>
      <c r="R661" s="5" t="s">
        <v>715</v>
      </c>
      <c r="V661" s="3">
        <v>137</v>
      </c>
      <c r="W661" s="5" t="s">
        <v>494</v>
      </c>
    </row>
    <row r="662" spans="3:23" ht="15.75" customHeight="1">
      <c r="C662" s="7"/>
      <c r="D662" s="7"/>
      <c r="H662" s="7"/>
      <c r="Q662" s="3">
        <v>30704</v>
      </c>
      <c r="R662" s="5" t="s">
        <v>716</v>
      </c>
      <c r="V662" s="3">
        <v>138</v>
      </c>
      <c r="W662" s="5" t="s">
        <v>68</v>
      </c>
    </row>
    <row r="663" spans="3:23" ht="15.75" customHeight="1">
      <c r="C663" s="7"/>
      <c r="D663" s="7"/>
      <c r="H663" s="7"/>
      <c r="Q663" s="3">
        <v>30721</v>
      </c>
      <c r="R663" s="5" t="s">
        <v>717</v>
      </c>
      <c r="V663" s="3">
        <v>138</v>
      </c>
      <c r="W663" s="5" t="s">
        <v>68</v>
      </c>
    </row>
    <row r="664" spans="3:23" ht="15.75" customHeight="1">
      <c r="C664" s="7"/>
      <c r="D664" s="7"/>
      <c r="H664" s="7"/>
      <c r="Q664" s="3">
        <v>30722</v>
      </c>
      <c r="R664" s="5" t="s">
        <v>718</v>
      </c>
      <c r="V664" s="3">
        <v>139</v>
      </c>
      <c r="W664" s="5" t="s">
        <v>656</v>
      </c>
    </row>
    <row r="665" spans="3:23" ht="15.75" customHeight="1">
      <c r="C665" s="7"/>
      <c r="D665" s="7"/>
      <c r="H665" s="7"/>
      <c r="Q665" s="3">
        <v>30723</v>
      </c>
      <c r="R665" s="5" t="s">
        <v>719</v>
      </c>
      <c r="V665" s="3">
        <v>140</v>
      </c>
      <c r="W665" s="5" t="s">
        <v>89</v>
      </c>
    </row>
    <row r="666" spans="3:23" ht="15.75" customHeight="1">
      <c r="C666" s="7"/>
      <c r="D666" s="7"/>
      <c r="H666" s="7"/>
      <c r="Q666" s="3">
        <v>30728</v>
      </c>
      <c r="R666" s="5" t="s">
        <v>720</v>
      </c>
      <c r="V666" s="3">
        <v>140</v>
      </c>
      <c r="W666" s="5" t="s">
        <v>494</v>
      </c>
    </row>
    <row r="667" spans="3:23" ht="15.75" customHeight="1">
      <c r="C667" s="7"/>
      <c r="D667" s="7"/>
      <c r="H667" s="7"/>
      <c r="Q667" s="3">
        <v>30730</v>
      </c>
      <c r="R667" s="5" t="s">
        <v>721</v>
      </c>
      <c r="V667" s="3">
        <v>140</v>
      </c>
      <c r="W667" s="5" t="s">
        <v>562</v>
      </c>
    </row>
    <row r="668" spans="3:23" ht="15.75" customHeight="1">
      <c r="C668" s="7"/>
      <c r="D668" s="7"/>
      <c r="H668" s="7"/>
      <c r="Q668" s="3">
        <v>30769</v>
      </c>
      <c r="R668" s="5" t="s">
        <v>722</v>
      </c>
      <c r="V668" s="3">
        <v>140</v>
      </c>
      <c r="W668" s="5" t="s">
        <v>656</v>
      </c>
    </row>
    <row r="669" spans="3:23" ht="15.75" customHeight="1">
      <c r="C669" s="7"/>
      <c r="D669" s="7"/>
      <c r="H669" s="7"/>
      <c r="Q669" s="3">
        <v>30787</v>
      </c>
      <c r="R669" s="5" t="s">
        <v>723</v>
      </c>
      <c r="V669" s="3">
        <v>140</v>
      </c>
      <c r="W669" s="5" t="s">
        <v>420</v>
      </c>
    </row>
    <row r="670" spans="3:23" ht="15.75" customHeight="1">
      <c r="C670" s="7"/>
      <c r="D670" s="7"/>
      <c r="H670" s="7"/>
      <c r="Q670" s="3">
        <v>30788</v>
      </c>
      <c r="R670" s="5" t="s">
        <v>724</v>
      </c>
      <c r="V670" s="3">
        <v>140</v>
      </c>
      <c r="W670" s="5" t="s">
        <v>420</v>
      </c>
    </row>
    <row r="671" spans="3:23" ht="15.75" customHeight="1">
      <c r="C671" s="7"/>
      <c r="D671" s="7"/>
      <c r="H671" s="7"/>
      <c r="Q671" s="3">
        <v>30801</v>
      </c>
      <c r="R671" s="5" t="s">
        <v>725</v>
      </c>
      <c r="V671" s="3">
        <v>140</v>
      </c>
      <c r="W671" s="5" t="s">
        <v>656</v>
      </c>
    </row>
    <row r="672" spans="3:23" ht="15.75" customHeight="1">
      <c r="C672" s="7"/>
      <c r="D672" s="7"/>
      <c r="H672" s="7"/>
      <c r="Q672" s="3">
        <v>30808</v>
      </c>
      <c r="R672" s="5" t="s">
        <v>726</v>
      </c>
      <c r="V672" s="3">
        <v>141</v>
      </c>
      <c r="W672" s="5" t="s">
        <v>656</v>
      </c>
    </row>
    <row r="673" spans="3:23" ht="15.75" customHeight="1">
      <c r="C673" s="7"/>
      <c r="D673" s="7"/>
      <c r="H673" s="7"/>
      <c r="Q673" s="3">
        <v>30812</v>
      </c>
      <c r="R673" s="5" t="s">
        <v>727</v>
      </c>
      <c r="V673" s="3">
        <v>141</v>
      </c>
      <c r="W673" s="5" t="s">
        <v>94</v>
      </c>
    </row>
    <row r="674" spans="3:23" ht="15.75" customHeight="1">
      <c r="C674" s="7"/>
      <c r="D674" s="7"/>
      <c r="H674" s="7"/>
      <c r="Q674" s="3">
        <v>30814</v>
      </c>
      <c r="R674" s="5" t="s">
        <v>728</v>
      </c>
      <c r="V674" s="3">
        <v>141</v>
      </c>
      <c r="W674" s="5" t="s">
        <v>656</v>
      </c>
    </row>
    <row r="675" spans="3:23" ht="15.75" customHeight="1">
      <c r="C675" s="7"/>
      <c r="D675" s="7"/>
      <c r="H675" s="7"/>
      <c r="Q675" s="3">
        <v>30823</v>
      </c>
      <c r="R675" s="5" t="s">
        <v>729</v>
      </c>
      <c r="V675" s="3">
        <v>141</v>
      </c>
      <c r="W675" s="5" t="s">
        <v>656</v>
      </c>
    </row>
    <row r="676" spans="3:23" ht="15.75" customHeight="1">
      <c r="C676" s="7"/>
      <c r="D676" s="7"/>
      <c r="H676" s="7"/>
      <c r="Q676" s="3">
        <v>30831</v>
      </c>
      <c r="R676" s="5" t="s">
        <v>730</v>
      </c>
      <c r="V676" s="3">
        <v>141</v>
      </c>
      <c r="W676" s="5" t="s">
        <v>302</v>
      </c>
    </row>
    <row r="677" spans="3:23" ht="15.75" customHeight="1">
      <c r="C677" s="7"/>
      <c r="D677" s="7"/>
      <c r="H677" s="7"/>
      <c r="Q677" s="3">
        <v>30837</v>
      </c>
      <c r="R677" s="5" t="s">
        <v>731</v>
      </c>
      <c r="V677" s="3">
        <v>142</v>
      </c>
      <c r="W677" s="5" t="s">
        <v>266</v>
      </c>
    </row>
    <row r="678" spans="3:23" ht="15.75" customHeight="1">
      <c r="C678" s="7"/>
      <c r="D678" s="7"/>
      <c r="H678" s="7"/>
      <c r="Q678" s="3">
        <v>30859</v>
      </c>
      <c r="R678" s="5" t="s">
        <v>732</v>
      </c>
      <c r="V678" s="3">
        <v>142</v>
      </c>
      <c r="W678" s="5" t="s">
        <v>266</v>
      </c>
    </row>
    <row r="679" spans="3:23" ht="15.75" customHeight="1">
      <c r="C679" s="7"/>
      <c r="D679" s="7"/>
      <c r="H679" s="7"/>
      <c r="Q679" s="3">
        <v>30869</v>
      </c>
      <c r="R679" s="5" t="s">
        <v>733</v>
      </c>
      <c r="V679" s="3">
        <v>143</v>
      </c>
      <c r="W679" s="5" t="s">
        <v>23</v>
      </c>
    </row>
    <row r="680" spans="3:23" ht="15.75" customHeight="1">
      <c r="C680" s="7"/>
      <c r="D680" s="7"/>
      <c r="H680" s="7"/>
      <c r="Q680" s="3">
        <v>30870</v>
      </c>
      <c r="R680" s="5" t="s">
        <v>734</v>
      </c>
      <c r="V680" s="3">
        <v>143</v>
      </c>
      <c r="W680" s="5" t="s">
        <v>656</v>
      </c>
    </row>
    <row r="681" spans="3:23" ht="15.75" customHeight="1">
      <c r="C681" s="7"/>
      <c r="D681" s="7"/>
      <c r="H681" s="7"/>
      <c r="Q681" s="3">
        <v>30871</v>
      </c>
      <c r="R681" s="5" t="s">
        <v>735</v>
      </c>
      <c r="V681" s="3">
        <v>143</v>
      </c>
      <c r="W681" s="5" t="s">
        <v>168</v>
      </c>
    </row>
    <row r="682" spans="3:23" ht="15.75" customHeight="1">
      <c r="C682" s="7"/>
      <c r="D682" s="7"/>
      <c r="H682" s="7"/>
      <c r="Q682" s="3">
        <v>30897</v>
      </c>
      <c r="R682" s="5" t="s">
        <v>736</v>
      </c>
      <c r="V682" s="3">
        <v>143</v>
      </c>
      <c r="W682" s="5" t="s">
        <v>158</v>
      </c>
    </row>
    <row r="683" spans="3:23" ht="15.75" customHeight="1">
      <c r="C683" s="7"/>
      <c r="D683" s="7"/>
      <c r="H683" s="7"/>
      <c r="Q683" s="3">
        <v>30923</v>
      </c>
      <c r="R683" s="5" t="s">
        <v>737</v>
      </c>
      <c r="V683" s="3">
        <v>143</v>
      </c>
      <c r="W683" s="5" t="s">
        <v>611</v>
      </c>
    </row>
    <row r="684" spans="3:23" ht="15.75" customHeight="1">
      <c r="C684" s="7"/>
      <c r="D684" s="7"/>
      <c r="H684" s="7"/>
      <c r="Q684" s="3">
        <v>30926</v>
      </c>
      <c r="R684" s="5" t="s">
        <v>738</v>
      </c>
      <c r="V684" s="3">
        <v>144</v>
      </c>
      <c r="W684" s="5" t="s">
        <v>302</v>
      </c>
    </row>
    <row r="685" spans="3:23" ht="15.75" customHeight="1">
      <c r="C685" s="7"/>
      <c r="D685" s="7"/>
      <c r="H685" s="7"/>
      <c r="Q685" s="3">
        <v>30927</v>
      </c>
      <c r="R685" s="5" t="s">
        <v>739</v>
      </c>
      <c r="V685" s="3">
        <v>144</v>
      </c>
      <c r="W685" s="5" t="s">
        <v>23</v>
      </c>
    </row>
    <row r="686" spans="3:23" ht="15.75" customHeight="1">
      <c r="C686" s="7"/>
      <c r="D686" s="7"/>
      <c r="H686" s="7"/>
      <c r="Q686" s="3">
        <v>30929</v>
      </c>
      <c r="R686" s="5" t="s">
        <v>740</v>
      </c>
      <c r="V686" s="3">
        <v>145</v>
      </c>
      <c r="W686" s="5" t="s">
        <v>611</v>
      </c>
    </row>
    <row r="687" spans="3:23" ht="15.75" customHeight="1">
      <c r="C687" s="7"/>
      <c r="D687" s="7"/>
      <c r="H687" s="7"/>
      <c r="Q687" s="3">
        <v>30930</v>
      </c>
      <c r="R687" s="5" t="s">
        <v>741</v>
      </c>
      <c r="V687" s="3">
        <v>145</v>
      </c>
      <c r="W687" s="5" t="s">
        <v>94</v>
      </c>
    </row>
    <row r="688" spans="3:23" ht="15.75" customHeight="1">
      <c r="C688" s="7"/>
      <c r="D688" s="7"/>
      <c r="H688" s="7"/>
      <c r="Q688" s="3">
        <v>30931</v>
      </c>
      <c r="R688" s="5" t="s">
        <v>742</v>
      </c>
      <c r="V688" s="3">
        <v>145</v>
      </c>
      <c r="W688" s="5" t="s">
        <v>611</v>
      </c>
    </row>
    <row r="689" spans="3:23" ht="15.75" customHeight="1">
      <c r="C689" s="7"/>
      <c r="D689" s="7"/>
      <c r="H689" s="7"/>
      <c r="Q689" s="3">
        <v>30932</v>
      </c>
      <c r="R689" s="5" t="s">
        <v>743</v>
      </c>
      <c r="V689" s="3">
        <v>146</v>
      </c>
      <c r="W689" s="5" t="s">
        <v>94</v>
      </c>
    </row>
    <row r="690" spans="3:23" ht="15.75" customHeight="1">
      <c r="C690" s="7"/>
      <c r="D690" s="7"/>
      <c r="H690" s="7"/>
      <c r="Q690" s="3">
        <v>30933</v>
      </c>
      <c r="R690" s="5" t="s">
        <v>744</v>
      </c>
      <c r="V690" s="3">
        <v>146</v>
      </c>
      <c r="W690" s="5" t="s">
        <v>89</v>
      </c>
    </row>
    <row r="691" spans="3:23" ht="15.75" customHeight="1">
      <c r="C691" s="7"/>
      <c r="D691" s="7"/>
      <c r="H691" s="7"/>
      <c r="Q691" s="3">
        <v>30948</v>
      </c>
      <c r="R691" s="5" t="s">
        <v>745</v>
      </c>
      <c r="V691" s="3">
        <v>147</v>
      </c>
      <c r="W691" s="5" t="s">
        <v>23</v>
      </c>
    </row>
    <row r="692" spans="3:23" ht="15.75" customHeight="1">
      <c r="C692" s="7"/>
      <c r="D692" s="7"/>
      <c r="H692" s="7"/>
      <c r="Q692" s="3">
        <v>30949</v>
      </c>
      <c r="R692" s="5" t="s">
        <v>746</v>
      </c>
      <c r="V692" s="3">
        <v>147</v>
      </c>
      <c r="W692" s="5" t="s">
        <v>302</v>
      </c>
    </row>
    <row r="693" spans="3:23" ht="15.75" customHeight="1">
      <c r="C693" s="7"/>
      <c r="D693" s="7"/>
      <c r="H693" s="7"/>
      <c r="Q693" s="3">
        <v>30950</v>
      </c>
      <c r="R693" s="5" t="s">
        <v>747</v>
      </c>
      <c r="V693" s="3">
        <v>148</v>
      </c>
      <c r="W693" s="5" t="s">
        <v>611</v>
      </c>
    </row>
    <row r="694" spans="3:23" ht="15.75" customHeight="1">
      <c r="C694" s="7"/>
      <c r="D694" s="7"/>
      <c r="H694" s="7"/>
      <c r="Q694" s="3">
        <v>30951</v>
      </c>
      <c r="R694" s="5" t="s">
        <v>748</v>
      </c>
      <c r="V694" s="3">
        <v>149</v>
      </c>
      <c r="W694" s="5" t="s">
        <v>656</v>
      </c>
    </row>
    <row r="695" spans="3:23" ht="15.75" customHeight="1">
      <c r="C695" s="7"/>
      <c r="D695" s="7"/>
      <c r="H695" s="7"/>
      <c r="Q695" s="3">
        <v>30952</v>
      </c>
      <c r="R695" s="5" t="s">
        <v>749</v>
      </c>
      <c r="V695" s="3">
        <v>149</v>
      </c>
      <c r="W695" s="5" t="s">
        <v>656</v>
      </c>
    </row>
    <row r="696" spans="3:23" ht="15.75" customHeight="1">
      <c r="C696" s="7"/>
      <c r="D696" s="7"/>
      <c r="H696" s="7"/>
      <c r="Q696" s="3">
        <v>30953</v>
      </c>
      <c r="R696" s="5" t="s">
        <v>750</v>
      </c>
      <c r="V696" s="3">
        <v>149</v>
      </c>
      <c r="W696" s="5" t="s">
        <v>168</v>
      </c>
    </row>
    <row r="697" spans="3:23" ht="15.75" customHeight="1">
      <c r="C697" s="7"/>
      <c r="D697" s="7"/>
      <c r="H697" s="7"/>
      <c r="Q697" s="3">
        <v>30958</v>
      </c>
      <c r="R697" s="5" t="s">
        <v>751</v>
      </c>
      <c r="V697" s="3">
        <v>149</v>
      </c>
      <c r="W697" s="5" t="s">
        <v>94</v>
      </c>
    </row>
    <row r="698" spans="3:23" ht="15.75" customHeight="1">
      <c r="C698" s="7"/>
      <c r="D698" s="7"/>
      <c r="H698" s="7"/>
      <c r="Q698" s="3">
        <v>30959</v>
      </c>
      <c r="R698" s="5" t="s">
        <v>752</v>
      </c>
      <c r="V698" s="3">
        <v>149</v>
      </c>
      <c r="W698" s="5" t="s">
        <v>302</v>
      </c>
    </row>
    <row r="699" spans="3:23" ht="15.75" customHeight="1">
      <c r="C699" s="7"/>
      <c r="D699" s="7"/>
      <c r="H699" s="7"/>
      <c r="Q699" s="3">
        <v>30960</v>
      </c>
      <c r="R699" s="5" t="s">
        <v>753</v>
      </c>
      <c r="V699" s="3">
        <v>149</v>
      </c>
      <c r="W699" s="5" t="s">
        <v>168</v>
      </c>
    </row>
    <row r="700" spans="3:23" ht="15.75" customHeight="1">
      <c r="C700" s="7"/>
      <c r="D700" s="7"/>
      <c r="H700" s="7"/>
      <c r="Q700" s="3">
        <v>30966</v>
      </c>
      <c r="R700" s="5" t="s">
        <v>754</v>
      </c>
      <c r="V700" s="3">
        <v>149</v>
      </c>
      <c r="W700" s="5" t="s">
        <v>89</v>
      </c>
    </row>
    <row r="701" spans="3:23" ht="15.75" customHeight="1">
      <c r="C701" s="7"/>
      <c r="D701" s="7"/>
      <c r="H701" s="7"/>
      <c r="Q701" s="3">
        <v>30984</v>
      </c>
      <c r="R701" s="5" t="s">
        <v>755</v>
      </c>
      <c r="V701" s="3">
        <v>149</v>
      </c>
      <c r="W701" s="5" t="s">
        <v>89</v>
      </c>
    </row>
    <row r="702" spans="3:23" ht="15.75" customHeight="1">
      <c r="C702" s="7"/>
      <c r="D702" s="7"/>
      <c r="H702" s="7"/>
      <c r="Q702" s="3">
        <v>30986</v>
      </c>
      <c r="R702" s="5" t="s">
        <v>756</v>
      </c>
      <c r="V702" s="3">
        <v>149</v>
      </c>
      <c r="W702" s="5" t="s">
        <v>89</v>
      </c>
    </row>
    <row r="703" spans="3:23" ht="15.75" customHeight="1">
      <c r="C703" s="7"/>
      <c r="D703" s="7"/>
      <c r="H703" s="7"/>
      <c r="Q703" s="3">
        <v>30987</v>
      </c>
      <c r="R703" s="5" t="s">
        <v>757</v>
      </c>
      <c r="V703" s="3">
        <v>149</v>
      </c>
      <c r="W703" s="5" t="s">
        <v>89</v>
      </c>
    </row>
    <row r="704" spans="3:23" ht="15.75" customHeight="1">
      <c r="C704" s="7"/>
      <c r="D704" s="7"/>
      <c r="H704" s="7"/>
      <c r="Q704" s="3">
        <v>30988</v>
      </c>
      <c r="R704" s="5" t="s">
        <v>758</v>
      </c>
      <c r="V704" s="3">
        <v>149</v>
      </c>
      <c r="W704" s="5" t="s">
        <v>570</v>
      </c>
    </row>
    <row r="705" spans="3:23" ht="15.75" customHeight="1">
      <c r="C705" s="7"/>
      <c r="D705" s="7"/>
      <c r="H705" s="7"/>
      <c r="Q705" s="3">
        <v>30992</v>
      </c>
      <c r="R705" s="5" t="s">
        <v>759</v>
      </c>
      <c r="V705" s="3">
        <v>149</v>
      </c>
      <c r="W705" s="5" t="s">
        <v>656</v>
      </c>
    </row>
    <row r="706" spans="3:23" ht="15.75" customHeight="1">
      <c r="C706" s="7"/>
      <c r="D706" s="7"/>
      <c r="H706" s="7"/>
      <c r="Q706" s="3">
        <v>31015</v>
      </c>
      <c r="R706" s="5" t="s">
        <v>760</v>
      </c>
      <c r="V706" s="3">
        <v>149</v>
      </c>
      <c r="W706" s="5" t="s">
        <v>23</v>
      </c>
    </row>
    <row r="707" spans="3:23" ht="15.75" customHeight="1">
      <c r="C707" s="7"/>
      <c r="D707" s="7"/>
      <c r="H707" s="7"/>
      <c r="Q707" s="3">
        <v>31025</v>
      </c>
      <c r="R707" s="5" t="s">
        <v>761</v>
      </c>
      <c r="V707" s="3">
        <v>149</v>
      </c>
      <c r="W707" s="5" t="s">
        <v>23</v>
      </c>
    </row>
    <row r="708" spans="3:23" ht="15.75" customHeight="1">
      <c r="C708" s="7"/>
      <c r="D708" s="7"/>
      <c r="H708" s="7"/>
      <c r="Q708" s="3">
        <v>31026</v>
      </c>
      <c r="R708" s="5" t="s">
        <v>762</v>
      </c>
      <c r="V708" s="3">
        <v>149</v>
      </c>
      <c r="W708" s="5" t="s">
        <v>575</v>
      </c>
    </row>
    <row r="709" spans="3:23" ht="15.75" customHeight="1">
      <c r="C709" s="7"/>
      <c r="D709" s="7"/>
      <c r="H709" s="7"/>
      <c r="Q709" s="3">
        <v>31027</v>
      </c>
      <c r="R709" s="5" t="s">
        <v>763</v>
      </c>
      <c r="V709" s="3">
        <v>149</v>
      </c>
      <c r="W709" s="5" t="s">
        <v>656</v>
      </c>
    </row>
    <row r="710" spans="3:23" ht="15.75" customHeight="1">
      <c r="C710" s="7"/>
      <c r="D710" s="7"/>
      <c r="H710" s="7"/>
      <c r="Q710" s="3">
        <v>31031</v>
      </c>
      <c r="R710" s="5" t="s">
        <v>764</v>
      </c>
      <c r="V710" s="3">
        <v>149</v>
      </c>
      <c r="W710" s="5" t="s">
        <v>68</v>
      </c>
    </row>
    <row r="711" spans="3:23" ht="15.75" customHeight="1">
      <c r="C711" s="7"/>
      <c r="D711" s="7"/>
      <c r="H711" s="7"/>
      <c r="Q711" s="3">
        <v>31032</v>
      </c>
      <c r="R711" s="5" t="s">
        <v>765</v>
      </c>
      <c r="V711" s="3">
        <v>149</v>
      </c>
      <c r="W711" s="5" t="s">
        <v>302</v>
      </c>
    </row>
    <row r="712" spans="3:23" ht="15.75" customHeight="1">
      <c r="C712" s="7"/>
      <c r="D712" s="7"/>
      <c r="H712" s="7"/>
      <c r="Q712" s="3">
        <v>31033</v>
      </c>
      <c r="R712" s="5" t="s">
        <v>766</v>
      </c>
      <c r="V712" s="3">
        <v>149</v>
      </c>
      <c r="W712" s="5" t="s">
        <v>767</v>
      </c>
    </row>
    <row r="713" spans="3:23" ht="15.75" customHeight="1">
      <c r="C713" s="7"/>
      <c r="D713" s="7"/>
      <c r="H713" s="7"/>
      <c r="Q713" s="3">
        <v>31055</v>
      </c>
      <c r="R713" s="5" t="s">
        <v>768</v>
      </c>
      <c r="V713" s="3">
        <v>149</v>
      </c>
      <c r="W713" s="5" t="s">
        <v>217</v>
      </c>
    </row>
    <row r="714" spans="3:23" ht="15.75" customHeight="1">
      <c r="C714" s="7"/>
      <c r="D714" s="7"/>
      <c r="H714" s="7"/>
      <c r="Q714" s="3">
        <v>31058</v>
      </c>
      <c r="R714" s="5" t="s">
        <v>769</v>
      </c>
      <c r="V714" s="3">
        <v>149</v>
      </c>
      <c r="W714" s="5" t="s">
        <v>494</v>
      </c>
    </row>
    <row r="715" spans="3:23" ht="15.75" customHeight="1">
      <c r="C715" s="7"/>
      <c r="D715" s="7"/>
      <c r="H715" s="7"/>
      <c r="Q715" s="3">
        <v>31062</v>
      </c>
      <c r="R715" s="5" t="s">
        <v>770</v>
      </c>
      <c r="V715" s="3">
        <v>149</v>
      </c>
      <c r="W715" s="5" t="s">
        <v>502</v>
      </c>
    </row>
    <row r="716" spans="3:23" ht="15.75" customHeight="1">
      <c r="C716" s="7"/>
      <c r="D716" s="7"/>
      <c r="H716" s="7"/>
      <c r="Q716" s="3">
        <v>31063</v>
      </c>
      <c r="R716" s="5" t="s">
        <v>771</v>
      </c>
      <c r="V716" s="3">
        <v>149</v>
      </c>
      <c r="W716" s="5" t="s">
        <v>420</v>
      </c>
    </row>
    <row r="717" spans="3:23" ht="15.75" customHeight="1">
      <c r="C717" s="7"/>
      <c r="D717" s="7"/>
      <c r="H717" s="7"/>
      <c r="Q717" s="3">
        <v>31064</v>
      </c>
      <c r="R717" s="5" t="s">
        <v>772</v>
      </c>
      <c r="V717" s="3">
        <v>149</v>
      </c>
      <c r="W717" s="5" t="s">
        <v>58</v>
      </c>
    </row>
    <row r="718" spans="3:23" ht="15.75" customHeight="1">
      <c r="C718" s="7"/>
      <c r="D718" s="7"/>
      <c r="H718" s="7"/>
      <c r="Q718" s="3">
        <v>31065</v>
      </c>
      <c r="R718" s="5" t="s">
        <v>773</v>
      </c>
      <c r="V718" s="3">
        <v>150</v>
      </c>
      <c r="W718" s="5" t="s">
        <v>302</v>
      </c>
    </row>
    <row r="719" spans="3:23" ht="15.75" customHeight="1">
      <c r="C719" s="7"/>
      <c r="D719" s="7"/>
      <c r="H719" s="7"/>
      <c r="Q719" s="3">
        <v>31082</v>
      </c>
      <c r="R719" s="5" t="s">
        <v>774</v>
      </c>
      <c r="V719" s="3">
        <v>150</v>
      </c>
      <c r="W719" s="5" t="s">
        <v>302</v>
      </c>
    </row>
    <row r="720" spans="3:23" ht="15.75" customHeight="1">
      <c r="C720" s="7"/>
      <c r="D720" s="7"/>
      <c r="H720" s="7"/>
      <c r="Q720" s="3">
        <v>31083</v>
      </c>
      <c r="R720" s="5" t="s">
        <v>775</v>
      </c>
      <c r="V720" s="3">
        <v>150</v>
      </c>
      <c r="W720" s="5" t="s">
        <v>302</v>
      </c>
    </row>
    <row r="721" spans="3:23" ht="15.75" customHeight="1">
      <c r="C721" s="7"/>
      <c r="D721" s="7"/>
      <c r="H721" s="7"/>
      <c r="Q721" s="3">
        <v>31084</v>
      </c>
      <c r="R721" s="5" t="s">
        <v>776</v>
      </c>
      <c r="V721" s="3">
        <v>150</v>
      </c>
      <c r="W721" s="5" t="s">
        <v>498</v>
      </c>
    </row>
    <row r="722" spans="3:23" ht="15.75" customHeight="1">
      <c r="C722" s="7"/>
      <c r="D722" s="7"/>
      <c r="H722" s="7"/>
      <c r="Q722" s="3">
        <v>31085</v>
      </c>
      <c r="R722" s="5" t="s">
        <v>777</v>
      </c>
      <c r="V722" s="3">
        <v>150</v>
      </c>
      <c r="W722" s="5" t="s">
        <v>494</v>
      </c>
    </row>
    <row r="723" spans="3:23" ht="15.75" customHeight="1">
      <c r="C723" s="7"/>
      <c r="D723" s="7"/>
      <c r="H723" s="7"/>
      <c r="Q723" s="3">
        <v>31087</v>
      </c>
      <c r="R723" s="5" t="s">
        <v>778</v>
      </c>
      <c r="V723" s="3">
        <v>150</v>
      </c>
      <c r="W723" s="5" t="s">
        <v>23</v>
      </c>
    </row>
    <row r="724" spans="3:23" ht="15.75" customHeight="1">
      <c r="C724" s="7"/>
      <c r="D724" s="7"/>
      <c r="H724" s="7"/>
      <c r="Q724" s="3">
        <v>31111</v>
      </c>
      <c r="R724" s="5" t="s">
        <v>779</v>
      </c>
      <c r="V724" s="3">
        <v>150</v>
      </c>
      <c r="W724" s="5" t="s">
        <v>23</v>
      </c>
    </row>
    <row r="725" spans="3:23" ht="15.75" customHeight="1">
      <c r="C725" s="7"/>
      <c r="D725" s="7"/>
      <c r="H725" s="7"/>
      <c r="Q725" s="3">
        <v>31170</v>
      </c>
      <c r="R725" s="5" t="s">
        <v>780</v>
      </c>
      <c r="V725" s="3">
        <v>150</v>
      </c>
      <c r="W725" s="5" t="s">
        <v>158</v>
      </c>
    </row>
    <row r="726" spans="3:23" ht="15.75" customHeight="1">
      <c r="C726" s="7"/>
      <c r="D726" s="7"/>
      <c r="H726" s="7"/>
      <c r="Q726" s="3">
        <v>31178</v>
      </c>
      <c r="R726" s="5" t="s">
        <v>781</v>
      </c>
      <c r="V726" s="3">
        <v>150</v>
      </c>
      <c r="W726" s="5" t="s">
        <v>89</v>
      </c>
    </row>
    <row r="727" spans="3:23" ht="15.75" customHeight="1">
      <c r="C727" s="7"/>
      <c r="D727" s="7"/>
      <c r="H727" s="7"/>
      <c r="Q727" s="3">
        <v>31181</v>
      </c>
      <c r="R727" s="5" t="s">
        <v>782</v>
      </c>
      <c r="V727" s="3">
        <v>150</v>
      </c>
      <c r="W727" s="5" t="s">
        <v>575</v>
      </c>
    </row>
    <row r="728" spans="3:23" ht="15.75" customHeight="1">
      <c r="C728" s="7"/>
      <c r="D728" s="7"/>
      <c r="H728" s="7"/>
      <c r="Q728" s="3">
        <v>31183</v>
      </c>
      <c r="R728" s="5" t="s">
        <v>783</v>
      </c>
      <c r="V728" s="3">
        <v>150</v>
      </c>
      <c r="W728" s="5" t="s">
        <v>68</v>
      </c>
    </row>
    <row r="729" spans="3:23" ht="15.75" customHeight="1">
      <c r="C729" s="7"/>
      <c r="D729" s="7"/>
      <c r="H729" s="7"/>
      <c r="Q729" s="3">
        <v>31184</v>
      </c>
      <c r="R729" s="5" t="s">
        <v>784</v>
      </c>
      <c r="V729" s="3">
        <v>150</v>
      </c>
      <c r="W729" s="5" t="s">
        <v>89</v>
      </c>
    </row>
    <row r="730" spans="3:23" ht="15.75" customHeight="1">
      <c r="C730" s="7"/>
      <c r="D730" s="7"/>
      <c r="H730" s="7"/>
      <c r="Q730" s="3">
        <v>31185</v>
      </c>
      <c r="R730" s="5" t="s">
        <v>785</v>
      </c>
      <c r="V730" s="3">
        <v>150</v>
      </c>
      <c r="W730" s="5" t="s">
        <v>89</v>
      </c>
    </row>
    <row r="731" spans="3:23" ht="15.75" customHeight="1">
      <c r="C731" s="7"/>
      <c r="D731" s="7"/>
      <c r="H731" s="7"/>
      <c r="Q731" s="3">
        <v>31188</v>
      </c>
      <c r="R731" s="5" t="s">
        <v>786</v>
      </c>
      <c r="V731" s="3">
        <v>150</v>
      </c>
      <c r="W731" s="5" t="s">
        <v>158</v>
      </c>
    </row>
    <row r="732" spans="3:23" ht="15.75" customHeight="1">
      <c r="C732" s="7"/>
      <c r="D732" s="7"/>
      <c r="H732" s="7"/>
      <c r="Q732" s="3">
        <v>31190</v>
      </c>
      <c r="R732" s="5" t="s">
        <v>787</v>
      </c>
      <c r="V732" s="3">
        <v>150</v>
      </c>
      <c r="W732" s="5" t="s">
        <v>788</v>
      </c>
    </row>
    <row r="733" spans="3:23" ht="15.75" customHeight="1">
      <c r="C733" s="7"/>
      <c r="D733" s="7"/>
      <c r="H733" s="7"/>
      <c r="Q733" s="3">
        <v>31192</v>
      </c>
      <c r="R733" s="5" t="s">
        <v>789</v>
      </c>
      <c r="V733" s="3">
        <v>150</v>
      </c>
      <c r="W733" s="5" t="s">
        <v>630</v>
      </c>
    </row>
    <row r="734" spans="3:23" ht="15.75" customHeight="1">
      <c r="C734" s="7"/>
      <c r="D734" s="7"/>
      <c r="H734" s="7"/>
      <c r="Q734" s="3">
        <v>31194</v>
      </c>
      <c r="R734" s="5" t="s">
        <v>790</v>
      </c>
      <c r="V734" s="3">
        <v>150</v>
      </c>
      <c r="W734" s="5" t="s">
        <v>89</v>
      </c>
    </row>
    <row r="735" spans="3:23" ht="15.75" customHeight="1">
      <c r="C735" s="7"/>
      <c r="D735" s="7"/>
      <c r="H735" s="7"/>
      <c r="Q735" s="3">
        <v>31195</v>
      </c>
      <c r="R735" s="5" t="s">
        <v>791</v>
      </c>
      <c r="V735" s="3">
        <v>150</v>
      </c>
      <c r="W735" s="5" t="s">
        <v>204</v>
      </c>
    </row>
    <row r="736" spans="3:23" ht="15.75" customHeight="1">
      <c r="C736" s="7"/>
      <c r="D736" s="7"/>
      <c r="H736" s="7"/>
      <c r="Q736" s="3">
        <v>31196</v>
      </c>
      <c r="R736" s="5" t="s">
        <v>792</v>
      </c>
      <c r="V736" s="3">
        <v>150</v>
      </c>
      <c r="W736" s="5" t="s">
        <v>158</v>
      </c>
    </row>
    <row r="737" spans="3:23" ht="15.75" customHeight="1">
      <c r="C737" s="7"/>
      <c r="D737" s="7"/>
      <c r="H737" s="7"/>
      <c r="Q737" s="3">
        <v>31197</v>
      </c>
      <c r="R737" s="5" t="s">
        <v>793</v>
      </c>
      <c r="V737" s="3">
        <v>150</v>
      </c>
      <c r="W737" s="5" t="s">
        <v>494</v>
      </c>
    </row>
    <row r="738" spans="3:23" ht="15.75" customHeight="1">
      <c r="C738" s="7"/>
      <c r="D738" s="7"/>
      <c r="H738" s="7"/>
      <c r="Q738" s="3">
        <v>31200</v>
      </c>
      <c r="R738" s="5" t="s">
        <v>794</v>
      </c>
      <c r="V738" s="3">
        <v>150</v>
      </c>
      <c r="W738" s="5" t="s">
        <v>420</v>
      </c>
    </row>
    <row r="739" spans="3:23" ht="15.75" customHeight="1">
      <c r="C739" s="7"/>
      <c r="D739" s="7"/>
      <c r="H739" s="7"/>
      <c r="Q739" s="3">
        <v>31215</v>
      </c>
      <c r="R739" s="5" t="s">
        <v>795</v>
      </c>
      <c r="V739" s="3">
        <v>150</v>
      </c>
      <c r="W739" s="5" t="s">
        <v>420</v>
      </c>
    </row>
    <row r="740" spans="3:23" ht="15.75" customHeight="1">
      <c r="C740" s="7"/>
      <c r="D740" s="7"/>
      <c r="H740" s="7"/>
      <c r="Q740" s="3">
        <v>31234</v>
      </c>
      <c r="R740" s="5" t="s">
        <v>796</v>
      </c>
      <c r="V740" s="3">
        <v>150</v>
      </c>
      <c r="W740" s="5" t="s">
        <v>656</v>
      </c>
    </row>
    <row r="741" spans="3:23" ht="15.75" customHeight="1">
      <c r="C741" s="7"/>
      <c r="D741" s="7"/>
      <c r="H741" s="7"/>
      <c r="Q741" s="3">
        <v>31310</v>
      </c>
      <c r="R741" s="5" t="s">
        <v>797</v>
      </c>
      <c r="V741" s="3">
        <v>151</v>
      </c>
      <c r="W741" s="5" t="s">
        <v>23</v>
      </c>
    </row>
    <row r="742" spans="3:23" ht="15.75" customHeight="1">
      <c r="C742" s="7"/>
      <c r="D742" s="7"/>
      <c r="H742" s="7"/>
      <c r="Q742" s="3">
        <v>31311</v>
      </c>
      <c r="R742" s="5" t="s">
        <v>798</v>
      </c>
      <c r="V742" s="3">
        <v>151</v>
      </c>
      <c r="W742" s="5" t="s">
        <v>611</v>
      </c>
    </row>
    <row r="743" spans="3:23" ht="15.75" customHeight="1">
      <c r="C743" s="7"/>
      <c r="D743" s="7"/>
      <c r="H743" s="7"/>
      <c r="Q743" s="3">
        <v>31312</v>
      </c>
      <c r="R743" s="5" t="s">
        <v>799</v>
      </c>
      <c r="V743" s="3">
        <v>151</v>
      </c>
      <c r="W743" s="5" t="s">
        <v>767</v>
      </c>
    </row>
    <row r="744" spans="3:23" ht="15.75" customHeight="1">
      <c r="C744" s="7"/>
      <c r="D744" s="7"/>
      <c r="H744" s="7"/>
      <c r="Q744" s="3">
        <v>31355</v>
      </c>
      <c r="R744" s="5" t="s">
        <v>800</v>
      </c>
      <c r="V744" s="3">
        <v>152</v>
      </c>
      <c r="W744" s="5" t="s">
        <v>94</v>
      </c>
    </row>
    <row r="745" spans="3:23" ht="15.75" customHeight="1">
      <c r="C745" s="7"/>
      <c r="D745" s="7"/>
      <c r="H745" s="7"/>
      <c r="Q745" s="3">
        <v>31382</v>
      </c>
      <c r="R745" s="5" t="s">
        <v>801</v>
      </c>
      <c r="V745" s="3">
        <v>153</v>
      </c>
      <c r="W745" s="5" t="s">
        <v>89</v>
      </c>
    </row>
    <row r="746" spans="3:23" ht="15.75" customHeight="1">
      <c r="C746" s="7"/>
      <c r="D746" s="7"/>
      <c r="H746" s="7"/>
      <c r="Q746" s="3">
        <v>31400</v>
      </c>
      <c r="R746" s="5" t="s">
        <v>802</v>
      </c>
      <c r="V746" s="3">
        <v>153</v>
      </c>
      <c r="W746" s="5" t="s">
        <v>575</v>
      </c>
    </row>
    <row r="747" spans="3:23" ht="15.75" customHeight="1">
      <c r="C747" s="7"/>
      <c r="D747" s="7"/>
      <c r="H747" s="7"/>
      <c r="Q747" s="3">
        <v>31402</v>
      </c>
      <c r="R747" s="5" t="s">
        <v>803</v>
      </c>
      <c r="V747" s="3">
        <v>153</v>
      </c>
      <c r="W747" s="5" t="s">
        <v>788</v>
      </c>
    </row>
    <row r="748" spans="3:23" ht="15.75" customHeight="1">
      <c r="C748" s="7"/>
      <c r="D748" s="7"/>
      <c r="H748" s="7"/>
      <c r="Q748" s="3">
        <v>31463</v>
      </c>
      <c r="R748" s="5" t="s">
        <v>804</v>
      </c>
      <c r="V748" s="3">
        <v>153</v>
      </c>
      <c r="W748" s="5" t="s">
        <v>767</v>
      </c>
    </row>
    <row r="749" spans="3:23" ht="15.75" customHeight="1">
      <c r="C749" s="7"/>
      <c r="D749" s="7"/>
      <c r="H749" s="7"/>
      <c r="Q749" s="3">
        <v>31465</v>
      </c>
      <c r="R749" s="5" t="s">
        <v>805</v>
      </c>
      <c r="V749" s="3">
        <v>154</v>
      </c>
      <c r="W749" s="5" t="s">
        <v>266</v>
      </c>
    </row>
    <row r="750" spans="3:23" ht="15.75" customHeight="1">
      <c r="C750" s="7"/>
      <c r="D750" s="7"/>
      <c r="H750" s="7"/>
      <c r="Q750" s="3">
        <v>31467</v>
      </c>
      <c r="R750" s="5" t="s">
        <v>806</v>
      </c>
      <c r="V750" s="3">
        <v>154</v>
      </c>
      <c r="W750" s="5" t="s">
        <v>575</v>
      </c>
    </row>
    <row r="751" spans="3:23" ht="15.75" customHeight="1">
      <c r="C751" s="7"/>
      <c r="D751" s="7"/>
      <c r="H751" s="7"/>
      <c r="Q751" s="3">
        <v>31469</v>
      </c>
      <c r="R751" s="5" t="s">
        <v>807</v>
      </c>
      <c r="V751" s="3">
        <v>154</v>
      </c>
      <c r="W751" s="5" t="s">
        <v>204</v>
      </c>
    </row>
    <row r="752" spans="3:23" ht="15.75" customHeight="1">
      <c r="C752" s="7"/>
      <c r="D752" s="7"/>
      <c r="H752" s="7"/>
      <c r="Q752" s="3">
        <v>31471</v>
      </c>
      <c r="R752" s="5" t="s">
        <v>808</v>
      </c>
      <c r="V752" s="3">
        <v>154</v>
      </c>
      <c r="W752" s="5" t="s">
        <v>266</v>
      </c>
    </row>
    <row r="753" spans="3:23" ht="15.75" customHeight="1">
      <c r="C753" s="7"/>
      <c r="D753" s="7"/>
      <c r="H753" s="7"/>
      <c r="Q753" s="3">
        <v>31473</v>
      </c>
      <c r="R753" s="5" t="s">
        <v>809</v>
      </c>
      <c r="V753" s="3">
        <v>154</v>
      </c>
      <c r="W753" s="5" t="s">
        <v>68</v>
      </c>
    </row>
    <row r="754" spans="3:23" ht="15.75" customHeight="1">
      <c r="C754" s="7"/>
      <c r="D754" s="7"/>
      <c r="H754" s="7"/>
      <c r="Q754" s="3">
        <v>31475</v>
      </c>
      <c r="R754" s="5" t="s">
        <v>810</v>
      </c>
      <c r="V754" s="3">
        <v>154</v>
      </c>
      <c r="W754" s="5" t="s">
        <v>23</v>
      </c>
    </row>
    <row r="755" spans="3:23" ht="15.75" customHeight="1">
      <c r="C755" s="7"/>
      <c r="D755" s="7"/>
      <c r="H755" s="7"/>
      <c r="Q755" s="3">
        <v>31477</v>
      </c>
      <c r="R755" s="5" t="s">
        <v>811</v>
      </c>
      <c r="V755" s="3">
        <v>154</v>
      </c>
      <c r="W755" s="5" t="s">
        <v>89</v>
      </c>
    </row>
    <row r="756" spans="3:23" ht="15.75" customHeight="1">
      <c r="C756" s="7"/>
      <c r="D756" s="7"/>
      <c r="H756" s="7"/>
      <c r="Q756" s="3">
        <v>31484</v>
      </c>
      <c r="R756" s="5" t="s">
        <v>812</v>
      </c>
      <c r="V756" s="3">
        <v>154</v>
      </c>
      <c r="W756" s="5" t="s">
        <v>89</v>
      </c>
    </row>
    <row r="757" spans="3:23" ht="15.75" customHeight="1">
      <c r="C757" s="7"/>
      <c r="D757" s="7"/>
      <c r="H757" s="7"/>
      <c r="Q757" s="3">
        <v>31485</v>
      </c>
      <c r="R757" s="5" t="s">
        <v>813</v>
      </c>
      <c r="V757" s="3">
        <v>154</v>
      </c>
      <c r="W757" s="5" t="s">
        <v>575</v>
      </c>
    </row>
    <row r="758" spans="3:23" ht="15.75" customHeight="1">
      <c r="C758" s="7"/>
      <c r="D758" s="7"/>
      <c r="H758" s="7"/>
      <c r="Q758" s="3">
        <v>31488</v>
      </c>
      <c r="R758" s="5" t="s">
        <v>814</v>
      </c>
      <c r="V758" s="3">
        <v>154</v>
      </c>
      <c r="W758" s="5" t="s">
        <v>420</v>
      </c>
    </row>
    <row r="759" spans="3:23" ht="15.75" customHeight="1">
      <c r="C759" s="7"/>
      <c r="D759" s="7"/>
      <c r="H759" s="7"/>
      <c r="Q759" s="3">
        <v>31489</v>
      </c>
      <c r="R759" s="5" t="s">
        <v>815</v>
      </c>
      <c r="V759" s="3">
        <v>154</v>
      </c>
      <c r="W759" s="5" t="s">
        <v>420</v>
      </c>
    </row>
    <row r="760" spans="3:23" ht="15.75" customHeight="1">
      <c r="C760" s="7"/>
      <c r="D760" s="7"/>
      <c r="H760" s="7"/>
      <c r="Q760" s="3">
        <v>31491</v>
      </c>
      <c r="R760" s="5" t="s">
        <v>816</v>
      </c>
      <c r="V760" s="3">
        <v>154</v>
      </c>
      <c r="W760" s="5" t="s">
        <v>58</v>
      </c>
    </row>
    <row r="761" spans="3:23" ht="15.75" customHeight="1">
      <c r="C761" s="7"/>
      <c r="D761" s="7"/>
      <c r="H761" s="7"/>
      <c r="Q761" s="3">
        <v>31571</v>
      </c>
      <c r="R761" s="5" t="s">
        <v>817</v>
      </c>
      <c r="V761" s="3">
        <v>154</v>
      </c>
      <c r="W761" s="5" t="s">
        <v>58</v>
      </c>
    </row>
    <row r="762" spans="3:23" ht="15.75" customHeight="1">
      <c r="C762" s="7"/>
      <c r="D762" s="7"/>
      <c r="H762" s="7"/>
      <c r="Q762" s="3">
        <v>31574</v>
      </c>
      <c r="R762" s="5" t="s">
        <v>818</v>
      </c>
      <c r="V762" s="3">
        <v>154</v>
      </c>
      <c r="W762" s="5" t="s">
        <v>89</v>
      </c>
    </row>
    <row r="763" spans="3:23" ht="15.75" customHeight="1">
      <c r="C763" s="7"/>
      <c r="D763" s="7"/>
      <c r="H763" s="7"/>
      <c r="Q763" s="3">
        <v>31575</v>
      </c>
      <c r="R763" s="5" t="s">
        <v>819</v>
      </c>
      <c r="V763" s="3">
        <v>155</v>
      </c>
      <c r="W763" s="5" t="s">
        <v>89</v>
      </c>
    </row>
    <row r="764" spans="3:23" ht="15.75" customHeight="1">
      <c r="C764" s="7"/>
      <c r="D764" s="7"/>
      <c r="H764" s="7"/>
      <c r="Q764" s="3">
        <v>31583</v>
      </c>
      <c r="R764" s="5" t="s">
        <v>820</v>
      </c>
      <c r="V764" s="3">
        <v>155</v>
      </c>
      <c r="W764" s="5" t="s">
        <v>767</v>
      </c>
    </row>
    <row r="765" spans="3:23" ht="15.75" customHeight="1">
      <c r="C765" s="7"/>
      <c r="D765" s="7"/>
      <c r="H765" s="7"/>
      <c r="Q765" s="3">
        <v>31586</v>
      </c>
      <c r="R765" s="5" t="s">
        <v>821</v>
      </c>
      <c r="V765" s="3">
        <v>155</v>
      </c>
      <c r="W765" s="5" t="s">
        <v>575</v>
      </c>
    </row>
    <row r="766" spans="3:23" ht="15.75" customHeight="1">
      <c r="C766" s="7"/>
      <c r="D766" s="7"/>
      <c r="H766" s="7"/>
      <c r="Q766" s="3">
        <v>31587</v>
      </c>
      <c r="R766" s="5" t="s">
        <v>822</v>
      </c>
      <c r="V766" s="3">
        <v>155</v>
      </c>
      <c r="W766" s="5" t="s">
        <v>58</v>
      </c>
    </row>
    <row r="767" spans="3:23" ht="15.75" customHeight="1">
      <c r="C767" s="7"/>
      <c r="D767" s="7"/>
      <c r="H767" s="7"/>
      <c r="Q767" s="3">
        <v>31588</v>
      </c>
      <c r="R767" s="5" t="s">
        <v>823</v>
      </c>
      <c r="V767" s="3">
        <v>155</v>
      </c>
      <c r="W767" s="5" t="s">
        <v>611</v>
      </c>
    </row>
    <row r="768" spans="3:23" ht="15.75" customHeight="1">
      <c r="C768" s="7"/>
      <c r="D768" s="7"/>
      <c r="H768" s="7"/>
      <c r="Q768" s="3">
        <v>31597</v>
      </c>
      <c r="R768" s="5" t="s">
        <v>824</v>
      </c>
      <c r="V768" s="3">
        <v>155</v>
      </c>
      <c r="W768" s="5" t="s">
        <v>611</v>
      </c>
    </row>
    <row r="769" spans="3:23" ht="15.75" customHeight="1">
      <c r="C769" s="7"/>
      <c r="D769" s="7"/>
      <c r="H769" s="7"/>
      <c r="Q769" s="3">
        <v>31622</v>
      </c>
      <c r="R769" s="5" t="s">
        <v>825</v>
      </c>
      <c r="V769" s="3">
        <v>155</v>
      </c>
      <c r="W769" s="5" t="s">
        <v>23</v>
      </c>
    </row>
    <row r="770" spans="3:23" ht="15.75" customHeight="1">
      <c r="C770" s="7"/>
      <c r="D770" s="7"/>
      <c r="H770" s="7"/>
      <c r="Q770" s="3">
        <v>31636</v>
      </c>
      <c r="R770" s="5" t="s">
        <v>826</v>
      </c>
      <c r="V770" s="3">
        <v>156</v>
      </c>
      <c r="W770" s="5" t="s">
        <v>266</v>
      </c>
    </row>
    <row r="771" spans="3:23" ht="15.75" customHeight="1">
      <c r="C771" s="7"/>
      <c r="D771" s="7"/>
      <c r="H771" s="7"/>
      <c r="Q771" s="3">
        <v>31639</v>
      </c>
      <c r="R771" s="5" t="s">
        <v>827</v>
      </c>
      <c r="V771" s="3">
        <v>156</v>
      </c>
      <c r="W771" s="5" t="s">
        <v>611</v>
      </c>
    </row>
    <row r="772" spans="3:23" ht="15.75" customHeight="1">
      <c r="C772" s="7"/>
      <c r="D772" s="7"/>
      <c r="H772" s="7"/>
      <c r="Q772" s="3">
        <v>31641</v>
      </c>
      <c r="R772" s="5" t="s">
        <v>828</v>
      </c>
      <c r="V772" s="3">
        <v>156</v>
      </c>
      <c r="W772" s="5" t="s">
        <v>611</v>
      </c>
    </row>
    <row r="773" spans="3:23" ht="15.75" customHeight="1">
      <c r="C773" s="7"/>
      <c r="D773" s="7"/>
      <c r="H773" s="7"/>
      <c r="Q773" s="3">
        <v>31643</v>
      </c>
      <c r="R773" s="5" t="s">
        <v>829</v>
      </c>
      <c r="V773" s="3">
        <v>156</v>
      </c>
      <c r="W773" s="5" t="s">
        <v>23</v>
      </c>
    </row>
    <row r="774" spans="3:23" ht="15.75" customHeight="1">
      <c r="C774" s="7"/>
      <c r="D774" s="7"/>
      <c r="H774" s="7"/>
      <c r="Q774" s="3">
        <v>31645</v>
      </c>
      <c r="R774" s="5" t="s">
        <v>830</v>
      </c>
      <c r="V774" s="3">
        <v>157</v>
      </c>
      <c r="W774" s="5" t="s">
        <v>656</v>
      </c>
    </row>
    <row r="775" spans="3:23" ht="15.75" customHeight="1">
      <c r="C775" s="7"/>
      <c r="D775" s="7"/>
      <c r="H775" s="7"/>
      <c r="Q775" s="3">
        <v>31717</v>
      </c>
      <c r="R775" s="5" t="s">
        <v>831</v>
      </c>
      <c r="V775" s="3">
        <v>157</v>
      </c>
      <c r="W775" s="5" t="s">
        <v>656</v>
      </c>
    </row>
    <row r="776" spans="3:23" ht="15.75" customHeight="1">
      <c r="C776" s="7"/>
      <c r="D776" s="7"/>
      <c r="H776" s="7"/>
      <c r="Q776" s="3">
        <v>31728</v>
      </c>
      <c r="R776" s="5" t="s">
        <v>832</v>
      </c>
      <c r="V776" s="3">
        <v>157</v>
      </c>
      <c r="W776" s="5" t="s">
        <v>656</v>
      </c>
    </row>
    <row r="777" spans="3:23" ht="15.75" customHeight="1">
      <c r="C777" s="7"/>
      <c r="D777" s="7"/>
      <c r="H777" s="7"/>
      <c r="Q777" s="3">
        <v>31729</v>
      </c>
      <c r="R777" s="5" t="s">
        <v>833</v>
      </c>
      <c r="V777" s="3">
        <v>157</v>
      </c>
      <c r="W777" s="5" t="s">
        <v>656</v>
      </c>
    </row>
    <row r="778" spans="3:23" ht="15.75" customHeight="1">
      <c r="C778" s="7"/>
      <c r="D778" s="7"/>
      <c r="H778" s="7"/>
      <c r="Q778" s="3">
        <v>31730</v>
      </c>
      <c r="R778" s="5" t="s">
        <v>834</v>
      </c>
      <c r="V778" s="3">
        <v>157</v>
      </c>
      <c r="W778" s="5" t="s">
        <v>266</v>
      </c>
    </row>
    <row r="779" spans="3:23" ht="15.75" customHeight="1">
      <c r="C779" s="7"/>
      <c r="D779" s="7"/>
      <c r="H779" s="7"/>
      <c r="Q779" s="3">
        <v>31778</v>
      </c>
      <c r="R779" s="5" t="s">
        <v>835</v>
      </c>
      <c r="V779" s="3">
        <v>157</v>
      </c>
      <c r="W779" s="5" t="s">
        <v>168</v>
      </c>
    </row>
    <row r="780" spans="3:23" ht="15.75" customHeight="1">
      <c r="C780" s="7"/>
      <c r="D780" s="7"/>
      <c r="H780" s="7"/>
      <c r="Q780" s="3">
        <v>31805</v>
      </c>
      <c r="R780" s="5" t="s">
        <v>836</v>
      </c>
      <c r="V780" s="3">
        <v>157</v>
      </c>
      <c r="W780" s="5" t="s">
        <v>23</v>
      </c>
    </row>
    <row r="781" spans="3:23" ht="15.75" customHeight="1">
      <c r="C781" s="7"/>
      <c r="D781" s="7"/>
      <c r="H781" s="7"/>
      <c r="Q781" s="3">
        <v>31806</v>
      </c>
      <c r="R781" s="5" t="s">
        <v>837</v>
      </c>
      <c r="V781" s="3">
        <v>157</v>
      </c>
      <c r="W781" s="5" t="s">
        <v>158</v>
      </c>
    </row>
    <row r="782" spans="3:23" ht="15.75" customHeight="1">
      <c r="C782" s="7"/>
      <c r="D782" s="7"/>
      <c r="H782" s="7"/>
      <c r="Q782" s="3">
        <v>31817</v>
      </c>
      <c r="R782" s="5" t="s">
        <v>838</v>
      </c>
      <c r="V782" s="3">
        <v>157</v>
      </c>
      <c r="W782" s="5" t="s">
        <v>80</v>
      </c>
    </row>
    <row r="783" spans="3:23" ht="15.75" customHeight="1">
      <c r="C783" s="7"/>
      <c r="D783" s="7"/>
      <c r="H783" s="7"/>
      <c r="Q783" s="3">
        <v>31854</v>
      </c>
      <c r="R783" s="5" t="s">
        <v>839</v>
      </c>
      <c r="V783" s="3">
        <v>157</v>
      </c>
      <c r="W783" s="5" t="s">
        <v>611</v>
      </c>
    </row>
    <row r="784" spans="3:23" ht="15.75" customHeight="1">
      <c r="C784" s="7"/>
      <c r="D784" s="7"/>
      <c r="H784" s="7"/>
      <c r="Q784" s="3">
        <v>31856</v>
      </c>
      <c r="R784" s="5" t="s">
        <v>840</v>
      </c>
      <c r="V784" s="3">
        <v>157</v>
      </c>
      <c r="W784" s="5" t="s">
        <v>302</v>
      </c>
    </row>
    <row r="785" spans="3:23" ht="15.75" customHeight="1">
      <c r="C785" s="7"/>
      <c r="D785" s="7"/>
      <c r="H785" s="7"/>
      <c r="Q785" s="3">
        <v>31858</v>
      </c>
      <c r="R785" s="5" t="s">
        <v>841</v>
      </c>
      <c r="V785" s="3">
        <v>157</v>
      </c>
      <c r="W785" s="5" t="s">
        <v>767</v>
      </c>
    </row>
    <row r="786" spans="3:23" ht="15.75" customHeight="1">
      <c r="C786" s="7"/>
      <c r="D786" s="7"/>
      <c r="H786" s="7"/>
      <c r="Q786" s="3">
        <v>31860</v>
      </c>
      <c r="R786" s="5" t="s">
        <v>842</v>
      </c>
      <c r="V786" s="3">
        <v>157</v>
      </c>
      <c r="W786" s="5" t="s">
        <v>611</v>
      </c>
    </row>
    <row r="787" spans="3:23" ht="15.75" customHeight="1">
      <c r="C787" s="7"/>
      <c r="D787" s="7"/>
      <c r="H787" s="7"/>
      <c r="Q787" s="3">
        <v>31904</v>
      </c>
      <c r="R787" s="5" t="s">
        <v>843</v>
      </c>
      <c r="V787" s="3">
        <v>157</v>
      </c>
      <c r="W787" s="5" t="s">
        <v>266</v>
      </c>
    </row>
    <row r="788" spans="3:23" ht="15.75" customHeight="1">
      <c r="C788" s="7"/>
      <c r="D788" s="7"/>
      <c r="H788" s="7"/>
      <c r="Q788" s="3">
        <v>31911</v>
      </c>
      <c r="R788" s="5" t="s">
        <v>844</v>
      </c>
      <c r="V788" s="3">
        <v>157</v>
      </c>
      <c r="W788" s="5" t="s">
        <v>204</v>
      </c>
    </row>
    <row r="789" spans="3:23" ht="15.75" customHeight="1">
      <c r="C789" s="7"/>
      <c r="D789" s="7"/>
      <c r="H789" s="7"/>
      <c r="Q789" s="3">
        <v>31970</v>
      </c>
      <c r="R789" s="5" t="s">
        <v>845</v>
      </c>
      <c r="V789" s="3">
        <v>157</v>
      </c>
      <c r="W789" s="5" t="s">
        <v>494</v>
      </c>
    </row>
    <row r="790" spans="3:23" ht="15.75" customHeight="1">
      <c r="C790" s="7"/>
      <c r="D790" s="7"/>
      <c r="H790" s="7"/>
      <c r="Q790" s="3">
        <v>31976</v>
      </c>
      <c r="R790" s="5" t="s">
        <v>846</v>
      </c>
      <c r="V790" s="3">
        <v>157</v>
      </c>
      <c r="W790" s="5" t="s">
        <v>302</v>
      </c>
    </row>
    <row r="791" spans="3:23" ht="15.75" customHeight="1">
      <c r="C791" s="7"/>
      <c r="D791" s="7"/>
      <c r="H791" s="7"/>
      <c r="Q791" s="3">
        <v>31978</v>
      </c>
      <c r="R791" s="5" t="s">
        <v>847</v>
      </c>
      <c r="V791" s="3">
        <v>157</v>
      </c>
      <c r="W791" s="5" t="s">
        <v>23</v>
      </c>
    </row>
    <row r="792" spans="3:23" ht="15.75" customHeight="1">
      <c r="C792" s="7"/>
      <c r="D792" s="7"/>
      <c r="H792" s="7"/>
      <c r="Q792" s="3">
        <v>31981</v>
      </c>
      <c r="R792" s="5" t="s">
        <v>848</v>
      </c>
      <c r="V792" s="3">
        <v>157</v>
      </c>
      <c r="W792" s="5" t="s">
        <v>94</v>
      </c>
    </row>
    <row r="793" spans="3:23" ht="15.75" customHeight="1">
      <c r="C793" s="7"/>
      <c r="D793" s="7"/>
      <c r="H793" s="7"/>
      <c r="Q793" s="3">
        <v>32002</v>
      </c>
      <c r="R793" s="5" t="s">
        <v>849</v>
      </c>
      <c r="V793" s="3">
        <v>157</v>
      </c>
      <c r="W793" s="5" t="s">
        <v>611</v>
      </c>
    </row>
    <row r="794" spans="3:23" ht="15.75" customHeight="1">
      <c r="C794" s="7"/>
      <c r="D794" s="7"/>
      <c r="H794" s="7"/>
      <c r="Q794" s="3">
        <v>32015</v>
      </c>
      <c r="R794" s="5" t="s">
        <v>850</v>
      </c>
      <c r="V794" s="3">
        <v>157</v>
      </c>
      <c r="W794" s="5" t="s">
        <v>656</v>
      </c>
    </row>
    <row r="795" spans="3:23" ht="15.75" customHeight="1">
      <c r="C795" s="7"/>
      <c r="D795" s="7"/>
      <c r="H795" s="7"/>
      <c r="Q795" s="3">
        <v>32017</v>
      </c>
      <c r="R795" s="5" t="s">
        <v>851</v>
      </c>
      <c r="V795" s="3">
        <v>157</v>
      </c>
      <c r="W795" s="5" t="s">
        <v>168</v>
      </c>
    </row>
    <row r="796" spans="3:23" ht="15.75" customHeight="1">
      <c r="C796" s="7"/>
      <c r="D796" s="7"/>
      <c r="H796" s="7"/>
      <c r="Q796" s="3">
        <v>32068</v>
      </c>
      <c r="R796" s="5" t="s">
        <v>852</v>
      </c>
      <c r="V796" s="3">
        <v>157</v>
      </c>
      <c r="W796" s="5" t="s">
        <v>68</v>
      </c>
    </row>
    <row r="797" spans="3:23" ht="15.75" customHeight="1">
      <c r="C797" s="7"/>
      <c r="D797" s="7"/>
      <c r="H797" s="7"/>
      <c r="Q797" s="3">
        <v>32071</v>
      </c>
      <c r="R797" s="5" t="s">
        <v>853</v>
      </c>
      <c r="V797" s="3">
        <v>157</v>
      </c>
      <c r="W797" s="5" t="s">
        <v>266</v>
      </c>
    </row>
    <row r="798" spans="3:23" ht="15.75" customHeight="1">
      <c r="C798" s="7"/>
      <c r="D798" s="7"/>
      <c r="H798" s="7"/>
      <c r="Q798" s="3">
        <v>32077</v>
      </c>
      <c r="R798" s="5" t="s">
        <v>854</v>
      </c>
      <c r="V798" s="3">
        <v>157</v>
      </c>
      <c r="W798" s="5" t="s">
        <v>855</v>
      </c>
    </row>
    <row r="799" spans="3:23" ht="15.75" customHeight="1">
      <c r="C799" s="7"/>
      <c r="D799" s="7"/>
      <c r="H799" s="7"/>
      <c r="Q799" s="3">
        <v>32097</v>
      </c>
      <c r="R799" s="5" t="s">
        <v>856</v>
      </c>
      <c r="V799" s="3">
        <v>157</v>
      </c>
      <c r="W799" s="5" t="s">
        <v>80</v>
      </c>
    </row>
    <row r="800" spans="3:23" ht="15.75" customHeight="1">
      <c r="C800" s="7"/>
      <c r="D800" s="7"/>
      <c r="H800" s="7"/>
      <c r="Q800" s="3">
        <v>32160</v>
      </c>
      <c r="R800" s="5" t="s">
        <v>857</v>
      </c>
      <c r="V800" s="3">
        <v>157</v>
      </c>
      <c r="W800" s="5" t="s">
        <v>656</v>
      </c>
    </row>
    <row r="801" spans="3:23" ht="15.75" customHeight="1">
      <c r="C801" s="7"/>
      <c r="D801" s="7"/>
      <c r="H801" s="7"/>
      <c r="Q801" s="3">
        <v>32173</v>
      </c>
      <c r="R801" s="5" t="s">
        <v>858</v>
      </c>
      <c r="V801" s="3">
        <v>158</v>
      </c>
      <c r="W801" s="5" t="s">
        <v>767</v>
      </c>
    </row>
    <row r="802" spans="3:23" ht="15.75" customHeight="1">
      <c r="C802" s="7"/>
      <c r="D802" s="7"/>
      <c r="H802" s="7"/>
      <c r="Q802" s="3">
        <v>32225</v>
      </c>
      <c r="R802" s="5" t="s">
        <v>859</v>
      </c>
      <c r="V802" s="3">
        <v>158</v>
      </c>
      <c r="W802" s="5" t="s">
        <v>204</v>
      </c>
    </row>
    <row r="803" spans="3:23" ht="15.75" customHeight="1">
      <c r="C803" s="7"/>
      <c r="D803" s="7"/>
      <c r="H803" s="7"/>
      <c r="Q803" s="3">
        <v>32227</v>
      </c>
      <c r="R803" s="5" t="s">
        <v>860</v>
      </c>
      <c r="V803" s="3">
        <v>158</v>
      </c>
      <c r="W803" s="5" t="s">
        <v>204</v>
      </c>
    </row>
    <row r="804" spans="3:23" ht="15.75" customHeight="1">
      <c r="C804" s="7"/>
      <c r="D804" s="7"/>
      <c r="H804" s="7"/>
      <c r="Q804" s="3">
        <v>32229</v>
      </c>
      <c r="R804" s="5" t="s">
        <v>861</v>
      </c>
      <c r="V804" s="3">
        <v>158</v>
      </c>
      <c r="W804" s="5" t="s">
        <v>204</v>
      </c>
    </row>
    <row r="805" spans="3:23" ht="15.75" customHeight="1">
      <c r="C805" s="7"/>
      <c r="D805" s="7"/>
      <c r="H805" s="7"/>
      <c r="Q805" s="3">
        <v>32235</v>
      </c>
      <c r="R805" s="5" t="s">
        <v>862</v>
      </c>
      <c r="V805" s="3">
        <v>158</v>
      </c>
      <c r="W805" s="5" t="s">
        <v>168</v>
      </c>
    </row>
    <row r="806" spans="3:23" ht="15.75" customHeight="1">
      <c r="C806" s="7"/>
      <c r="D806" s="7"/>
      <c r="H806" s="7"/>
      <c r="Q806" s="3">
        <v>32255</v>
      </c>
      <c r="R806" s="5" t="s">
        <v>863</v>
      </c>
      <c r="V806" s="3">
        <v>158</v>
      </c>
      <c r="W806" s="5" t="s">
        <v>562</v>
      </c>
    </row>
    <row r="807" spans="3:23" ht="15.75" customHeight="1">
      <c r="C807" s="7"/>
      <c r="D807" s="7"/>
      <c r="H807" s="7"/>
      <c r="Q807" s="3">
        <v>32276</v>
      </c>
      <c r="R807" s="5" t="s">
        <v>864</v>
      </c>
      <c r="V807" s="3">
        <v>158</v>
      </c>
      <c r="W807" s="5" t="s">
        <v>562</v>
      </c>
    </row>
    <row r="808" spans="3:23" ht="15.75" customHeight="1">
      <c r="C808" s="7"/>
      <c r="D808" s="7"/>
      <c r="H808" s="7"/>
      <c r="Q808" s="3">
        <v>32291</v>
      </c>
      <c r="R808" s="5" t="s">
        <v>865</v>
      </c>
      <c r="V808" s="3">
        <v>158</v>
      </c>
      <c r="W808" s="5" t="s">
        <v>611</v>
      </c>
    </row>
    <row r="809" spans="3:23" ht="15.75" customHeight="1">
      <c r="C809" s="7"/>
      <c r="D809" s="7"/>
      <c r="H809" s="7"/>
      <c r="Q809" s="3">
        <v>32339</v>
      </c>
      <c r="R809" s="5" t="s">
        <v>866</v>
      </c>
      <c r="V809" s="3">
        <v>158</v>
      </c>
      <c r="W809" s="5" t="s">
        <v>767</v>
      </c>
    </row>
    <row r="810" spans="3:23" ht="15.75" customHeight="1">
      <c r="C810" s="7"/>
      <c r="D810" s="7"/>
      <c r="H810" s="7"/>
      <c r="Q810" s="3">
        <v>32341</v>
      </c>
      <c r="R810" s="5" t="s">
        <v>867</v>
      </c>
      <c r="V810" s="3">
        <v>159</v>
      </c>
      <c r="W810" s="5" t="s">
        <v>656</v>
      </c>
    </row>
    <row r="811" spans="3:23" ht="15.75" customHeight="1">
      <c r="C811" s="7"/>
      <c r="D811" s="7"/>
      <c r="H811" s="7"/>
      <c r="Q811" s="3">
        <v>32346</v>
      </c>
      <c r="R811" s="5" t="s">
        <v>868</v>
      </c>
      <c r="V811" s="5">
        <v>159</v>
      </c>
      <c r="W811" s="5" t="s">
        <v>23</v>
      </c>
    </row>
    <row r="812" spans="3:23" ht="15.75" customHeight="1">
      <c r="C812" s="7"/>
      <c r="D812" s="7"/>
      <c r="H812" s="7"/>
      <c r="Q812" s="3">
        <v>32361</v>
      </c>
      <c r="R812" s="5" t="s">
        <v>869</v>
      </c>
      <c r="V812" s="5">
        <v>160</v>
      </c>
      <c r="W812" s="5" t="s">
        <v>89</v>
      </c>
    </row>
    <row r="813" spans="3:23" ht="15.75" customHeight="1">
      <c r="C813" s="7"/>
      <c r="D813" s="7"/>
      <c r="H813" s="7"/>
      <c r="Q813" s="3">
        <v>32362</v>
      </c>
      <c r="R813" s="5" t="s">
        <v>870</v>
      </c>
      <c r="V813">
        <v>160</v>
      </c>
      <c r="W813" t="s">
        <v>266</v>
      </c>
    </row>
    <row r="814" spans="3:23" ht="15.75" customHeight="1">
      <c r="C814" s="7"/>
      <c r="D814" s="7"/>
      <c r="H814" s="7"/>
      <c r="Q814" s="3">
        <v>32365</v>
      </c>
      <c r="R814" s="5" t="s">
        <v>871</v>
      </c>
      <c r="V814">
        <v>160</v>
      </c>
      <c r="W814" t="s">
        <v>89</v>
      </c>
    </row>
    <row r="815" spans="3:23" ht="15.75" customHeight="1">
      <c r="C815" s="7"/>
      <c r="D815" s="7"/>
      <c r="H815" s="7"/>
      <c r="Q815" s="3">
        <v>32366</v>
      </c>
      <c r="R815" s="5" t="s">
        <v>872</v>
      </c>
      <c r="V815">
        <v>161</v>
      </c>
      <c r="W815" t="s">
        <v>481</v>
      </c>
    </row>
    <row r="816" spans="3:23" ht="15.75" customHeight="1">
      <c r="C816" s="7"/>
      <c r="D816" s="7"/>
      <c r="H816" s="7"/>
      <c r="Q816" s="3">
        <v>32367</v>
      </c>
      <c r="R816" s="5" t="s">
        <v>873</v>
      </c>
      <c r="V816">
        <v>161</v>
      </c>
      <c r="W816" t="s">
        <v>575</v>
      </c>
    </row>
    <row r="817" spans="3:23" ht="15.75" customHeight="1">
      <c r="C817" s="7"/>
      <c r="D817" s="7"/>
      <c r="H817" s="7"/>
      <c r="Q817" s="3">
        <v>32407</v>
      </c>
      <c r="R817" s="5" t="s">
        <v>874</v>
      </c>
      <c r="V817">
        <v>161</v>
      </c>
      <c r="W817" t="s">
        <v>498</v>
      </c>
    </row>
    <row r="818" spans="3:23" ht="15.75" customHeight="1">
      <c r="C818" s="7"/>
      <c r="D818" s="7"/>
      <c r="H818" s="7"/>
      <c r="Q818" s="3">
        <v>32410</v>
      </c>
      <c r="R818" s="5" t="s">
        <v>875</v>
      </c>
      <c r="V818">
        <v>161</v>
      </c>
      <c r="W818" t="s">
        <v>168</v>
      </c>
    </row>
    <row r="819" spans="3:23" ht="15.75" customHeight="1">
      <c r="C819" s="7"/>
      <c r="D819" s="7"/>
      <c r="H819" s="7"/>
      <c r="Q819" s="3">
        <v>32417</v>
      </c>
      <c r="R819" s="5" t="s">
        <v>876</v>
      </c>
      <c r="V819">
        <v>162</v>
      </c>
      <c r="W819" t="s">
        <v>570</v>
      </c>
    </row>
    <row r="820" spans="3:23" ht="15.75" customHeight="1">
      <c r="C820" s="7"/>
      <c r="D820" s="7"/>
      <c r="H820" s="7"/>
      <c r="Q820" s="3">
        <v>32425</v>
      </c>
      <c r="R820" s="5" t="s">
        <v>877</v>
      </c>
      <c r="V820">
        <v>163</v>
      </c>
      <c r="W820" t="s">
        <v>168</v>
      </c>
    </row>
    <row r="821" spans="3:23" ht="15.75" customHeight="1">
      <c r="C821" s="7"/>
      <c r="D821" s="7"/>
      <c r="H821" s="7"/>
      <c r="Q821" s="3">
        <v>32426</v>
      </c>
      <c r="R821" s="5" t="s">
        <v>878</v>
      </c>
      <c r="V821">
        <v>163</v>
      </c>
      <c r="W821" t="s">
        <v>68</v>
      </c>
    </row>
    <row r="822" spans="3:23" ht="15.75" customHeight="1">
      <c r="C822" s="7"/>
      <c r="D822" s="7"/>
      <c r="H822" s="7"/>
      <c r="Q822" s="3">
        <v>32428</v>
      </c>
      <c r="R822" s="5" t="s">
        <v>879</v>
      </c>
      <c r="V822">
        <v>163</v>
      </c>
      <c r="W822" t="s">
        <v>266</v>
      </c>
    </row>
    <row r="823" spans="3:23" ht="15.75" customHeight="1">
      <c r="C823" s="7"/>
      <c r="Q823" s="3">
        <v>32456</v>
      </c>
      <c r="R823" s="5" t="s">
        <v>880</v>
      </c>
      <c r="V823">
        <v>163</v>
      </c>
      <c r="W823" t="s">
        <v>58</v>
      </c>
    </row>
    <row r="824" spans="3:23" ht="15.75" customHeight="1">
      <c r="C824" s="7"/>
      <c r="Q824" s="3">
        <v>32457</v>
      </c>
      <c r="R824" s="5" t="s">
        <v>881</v>
      </c>
      <c r="V824">
        <v>163</v>
      </c>
      <c r="W824" t="s">
        <v>89</v>
      </c>
    </row>
    <row r="825" spans="3:23" ht="15.75" customHeight="1">
      <c r="C825" s="7"/>
      <c r="Q825" s="3">
        <v>32458</v>
      </c>
      <c r="R825" s="5" t="s">
        <v>882</v>
      </c>
      <c r="V825">
        <v>163</v>
      </c>
      <c r="W825" t="s">
        <v>168</v>
      </c>
    </row>
    <row r="826" spans="3:23" ht="15.75" customHeight="1">
      <c r="C826" s="7"/>
      <c r="D826" s="7"/>
      <c r="H826" s="7"/>
      <c r="Q826" s="3">
        <v>32460</v>
      </c>
      <c r="R826" s="5" t="s">
        <v>883</v>
      </c>
      <c r="V826">
        <v>163</v>
      </c>
      <c r="W826" t="s">
        <v>575</v>
      </c>
    </row>
    <row r="827" spans="3:23" ht="15.75" customHeight="1">
      <c r="C827" s="7"/>
      <c r="D827" s="7"/>
      <c r="H827" s="7"/>
      <c r="Q827" s="3">
        <v>32500</v>
      </c>
      <c r="R827" s="5" t="s">
        <v>884</v>
      </c>
      <c r="V827">
        <v>163</v>
      </c>
      <c r="W827" t="s">
        <v>302</v>
      </c>
    </row>
    <row r="828" spans="3:23" ht="15.75" customHeight="1">
      <c r="C828" s="7"/>
      <c r="D828" s="7"/>
      <c r="H828" s="7"/>
      <c r="Q828" s="3">
        <v>32507</v>
      </c>
      <c r="R828" s="5" t="s">
        <v>885</v>
      </c>
      <c r="V828">
        <v>163</v>
      </c>
      <c r="W828" t="s">
        <v>886</v>
      </c>
    </row>
    <row r="829" spans="3:23" ht="15.75" customHeight="1">
      <c r="C829" s="7"/>
      <c r="D829" s="7"/>
      <c r="H829" s="7"/>
      <c r="Q829" s="3">
        <v>32544</v>
      </c>
      <c r="R829" s="5" t="s">
        <v>887</v>
      </c>
      <c r="V829">
        <v>163</v>
      </c>
      <c r="W829" t="s">
        <v>68</v>
      </c>
    </row>
    <row r="830" spans="3:23" ht="15.75" customHeight="1">
      <c r="C830" s="7"/>
      <c r="D830" s="7"/>
      <c r="H830" s="7"/>
      <c r="Q830" s="3">
        <v>32551</v>
      </c>
      <c r="R830" s="5" t="s">
        <v>888</v>
      </c>
      <c r="V830">
        <v>163</v>
      </c>
      <c r="W830" t="s">
        <v>788</v>
      </c>
    </row>
    <row r="831" spans="3:23" ht="15.75" customHeight="1">
      <c r="C831" s="7"/>
      <c r="D831" s="7"/>
      <c r="H831" s="7"/>
      <c r="Q831" s="3">
        <v>32554</v>
      </c>
      <c r="R831" s="5" t="s">
        <v>889</v>
      </c>
      <c r="V831">
        <v>163</v>
      </c>
      <c r="W831" t="s">
        <v>266</v>
      </c>
    </row>
    <row r="832" spans="3:23" ht="15.75" customHeight="1">
      <c r="C832" s="7"/>
      <c r="D832" s="7"/>
      <c r="H832" s="7"/>
      <c r="Q832" s="3">
        <v>32794</v>
      </c>
      <c r="R832" s="5" t="s">
        <v>890</v>
      </c>
      <c r="V832">
        <v>163</v>
      </c>
      <c r="W832" t="s">
        <v>302</v>
      </c>
    </row>
    <row r="833" spans="3:23" ht="15.75" customHeight="1">
      <c r="C833" s="7"/>
      <c r="D833" s="7"/>
      <c r="H833" s="7"/>
      <c r="Q833" s="3">
        <v>32795</v>
      </c>
      <c r="R833" s="5" t="s">
        <v>891</v>
      </c>
      <c r="V833">
        <v>163</v>
      </c>
      <c r="W833" t="s">
        <v>266</v>
      </c>
    </row>
    <row r="834" spans="3:23" ht="15.75" customHeight="1">
      <c r="C834" s="7"/>
      <c r="D834" s="7"/>
      <c r="H834" s="7"/>
      <c r="Q834" s="3">
        <v>32796</v>
      </c>
      <c r="R834" s="5" t="s">
        <v>892</v>
      </c>
      <c r="V834">
        <v>163</v>
      </c>
      <c r="W834" t="s">
        <v>80</v>
      </c>
    </row>
    <row r="835" spans="3:23" ht="15.75" customHeight="1">
      <c r="C835" s="7"/>
      <c r="D835" s="7"/>
      <c r="H835" s="7"/>
      <c r="Q835" s="3">
        <v>32797</v>
      </c>
      <c r="R835" s="5" t="s">
        <v>893</v>
      </c>
      <c r="V835">
        <v>164</v>
      </c>
      <c r="W835" t="s">
        <v>570</v>
      </c>
    </row>
    <row r="836" spans="3:23" ht="15.75" customHeight="1">
      <c r="C836" s="7"/>
      <c r="D836" s="7"/>
      <c r="H836" s="7"/>
      <c r="Q836" s="3">
        <v>32800</v>
      </c>
      <c r="R836" s="5" t="s">
        <v>894</v>
      </c>
      <c r="V836">
        <v>164</v>
      </c>
      <c r="W836" t="s">
        <v>94</v>
      </c>
    </row>
    <row r="837" spans="3:23" ht="15.75" customHeight="1">
      <c r="C837" s="7"/>
      <c r="D837" s="7"/>
      <c r="H837" s="7"/>
      <c r="Q837" s="3">
        <v>32832</v>
      </c>
      <c r="R837" s="5" t="s">
        <v>895</v>
      </c>
      <c r="V837">
        <v>165</v>
      </c>
      <c r="W837" t="s">
        <v>896</v>
      </c>
    </row>
    <row r="838" spans="3:23" ht="15.75" customHeight="1">
      <c r="C838" s="7"/>
      <c r="D838" s="7"/>
      <c r="H838" s="7"/>
      <c r="Q838" s="3">
        <v>32872</v>
      </c>
      <c r="R838" s="5" t="s">
        <v>897</v>
      </c>
      <c r="V838">
        <v>166</v>
      </c>
      <c r="W838" t="s">
        <v>656</v>
      </c>
    </row>
    <row r="839" spans="3:23" ht="15.75" customHeight="1">
      <c r="C839" s="7"/>
      <c r="D839" s="7"/>
      <c r="H839" s="7"/>
      <c r="Q839" s="3">
        <v>33012</v>
      </c>
      <c r="R839" s="5" t="s">
        <v>898</v>
      </c>
      <c r="V839">
        <v>167</v>
      </c>
      <c r="W839" t="s">
        <v>94</v>
      </c>
    </row>
    <row r="840" spans="3:23" ht="15.75" customHeight="1">
      <c r="C840" s="7"/>
      <c r="D840" s="7"/>
      <c r="H840" s="7"/>
      <c r="Q840" s="3">
        <v>33027</v>
      </c>
      <c r="R840" s="5" t="s">
        <v>899</v>
      </c>
      <c r="V840">
        <v>168</v>
      </c>
      <c r="W840" t="s">
        <v>168</v>
      </c>
    </row>
    <row r="841" spans="3:23" ht="15.75" customHeight="1">
      <c r="C841" s="7"/>
      <c r="D841" s="7"/>
      <c r="H841" s="7"/>
      <c r="Q841" s="3">
        <v>33029</v>
      </c>
      <c r="R841" s="5" t="s">
        <v>900</v>
      </c>
      <c r="V841">
        <v>168</v>
      </c>
      <c r="W841" t="s">
        <v>302</v>
      </c>
    </row>
    <row r="842" spans="3:23" ht="15.75" customHeight="1">
      <c r="C842" s="7"/>
      <c r="D842" s="7"/>
      <c r="H842" s="7"/>
      <c r="Q842" s="3">
        <v>33076</v>
      </c>
      <c r="R842" s="5" t="s">
        <v>901</v>
      </c>
      <c r="V842">
        <v>168</v>
      </c>
      <c r="W842" t="s">
        <v>89</v>
      </c>
    </row>
    <row r="843" spans="3:23" ht="15.75" customHeight="1">
      <c r="C843" s="7"/>
      <c r="D843" s="7"/>
      <c r="H843" s="7"/>
      <c r="Q843" s="3">
        <v>33077</v>
      </c>
      <c r="R843" s="5" t="s">
        <v>902</v>
      </c>
      <c r="V843">
        <v>168</v>
      </c>
      <c r="W843" t="s">
        <v>656</v>
      </c>
    </row>
    <row r="844" spans="3:23" ht="15.75" customHeight="1">
      <c r="C844" s="7"/>
      <c r="D844" s="7"/>
      <c r="H844" s="7"/>
      <c r="Q844" s="3">
        <v>33098</v>
      </c>
      <c r="R844" s="5" t="s">
        <v>903</v>
      </c>
      <c r="V844">
        <v>168</v>
      </c>
      <c r="W844" t="s">
        <v>89</v>
      </c>
    </row>
    <row r="845" spans="3:23" ht="15.75" customHeight="1">
      <c r="C845" s="7"/>
      <c r="D845" s="7"/>
      <c r="H845" s="7"/>
      <c r="Q845" s="3">
        <v>33114</v>
      </c>
      <c r="R845" s="5" t="s">
        <v>904</v>
      </c>
      <c r="V845">
        <v>168</v>
      </c>
      <c r="W845" t="s">
        <v>575</v>
      </c>
    </row>
    <row r="846" spans="3:23" ht="15.75" customHeight="1">
      <c r="C846" s="7"/>
      <c r="D846" s="7"/>
      <c r="H846" s="7"/>
      <c r="Q846" s="5">
        <v>33240</v>
      </c>
      <c r="R846" s="5" t="s">
        <v>905</v>
      </c>
      <c r="V846">
        <v>168</v>
      </c>
      <c r="W846" t="s">
        <v>58</v>
      </c>
    </row>
    <row r="847" spans="3:23" ht="15.75" customHeight="1">
      <c r="C847" s="7"/>
      <c r="D847" s="7"/>
      <c r="H847" s="7"/>
      <c r="Q847" s="5">
        <v>33349</v>
      </c>
      <c r="R847" s="5" t="s">
        <v>906</v>
      </c>
      <c r="V847">
        <v>168</v>
      </c>
      <c r="W847" t="s">
        <v>575</v>
      </c>
    </row>
    <row r="848" spans="3:23" ht="15.75" customHeight="1">
      <c r="C848" s="7"/>
      <c r="D848" s="7"/>
      <c r="H848" s="7"/>
      <c r="Q848" s="16">
        <v>33381</v>
      </c>
      <c r="R848" s="16" t="s">
        <v>907</v>
      </c>
      <c r="V848">
        <v>169</v>
      </c>
      <c r="W848" t="s">
        <v>23</v>
      </c>
    </row>
    <row r="849" spans="3:23" ht="15.75" customHeight="1">
      <c r="C849" s="7"/>
      <c r="D849" s="7"/>
      <c r="H849" s="7"/>
      <c r="Q849" s="16">
        <v>33409</v>
      </c>
      <c r="R849" s="16" t="s">
        <v>908</v>
      </c>
      <c r="V849">
        <v>169</v>
      </c>
      <c r="W849" t="s">
        <v>68</v>
      </c>
    </row>
    <row r="850" spans="3:23" ht="15.75" customHeight="1">
      <c r="C850" s="7"/>
      <c r="D850" s="7"/>
      <c r="H850" s="7"/>
      <c r="Q850" s="16">
        <v>33418</v>
      </c>
      <c r="R850" s="16" t="s">
        <v>909</v>
      </c>
      <c r="V850">
        <v>169</v>
      </c>
      <c r="W850" t="s">
        <v>60</v>
      </c>
    </row>
    <row r="851" spans="3:23" ht="15.75" customHeight="1">
      <c r="C851" s="7"/>
      <c r="D851" s="7"/>
      <c r="H851" s="7"/>
      <c r="Q851" s="16">
        <v>33422</v>
      </c>
      <c r="R851" s="16" t="s">
        <v>910</v>
      </c>
      <c r="V851">
        <v>169</v>
      </c>
      <c r="W851" t="s">
        <v>562</v>
      </c>
    </row>
    <row r="852" spans="3:23" ht="15.75" customHeight="1">
      <c r="C852" s="7"/>
      <c r="D852" s="7"/>
      <c r="H852" s="7"/>
      <c r="Q852" s="16">
        <v>33432</v>
      </c>
      <c r="R852" s="16" t="s">
        <v>911</v>
      </c>
      <c r="V852">
        <v>169</v>
      </c>
      <c r="W852" t="s">
        <v>168</v>
      </c>
    </row>
    <row r="853" spans="3:23" ht="15.75" customHeight="1">
      <c r="C853" s="7"/>
      <c r="D853" s="7"/>
      <c r="H853" s="7"/>
      <c r="Q853" s="16">
        <v>33466</v>
      </c>
      <c r="R853" s="16" t="s">
        <v>912</v>
      </c>
      <c r="V853">
        <v>170</v>
      </c>
      <c r="W853" t="s">
        <v>575</v>
      </c>
    </row>
    <row r="854" spans="3:23" ht="15.75" customHeight="1">
      <c r="C854" s="7"/>
      <c r="D854" s="7"/>
      <c r="H854" s="7"/>
      <c r="Q854" s="16">
        <v>33488</v>
      </c>
      <c r="R854" s="16" t="s">
        <v>913</v>
      </c>
      <c r="V854">
        <v>170</v>
      </c>
      <c r="W854" t="s">
        <v>914</v>
      </c>
    </row>
    <row r="855" spans="3:23" ht="15.75" customHeight="1">
      <c r="C855" s="7"/>
      <c r="D855" s="7"/>
      <c r="H855" s="7"/>
      <c r="Q855" s="16">
        <v>33492</v>
      </c>
      <c r="R855" s="16" t="s">
        <v>915</v>
      </c>
      <c r="V855">
        <v>170</v>
      </c>
      <c r="W855" t="s">
        <v>158</v>
      </c>
    </row>
    <row r="856" spans="3:23" ht="15.75" customHeight="1">
      <c r="C856" s="7"/>
      <c r="D856" s="7"/>
      <c r="H856" s="7"/>
      <c r="Q856" s="16">
        <v>33509</v>
      </c>
      <c r="R856" s="16" t="s">
        <v>916</v>
      </c>
      <c r="V856">
        <v>170</v>
      </c>
      <c r="W856" t="s">
        <v>94</v>
      </c>
    </row>
    <row r="857" spans="3:23" ht="15.75" customHeight="1">
      <c r="C857" s="7"/>
      <c r="D857" s="7"/>
      <c r="H857" s="7"/>
      <c r="Q857" s="16">
        <v>33511</v>
      </c>
      <c r="R857" s="16" t="s">
        <v>917</v>
      </c>
      <c r="V857">
        <v>170</v>
      </c>
      <c r="W857" t="s">
        <v>918</v>
      </c>
    </row>
    <row r="858" spans="3:23" ht="15.75" customHeight="1">
      <c r="C858" s="7"/>
      <c r="D858" s="7"/>
      <c r="H858" s="7"/>
      <c r="Q858" s="16">
        <v>33513</v>
      </c>
      <c r="R858" s="16" t="s">
        <v>919</v>
      </c>
      <c r="V858">
        <v>170</v>
      </c>
      <c r="W858" t="s">
        <v>918</v>
      </c>
    </row>
    <row r="859" spans="3:23" ht="15.75" customHeight="1">
      <c r="C859" s="7"/>
      <c r="D859" s="7"/>
      <c r="H859" s="7"/>
      <c r="Q859" s="16">
        <v>33515</v>
      </c>
      <c r="R859" s="16" t="s">
        <v>920</v>
      </c>
      <c r="V859">
        <v>170</v>
      </c>
      <c r="W859" t="s">
        <v>158</v>
      </c>
    </row>
    <row r="860" spans="3:23" ht="15.75" customHeight="1">
      <c r="C860" s="7"/>
      <c r="D860" s="7"/>
      <c r="H860" s="7"/>
      <c r="Q860" s="16">
        <v>33519</v>
      </c>
      <c r="R860" s="16" t="s">
        <v>921</v>
      </c>
      <c r="V860">
        <v>170</v>
      </c>
      <c r="W860" t="s">
        <v>918</v>
      </c>
    </row>
    <row r="861" spans="3:23" ht="15.75" customHeight="1">
      <c r="C861" s="7"/>
      <c r="D861" s="7"/>
      <c r="H861" s="7"/>
      <c r="Q861" s="16">
        <v>33563</v>
      </c>
      <c r="R861" s="16" t="s">
        <v>922</v>
      </c>
      <c r="V861">
        <v>170</v>
      </c>
      <c r="W861" t="s">
        <v>158</v>
      </c>
    </row>
    <row r="862" spans="3:23" ht="15.75" customHeight="1">
      <c r="C862" s="7"/>
      <c r="D862" s="7"/>
      <c r="H862" s="7"/>
      <c r="Q862" s="16">
        <v>33565</v>
      </c>
      <c r="R862" s="16" t="s">
        <v>923</v>
      </c>
      <c r="V862">
        <v>170</v>
      </c>
      <c r="W862" t="s">
        <v>158</v>
      </c>
    </row>
    <row r="863" spans="3:23" ht="15.75" customHeight="1">
      <c r="C863" s="7"/>
      <c r="D863" s="7"/>
      <c r="H863" s="7"/>
      <c r="Q863" s="16">
        <v>33577</v>
      </c>
      <c r="R863" s="16" t="s">
        <v>924</v>
      </c>
      <c r="V863">
        <v>170</v>
      </c>
      <c r="W863" t="s">
        <v>68</v>
      </c>
    </row>
    <row r="864" spans="3:23" ht="15.75" customHeight="1">
      <c r="C864" s="7"/>
      <c r="D864" s="7"/>
      <c r="H864" s="7"/>
      <c r="Q864" s="16">
        <v>33612</v>
      </c>
      <c r="R864" s="16" t="s">
        <v>925</v>
      </c>
      <c r="V864">
        <v>171</v>
      </c>
      <c r="W864" t="s">
        <v>89</v>
      </c>
    </row>
    <row r="865" spans="3:23" ht="15.75" customHeight="1">
      <c r="C865" s="7"/>
      <c r="D865" s="7"/>
      <c r="H865" s="7"/>
      <c r="Q865" s="16">
        <v>33615</v>
      </c>
      <c r="R865" s="16" t="s">
        <v>926</v>
      </c>
      <c r="V865">
        <v>171</v>
      </c>
      <c r="W865" t="s">
        <v>611</v>
      </c>
    </row>
    <row r="866" spans="3:23" ht="15.75" customHeight="1">
      <c r="C866" s="7"/>
      <c r="D866" s="7"/>
      <c r="H866" s="7"/>
      <c r="Q866" s="16">
        <v>33618</v>
      </c>
      <c r="R866" s="16" t="s">
        <v>927</v>
      </c>
      <c r="V866">
        <v>171</v>
      </c>
      <c r="W866" t="s">
        <v>575</v>
      </c>
    </row>
    <row r="867" spans="3:23" ht="15.75" customHeight="1">
      <c r="C867" s="7"/>
      <c r="D867" s="7"/>
      <c r="H867" s="7"/>
      <c r="Q867" s="16">
        <v>33657</v>
      </c>
      <c r="R867" s="16" t="s">
        <v>928</v>
      </c>
      <c r="V867">
        <v>171</v>
      </c>
      <c r="W867" t="s">
        <v>302</v>
      </c>
    </row>
    <row r="868" spans="3:23" ht="15.75" customHeight="1">
      <c r="C868" s="7"/>
      <c r="D868" s="7"/>
      <c r="H868" s="7"/>
      <c r="Q868" s="16">
        <v>33663</v>
      </c>
      <c r="R868" s="16" t="s">
        <v>929</v>
      </c>
      <c r="V868">
        <v>171</v>
      </c>
      <c r="W868" t="s">
        <v>23</v>
      </c>
    </row>
    <row r="869" spans="3:23" ht="15.75" customHeight="1">
      <c r="C869" s="7"/>
      <c r="D869" s="7"/>
      <c r="H869" s="7"/>
      <c r="Q869" s="16">
        <v>33664</v>
      </c>
      <c r="R869" s="16" t="s">
        <v>930</v>
      </c>
      <c r="V869">
        <v>171</v>
      </c>
      <c r="W869" t="s">
        <v>23</v>
      </c>
    </row>
    <row r="870" spans="3:23" ht="15.75" customHeight="1">
      <c r="C870" s="7"/>
      <c r="D870" s="7"/>
      <c r="H870" s="7"/>
      <c r="Q870" s="16">
        <v>33665</v>
      </c>
      <c r="R870" s="16" t="s">
        <v>931</v>
      </c>
      <c r="V870">
        <v>171</v>
      </c>
      <c r="W870" t="s">
        <v>494</v>
      </c>
    </row>
    <row r="871" spans="3:23" ht="15.75" customHeight="1">
      <c r="C871" s="7"/>
      <c r="D871" s="7"/>
      <c r="H871" s="7"/>
      <c r="Q871" s="16">
        <v>33673</v>
      </c>
      <c r="R871" s="16" t="s">
        <v>932</v>
      </c>
      <c r="V871">
        <v>171</v>
      </c>
      <c r="W871" t="s">
        <v>68</v>
      </c>
    </row>
    <row r="872" spans="3:23" ht="15.75" customHeight="1">
      <c r="C872" s="7"/>
      <c r="D872" s="7"/>
      <c r="H872" s="7"/>
      <c r="Q872" s="16">
        <v>33686</v>
      </c>
      <c r="R872" s="16" t="s">
        <v>933</v>
      </c>
      <c r="V872">
        <v>171</v>
      </c>
      <c r="W872" t="s">
        <v>611</v>
      </c>
    </row>
    <row r="873" spans="3:23" ht="15.75" customHeight="1">
      <c r="C873" s="7"/>
      <c r="D873" s="7"/>
      <c r="H873" s="7"/>
      <c r="Q873" s="16">
        <v>33689</v>
      </c>
      <c r="R873" s="16" t="s">
        <v>934</v>
      </c>
      <c r="V873">
        <v>171</v>
      </c>
      <c r="W873" t="s">
        <v>494</v>
      </c>
    </row>
    <row r="874" spans="3:23" ht="15.75" customHeight="1">
      <c r="C874" s="7"/>
      <c r="D874" s="7"/>
      <c r="H874" s="7"/>
      <c r="Q874" s="16">
        <v>33690</v>
      </c>
      <c r="R874" s="16" t="s">
        <v>935</v>
      </c>
      <c r="V874">
        <v>171</v>
      </c>
      <c r="W874" t="s">
        <v>23</v>
      </c>
    </row>
    <row r="875" spans="3:23" ht="15.75" customHeight="1">
      <c r="C875" s="7"/>
      <c r="D875" s="7"/>
      <c r="H875" s="7"/>
      <c r="Q875" s="16">
        <v>33694</v>
      </c>
      <c r="R875" s="16" t="s">
        <v>936</v>
      </c>
      <c r="V875">
        <v>171</v>
      </c>
      <c r="W875" t="s">
        <v>94</v>
      </c>
    </row>
    <row r="876" spans="3:23" ht="15.75" customHeight="1">
      <c r="C876" s="7"/>
      <c r="D876" s="7"/>
      <c r="H876" s="7"/>
      <c r="Q876" s="16">
        <v>33697</v>
      </c>
      <c r="R876" s="16" t="s">
        <v>937</v>
      </c>
      <c r="V876">
        <v>171</v>
      </c>
      <c r="W876" t="s">
        <v>656</v>
      </c>
    </row>
    <row r="877" spans="3:23" ht="15.75" customHeight="1">
      <c r="C877" s="7"/>
      <c r="D877" s="7"/>
      <c r="H877" s="7"/>
      <c r="Q877" s="16">
        <v>33705</v>
      </c>
      <c r="R877" s="16" t="s">
        <v>938</v>
      </c>
      <c r="V877">
        <v>171</v>
      </c>
      <c r="W877" t="s">
        <v>80</v>
      </c>
    </row>
    <row r="878" spans="3:23" ht="15.75" customHeight="1">
      <c r="C878" s="7"/>
      <c r="D878" s="7"/>
      <c r="H878" s="7"/>
      <c r="Q878" s="16">
        <v>33711</v>
      </c>
      <c r="R878" s="16" t="s">
        <v>939</v>
      </c>
      <c r="V878">
        <v>171</v>
      </c>
      <c r="W878" t="s">
        <v>611</v>
      </c>
    </row>
    <row r="879" spans="3:23" ht="15.75" customHeight="1">
      <c r="C879" s="7"/>
      <c r="D879" s="7"/>
      <c r="H879" s="7"/>
      <c r="Q879" s="16">
        <v>33723</v>
      </c>
      <c r="R879" s="16" t="s">
        <v>940</v>
      </c>
      <c r="V879">
        <v>171</v>
      </c>
      <c r="W879" t="s">
        <v>656</v>
      </c>
    </row>
    <row r="880" spans="3:23" ht="15.75" customHeight="1">
      <c r="C880" s="7"/>
      <c r="D880" s="7"/>
      <c r="H880" s="7"/>
      <c r="Q880" s="16">
        <v>33752</v>
      </c>
      <c r="R880" s="16" t="s">
        <v>941</v>
      </c>
      <c r="V880">
        <v>172</v>
      </c>
      <c r="W880" t="s">
        <v>611</v>
      </c>
    </row>
    <row r="881" spans="3:23" ht="15.75" customHeight="1">
      <c r="C881" s="7"/>
      <c r="D881" s="7"/>
      <c r="H881" s="7"/>
      <c r="Q881" s="16">
        <v>33769</v>
      </c>
      <c r="R881" s="16" t="s">
        <v>942</v>
      </c>
      <c r="V881">
        <v>172</v>
      </c>
      <c r="W881" t="s">
        <v>656</v>
      </c>
    </row>
    <row r="882" spans="3:23" ht="15.75" customHeight="1">
      <c r="C882" s="7"/>
      <c r="D882" s="7"/>
      <c r="H882" s="7"/>
      <c r="Q882" s="16">
        <v>33779</v>
      </c>
      <c r="R882" s="16" t="s">
        <v>943</v>
      </c>
      <c r="V882">
        <v>172</v>
      </c>
      <c r="W882" t="s">
        <v>204</v>
      </c>
    </row>
    <row r="883" spans="3:23" ht="15.75" customHeight="1">
      <c r="C883" s="7"/>
      <c r="D883" s="7"/>
      <c r="H883" s="7"/>
      <c r="Q883" s="16">
        <v>33830</v>
      </c>
      <c r="R883" s="16" t="s">
        <v>944</v>
      </c>
      <c r="V883">
        <v>172</v>
      </c>
      <c r="W883" t="s">
        <v>656</v>
      </c>
    </row>
    <row r="884" spans="3:23" ht="15.75" customHeight="1">
      <c r="C884" s="7"/>
      <c r="D884" s="7"/>
      <c r="H884" s="7"/>
      <c r="Q884" s="16">
        <v>33833</v>
      </c>
      <c r="R884" s="16" t="s">
        <v>945</v>
      </c>
      <c r="V884">
        <v>172</v>
      </c>
      <c r="W884" t="s">
        <v>570</v>
      </c>
    </row>
    <row r="885" spans="3:23" ht="15.75" customHeight="1">
      <c r="C885" s="7"/>
      <c r="D885" s="7"/>
      <c r="H885" s="7"/>
      <c r="Q885" s="16">
        <v>33843</v>
      </c>
      <c r="R885" s="16" t="s">
        <v>946</v>
      </c>
      <c r="V885">
        <v>172</v>
      </c>
      <c r="W885" t="s">
        <v>266</v>
      </c>
    </row>
    <row r="886" spans="3:23" ht="15.75" customHeight="1">
      <c r="C886" s="7"/>
      <c r="D886" s="7"/>
      <c r="H886" s="7"/>
      <c r="Q886" s="16">
        <v>33870</v>
      </c>
      <c r="R886" s="16" t="s">
        <v>947</v>
      </c>
      <c r="V886">
        <v>172</v>
      </c>
      <c r="W886" t="s">
        <v>575</v>
      </c>
    </row>
    <row r="887" spans="3:23" ht="15.75" customHeight="1">
      <c r="C887" s="7"/>
      <c r="D887" s="7"/>
      <c r="H887" s="7"/>
      <c r="Q887" s="16">
        <v>33890</v>
      </c>
      <c r="R887" s="16" t="s">
        <v>948</v>
      </c>
      <c r="V887">
        <v>172</v>
      </c>
      <c r="W887" t="s">
        <v>68</v>
      </c>
    </row>
    <row r="888" spans="3:23" ht="15.75" customHeight="1">
      <c r="C888" s="7"/>
      <c r="D888" s="7"/>
      <c r="H888" s="7"/>
      <c r="Q888" s="16">
        <v>33917</v>
      </c>
      <c r="R888" s="16" t="s">
        <v>949</v>
      </c>
      <c r="V888">
        <v>172</v>
      </c>
      <c r="W888" t="s">
        <v>158</v>
      </c>
    </row>
    <row r="889" spans="3:23" ht="15.75" customHeight="1">
      <c r="C889" s="7"/>
      <c r="D889" s="7"/>
      <c r="H889" s="7"/>
      <c r="Q889" s="16">
        <v>33941</v>
      </c>
      <c r="R889" s="16" t="s">
        <v>950</v>
      </c>
      <c r="V889">
        <v>172</v>
      </c>
      <c r="W889" t="s">
        <v>168</v>
      </c>
    </row>
    <row r="890" spans="3:23" ht="15.75" customHeight="1">
      <c r="C890" s="7"/>
      <c r="D890" s="7"/>
      <c r="H890" s="7"/>
      <c r="Q890" s="16">
        <v>33961</v>
      </c>
      <c r="R890" s="16" t="s">
        <v>951</v>
      </c>
      <c r="V890">
        <v>172</v>
      </c>
      <c r="W890" t="s">
        <v>494</v>
      </c>
    </row>
    <row r="891" spans="3:23" ht="15.75" customHeight="1">
      <c r="C891" s="7"/>
      <c r="D891" s="7"/>
      <c r="H891" s="7"/>
      <c r="Q891" s="16">
        <v>33964</v>
      </c>
      <c r="R891" s="16" t="s">
        <v>952</v>
      </c>
      <c r="V891">
        <v>172</v>
      </c>
      <c r="W891" t="s">
        <v>656</v>
      </c>
    </row>
    <row r="892" spans="3:23" ht="15.75" customHeight="1">
      <c r="C892" s="7"/>
      <c r="D892" s="7"/>
      <c r="H892" s="7"/>
      <c r="Q892" s="16">
        <v>33969</v>
      </c>
      <c r="R892" s="16" t="s">
        <v>953</v>
      </c>
      <c r="V892">
        <v>173</v>
      </c>
      <c r="W892" t="s">
        <v>575</v>
      </c>
    </row>
    <row r="893" spans="3:23" ht="15.75" customHeight="1">
      <c r="C893" s="7"/>
      <c r="D893" s="7"/>
      <c r="H893" s="7"/>
      <c r="Q893" s="16">
        <v>33978</v>
      </c>
      <c r="R893" s="16" t="s">
        <v>954</v>
      </c>
      <c r="V893">
        <v>173</v>
      </c>
      <c r="W893" t="s">
        <v>68</v>
      </c>
    </row>
    <row r="894" spans="3:23" ht="15.75" customHeight="1">
      <c r="C894" s="7"/>
      <c r="D894" s="7"/>
      <c r="H894" s="7"/>
      <c r="Q894" s="16">
        <v>34184</v>
      </c>
      <c r="R894" s="16" t="s">
        <v>955</v>
      </c>
      <c r="V894">
        <v>173</v>
      </c>
      <c r="W894" t="s">
        <v>481</v>
      </c>
    </row>
    <row r="895" spans="3:23" ht="15.75" customHeight="1">
      <c r="C895" s="7"/>
      <c r="D895" s="7"/>
      <c r="H895" s="7"/>
      <c r="Q895" s="16">
        <v>34188</v>
      </c>
      <c r="R895" s="16" t="s">
        <v>956</v>
      </c>
      <c r="V895">
        <v>173</v>
      </c>
      <c r="W895" t="s">
        <v>664</v>
      </c>
    </row>
    <row r="896" spans="3:23" ht="15.75" customHeight="1">
      <c r="C896" s="7"/>
      <c r="D896" s="7"/>
      <c r="H896" s="7"/>
      <c r="Q896" s="16">
        <v>34196</v>
      </c>
      <c r="R896" s="16" t="s">
        <v>957</v>
      </c>
      <c r="V896">
        <v>173</v>
      </c>
      <c r="W896" t="s">
        <v>664</v>
      </c>
    </row>
    <row r="897" spans="3:23" ht="15.75" customHeight="1">
      <c r="C897" s="7"/>
      <c r="D897" s="7"/>
      <c r="H897" s="7"/>
      <c r="Q897" s="16">
        <v>34222</v>
      </c>
      <c r="R897" s="16" t="s">
        <v>958</v>
      </c>
      <c r="V897">
        <v>173</v>
      </c>
      <c r="W897" t="s">
        <v>94</v>
      </c>
    </row>
    <row r="898" spans="3:23" ht="15.75" customHeight="1">
      <c r="C898" s="7"/>
      <c r="D898" s="7"/>
      <c r="H898" s="7"/>
      <c r="Q898" s="16">
        <v>34228</v>
      </c>
      <c r="R898" s="16" t="s">
        <v>959</v>
      </c>
      <c r="V898">
        <v>173</v>
      </c>
      <c r="W898" t="s">
        <v>23</v>
      </c>
    </row>
    <row r="899" spans="3:23" ht="15.75" customHeight="1">
      <c r="C899" s="7"/>
      <c r="D899" s="7"/>
      <c r="H899" s="7"/>
      <c r="Q899" s="16">
        <v>34233</v>
      </c>
      <c r="R899" s="16" t="s">
        <v>960</v>
      </c>
      <c r="V899">
        <v>173</v>
      </c>
      <c r="W899" t="s">
        <v>168</v>
      </c>
    </row>
    <row r="900" spans="3:23" ht="15.75" customHeight="1">
      <c r="C900" s="7"/>
      <c r="D900" s="7"/>
      <c r="H900" s="7"/>
      <c r="Q900" s="16">
        <v>34235</v>
      </c>
      <c r="R900" s="16" t="s">
        <v>961</v>
      </c>
      <c r="V900">
        <v>173</v>
      </c>
      <c r="W900" t="s">
        <v>94</v>
      </c>
    </row>
    <row r="901" spans="3:23" ht="15.75" customHeight="1">
      <c r="C901" s="7"/>
      <c r="D901" s="7"/>
      <c r="H901" s="7"/>
      <c r="Q901" s="16">
        <v>34242</v>
      </c>
      <c r="R901" s="16" t="s">
        <v>962</v>
      </c>
      <c r="V901">
        <v>174</v>
      </c>
      <c r="W901" t="s">
        <v>94</v>
      </c>
    </row>
    <row r="902" spans="3:23" ht="15.75" customHeight="1">
      <c r="C902" s="7"/>
      <c r="D902" s="7"/>
      <c r="H902" s="7"/>
      <c r="Q902" s="16">
        <v>34251</v>
      </c>
      <c r="R902" s="16" t="s">
        <v>963</v>
      </c>
      <c r="V902">
        <v>174</v>
      </c>
      <c r="W902" t="s">
        <v>94</v>
      </c>
    </row>
    <row r="903" spans="3:23" ht="15.75" customHeight="1">
      <c r="C903" s="7"/>
      <c r="D903" s="7"/>
      <c r="H903" s="7"/>
      <c r="Q903" s="16">
        <v>34260</v>
      </c>
      <c r="R903" s="16" t="s">
        <v>964</v>
      </c>
      <c r="V903">
        <v>174</v>
      </c>
      <c r="W903" t="s">
        <v>94</v>
      </c>
    </row>
    <row r="904" spans="3:23" ht="15.75" customHeight="1">
      <c r="C904" s="7"/>
      <c r="D904" s="7"/>
      <c r="H904" s="7"/>
      <c r="Q904" s="16">
        <v>34261</v>
      </c>
      <c r="R904" s="16" t="s">
        <v>965</v>
      </c>
      <c r="V904">
        <v>174</v>
      </c>
      <c r="W904" t="s">
        <v>158</v>
      </c>
    </row>
    <row r="905" spans="3:23" ht="15.75" customHeight="1">
      <c r="C905" s="7"/>
      <c r="D905" s="7"/>
      <c r="H905" s="7"/>
      <c r="Q905" s="16">
        <v>34263</v>
      </c>
      <c r="R905" s="16" t="s">
        <v>966</v>
      </c>
      <c r="V905">
        <v>174</v>
      </c>
      <c r="W905" t="s">
        <v>302</v>
      </c>
    </row>
    <row r="906" spans="3:23" ht="15.75" customHeight="1">
      <c r="C906" s="7"/>
      <c r="D906" s="7"/>
      <c r="H906" s="7"/>
      <c r="Q906" s="16">
        <v>34275</v>
      </c>
      <c r="R906" s="16" t="s">
        <v>967</v>
      </c>
      <c r="V906">
        <v>174</v>
      </c>
      <c r="W906" t="s">
        <v>204</v>
      </c>
    </row>
    <row r="907" spans="3:23" ht="15.75" customHeight="1">
      <c r="C907" s="7"/>
      <c r="D907" s="7"/>
      <c r="H907" s="7"/>
      <c r="Q907" s="16">
        <v>34285</v>
      </c>
      <c r="R907" s="16" t="s">
        <v>968</v>
      </c>
      <c r="V907">
        <v>174</v>
      </c>
      <c r="W907" t="s">
        <v>60</v>
      </c>
    </row>
    <row r="908" spans="3:23" ht="15.75" customHeight="1">
      <c r="C908" s="7"/>
      <c r="D908" s="7"/>
      <c r="H908" s="7"/>
      <c r="Q908" s="16">
        <v>34294</v>
      </c>
      <c r="R908" s="16" t="s">
        <v>969</v>
      </c>
      <c r="V908">
        <v>174</v>
      </c>
      <c r="W908" t="s">
        <v>68</v>
      </c>
    </row>
    <row r="909" spans="3:23" ht="15.75" customHeight="1">
      <c r="C909" s="7"/>
      <c r="D909" s="7"/>
      <c r="H909" s="7"/>
      <c r="Q909" s="16"/>
      <c r="R909" s="16"/>
      <c r="V909">
        <v>174</v>
      </c>
      <c r="W909" t="s">
        <v>656</v>
      </c>
    </row>
    <row r="910" spans="3:23" ht="15.75" customHeight="1">
      <c r="C910" s="7"/>
      <c r="D910" s="7"/>
      <c r="H910" s="7"/>
      <c r="Q910" s="16"/>
      <c r="R910" s="16"/>
      <c r="V910">
        <v>174</v>
      </c>
      <c r="W910" t="s">
        <v>89</v>
      </c>
    </row>
    <row r="911" spans="3:23" ht="15.75" customHeight="1">
      <c r="C911" s="7"/>
      <c r="D911" s="7"/>
      <c r="H911" s="7"/>
      <c r="Q911" s="16"/>
      <c r="R911" s="16"/>
      <c r="V911">
        <v>174</v>
      </c>
      <c r="W911" t="s">
        <v>89</v>
      </c>
    </row>
    <row r="912" spans="3:23" ht="15.75" customHeight="1">
      <c r="C912" s="7"/>
      <c r="D912" s="7"/>
      <c r="H912" s="7"/>
      <c r="Q912" s="16"/>
      <c r="R912" s="16"/>
      <c r="V912">
        <v>174</v>
      </c>
      <c r="W912" t="s">
        <v>94</v>
      </c>
    </row>
    <row r="913" spans="3:23" ht="15.75" customHeight="1">
      <c r="C913" s="7"/>
      <c r="D913" s="7"/>
      <c r="H913" s="7"/>
      <c r="Q913" s="16"/>
      <c r="R913" s="16"/>
      <c r="V913">
        <v>174</v>
      </c>
      <c r="W913" t="s">
        <v>302</v>
      </c>
    </row>
    <row r="914" spans="3:23" ht="15.75" customHeight="1">
      <c r="C914" s="7"/>
      <c r="D914" s="7"/>
      <c r="H914" s="7"/>
      <c r="Q914" s="16"/>
      <c r="R914" s="16"/>
      <c r="V914">
        <v>174</v>
      </c>
      <c r="W914" t="s">
        <v>89</v>
      </c>
    </row>
    <row r="915" spans="3:23" ht="15.75" customHeight="1">
      <c r="C915" s="7"/>
      <c r="D915" s="7"/>
      <c r="H915" s="7"/>
      <c r="Q915" s="16"/>
      <c r="R915" s="16"/>
      <c r="V915">
        <v>174</v>
      </c>
      <c r="W915" t="s">
        <v>502</v>
      </c>
    </row>
    <row r="916" spans="3:23" ht="15.75" customHeight="1">
      <c r="C916" s="7"/>
      <c r="D916" s="7"/>
      <c r="H916" s="7"/>
      <c r="Q916" s="16"/>
      <c r="R916" s="16"/>
      <c r="V916">
        <v>174</v>
      </c>
      <c r="W916" t="s">
        <v>89</v>
      </c>
    </row>
    <row r="917" spans="3:23" ht="15.75" customHeight="1">
      <c r="C917" s="7"/>
      <c r="D917" s="7"/>
      <c r="H917" s="7"/>
      <c r="Q917" s="16"/>
      <c r="R917" s="16"/>
      <c r="V917">
        <v>174</v>
      </c>
      <c r="W917" t="s">
        <v>204</v>
      </c>
    </row>
    <row r="918" spans="3:23" ht="15.75" customHeight="1">
      <c r="C918" s="7"/>
      <c r="D918" s="7"/>
      <c r="H918" s="7"/>
      <c r="Q918" s="16"/>
      <c r="R918" s="16"/>
      <c r="V918">
        <v>174</v>
      </c>
      <c r="W918" t="s">
        <v>656</v>
      </c>
    </row>
    <row r="919" spans="3:23" ht="15.75" customHeight="1">
      <c r="C919" s="7"/>
      <c r="D919" s="7"/>
      <c r="H919" s="7"/>
      <c r="Q919" s="16"/>
      <c r="R919" s="16"/>
      <c r="V919">
        <v>175</v>
      </c>
      <c r="W919" t="s">
        <v>656</v>
      </c>
    </row>
    <row r="920" spans="3:23" ht="15.75" customHeight="1">
      <c r="C920" s="7"/>
      <c r="D920" s="7"/>
      <c r="H920" s="7"/>
      <c r="Q920" s="16"/>
      <c r="R920" s="16"/>
      <c r="V920">
        <v>175</v>
      </c>
      <c r="W920" t="s">
        <v>656</v>
      </c>
    </row>
    <row r="921" spans="3:23" ht="15.75" customHeight="1">
      <c r="C921" s="7"/>
      <c r="D921" s="7"/>
      <c r="H921" s="7"/>
      <c r="Q921" s="16"/>
      <c r="R921" s="16"/>
      <c r="V921">
        <v>175</v>
      </c>
      <c r="W921" t="s">
        <v>656</v>
      </c>
    </row>
    <row r="922" spans="3:23" ht="15.75" customHeight="1">
      <c r="C922" s="7"/>
      <c r="D922" s="7"/>
      <c r="H922" s="7"/>
      <c r="Q922" s="16"/>
      <c r="R922" s="16"/>
      <c r="V922">
        <v>175</v>
      </c>
      <c r="W922" t="s">
        <v>656</v>
      </c>
    </row>
    <row r="923" spans="3:23" ht="15.75" customHeight="1">
      <c r="C923" s="7"/>
      <c r="D923" s="7"/>
      <c r="H923" s="7"/>
      <c r="Q923" s="16"/>
      <c r="R923" s="16"/>
      <c r="V923">
        <v>176</v>
      </c>
      <c r="W923" t="s">
        <v>58</v>
      </c>
    </row>
    <row r="924" spans="3:23" ht="15.75" customHeight="1">
      <c r="C924" s="7"/>
      <c r="D924" s="7"/>
      <c r="H924" s="7"/>
      <c r="Q924" s="16"/>
      <c r="R924" s="16"/>
      <c r="V924">
        <v>177</v>
      </c>
      <c r="W924" t="s">
        <v>656</v>
      </c>
    </row>
    <row r="925" spans="3:23" ht="15.75" customHeight="1">
      <c r="C925" s="7"/>
      <c r="D925" s="7"/>
      <c r="H925" s="7"/>
      <c r="Q925" s="16"/>
      <c r="R925" s="16"/>
      <c r="V925">
        <v>177</v>
      </c>
      <c r="W925" t="s">
        <v>611</v>
      </c>
    </row>
    <row r="926" spans="3:23" ht="15.75" customHeight="1">
      <c r="C926" s="7"/>
      <c r="D926" s="7"/>
      <c r="H926" s="7"/>
      <c r="Q926" s="16"/>
      <c r="R926" s="16"/>
      <c r="V926">
        <v>177</v>
      </c>
      <c r="W926" t="s">
        <v>494</v>
      </c>
    </row>
    <row r="927" spans="3:23" ht="15.75" customHeight="1">
      <c r="C927" s="7"/>
      <c r="D927" s="7"/>
      <c r="H927" s="7"/>
      <c r="Q927" s="16"/>
      <c r="R927" s="16"/>
      <c r="V927">
        <v>178</v>
      </c>
      <c r="W927" t="s">
        <v>502</v>
      </c>
    </row>
    <row r="928" spans="3:23" ht="15.75" customHeight="1">
      <c r="C928" s="7"/>
      <c r="D928" s="7"/>
      <c r="H928" s="7"/>
      <c r="Q928" s="16"/>
      <c r="R928" s="16"/>
      <c r="V928">
        <v>178</v>
      </c>
      <c r="W928" t="s">
        <v>656</v>
      </c>
    </row>
    <row r="929" spans="3:23" ht="15.75" customHeight="1">
      <c r="C929" s="7"/>
      <c r="D929" s="7"/>
      <c r="H929" s="7"/>
      <c r="Q929" s="16"/>
      <c r="R929" s="16"/>
      <c r="V929">
        <v>178</v>
      </c>
      <c r="W929" t="s">
        <v>575</v>
      </c>
    </row>
    <row r="930" spans="3:23" ht="15.75" customHeight="1">
      <c r="C930" s="7"/>
      <c r="D930" s="7"/>
      <c r="H930" s="7"/>
      <c r="Q930" s="16"/>
      <c r="R930" s="16"/>
      <c r="V930">
        <v>178</v>
      </c>
      <c r="W930" t="s">
        <v>575</v>
      </c>
    </row>
    <row r="931" spans="3:23" ht="15.75" customHeight="1">
      <c r="C931" s="7"/>
      <c r="D931" s="7"/>
      <c r="H931" s="7"/>
      <c r="Q931" s="16"/>
      <c r="R931" s="16"/>
      <c r="V931">
        <v>178</v>
      </c>
      <c r="W931" t="s">
        <v>575</v>
      </c>
    </row>
    <row r="932" spans="3:23" ht="15.75" customHeight="1">
      <c r="C932" s="7"/>
      <c r="D932" s="7"/>
      <c r="H932" s="7"/>
      <c r="Q932" s="16"/>
      <c r="R932" s="16"/>
      <c r="V932">
        <v>178</v>
      </c>
      <c r="W932" t="s">
        <v>494</v>
      </c>
    </row>
    <row r="933" spans="3:23" ht="15.75" customHeight="1">
      <c r="C933" s="7"/>
      <c r="D933" s="7"/>
      <c r="H933" s="7"/>
      <c r="Q933" s="16"/>
      <c r="R933" s="16"/>
      <c r="V933">
        <v>178</v>
      </c>
      <c r="W933" t="s">
        <v>575</v>
      </c>
    </row>
    <row r="934" spans="3:23" ht="15.75" customHeight="1">
      <c r="C934" s="7"/>
      <c r="D934" s="7"/>
      <c r="H934" s="7"/>
      <c r="Q934" s="16"/>
      <c r="R934" s="16"/>
      <c r="V934">
        <v>178</v>
      </c>
      <c r="W934" t="s">
        <v>498</v>
      </c>
    </row>
    <row r="935" spans="3:23" ht="15.75" customHeight="1">
      <c r="C935" s="7"/>
      <c r="D935" s="7"/>
      <c r="H935" s="7"/>
      <c r="Q935" s="16"/>
      <c r="R935" s="16"/>
      <c r="V935">
        <v>178</v>
      </c>
      <c r="W935" t="s">
        <v>481</v>
      </c>
    </row>
    <row r="936" spans="3:23" ht="15.75" customHeight="1">
      <c r="C936" s="7"/>
      <c r="D936" s="7"/>
      <c r="H936" s="7"/>
      <c r="Q936" s="16"/>
      <c r="R936" s="16"/>
      <c r="V936">
        <v>178</v>
      </c>
      <c r="W936" t="s">
        <v>68</v>
      </c>
    </row>
    <row r="937" spans="3:23" ht="15.75" customHeight="1">
      <c r="C937" s="7"/>
      <c r="D937" s="7"/>
      <c r="H937" s="7"/>
      <c r="Q937" s="16"/>
      <c r="R937" s="16"/>
      <c r="V937">
        <v>178</v>
      </c>
      <c r="W937" t="s">
        <v>89</v>
      </c>
    </row>
    <row r="938" spans="3:23" ht="15.75" customHeight="1">
      <c r="C938" s="7"/>
      <c r="D938" s="7"/>
      <c r="H938" s="7"/>
      <c r="Q938" s="16"/>
      <c r="R938" s="16"/>
      <c r="V938">
        <v>178</v>
      </c>
      <c r="W938" t="s">
        <v>575</v>
      </c>
    </row>
    <row r="939" spans="3:23" ht="15.75" customHeight="1">
      <c r="C939" s="7"/>
      <c r="D939" s="7"/>
      <c r="H939" s="7"/>
      <c r="Q939" s="16"/>
      <c r="R939" s="16"/>
      <c r="V939">
        <v>179</v>
      </c>
      <c r="W939" t="s">
        <v>575</v>
      </c>
    </row>
    <row r="940" spans="3:23" ht="15.75" customHeight="1">
      <c r="C940" s="7"/>
      <c r="D940" s="7"/>
      <c r="H940" s="7"/>
      <c r="Q940" s="16"/>
      <c r="R940" s="16"/>
      <c r="V940">
        <v>180</v>
      </c>
      <c r="W940" t="s">
        <v>94</v>
      </c>
    </row>
    <row r="941" spans="3:23" ht="15.75" customHeight="1">
      <c r="C941" s="7"/>
      <c r="D941" s="7"/>
      <c r="H941" s="7"/>
      <c r="Q941" s="16"/>
      <c r="R941" s="16"/>
      <c r="V941">
        <v>181</v>
      </c>
      <c r="W941" t="s">
        <v>656</v>
      </c>
    </row>
    <row r="942" spans="3:23" ht="15.75" customHeight="1">
      <c r="C942" s="7"/>
      <c r="D942" s="7"/>
      <c r="H942" s="7"/>
      <c r="Q942" s="16"/>
      <c r="R942" s="16"/>
      <c r="V942">
        <v>181</v>
      </c>
      <c r="W942" t="s">
        <v>656</v>
      </c>
    </row>
    <row r="943" spans="3:23" ht="15.75" customHeight="1">
      <c r="C943" s="7"/>
      <c r="D943" s="7"/>
      <c r="H943" s="7"/>
      <c r="Q943" s="16"/>
      <c r="R943" s="16"/>
      <c r="V943">
        <v>181</v>
      </c>
      <c r="W943" t="s">
        <v>656</v>
      </c>
    </row>
    <row r="944" spans="3:23" ht="15.75" customHeight="1">
      <c r="C944" s="7"/>
      <c r="D944" s="7"/>
      <c r="H944" s="7"/>
      <c r="Q944" s="16"/>
      <c r="R944" s="16"/>
      <c r="V944">
        <v>181</v>
      </c>
      <c r="W944" t="s">
        <v>656</v>
      </c>
    </row>
    <row r="945" spans="3:23" ht="15.75" customHeight="1">
      <c r="C945" s="7"/>
      <c r="D945" s="7"/>
      <c r="H945" s="7"/>
      <c r="Q945" s="16"/>
      <c r="R945" s="16"/>
      <c r="V945">
        <v>182</v>
      </c>
      <c r="W945" t="s">
        <v>656</v>
      </c>
    </row>
    <row r="946" spans="3:23" ht="15.75" customHeight="1">
      <c r="C946" s="7"/>
      <c r="D946" s="7"/>
      <c r="H946" s="7"/>
      <c r="Q946" s="16"/>
      <c r="R946" s="16"/>
      <c r="V946">
        <v>183</v>
      </c>
      <c r="W946" t="s">
        <v>204</v>
      </c>
    </row>
    <row r="947" spans="3:23" ht="15.75" customHeight="1">
      <c r="C947" s="7"/>
      <c r="D947" s="7"/>
      <c r="H947" s="7"/>
      <c r="Q947" s="16"/>
      <c r="R947" s="16"/>
      <c r="V947">
        <v>183</v>
      </c>
      <c r="W947" t="s">
        <v>656</v>
      </c>
    </row>
    <row r="948" spans="3:23" ht="15.75" customHeight="1">
      <c r="C948" s="7"/>
      <c r="D948" s="7"/>
      <c r="H948" s="7"/>
      <c r="Q948" s="16"/>
      <c r="R948" s="16"/>
      <c r="V948">
        <v>184</v>
      </c>
      <c r="W948" t="s">
        <v>420</v>
      </c>
    </row>
    <row r="949" spans="3:23" ht="15.75" customHeight="1">
      <c r="C949" s="7"/>
      <c r="D949" s="7"/>
      <c r="H949" s="7"/>
      <c r="Q949" s="16"/>
      <c r="R949" s="16"/>
      <c r="V949">
        <v>185</v>
      </c>
      <c r="W949" t="s">
        <v>23</v>
      </c>
    </row>
    <row r="950" spans="3:23" ht="15.75" customHeight="1">
      <c r="C950" s="7"/>
      <c r="D950" s="7"/>
      <c r="H950" s="7"/>
      <c r="Q950" s="16"/>
      <c r="R950" s="16"/>
      <c r="V950">
        <v>186</v>
      </c>
      <c r="W950" t="s">
        <v>575</v>
      </c>
    </row>
    <row r="951" spans="3:23" ht="15.75" customHeight="1">
      <c r="C951" s="7"/>
      <c r="D951" s="7"/>
      <c r="H951" s="7"/>
      <c r="Q951" s="16"/>
      <c r="R951" s="16"/>
      <c r="V951">
        <v>187</v>
      </c>
      <c r="W951" t="s">
        <v>204</v>
      </c>
    </row>
    <row r="952" spans="3:23" ht="15.75" customHeight="1">
      <c r="C952" s="7"/>
      <c r="D952" s="7"/>
      <c r="H952" s="7"/>
      <c r="Q952" s="16"/>
      <c r="R952" s="16"/>
      <c r="V952">
        <v>187</v>
      </c>
      <c r="W952" t="s">
        <v>168</v>
      </c>
    </row>
    <row r="953" spans="3:23" ht="15.75" customHeight="1">
      <c r="C953" s="7"/>
      <c r="D953" s="7"/>
      <c r="H953" s="7"/>
      <c r="Q953" s="16"/>
      <c r="R953" s="16"/>
      <c r="V953">
        <v>188</v>
      </c>
      <c r="W953" t="s">
        <v>168</v>
      </c>
    </row>
    <row r="954" spans="3:23" ht="15.75" customHeight="1">
      <c r="C954" s="7"/>
      <c r="D954" s="7"/>
      <c r="H954" s="7"/>
      <c r="Q954" s="16"/>
      <c r="R954" s="16"/>
      <c r="V954">
        <v>189</v>
      </c>
      <c r="W954" t="s">
        <v>94</v>
      </c>
    </row>
    <row r="955" spans="3:23" ht="15.75" customHeight="1">
      <c r="C955" s="7"/>
      <c r="D955" s="7"/>
      <c r="H955" s="7"/>
      <c r="Q955" s="16"/>
      <c r="R955" s="16"/>
      <c r="V955">
        <v>189</v>
      </c>
      <c r="W955" t="s">
        <v>89</v>
      </c>
    </row>
    <row r="956" spans="3:23" ht="15.75" customHeight="1">
      <c r="C956" s="7"/>
      <c r="D956" s="7"/>
      <c r="H956" s="7"/>
      <c r="Q956" s="16"/>
      <c r="R956" s="16"/>
      <c r="V956">
        <v>189</v>
      </c>
      <c r="W956" t="s">
        <v>168</v>
      </c>
    </row>
    <row r="957" spans="3:23" ht="15.75" customHeight="1">
      <c r="C957" s="7"/>
      <c r="D957" s="7"/>
      <c r="H957" s="7"/>
      <c r="Q957" s="16"/>
      <c r="R957" s="16"/>
      <c r="V957">
        <v>189</v>
      </c>
      <c r="W957" t="s">
        <v>498</v>
      </c>
    </row>
    <row r="958" spans="3:23" ht="15.75" customHeight="1">
      <c r="C958" s="7"/>
      <c r="D958" s="7"/>
      <c r="H958" s="7"/>
      <c r="Q958" s="16"/>
      <c r="R958" s="16"/>
      <c r="V958">
        <v>189</v>
      </c>
      <c r="W958" t="s">
        <v>68</v>
      </c>
    </row>
    <row r="959" spans="3:23" ht="15.75" customHeight="1">
      <c r="C959" s="7"/>
      <c r="D959" s="7"/>
      <c r="H959" s="7"/>
      <c r="Q959" s="16"/>
      <c r="R959" s="16"/>
      <c r="V959">
        <v>189</v>
      </c>
      <c r="W959" t="s">
        <v>23</v>
      </c>
    </row>
    <row r="960" spans="3:23" ht="15.75" customHeight="1">
      <c r="C960" s="7"/>
      <c r="D960" s="7"/>
      <c r="H960" s="7"/>
      <c r="Q960" s="16"/>
      <c r="R960" s="16"/>
      <c r="V960">
        <v>189</v>
      </c>
      <c r="W960" t="s">
        <v>94</v>
      </c>
    </row>
    <row r="961" spans="3:23" ht="15.75" customHeight="1">
      <c r="C961" s="7"/>
      <c r="D961" s="7"/>
      <c r="H961" s="7"/>
      <c r="Q961" s="16"/>
      <c r="R961" s="16"/>
      <c r="V961">
        <v>189</v>
      </c>
      <c r="W961" t="s">
        <v>918</v>
      </c>
    </row>
    <row r="962" spans="3:23" ht="15.75" customHeight="1">
      <c r="C962" s="7"/>
      <c r="D962" s="7"/>
      <c r="H962" s="7"/>
      <c r="Q962" s="16"/>
      <c r="R962" s="16"/>
      <c r="V962">
        <v>189</v>
      </c>
      <c r="W962" t="s">
        <v>630</v>
      </c>
    </row>
    <row r="963" spans="3:23" ht="15.75" customHeight="1">
      <c r="C963" s="7"/>
      <c r="D963" s="7"/>
      <c r="H963" s="7"/>
      <c r="Q963" s="16"/>
      <c r="R963" s="16"/>
      <c r="V963">
        <v>189</v>
      </c>
      <c r="W963" t="s">
        <v>494</v>
      </c>
    </row>
    <row r="964" spans="3:23" ht="15.75" customHeight="1">
      <c r="C964" s="7"/>
      <c r="D964" s="7"/>
      <c r="H964" s="7"/>
      <c r="Q964" s="16"/>
      <c r="R964" s="16"/>
      <c r="V964">
        <v>189</v>
      </c>
      <c r="W964" t="s">
        <v>494</v>
      </c>
    </row>
    <row r="965" spans="3:23" ht="15.75" customHeight="1">
      <c r="C965" s="7"/>
      <c r="D965" s="7"/>
      <c r="H965" s="7"/>
      <c r="Q965" s="16"/>
      <c r="R965" s="16"/>
      <c r="V965">
        <v>189</v>
      </c>
      <c r="W965" t="s">
        <v>494</v>
      </c>
    </row>
    <row r="966" spans="3:23" ht="15.75" customHeight="1">
      <c r="C966" s="7"/>
      <c r="D966" s="7"/>
      <c r="H966" s="7"/>
      <c r="Q966" s="16"/>
      <c r="R966" s="16"/>
      <c r="V966">
        <v>189</v>
      </c>
      <c r="W966" t="s">
        <v>498</v>
      </c>
    </row>
    <row r="967" spans="3:23" ht="15.75" customHeight="1">
      <c r="C967" s="7"/>
      <c r="D967" s="7"/>
      <c r="H967" s="7"/>
      <c r="Q967" s="16"/>
      <c r="R967" s="16"/>
      <c r="V967">
        <v>189</v>
      </c>
      <c r="W967" t="s">
        <v>94</v>
      </c>
    </row>
    <row r="968" spans="3:23" ht="15.75" customHeight="1">
      <c r="C968" s="7"/>
      <c r="D968" s="7"/>
      <c r="H968" s="7"/>
      <c r="Q968" s="16"/>
      <c r="R968" s="16"/>
      <c r="V968">
        <v>189</v>
      </c>
      <c r="W968" t="s">
        <v>494</v>
      </c>
    </row>
    <row r="969" spans="3:23" ht="15.75" customHeight="1">
      <c r="C969" s="7"/>
      <c r="D969" s="7"/>
      <c r="H969" s="7"/>
      <c r="Q969" s="16"/>
      <c r="R969" s="16"/>
      <c r="V969">
        <v>189</v>
      </c>
      <c r="W969" t="s">
        <v>420</v>
      </c>
    </row>
    <row r="970" spans="3:23" ht="15.75" customHeight="1">
      <c r="C970" s="7"/>
      <c r="D970" s="7"/>
      <c r="H970" s="7"/>
      <c r="Q970" s="16"/>
      <c r="R970" s="16"/>
      <c r="V970">
        <v>189</v>
      </c>
      <c r="W970" t="s">
        <v>420</v>
      </c>
    </row>
    <row r="971" spans="3:23" ht="15.75" customHeight="1">
      <c r="C971" s="7"/>
      <c r="D971" s="7"/>
      <c r="H971" s="7"/>
      <c r="Q971" s="16"/>
      <c r="R971" s="16"/>
      <c r="V971">
        <v>189</v>
      </c>
      <c r="W971" t="s">
        <v>420</v>
      </c>
    </row>
    <row r="972" spans="3:23" ht="15.75" customHeight="1">
      <c r="C972" s="7"/>
      <c r="D972" s="7"/>
      <c r="H972" s="7"/>
      <c r="Q972" s="16"/>
      <c r="R972" s="16"/>
      <c r="V972">
        <v>189</v>
      </c>
      <c r="W972" t="s">
        <v>420</v>
      </c>
    </row>
    <row r="973" spans="3:23" ht="15.75" customHeight="1">
      <c r="C973" s="7"/>
      <c r="D973" s="7"/>
      <c r="H973" s="7"/>
      <c r="Q973" s="16"/>
      <c r="R973" s="16"/>
      <c r="V973">
        <v>189</v>
      </c>
      <c r="W973" t="s">
        <v>23</v>
      </c>
    </row>
    <row r="974" spans="3:23" ht="15.75" customHeight="1">
      <c r="C974" s="7"/>
      <c r="D974" s="7"/>
      <c r="H974" s="7"/>
      <c r="Q974" s="16"/>
      <c r="R974" s="16"/>
      <c r="V974">
        <v>189</v>
      </c>
      <c r="W974" t="s">
        <v>94</v>
      </c>
    </row>
    <row r="975" spans="3:23" ht="15.75" customHeight="1">
      <c r="C975" s="7"/>
      <c r="D975" s="7"/>
      <c r="H975" s="7"/>
      <c r="Q975" s="16"/>
      <c r="R975" s="16"/>
      <c r="V975">
        <v>189</v>
      </c>
      <c r="W975" t="s">
        <v>420</v>
      </c>
    </row>
    <row r="976" spans="3:23" ht="15.75" customHeight="1">
      <c r="C976" s="7"/>
      <c r="D976" s="7"/>
      <c r="H976" s="7"/>
      <c r="Q976" s="16"/>
      <c r="R976" s="16"/>
      <c r="V976">
        <v>189</v>
      </c>
      <c r="W976" t="s">
        <v>498</v>
      </c>
    </row>
    <row r="977" spans="3:23" ht="15.75" customHeight="1">
      <c r="C977" s="7"/>
      <c r="D977" s="7"/>
      <c r="H977" s="7"/>
      <c r="Q977" s="16"/>
      <c r="R977" s="16"/>
      <c r="V977">
        <v>190</v>
      </c>
      <c r="W977" t="s">
        <v>502</v>
      </c>
    </row>
    <row r="978" spans="3:23" ht="15.75" customHeight="1">
      <c r="C978" s="7"/>
      <c r="D978" s="7"/>
      <c r="H978" s="7"/>
      <c r="Q978" s="16"/>
      <c r="R978" s="16"/>
      <c r="V978">
        <v>191</v>
      </c>
      <c r="W978" t="s">
        <v>89</v>
      </c>
    </row>
    <row r="979" spans="3:23" ht="15.75" customHeight="1">
      <c r="C979" s="7"/>
      <c r="D979" s="7"/>
      <c r="H979" s="7"/>
      <c r="Q979" s="16"/>
      <c r="R979" s="16"/>
      <c r="V979">
        <v>192</v>
      </c>
      <c r="W979" t="s">
        <v>89</v>
      </c>
    </row>
    <row r="980" spans="3:23" ht="15.75" customHeight="1">
      <c r="C980" s="7"/>
      <c r="D980" s="7"/>
      <c r="H980" s="7"/>
      <c r="Q980" s="16"/>
      <c r="R980" s="16"/>
      <c r="V980">
        <v>193</v>
      </c>
      <c r="W980" t="s">
        <v>89</v>
      </c>
    </row>
    <row r="981" spans="3:23" ht="15.75" customHeight="1">
      <c r="C981" s="7"/>
      <c r="D981" s="7"/>
      <c r="H981" s="7"/>
      <c r="Q981" s="16"/>
      <c r="R981" s="16"/>
      <c r="V981">
        <v>193</v>
      </c>
      <c r="W981" t="s">
        <v>970</v>
      </c>
    </row>
    <row r="982" spans="3:23" ht="15.75" customHeight="1">
      <c r="C982" s="7"/>
      <c r="D982" s="7"/>
      <c r="H982" s="7"/>
      <c r="Q982" s="16"/>
      <c r="R982" s="16"/>
      <c r="V982">
        <v>193</v>
      </c>
      <c r="W982" t="s">
        <v>970</v>
      </c>
    </row>
    <row r="983" spans="3:23" ht="15.75" customHeight="1">
      <c r="C983" s="7"/>
      <c r="D983" s="7"/>
      <c r="H983" s="7"/>
      <c r="Q983" s="16"/>
      <c r="R983" s="16"/>
      <c r="V983">
        <v>193</v>
      </c>
    </row>
    <row r="984" spans="3:23" ht="15.75" customHeight="1">
      <c r="C984" s="7"/>
      <c r="D984" s="7"/>
      <c r="H984" s="7"/>
      <c r="Q984" s="16"/>
      <c r="R984" s="16"/>
      <c r="V984">
        <v>193</v>
      </c>
    </row>
    <row r="985" spans="3:23" ht="15.75" customHeight="1">
      <c r="C985" s="7"/>
      <c r="D985" s="7"/>
      <c r="H985" s="7"/>
      <c r="Q985" s="16"/>
      <c r="R985" s="16"/>
      <c r="V985">
        <v>193</v>
      </c>
    </row>
    <row r="986" spans="3:23" ht="15.75" customHeight="1">
      <c r="C986" s="7"/>
      <c r="D986" s="7"/>
      <c r="H986" s="7"/>
      <c r="Q986" s="16"/>
      <c r="R986" s="16"/>
      <c r="V986">
        <v>193</v>
      </c>
    </row>
    <row r="987" spans="3:23" ht="15.75" customHeight="1">
      <c r="C987" s="7"/>
      <c r="D987" s="7"/>
      <c r="H987" s="7"/>
      <c r="Q987" s="16"/>
      <c r="R987" s="16"/>
      <c r="V987">
        <v>193</v>
      </c>
    </row>
    <row r="988" spans="3:23" ht="15.75" customHeight="1">
      <c r="C988" s="7"/>
      <c r="D988" s="7"/>
      <c r="H988" s="7"/>
      <c r="Q988" s="16"/>
      <c r="R988" s="16"/>
      <c r="V988">
        <v>193</v>
      </c>
    </row>
    <row r="989" spans="3:23" ht="15.75" customHeight="1">
      <c r="C989" s="7"/>
      <c r="D989" s="7"/>
      <c r="H989" s="7"/>
      <c r="Q989" s="16"/>
      <c r="R989" s="16"/>
      <c r="V989">
        <v>193</v>
      </c>
    </row>
    <row r="990" spans="3:23" ht="15.75" customHeight="1">
      <c r="C990" s="7"/>
      <c r="D990" s="7"/>
      <c r="H990" s="7"/>
      <c r="Q990" s="16"/>
      <c r="R990" s="16"/>
      <c r="V990">
        <v>193</v>
      </c>
    </row>
    <row r="991" spans="3:23" ht="15.75" customHeight="1">
      <c r="C991" s="7"/>
      <c r="D991" s="7"/>
      <c r="H991" s="7"/>
      <c r="Q991" s="16"/>
      <c r="R991" s="16"/>
      <c r="V991">
        <v>193</v>
      </c>
    </row>
    <row r="992" spans="3:23" ht="15.75" customHeight="1">
      <c r="C992" s="7"/>
      <c r="D992" s="7"/>
      <c r="H992" s="7"/>
      <c r="Q992" s="16"/>
      <c r="R992" s="16"/>
      <c r="V992">
        <v>193</v>
      </c>
    </row>
    <row r="993" spans="3:22" ht="15.75" customHeight="1">
      <c r="C993" s="7"/>
      <c r="D993" s="7"/>
      <c r="H993" s="7"/>
      <c r="Q993" s="16"/>
      <c r="R993" s="16"/>
      <c r="V993">
        <v>194</v>
      </c>
    </row>
    <row r="994" spans="3:22" ht="15.75" customHeight="1">
      <c r="C994" s="7"/>
      <c r="D994" s="7"/>
      <c r="H994" s="7"/>
      <c r="Q994" s="16"/>
      <c r="R994" s="16"/>
      <c r="V994">
        <v>195</v>
      </c>
    </row>
    <row r="995" spans="3:22" ht="15.75" customHeight="1">
      <c r="C995" s="7"/>
      <c r="Q995" s="16"/>
      <c r="R995" s="16"/>
      <c r="V995">
        <v>196</v>
      </c>
    </row>
    <row r="996" spans="3:22" ht="15.75" customHeight="1">
      <c r="C996" s="7"/>
      <c r="Q996" s="16"/>
      <c r="R996" s="16"/>
      <c r="V996">
        <v>196</v>
      </c>
    </row>
    <row r="997" spans="3:22" ht="15.75" customHeight="1">
      <c r="C997" s="7"/>
      <c r="Q997" s="16"/>
      <c r="R997" s="16"/>
      <c r="V997">
        <v>196</v>
      </c>
    </row>
    <row r="998" spans="3:22" ht="15.75" customHeight="1">
      <c r="C998" s="7"/>
      <c r="Q998" s="16"/>
      <c r="R998" s="16"/>
      <c r="V998">
        <v>196</v>
      </c>
    </row>
    <row r="999" spans="3:22" ht="15.75" customHeight="1">
      <c r="C999" s="7"/>
      <c r="D999" s="7"/>
      <c r="H999" s="7"/>
      <c r="Q999" s="16"/>
      <c r="R999" s="16"/>
      <c r="V999">
        <v>196</v>
      </c>
    </row>
    <row r="1000" spans="3:22" ht="15.75" customHeight="1">
      <c r="C1000" s="7"/>
      <c r="D1000" s="7"/>
      <c r="H1000" s="7"/>
      <c r="Q1000" s="16"/>
      <c r="R1000" s="16"/>
      <c r="V1000">
        <v>196</v>
      </c>
    </row>
    <row r="1001" spans="3:22" ht="15.75" customHeight="1">
      <c r="C1001" s="7"/>
      <c r="D1001" s="7"/>
      <c r="H1001" s="7"/>
      <c r="Q1001" s="16"/>
      <c r="R1001" s="16"/>
      <c r="V1001">
        <v>196</v>
      </c>
    </row>
    <row r="1002" spans="3:22" ht="15.75" customHeight="1">
      <c r="C1002" s="7"/>
      <c r="D1002" s="7"/>
      <c r="H1002" s="7"/>
      <c r="Q1002" s="16"/>
      <c r="R1002" s="16"/>
      <c r="V1002">
        <v>196</v>
      </c>
    </row>
    <row r="1003" spans="3:22" ht="15.75" customHeight="1">
      <c r="C1003" s="7"/>
      <c r="D1003" s="7"/>
      <c r="H1003" s="7"/>
      <c r="Q1003" s="16"/>
      <c r="R1003" s="16"/>
      <c r="V1003">
        <v>196</v>
      </c>
    </row>
    <row r="1004" spans="3:22" ht="15.75" customHeight="1">
      <c r="C1004" s="7"/>
      <c r="D1004" s="7"/>
      <c r="H1004" s="7"/>
      <c r="Q1004" s="16"/>
      <c r="R1004" s="16"/>
      <c r="V1004">
        <v>196</v>
      </c>
    </row>
    <row r="1005" spans="3:22" ht="15.75" customHeight="1">
      <c r="C1005" s="7"/>
      <c r="D1005" s="7"/>
      <c r="H1005" s="7"/>
      <c r="Q1005" s="16"/>
      <c r="R1005" s="16"/>
      <c r="V1005">
        <v>197</v>
      </c>
    </row>
    <row r="1006" spans="3:22" ht="15.75" customHeight="1">
      <c r="C1006" s="7"/>
      <c r="D1006" s="7"/>
      <c r="H1006" s="7"/>
      <c r="Q1006" s="16"/>
      <c r="R1006" s="16"/>
      <c r="V1006">
        <v>197</v>
      </c>
    </row>
    <row r="1007" spans="3:22" ht="15.75" customHeight="1">
      <c r="C1007" s="7"/>
      <c r="D1007" s="7"/>
      <c r="H1007" s="7"/>
      <c r="Q1007" s="16"/>
      <c r="R1007" s="16"/>
      <c r="V1007">
        <v>197</v>
      </c>
    </row>
    <row r="1008" spans="3:22" ht="15.75" customHeight="1">
      <c r="C1008" s="7"/>
      <c r="D1008" s="7"/>
      <c r="H1008" s="7"/>
      <c r="Q1008" s="16"/>
      <c r="R1008" s="16"/>
      <c r="V1008">
        <v>198</v>
      </c>
    </row>
    <row r="1009" spans="3:22" ht="15.75" customHeight="1">
      <c r="C1009" s="7"/>
      <c r="D1009" s="7"/>
      <c r="H1009" s="7"/>
      <c r="Q1009" s="16"/>
      <c r="R1009" s="16"/>
      <c r="V1009">
        <v>198</v>
      </c>
    </row>
    <row r="1010" spans="3:22" ht="15.75" customHeight="1">
      <c r="C1010" s="7"/>
      <c r="D1010" s="7"/>
      <c r="H1010" s="7"/>
      <c r="Q1010" s="16"/>
      <c r="R1010" s="16"/>
      <c r="V1010">
        <v>198</v>
      </c>
    </row>
    <row r="1011" spans="3:22" ht="15.75" customHeight="1">
      <c r="C1011" s="7"/>
      <c r="D1011" s="7"/>
      <c r="H1011" s="7"/>
      <c r="Q1011" s="16"/>
      <c r="R1011" s="16"/>
      <c r="V1011">
        <v>198</v>
      </c>
    </row>
    <row r="1012" spans="3:22" ht="15.75" customHeight="1">
      <c r="C1012" s="7"/>
      <c r="D1012" s="7"/>
      <c r="H1012" s="7"/>
      <c r="Q1012" s="16"/>
      <c r="R1012" s="16"/>
      <c r="V1012">
        <v>198</v>
      </c>
    </row>
    <row r="1013" spans="3:22" ht="15.75" customHeight="1">
      <c r="C1013" s="7"/>
      <c r="D1013" s="7"/>
      <c r="H1013" s="7"/>
      <c r="Q1013" s="16"/>
      <c r="R1013" s="16"/>
      <c r="V1013">
        <v>198</v>
      </c>
    </row>
    <row r="1014" spans="3:22" ht="15.75" customHeight="1">
      <c r="C1014" s="7"/>
      <c r="D1014" s="7"/>
      <c r="H1014" s="7"/>
      <c r="Q1014" s="16"/>
      <c r="R1014" s="16"/>
      <c r="V1014">
        <v>198</v>
      </c>
    </row>
    <row r="1015" spans="3:22" ht="15.75" customHeight="1">
      <c r="C1015" s="7"/>
      <c r="D1015" s="7"/>
      <c r="H1015" s="7"/>
      <c r="Q1015" s="16"/>
      <c r="R1015" s="16"/>
      <c r="V1015">
        <v>198</v>
      </c>
    </row>
    <row r="1016" spans="3:22" ht="15.75" customHeight="1">
      <c r="C1016" s="7"/>
      <c r="D1016" s="7"/>
      <c r="H1016" s="7"/>
      <c r="Q1016" s="16"/>
      <c r="R1016" s="16"/>
      <c r="V1016">
        <v>198</v>
      </c>
    </row>
    <row r="1017" spans="3:22" ht="15.75" customHeight="1">
      <c r="C1017" s="7"/>
      <c r="D1017" s="7"/>
      <c r="H1017" s="7"/>
      <c r="Q1017" s="16"/>
      <c r="R1017" s="16"/>
      <c r="V1017">
        <v>198</v>
      </c>
    </row>
    <row r="1018" spans="3:22" ht="15.75" customHeight="1">
      <c r="C1018" s="7"/>
      <c r="D1018" s="7"/>
      <c r="H1018" s="7"/>
      <c r="Q1018" s="16"/>
      <c r="R1018" s="16"/>
      <c r="V1018">
        <v>198</v>
      </c>
    </row>
    <row r="1019" spans="3:22" ht="15.75" customHeight="1">
      <c r="C1019" s="7"/>
      <c r="D1019" s="7"/>
      <c r="H1019" s="7"/>
      <c r="Q1019" s="16"/>
      <c r="R1019" s="16"/>
      <c r="V1019">
        <v>198</v>
      </c>
    </row>
    <row r="1020" spans="3:22" ht="15.75" customHeight="1">
      <c r="C1020" s="7"/>
      <c r="D1020" s="7"/>
      <c r="H1020" s="7"/>
      <c r="Q1020" s="16"/>
      <c r="R1020" s="16"/>
      <c r="V1020">
        <v>198</v>
      </c>
    </row>
    <row r="1021" spans="3:22" ht="15.75" customHeight="1">
      <c r="C1021" s="7"/>
      <c r="D1021" s="7"/>
      <c r="H1021" s="7"/>
      <c r="Q1021" s="16"/>
      <c r="R1021" s="16"/>
      <c r="V1021">
        <v>198</v>
      </c>
    </row>
    <row r="1022" spans="3:22" ht="15.75" customHeight="1">
      <c r="C1022" s="7"/>
      <c r="D1022" s="7"/>
      <c r="H1022" s="7"/>
      <c r="Q1022" s="16"/>
      <c r="R1022" s="16"/>
      <c r="V1022">
        <v>198</v>
      </c>
    </row>
    <row r="1023" spans="3:22" ht="15.75" customHeight="1">
      <c r="C1023" s="7"/>
      <c r="D1023" s="7"/>
      <c r="H1023" s="7"/>
      <c r="Q1023" s="16"/>
      <c r="R1023" s="16"/>
      <c r="V1023">
        <v>198</v>
      </c>
    </row>
    <row r="1024" spans="3:22" ht="15.75" customHeight="1">
      <c r="C1024" s="7"/>
      <c r="D1024" s="7"/>
      <c r="H1024" s="7"/>
      <c r="Q1024" s="16"/>
      <c r="R1024" s="16"/>
      <c r="V1024">
        <v>199</v>
      </c>
    </row>
    <row r="1025" spans="3:22" ht="15.75" customHeight="1">
      <c r="C1025" s="7"/>
      <c r="D1025" s="7"/>
      <c r="H1025" s="7"/>
      <c r="Q1025" s="16"/>
      <c r="R1025" s="16"/>
      <c r="V1025">
        <v>200</v>
      </c>
    </row>
    <row r="1026" spans="3:22" ht="15.75" customHeight="1">
      <c r="C1026" s="7"/>
      <c r="D1026" s="7"/>
      <c r="H1026" s="7"/>
      <c r="Q1026" s="16"/>
      <c r="R1026" s="16"/>
      <c r="V1026">
        <v>201</v>
      </c>
    </row>
    <row r="1027" spans="3:22" ht="15.75" customHeight="1">
      <c r="C1027" s="7"/>
      <c r="D1027" s="7"/>
      <c r="H1027" s="7"/>
      <c r="Q1027" s="16"/>
      <c r="R1027" s="16"/>
      <c r="V1027">
        <v>202</v>
      </c>
    </row>
    <row r="1028" spans="3:22" ht="15.75" customHeight="1">
      <c r="C1028" s="7"/>
      <c r="D1028" s="7"/>
      <c r="H1028" s="7"/>
      <c r="Q1028" s="16"/>
      <c r="R1028" s="16"/>
      <c r="V1028">
        <v>202</v>
      </c>
    </row>
    <row r="1029" spans="3:22" ht="15.75" customHeight="1">
      <c r="C1029" s="7"/>
      <c r="D1029" s="7"/>
      <c r="H1029" s="7"/>
      <c r="Q1029" s="16"/>
      <c r="R1029" s="16"/>
      <c r="V1029">
        <v>202</v>
      </c>
    </row>
    <row r="1030" spans="3:22" ht="15.75" customHeight="1">
      <c r="C1030" s="7"/>
      <c r="D1030" s="7"/>
      <c r="H1030" s="7"/>
      <c r="Q1030" s="16"/>
      <c r="R1030" s="16"/>
      <c r="V1030">
        <v>202</v>
      </c>
    </row>
    <row r="1031" spans="3:22" ht="15.75" customHeight="1">
      <c r="C1031" s="7"/>
      <c r="D1031" s="7"/>
      <c r="H1031" s="7"/>
      <c r="Q1031" s="16"/>
      <c r="R1031" s="16"/>
      <c r="V1031">
        <v>202</v>
      </c>
    </row>
    <row r="1032" spans="3:22" ht="15.75" customHeight="1">
      <c r="C1032" s="7"/>
      <c r="D1032" s="7"/>
      <c r="H1032" s="7"/>
      <c r="Q1032" s="16"/>
      <c r="R1032" s="16"/>
      <c r="V1032">
        <v>202</v>
      </c>
    </row>
    <row r="1033" spans="3:22" ht="15.75" customHeight="1">
      <c r="C1033" s="7"/>
      <c r="D1033" s="7"/>
      <c r="H1033" s="7"/>
      <c r="Q1033" s="16"/>
      <c r="R1033" s="16"/>
      <c r="V1033">
        <v>202</v>
      </c>
    </row>
    <row r="1034" spans="3:22" ht="15.75" customHeight="1">
      <c r="C1034" s="7"/>
      <c r="D1034" s="7"/>
      <c r="H1034" s="7"/>
      <c r="Q1034" s="16"/>
      <c r="R1034" s="16"/>
      <c r="V1034">
        <v>202</v>
      </c>
    </row>
    <row r="1035" spans="3:22" ht="15.75" customHeight="1">
      <c r="C1035" s="7"/>
      <c r="D1035" s="7"/>
      <c r="H1035" s="7"/>
      <c r="Q1035" s="16"/>
      <c r="R1035" s="16"/>
      <c r="V1035">
        <v>202</v>
      </c>
    </row>
    <row r="1036" spans="3:22" ht="15.75" customHeight="1">
      <c r="C1036" s="7"/>
      <c r="D1036" s="7"/>
      <c r="H1036" s="7"/>
      <c r="Q1036" s="16"/>
      <c r="R1036" s="16"/>
      <c r="V1036">
        <v>202</v>
      </c>
    </row>
    <row r="1037" spans="3:22" ht="15.75" customHeight="1">
      <c r="C1037" s="7"/>
      <c r="D1037" s="7"/>
      <c r="H1037" s="7"/>
      <c r="Q1037" s="16"/>
      <c r="R1037" s="16"/>
      <c r="V1037">
        <v>202</v>
      </c>
    </row>
    <row r="1038" spans="3:22" ht="15.75" customHeight="1">
      <c r="C1038" s="7"/>
      <c r="D1038" s="7"/>
      <c r="H1038" s="7"/>
      <c r="Q1038" s="16"/>
      <c r="R1038" s="16"/>
      <c r="V1038">
        <v>202</v>
      </c>
    </row>
    <row r="1039" spans="3:22" ht="15.75" customHeight="1">
      <c r="C1039" s="7"/>
      <c r="D1039" s="7"/>
      <c r="H1039" s="7"/>
      <c r="Q1039" s="16"/>
      <c r="R1039" s="16"/>
      <c r="V1039">
        <v>202</v>
      </c>
    </row>
    <row r="1040" spans="3:22" ht="15.75" customHeight="1">
      <c r="C1040" s="7"/>
      <c r="D1040" s="7"/>
      <c r="H1040" s="7"/>
      <c r="Q1040" s="16"/>
      <c r="R1040" s="16"/>
      <c r="V1040">
        <v>202</v>
      </c>
    </row>
    <row r="1041" spans="3:22" ht="15.75" customHeight="1">
      <c r="C1041" s="7"/>
      <c r="D1041" s="7"/>
      <c r="H1041" s="7"/>
      <c r="Q1041" s="16"/>
      <c r="R1041" s="16"/>
      <c r="V1041">
        <v>202</v>
      </c>
    </row>
    <row r="1042" spans="3:22" ht="15.75" customHeight="1">
      <c r="C1042" s="7"/>
      <c r="D1042" s="7"/>
      <c r="H1042" s="7"/>
      <c r="Q1042" s="16"/>
      <c r="R1042" s="16"/>
      <c r="V1042">
        <v>202</v>
      </c>
    </row>
    <row r="1043" spans="3:22" ht="15.75" customHeight="1">
      <c r="C1043" s="7"/>
      <c r="D1043" s="7"/>
      <c r="H1043" s="7"/>
      <c r="Q1043" s="16"/>
      <c r="R1043" s="16"/>
      <c r="V1043">
        <v>202</v>
      </c>
    </row>
    <row r="1044" spans="3:22" ht="15.75" customHeight="1">
      <c r="C1044" s="7"/>
      <c r="D1044" s="7"/>
      <c r="H1044" s="7"/>
      <c r="Q1044" s="16"/>
      <c r="R1044" s="16"/>
      <c r="V1044">
        <v>202</v>
      </c>
    </row>
    <row r="1045" spans="3:22" ht="15.75" customHeight="1">
      <c r="C1045" s="7"/>
      <c r="D1045" s="7"/>
      <c r="H1045" s="7"/>
      <c r="Q1045" s="16"/>
      <c r="R1045" s="16"/>
      <c r="V1045">
        <v>202</v>
      </c>
    </row>
    <row r="1046" spans="3:22" ht="15.75" customHeight="1">
      <c r="C1046" s="7"/>
      <c r="D1046" s="7"/>
      <c r="H1046" s="7"/>
      <c r="Q1046" s="16"/>
      <c r="R1046" s="16"/>
      <c r="V1046">
        <v>202</v>
      </c>
    </row>
    <row r="1047" spans="3:22" ht="15.75" customHeight="1">
      <c r="C1047" s="7"/>
      <c r="D1047" s="7"/>
      <c r="H1047" s="7"/>
      <c r="Q1047" s="16"/>
      <c r="R1047" s="16"/>
      <c r="V1047">
        <v>202</v>
      </c>
    </row>
    <row r="1048" spans="3:22" ht="15.75" customHeight="1">
      <c r="C1048" s="7"/>
      <c r="D1048" s="7"/>
      <c r="H1048" s="7"/>
      <c r="Q1048" s="16"/>
      <c r="R1048" s="16"/>
      <c r="V1048">
        <v>202</v>
      </c>
    </row>
    <row r="1049" spans="3:22" ht="15.75" customHeight="1">
      <c r="C1049" s="7"/>
      <c r="D1049" s="7"/>
      <c r="H1049" s="7"/>
      <c r="Q1049" s="16"/>
      <c r="R1049" s="16"/>
      <c r="V1049">
        <v>203</v>
      </c>
    </row>
    <row r="1050" spans="3:22" ht="15.75" customHeight="1">
      <c r="C1050" s="7"/>
      <c r="D1050" s="7"/>
      <c r="H1050" s="7"/>
      <c r="Q1050" s="16"/>
      <c r="R1050" s="16"/>
      <c r="V1050">
        <v>203</v>
      </c>
    </row>
    <row r="1051" spans="3:22" ht="15.75" customHeight="1">
      <c r="C1051" s="7"/>
      <c r="D1051" s="7"/>
      <c r="H1051" s="7"/>
      <c r="Q1051" s="16"/>
      <c r="R1051" s="16"/>
      <c r="V1051">
        <v>203</v>
      </c>
    </row>
    <row r="1052" spans="3:22" ht="15.75" customHeight="1">
      <c r="C1052" s="7"/>
      <c r="D1052" s="7"/>
      <c r="H1052" s="7"/>
      <c r="Q1052" s="16"/>
      <c r="R1052" s="16"/>
      <c r="V1052">
        <v>204</v>
      </c>
    </row>
    <row r="1053" spans="3:22" ht="15.75" customHeight="1">
      <c r="C1053" s="7"/>
      <c r="D1053" s="7"/>
      <c r="H1053" s="7"/>
      <c r="Q1053" s="16"/>
      <c r="R1053" s="16"/>
      <c r="V1053">
        <v>204</v>
      </c>
    </row>
    <row r="1054" spans="3:22" ht="15.75" customHeight="1">
      <c r="C1054" s="7"/>
      <c r="D1054" s="7"/>
      <c r="H1054" s="7"/>
      <c r="Q1054" s="16"/>
      <c r="R1054" s="16"/>
      <c r="V1054">
        <v>204</v>
      </c>
    </row>
    <row r="1055" spans="3:22" ht="15.75" customHeight="1">
      <c r="C1055" s="7"/>
      <c r="D1055" s="7"/>
      <c r="H1055" s="7"/>
      <c r="Q1055" s="16"/>
      <c r="R1055" s="16"/>
      <c r="V1055">
        <v>204</v>
      </c>
    </row>
    <row r="1056" spans="3:22" ht="15.75" customHeight="1">
      <c r="C1056" s="7"/>
      <c r="D1056" s="7"/>
      <c r="H1056" s="7"/>
      <c r="Q1056" s="16"/>
      <c r="R1056" s="16"/>
      <c r="V1056">
        <v>205</v>
      </c>
    </row>
    <row r="1057" spans="3:22" ht="15.75" customHeight="1">
      <c r="C1057" s="7"/>
      <c r="D1057" s="7"/>
      <c r="H1057" s="7"/>
      <c r="Q1057" s="16"/>
      <c r="R1057" s="16"/>
      <c r="V1057">
        <v>206</v>
      </c>
    </row>
    <row r="1058" spans="3:22" ht="15.75" customHeight="1">
      <c r="C1058" s="7"/>
      <c r="D1058" s="7"/>
      <c r="H1058" s="7"/>
      <c r="Q1058" s="16"/>
      <c r="R1058" s="16"/>
      <c r="V1058">
        <v>207</v>
      </c>
    </row>
    <row r="1059" spans="3:22" ht="15.75" customHeight="1">
      <c r="C1059" s="7"/>
      <c r="D1059" s="7"/>
      <c r="H1059" s="7"/>
      <c r="Q1059" s="16"/>
      <c r="R1059" s="16"/>
      <c r="V1059">
        <v>208</v>
      </c>
    </row>
    <row r="1060" spans="3:22" ht="15.75" customHeight="1">
      <c r="C1060" s="7"/>
      <c r="D1060" s="7"/>
      <c r="H1060" s="7"/>
      <c r="Q1060" s="16"/>
      <c r="R1060" s="16"/>
      <c r="V1060">
        <v>209</v>
      </c>
    </row>
    <row r="1061" spans="3:22" ht="15.75" customHeight="1">
      <c r="C1061" s="7"/>
      <c r="D1061" s="7"/>
      <c r="H1061" s="7"/>
      <c r="Q1061" s="16"/>
      <c r="R1061" s="16"/>
      <c r="V1061">
        <v>209</v>
      </c>
    </row>
    <row r="1062" spans="3:22" ht="15.75" customHeight="1">
      <c r="C1062" s="7"/>
      <c r="D1062" s="7"/>
      <c r="H1062" s="7"/>
      <c r="Q1062" s="16"/>
      <c r="R1062" s="16"/>
      <c r="V1062">
        <v>209</v>
      </c>
    </row>
    <row r="1063" spans="3:22" ht="15.75" customHeight="1">
      <c r="C1063" s="7"/>
      <c r="D1063" s="7"/>
      <c r="H1063" s="7"/>
      <c r="Q1063" s="16"/>
      <c r="R1063" s="16"/>
      <c r="V1063">
        <v>210</v>
      </c>
    </row>
    <row r="1064" spans="3:22" ht="15.75" customHeight="1">
      <c r="C1064" s="7"/>
      <c r="D1064" s="7"/>
      <c r="H1064" s="7"/>
      <c r="Q1064" s="16"/>
      <c r="R1064" s="16"/>
      <c r="V1064">
        <v>211</v>
      </c>
    </row>
    <row r="1065" spans="3:22" ht="15.75" customHeight="1">
      <c r="C1065" s="7"/>
      <c r="D1065" s="7"/>
      <c r="H1065" s="7"/>
      <c r="Q1065" s="16"/>
      <c r="R1065" s="16"/>
      <c r="V1065">
        <v>211</v>
      </c>
    </row>
    <row r="1066" spans="3:22" ht="15.75" customHeight="1">
      <c r="C1066" s="7"/>
      <c r="D1066" s="7"/>
      <c r="H1066" s="7"/>
      <c r="Q1066" s="16"/>
      <c r="R1066" s="16"/>
      <c r="V1066">
        <v>211</v>
      </c>
    </row>
    <row r="1067" spans="3:22" ht="15.75" customHeight="1">
      <c r="C1067" s="7"/>
      <c r="D1067" s="7"/>
      <c r="H1067" s="7"/>
      <c r="Q1067" s="16"/>
      <c r="R1067" s="16"/>
      <c r="V1067">
        <v>212</v>
      </c>
    </row>
    <row r="1068" spans="3:22" ht="15.75" customHeight="1">
      <c r="C1068" s="7"/>
      <c r="D1068" s="7"/>
      <c r="H1068" s="7"/>
      <c r="Q1068" s="16"/>
      <c r="R1068" s="16"/>
      <c r="V1068">
        <v>212</v>
      </c>
    </row>
    <row r="1069" spans="3:22" ht="15.75" customHeight="1">
      <c r="C1069" s="7"/>
      <c r="D1069" s="7"/>
      <c r="H1069" s="7"/>
      <c r="Q1069" s="16"/>
      <c r="R1069" s="16"/>
      <c r="V1069">
        <v>212</v>
      </c>
    </row>
    <row r="1070" spans="3:22" ht="15.75" customHeight="1">
      <c r="C1070" s="7"/>
      <c r="D1070" s="7"/>
      <c r="H1070" s="7"/>
      <c r="Q1070" s="16"/>
      <c r="R1070" s="16"/>
      <c r="V1070">
        <v>212</v>
      </c>
    </row>
    <row r="1071" spans="3:22" ht="15.75" customHeight="1">
      <c r="C1071" s="7"/>
      <c r="D1071" s="7"/>
      <c r="H1071" s="7"/>
      <c r="Q1071" s="16"/>
      <c r="R1071" s="16"/>
      <c r="V1071">
        <v>212</v>
      </c>
    </row>
    <row r="1072" spans="3:22" ht="15.75" customHeight="1">
      <c r="C1072" s="7"/>
      <c r="D1072" s="7"/>
      <c r="H1072" s="7"/>
      <c r="Q1072" s="16"/>
      <c r="R1072" s="16"/>
      <c r="V1072">
        <v>212</v>
      </c>
    </row>
    <row r="1073" spans="3:22" ht="15.75" customHeight="1">
      <c r="C1073" s="7"/>
      <c r="D1073" s="7"/>
      <c r="H1073" s="7"/>
      <c r="Q1073" s="16"/>
      <c r="R1073" s="16"/>
      <c r="V1073">
        <v>212</v>
      </c>
    </row>
    <row r="1074" spans="3:22" ht="15.75" customHeight="1">
      <c r="C1074" s="7"/>
      <c r="D1074" s="7"/>
      <c r="H1074" s="7"/>
      <c r="Q1074" s="16"/>
      <c r="R1074" s="16"/>
      <c r="V1074">
        <v>212</v>
      </c>
    </row>
    <row r="1075" spans="3:22" ht="15.75" customHeight="1">
      <c r="C1075" s="7"/>
      <c r="D1075" s="7"/>
      <c r="H1075" s="7"/>
      <c r="Q1075" s="16"/>
      <c r="R1075" s="16"/>
      <c r="V1075">
        <v>212</v>
      </c>
    </row>
    <row r="1076" spans="3:22" ht="15.75" customHeight="1">
      <c r="C1076" s="7"/>
      <c r="D1076" s="7"/>
      <c r="H1076" s="7"/>
      <c r="Q1076" s="16"/>
      <c r="R1076" s="16"/>
      <c r="V1076">
        <v>212</v>
      </c>
    </row>
    <row r="1077" spans="3:22" ht="15.75" customHeight="1">
      <c r="C1077" s="7"/>
      <c r="D1077" s="7"/>
      <c r="H1077" s="7"/>
      <c r="Q1077" s="16"/>
      <c r="R1077" s="16"/>
      <c r="V1077">
        <v>213</v>
      </c>
    </row>
    <row r="1078" spans="3:22" ht="15.75" customHeight="1">
      <c r="C1078" s="7"/>
      <c r="D1078" s="7"/>
      <c r="H1078" s="7"/>
      <c r="Q1078" s="16"/>
      <c r="R1078" s="16"/>
      <c r="V1078">
        <v>213</v>
      </c>
    </row>
    <row r="1079" spans="3:22" ht="15.75" customHeight="1">
      <c r="C1079" s="7"/>
      <c r="D1079" s="7"/>
      <c r="H1079" s="7"/>
      <c r="Q1079" s="16"/>
      <c r="R1079" s="16"/>
      <c r="V1079">
        <v>213</v>
      </c>
    </row>
    <row r="1080" spans="3:22" ht="15.75" customHeight="1">
      <c r="C1080" s="7"/>
      <c r="D1080" s="7"/>
      <c r="H1080" s="7"/>
      <c r="Q1080" s="16"/>
      <c r="R1080" s="16"/>
      <c r="V1080">
        <v>213</v>
      </c>
    </row>
    <row r="1081" spans="3:22" ht="15.75" customHeight="1">
      <c r="C1081" s="7"/>
      <c r="D1081" s="7"/>
      <c r="H1081" s="7"/>
      <c r="Q1081" s="16"/>
      <c r="R1081" s="16"/>
      <c r="V1081">
        <v>213</v>
      </c>
    </row>
    <row r="1082" spans="3:22" ht="15.75" customHeight="1">
      <c r="C1082" s="7"/>
      <c r="D1082" s="7"/>
      <c r="H1082" s="7"/>
      <c r="Q1082" s="16"/>
      <c r="R1082" s="16"/>
      <c r="V1082">
        <v>213</v>
      </c>
    </row>
    <row r="1083" spans="3:22" ht="15.75" customHeight="1">
      <c r="C1083" s="7"/>
      <c r="D1083" s="7"/>
      <c r="H1083" s="7"/>
      <c r="Q1083" s="16"/>
      <c r="R1083" s="16"/>
      <c r="V1083">
        <v>213</v>
      </c>
    </row>
    <row r="1084" spans="3:22" ht="15.75" customHeight="1">
      <c r="C1084" s="7"/>
      <c r="D1084" s="7"/>
      <c r="H1084" s="7"/>
      <c r="Q1084" s="16"/>
      <c r="R1084" s="16"/>
      <c r="V1084">
        <v>213</v>
      </c>
    </row>
    <row r="1085" spans="3:22" ht="15.75" customHeight="1">
      <c r="C1085" s="7"/>
      <c r="D1085" s="7"/>
      <c r="H1085" s="7"/>
      <c r="Q1085" s="16"/>
      <c r="R1085" s="16"/>
      <c r="V1085">
        <v>214</v>
      </c>
    </row>
    <row r="1086" spans="3:22" ht="15.75" customHeight="1">
      <c r="C1086" s="7"/>
      <c r="D1086" s="7"/>
      <c r="H1086" s="7"/>
      <c r="Q1086" s="16"/>
      <c r="R1086" s="16"/>
      <c r="V1086">
        <v>214</v>
      </c>
    </row>
    <row r="1087" spans="3:22" ht="15.75" customHeight="1">
      <c r="C1087" s="7"/>
      <c r="D1087" s="7"/>
      <c r="H1087" s="7"/>
      <c r="Q1087" s="16"/>
      <c r="R1087" s="16"/>
      <c r="V1087">
        <v>214</v>
      </c>
    </row>
    <row r="1088" spans="3:22" ht="15.75" customHeight="1">
      <c r="C1088" s="7"/>
      <c r="D1088" s="7"/>
      <c r="H1088" s="7"/>
      <c r="Q1088" s="16"/>
      <c r="R1088" s="16"/>
      <c r="V1088">
        <v>214</v>
      </c>
    </row>
    <row r="1089" spans="3:22" ht="15.75" customHeight="1">
      <c r="C1089" s="7"/>
      <c r="D1089" s="7"/>
      <c r="H1089" s="7"/>
      <c r="Q1089" s="16"/>
      <c r="R1089" s="16"/>
      <c r="V1089">
        <v>214</v>
      </c>
    </row>
    <row r="1090" spans="3:22" ht="15.75" customHeight="1">
      <c r="C1090" s="7"/>
      <c r="D1090" s="7"/>
      <c r="H1090" s="7"/>
      <c r="Q1090" s="16"/>
      <c r="R1090" s="16"/>
      <c r="V1090">
        <v>214</v>
      </c>
    </row>
    <row r="1091" spans="3:22" ht="15.75" customHeight="1">
      <c r="C1091" s="7"/>
      <c r="D1091" s="7"/>
      <c r="H1091" s="7"/>
      <c r="Q1091" s="16"/>
      <c r="R1091" s="16"/>
      <c r="V1091">
        <v>215</v>
      </c>
    </row>
    <row r="1092" spans="3:22" ht="15.75" customHeight="1">
      <c r="C1092" s="7"/>
      <c r="D1092" s="7"/>
      <c r="H1092" s="7"/>
      <c r="Q1092" s="16"/>
      <c r="R1092" s="16"/>
      <c r="V1092">
        <v>215</v>
      </c>
    </row>
    <row r="1093" spans="3:22" ht="15.75" customHeight="1">
      <c r="C1093" s="7"/>
      <c r="D1093" s="7"/>
      <c r="H1093" s="7"/>
      <c r="Q1093" s="16"/>
      <c r="R1093" s="16"/>
      <c r="V1093">
        <v>215</v>
      </c>
    </row>
    <row r="1094" spans="3:22" ht="15.75" customHeight="1">
      <c r="C1094" s="7"/>
      <c r="D1094" s="7"/>
      <c r="H1094" s="7"/>
      <c r="Q1094" s="16"/>
      <c r="R1094" s="16"/>
      <c r="V1094">
        <v>215</v>
      </c>
    </row>
    <row r="1095" spans="3:22" ht="15.75" customHeight="1">
      <c r="C1095" s="7"/>
      <c r="D1095" s="7"/>
      <c r="H1095" s="7"/>
      <c r="Q1095" s="16"/>
      <c r="R1095" s="16"/>
      <c r="V1095">
        <v>215</v>
      </c>
    </row>
    <row r="1096" spans="3:22" ht="15.75" customHeight="1">
      <c r="C1096" s="7"/>
      <c r="D1096" s="7"/>
      <c r="H1096" s="7"/>
      <c r="Q1096" s="16"/>
      <c r="R1096" s="16"/>
      <c r="V1096">
        <v>215</v>
      </c>
    </row>
    <row r="1097" spans="3:22" ht="15.75" customHeight="1">
      <c r="C1097" s="7"/>
      <c r="D1097" s="7"/>
      <c r="H1097" s="7"/>
      <c r="Q1097" s="16"/>
      <c r="R1097" s="16"/>
      <c r="V1097">
        <v>215</v>
      </c>
    </row>
    <row r="1098" spans="3:22" ht="15.75" customHeight="1">
      <c r="C1098" s="7"/>
      <c r="D1098" s="7"/>
      <c r="H1098" s="7"/>
      <c r="Q1098" s="16"/>
      <c r="R1098" s="16"/>
      <c r="V1098">
        <v>215</v>
      </c>
    </row>
    <row r="1099" spans="3:22" ht="15.75" customHeight="1">
      <c r="C1099" s="7"/>
      <c r="D1099" s="7"/>
      <c r="H1099" s="7"/>
      <c r="Q1099" s="16"/>
      <c r="R1099" s="16"/>
      <c r="V1099">
        <v>215</v>
      </c>
    </row>
    <row r="1100" spans="3:22" ht="15.75" customHeight="1">
      <c r="C1100" s="7"/>
      <c r="D1100" s="7"/>
      <c r="H1100" s="7"/>
      <c r="Q1100" s="16"/>
      <c r="R1100" s="16"/>
      <c r="V1100">
        <v>215</v>
      </c>
    </row>
    <row r="1101" spans="3:22" ht="15.75" customHeight="1">
      <c r="C1101" s="7"/>
      <c r="D1101" s="7"/>
      <c r="H1101" s="7"/>
      <c r="Q1101" s="16"/>
      <c r="R1101" s="16"/>
      <c r="V1101">
        <v>215</v>
      </c>
    </row>
    <row r="1102" spans="3:22" ht="15.75" customHeight="1">
      <c r="C1102" s="7"/>
      <c r="D1102" s="7"/>
      <c r="H1102" s="7"/>
      <c r="Q1102" s="16"/>
      <c r="R1102" s="16"/>
      <c r="V1102">
        <v>215</v>
      </c>
    </row>
    <row r="1103" spans="3:22" ht="15.75" customHeight="1">
      <c r="C1103" s="7"/>
      <c r="D1103" s="7"/>
      <c r="H1103" s="7"/>
      <c r="Q1103" s="16"/>
      <c r="R1103" s="16"/>
      <c r="V1103">
        <v>215</v>
      </c>
    </row>
    <row r="1104" spans="3:22" ht="15.75" customHeight="1">
      <c r="C1104" s="7"/>
      <c r="D1104" s="7"/>
      <c r="H1104" s="7"/>
      <c r="Q1104" s="16"/>
      <c r="R1104" s="16"/>
      <c r="V1104">
        <v>216</v>
      </c>
    </row>
    <row r="1105" spans="3:22" ht="15.75" customHeight="1">
      <c r="C1105" s="7"/>
      <c r="D1105" s="7"/>
      <c r="H1105" s="7"/>
      <c r="Q1105" s="16"/>
      <c r="R1105" s="16"/>
      <c r="V1105">
        <v>217</v>
      </c>
    </row>
    <row r="1106" spans="3:22" ht="15.75" customHeight="1">
      <c r="C1106" s="7"/>
      <c r="D1106" s="7"/>
      <c r="H1106" s="7"/>
      <c r="Q1106" s="16"/>
      <c r="R1106" s="16"/>
      <c r="V1106">
        <v>218</v>
      </c>
    </row>
    <row r="1107" spans="3:22" ht="15.75" customHeight="1">
      <c r="C1107" s="7"/>
      <c r="D1107" s="7"/>
      <c r="H1107" s="7"/>
      <c r="Q1107" s="16"/>
      <c r="R1107" s="16"/>
      <c r="V1107">
        <v>218</v>
      </c>
    </row>
    <row r="1108" spans="3:22" ht="15.75" customHeight="1">
      <c r="C1108" s="7"/>
      <c r="D1108" s="7"/>
      <c r="H1108" s="7"/>
      <c r="Q1108" s="16"/>
      <c r="R1108" s="16"/>
      <c r="V1108">
        <v>218</v>
      </c>
    </row>
    <row r="1109" spans="3:22" ht="15.75" customHeight="1">
      <c r="C1109" s="7"/>
      <c r="D1109" s="7"/>
      <c r="H1109" s="7"/>
      <c r="Q1109" s="16"/>
      <c r="R1109" s="16"/>
      <c r="V1109">
        <v>218</v>
      </c>
    </row>
    <row r="1110" spans="3:22" ht="15.75" customHeight="1">
      <c r="C1110" s="7"/>
      <c r="D1110" s="7"/>
      <c r="H1110" s="7"/>
      <c r="Q1110" s="16"/>
      <c r="R1110" s="16"/>
      <c r="V1110">
        <v>218</v>
      </c>
    </row>
    <row r="1111" spans="3:22" ht="15.75" customHeight="1">
      <c r="C1111" s="7"/>
      <c r="D1111" s="7"/>
      <c r="H1111" s="7"/>
      <c r="Q1111" s="16"/>
      <c r="R1111" s="16"/>
      <c r="V1111">
        <v>218</v>
      </c>
    </row>
    <row r="1112" spans="3:22" ht="15.75" customHeight="1">
      <c r="C1112" s="7"/>
      <c r="D1112" s="7"/>
      <c r="H1112" s="7"/>
      <c r="Q1112" s="16"/>
      <c r="R1112" s="16"/>
      <c r="V1112">
        <v>218</v>
      </c>
    </row>
    <row r="1113" spans="3:22" ht="15.75" customHeight="1">
      <c r="C1113" s="7"/>
      <c r="D1113" s="7"/>
      <c r="H1113" s="7"/>
      <c r="Q1113" s="16"/>
      <c r="R1113" s="16"/>
      <c r="V1113">
        <v>218</v>
      </c>
    </row>
    <row r="1114" spans="3:22" ht="15.75" customHeight="1">
      <c r="C1114" s="7"/>
      <c r="D1114" s="7"/>
      <c r="H1114" s="7"/>
      <c r="Q1114" s="16"/>
      <c r="R1114" s="16"/>
      <c r="V1114">
        <v>218</v>
      </c>
    </row>
    <row r="1115" spans="3:22" ht="15.75" customHeight="1">
      <c r="C1115" s="7"/>
      <c r="D1115" s="7"/>
      <c r="H1115" s="7"/>
      <c r="Q1115" s="16"/>
      <c r="R1115" s="16"/>
      <c r="V1115">
        <v>218</v>
      </c>
    </row>
    <row r="1116" spans="3:22" ht="15.75" customHeight="1">
      <c r="C1116" s="7"/>
      <c r="D1116" s="7"/>
      <c r="H1116" s="7"/>
      <c r="Q1116" s="16"/>
      <c r="R1116" s="16"/>
      <c r="V1116">
        <v>218</v>
      </c>
    </row>
    <row r="1117" spans="3:22" ht="15.75" customHeight="1">
      <c r="C1117" s="7"/>
      <c r="D1117" s="7"/>
      <c r="H1117" s="7"/>
      <c r="Q1117" s="16"/>
      <c r="R1117" s="16"/>
      <c r="V1117">
        <v>218</v>
      </c>
    </row>
    <row r="1118" spans="3:22" ht="15.75" customHeight="1">
      <c r="C1118" s="7"/>
      <c r="D1118" s="7"/>
      <c r="H1118" s="7"/>
      <c r="Q1118" s="16"/>
      <c r="R1118" s="16"/>
      <c r="V1118">
        <v>218</v>
      </c>
    </row>
    <row r="1119" spans="3:22" ht="15.75" customHeight="1">
      <c r="C1119" s="7"/>
      <c r="D1119" s="7"/>
      <c r="H1119" s="7"/>
      <c r="Q1119" s="16"/>
      <c r="R1119" s="16"/>
      <c r="V1119">
        <v>218</v>
      </c>
    </row>
    <row r="1120" spans="3:22" ht="15.75" customHeight="1">
      <c r="C1120" s="7"/>
      <c r="D1120" s="7"/>
      <c r="H1120" s="7"/>
      <c r="Q1120" s="16"/>
      <c r="R1120" s="16"/>
      <c r="V1120">
        <v>218</v>
      </c>
    </row>
    <row r="1121" spans="3:22" ht="15.75" customHeight="1">
      <c r="C1121" s="7"/>
      <c r="D1121" s="7"/>
      <c r="H1121" s="7"/>
      <c r="Q1121" s="16"/>
      <c r="R1121" s="16"/>
      <c r="V1121">
        <v>219</v>
      </c>
    </row>
    <row r="1122" spans="3:22" ht="15.75" customHeight="1">
      <c r="C1122" s="7"/>
      <c r="D1122" s="7"/>
      <c r="H1122" s="7"/>
      <c r="Q1122" s="16"/>
      <c r="R1122" s="16"/>
      <c r="V1122">
        <v>219</v>
      </c>
    </row>
    <row r="1123" spans="3:22" ht="15.75" customHeight="1">
      <c r="C1123" s="7"/>
      <c r="D1123" s="7"/>
      <c r="H1123" s="7"/>
      <c r="Q1123" s="16"/>
      <c r="R1123" s="16"/>
      <c r="V1123">
        <v>219</v>
      </c>
    </row>
    <row r="1124" spans="3:22" ht="15.75" customHeight="1">
      <c r="C1124" s="7"/>
      <c r="D1124" s="7"/>
      <c r="H1124" s="7"/>
      <c r="Q1124" s="16"/>
      <c r="R1124" s="16"/>
      <c r="V1124">
        <v>219</v>
      </c>
    </row>
    <row r="1125" spans="3:22" ht="15.75" customHeight="1">
      <c r="C1125" s="7"/>
      <c r="D1125" s="7"/>
      <c r="H1125" s="7"/>
      <c r="Q1125" s="16"/>
      <c r="R1125" s="16"/>
      <c r="V1125">
        <v>219</v>
      </c>
    </row>
    <row r="1126" spans="3:22" ht="15.75" customHeight="1">
      <c r="C1126" s="7"/>
      <c r="D1126" s="7"/>
      <c r="H1126" s="7"/>
      <c r="Q1126" s="16"/>
      <c r="R1126" s="16"/>
      <c r="V1126">
        <v>219</v>
      </c>
    </row>
    <row r="1127" spans="3:22" ht="15.75" customHeight="1">
      <c r="C1127" s="7"/>
      <c r="D1127" s="7"/>
      <c r="H1127" s="7"/>
      <c r="Q1127" s="16"/>
      <c r="R1127" s="16"/>
      <c r="V1127">
        <v>219</v>
      </c>
    </row>
    <row r="1128" spans="3:22" ht="15.75" customHeight="1">
      <c r="C1128" s="7"/>
      <c r="D1128" s="7"/>
      <c r="H1128" s="7"/>
      <c r="Q1128" s="16"/>
      <c r="R1128" s="16"/>
      <c r="V1128">
        <v>219</v>
      </c>
    </row>
    <row r="1129" spans="3:22" ht="15.75" customHeight="1">
      <c r="C1129" s="7"/>
      <c r="D1129" s="7"/>
      <c r="H1129" s="7"/>
      <c r="Q1129" s="16"/>
      <c r="R1129" s="16"/>
      <c r="V1129">
        <v>219</v>
      </c>
    </row>
    <row r="1130" spans="3:22" ht="15.75" customHeight="1">
      <c r="C1130" s="7"/>
      <c r="D1130" s="7"/>
      <c r="H1130" s="7"/>
      <c r="Q1130" s="16"/>
      <c r="R1130" s="16"/>
      <c r="V1130">
        <v>220</v>
      </c>
    </row>
    <row r="1131" spans="3:22" ht="15.75" customHeight="1">
      <c r="C1131" s="7"/>
      <c r="D1131" s="7"/>
      <c r="H1131" s="7"/>
      <c r="Q1131" s="16"/>
      <c r="R1131" s="16"/>
      <c r="V1131">
        <v>220</v>
      </c>
    </row>
    <row r="1132" spans="3:22" ht="15.75" customHeight="1">
      <c r="C1132" s="7"/>
      <c r="D1132" s="7"/>
      <c r="H1132" s="7"/>
      <c r="Q1132" s="16"/>
      <c r="R1132" s="16"/>
      <c r="V1132">
        <v>220</v>
      </c>
    </row>
    <row r="1133" spans="3:22" ht="15.75" customHeight="1">
      <c r="C1133" s="7"/>
      <c r="D1133" s="7"/>
      <c r="H1133" s="7"/>
      <c r="Q1133" s="16"/>
      <c r="R1133" s="16"/>
      <c r="V1133">
        <v>220</v>
      </c>
    </row>
    <row r="1134" spans="3:22" ht="15.75" customHeight="1">
      <c r="C1134" s="7"/>
      <c r="D1134" s="7"/>
      <c r="H1134" s="7"/>
      <c r="Q1134" s="16"/>
      <c r="R1134" s="16"/>
      <c r="V1134">
        <v>220</v>
      </c>
    </row>
    <row r="1135" spans="3:22" ht="15.75" customHeight="1">
      <c r="C1135" s="7"/>
      <c r="D1135" s="7"/>
      <c r="H1135" s="7"/>
      <c r="Q1135" s="16"/>
      <c r="R1135" s="16"/>
      <c r="V1135">
        <v>221</v>
      </c>
    </row>
    <row r="1136" spans="3:22" ht="15.75" customHeight="1">
      <c r="C1136" s="7"/>
      <c r="D1136" s="7"/>
      <c r="H1136" s="7"/>
      <c r="Q1136" s="16"/>
      <c r="R1136" s="16"/>
      <c r="V1136">
        <v>221</v>
      </c>
    </row>
    <row r="1137" spans="3:22" ht="15.75" customHeight="1">
      <c r="C1137" s="7"/>
      <c r="D1137" s="7"/>
      <c r="H1137" s="7"/>
      <c r="Q1137" s="16"/>
      <c r="R1137" s="16"/>
      <c r="V1137">
        <v>222</v>
      </c>
    </row>
    <row r="1138" spans="3:22" ht="15.75" customHeight="1">
      <c r="C1138" s="7"/>
      <c r="D1138" s="7"/>
      <c r="H1138" s="7"/>
      <c r="Q1138" s="16"/>
      <c r="R1138" s="16"/>
      <c r="V1138">
        <v>222</v>
      </c>
    </row>
    <row r="1139" spans="3:22" ht="15.75" customHeight="1">
      <c r="C1139" s="7"/>
      <c r="D1139" s="7"/>
      <c r="H1139" s="7"/>
      <c r="Q1139" s="16"/>
      <c r="R1139" s="16"/>
      <c r="V1139">
        <v>222</v>
      </c>
    </row>
    <row r="1140" spans="3:22" ht="15.75" customHeight="1">
      <c r="C1140" s="7"/>
      <c r="D1140" s="7"/>
      <c r="H1140" s="7"/>
      <c r="Q1140" s="16"/>
      <c r="R1140" s="16"/>
      <c r="V1140">
        <v>222</v>
      </c>
    </row>
    <row r="1141" spans="3:22" ht="15.75" customHeight="1">
      <c r="C1141" s="7"/>
      <c r="D1141" s="7"/>
      <c r="H1141" s="7"/>
      <c r="Q1141" s="16"/>
      <c r="R1141" s="16"/>
      <c r="V1141">
        <v>222</v>
      </c>
    </row>
    <row r="1142" spans="3:22" ht="15.75" customHeight="1">
      <c r="C1142" s="7"/>
      <c r="D1142" s="7"/>
      <c r="H1142" s="7"/>
      <c r="Q1142" s="16"/>
      <c r="R1142" s="16"/>
      <c r="V1142">
        <v>222</v>
      </c>
    </row>
    <row r="1143" spans="3:22" ht="15.75" customHeight="1">
      <c r="C1143" s="7"/>
      <c r="D1143" s="7"/>
      <c r="H1143" s="7"/>
      <c r="Q1143" s="16"/>
      <c r="R1143" s="16"/>
      <c r="V1143">
        <v>222</v>
      </c>
    </row>
    <row r="1144" spans="3:22" ht="15.75" customHeight="1">
      <c r="C1144" s="7"/>
      <c r="D1144" s="7"/>
      <c r="H1144" s="7"/>
      <c r="Q1144" s="16"/>
      <c r="R1144" s="16"/>
      <c r="V1144">
        <v>222</v>
      </c>
    </row>
    <row r="1145" spans="3:22" ht="15.75" customHeight="1">
      <c r="C1145" s="7"/>
      <c r="D1145" s="7"/>
      <c r="H1145" s="7"/>
      <c r="Q1145" s="16"/>
      <c r="R1145" s="16"/>
      <c r="V1145">
        <v>222</v>
      </c>
    </row>
    <row r="1146" spans="3:22" ht="15.75" customHeight="1">
      <c r="C1146" s="7"/>
      <c r="D1146" s="7"/>
      <c r="H1146" s="7"/>
      <c r="Q1146" s="16"/>
      <c r="R1146" s="16"/>
      <c r="V1146">
        <v>222</v>
      </c>
    </row>
    <row r="1147" spans="3:22" ht="15.75" customHeight="1">
      <c r="C1147" s="7"/>
      <c r="D1147" s="7"/>
      <c r="H1147" s="7"/>
      <c r="Q1147" s="16"/>
      <c r="R1147" s="16"/>
      <c r="V1147">
        <v>222</v>
      </c>
    </row>
    <row r="1148" spans="3:22" ht="15.75" customHeight="1">
      <c r="C1148" s="7"/>
      <c r="D1148" s="7"/>
      <c r="H1148" s="7"/>
      <c r="Q1148" s="16"/>
      <c r="R1148" s="16"/>
      <c r="V1148">
        <v>222</v>
      </c>
    </row>
    <row r="1149" spans="3:22" ht="15.75" customHeight="1">
      <c r="C1149" s="7"/>
      <c r="D1149" s="7"/>
      <c r="H1149" s="7"/>
      <c r="Q1149" s="16"/>
      <c r="R1149" s="16"/>
      <c r="V1149">
        <v>222</v>
      </c>
    </row>
    <row r="1150" spans="3:22" ht="15.75" customHeight="1">
      <c r="C1150" s="7"/>
      <c r="D1150" s="7"/>
      <c r="H1150" s="7"/>
      <c r="Q1150" s="16"/>
      <c r="R1150" s="16"/>
      <c r="V1150">
        <v>222</v>
      </c>
    </row>
    <row r="1151" spans="3:22" ht="15.75" customHeight="1">
      <c r="C1151" s="7"/>
      <c r="D1151" s="7"/>
      <c r="H1151" s="7"/>
      <c r="Q1151" s="16"/>
      <c r="R1151" s="16"/>
      <c r="V1151">
        <v>223</v>
      </c>
    </row>
    <row r="1152" spans="3:22" ht="15.75" customHeight="1">
      <c r="C1152" s="7"/>
      <c r="D1152" s="7"/>
      <c r="H1152" s="7"/>
      <c r="Q1152" s="16"/>
      <c r="R1152" s="16"/>
      <c r="V1152">
        <v>223</v>
      </c>
    </row>
    <row r="1153" spans="3:22" ht="15.75" customHeight="1">
      <c r="C1153" s="7"/>
      <c r="D1153" s="7"/>
      <c r="H1153" s="7"/>
      <c r="Q1153" s="16"/>
      <c r="R1153" s="16"/>
      <c r="V1153">
        <v>224</v>
      </c>
    </row>
    <row r="1154" spans="3:22" ht="15.75" customHeight="1">
      <c r="C1154" s="7"/>
      <c r="D1154" s="7"/>
      <c r="H1154" s="7"/>
      <c r="Q1154" s="16"/>
      <c r="R1154" s="16"/>
      <c r="V1154">
        <v>225</v>
      </c>
    </row>
    <row r="1155" spans="3:22" ht="15.75" customHeight="1">
      <c r="C1155" s="7"/>
      <c r="D1155" s="7"/>
      <c r="H1155" s="7"/>
      <c r="Q1155" s="16"/>
      <c r="R1155" s="16"/>
      <c r="V1155">
        <v>225</v>
      </c>
    </row>
    <row r="1156" spans="3:22" ht="15.75" customHeight="1">
      <c r="C1156" s="7"/>
      <c r="D1156" s="7"/>
      <c r="H1156" s="7"/>
      <c r="Q1156" s="16"/>
      <c r="R1156" s="16"/>
      <c r="V1156">
        <v>225</v>
      </c>
    </row>
    <row r="1157" spans="3:22" ht="15.75" customHeight="1">
      <c r="C1157" s="7"/>
      <c r="D1157" s="7"/>
      <c r="H1157" s="7"/>
      <c r="Q1157" s="16"/>
      <c r="R1157" s="16"/>
      <c r="V1157">
        <v>225</v>
      </c>
    </row>
    <row r="1158" spans="3:22" ht="15.75" customHeight="1">
      <c r="C1158" s="7"/>
      <c r="D1158" s="7"/>
      <c r="H1158" s="7"/>
      <c r="Q1158" s="16"/>
      <c r="R1158" s="16"/>
      <c r="V1158">
        <v>225</v>
      </c>
    </row>
    <row r="1159" spans="3:22" ht="15.75" customHeight="1">
      <c r="C1159" s="7"/>
      <c r="D1159" s="7"/>
      <c r="H1159" s="7"/>
      <c r="Q1159" s="16"/>
      <c r="R1159" s="16"/>
      <c r="V1159">
        <v>225</v>
      </c>
    </row>
    <row r="1160" spans="3:22" ht="15.75" customHeight="1">
      <c r="C1160" s="7"/>
      <c r="D1160" s="7"/>
      <c r="H1160" s="7"/>
      <c r="Q1160" s="16"/>
      <c r="R1160" s="16"/>
      <c r="V1160">
        <v>225</v>
      </c>
    </row>
    <row r="1161" spans="3:22" ht="15.75" customHeight="1">
      <c r="C1161" s="7"/>
      <c r="D1161" s="7"/>
      <c r="H1161" s="7"/>
      <c r="Q1161" s="16"/>
      <c r="R1161" s="16"/>
      <c r="V1161">
        <v>225</v>
      </c>
    </row>
    <row r="1162" spans="3:22" ht="15.75" customHeight="1">
      <c r="C1162" s="7"/>
      <c r="D1162" s="7"/>
      <c r="H1162" s="7"/>
      <c r="Q1162" s="16"/>
      <c r="R1162" s="16"/>
      <c r="V1162">
        <v>225</v>
      </c>
    </row>
    <row r="1163" spans="3:22" ht="15.75" customHeight="1">
      <c r="C1163" s="7"/>
      <c r="D1163" s="7"/>
      <c r="H1163" s="7"/>
      <c r="Q1163" s="16"/>
      <c r="R1163" s="16"/>
      <c r="V1163">
        <v>225</v>
      </c>
    </row>
    <row r="1164" spans="3:22" ht="15.75" customHeight="1">
      <c r="C1164" s="7"/>
      <c r="D1164" s="7"/>
      <c r="H1164" s="7"/>
      <c r="Q1164" s="16"/>
      <c r="R1164" s="16"/>
      <c r="V1164">
        <v>226</v>
      </c>
    </row>
    <row r="1165" spans="3:22" ht="15.75" customHeight="1">
      <c r="C1165" s="7"/>
      <c r="D1165" s="7"/>
      <c r="H1165" s="7"/>
      <c r="Q1165" s="16"/>
      <c r="R1165" s="16"/>
      <c r="V1165">
        <v>226</v>
      </c>
    </row>
    <row r="1166" spans="3:22" ht="15.75" customHeight="1">
      <c r="C1166" s="7"/>
      <c r="D1166" s="7"/>
      <c r="H1166" s="7"/>
      <c r="Q1166" s="16"/>
      <c r="R1166" s="16"/>
      <c r="V1166">
        <v>226</v>
      </c>
    </row>
    <row r="1167" spans="3:22" ht="15.75" customHeight="1">
      <c r="C1167" s="7"/>
      <c r="D1167" s="7"/>
      <c r="H1167" s="7"/>
      <c r="Q1167" s="16"/>
      <c r="R1167" s="16"/>
      <c r="V1167">
        <v>226</v>
      </c>
    </row>
    <row r="1168" spans="3:22" ht="15.75" customHeight="1">
      <c r="C1168" s="7"/>
      <c r="D1168" s="7"/>
      <c r="H1168" s="7"/>
      <c r="Q1168" s="16"/>
      <c r="R1168" s="16"/>
      <c r="V1168">
        <v>226</v>
      </c>
    </row>
    <row r="1169" spans="3:22" ht="15.75" customHeight="1">
      <c r="C1169" s="7"/>
      <c r="D1169" s="7"/>
      <c r="H1169" s="7"/>
      <c r="Q1169" s="16"/>
      <c r="R1169" s="16"/>
      <c r="V1169">
        <v>226</v>
      </c>
    </row>
    <row r="1170" spans="3:22" ht="15.75" customHeight="1">
      <c r="C1170" s="7"/>
      <c r="D1170" s="7"/>
      <c r="H1170" s="7"/>
      <c r="Q1170" s="16"/>
      <c r="R1170" s="16"/>
      <c r="V1170">
        <v>226</v>
      </c>
    </row>
    <row r="1171" spans="3:22" ht="15.75" customHeight="1">
      <c r="C1171" s="7"/>
      <c r="D1171" s="7"/>
      <c r="H1171" s="7"/>
      <c r="Q1171" s="16"/>
      <c r="R1171" s="16"/>
      <c r="V1171">
        <v>226</v>
      </c>
    </row>
    <row r="1172" spans="3:22" ht="15.75" customHeight="1">
      <c r="C1172" s="7"/>
      <c r="D1172" s="7"/>
      <c r="H1172" s="7"/>
      <c r="Q1172" s="16"/>
      <c r="R1172" s="16"/>
      <c r="V1172">
        <v>226</v>
      </c>
    </row>
    <row r="1173" spans="3:22" ht="15.75" customHeight="1">
      <c r="C1173" s="7"/>
      <c r="D1173" s="7"/>
      <c r="H1173" s="7"/>
      <c r="Q1173" s="16"/>
      <c r="R1173" s="16"/>
      <c r="V1173">
        <v>226</v>
      </c>
    </row>
    <row r="1174" spans="3:22" ht="15.75" customHeight="1">
      <c r="C1174" s="7"/>
      <c r="D1174" s="7"/>
      <c r="H1174" s="7"/>
      <c r="Q1174" s="16"/>
      <c r="R1174" s="16"/>
      <c r="V1174">
        <v>226</v>
      </c>
    </row>
    <row r="1175" spans="3:22" ht="15.75" customHeight="1">
      <c r="C1175" s="7"/>
      <c r="D1175" s="7"/>
      <c r="H1175" s="7"/>
      <c r="Q1175" s="16"/>
      <c r="R1175" s="16"/>
      <c r="V1175">
        <v>226</v>
      </c>
    </row>
    <row r="1176" spans="3:22" ht="15.75" customHeight="1">
      <c r="C1176" s="7"/>
      <c r="D1176" s="7"/>
      <c r="H1176" s="7"/>
      <c r="Q1176" s="16"/>
      <c r="R1176" s="16"/>
      <c r="V1176">
        <v>226</v>
      </c>
    </row>
    <row r="1177" spans="3:22" ht="15.75" customHeight="1">
      <c r="C1177" s="7"/>
      <c r="D1177" s="7"/>
      <c r="H1177" s="7"/>
      <c r="Q1177" s="16"/>
      <c r="R1177" s="16"/>
      <c r="V1177">
        <v>226</v>
      </c>
    </row>
    <row r="1178" spans="3:22" ht="15.75" customHeight="1">
      <c r="C1178" s="7"/>
      <c r="D1178" s="7"/>
      <c r="H1178" s="7"/>
      <c r="Q1178" s="16"/>
      <c r="R1178" s="16"/>
      <c r="V1178">
        <v>226</v>
      </c>
    </row>
    <row r="1179" spans="3:22" ht="15.75" customHeight="1">
      <c r="C1179" s="7"/>
      <c r="D1179" s="7"/>
      <c r="H1179" s="7"/>
      <c r="Q1179" s="16"/>
      <c r="R1179" s="16"/>
      <c r="V1179">
        <v>226</v>
      </c>
    </row>
    <row r="1180" spans="3:22" ht="15.75" customHeight="1">
      <c r="C1180" s="7"/>
      <c r="D1180" s="7"/>
      <c r="H1180" s="7"/>
      <c r="Q1180" s="16"/>
      <c r="R1180" s="16"/>
      <c r="V1180">
        <v>226</v>
      </c>
    </row>
    <row r="1181" spans="3:22" ht="15.75" customHeight="1">
      <c r="C1181" s="7"/>
      <c r="D1181" s="7"/>
      <c r="H1181" s="7"/>
      <c r="Q1181" s="16"/>
      <c r="R1181" s="16"/>
      <c r="V1181">
        <v>226</v>
      </c>
    </row>
    <row r="1182" spans="3:22" ht="15.75" customHeight="1">
      <c r="C1182" s="7"/>
      <c r="D1182" s="7"/>
      <c r="H1182" s="7"/>
      <c r="Q1182" s="16"/>
      <c r="R1182" s="16"/>
      <c r="V1182">
        <v>226</v>
      </c>
    </row>
    <row r="1183" spans="3:22" ht="15.75" customHeight="1">
      <c r="C1183" s="7"/>
      <c r="D1183" s="7"/>
      <c r="H1183" s="7"/>
      <c r="Q1183" s="16"/>
      <c r="R1183" s="16"/>
      <c r="V1183">
        <v>226</v>
      </c>
    </row>
    <row r="1184" spans="3:22" ht="15.75" customHeight="1">
      <c r="C1184" s="7"/>
      <c r="D1184" s="7"/>
      <c r="H1184" s="7"/>
      <c r="Q1184" s="16"/>
      <c r="R1184" s="16"/>
      <c r="V1184">
        <v>226</v>
      </c>
    </row>
    <row r="1185" spans="3:22" ht="15.75" customHeight="1">
      <c r="C1185" s="7"/>
      <c r="D1185" s="7"/>
      <c r="H1185" s="7"/>
      <c r="Q1185" s="16"/>
      <c r="R1185" s="16"/>
      <c r="V1185">
        <v>226</v>
      </c>
    </row>
    <row r="1186" spans="3:22" ht="15.75" customHeight="1">
      <c r="C1186" s="7"/>
      <c r="D1186" s="7"/>
      <c r="H1186" s="7"/>
      <c r="Q1186" s="16"/>
      <c r="R1186" s="16"/>
      <c r="V1186">
        <v>227</v>
      </c>
    </row>
    <row r="1187" spans="3:22" ht="15.75" customHeight="1">
      <c r="C1187" s="7"/>
      <c r="D1187" s="7"/>
      <c r="H1187" s="7"/>
      <c r="Q1187" s="16"/>
      <c r="R1187" s="16"/>
      <c r="V1187">
        <v>228</v>
      </c>
    </row>
    <row r="1188" spans="3:22" ht="15.75" customHeight="1">
      <c r="C1188" s="7"/>
      <c r="D1188" s="7"/>
      <c r="H1188" s="7"/>
      <c r="Q1188" s="16"/>
      <c r="R1188" s="16"/>
      <c r="V1188">
        <v>228</v>
      </c>
    </row>
    <row r="1189" spans="3:22" ht="15.75" customHeight="1">
      <c r="C1189" s="7"/>
      <c r="D1189" s="7"/>
      <c r="H1189" s="7"/>
      <c r="Q1189" s="16"/>
      <c r="R1189" s="16"/>
      <c r="V1189">
        <v>228</v>
      </c>
    </row>
    <row r="1190" spans="3:22" ht="15.75" customHeight="1">
      <c r="C1190" s="7"/>
      <c r="D1190" s="7"/>
      <c r="H1190" s="7"/>
      <c r="Q1190" s="16"/>
      <c r="R1190" s="16"/>
      <c r="V1190">
        <v>229</v>
      </c>
    </row>
    <row r="1191" spans="3:22" ht="15.75" customHeight="1">
      <c r="C1191" s="7"/>
      <c r="D1191" s="7"/>
      <c r="H1191" s="7"/>
      <c r="Q1191" s="16"/>
      <c r="R1191" s="16"/>
      <c r="V1191">
        <v>229</v>
      </c>
    </row>
    <row r="1192" spans="3:22" ht="15.75" customHeight="1">
      <c r="C1192" s="7"/>
      <c r="D1192" s="7"/>
      <c r="H1192" s="7"/>
      <c r="Q1192" s="16"/>
      <c r="R1192" s="16"/>
      <c r="V1192">
        <v>229</v>
      </c>
    </row>
    <row r="1193" spans="3:22" ht="15.75" customHeight="1">
      <c r="C1193" s="7"/>
      <c r="D1193" s="7"/>
      <c r="H1193" s="7"/>
      <c r="Q1193" s="16"/>
      <c r="R1193" s="16"/>
      <c r="V1193">
        <v>229</v>
      </c>
    </row>
    <row r="1194" spans="3:22" ht="15.75" customHeight="1">
      <c r="C1194" s="7"/>
      <c r="D1194" s="7"/>
      <c r="H1194" s="7"/>
      <c r="Q1194" s="16"/>
      <c r="R1194" s="16"/>
      <c r="V1194">
        <v>229</v>
      </c>
    </row>
    <row r="1195" spans="3:22" ht="15.75" customHeight="1">
      <c r="C1195" s="7"/>
      <c r="D1195" s="7"/>
      <c r="H1195" s="7"/>
      <c r="Q1195" s="16"/>
      <c r="R1195" s="16"/>
      <c r="V1195">
        <v>229</v>
      </c>
    </row>
    <row r="1196" spans="3:22" ht="15.75" customHeight="1">
      <c r="C1196" s="7"/>
      <c r="D1196" s="7"/>
      <c r="H1196" s="7"/>
      <c r="Q1196" s="16"/>
      <c r="R1196" s="16"/>
      <c r="V1196">
        <v>229</v>
      </c>
    </row>
    <row r="1197" spans="3:22" ht="15.75" customHeight="1">
      <c r="C1197" s="7"/>
      <c r="D1197" s="7"/>
      <c r="H1197" s="7"/>
      <c r="Q1197" s="16"/>
      <c r="R1197" s="16"/>
      <c r="V1197">
        <v>229</v>
      </c>
    </row>
    <row r="1198" spans="3:22" ht="15.75" customHeight="1">
      <c r="C1198" s="7"/>
      <c r="D1198" s="7"/>
      <c r="H1198" s="7"/>
      <c r="Q1198" s="16"/>
      <c r="R1198" s="16"/>
      <c r="V1198">
        <v>229</v>
      </c>
    </row>
    <row r="1199" spans="3:22" ht="15.75" customHeight="1">
      <c r="C1199" s="7"/>
      <c r="D1199" s="7"/>
      <c r="H1199" s="7"/>
      <c r="Q1199" s="16"/>
      <c r="R1199" s="16"/>
      <c r="V1199">
        <v>229</v>
      </c>
    </row>
    <row r="1200" spans="3:22" ht="15.75" customHeight="1">
      <c r="C1200" s="7"/>
      <c r="D1200" s="7"/>
      <c r="H1200" s="7"/>
      <c r="Q1200" s="16"/>
      <c r="R1200" s="16"/>
      <c r="V1200">
        <v>230</v>
      </c>
    </row>
    <row r="1201" spans="3:22" ht="15.75" customHeight="1">
      <c r="C1201" s="7"/>
      <c r="D1201" s="7"/>
      <c r="H1201" s="7"/>
      <c r="Q1201" s="16"/>
      <c r="R1201" s="16"/>
      <c r="V1201">
        <v>231</v>
      </c>
    </row>
    <row r="1202" spans="3:22" ht="15.75" customHeight="1">
      <c r="C1202" s="7"/>
      <c r="D1202" s="7"/>
      <c r="H1202" s="7"/>
      <c r="Q1202" s="16"/>
      <c r="R1202" s="16"/>
      <c r="V1202">
        <v>231</v>
      </c>
    </row>
    <row r="1203" spans="3:22" ht="15.75" customHeight="1">
      <c r="C1203" s="7"/>
      <c r="D1203" s="7"/>
      <c r="H1203" s="7"/>
      <c r="Q1203" s="16"/>
      <c r="R1203" s="16"/>
      <c r="V1203">
        <v>232</v>
      </c>
    </row>
    <row r="1204" spans="3:22" ht="15.75" customHeight="1">
      <c r="C1204" s="7"/>
      <c r="D1204" s="7"/>
      <c r="H1204" s="7"/>
      <c r="Q1204" s="16"/>
      <c r="R1204" s="16"/>
      <c r="V1204">
        <v>233</v>
      </c>
    </row>
    <row r="1205" spans="3:22" ht="15.75" customHeight="1">
      <c r="C1205" s="7"/>
      <c r="D1205" s="7"/>
      <c r="H1205" s="7"/>
      <c r="Q1205" s="16"/>
      <c r="R1205" s="16"/>
      <c r="V1205">
        <v>234</v>
      </c>
    </row>
    <row r="1206" spans="3:22" ht="15.75" customHeight="1">
      <c r="C1206" s="7"/>
      <c r="D1206" s="7"/>
      <c r="H1206" s="7"/>
      <c r="Q1206" s="16"/>
      <c r="R1206" s="16"/>
      <c r="V1206">
        <v>234</v>
      </c>
    </row>
    <row r="1207" spans="3:22" ht="15.75" customHeight="1">
      <c r="C1207" s="7"/>
      <c r="D1207" s="7"/>
      <c r="H1207" s="7"/>
      <c r="Q1207" s="16"/>
      <c r="R1207" s="16"/>
      <c r="V1207">
        <v>235</v>
      </c>
    </row>
    <row r="1208" spans="3:22" ht="15.75" customHeight="1">
      <c r="C1208" s="7"/>
      <c r="D1208" s="7"/>
      <c r="H1208" s="7"/>
      <c r="Q1208" s="16"/>
      <c r="R1208" s="16"/>
      <c r="V1208">
        <v>235</v>
      </c>
    </row>
    <row r="1209" spans="3:22" ht="15.75" customHeight="1">
      <c r="C1209" s="7"/>
      <c r="D1209" s="7"/>
      <c r="H1209" s="7"/>
      <c r="Q1209" s="16"/>
      <c r="R1209" s="16"/>
      <c r="V1209">
        <v>236</v>
      </c>
    </row>
    <row r="1210" spans="3:22" ht="15.75" customHeight="1">
      <c r="C1210" s="7"/>
      <c r="D1210" s="7"/>
      <c r="H1210" s="7"/>
      <c r="Q1210" s="16"/>
      <c r="R1210" s="16"/>
      <c r="V1210">
        <v>236</v>
      </c>
    </row>
    <row r="1211" spans="3:22" ht="15.75" customHeight="1">
      <c r="C1211" s="7"/>
      <c r="D1211" s="7"/>
      <c r="H1211" s="7"/>
      <c r="Q1211" s="16"/>
      <c r="R1211" s="16"/>
      <c r="V1211">
        <v>236</v>
      </c>
    </row>
    <row r="1212" spans="3:22" ht="15.75" customHeight="1">
      <c r="C1212" s="7"/>
      <c r="D1212" s="7"/>
      <c r="H1212" s="7"/>
      <c r="Q1212" s="16"/>
      <c r="R1212" s="16"/>
      <c r="V1212">
        <v>237</v>
      </c>
    </row>
    <row r="1213" spans="3:22" ht="15.75" customHeight="1">
      <c r="C1213" s="7"/>
      <c r="D1213" s="7"/>
      <c r="H1213" s="7"/>
      <c r="Q1213" s="16"/>
      <c r="R1213" s="16"/>
      <c r="V1213">
        <v>238</v>
      </c>
    </row>
    <row r="1214" spans="3:22" ht="15.75" customHeight="1">
      <c r="C1214" s="7"/>
      <c r="D1214" s="7"/>
      <c r="H1214" s="7"/>
      <c r="Q1214" s="16"/>
      <c r="R1214" s="16"/>
      <c r="V1214">
        <v>238</v>
      </c>
    </row>
    <row r="1215" spans="3:22" ht="15.75" customHeight="1">
      <c r="C1215" s="7"/>
      <c r="D1215" s="7"/>
      <c r="H1215" s="7"/>
      <c r="Q1215" s="16"/>
      <c r="R1215" s="16"/>
      <c r="V1215">
        <v>238</v>
      </c>
    </row>
    <row r="1216" spans="3:22" ht="15.75" customHeight="1">
      <c r="C1216" s="7"/>
      <c r="D1216" s="7"/>
      <c r="H1216" s="7"/>
      <c r="Q1216" s="16"/>
      <c r="R1216" s="16"/>
      <c r="V1216">
        <v>238</v>
      </c>
    </row>
    <row r="1217" spans="3:22" ht="15.75" customHeight="1">
      <c r="C1217" s="7"/>
      <c r="D1217" s="7"/>
      <c r="H1217" s="7"/>
      <c r="Q1217" s="16"/>
      <c r="R1217" s="16"/>
      <c r="V1217">
        <v>238</v>
      </c>
    </row>
    <row r="1218" spans="3:22" ht="15.75" customHeight="1">
      <c r="C1218" s="7"/>
      <c r="D1218" s="7"/>
      <c r="H1218" s="7"/>
      <c r="Q1218" s="16"/>
      <c r="R1218" s="16"/>
      <c r="V1218">
        <v>238</v>
      </c>
    </row>
    <row r="1219" spans="3:22" ht="15.75" customHeight="1">
      <c r="C1219" s="7"/>
      <c r="D1219" s="7"/>
      <c r="H1219" s="7"/>
      <c r="Q1219" s="16"/>
      <c r="R1219" s="16"/>
      <c r="V1219">
        <v>238</v>
      </c>
    </row>
    <row r="1220" spans="3:22" ht="15.75" customHeight="1">
      <c r="C1220" s="7"/>
      <c r="D1220" s="7"/>
      <c r="H1220" s="7"/>
      <c r="Q1220" s="16"/>
      <c r="R1220" s="16"/>
      <c r="V1220">
        <v>238</v>
      </c>
    </row>
    <row r="1221" spans="3:22" ht="15.75" customHeight="1">
      <c r="C1221" s="7"/>
      <c r="D1221" s="7"/>
      <c r="H1221" s="7"/>
      <c r="Q1221" s="16"/>
      <c r="R1221" s="16"/>
      <c r="V1221">
        <v>238</v>
      </c>
    </row>
    <row r="1222" spans="3:22" ht="15.75" customHeight="1">
      <c r="C1222" s="7"/>
      <c r="D1222" s="7"/>
      <c r="H1222" s="7"/>
      <c r="Q1222" s="16"/>
      <c r="R1222" s="16"/>
      <c r="V1222">
        <v>238</v>
      </c>
    </row>
    <row r="1223" spans="3:22" ht="15.75" customHeight="1">
      <c r="C1223" s="7"/>
      <c r="D1223" s="7"/>
      <c r="H1223" s="7"/>
      <c r="Q1223" s="16"/>
      <c r="R1223" s="16"/>
      <c r="V1223">
        <v>238</v>
      </c>
    </row>
    <row r="1224" spans="3:22" ht="15.75" customHeight="1">
      <c r="C1224" s="7"/>
      <c r="D1224" s="7"/>
      <c r="H1224" s="7"/>
      <c r="Q1224" s="16"/>
      <c r="R1224" s="16"/>
      <c r="V1224">
        <v>238</v>
      </c>
    </row>
    <row r="1225" spans="3:22" ht="15.75" customHeight="1">
      <c r="C1225" s="7"/>
      <c r="D1225" s="7"/>
      <c r="H1225" s="7"/>
      <c r="Q1225" s="16"/>
      <c r="R1225" s="16"/>
      <c r="V1225">
        <v>238</v>
      </c>
    </row>
    <row r="1226" spans="3:22" ht="15.75" customHeight="1">
      <c r="C1226" s="7"/>
      <c r="D1226" s="7"/>
      <c r="H1226" s="7"/>
      <c r="Q1226" s="16"/>
      <c r="R1226" s="16"/>
      <c r="V1226">
        <v>238</v>
      </c>
    </row>
    <row r="1227" spans="3:22" ht="15.75" customHeight="1">
      <c r="C1227" s="7"/>
      <c r="D1227" s="7"/>
      <c r="H1227" s="7"/>
      <c r="Q1227" s="16"/>
      <c r="R1227" s="16"/>
      <c r="V1227">
        <v>238</v>
      </c>
    </row>
    <row r="1228" spans="3:22" ht="15.75" customHeight="1">
      <c r="C1228" s="7"/>
      <c r="D1228" s="7"/>
      <c r="H1228" s="7"/>
      <c r="Q1228" s="16"/>
      <c r="R1228" s="16"/>
      <c r="V1228">
        <v>238</v>
      </c>
    </row>
    <row r="1229" spans="3:22" ht="15.75" customHeight="1">
      <c r="C1229" s="7"/>
      <c r="D1229" s="7"/>
      <c r="H1229" s="7"/>
      <c r="Q1229" s="16"/>
      <c r="R1229" s="16"/>
      <c r="V1229">
        <v>238</v>
      </c>
    </row>
    <row r="1230" spans="3:22" ht="15.75" customHeight="1">
      <c r="C1230" s="7"/>
      <c r="D1230" s="7"/>
      <c r="H1230" s="7"/>
      <c r="Q1230" s="16"/>
      <c r="R1230" s="16"/>
      <c r="V1230">
        <v>238</v>
      </c>
    </row>
    <row r="1231" spans="3:22" ht="15.75" customHeight="1">
      <c r="C1231" s="7"/>
      <c r="D1231" s="7"/>
      <c r="H1231" s="7"/>
      <c r="Q1231" s="16"/>
      <c r="R1231" s="16"/>
      <c r="V1231">
        <v>238</v>
      </c>
    </row>
    <row r="1232" spans="3:22" ht="15.75" customHeight="1">
      <c r="C1232" s="7"/>
      <c r="D1232" s="7"/>
      <c r="H1232" s="7"/>
      <c r="Q1232" s="16"/>
      <c r="R1232" s="16"/>
      <c r="V1232">
        <v>238</v>
      </c>
    </row>
    <row r="1233" spans="3:22" ht="15.75" customHeight="1">
      <c r="C1233" s="7"/>
      <c r="D1233" s="7"/>
      <c r="H1233" s="7"/>
      <c r="Q1233" s="16"/>
      <c r="R1233" s="16"/>
      <c r="V1233">
        <v>239</v>
      </c>
    </row>
    <row r="1234" spans="3:22" ht="15.75" customHeight="1">
      <c r="C1234" s="7"/>
      <c r="D1234" s="7"/>
      <c r="H1234" s="7"/>
      <c r="Q1234" s="16"/>
      <c r="R1234" s="16"/>
      <c r="V1234">
        <v>239</v>
      </c>
    </row>
    <row r="1235" spans="3:22" ht="15.75" customHeight="1">
      <c r="C1235" s="7"/>
      <c r="D1235" s="7"/>
      <c r="H1235" s="7"/>
      <c r="Q1235" s="16"/>
      <c r="R1235" s="16"/>
      <c r="V1235">
        <v>239</v>
      </c>
    </row>
    <row r="1236" spans="3:22" ht="15.75" customHeight="1">
      <c r="C1236" s="7"/>
      <c r="D1236" s="7"/>
      <c r="H1236" s="7"/>
      <c r="Q1236" s="16"/>
      <c r="R1236" s="16"/>
      <c r="V1236">
        <v>239</v>
      </c>
    </row>
    <row r="1237" spans="3:22" ht="15.75" customHeight="1">
      <c r="C1237" s="7"/>
      <c r="D1237" s="7"/>
      <c r="H1237" s="7"/>
      <c r="Q1237" s="16"/>
      <c r="R1237" s="16"/>
      <c r="V1237">
        <v>239</v>
      </c>
    </row>
    <row r="1238" spans="3:22" ht="15.75" customHeight="1">
      <c r="C1238" s="7"/>
      <c r="D1238" s="7"/>
      <c r="H1238" s="7"/>
      <c r="Q1238" s="16"/>
      <c r="R1238" s="16"/>
      <c r="V1238">
        <v>239</v>
      </c>
    </row>
    <row r="1239" spans="3:22" ht="15.75" customHeight="1">
      <c r="C1239" s="7"/>
      <c r="D1239" s="7"/>
      <c r="H1239" s="7"/>
      <c r="Q1239" s="16"/>
      <c r="R1239" s="16"/>
      <c r="V1239">
        <v>239</v>
      </c>
    </row>
    <row r="1240" spans="3:22" ht="15.75" customHeight="1">
      <c r="C1240" s="7"/>
      <c r="D1240" s="7"/>
      <c r="H1240" s="7"/>
      <c r="Q1240" s="16"/>
      <c r="R1240" s="16"/>
      <c r="V1240">
        <v>239</v>
      </c>
    </row>
    <row r="1241" spans="3:22" ht="15.75" customHeight="1">
      <c r="C1241" s="7"/>
      <c r="D1241" s="7"/>
      <c r="H1241" s="7"/>
      <c r="Q1241" s="16"/>
      <c r="R1241" s="16"/>
      <c r="V1241">
        <v>239</v>
      </c>
    </row>
    <row r="1242" spans="3:22" ht="15.75" customHeight="1">
      <c r="C1242" s="7"/>
      <c r="D1242" s="7"/>
      <c r="H1242" s="7"/>
      <c r="Q1242" s="16"/>
      <c r="R1242" s="16"/>
      <c r="V1242">
        <v>239</v>
      </c>
    </row>
    <row r="1243" spans="3:22" ht="15.75" customHeight="1">
      <c r="C1243" s="7"/>
      <c r="D1243" s="7"/>
      <c r="H1243" s="7"/>
      <c r="Q1243" s="16"/>
      <c r="R1243" s="16"/>
      <c r="V1243">
        <v>239</v>
      </c>
    </row>
    <row r="1244" spans="3:22" ht="15.75" customHeight="1">
      <c r="C1244" s="7"/>
      <c r="D1244" s="7"/>
      <c r="H1244" s="7"/>
      <c r="Q1244" s="16"/>
      <c r="R1244" s="16"/>
      <c r="V1244">
        <v>239</v>
      </c>
    </row>
    <row r="1245" spans="3:22" ht="15.75" customHeight="1">
      <c r="C1245" s="7"/>
      <c r="D1245" s="7"/>
      <c r="H1245" s="7"/>
      <c r="Q1245" s="16"/>
      <c r="R1245" s="16"/>
      <c r="V1245">
        <v>239</v>
      </c>
    </row>
    <row r="1246" spans="3:22" ht="15.75" customHeight="1">
      <c r="C1246" s="7"/>
      <c r="D1246" s="7"/>
      <c r="H1246" s="7"/>
      <c r="Q1246" s="16"/>
      <c r="R1246" s="16"/>
      <c r="V1246">
        <v>239</v>
      </c>
    </row>
    <row r="1247" spans="3:22" ht="15.75" customHeight="1">
      <c r="C1247" s="7"/>
      <c r="D1247" s="7"/>
      <c r="H1247" s="7"/>
      <c r="Q1247" s="16"/>
      <c r="R1247" s="16"/>
      <c r="V1247">
        <v>239</v>
      </c>
    </row>
    <row r="1248" spans="3:22" ht="15.75" customHeight="1">
      <c r="C1248" s="7"/>
      <c r="D1248" s="7"/>
      <c r="H1248" s="7"/>
      <c r="Q1248" s="16"/>
      <c r="R1248" s="16"/>
      <c r="V1248">
        <v>239</v>
      </c>
    </row>
    <row r="1249" spans="3:22" ht="15.75" customHeight="1">
      <c r="C1249" s="7"/>
      <c r="D1249" s="7"/>
      <c r="H1249" s="7"/>
      <c r="Q1249" s="16"/>
      <c r="R1249" s="16"/>
      <c r="V1249">
        <v>239</v>
      </c>
    </row>
    <row r="1250" spans="3:22" ht="15.75" customHeight="1">
      <c r="C1250" s="7"/>
      <c r="D1250" s="7"/>
      <c r="H1250" s="7"/>
      <c r="Q1250" s="16"/>
      <c r="R1250" s="16"/>
      <c r="V1250">
        <v>239</v>
      </c>
    </row>
    <row r="1251" spans="3:22" ht="15.75" customHeight="1">
      <c r="C1251" s="7"/>
      <c r="D1251" s="7"/>
      <c r="H1251" s="7"/>
      <c r="Q1251" s="16"/>
      <c r="R1251" s="16"/>
      <c r="V1251">
        <v>239</v>
      </c>
    </row>
    <row r="1252" spans="3:22" ht="15.75" customHeight="1">
      <c r="C1252" s="7"/>
      <c r="D1252" s="7"/>
      <c r="H1252" s="7"/>
      <c r="Q1252" s="16"/>
      <c r="R1252" s="16"/>
      <c r="V1252">
        <v>239</v>
      </c>
    </row>
    <row r="1253" spans="3:22" ht="15.75" customHeight="1">
      <c r="C1253" s="7"/>
      <c r="D1253" s="7"/>
      <c r="H1253" s="7"/>
      <c r="Q1253" s="16"/>
      <c r="R1253" s="16"/>
      <c r="V1253">
        <v>239</v>
      </c>
    </row>
    <row r="1254" spans="3:22" ht="15.75" customHeight="1">
      <c r="C1254" s="7"/>
      <c r="D1254" s="7"/>
      <c r="H1254" s="7"/>
      <c r="Q1254" s="16"/>
      <c r="R1254" s="16"/>
      <c r="V1254">
        <v>239</v>
      </c>
    </row>
    <row r="1255" spans="3:22" ht="15.75" customHeight="1">
      <c r="C1255" s="7"/>
      <c r="D1255" s="7"/>
      <c r="H1255" s="7"/>
      <c r="Q1255" s="16"/>
      <c r="R1255" s="16"/>
      <c r="V1255">
        <v>239</v>
      </c>
    </row>
    <row r="1256" spans="3:22" ht="15.75" customHeight="1">
      <c r="C1256" s="7"/>
      <c r="D1256" s="7"/>
      <c r="H1256" s="7"/>
      <c r="Q1256" s="16"/>
      <c r="R1256" s="16"/>
      <c r="V1256">
        <v>239</v>
      </c>
    </row>
    <row r="1257" spans="3:22" ht="15.75" customHeight="1">
      <c r="C1257" s="7"/>
      <c r="D1257" s="7"/>
      <c r="H1257" s="7"/>
      <c r="Q1257" s="16"/>
      <c r="R1257" s="16"/>
      <c r="V1257">
        <v>239</v>
      </c>
    </row>
    <row r="1258" spans="3:22" ht="15.75" customHeight="1">
      <c r="C1258" s="7"/>
      <c r="D1258" s="7"/>
      <c r="H1258" s="7"/>
      <c r="Q1258" s="16"/>
      <c r="R1258" s="16"/>
      <c r="V1258">
        <v>239</v>
      </c>
    </row>
    <row r="1259" spans="3:22" ht="15.75" customHeight="1">
      <c r="C1259" s="7"/>
      <c r="D1259" s="7"/>
      <c r="H1259" s="7"/>
      <c r="Q1259" s="16"/>
      <c r="R1259" s="16"/>
      <c r="V1259">
        <v>239</v>
      </c>
    </row>
    <row r="1260" spans="3:22" ht="15.75" customHeight="1">
      <c r="C1260" s="7"/>
      <c r="D1260" s="7"/>
      <c r="H1260" s="7"/>
      <c r="Q1260" s="16"/>
      <c r="R1260" s="16"/>
      <c r="V1260">
        <v>239</v>
      </c>
    </row>
    <row r="1261" spans="3:22" ht="15.75" customHeight="1">
      <c r="C1261" s="7"/>
      <c r="D1261" s="7"/>
      <c r="H1261" s="7"/>
      <c r="Q1261" s="16"/>
      <c r="R1261" s="16"/>
      <c r="V1261">
        <v>239</v>
      </c>
    </row>
    <row r="1262" spans="3:22" ht="15.75" customHeight="1">
      <c r="C1262" s="7"/>
      <c r="D1262" s="7"/>
      <c r="H1262" s="7"/>
      <c r="Q1262" s="16"/>
      <c r="R1262" s="16"/>
      <c r="V1262">
        <v>239</v>
      </c>
    </row>
    <row r="1263" spans="3:22" ht="15.75" customHeight="1">
      <c r="C1263" s="7"/>
      <c r="D1263" s="7"/>
      <c r="H1263" s="7"/>
      <c r="Q1263" s="16"/>
      <c r="R1263" s="16"/>
      <c r="V1263">
        <v>239</v>
      </c>
    </row>
    <row r="1264" spans="3:22" ht="15.75" customHeight="1">
      <c r="C1264" s="7"/>
      <c r="D1264" s="7"/>
      <c r="H1264" s="7"/>
      <c r="Q1264" s="16"/>
      <c r="R1264" s="16"/>
      <c r="V1264">
        <v>239</v>
      </c>
    </row>
    <row r="1265" spans="3:22" ht="15.75" customHeight="1">
      <c r="C1265" s="7"/>
      <c r="D1265" s="7"/>
      <c r="H1265" s="7"/>
      <c r="Q1265" s="16"/>
      <c r="R1265" s="16"/>
      <c r="V1265">
        <v>239</v>
      </c>
    </row>
    <row r="1266" spans="3:22" ht="15.75" customHeight="1">
      <c r="C1266" s="7"/>
      <c r="D1266" s="7"/>
      <c r="H1266" s="7"/>
      <c r="Q1266" s="16"/>
      <c r="R1266" s="16"/>
      <c r="V1266">
        <v>239</v>
      </c>
    </row>
    <row r="1267" spans="3:22" ht="15.75" customHeight="1">
      <c r="C1267" s="7"/>
      <c r="D1267" s="7"/>
      <c r="H1267" s="7"/>
      <c r="Q1267" s="16"/>
      <c r="R1267" s="16"/>
      <c r="V1267">
        <v>239</v>
      </c>
    </row>
    <row r="1268" spans="3:22" ht="15.75" customHeight="1">
      <c r="C1268" s="7"/>
      <c r="D1268" s="7"/>
      <c r="H1268" s="7"/>
      <c r="Q1268" s="16"/>
      <c r="R1268" s="16"/>
      <c r="V1268">
        <v>239</v>
      </c>
    </row>
    <row r="1269" spans="3:22" ht="15.75" customHeight="1">
      <c r="C1269" s="7"/>
      <c r="D1269" s="7"/>
      <c r="H1269" s="7"/>
      <c r="Q1269" s="16"/>
      <c r="R1269" s="16"/>
      <c r="V1269">
        <v>239</v>
      </c>
    </row>
    <row r="1270" spans="3:22" ht="15.75" customHeight="1">
      <c r="C1270" s="7"/>
      <c r="D1270" s="7"/>
      <c r="H1270" s="7"/>
      <c r="Q1270" s="16"/>
      <c r="R1270" s="16"/>
      <c r="V1270">
        <v>239</v>
      </c>
    </row>
    <row r="1271" spans="3:22" ht="15.75" customHeight="1">
      <c r="C1271" s="7"/>
      <c r="D1271" s="7"/>
      <c r="H1271" s="7"/>
      <c r="Q1271" s="16"/>
      <c r="R1271" s="16"/>
      <c r="V1271">
        <v>239</v>
      </c>
    </row>
    <row r="1272" spans="3:22" ht="15.75" customHeight="1">
      <c r="C1272" s="7"/>
      <c r="D1272" s="7"/>
      <c r="H1272" s="7"/>
      <c r="Q1272" s="16"/>
      <c r="R1272" s="16"/>
      <c r="V1272">
        <v>239</v>
      </c>
    </row>
    <row r="1273" spans="3:22" ht="15.75" customHeight="1">
      <c r="C1273" s="7"/>
      <c r="D1273" s="7"/>
      <c r="H1273" s="7"/>
      <c r="Q1273" s="16"/>
      <c r="R1273" s="16"/>
      <c r="V1273">
        <v>239</v>
      </c>
    </row>
    <row r="1274" spans="3:22" ht="15.75" customHeight="1">
      <c r="C1274" s="7"/>
      <c r="D1274" s="7"/>
      <c r="H1274" s="7"/>
      <c r="Q1274" s="16"/>
      <c r="R1274" s="16"/>
      <c r="V1274">
        <v>239</v>
      </c>
    </row>
    <row r="1275" spans="3:22" ht="15.75" customHeight="1">
      <c r="C1275" s="7"/>
      <c r="D1275" s="7"/>
      <c r="H1275" s="7"/>
      <c r="Q1275" s="16"/>
      <c r="R1275" s="16"/>
      <c r="V1275">
        <v>239</v>
      </c>
    </row>
    <row r="1276" spans="3:22" ht="15.75" customHeight="1">
      <c r="C1276" s="7"/>
      <c r="D1276" s="7"/>
      <c r="H1276" s="7"/>
      <c r="Q1276" s="16"/>
      <c r="R1276" s="16"/>
      <c r="V1276">
        <v>239</v>
      </c>
    </row>
    <row r="1277" spans="3:22" ht="15.75" customHeight="1">
      <c r="C1277" s="7"/>
      <c r="D1277" s="7"/>
      <c r="H1277" s="7"/>
      <c r="Q1277" s="16"/>
      <c r="R1277" s="16"/>
      <c r="V1277">
        <v>239</v>
      </c>
    </row>
    <row r="1278" spans="3:22" ht="15.75" customHeight="1">
      <c r="C1278" s="7"/>
      <c r="D1278" s="7"/>
      <c r="H1278" s="7"/>
      <c r="Q1278" s="16"/>
      <c r="R1278" s="16"/>
      <c r="V1278">
        <v>239</v>
      </c>
    </row>
    <row r="1279" spans="3:22" ht="15.75" customHeight="1">
      <c r="C1279" s="7"/>
      <c r="D1279" s="7"/>
      <c r="H1279" s="7"/>
      <c r="Q1279" s="16"/>
      <c r="R1279" s="16"/>
      <c r="V1279">
        <v>239</v>
      </c>
    </row>
    <row r="1280" spans="3:22" ht="15.75" customHeight="1">
      <c r="C1280" s="7"/>
      <c r="D1280" s="7"/>
      <c r="H1280" s="7"/>
      <c r="Q1280" s="16"/>
      <c r="R1280" s="16"/>
      <c r="V1280">
        <v>239</v>
      </c>
    </row>
    <row r="1281" spans="3:22" ht="15.75" customHeight="1">
      <c r="C1281" s="7"/>
      <c r="D1281" s="7"/>
      <c r="H1281" s="7"/>
      <c r="Q1281" s="16"/>
      <c r="R1281" s="16"/>
      <c r="V1281">
        <v>239</v>
      </c>
    </row>
    <row r="1282" spans="3:22" ht="15.75" customHeight="1">
      <c r="C1282" s="7"/>
      <c r="D1282" s="7"/>
      <c r="H1282" s="7"/>
      <c r="Q1282" s="16"/>
      <c r="R1282" s="16"/>
      <c r="V1282">
        <v>239</v>
      </c>
    </row>
    <row r="1283" spans="3:22" ht="15.75" customHeight="1">
      <c r="C1283" s="7"/>
      <c r="D1283" s="7"/>
      <c r="H1283" s="7"/>
      <c r="Q1283" s="16"/>
      <c r="R1283" s="16"/>
      <c r="V1283">
        <v>239</v>
      </c>
    </row>
    <row r="1284" spans="3:22" ht="15.75" customHeight="1">
      <c r="C1284" s="7"/>
      <c r="D1284" s="7"/>
      <c r="H1284" s="7"/>
      <c r="Q1284" s="16"/>
      <c r="R1284" s="16"/>
      <c r="V1284">
        <v>239</v>
      </c>
    </row>
    <row r="1285" spans="3:22" ht="15.75" customHeight="1">
      <c r="C1285" s="7"/>
      <c r="D1285" s="7"/>
      <c r="H1285" s="7"/>
      <c r="Q1285" s="16"/>
      <c r="R1285" s="16"/>
      <c r="V1285">
        <v>239</v>
      </c>
    </row>
    <row r="1286" spans="3:22" ht="15.75" customHeight="1">
      <c r="C1286" s="7"/>
      <c r="D1286" s="7"/>
      <c r="H1286" s="7"/>
      <c r="Q1286" s="16"/>
      <c r="R1286" s="16"/>
      <c r="V1286">
        <v>239</v>
      </c>
    </row>
    <row r="1287" spans="3:22" ht="15.75" customHeight="1">
      <c r="C1287" s="7"/>
      <c r="D1287" s="7"/>
      <c r="H1287" s="7"/>
      <c r="Q1287" s="16"/>
      <c r="R1287" s="16"/>
      <c r="V1287">
        <v>239</v>
      </c>
    </row>
    <row r="1288" spans="3:22" ht="15.75" customHeight="1">
      <c r="C1288" s="7"/>
      <c r="D1288" s="7"/>
      <c r="H1288" s="7"/>
      <c r="Q1288" s="16"/>
      <c r="R1288" s="16"/>
      <c r="V1288">
        <v>239</v>
      </c>
    </row>
    <row r="1289" spans="3:22" ht="15.75" customHeight="1">
      <c r="C1289" s="7"/>
      <c r="D1289" s="7"/>
      <c r="H1289" s="7"/>
      <c r="Q1289" s="16"/>
      <c r="R1289" s="16"/>
      <c r="V1289">
        <v>239</v>
      </c>
    </row>
    <row r="1290" spans="3:22" ht="15.75" customHeight="1">
      <c r="C1290" s="7"/>
      <c r="D1290" s="7"/>
      <c r="H1290" s="7"/>
      <c r="Q1290" s="16"/>
      <c r="R1290" s="16"/>
      <c r="V1290">
        <v>239</v>
      </c>
    </row>
    <row r="1291" spans="3:22" ht="15.75" customHeight="1">
      <c r="C1291" s="7"/>
      <c r="D1291" s="7"/>
      <c r="H1291" s="7"/>
      <c r="Q1291" s="16"/>
      <c r="R1291" s="16"/>
      <c r="V1291">
        <v>239</v>
      </c>
    </row>
    <row r="1292" spans="3:22" ht="15.75" customHeight="1">
      <c r="C1292" s="7"/>
      <c r="D1292" s="7"/>
      <c r="H1292" s="7"/>
      <c r="Q1292" s="16"/>
      <c r="R1292" s="16"/>
      <c r="V1292">
        <v>239</v>
      </c>
    </row>
    <row r="1293" spans="3:22" ht="15.75" customHeight="1">
      <c r="C1293" s="7"/>
      <c r="D1293" s="7"/>
      <c r="H1293" s="7"/>
      <c r="Q1293" s="16"/>
      <c r="R1293" s="16"/>
      <c r="V1293">
        <v>239</v>
      </c>
    </row>
    <row r="1294" spans="3:22" ht="15.75" customHeight="1">
      <c r="C1294" s="7"/>
      <c r="D1294" s="7"/>
      <c r="H1294" s="7"/>
      <c r="Q1294" s="16"/>
      <c r="R1294" s="16"/>
      <c r="V1294">
        <v>239</v>
      </c>
    </row>
    <row r="1295" spans="3:22" ht="15.75" customHeight="1">
      <c r="C1295" s="7"/>
      <c r="D1295" s="7"/>
      <c r="H1295" s="7"/>
      <c r="Q1295" s="16"/>
      <c r="R1295" s="16"/>
      <c r="V1295">
        <v>240</v>
      </c>
    </row>
    <row r="1296" spans="3:22" ht="15.75" customHeight="1">
      <c r="C1296" s="7"/>
      <c r="D1296" s="7"/>
      <c r="H1296" s="7"/>
      <c r="Q1296" s="16"/>
      <c r="R1296" s="16"/>
      <c r="V1296">
        <v>241</v>
      </c>
    </row>
    <row r="1297" spans="3:22" ht="15.75" customHeight="1">
      <c r="C1297" s="7"/>
      <c r="D1297" s="7"/>
      <c r="H1297" s="7"/>
      <c r="Q1297" s="16"/>
      <c r="R1297" s="16"/>
      <c r="V1297">
        <v>241</v>
      </c>
    </row>
    <row r="1298" spans="3:22" ht="15.75" customHeight="1">
      <c r="C1298" s="7"/>
      <c r="D1298" s="7"/>
      <c r="H1298" s="7"/>
      <c r="Q1298" s="16"/>
      <c r="R1298" s="16"/>
      <c r="V1298">
        <v>241</v>
      </c>
    </row>
    <row r="1299" spans="3:22" ht="15.75" customHeight="1">
      <c r="C1299" s="7"/>
      <c r="D1299" s="7"/>
      <c r="H1299" s="7"/>
      <c r="Q1299" s="16"/>
      <c r="R1299" s="16"/>
      <c r="V1299">
        <v>241</v>
      </c>
    </row>
    <row r="1300" spans="3:22" ht="15.75" customHeight="1">
      <c r="C1300" s="7"/>
      <c r="D1300" s="7"/>
      <c r="H1300" s="7"/>
      <c r="Q1300" s="16"/>
      <c r="R1300" s="16"/>
      <c r="V1300">
        <v>241</v>
      </c>
    </row>
    <row r="1301" spans="3:22" ht="15.75" customHeight="1">
      <c r="C1301" s="7"/>
      <c r="D1301" s="7"/>
      <c r="H1301" s="7"/>
      <c r="Q1301" s="16"/>
      <c r="R1301" s="16"/>
      <c r="V1301">
        <v>241</v>
      </c>
    </row>
    <row r="1302" spans="3:22" ht="15.75" customHeight="1">
      <c r="C1302" s="7"/>
      <c r="D1302" s="7"/>
      <c r="H1302" s="7"/>
      <c r="Q1302" s="16"/>
      <c r="R1302" s="16"/>
      <c r="V1302">
        <v>241</v>
      </c>
    </row>
    <row r="1303" spans="3:22" ht="15.75" customHeight="1">
      <c r="C1303" s="7"/>
      <c r="D1303" s="7"/>
      <c r="H1303" s="7"/>
      <c r="Q1303" s="16"/>
      <c r="R1303" s="16"/>
      <c r="V1303">
        <v>241</v>
      </c>
    </row>
    <row r="1304" spans="3:22" ht="15.75" customHeight="1">
      <c r="C1304" s="7"/>
      <c r="D1304" s="7"/>
      <c r="H1304" s="7"/>
      <c r="Q1304" s="16"/>
      <c r="R1304" s="16"/>
      <c r="V1304">
        <v>241</v>
      </c>
    </row>
    <row r="1305" spans="3:22" ht="15.75" customHeight="1">
      <c r="C1305" s="7"/>
      <c r="D1305" s="7"/>
      <c r="H1305" s="7"/>
      <c r="Q1305" s="16"/>
      <c r="R1305" s="16"/>
      <c r="V1305">
        <v>242</v>
      </c>
    </row>
    <row r="1306" spans="3:22" ht="15.75" customHeight="1">
      <c r="C1306" s="7"/>
      <c r="D1306" s="7"/>
      <c r="H1306" s="7"/>
      <c r="Q1306" s="16"/>
      <c r="R1306" s="16"/>
      <c r="V1306">
        <v>243</v>
      </c>
    </row>
    <row r="1307" spans="3:22" ht="15.75" customHeight="1">
      <c r="C1307" s="7"/>
      <c r="D1307" s="7"/>
      <c r="H1307" s="7"/>
      <c r="Q1307" s="16"/>
      <c r="R1307" s="16"/>
      <c r="V1307">
        <v>243</v>
      </c>
    </row>
    <row r="1308" spans="3:22" ht="15.75" customHeight="1">
      <c r="C1308" s="7"/>
      <c r="D1308" s="7"/>
      <c r="H1308" s="7"/>
      <c r="Q1308" s="16"/>
      <c r="R1308" s="16"/>
      <c r="V1308">
        <v>243</v>
      </c>
    </row>
    <row r="1309" spans="3:22" ht="15.75" customHeight="1">
      <c r="C1309" s="7"/>
      <c r="D1309" s="7"/>
      <c r="H1309" s="7"/>
      <c r="Q1309" s="16"/>
      <c r="R1309" s="16"/>
      <c r="V1309">
        <v>244</v>
      </c>
    </row>
    <row r="1310" spans="3:22" ht="15.75" customHeight="1">
      <c r="C1310" s="7"/>
      <c r="D1310" s="7"/>
      <c r="H1310" s="7"/>
      <c r="Q1310" s="16"/>
      <c r="R1310" s="16"/>
      <c r="V1310">
        <v>244</v>
      </c>
    </row>
    <row r="1311" spans="3:22" ht="15.75" customHeight="1">
      <c r="C1311" s="7"/>
      <c r="D1311" s="7"/>
      <c r="H1311" s="7"/>
      <c r="Q1311" s="16"/>
      <c r="R1311" s="16"/>
      <c r="V1311">
        <v>244</v>
      </c>
    </row>
    <row r="1312" spans="3:22" ht="15.75" customHeight="1">
      <c r="C1312" s="7"/>
      <c r="D1312" s="7"/>
      <c r="H1312" s="7"/>
      <c r="Q1312" s="16"/>
      <c r="R1312" s="16"/>
      <c r="V1312">
        <v>244</v>
      </c>
    </row>
    <row r="1313" spans="3:22" ht="15.75" customHeight="1">
      <c r="C1313" s="7"/>
      <c r="D1313" s="7"/>
      <c r="H1313" s="7"/>
      <c r="Q1313" s="16"/>
      <c r="R1313" s="16"/>
      <c r="V1313">
        <v>244</v>
      </c>
    </row>
    <row r="1314" spans="3:22" ht="15.75" customHeight="1">
      <c r="C1314" s="7"/>
      <c r="D1314" s="7"/>
      <c r="H1314" s="7"/>
      <c r="Q1314" s="16"/>
      <c r="R1314" s="16"/>
      <c r="V1314">
        <v>245</v>
      </c>
    </row>
    <row r="1315" spans="3:22" ht="15.75" customHeight="1">
      <c r="C1315" s="7"/>
      <c r="D1315" s="7"/>
      <c r="H1315" s="7"/>
      <c r="Q1315" s="16"/>
      <c r="R1315" s="16"/>
      <c r="V1315">
        <v>245</v>
      </c>
    </row>
    <row r="1316" spans="3:22" ht="15.75" customHeight="1">
      <c r="C1316" s="7"/>
      <c r="D1316" s="7"/>
      <c r="H1316" s="7"/>
      <c r="Q1316" s="16"/>
      <c r="R1316" s="16"/>
      <c r="V1316">
        <v>245</v>
      </c>
    </row>
    <row r="1317" spans="3:22" ht="15.75" customHeight="1">
      <c r="C1317" s="7"/>
      <c r="D1317" s="7"/>
      <c r="H1317" s="7"/>
      <c r="Q1317" s="16"/>
      <c r="R1317" s="16"/>
      <c r="V1317">
        <v>245</v>
      </c>
    </row>
    <row r="1318" spans="3:22" ht="15.75" customHeight="1">
      <c r="C1318" s="7"/>
      <c r="D1318" s="7"/>
      <c r="H1318" s="7"/>
      <c r="Q1318" s="16"/>
      <c r="R1318" s="16"/>
      <c r="V1318">
        <v>245</v>
      </c>
    </row>
    <row r="1319" spans="3:22" ht="15.75" customHeight="1">
      <c r="C1319" s="7"/>
      <c r="D1319" s="7"/>
      <c r="H1319" s="7"/>
      <c r="Q1319" s="16"/>
      <c r="R1319" s="16"/>
      <c r="V1319">
        <v>245</v>
      </c>
    </row>
    <row r="1320" spans="3:22" ht="15.75" customHeight="1">
      <c r="C1320" s="7"/>
      <c r="D1320" s="7"/>
      <c r="H1320" s="7"/>
      <c r="Q1320" s="16"/>
      <c r="R1320" s="16"/>
      <c r="V1320">
        <v>245</v>
      </c>
    </row>
    <row r="1321" spans="3:22" ht="15.75" customHeight="1">
      <c r="C1321" s="7"/>
      <c r="D1321" s="7"/>
      <c r="H1321" s="7"/>
      <c r="Q1321" s="16"/>
      <c r="R1321" s="16"/>
      <c r="V1321">
        <v>245</v>
      </c>
    </row>
    <row r="1322" spans="3:22" ht="15.75" customHeight="1">
      <c r="C1322" s="7"/>
      <c r="D1322" s="7"/>
      <c r="H1322" s="7"/>
      <c r="Q1322" s="16"/>
      <c r="R1322" s="16"/>
      <c r="V1322">
        <v>246</v>
      </c>
    </row>
    <row r="1323" spans="3:22" ht="15.75" customHeight="1">
      <c r="C1323" s="7"/>
      <c r="D1323" s="7"/>
      <c r="H1323" s="7"/>
      <c r="Q1323" s="16"/>
      <c r="R1323" s="16"/>
      <c r="V1323">
        <v>247</v>
      </c>
    </row>
    <row r="1324" spans="3:22" ht="15.75" customHeight="1">
      <c r="C1324" s="7"/>
      <c r="D1324" s="7"/>
      <c r="H1324" s="7"/>
      <c r="Q1324" s="16"/>
      <c r="R1324" s="16"/>
      <c r="V1324">
        <v>248</v>
      </c>
    </row>
    <row r="1325" spans="3:22" ht="15.75" customHeight="1">
      <c r="C1325" s="7"/>
      <c r="D1325" s="7"/>
      <c r="H1325" s="7"/>
      <c r="Q1325" s="16"/>
      <c r="R1325" s="16"/>
      <c r="V1325">
        <v>249</v>
      </c>
    </row>
    <row r="1326" spans="3:22" ht="15.75" customHeight="1">
      <c r="C1326" s="7"/>
      <c r="D1326" s="7"/>
      <c r="H1326" s="7"/>
      <c r="Q1326" s="16"/>
      <c r="R1326" s="16"/>
      <c r="V1326">
        <v>250</v>
      </c>
    </row>
    <row r="1327" spans="3:22" ht="15.75" customHeight="1">
      <c r="C1327" s="7"/>
      <c r="D1327" s="7"/>
      <c r="H1327" s="7"/>
      <c r="Q1327" s="16"/>
      <c r="R1327" s="16"/>
      <c r="V1327">
        <v>250</v>
      </c>
    </row>
    <row r="1328" spans="3:22" ht="15.75" customHeight="1">
      <c r="C1328" s="7"/>
      <c r="D1328" s="7"/>
      <c r="H1328" s="7"/>
      <c r="Q1328" s="16"/>
      <c r="R1328" s="16"/>
      <c r="V1328">
        <v>250</v>
      </c>
    </row>
    <row r="1329" spans="3:22" ht="15.75" customHeight="1">
      <c r="C1329" s="7"/>
      <c r="D1329" s="7"/>
      <c r="H1329" s="7"/>
      <c r="Q1329" s="16"/>
      <c r="R1329" s="16"/>
      <c r="V1329">
        <v>250</v>
      </c>
    </row>
    <row r="1330" spans="3:22" ht="15.75" customHeight="1">
      <c r="C1330" s="7"/>
      <c r="D1330" s="7"/>
      <c r="H1330" s="7"/>
      <c r="Q1330" s="16"/>
      <c r="R1330" s="16"/>
      <c r="V1330">
        <v>250</v>
      </c>
    </row>
    <row r="1331" spans="3:22" ht="15.75" customHeight="1">
      <c r="C1331" s="7"/>
      <c r="D1331" s="7"/>
      <c r="H1331" s="7"/>
      <c r="Q1331" s="16"/>
      <c r="R1331" s="16"/>
      <c r="V1331">
        <v>250</v>
      </c>
    </row>
    <row r="1332" spans="3:22" ht="15.75" customHeight="1">
      <c r="C1332" s="7"/>
      <c r="D1332" s="7"/>
      <c r="H1332" s="7"/>
      <c r="Q1332" s="16"/>
      <c r="R1332" s="16"/>
      <c r="V1332">
        <v>250</v>
      </c>
    </row>
    <row r="1333" spans="3:22" ht="15.75" customHeight="1">
      <c r="C1333" s="7"/>
      <c r="D1333" s="7"/>
      <c r="H1333" s="7"/>
      <c r="Q1333" s="16"/>
      <c r="R1333" s="16"/>
      <c r="V1333">
        <v>250</v>
      </c>
    </row>
    <row r="1334" spans="3:22" ht="15.75" customHeight="1">
      <c r="C1334" s="7"/>
      <c r="D1334" s="7"/>
      <c r="H1334" s="7"/>
      <c r="Q1334" s="16"/>
      <c r="R1334" s="16"/>
      <c r="V1334">
        <v>250</v>
      </c>
    </row>
    <row r="1335" spans="3:22" ht="15.75" customHeight="1">
      <c r="C1335" s="7"/>
      <c r="D1335" s="7"/>
      <c r="H1335" s="7"/>
      <c r="Q1335" s="16"/>
      <c r="R1335" s="16"/>
      <c r="V1335">
        <v>250</v>
      </c>
    </row>
    <row r="1336" spans="3:22" ht="15.75" customHeight="1">
      <c r="C1336" s="7"/>
      <c r="D1336" s="7"/>
      <c r="H1336" s="7"/>
      <c r="Q1336" s="16"/>
      <c r="R1336" s="16"/>
      <c r="V1336">
        <v>250</v>
      </c>
    </row>
    <row r="1337" spans="3:22" ht="15.75" customHeight="1">
      <c r="C1337" s="7"/>
      <c r="D1337" s="7"/>
      <c r="H1337" s="7"/>
      <c r="Q1337" s="16"/>
      <c r="R1337" s="16"/>
      <c r="V1337">
        <v>250</v>
      </c>
    </row>
    <row r="1338" spans="3:22" ht="15.75" customHeight="1">
      <c r="C1338" s="7"/>
      <c r="D1338" s="7"/>
      <c r="H1338" s="7"/>
      <c r="Q1338" s="16"/>
      <c r="R1338" s="16"/>
      <c r="V1338">
        <v>250</v>
      </c>
    </row>
    <row r="1339" spans="3:22" ht="15.75" customHeight="1">
      <c r="C1339" s="7"/>
      <c r="D1339" s="7"/>
      <c r="H1339" s="7"/>
      <c r="Q1339" s="16"/>
      <c r="R1339" s="16"/>
      <c r="V1339">
        <v>250</v>
      </c>
    </row>
    <row r="1340" spans="3:22" ht="15.75" customHeight="1">
      <c r="C1340" s="7"/>
      <c r="D1340" s="7"/>
      <c r="H1340" s="7"/>
      <c r="Q1340" s="16"/>
      <c r="R1340" s="16"/>
      <c r="V1340">
        <v>250</v>
      </c>
    </row>
    <row r="1341" spans="3:22" ht="15.75" customHeight="1">
      <c r="C1341" s="7"/>
      <c r="D1341" s="7"/>
      <c r="H1341" s="7"/>
      <c r="Q1341" s="16"/>
      <c r="R1341" s="16"/>
      <c r="V1341">
        <v>250</v>
      </c>
    </row>
    <row r="1342" spans="3:22" ht="15.75" customHeight="1">
      <c r="C1342" s="7"/>
      <c r="D1342" s="7"/>
      <c r="H1342" s="7"/>
      <c r="Q1342" s="16"/>
      <c r="R1342" s="16"/>
      <c r="V1342">
        <v>251</v>
      </c>
    </row>
    <row r="1343" spans="3:22" ht="15.75" customHeight="1">
      <c r="C1343" s="7"/>
      <c r="D1343" s="7"/>
      <c r="H1343" s="7"/>
      <c r="Q1343" s="16"/>
      <c r="R1343" s="16"/>
      <c r="V1343">
        <v>251</v>
      </c>
    </row>
    <row r="1344" spans="3:22" ht="15.75" customHeight="1">
      <c r="C1344" s="7"/>
      <c r="D1344" s="7"/>
      <c r="H1344" s="7"/>
      <c r="Q1344" s="16"/>
      <c r="R1344" s="16"/>
      <c r="V1344">
        <v>251</v>
      </c>
    </row>
    <row r="1345" spans="3:22" ht="15.75" customHeight="1">
      <c r="C1345" s="7"/>
      <c r="D1345" s="7"/>
      <c r="H1345" s="7"/>
      <c r="Q1345" s="16"/>
      <c r="R1345" s="16"/>
      <c r="V1345">
        <v>251</v>
      </c>
    </row>
    <row r="1346" spans="3:22" ht="15.75" customHeight="1">
      <c r="C1346" s="7"/>
      <c r="D1346" s="7"/>
      <c r="H1346" s="7"/>
      <c r="Q1346" s="16"/>
      <c r="R1346" s="16"/>
      <c r="V1346">
        <v>251</v>
      </c>
    </row>
    <row r="1347" spans="3:22" ht="15.75" customHeight="1">
      <c r="C1347" s="7"/>
      <c r="D1347" s="7"/>
      <c r="H1347" s="7"/>
      <c r="Q1347" s="16"/>
      <c r="R1347" s="16"/>
      <c r="V1347">
        <v>252</v>
      </c>
    </row>
    <row r="1348" spans="3:22" ht="15.75" customHeight="1">
      <c r="C1348" s="7"/>
      <c r="D1348" s="7"/>
      <c r="H1348" s="7"/>
      <c r="Q1348" s="16"/>
      <c r="R1348" s="16"/>
      <c r="V1348">
        <v>252</v>
      </c>
    </row>
    <row r="1349" spans="3:22" ht="15.75" customHeight="1">
      <c r="C1349" s="7"/>
      <c r="D1349" s="7"/>
      <c r="H1349" s="7"/>
      <c r="Q1349" s="16"/>
      <c r="R1349" s="16"/>
      <c r="V1349">
        <v>252</v>
      </c>
    </row>
    <row r="1350" spans="3:22" ht="15.75" customHeight="1">
      <c r="C1350" s="7"/>
      <c r="D1350" s="7"/>
      <c r="H1350" s="7"/>
      <c r="Q1350" s="16"/>
      <c r="R1350" s="16"/>
      <c r="V1350">
        <v>252</v>
      </c>
    </row>
    <row r="1351" spans="3:22" ht="15.75" customHeight="1">
      <c r="C1351" s="7"/>
      <c r="D1351" s="7"/>
      <c r="H1351" s="7"/>
      <c r="Q1351" s="16"/>
      <c r="R1351" s="16"/>
      <c r="V1351">
        <v>252</v>
      </c>
    </row>
    <row r="1352" spans="3:22" ht="15.75" customHeight="1">
      <c r="C1352" s="7"/>
      <c r="D1352" s="7"/>
      <c r="H1352" s="7"/>
      <c r="Q1352" s="16"/>
      <c r="R1352" s="16"/>
      <c r="V1352">
        <v>252</v>
      </c>
    </row>
    <row r="1353" spans="3:22" ht="15.75" customHeight="1">
      <c r="C1353" s="7"/>
      <c r="D1353" s="7"/>
      <c r="H1353" s="7"/>
      <c r="Q1353" s="16"/>
      <c r="R1353" s="16"/>
      <c r="V1353">
        <v>252</v>
      </c>
    </row>
    <row r="1354" spans="3:22" ht="15.75" customHeight="1">
      <c r="C1354" s="7"/>
      <c r="D1354" s="7"/>
      <c r="H1354" s="7"/>
      <c r="Q1354" s="16"/>
      <c r="R1354" s="16"/>
      <c r="V1354">
        <v>253</v>
      </c>
    </row>
    <row r="1355" spans="3:22" ht="15.75" customHeight="1">
      <c r="C1355" s="7"/>
      <c r="D1355" s="7"/>
      <c r="H1355" s="7"/>
      <c r="Q1355" s="16"/>
      <c r="R1355" s="16"/>
      <c r="V1355">
        <v>254</v>
      </c>
    </row>
    <row r="1356" spans="3:22" ht="15.75" customHeight="1">
      <c r="C1356" s="7"/>
      <c r="D1356" s="7"/>
      <c r="H1356" s="7"/>
      <c r="Q1356" s="16"/>
      <c r="R1356" s="16"/>
      <c r="V1356">
        <v>254</v>
      </c>
    </row>
    <row r="1357" spans="3:22" ht="15.75" customHeight="1">
      <c r="C1357" s="7"/>
      <c r="D1357" s="7"/>
      <c r="H1357" s="7"/>
      <c r="Q1357" s="16"/>
      <c r="R1357" s="16"/>
      <c r="V1357">
        <v>254</v>
      </c>
    </row>
    <row r="1358" spans="3:22" ht="15.75" customHeight="1">
      <c r="C1358" s="7"/>
      <c r="D1358" s="7"/>
      <c r="H1358" s="7"/>
      <c r="Q1358" s="16"/>
      <c r="R1358" s="16"/>
      <c r="V1358">
        <v>254</v>
      </c>
    </row>
    <row r="1359" spans="3:22" ht="15.75" customHeight="1">
      <c r="C1359" s="7"/>
      <c r="D1359" s="7"/>
      <c r="H1359" s="7"/>
      <c r="Q1359" s="16"/>
      <c r="R1359" s="16"/>
      <c r="V1359">
        <v>254</v>
      </c>
    </row>
    <row r="1360" spans="3:22" ht="15.75" customHeight="1">
      <c r="C1360" s="7"/>
      <c r="D1360" s="7"/>
      <c r="H1360" s="7"/>
      <c r="Q1360" s="16"/>
      <c r="R1360" s="16"/>
      <c r="V1360">
        <v>254</v>
      </c>
    </row>
    <row r="1361" spans="3:22" ht="15.75" customHeight="1">
      <c r="C1361" s="7"/>
      <c r="D1361" s="7"/>
      <c r="H1361" s="7"/>
      <c r="Q1361" s="16"/>
      <c r="R1361" s="16"/>
      <c r="V1361">
        <v>254</v>
      </c>
    </row>
    <row r="1362" spans="3:22" ht="15.75" customHeight="1">
      <c r="C1362" s="7"/>
      <c r="D1362" s="7"/>
      <c r="H1362" s="7"/>
      <c r="Q1362" s="16"/>
      <c r="R1362" s="16"/>
      <c r="V1362">
        <v>254</v>
      </c>
    </row>
    <row r="1363" spans="3:22" ht="15.75" customHeight="1">
      <c r="C1363" s="7"/>
      <c r="D1363" s="7"/>
      <c r="H1363" s="7"/>
      <c r="Q1363" s="16"/>
      <c r="R1363" s="16"/>
      <c r="V1363">
        <v>254</v>
      </c>
    </row>
    <row r="1364" spans="3:22" ht="15.75" customHeight="1">
      <c r="C1364" s="7"/>
      <c r="D1364" s="7"/>
      <c r="H1364" s="7"/>
      <c r="Q1364" s="16"/>
      <c r="R1364" s="16"/>
      <c r="V1364">
        <v>254</v>
      </c>
    </row>
    <row r="1365" spans="3:22" ht="15.75" customHeight="1">
      <c r="C1365" s="7"/>
      <c r="D1365" s="7"/>
      <c r="H1365" s="7"/>
      <c r="Q1365" s="16"/>
      <c r="R1365" s="16"/>
      <c r="V1365">
        <v>254</v>
      </c>
    </row>
    <row r="1366" spans="3:22" ht="15.75" customHeight="1">
      <c r="C1366" s="7"/>
      <c r="D1366" s="7"/>
      <c r="H1366" s="7"/>
      <c r="Q1366" s="16"/>
      <c r="R1366" s="16"/>
      <c r="V1366">
        <v>254</v>
      </c>
    </row>
    <row r="1367" spans="3:22" ht="15.75" customHeight="1">
      <c r="C1367" s="7"/>
      <c r="D1367" s="7"/>
      <c r="H1367" s="7"/>
      <c r="Q1367" s="16"/>
      <c r="R1367" s="16"/>
      <c r="V1367">
        <v>255</v>
      </c>
    </row>
    <row r="1368" spans="3:22" ht="15.75" customHeight="1">
      <c r="C1368" s="7"/>
      <c r="D1368" s="7"/>
      <c r="H1368" s="7"/>
      <c r="Q1368" s="16"/>
      <c r="R1368" s="16"/>
      <c r="V1368">
        <v>256</v>
      </c>
    </row>
    <row r="1369" spans="3:22" ht="15.75" customHeight="1">
      <c r="C1369" s="7"/>
      <c r="D1369" s="7"/>
      <c r="H1369" s="7"/>
      <c r="Q1369" s="16"/>
      <c r="R1369" s="16"/>
      <c r="V1369">
        <v>257</v>
      </c>
    </row>
    <row r="1370" spans="3:22" ht="15.75" customHeight="1">
      <c r="C1370" s="7"/>
      <c r="D1370" s="7"/>
      <c r="H1370" s="7"/>
      <c r="Q1370" s="16"/>
      <c r="R1370" s="16"/>
      <c r="V1370">
        <v>257</v>
      </c>
    </row>
    <row r="1371" spans="3:22" ht="15.75" customHeight="1">
      <c r="C1371" s="7"/>
      <c r="D1371" s="7"/>
      <c r="H1371" s="7"/>
      <c r="Q1371" s="16"/>
      <c r="R1371" s="16"/>
      <c r="V1371">
        <v>258</v>
      </c>
    </row>
    <row r="1372" spans="3:22" ht="15.75" customHeight="1">
      <c r="C1372" s="7"/>
      <c r="D1372" s="7"/>
      <c r="H1372" s="7"/>
      <c r="Q1372" s="16"/>
      <c r="R1372" s="16"/>
      <c r="V1372">
        <v>259</v>
      </c>
    </row>
    <row r="1373" spans="3:22" ht="15.75" customHeight="1">
      <c r="C1373" s="7"/>
      <c r="D1373" s="7"/>
      <c r="H1373" s="7"/>
      <c r="Q1373" s="16"/>
      <c r="R1373" s="16"/>
      <c r="V1373">
        <v>259</v>
      </c>
    </row>
    <row r="1374" spans="3:22" ht="15.75" customHeight="1">
      <c r="C1374" s="7"/>
      <c r="D1374" s="7"/>
      <c r="H1374" s="7"/>
      <c r="Q1374" s="16"/>
      <c r="R1374" s="16"/>
      <c r="V1374">
        <v>259</v>
      </c>
    </row>
    <row r="1375" spans="3:22" ht="15.75" customHeight="1">
      <c r="C1375" s="7"/>
      <c r="D1375" s="7"/>
      <c r="H1375" s="7"/>
      <c r="Q1375" s="16"/>
      <c r="R1375" s="16"/>
      <c r="V1375">
        <v>259</v>
      </c>
    </row>
    <row r="1376" spans="3:22" ht="15.75" customHeight="1">
      <c r="C1376" s="7"/>
      <c r="D1376" s="7"/>
      <c r="H1376" s="7"/>
      <c r="Q1376" s="16"/>
      <c r="R1376" s="16"/>
      <c r="V1376">
        <v>259</v>
      </c>
    </row>
    <row r="1377" spans="3:22" ht="15.75" customHeight="1">
      <c r="C1377" s="7"/>
      <c r="D1377" s="7"/>
      <c r="H1377" s="7"/>
      <c r="Q1377" s="16"/>
      <c r="R1377" s="16"/>
      <c r="V1377">
        <v>259</v>
      </c>
    </row>
    <row r="1378" spans="3:22" ht="15.75" customHeight="1">
      <c r="C1378" s="7"/>
      <c r="D1378" s="7"/>
      <c r="H1378" s="7"/>
      <c r="Q1378" s="16"/>
      <c r="R1378" s="16"/>
      <c r="V1378">
        <v>259</v>
      </c>
    </row>
    <row r="1379" spans="3:22" ht="15.75" customHeight="1">
      <c r="C1379" s="7"/>
      <c r="D1379" s="7"/>
      <c r="H1379" s="7"/>
      <c r="Q1379" s="16"/>
      <c r="R1379" s="16"/>
      <c r="V1379">
        <v>259</v>
      </c>
    </row>
    <row r="1380" spans="3:22" ht="15.75" customHeight="1">
      <c r="C1380" s="7"/>
      <c r="D1380" s="7"/>
      <c r="H1380" s="7"/>
      <c r="Q1380" s="16"/>
      <c r="R1380" s="16"/>
      <c r="V1380">
        <v>260</v>
      </c>
    </row>
    <row r="1381" spans="3:22" ht="15.75" customHeight="1">
      <c r="C1381" s="7"/>
      <c r="D1381" s="7"/>
      <c r="H1381" s="7"/>
      <c r="Q1381" s="16"/>
      <c r="R1381" s="16"/>
      <c r="V1381">
        <v>260</v>
      </c>
    </row>
    <row r="1382" spans="3:22" ht="15.75" customHeight="1">
      <c r="C1382" s="7"/>
      <c r="D1382" s="7"/>
      <c r="H1382" s="7"/>
      <c r="Q1382" s="16"/>
      <c r="R1382" s="16"/>
      <c r="V1382">
        <v>260</v>
      </c>
    </row>
    <row r="1383" spans="3:22" ht="15.75" customHeight="1">
      <c r="C1383" s="7"/>
      <c r="D1383" s="7"/>
      <c r="H1383" s="7"/>
      <c r="Q1383" s="16"/>
      <c r="R1383" s="16"/>
      <c r="V1383">
        <v>260</v>
      </c>
    </row>
    <row r="1384" spans="3:22" ht="15.75" customHeight="1">
      <c r="C1384" s="7"/>
      <c r="D1384" s="7"/>
      <c r="H1384" s="7"/>
      <c r="Q1384" s="16"/>
      <c r="R1384" s="16"/>
      <c r="V1384">
        <v>260</v>
      </c>
    </row>
    <row r="1385" spans="3:22" ht="15.75" customHeight="1">
      <c r="C1385" s="7"/>
      <c r="D1385" s="7"/>
      <c r="H1385" s="7"/>
      <c r="Q1385" s="16"/>
      <c r="R1385" s="16"/>
      <c r="V1385">
        <v>260</v>
      </c>
    </row>
    <row r="1386" spans="3:22" ht="15.75" customHeight="1">
      <c r="C1386" s="7"/>
      <c r="D1386" s="7"/>
      <c r="H1386" s="7"/>
      <c r="Q1386" s="16"/>
      <c r="R1386" s="16"/>
      <c r="V1386">
        <v>260</v>
      </c>
    </row>
    <row r="1387" spans="3:22" ht="15.75" customHeight="1">
      <c r="C1387" s="7"/>
      <c r="D1387" s="7"/>
      <c r="H1387" s="7"/>
      <c r="Q1387" s="16"/>
      <c r="R1387" s="16"/>
      <c r="V1387">
        <v>260</v>
      </c>
    </row>
    <row r="1388" spans="3:22" ht="15.75" customHeight="1">
      <c r="C1388" s="7"/>
      <c r="D1388" s="7"/>
      <c r="H1388" s="7"/>
      <c r="Q1388" s="16"/>
      <c r="R1388" s="16"/>
      <c r="V1388">
        <v>261</v>
      </c>
    </row>
    <row r="1389" spans="3:22" ht="15.75" customHeight="1">
      <c r="C1389" s="7"/>
      <c r="D1389" s="7"/>
      <c r="H1389" s="7"/>
      <c r="Q1389" s="16"/>
      <c r="R1389" s="16"/>
      <c r="V1389">
        <v>261</v>
      </c>
    </row>
    <row r="1390" spans="3:22" ht="15.75" customHeight="1">
      <c r="C1390" s="7"/>
      <c r="D1390" s="7"/>
      <c r="H1390" s="7"/>
      <c r="Q1390" s="16"/>
      <c r="R1390" s="16"/>
      <c r="V1390">
        <v>261</v>
      </c>
    </row>
    <row r="1391" spans="3:22" ht="15.75" customHeight="1">
      <c r="C1391" s="7"/>
      <c r="D1391" s="7"/>
      <c r="H1391" s="7"/>
      <c r="Q1391" s="16"/>
      <c r="R1391" s="16"/>
      <c r="V1391">
        <v>261</v>
      </c>
    </row>
    <row r="1392" spans="3:22" ht="15.75" customHeight="1">
      <c r="C1392" s="7"/>
      <c r="D1392" s="7"/>
      <c r="H1392" s="7"/>
      <c r="Q1392" s="16"/>
      <c r="R1392" s="16"/>
      <c r="V1392">
        <v>261</v>
      </c>
    </row>
    <row r="1393" spans="3:22" ht="15.75" customHeight="1">
      <c r="C1393" s="7"/>
      <c r="D1393" s="7"/>
      <c r="H1393" s="7"/>
      <c r="Q1393" s="16"/>
      <c r="R1393" s="16"/>
      <c r="V1393">
        <v>261</v>
      </c>
    </row>
    <row r="1394" spans="3:22" ht="15.75" customHeight="1">
      <c r="C1394" s="7"/>
      <c r="D1394" s="7"/>
      <c r="H1394" s="7"/>
      <c r="Q1394" s="16"/>
      <c r="R1394" s="16"/>
      <c r="V1394">
        <v>261</v>
      </c>
    </row>
    <row r="1395" spans="3:22" ht="15.75" customHeight="1">
      <c r="C1395" s="7"/>
      <c r="D1395" s="7"/>
      <c r="H1395" s="7"/>
      <c r="Q1395" s="16"/>
      <c r="R1395" s="16"/>
      <c r="V1395">
        <v>261</v>
      </c>
    </row>
    <row r="1396" spans="3:22" ht="15.75" customHeight="1">
      <c r="C1396" s="7"/>
      <c r="D1396" s="7"/>
      <c r="H1396" s="7"/>
      <c r="Q1396" s="16"/>
      <c r="R1396" s="16"/>
      <c r="V1396">
        <v>261</v>
      </c>
    </row>
    <row r="1397" spans="3:22" ht="15.75" customHeight="1">
      <c r="C1397" s="7"/>
      <c r="D1397" s="7"/>
      <c r="H1397" s="7"/>
      <c r="Q1397" s="16"/>
      <c r="R1397" s="16"/>
      <c r="V1397">
        <v>262</v>
      </c>
    </row>
    <row r="1398" spans="3:22" ht="15.75" customHeight="1">
      <c r="C1398" s="7"/>
      <c r="D1398" s="7"/>
      <c r="H1398" s="7"/>
      <c r="Q1398" s="16"/>
      <c r="R1398" s="16"/>
      <c r="V1398">
        <v>262</v>
      </c>
    </row>
    <row r="1399" spans="3:22" ht="15.75" customHeight="1">
      <c r="C1399" s="7"/>
      <c r="D1399" s="7"/>
      <c r="H1399" s="7"/>
      <c r="Q1399" s="16"/>
      <c r="R1399" s="16"/>
      <c r="V1399">
        <v>262</v>
      </c>
    </row>
    <row r="1400" spans="3:22" ht="15.75" customHeight="1">
      <c r="C1400" s="7"/>
      <c r="D1400" s="7"/>
      <c r="H1400" s="7"/>
      <c r="Q1400" s="16"/>
      <c r="R1400" s="16"/>
      <c r="V1400">
        <v>262</v>
      </c>
    </row>
    <row r="1401" spans="3:22" ht="15.75" customHeight="1">
      <c r="C1401" s="7"/>
      <c r="D1401" s="7"/>
      <c r="H1401" s="7"/>
      <c r="Q1401" s="16"/>
      <c r="R1401" s="16"/>
      <c r="V1401">
        <v>262</v>
      </c>
    </row>
    <row r="1402" spans="3:22" ht="15.75" customHeight="1">
      <c r="C1402" s="7"/>
      <c r="D1402" s="7"/>
      <c r="H1402" s="7"/>
      <c r="Q1402" s="16"/>
      <c r="R1402" s="16"/>
      <c r="V1402">
        <v>262</v>
      </c>
    </row>
    <row r="1403" spans="3:22" ht="15.75" customHeight="1">
      <c r="C1403" s="7"/>
      <c r="D1403" s="7"/>
      <c r="H1403" s="7"/>
      <c r="Q1403" s="16"/>
      <c r="R1403" s="16"/>
      <c r="V1403">
        <v>262</v>
      </c>
    </row>
    <row r="1404" spans="3:22" ht="15.75" customHeight="1">
      <c r="C1404" s="7"/>
      <c r="D1404" s="7"/>
      <c r="H1404" s="7"/>
      <c r="Q1404" s="16"/>
      <c r="R1404" s="16"/>
      <c r="V1404">
        <v>262</v>
      </c>
    </row>
    <row r="1405" spans="3:22" ht="15.75" customHeight="1">
      <c r="C1405" s="7"/>
      <c r="D1405" s="7"/>
      <c r="H1405" s="7"/>
      <c r="Q1405" s="16"/>
      <c r="R1405" s="16"/>
      <c r="V1405">
        <v>262</v>
      </c>
    </row>
    <row r="1406" spans="3:22" ht="15.75" customHeight="1">
      <c r="C1406" s="7"/>
      <c r="D1406" s="7"/>
      <c r="H1406" s="7"/>
      <c r="Q1406" s="16"/>
      <c r="R1406" s="16"/>
      <c r="V1406">
        <v>262</v>
      </c>
    </row>
    <row r="1407" spans="3:22" ht="15.75" customHeight="1">
      <c r="C1407" s="7"/>
      <c r="D1407" s="7"/>
      <c r="H1407" s="7"/>
      <c r="Q1407" s="16"/>
      <c r="R1407" s="16"/>
      <c r="V1407">
        <v>262</v>
      </c>
    </row>
    <row r="1408" spans="3:22" ht="15.75" customHeight="1">
      <c r="C1408" s="7"/>
      <c r="D1408" s="7"/>
      <c r="H1408" s="7"/>
      <c r="Q1408" s="16"/>
      <c r="R1408" s="16"/>
      <c r="V1408">
        <v>262</v>
      </c>
    </row>
    <row r="1409" spans="3:22" ht="15.75" customHeight="1">
      <c r="C1409" s="7"/>
      <c r="D1409" s="7"/>
      <c r="H1409" s="7"/>
      <c r="Q1409" s="16"/>
      <c r="R1409" s="16"/>
      <c r="V1409">
        <v>262</v>
      </c>
    </row>
    <row r="1410" spans="3:22" ht="15.75" customHeight="1">
      <c r="C1410" s="7"/>
      <c r="D1410" s="7"/>
      <c r="H1410" s="7"/>
      <c r="Q1410" s="16"/>
      <c r="R1410" s="16"/>
      <c r="V1410">
        <v>262</v>
      </c>
    </row>
    <row r="1411" spans="3:22" ht="15.75" customHeight="1">
      <c r="C1411" s="7"/>
      <c r="D1411" s="7"/>
      <c r="H1411" s="7"/>
      <c r="Q1411" s="16"/>
      <c r="R1411" s="16"/>
      <c r="V1411">
        <v>262</v>
      </c>
    </row>
    <row r="1412" spans="3:22" ht="15.75" customHeight="1">
      <c r="C1412" s="7"/>
      <c r="D1412" s="7"/>
      <c r="H1412" s="7"/>
      <c r="Q1412" s="16"/>
      <c r="R1412" s="16"/>
      <c r="V1412">
        <v>262</v>
      </c>
    </row>
    <row r="1413" spans="3:22" ht="15.75" customHeight="1">
      <c r="C1413" s="7"/>
      <c r="D1413" s="7"/>
      <c r="H1413" s="7"/>
      <c r="Q1413" s="16"/>
      <c r="R1413" s="16"/>
      <c r="V1413">
        <v>262</v>
      </c>
    </row>
    <row r="1414" spans="3:22" ht="15.75" customHeight="1">
      <c r="C1414" s="7"/>
      <c r="D1414" s="7"/>
      <c r="H1414" s="7"/>
      <c r="Q1414" s="16"/>
      <c r="R1414" s="16"/>
      <c r="V1414">
        <v>262</v>
      </c>
    </row>
    <row r="1415" spans="3:22" ht="15.75" customHeight="1">
      <c r="C1415" s="7"/>
      <c r="D1415" s="7"/>
      <c r="H1415" s="7"/>
      <c r="Q1415" s="16"/>
      <c r="R1415" s="16"/>
      <c r="V1415">
        <v>262</v>
      </c>
    </row>
    <row r="1416" spans="3:22" ht="15.75" customHeight="1">
      <c r="C1416" s="7"/>
      <c r="D1416" s="7"/>
      <c r="H1416" s="7"/>
      <c r="Q1416" s="16"/>
      <c r="R1416" s="16"/>
      <c r="V1416">
        <v>262</v>
      </c>
    </row>
    <row r="1417" spans="3:22" ht="15.75" customHeight="1">
      <c r="C1417" s="7"/>
      <c r="D1417" s="7"/>
      <c r="H1417" s="7"/>
      <c r="Q1417" s="16"/>
      <c r="R1417" s="16"/>
      <c r="V1417">
        <v>262</v>
      </c>
    </row>
    <row r="1418" spans="3:22" ht="15.75" customHeight="1">
      <c r="C1418" s="7"/>
      <c r="D1418" s="7"/>
      <c r="H1418" s="7"/>
      <c r="Q1418" s="16"/>
      <c r="R1418" s="16"/>
      <c r="V1418">
        <v>262</v>
      </c>
    </row>
    <row r="1419" spans="3:22" ht="15.75" customHeight="1">
      <c r="C1419" s="7"/>
      <c r="D1419" s="7"/>
      <c r="H1419" s="7"/>
      <c r="Q1419" s="16"/>
      <c r="R1419" s="16"/>
      <c r="V1419">
        <v>262</v>
      </c>
    </row>
    <row r="1420" spans="3:22" ht="15.75" customHeight="1">
      <c r="C1420" s="7"/>
      <c r="D1420" s="7"/>
      <c r="H1420" s="7"/>
      <c r="Q1420" s="16"/>
      <c r="R1420" s="16"/>
      <c r="V1420">
        <v>263</v>
      </c>
    </row>
    <row r="1421" spans="3:22" ht="15.75" customHeight="1">
      <c r="C1421" s="7"/>
      <c r="D1421" s="7"/>
      <c r="H1421" s="7"/>
      <c r="Q1421" s="16"/>
      <c r="R1421" s="16"/>
      <c r="V1421">
        <v>263</v>
      </c>
    </row>
    <row r="1422" spans="3:22" ht="15.75" customHeight="1">
      <c r="C1422" s="7"/>
      <c r="D1422" s="7"/>
      <c r="H1422" s="7"/>
      <c r="Q1422" s="16"/>
      <c r="R1422" s="16"/>
      <c r="V1422">
        <v>263</v>
      </c>
    </row>
    <row r="1423" spans="3:22" ht="15.75" customHeight="1">
      <c r="C1423" s="7"/>
      <c r="D1423" s="7"/>
      <c r="H1423" s="7"/>
      <c r="Q1423" s="16"/>
      <c r="R1423" s="16"/>
      <c r="V1423">
        <v>264</v>
      </c>
    </row>
    <row r="1424" spans="3:22" ht="15.75" customHeight="1">
      <c r="C1424" s="7"/>
      <c r="D1424" s="7"/>
      <c r="H1424" s="7"/>
      <c r="Q1424" s="16"/>
      <c r="R1424" s="16"/>
      <c r="V1424">
        <v>265</v>
      </c>
    </row>
    <row r="1425" spans="3:22" ht="15.75" customHeight="1">
      <c r="C1425" s="7"/>
      <c r="D1425" s="7"/>
      <c r="H1425" s="7"/>
      <c r="Q1425" s="16"/>
      <c r="R1425" s="16"/>
      <c r="V1425">
        <v>265</v>
      </c>
    </row>
    <row r="1426" spans="3:22" ht="15.75" customHeight="1">
      <c r="C1426" s="7"/>
      <c r="D1426" s="7"/>
      <c r="H1426" s="7"/>
      <c r="Q1426" s="16"/>
      <c r="R1426" s="16"/>
      <c r="V1426">
        <v>265</v>
      </c>
    </row>
    <row r="1427" spans="3:22" ht="15.75" customHeight="1">
      <c r="C1427" s="7"/>
      <c r="D1427" s="7"/>
      <c r="H1427" s="7"/>
      <c r="Q1427" s="16"/>
      <c r="R1427" s="16"/>
      <c r="V1427">
        <v>266</v>
      </c>
    </row>
    <row r="1428" spans="3:22" ht="15.75" customHeight="1">
      <c r="C1428" s="7"/>
      <c r="D1428" s="7"/>
      <c r="H1428" s="7"/>
      <c r="Q1428" s="16"/>
      <c r="R1428" s="16"/>
      <c r="V1428">
        <v>267</v>
      </c>
    </row>
    <row r="1429" spans="3:22" ht="15.75" customHeight="1">
      <c r="C1429" s="7"/>
      <c r="D1429" s="7"/>
      <c r="H1429" s="7"/>
      <c r="Q1429" s="16"/>
      <c r="R1429" s="16"/>
      <c r="V1429">
        <v>267</v>
      </c>
    </row>
    <row r="1430" spans="3:22" ht="15.75" customHeight="1">
      <c r="C1430" s="7"/>
      <c r="D1430" s="7"/>
      <c r="H1430" s="7"/>
      <c r="Q1430" s="16"/>
      <c r="R1430" s="16"/>
      <c r="V1430">
        <v>268</v>
      </c>
    </row>
    <row r="1431" spans="3:22" ht="15.75" customHeight="1">
      <c r="C1431" s="7"/>
      <c r="D1431" s="7"/>
      <c r="H1431" s="7"/>
      <c r="Q1431" s="16"/>
      <c r="R1431" s="16"/>
      <c r="V1431">
        <v>268</v>
      </c>
    </row>
    <row r="1432" spans="3:22" ht="15.75" customHeight="1">
      <c r="C1432" s="7"/>
      <c r="D1432" s="7"/>
      <c r="H1432" s="7"/>
      <c r="Q1432" s="16"/>
      <c r="R1432" s="16"/>
      <c r="V1432">
        <v>269</v>
      </c>
    </row>
    <row r="1433" spans="3:22" ht="15.75" customHeight="1">
      <c r="C1433" s="7"/>
      <c r="D1433" s="7"/>
      <c r="H1433" s="7"/>
      <c r="Q1433" s="16"/>
      <c r="R1433" s="16"/>
      <c r="V1433">
        <v>270</v>
      </c>
    </row>
    <row r="1434" spans="3:22" ht="15.75" customHeight="1">
      <c r="C1434" s="7"/>
      <c r="D1434" s="7"/>
      <c r="H1434" s="7"/>
      <c r="Q1434" s="16"/>
      <c r="R1434" s="16"/>
      <c r="V1434">
        <v>271</v>
      </c>
    </row>
    <row r="1435" spans="3:22" ht="15.75" customHeight="1">
      <c r="C1435" s="7"/>
      <c r="D1435" s="7"/>
      <c r="H1435" s="7"/>
      <c r="Q1435" s="16"/>
      <c r="R1435" s="16"/>
      <c r="V1435">
        <v>272</v>
      </c>
    </row>
    <row r="1436" spans="3:22" ht="15.75" customHeight="1">
      <c r="C1436" s="7"/>
      <c r="D1436" s="7"/>
      <c r="H1436" s="7"/>
      <c r="Q1436" s="16"/>
      <c r="R1436" s="16"/>
      <c r="V1436">
        <v>272</v>
      </c>
    </row>
    <row r="1437" spans="3:22" ht="15.75" customHeight="1">
      <c r="C1437" s="7"/>
      <c r="D1437" s="7"/>
      <c r="H1437" s="7"/>
      <c r="Q1437" s="16"/>
      <c r="R1437" s="16"/>
      <c r="V1437">
        <v>273</v>
      </c>
    </row>
    <row r="1438" spans="3:22" ht="15.75" customHeight="1">
      <c r="C1438" s="7"/>
      <c r="D1438" s="7"/>
      <c r="H1438" s="7"/>
      <c r="Q1438" s="16"/>
      <c r="R1438" s="16"/>
      <c r="V1438">
        <v>274</v>
      </c>
    </row>
    <row r="1439" spans="3:22" ht="15.75" customHeight="1">
      <c r="C1439" s="7"/>
      <c r="D1439" s="7"/>
      <c r="H1439" s="7"/>
      <c r="Q1439" s="16"/>
      <c r="R1439" s="16"/>
      <c r="V1439">
        <v>275</v>
      </c>
    </row>
    <row r="1440" spans="3:22" ht="15.75" customHeight="1">
      <c r="C1440" s="7"/>
      <c r="D1440" s="7"/>
      <c r="H1440" s="7"/>
      <c r="Q1440" s="16"/>
      <c r="R1440" s="16"/>
      <c r="V1440">
        <v>275</v>
      </c>
    </row>
    <row r="1441" spans="3:22" ht="15.75" customHeight="1">
      <c r="C1441" s="7"/>
      <c r="D1441" s="7"/>
      <c r="H1441" s="7"/>
      <c r="Q1441" s="16"/>
      <c r="R1441" s="16"/>
      <c r="V1441">
        <v>276</v>
      </c>
    </row>
    <row r="1442" spans="3:22" ht="15.75" customHeight="1">
      <c r="C1442" s="7"/>
      <c r="D1442" s="7"/>
      <c r="H1442" s="7"/>
      <c r="Q1442" s="16"/>
      <c r="R1442" s="16"/>
      <c r="V1442">
        <v>277</v>
      </c>
    </row>
    <row r="1443" spans="3:22" ht="15.75" customHeight="1">
      <c r="C1443" s="7"/>
      <c r="D1443" s="7"/>
      <c r="H1443" s="7"/>
      <c r="Q1443" s="16"/>
      <c r="R1443" s="16"/>
      <c r="V1443">
        <v>277</v>
      </c>
    </row>
    <row r="1444" spans="3:22" ht="15.75" customHeight="1">
      <c r="C1444" s="7"/>
      <c r="D1444" s="7"/>
      <c r="H1444" s="7"/>
      <c r="Q1444" s="16"/>
      <c r="R1444" s="16"/>
      <c r="V1444">
        <v>278</v>
      </c>
    </row>
    <row r="1445" spans="3:22" ht="15.75" customHeight="1">
      <c r="C1445" s="7"/>
      <c r="D1445" s="7"/>
      <c r="H1445" s="7"/>
      <c r="Q1445" s="16"/>
      <c r="R1445" s="16"/>
      <c r="V1445">
        <v>278</v>
      </c>
    </row>
    <row r="1446" spans="3:22" ht="15.75" customHeight="1">
      <c r="C1446" s="7"/>
      <c r="D1446" s="7"/>
      <c r="H1446" s="7"/>
      <c r="Q1446" s="16"/>
      <c r="R1446" s="16"/>
      <c r="V1446">
        <v>278</v>
      </c>
    </row>
    <row r="1447" spans="3:22" ht="15.75" customHeight="1">
      <c r="C1447" s="7"/>
      <c r="D1447" s="7"/>
      <c r="H1447" s="7"/>
      <c r="Q1447" s="16"/>
      <c r="R1447" s="16"/>
      <c r="V1447">
        <v>278</v>
      </c>
    </row>
    <row r="1448" spans="3:22" ht="15.75" customHeight="1">
      <c r="C1448" s="7"/>
      <c r="D1448" s="7"/>
      <c r="H1448" s="7"/>
      <c r="Q1448" s="16"/>
      <c r="R1448" s="16"/>
      <c r="V1448">
        <v>278</v>
      </c>
    </row>
    <row r="1449" spans="3:22" ht="15.75" customHeight="1">
      <c r="C1449" s="7"/>
      <c r="D1449" s="7"/>
      <c r="H1449" s="7"/>
      <c r="Q1449" s="16"/>
      <c r="R1449" s="16"/>
      <c r="V1449">
        <v>279</v>
      </c>
    </row>
    <row r="1450" spans="3:22" ht="15.75" customHeight="1">
      <c r="C1450" s="7"/>
      <c r="D1450" s="7"/>
      <c r="H1450" s="7"/>
      <c r="Q1450" s="16"/>
      <c r="R1450" s="16"/>
      <c r="V1450">
        <v>279</v>
      </c>
    </row>
    <row r="1451" spans="3:22" ht="15.75" customHeight="1">
      <c r="C1451" s="7"/>
      <c r="D1451" s="7"/>
      <c r="H1451" s="7"/>
      <c r="Q1451" s="16"/>
      <c r="R1451" s="16"/>
      <c r="V1451">
        <v>279</v>
      </c>
    </row>
    <row r="1452" spans="3:22" ht="15.75" customHeight="1">
      <c r="C1452" s="7"/>
      <c r="D1452" s="7"/>
      <c r="H1452" s="7"/>
      <c r="Q1452" s="16"/>
      <c r="R1452" s="16"/>
      <c r="V1452">
        <v>279</v>
      </c>
    </row>
    <row r="1453" spans="3:22" ht="15.75" customHeight="1">
      <c r="C1453" s="7"/>
      <c r="D1453" s="7"/>
      <c r="H1453" s="7"/>
      <c r="Q1453" s="16"/>
      <c r="R1453" s="16"/>
      <c r="V1453">
        <v>279</v>
      </c>
    </row>
    <row r="1454" spans="3:22" ht="15.75" customHeight="1">
      <c r="C1454" s="7"/>
      <c r="D1454" s="7"/>
      <c r="H1454" s="7"/>
      <c r="Q1454" s="16"/>
      <c r="R1454" s="16"/>
      <c r="V1454">
        <v>279</v>
      </c>
    </row>
    <row r="1455" spans="3:22" ht="15.75" customHeight="1">
      <c r="C1455" s="7"/>
      <c r="D1455" s="7"/>
      <c r="H1455" s="7"/>
      <c r="Q1455" s="16"/>
      <c r="R1455" s="16"/>
      <c r="V1455">
        <v>280</v>
      </c>
    </row>
    <row r="1456" spans="3:22" ht="15.75" customHeight="1">
      <c r="C1456" s="7"/>
      <c r="D1456" s="7"/>
      <c r="H1456" s="7"/>
      <c r="Q1456" s="16"/>
      <c r="R1456" s="16"/>
      <c r="V1456">
        <v>280</v>
      </c>
    </row>
    <row r="1457" spans="3:22" ht="15.75" customHeight="1">
      <c r="C1457" s="7"/>
      <c r="D1457" s="7"/>
      <c r="H1457" s="7"/>
      <c r="Q1457" s="16"/>
      <c r="R1457" s="16"/>
      <c r="V1457">
        <v>281</v>
      </c>
    </row>
    <row r="1458" spans="3:22" ht="15.75" customHeight="1">
      <c r="C1458" s="7"/>
      <c r="D1458" s="7"/>
      <c r="H1458" s="7"/>
      <c r="Q1458" s="16"/>
      <c r="R1458" s="16"/>
      <c r="V1458">
        <v>281</v>
      </c>
    </row>
    <row r="1459" spans="3:22" ht="15.75" customHeight="1">
      <c r="C1459" s="7"/>
      <c r="D1459" s="7"/>
      <c r="H1459" s="7"/>
      <c r="Q1459" s="16"/>
      <c r="R1459" s="16"/>
      <c r="V1459">
        <v>281</v>
      </c>
    </row>
    <row r="1460" spans="3:22" ht="15.75" customHeight="1">
      <c r="C1460" s="7"/>
      <c r="D1460" s="7"/>
      <c r="H1460" s="7"/>
      <c r="Q1460" s="16"/>
      <c r="R1460" s="16"/>
      <c r="V1460">
        <v>281</v>
      </c>
    </row>
    <row r="1461" spans="3:22" ht="15.75" customHeight="1">
      <c r="C1461" s="7"/>
      <c r="D1461" s="7"/>
      <c r="H1461" s="7"/>
      <c r="Q1461" s="16"/>
      <c r="R1461" s="16"/>
      <c r="V1461">
        <v>281</v>
      </c>
    </row>
    <row r="1462" spans="3:22" ht="15.75" customHeight="1">
      <c r="C1462" s="7"/>
      <c r="D1462" s="7"/>
      <c r="H1462" s="7"/>
      <c r="Q1462" s="16"/>
      <c r="R1462" s="16"/>
      <c r="V1462">
        <v>281</v>
      </c>
    </row>
    <row r="1463" spans="3:22" ht="15.75" customHeight="1">
      <c r="C1463" s="7"/>
      <c r="D1463" s="7"/>
      <c r="H1463" s="7"/>
      <c r="Q1463" s="16"/>
      <c r="R1463" s="16"/>
      <c r="V1463">
        <v>281</v>
      </c>
    </row>
    <row r="1464" spans="3:22" ht="15.75" customHeight="1">
      <c r="C1464" s="7"/>
      <c r="D1464" s="7"/>
      <c r="H1464" s="7"/>
      <c r="Q1464" s="16"/>
      <c r="R1464" s="16"/>
      <c r="V1464">
        <v>281</v>
      </c>
    </row>
    <row r="1465" spans="3:22" ht="15.75" customHeight="1">
      <c r="C1465" s="7"/>
      <c r="D1465" s="7"/>
      <c r="H1465" s="7"/>
      <c r="Q1465" s="16"/>
      <c r="R1465" s="16"/>
      <c r="V1465">
        <v>281</v>
      </c>
    </row>
    <row r="1466" spans="3:22" ht="15.75" customHeight="1">
      <c r="C1466" s="7"/>
      <c r="D1466" s="7"/>
      <c r="H1466" s="7"/>
      <c r="Q1466" s="16"/>
      <c r="R1466" s="16"/>
      <c r="V1466">
        <v>282</v>
      </c>
    </row>
    <row r="1467" spans="3:22" ht="15.75" customHeight="1">
      <c r="C1467" s="7"/>
      <c r="D1467" s="7"/>
      <c r="H1467" s="7"/>
      <c r="Q1467" s="16"/>
      <c r="R1467" s="16"/>
      <c r="V1467">
        <v>282</v>
      </c>
    </row>
    <row r="1468" spans="3:22" ht="15.75" customHeight="1">
      <c r="C1468" s="7"/>
      <c r="D1468" s="7"/>
      <c r="H1468" s="7"/>
      <c r="Q1468" s="16"/>
      <c r="R1468" s="16"/>
      <c r="V1468">
        <v>282</v>
      </c>
    </row>
    <row r="1469" spans="3:22" ht="15.75" customHeight="1">
      <c r="C1469" s="7"/>
      <c r="D1469" s="7"/>
      <c r="H1469" s="7"/>
      <c r="Q1469" s="16"/>
      <c r="R1469" s="16"/>
      <c r="V1469">
        <v>282</v>
      </c>
    </row>
    <row r="1470" spans="3:22" ht="15.75" customHeight="1">
      <c r="C1470" s="7"/>
      <c r="D1470" s="7"/>
      <c r="H1470" s="7"/>
      <c r="Q1470" s="16"/>
      <c r="R1470" s="16"/>
      <c r="V1470">
        <v>282</v>
      </c>
    </row>
    <row r="1471" spans="3:22" ht="15.75" customHeight="1">
      <c r="C1471" s="7"/>
      <c r="D1471" s="7"/>
      <c r="H1471" s="7"/>
      <c r="Q1471" s="16"/>
      <c r="R1471" s="16"/>
      <c r="V1471">
        <v>282</v>
      </c>
    </row>
    <row r="1472" spans="3:22" ht="15.75" customHeight="1">
      <c r="C1472" s="7"/>
      <c r="D1472" s="7"/>
      <c r="H1472" s="7"/>
      <c r="Q1472" s="16"/>
      <c r="R1472" s="16"/>
      <c r="V1472">
        <v>282</v>
      </c>
    </row>
    <row r="1473" spans="3:22" ht="15.75" customHeight="1">
      <c r="C1473" s="7"/>
      <c r="D1473" s="7"/>
      <c r="H1473" s="7"/>
      <c r="Q1473" s="16"/>
      <c r="R1473" s="16"/>
      <c r="V1473">
        <v>282</v>
      </c>
    </row>
    <row r="1474" spans="3:22" ht="15.75" customHeight="1">
      <c r="C1474" s="7"/>
      <c r="D1474" s="7"/>
      <c r="H1474" s="7"/>
      <c r="Q1474" s="16"/>
      <c r="R1474" s="16"/>
      <c r="V1474">
        <v>282</v>
      </c>
    </row>
    <row r="1475" spans="3:22" ht="15.75" customHeight="1">
      <c r="C1475" s="7"/>
      <c r="D1475" s="7"/>
      <c r="H1475" s="7"/>
      <c r="Q1475" s="16"/>
      <c r="R1475" s="16"/>
      <c r="V1475">
        <v>283</v>
      </c>
    </row>
    <row r="1476" spans="3:22" ht="15.75" customHeight="1">
      <c r="C1476" s="7"/>
      <c r="D1476" s="7"/>
      <c r="H1476" s="7"/>
      <c r="Q1476" s="16"/>
      <c r="R1476" s="16"/>
      <c r="V1476">
        <v>284</v>
      </c>
    </row>
    <row r="1477" spans="3:22" ht="15.75" customHeight="1">
      <c r="C1477" s="7"/>
      <c r="D1477" s="7"/>
      <c r="H1477" s="7"/>
      <c r="Q1477" s="16"/>
      <c r="R1477" s="16"/>
      <c r="V1477">
        <v>284</v>
      </c>
    </row>
    <row r="1478" spans="3:22" ht="15.75" customHeight="1">
      <c r="C1478" s="7"/>
      <c r="D1478" s="7"/>
      <c r="H1478" s="7"/>
      <c r="Q1478" s="16"/>
      <c r="R1478" s="16"/>
      <c r="V1478">
        <v>285</v>
      </c>
    </row>
    <row r="1479" spans="3:22" ht="15.75" customHeight="1">
      <c r="C1479" s="7"/>
      <c r="D1479" s="7"/>
      <c r="H1479" s="7"/>
      <c r="Q1479" s="16"/>
      <c r="R1479" s="16"/>
      <c r="V1479">
        <v>285</v>
      </c>
    </row>
    <row r="1480" spans="3:22" ht="15.75" customHeight="1">
      <c r="C1480" s="7"/>
      <c r="D1480" s="7"/>
      <c r="H1480" s="7"/>
      <c r="Q1480" s="16"/>
      <c r="R1480" s="16"/>
      <c r="V1480">
        <v>286</v>
      </c>
    </row>
    <row r="1481" spans="3:22" ht="15.75" customHeight="1">
      <c r="C1481" s="7"/>
      <c r="D1481" s="7"/>
      <c r="H1481" s="7"/>
      <c r="Q1481" s="16"/>
      <c r="R1481" s="16"/>
      <c r="V1481">
        <v>286</v>
      </c>
    </row>
    <row r="1482" spans="3:22" ht="15.75" customHeight="1">
      <c r="C1482" s="7"/>
      <c r="D1482" s="7"/>
      <c r="H1482" s="7"/>
      <c r="Q1482" s="16"/>
      <c r="R1482" s="16"/>
      <c r="V1482">
        <v>286</v>
      </c>
    </row>
    <row r="1483" spans="3:22" ht="15.75" customHeight="1">
      <c r="C1483" s="7"/>
      <c r="D1483" s="7"/>
      <c r="H1483" s="7"/>
      <c r="Q1483" s="16"/>
      <c r="R1483" s="16"/>
      <c r="V1483">
        <v>286</v>
      </c>
    </row>
    <row r="1484" spans="3:22" ht="15.75" customHeight="1">
      <c r="C1484" s="7"/>
      <c r="D1484" s="7"/>
      <c r="H1484" s="7"/>
      <c r="Q1484" s="16"/>
      <c r="R1484" s="16"/>
      <c r="V1484">
        <v>287</v>
      </c>
    </row>
    <row r="1485" spans="3:22" ht="15.75" customHeight="1">
      <c r="C1485" s="7"/>
      <c r="D1485" s="7"/>
      <c r="H1485" s="7"/>
      <c r="Q1485" s="16"/>
      <c r="R1485" s="16"/>
      <c r="V1485">
        <v>287</v>
      </c>
    </row>
    <row r="1486" spans="3:22" ht="15.75" customHeight="1">
      <c r="C1486" s="7"/>
      <c r="D1486" s="7"/>
      <c r="H1486" s="7"/>
      <c r="Q1486" s="16"/>
      <c r="R1486" s="16"/>
      <c r="V1486">
        <v>287</v>
      </c>
    </row>
    <row r="1487" spans="3:22" ht="15.75" customHeight="1">
      <c r="C1487" s="7"/>
      <c r="D1487" s="7"/>
      <c r="H1487" s="7"/>
      <c r="Q1487" s="16"/>
      <c r="R1487" s="16"/>
      <c r="V1487">
        <v>287</v>
      </c>
    </row>
    <row r="1488" spans="3:22" ht="15.75" customHeight="1">
      <c r="C1488" s="7"/>
      <c r="D1488" s="7"/>
      <c r="H1488" s="7"/>
      <c r="Q1488" s="16"/>
      <c r="R1488" s="16"/>
      <c r="V1488">
        <v>288</v>
      </c>
    </row>
    <row r="1489" spans="3:22" ht="15.75" customHeight="1">
      <c r="C1489" s="7"/>
      <c r="D1489" s="7"/>
      <c r="H1489" s="7"/>
      <c r="Q1489" s="16"/>
      <c r="R1489" s="16"/>
      <c r="V1489">
        <v>288</v>
      </c>
    </row>
    <row r="1490" spans="3:22" ht="15.75" customHeight="1">
      <c r="C1490" s="7"/>
      <c r="D1490" s="7"/>
      <c r="H1490" s="7"/>
      <c r="Q1490" s="16"/>
      <c r="R1490" s="16"/>
      <c r="V1490">
        <v>288</v>
      </c>
    </row>
    <row r="1491" spans="3:22" ht="15.75" customHeight="1">
      <c r="C1491" s="7"/>
      <c r="D1491" s="7"/>
      <c r="H1491" s="7"/>
      <c r="Q1491" s="16"/>
      <c r="R1491" s="16"/>
      <c r="V1491">
        <v>288</v>
      </c>
    </row>
    <row r="1492" spans="3:22" ht="15.75" customHeight="1">
      <c r="C1492" s="7"/>
      <c r="D1492" s="7"/>
      <c r="H1492" s="7"/>
      <c r="Q1492" s="16"/>
      <c r="R1492" s="16"/>
      <c r="V1492">
        <v>288</v>
      </c>
    </row>
    <row r="1493" spans="3:22" ht="15.75" customHeight="1">
      <c r="C1493" s="7"/>
      <c r="D1493" s="7"/>
      <c r="H1493" s="7"/>
      <c r="Q1493" s="16"/>
      <c r="R1493" s="16"/>
      <c r="V1493">
        <v>288</v>
      </c>
    </row>
    <row r="1494" spans="3:22" ht="15.75" customHeight="1">
      <c r="C1494" s="7"/>
      <c r="D1494" s="7"/>
      <c r="H1494" s="7"/>
      <c r="Q1494" s="16"/>
      <c r="R1494" s="16"/>
      <c r="V1494">
        <v>288</v>
      </c>
    </row>
    <row r="1495" spans="3:22" ht="15.75" customHeight="1">
      <c r="C1495" s="7"/>
      <c r="D1495" s="7"/>
      <c r="H1495" s="7"/>
      <c r="Q1495" s="16"/>
      <c r="R1495" s="16"/>
      <c r="V1495">
        <v>288</v>
      </c>
    </row>
    <row r="1496" spans="3:22" ht="15.75" customHeight="1">
      <c r="C1496" s="7"/>
      <c r="D1496" s="7"/>
      <c r="H1496" s="7"/>
      <c r="Q1496" s="16"/>
      <c r="R1496" s="16"/>
      <c r="V1496">
        <v>288</v>
      </c>
    </row>
    <row r="1497" spans="3:22" ht="15.75" customHeight="1">
      <c r="C1497" s="7"/>
      <c r="D1497" s="7"/>
      <c r="H1497" s="7"/>
      <c r="Q1497" s="16"/>
      <c r="R1497" s="16"/>
      <c r="V1497">
        <v>288</v>
      </c>
    </row>
    <row r="1498" spans="3:22" ht="15.75" customHeight="1">
      <c r="C1498" s="7"/>
      <c r="D1498" s="7"/>
      <c r="H1498" s="7"/>
      <c r="Q1498" s="16"/>
      <c r="R1498" s="16"/>
      <c r="V1498">
        <v>288</v>
      </c>
    </row>
    <row r="1499" spans="3:22" ht="15.75" customHeight="1">
      <c r="C1499" s="7"/>
      <c r="D1499" s="7"/>
      <c r="H1499" s="7"/>
      <c r="Q1499" s="16"/>
      <c r="R1499" s="16"/>
      <c r="V1499">
        <v>288</v>
      </c>
    </row>
    <row r="1500" spans="3:22" ht="15.75" customHeight="1">
      <c r="C1500" s="7"/>
      <c r="D1500" s="7"/>
      <c r="H1500" s="7"/>
      <c r="Q1500" s="16"/>
      <c r="R1500" s="16"/>
      <c r="V1500">
        <v>288</v>
      </c>
    </row>
    <row r="1501" spans="3:22" ht="15.75" customHeight="1">
      <c r="C1501" s="7"/>
      <c r="D1501" s="7"/>
      <c r="H1501" s="7"/>
      <c r="Q1501" s="16"/>
      <c r="R1501" s="16"/>
      <c r="V1501">
        <v>288</v>
      </c>
    </row>
    <row r="1502" spans="3:22" ht="15.75" customHeight="1">
      <c r="C1502" s="7"/>
      <c r="D1502" s="7"/>
      <c r="H1502" s="7"/>
      <c r="Q1502" s="16"/>
      <c r="R1502" s="16"/>
      <c r="V1502">
        <v>288</v>
      </c>
    </row>
    <row r="1503" spans="3:22" ht="15.75" customHeight="1">
      <c r="C1503" s="7"/>
      <c r="D1503" s="7"/>
      <c r="H1503" s="7"/>
      <c r="Q1503" s="16"/>
      <c r="R1503" s="16"/>
      <c r="V1503">
        <v>288</v>
      </c>
    </row>
    <row r="1504" spans="3:22" ht="15.75" customHeight="1">
      <c r="C1504" s="7"/>
      <c r="D1504" s="7"/>
      <c r="H1504" s="7"/>
      <c r="Q1504" s="16"/>
      <c r="R1504" s="16"/>
      <c r="V1504">
        <v>288</v>
      </c>
    </row>
    <row r="1505" spans="3:22" ht="15.75" customHeight="1">
      <c r="C1505" s="7"/>
      <c r="D1505" s="7"/>
      <c r="H1505" s="7"/>
      <c r="Q1505" s="16"/>
      <c r="R1505" s="16"/>
      <c r="V1505">
        <v>288</v>
      </c>
    </row>
    <row r="1506" spans="3:22" ht="15.75" customHeight="1">
      <c r="C1506" s="7"/>
      <c r="D1506" s="7"/>
      <c r="H1506" s="7"/>
      <c r="Q1506" s="16"/>
      <c r="R1506" s="16"/>
      <c r="V1506">
        <v>288</v>
      </c>
    </row>
    <row r="1507" spans="3:22" ht="15.75" customHeight="1">
      <c r="C1507" s="7"/>
      <c r="D1507" s="7"/>
      <c r="H1507" s="7"/>
      <c r="Q1507" s="16"/>
      <c r="R1507" s="16"/>
      <c r="V1507">
        <v>288</v>
      </c>
    </row>
    <row r="1508" spans="3:22" ht="15.75" customHeight="1">
      <c r="C1508" s="7"/>
      <c r="D1508" s="7"/>
      <c r="H1508" s="7"/>
      <c r="Q1508" s="16"/>
      <c r="R1508" s="16"/>
      <c r="V1508">
        <v>288</v>
      </c>
    </row>
    <row r="1509" spans="3:22" ht="15.75" customHeight="1">
      <c r="C1509" s="7"/>
      <c r="D1509" s="7"/>
      <c r="H1509" s="7"/>
      <c r="Q1509" s="16"/>
      <c r="R1509" s="16"/>
      <c r="V1509">
        <v>288</v>
      </c>
    </row>
    <row r="1510" spans="3:22" ht="15.75" customHeight="1">
      <c r="C1510" s="7"/>
      <c r="D1510" s="7"/>
      <c r="H1510" s="7"/>
      <c r="Q1510" s="16"/>
      <c r="R1510" s="16"/>
      <c r="V1510">
        <v>288</v>
      </c>
    </row>
    <row r="1511" spans="3:22" ht="15.75" customHeight="1">
      <c r="C1511" s="7"/>
      <c r="D1511" s="7"/>
      <c r="H1511" s="7"/>
      <c r="Q1511" s="16"/>
      <c r="R1511" s="16"/>
      <c r="V1511">
        <v>288</v>
      </c>
    </row>
    <row r="1512" spans="3:22" ht="15.75" customHeight="1">
      <c r="C1512" s="7"/>
      <c r="D1512" s="7"/>
      <c r="H1512" s="7"/>
      <c r="Q1512" s="16"/>
      <c r="R1512" s="16"/>
      <c r="V1512">
        <v>288</v>
      </c>
    </row>
    <row r="1513" spans="3:22" ht="15.75" customHeight="1">
      <c r="C1513" s="7"/>
      <c r="D1513" s="7"/>
      <c r="H1513" s="7"/>
      <c r="Q1513" s="16"/>
      <c r="R1513" s="16"/>
      <c r="V1513">
        <v>288</v>
      </c>
    </row>
    <row r="1514" spans="3:22" ht="15.75" customHeight="1">
      <c r="C1514" s="7"/>
      <c r="D1514" s="7"/>
      <c r="H1514" s="7"/>
      <c r="Q1514" s="16"/>
      <c r="R1514" s="16"/>
      <c r="V1514">
        <v>288</v>
      </c>
    </row>
    <row r="1515" spans="3:22" ht="15.75" customHeight="1">
      <c r="C1515" s="7"/>
      <c r="D1515" s="7"/>
      <c r="H1515" s="7"/>
      <c r="Q1515" s="16"/>
      <c r="R1515" s="16"/>
      <c r="V1515">
        <v>288</v>
      </c>
    </row>
    <row r="1516" spans="3:22" ht="15.75" customHeight="1">
      <c r="C1516" s="7"/>
      <c r="D1516" s="7"/>
      <c r="H1516" s="7"/>
      <c r="Q1516" s="16"/>
      <c r="R1516" s="16"/>
      <c r="V1516">
        <v>288</v>
      </c>
    </row>
    <row r="1517" spans="3:22" ht="15.75" customHeight="1">
      <c r="C1517" s="7"/>
      <c r="D1517" s="7"/>
      <c r="H1517" s="7"/>
      <c r="Q1517" s="16"/>
      <c r="R1517" s="16"/>
      <c r="V1517">
        <v>288</v>
      </c>
    </row>
    <row r="1518" spans="3:22" ht="15.75" customHeight="1">
      <c r="C1518" s="7"/>
      <c r="D1518" s="7"/>
      <c r="H1518" s="7"/>
      <c r="Q1518" s="16"/>
      <c r="R1518" s="16"/>
      <c r="V1518">
        <v>288</v>
      </c>
    </row>
    <row r="1519" spans="3:22" ht="15.75" customHeight="1">
      <c r="C1519" s="7"/>
      <c r="D1519" s="7"/>
      <c r="H1519" s="7"/>
      <c r="Q1519" s="16"/>
      <c r="R1519" s="16"/>
      <c r="V1519">
        <v>288</v>
      </c>
    </row>
    <row r="1520" spans="3:22" ht="15.75" customHeight="1">
      <c r="C1520" s="7"/>
      <c r="D1520" s="7"/>
      <c r="H1520" s="7"/>
      <c r="Q1520" s="16"/>
      <c r="R1520" s="16"/>
      <c r="V1520">
        <v>288</v>
      </c>
    </row>
    <row r="1521" spans="3:22" ht="15.75" customHeight="1">
      <c r="C1521" s="7"/>
      <c r="D1521" s="7"/>
      <c r="H1521" s="7"/>
      <c r="Q1521" s="16"/>
      <c r="R1521" s="16"/>
      <c r="V1521">
        <v>289</v>
      </c>
    </row>
    <row r="1522" spans="3:22" ht="15.75" customHeight="1">
      <c r="C1522" s="7"/>
      <c r="D1522" s="7"/>
      <c r="H1522" s="7"/>
      <c r="Q1522" s="16"/>
      <c r="R1522" s="16"/>
      <c r="V1522">
        <v>289</v>
      </c>
    </row>
    <row r="1523" spans="3:22" ht="15.75" customHeight="1">
      <c r="C1523" s="7"/>
      <c r="D1523" s="7"/>
      <c r="H1523" s="7"/>
      <c r="Q1523" s="16"/>
      <c r="R1523" s="16"/>
      <c r="V1523">
        <v>290</v>
      </c>
    </row>
    <row r="1524" spans="3:22" ht="15.75" customHeight="1">
      <c r="C1524" s="7"/>
      <c r="D1524" s="7"/>
      <c r="H1524" s="7"/>
      <c r="Q1524" s="16"/>
      <c r="R1524" s="16"/>
      <c r="V1524">
        <v>291</v>
      </c>
    </row>
    <row r="1525" spans="3:22" ht="15.75" customHeight="1">
      <c r="C1525" s="7"/>
      <c r="D1525" s="7"/>
      <c r="H1525" s="7"/>
      <c r="Q1525" s="16"/>
      <c r="R1525" s="16"/>
      <c r="V1525">
        <v>291</v>
      </c>
    </row>
    <row r="1526" spans="3:22" ht="15.75" customHeight="1">
      <c r="C1526" s="7"/>
      <c r="D1526" s="7"/>
      <c r="H1526" s="7"/>
      <c r="Q1526" s="16"/>
      <c r="R1526" s="16"/>
      <c r="V1526">
        <v>292</v>
      </c>
    </row>
    <row r="1527" spans="3:22" ht="15.75" customHeight="1">
      <c r="C1527" s="7"/>
      <c r="D1527" s="7"/>
      <c r="H1527" s="7"/>
      <c r="Q1527" s="16"/>
      <c r="R1527" s="16"/>
      <c r="V1527">
        <v>292</v>
      </c>
    </row>
    <row r="1528" spans="3:22" ht="15.75" customHeight="1">
      <c r="C1528" s="7"/>
      <c r="D1528" s="7"/>
      <c r="H1528" s="7"/>
      <c r="Q1528" s="16"/>
      <c r="R1528" s="16"/>
      <c r="V1528">
        <v>292</v>
      </c>
    </row>
    <row r="1529" spans="3:22" ht="15.75" customHeight="1">
      <c r="C1529" s="7"/>
      <c r="D1529" s="7"/>
      <c r="H1529" s="7"/>
      <c r="Q1529" s="16"/>
      <c r="R1529" s="16"/>
      <c r="V1529">
        <v>293</v>
      </c>
    </row>
    <row r="1530" spans="3:22" ht="15.75" customHeight="1">
      <c r="C1530" s="7"/>
      <c r="D1530" s="7"/>
      <c r="H1530" s="7"/>
      <c r="Q1530" s="16"/>
      <c r="R1530" s="16"/>
      <c r="V1530">
        <v>294</v>
      </c>
    </row>
    <row r="1531" spans="3:22" ht="15.75" customHeight="1">
      <c r="C1531" s="7"/>
      <c r="D1531" s="7"/>
      <c r="H1531" s="7"/>
      <c r="Q1531" s="16"/>
      <c r="R1531" s="16"/>
      <c r="V1531">
        <v>295</v>
      </c>
    </row>
    <row r="1532" spans="3:22" ht="15.75" customHeight="1">
      <c r="C1532" s="7"/>
      <c r="D1532" s="7"/>
      <c r="H1532" s="7"/>
      <c r="Q1532" s="16"/>
      <c r="R1532" s="16"/>
      <c r="V1532">
        <v>295</v>
      </c>
    </row>
    <row r="1533" spans="3:22" ht="15.75" customHeight="1">
      <c r="C1533" s="7"/>
      <c r="D1533" s="7"/>
      <c r="H1533" s="7"/>
      <c r="Q1533" s="16"/>
      <c r="R1533" s="16"/>
      <c r="V1533">
        <v>295</v>
      </c>
    </row>
    <row r="1534" spans="3:22" ht="15.75" customHeight="1">
      <c r="C1534" s="7"/>
      <c r="D1534" s="7"/>
      <c r="H1534" s="7"/>
      <c r="Q1534" s="16"/>
      <c r="R1534" s="16"/>
      <c r="V1534">
        <v>295</v>
      </c>
    </row>
    <row r="1535" spans="3:22" ht="15.75" customHeight="1">
      <c r="C1535" s="7"/>
      <c r="D1535" s="7"/>
      <c r="H1535" s="7"/>
      <c r="Q1535" s="16"/>
      <c r="R1535" s="16"/>
      <c r="V1535">
        <v>295</v>
      </c>
    </row>
    <row r="1536" spans="3:22" ht="15.75" customHeight="1">
      <c r="C1536" s="7"/>
      <c r="D1536" s="7"/>
      <c r="H1536" s="7"/>
      <c r="Q1536" s="16"/>
      <c r="R1536" s="16"/>
      <c r="V1536">
        <v>295</v>
      </c>
    </row>
    <row r="1537" spans="3:22" ht="15.75" customHeight="1">
      <c r="C1537" s="7"/>
      <c r="D1537" s="7"/>
      <c r="H1537" s="7"/>
      <c r="Q1537" s="16"/>
      <c r="R1537" s="16"/>
      <c r="V1537">
        <v>295</v>
      </c>
    </row>
    <row r="1538" spans="3:22" ht="15.75" customHeight="1">
      <c r="C1538" s="7"/>
      <c r="D1538" s="7"/>
      <c r="H1538" s="7"/>
      <c r="Q1538" s="16"/>
      <c r="R1538" s="16"/>
      <c r="V1538">
        <v>295</v>
      </c>
    </row>
    <row r="1539" spans="3:22" ht="15.75" customHeight="1">
      <c r="C1539" s="7"/>
      <c r="D1539" s="7"/>
      <c r="H1539" s="7"/>
      <c r="Q1539" s="16"/>
      <c r="R1539" s="16"/>
      <c r="V1539">
        <v>295</v>
      </c>
    </row>
    <row r="1540" spans="3:22" ht="15.75" customHeight="1">
      <c r="C1540" s="7"/>
      <c r="D1540" s="7"/>
      <c r="H1540" s="7"/>
      <c r="Q1540" s="16"/>
      <c r="R1540" s="16"/>
      <c r="V1540">
        <v>295</v>
      </c>
    </row>
    <row r="1541" spans="3:22" ht="15.75" customHeight="1">
      <c r="C1541" s="7"/>
      <c r="D1541" s="7"/>
      <c r="H1541" s="7"/>
      <c r="Q1541" s="16"/>
      <c r="R1541" s="16"/>
      <c r="V1541">
        <v>295</v>
      </c>
    </row>
    <row r="1542" spans="3:22" ht="15.75" customHeight="1">
      <c r="C1542" s="7"/>
      <c r="D1542" s="7"/>
      <c r="H1542" s="7"/>
      <c r="Q1542" s="16"/>
      <c r="R1542" s="16"/>
      <c r="V1542">
        <v>296</v>
      </c>
    </row>
    <row r="1543" spans="3:22" ht="15.75" customHeight="1">
      <c r="C1543" s="7"/>
      <c r="D1543" s="7"/>
      <c r="H1543" s="7"/>
      <c r="Q1543" s="16"/>
      <c r="R1543" s="16"/>
      <c r="V1543">
        <v>296</v>
      </c>
    </row>
    <row r="1544" spans="3:22" ht="15.75" customHeight="1">
      <c r="C1544" s="7"/>
      <c r="D1544" s="7"/>
      <c r="H1544" s="7"/>
      <c r="Q1544" s="16"/>
      <c r="R1544" s="16"/>
      <c r="V1544">
        <v>296</v>
      </c>
    </row>
    <row r="1545" spans="3:22" ht="15.75" customHeight="1">
      <c r="C1545" s="7"/>
      <c r="D1545" s="7"/>
      <c r="H1545" s="7"/>
      <c r="Q1545" s="16"/>
      <c r="R1545" s="16"/>
      <c r="V1545">
        <v>297</v>
      </c>
    </row>
    <row r="1546" spans="3:22" ht="15.75" customHeight="1">
      <c r="C1546" s="7"/>
      <c r="D1546" s="7"/>
      <c r="H1546" s="7"/>
      <c r="Q1546" s="16"/>
      <c r="R1546" s="16"/>
      <c r="V1546">
        <v>297</v>
      </c>
    </row>
    <row r="1547" spans="3:22" ht="15.75" customHeight="1">
      <c r="C1547" s="7"/>
      <c r="D1547" s="7"/>
      <c r="H1547" s="7"/>
      <c r="Q1547" s="16"/>
      <c r="R1547" s="16"/>
      <c r="V1547">
        <v>297</v>
      </c>
    </row>
    <row r="1548" spans="3:22" ht="15.75" customHeight="1">
      <c r="C1548" s="7"/>
      <c r="D1548" s="7"/>
      <c r="H1548" s="7"/>
      <c r="Q1548" s="16"/>
      <c r="R1548" s="16"/>
      <c r="V1548">
        <v>298</v>
      </c>
    </row>
    <row r="1549" spans="3:22" ht="15.75" customHeight="1">
      <c r="C1549" s="7"/>
      <c r="D1549" s="7"/>
      <c r="H1549" s="7"/>
      <c r="Q1549" s="16"/>
      <c r="R1549" s="16"/>
      <c r="V1549">
        <v>299</v>
      </c>
    </row>
    <row r="1550" spans="3:22" ht="15.75" customHeight="1">
      <c r="C1550" s="7"/>
      <c r="D1550" s="7"/>
      <c r="H1550" s="7"/>
      <c r="Q1550" s="16"/>
      <c r="R1550" s="16"/>
      <c r="V1550">
        <v>300</v>
      </c>
    </row>
    <row r="1551" spans="3:22" ht="15.75" customHeight="1">
      <c r="C1551" s="7"/>
      <c r="D1551" s="7"/>
      <c r="H1551" s="7"/>
      <c r="Q1551" s="16"/>
      <c r="R1551" s="16"/>
      <c r="V1551">
        <v>300</v>
      </c>
    </row>
    <row r="1552" spans="3:22" ht="15.75" customHeight="1">
      <c r="C1552" s="7"/>
      <c r="D1552" s="7"/>
      <c r="H1552" s="7"/>
      <c r="Q1552" s="16"/>
      <c r="R1552" s="16"/>
      <c r="V1552">
        <v>300</v>
      </c>
    </row>
    <row r="1553" spans="3:22" ht="15.75" customHeight="1">
      <c r="C1553" s="7"/>
      <c r="D1553" s="7"/>
      <c r="H1553" s="7"/>
      <c r="Q1553" s="16"/>
      <c r="R1553" s="16"/>
      <c r="V1553">
        <v>300</v>
      </c>
    </row>
    <row r="1554" spans="3:22" ht="15.75" customHeight="1">
      <c r="C1554" s="7"/>
      <c r="D1554" s="7"/>
      <c r="H1554" s="7"/>
      <c r="Q1554" s="16"/>
      <c r="R1554" s="16"/>
      <c r="V1554">
        <v>300</v>
      </c>
    </row>
    <row r="1555" spans="3:22" ht="15.75" customHeight="1">
      <c r="C1555" s="7"/>
      <c r="D1555" s="7"/>
      <c r="H1555" s="7"/>
      <c r="Q1555" s="16"/>
      <c r="R1555" s="16"/>
      <c r="V1555">
        <v>300</v>
      </c>
    </row>
    <row r="1556" spans="3:22" ht="15.75" customHeight="1">
      <c r="C1556" s="7"/>
      <c r="D1556" s="7"/>
      <c r="H1556" s="7"/>
      <c r="Q1556" s="16"/>
      <c r="R1556" s="16"/>
      <c r="V1556">
        <v>300</v>
      </c>
    </row>
    <row r="1557" spans="3:22" ht="15.75" customHeight="1">
      <c r="C1557" s="7"/>
      <c r="D1557" s="7"/>
      <c r="H1557" s="7"/>
      <c r="Q1557" s="16"/>
      <c r="R1557" s="16"/>
      <c r="V1557">
        <v>300</v>
      </c>
    </row>
    <row r="1558" spans="3:22" ht="15.75" customHeight="1">
      <c r="C1558" s="7"/>
      <c r="D1558" s="7"/>
      <c r="H1558" s="7"/>
      <c r="Q1558" s="16"/>
      <c r="R1558" s="16"/>
      <c r="V1558">
        <v>301</v>
      </c>
    </row>
    <row r="1559" spans="3:22" ht="15.75" customHeight="1">
      <c r="C1559" s="7"/>
      <c r="D1559" s="7"/>
      <c r="H1559" s="7"/>
      <c r="Q1559" s="16"/>
      <c r="R1559" s="16"/>
      <c r="V1559">
        <v>302</v>
      </c>
    </row>
    <row r="1560" spans="3:22" ht="15.75" customHeight="1">
      <c r="C1560" s="7"/>
      <c r="D1560" s="7"/>
      <c r="H1560" s="7"/>
      <c r="Q1560" s="16"/>
      <c r="R1560" s="16"/>
      <c r="V1560">
        <v>302</v>
      </c>
    </row>
    <row r="1561" spans="3:22" ht="15.75" customHeight="1">
      <c r="C1561" s="7"/>
      <c r="D1561" s="7"/>
      <c r="H1561" s="7"/>
      <c r="Q1561" s="16"/>
      <c r="R1561" s="16"/>
      <c r="V1561">
        <v>302</v>
      </c>
    </row>
    <row r="1562" spans="3:22" ht="15.75" customHeight="1">
      <c r="C1562" s="7"/>
      <c r="D1562" s="7"/>
      <c r="H1562" s="7"/>
      <c r="Q1562" s="16"/>
      <c r="R1562" s="16"/>
      <c r="V1562">
        <v>302</v>
      </c>
    </row>
    <row r="1563" spans="3:22" ht="15.75" customHeight="1">
      <c r="C1563" s="7"/>
      <c r="D1563" s="7"/>
      <c r="H1563" s="7"/>
      <c r="Q1563" s="16"/>
      <c r="R1563" s="16"/>
      <c r="V1563">
        <v>302</v>
      </c>
    </row>
    <row r="1564" spans="3:22" ht="15.75" customHeight="1">
      <c r="C1564" s="7"/>
      <c r="D1564" s="7"/>
      <c r="H1564" s="7"/>
      <c r="Q1564" s="16"/>
      <c r="R1564" s="16"/>
      <c r="V1564">
        <v>302</v>
      </c>
    </row>
    <row r="1565" spans="3:22" ht="15.75" customHeight="1">
      <c r="C1565" s="7"/>
      <c r="D1565" s="7"/>
      <c r="H1565" s="7"/>
      <c r="Q1565" s="16"/>
      <c r="R1565" s="16"/>
      <c r="V1565">
        <v>302</v>
      </c>
    </row>
    <row r="1566" spans="3:22" ht="15.75" customHeight="1">
      <c r="C1566" s="7"/>
      <c r="D1566" s="7"/>
      <c r="H1566" s="7"/>
      <c r="Q1566" s="16"/>
      <c r="R1566" s="16"/>
      <c r="V1566">
        <v>302</v>
      </c>
    </row>
    <row r="1567" spans="3:22" ht="15.75" customHeight="1">
      <c r="C1567" s="7"/>
      <c r="D1567" s="7"/>
      <c r="H1567" s="7"/>
      <c r="Q1567" s="16"/>
      <c r="R1567" s="16"/>
      <c r="V1567">
        <v>302</v>
      </c>
    </row>
    <row r="1568" spans="3:22" ht="15.75" customHeight="1">
      <c r="C1568" s="7"/>
      <c r="D1568" s="7"/>
      <c r="H1568" s="7"/>
      <c r="Q1568" s="16"/>
      <c r="R1568" s="16"/>
      <c r="V1568">
        <v>302</v>
      </c>
    </row>
    <row r="1569" spans="3:22" ht="15.75" customHeight="1">
      <c r="C1569" s="7"/>
      <c r="D1569" s="7"/>
      <c r="H1569" s="7"/>
      <c r="Q1569" s="16"/>
      <c r="R1569" s="16"/>
      <c r="V1569">
        <v>302</v>
      </c>
    </row>
    <row r="1570" spans="3:22" ht="15.75" customHeight="1">
      <c r="C1570" s="7"/>
      <c r="D1570" s="7"/>
      <c r="H1570" s="7"/>
      <c r="Q1570" s="16"/>
      <c r="R1570" s="16"/>
      <c r="V1570">
        <v>302</v>
      </c>
    </row>
    <row r="1571" spans="3:22" ht="15.75" customHeight="1">
      <c r="C1571" s="7"/>
      <c r="D1571" s="7"/>
      <c r="H1571" s="7"/>
      <c r="Q1571" s="16"/>
      <c r="R1571" s="16"/>
      <c r="V1571">
        <v>302</v>
      </c>
    </row>
    <row r="1572" spans="3:22" ht="15.75" customHeight="1">
      <c r="C1572" s="7"/>
      <c r="D1572" s="7"/>
      <c r="H1572" s="7"/>
      <c r="Q1572" s="16"/>
      <c r="R1572" s="16"/>
      <c r="V1572">
        <v>302</v>
      </c>
    </row>
    <row r="1573" spans="3:22" ht="15.75" customHeight="1">
      <c r="C1573" s="7"/>
      <c r="D1573" s="7"/>
      <c r="H1573" s="7"/>
      <c r="Q1573" s="16"/>
      <c r="R1573" s="16"/>
      <c r="V1573">
        <v>302</v>
      </c>
    </row>
    <row r="1574" spans="3:22" ht="15.75" customHeight="1">
      <c r="C1574" s="7"/>
      <c r="D1574" s="7"/>
      <c r="H1574" s="7"/>
      <c r="Q1574" s="16"/>
      <c r="R1574" s="16"/>
      <c r="V1574">
        <v>302</v>
      </c>
    </row>
    <row r="1575" spans="3:22" ht="15.75" customHeight="1">
      <c r="C1575" s="7"/>
      <c r="D1575" s="7"/>
      <c r="H1575" s="7"/>
      <c r="Q1575" s="16"/>
      <c r="R1575" s="16"/>
      <c r="V1575">
        <v>302</v>
      </c>
    </row>
    <row r="1576" spans="3:22" ht="15.75" customHeight="1">
      <c r="C1576" s="7"/>
      <c r="D1576" s="7"/>
      <c r="H1576" s="7"/>
      <c r="Q1576" s="16"/>
      <c r="R1576" s="16"/>
      <c r="V1576">
        <v>302</v>
      </c>
    </row>
    <row r="1577" spans="3:22" ht="15.75" customHeight="1">
      <c r="C1577" s="7"/>
      <c r="D1577" s="7"/>
      <c r="H1577" s="7"/>
      <c r="Q1577" s="16"/>
      <c r="R1577" s="16"/>
      <c r="V1577">
        <v>302</v>
      </c>
    </row>
    <row r="1578" spans="3:22" ht="15.75" customHeight="1">
      <c r="C1578" s="7"/>
      <c r="D1578" s="7"/>
      <c r="H1578" s="7"/>
      <c r="Q1578" s="16"/>
      <c r="R1578" s="16"/>
      <c r="V1578">
        <v>302</v>
      </c>
    </row>
    <row r="1579" spans="3:22" ht="15.75" customHeight="1">
      <c r="C1579" s="7"/>
      <c r="D1579" s="7"/>
      <c r="H1579" s="7"/>
      <c r="Q1579" s="16"/>
      <c r="R1579" s="16"/>
      <c r="V1579">
        <v>302</v>
      </c>
    </row>
    <row r="1580" spans="3:22" ht="15.75" customHeight="1">
      <c r="C1580" s="7"/>
      <c r="D1580" s="7"/>
      <c r="H1580" s="7"/>
      <c r="Q1580" s="16"/>
      <c r="R1580" s="16"/>
      <c r="V1580">
        <v>303</v>
      </c>
    </row>
    <row r="1581" spans="3:22" ht="15.75" customHeight="1">
      <c r="C1581" s="7"/>
      <c r="D1581" s="7"/>
      <c r="H1581" s="7"/>
      <c r="Q1581" s="16"/>
      <c r="R1581" s="16"/>
      <c r="V1581">
        <v>303</v>
      </c>
    </row>
    <row r="1582" spans="3:22" ht="15.75" customHeight="1">
      <c r="C1582" s="7"/>
      <c r="D1582" s="7"/>
      <c r="H1582" s="7"/>
      <c r="Q1582" s="16"/>
      <c r="R1582" s="16"/>
      <c r="V1582">
        <v>304</v>
      </c>
    </row>
    <row r="1583" spans="3:22" ht="15.75" customHeight="1">
      <c r="C1583" s="7"/>
      <c r="D1583" s="7"/>
      <c r="H1583" s="7"/>
      <c r="Q1583" s="16"/>
      <c r="R1583" s="16"/>
      <c r="V1583">
        <v>304</v>
      </c>
    </row>
    <row r="1584" spans="3:22" ht="15.75" customHeight="1">
      <c r="C1584" s="7"/>
      <c r="D1584" s="7"/>
      <c r="H1584" s="7"/>
      <c r="Q1584" s="16"/>
      <c r="R1584" s="16"/>
      <c r="V1584">
        <v>304</v>
      </c>
    </row>
    <row r="1585" spans="3:22" ht="15.75" customHeight="1">
      <c r="C1585" s="7"/>
      <c r="D1585" s="7"/>
      <c r="H1585" s="7"/>
      <c r="Q1585" s="16"/>
      <c r="R1585" s="16"/>
      <c r="V1585">
        <v>305</v>
      </c>
    </row>
    <row r="1586" spans="3:22" ht="15.75" customHeight="1">
      <c r="C1586" s="7"/>
      <c r="D1586" s="7"/>
      <c r="H1586" s="7"/>
      <c r="Q1586" s="16"/>
      <c r="R1586" s="16"/>
      <c r="V1586">
        <v>305</v>
      </c>
    </row>
    <row r="1587" spans="3:22" ht="15.75" customHeight="1">
      <c r="C1587" s="7"/>
      <c r="D1587" s="7"/>
      <c r="H1587" s="7"/>
      <c r="Q1587" s="16"/>
      <c r="R1587" s="16"/>
      <c r="V1587">
        <v>306</v>
      </c>
    </row>
    <row r="1588" spans="3:22" ht="15.75" customHeight="1">
      <c r="C1588" s="7"/>
      <c r="D1588" s="7"/>
      <c r="H1588" s="7"/>
      <c r="Q1588" s="16"/>
      <c r="R1588" s="16"/>
      <c r="V1588">
        <v>306</v>
      </c>
    </row>
    <row r="1589" spans="3:22" ht="15.75" customHeight="1">
      <c r="C1589" s="7"/>
      <c r="D1589" s="7"/>
      <c r="H1589" s="7"/>
      <c r="Q1589" s="16"/>
      <c r="R1589" s="16"/>
      <c r="V1589">
        <v>306</v>
      </c>
    </row>
    <row r="1590" spans="3:22" ht="15.75" customHeight="1">
      <c r="C1590" s="7"/>
      <c r="D1590" s="7"/>
      <c r="H1590" s="7"/>
      <c r="Q1590" s="16"/>
      <c r="R1590" s="16"/>
      <c r="V1590">
        <v>306</v>
      </c>
    </row>
    <row r="1591" spans="3:22" ht="15.75" customHeight="1">
      <c r="C1591" s="7"/>
      <c r="D1591" s="7"/>
      <c r="H1591" s="7"/>
      <c r="Q1591" s="16"/>
      <c r="R1591" s="16"/>
      <c r="V1591">
        <v>306</v>
      </c>
    </row>
    <row r="1592" spans="3:22" ht="15.75" customHeight="1">
      <c r="C1592" s="7"/>
      <c r="D1592" s="7"/>
      <c r="H1592" s="7"/>
      <c r="Q1592" s="16"/>
      <c r="R1592" s="16"/>
      <c r="V1592">
        <v>306</v>
      </c>
    </row>
    <row r="1593" spans="3:22" ht="15.75" customHeight="1">
      <c r="C1593" s="7"/>
      <c r="D1593" s="7"/>
      <c r="H1593" s="7"/>
      <c r="Q1593" s="16"/>
      <c r="R1593" s="16"/>
      <c r="V1593">
        <v>306</v>
      </c>
    </row>
    <row r="1594" spans="3:22" ht="15.75" customHeight="1">
      <c r="C1594" s="7"/>
      <c r="D1594" s="7"/>
      <c r="H1594" s="7"/>
      <c r="Q1594" s="16"/>
      <c r="R1594" s="16"/>
      <c r="V1594">
        <v>306</v>
      </c>
    </row>
    <row r="1595" spans="3:22" ht="15.75" customHeight="1">
      <c r="C1595" s="7"/>
      <c r="D1595" s="7"/>
      <c r="H1595" s="7"/>
      <c r="Q1595" s="16"/>
      <c r="R1595" s="16"/>
      <c r="V1595">
        <v>306</v>
      </c>
    </row>
    <row r="1596" spans="3:22" ht="15.75" customHeight="1">
      <c r="C1596" s="7"/>
      <c r="D1596" s="7"/>
      <c r="H1596" s="7"/>
      <c r="Q1596" s="16"/>
      <c r="R1596" s="16"/>
      <c r="V1596">
        <v>306</v>
      </c>
    </row>
    <row r="1597" spans="3:22" ht="15.75" customHeight="1">
      <c r="C1597" s="7"/>
      <c r="D1597" s="7"/>
      <c r="H1597" s="7"/>
      <c r="Q1597" s="16"/>
      <c r="R1597" s="16"/>
      <c r="V1597">
        <v>306</v>
      </c>
    </row>
    <row r="1598" spans="3:22" ht="15.75" customHeight="1">
      <c r="C1598" s="7"/>
      <c r="D1598" s="7"/>
      <c r="H1598" s="7"/>
      <c r="Q1598" s="16"/>
      <c r="R1598" s="16"/>
      <c r="V1598">
        <v>306</v>
      </c>
    </row>
    <row r="1599" spans="3:22" ht="15.75" customHeight="1">
      <c r="C1599" s="7"/>
      <c r="D1599" s="7"/>
      <c r="H1599" s="7"/>
      <c r="Q1599" s="16"/>
      <c r="R1599" s="16"/>
      <c r="V1599">
        <v>306</v>
      </c>
    </row>
    <row r="1600" spans="3:22" ht="15.75" customHeight="1">
      <c r="C1600" s="7"/>
      <c r="D1600" s="7"/>
      <c r="H1600" s="7"/>
      <c r="Q1600" s="16"/>
      <c r="R1600" s="16"/>
      <c r="V1600">
        <v>306</v>
      </c>
    </row>
    <row r="1601" spans="3:22" ht="15.75" customHeight="1">
      <c r="C1601" s="7"/>
      <c r="D1601" s="7"/>
      <c r="H1601" s="7"/>
      <c r="Q1601" s="16"/>
      <c r="R1601" s="16"/>
      <c r="V1601">
        <v>306</v>
      </c>
    </row>
    <row r="1602" spans="3:22" ht="15.75" customHeight="1">
      <c r="C1602" s="7"/>
      <c r="D1602" s="7"/>
      <c r="H1602" s="7"/>
      <c r="Q1602" s="16"/>
      <c r="R1602" s="16"/>
      <c r="V1602">
        <v>306</v>
      </c>
    </row>
    <row r="1603" spans="3:22" ht="15.75" customHeight="1">
      <c r="C1603" s="7"/>
      <c r="D1603" s="7"/>
      <c r="H1603" s="7"/>
      <c r="Q1603" s="16"/>
      <c r="R1603" s="16"/>
      <c r="V1603">
        <v>307</v>
      </c>
    </row>
    <row r="1604" spans="3:22" ht="15.75" customHeight="1">
      <c r="C1604" s="7"/>
      <c r="D1604" s="7"/>
      <c r="H1604" s="7"/>
      <c r="Q1604" s="16"/>
      <c r="R1604" s="16"/>
      <c r="V1604">
        <v>307</v>
      </c>
    </row>
    <row r="1605" spans="3:22" ht="15.75" customHeight="1">
      <c r="C1605" s="7"/>
      <c r="D1605" s="7"/>
      <c r="H1605" s="7"/>
      <c r="Q1605" s="16"/>
      <c r="R1605" s="16"/>
      <c r="V1605">
        <v>308</v>
      </c>
    </row>
    <row r="1606" spans="3:22" ht="15.75" customHeight="1">
      <c r="C1606" s="7"/>
      <c r="D1606" s="7"/>
      <c r="H1606" s="7"/>
      <c r="Q1606" s="16"/>
      <c r="R1606" s="16"/>
      <c r="V1606">
        <v>308</v>
      </c>
    </row>
    <row r="1607" spans="3:22" ht="15.75" customHeight="1">
      <c r="C1607" s="7"/>
      <c r="D1607" s="7"/>
      <c r="H1607" s="7"/>
      <c r="Q1607" s="16"/>
      <c r="R1607" s="16"/>
      <c r="V1607">
        <v>308</v>
      </c>
    </row>
    <row r="1608" spans="3:22" ht="15.75" customHeight="1">
      <c r="C1608" s="7"/>
      <c r="D1608" s="7"/>
      <c r="H1608" s="7"/>
      <c r="Q1608" s="16"/>
      <c r="R1608" s="16"/>
      <c r="V1608">
        <v>309</v>
      </c>
    </row>
    <row r="1609" spans="3:22" ht="15.75" customHeight="1">
      <c r="C1609" s="7"/>
      <c r="D1609" s="7"/>
      <c r="H1609" s="7"/>
      <c r="Q1609" s="16"/>
      <c r="R1609" s="16"/>
      <c r="V1609">
        <v>309</v>
      </c>
    </row>
    <row r="1610" spans="3:22" ht="15.75" customHeight="1">
      <c r="C1610" s="7"/>
      <c r="D1610" s="7"/>
      <c r="H1610" s="7"/>
      <c r="Q1610" s="16"/>
      <c r="R1610" s="16"/>
      <c r="V1610">
        <v>309</v>
      </c>
    </row>
    <row r="1611" spans="3:22" ht="15.75" customHeight="1">
      <c r="C1611" s="7"/>
      <c r="D1611" s="7"/>
      <c r="H1611" s="7"/>
      <c r="Q1611" s="16"/>
      <c r="R1611" s="16"/>
      <c r="V1611">
        <v>309</v>
      </c>
    </row>
    <row r="1612" spans="3:22" ht="15.75" customHeight="1">
      <c r="C1612" s="7"/>
      <c r="D1612" s="7"/>
      <c r="H1612" s="7"/>
      <c r="Q1612" s="16"/>
      <c r="R1612" s="16"/>
      <c r="V1612">
        <v>309</v>
      </c>
    </row>
    <row r="1613" spans="3:22" ht="15.75" customHeight="1">
      <c r="C1613" s="7"/>
      <c r="D1613" s="7"/>
      <c r="H1613" s="7"/>
      <c r="Q1613" s="16"/>
      <c r="R1613" s="16"/>
      <c r="V1613">
        <v>309</v>
      </c>
    </row>
    <row r="1614" spans="3:22" ht="15.75" customHeight="1">
      <c r="C1614" s="7"/>
      <c r="D1614" s="7"/>
      <c r="H1614" s="7"/>
      <c r="Q1614" s="16"/>
      <c r="R1614" s="16"/>
      <c r="V1614">
        <v>309</v>
      </c>
    </row>
    <row r="1615" spans="3:22" ht="15.75" customHeight="1">
      <c r="C1615" s="7"/>
      <c r="D1615" s="7"/>
      <c r="H1615" s="7"/>
      <c r="Q1615" s="16"/>
      <c r="R1615" s="16"/>
      <c r="V1615">
        <v>309</v>
      </c>
    </row>
    <row r="1616" spans="3:22" ht="15.75" customHeight="1">
      <c r="C1616" s="7"/>
      <c r="D1616" s="7"/>
      <c r="H1616" s="7"/>
      <c r="Q1616" s="16"/>
      <c r="R1616" s="16"/>
      <c r="V1616">
        <v>309</v>
      </c>
    </row>
    <row r="1617" spans="3:22" ht="15.75" customHeight="1">
      <c r="C1617" s="7"/>
      <c r="D1617" s="7"/>
      <c r="H1617" s="7"/>
      <c r="Q1617" s="16"/>
      <c r="R1617" s="16"/>
      <c r="V1617">
        <v>309</v>
      </c>
    </row>
    <row r="1618" spans="3:22" ht="15.75" customHeight="1">
      <c r="C1618" s="7"/>
      <c r="D1618" s="7"/>
      <c r="H1618" s="7"/>
      <c r="Q1618" s="16"/>
      <c r="R1618" s="16"/>
      <c r="V1618">
        <v>309</v>
      </c>
    </row>
    <row r="1619" spans="3:22" ht="15.75" customHeight="1">
      <c r="C1619" s="7"/>
      <c r="D1619" s="7"/>
      <c r="H1619" s="7"/>
      <c r="Q1619" s="16"/>
      <c r="R1619" s="16"/>
      <c r="V1619">
        <v>309</v>
      </c>
    </row>
    <row r="1620" spans="3:22" ht="15.75" customHeight="1">
      <c r="C1620" s="7"/>
      <c r="D1620" s="7"/>
      <c r="H1620" s="7"/>
      <c r="Q1620" s="16"/>
      <c r="R1620" s="16"/>
      <c r="V1620">
        <v>309</v>
      </c>
    </row>
    <row r="1621" spans="3:22" ht="15.75" customHeight="1">
      <c r="C1621" s="7"/>
      <c r="D1621" s="7"/>
      <c r="H1621" s="7"/>
      <c r="Q1621" s="16"/>
      <c r="R1621" s="16"/>
      <c r="V1621">
        <v>309</v>
      </c>
    </row>
    <row r="1622" spans="3:22" ht="15.75" customHeight="1">
      <c r="C1622" s="7"/>
      <c r="D1622" s="7"/>
      <c r="H1622" s="7"/>
      <c r="Q1622" s="16"/>
      <c r="R1622" s="16"/>
      <c r="V1622">
        <v>309</v>
      </c>
    </row>
    <row r="1623" spans="3:22" ht="15.75" customHeight="1">
      <c r="C1623" s="7"/>
      <c r="D1623" s="7"/>
      <c r="H1623" s="7"/>
      <c r="Q1623" s="16"/>
      <c r="R1623" s="16"/>
      <c r="V1623">
        <v>309</v>
      </c>
    </row>
    <row r="1624" spans="3:22" ht="15.75" customHeight="1">
      <c r="C1624" s="7"/>
      <c r="D1624" s="7"/>
      <c r="H1624" s="7"/>
      <c r="Q1624" s="16"/>
      <c r="R1624" s="16"/>
      <c r="V1624">
        <v>309</v>
      </c>
    </row>
    <row r="1625" spans="3:22" ht="15.75" customHeight="1">
      <c r="C1625" s="7"/>
      <c r="D1625" s="7"/>
      <c r="H1625" s="7"/>
      <c r="Q1625" s="16"/>
      <c r="R1625" s="16"/>
      <c r="V1625">
        <v>309</v>
      </c>
    </row>
    <row r="1626" spans="3:22" ht="15.75" customHeight="1">
      <c r="C1626" s="7"/>
      <c r="D1626" s="7"/>
      <c r="H1626" s="7"/>
      <c r="Q1626" s="16"/>
      <c r="R1626" s="16"/>
      <c r="V1626">
        <v>310</v>
      </c>
    </row>
    <row r="1627" spans="3:22" ht="15.75" customHeight="1">
      <c r="C1627" s="7"/>
      <c r="D1627" s="7"/>
      <c r="H1627" s="7"/>
      <c r="Q1627" s="16"/>
      <c r="R1627" s="16"/>
      <c r="V1627">
        <v>310</v>
      </c>
    </row>
    <row r="1628" spans="3:22" ht="15.75" customHeight="1">
      <c r="C1628" s="7"/>
      <c r="D1628" s="7"/>
      <c r="H1628" s="7"/>
      <c r="Q1628" s="16"/>
      <c r="R1628" s="16"/>
      <c r="V1628">
        <v>310</v>
      </c>
    </row>
    <row r="1629" spans="3:22" ht="15.75" customHeight="1">
      <c r="C1629" s="7"/>
      <c r="D1629" s="7"/>
      <c r="H1629" s="7"/>
      <c r="Q1629" s="16"/>
      <c r="R1629" s="16"/>
      <c r="V1629">
        <v>310</v>
      </c>
    </row>
    <row r="1630" spans="3:22" ht="15.75" customHeight="1">
      <c r="C1630" s="7"/>
      <c r="D1630" s="7"/>
      <c r="H1630" s="7"/>
      <c r="Q1630" s="16"/>
      <c r="R1630" s="16"/>
      <c r="V1630">
        <v>310</v>
      </c>
    </row>
    <row r="1631" spans="3:22" ht="15.75" customHeight="1">
      <c r="C1631" s="7"/>
      <c r="D1631" s="7"/>
      <c r="H1631" s="7"/>
      <c r="Q1631" s="16"/>
      <c r="R1631" s="16"/>
      <c r="V1631">
        <v>310</v>
      </c>
    </row>
    <row r="1632" spans="3:22" ht="15.75" customHeight="1">
      <c r="C1632" s="7"/>
      <c r="D1632" s="7"/>
      <c r="H1632" s="7"/>
      <c r="Q1632" s="16"/>
      <c r="R1632" s="16"/>
      <c r="V1632">
        <v>310</v>
      </c>
    </row>
    <row r="1633" spans="3:22" ht="15.75" customHeight="1">
      <c r="C1633" s="7"/>
      <c r="D1633" s="7"/>
      <c r="H1633" s="7"/>
      <c r="Q1633" s="16"/>
      <c r="R1633" s="16"/>
      <c r="V1633">
        <v>310</v>
      </c>
    </row>
    <row r="1634" spans="3:22" ht="15.75" customHeight="1">
      <c r="C1634" s="7"/>
      <c r="D1634" s="7"/>
      <c r="H1634" s="7"/>
      <c r="Q1634" s="16"/>
      <c r="R1634" s="16"/>
      <c r="V1634">
        <v>310</v>
      </c>
    </row>
    <row r="1635" spans="3:22" ht="15.75" customHeight="1">
      <c r="C1635" s="7"/>
      <c r="D1635" s="7"/>
      <c r="H1635" s="7"/>
      <c r="Q1635" s="16"/>
      <c r="R1635" s="16"/>
      <c r="V1635">
        <v>310</v>
      </c>
    </row>
    <row r="1636" spans="3:22" ht="15.75" customHeight="1">
      <c r="C1636" s="7"/>
      <c r="D1636" s="7"/>
      <c r="H1636" s="7"/>
      <c r="Q1636" s="16"/>
      <c r="R1636" s="16"/>
      <c r="V1636">
        <v>311</v>
      </c>
    </row>
    <row r="1637" spans="3:22" ht="15.75" customHeight="1">
      <c r="C1637" s="7"/>
      <c r="D1637" s="7"/>
      <c r="H1637" s="7"/>
      <c r="Q1637" s="16"/>
      <c r="R1637" s="16"/>
      <c r="V1637">
        <v>311</v>
      </c>
    </row>
    <row r="1638" spans="3:22" ht="15.75" customHeight="1">
      <c r="C1638" s="7"/>
      <c r="D1638" s="7"/>
      <c r="H1638" s="7"/>
      <c r="Q1638" s="16"/>
      <c r="R1638" s="16"/>
      <c r="V1638">
        <v>311</v>
      </c>
    </row>
    <row r="1639" spans="3:22" ht="15.75" customHeight="1">
      <c r="C1639" s="7"/>
      <c r="D1639" s="7"/>
      <c r="H1639" s="7"/>
      <c r="Q1639" s="16"/>
      <c r="R1639" s="16"/>
      <c r="V1639">
        <v>311</v>
      </c>
    </row>
    <row r="1640" spans="3:22" ht="15.75" customHeight="1">
      <c r="C1640" s="7"/>
      <c r="D1640" s="7"/>
      <c r="H1640" s="7"/>
      <c r="Q1640" s="16"/>
      <c r="R1640" s="16"/>
      <c r="V1640">
        <v>312</v>
      </c>
    </row>
    <row r="1641" spans="3:22" ht="15.75" customHeight="1">
      <c r="C1641" s="7"/>
      <c r="D1641" s="7"/>
      <c r="H1641" s="7"/>
      <c r="Q1641" s="16"/>
      <c r="R1641" s="16"/>
      <c r="V1641">
        <v>313</v>
      </c>
    </row>
    <row r="1642" spans="3:22" ht="15.75" customHeight="1">
      <c r="C1642" s="7"/>
      <c r="D1642" s="7"/>
      <c r="H1642" s="7"/>
      <c r="Q1642" s="16"/>
      <c r="R1642" s="16"/>
      <c r="V1642">
        <v>314</v>
      </c>
    </row>
    <row r="1643" spans="3:22" ht="15.75" customHeight="1">
      <c r="C1643" s="7"/>
      <c r="D1643" s="7"/>
      <c r="H1643" s="7"/>
      <c r="Q1643" s="16"/>
      <c r="R1643" s="16"/>
      <c r="V1643">
        <v>315</v>
      </c>
    </row>
    <row r="1644" spans="3:22" ht="15.75" customHeight="1">
      <c r="C1644" s="7"/>
      <c r="D1644" s="7"/>
      <c r="H1644" s="7"/>
      <c r="Q1644" s="16"/>
      <c r="R1644" s="16"/>
      <c r="V1644">
        <v>315</v>
      </c>
    </row>
    <row r="1645" spans="3:22" ht="15.75" customHeight="1">
      <c r="C1645" s="7"/>
      <c r="D1645" s="7"/>
      <c r="H1645" s="7"/>
      <c r="Q1645" s="16"/>
      <c r="R1645" s="16"/>
      <c r="V1645">
        <v>316</v>
      </c>
    </row>
    <row r="1646" spans="3:22" ht="15.75" customHeight="1">
      <c r="C1646" s="7"/>
      <c r="D1646" s="7"/>
      <c r="H1646" s="7"/>
      <c r="Q1646" s="16"/>
      <c r="R1646" s="16"/>
      <c r="V1646">
        <v>316</v>
      </c>
    </row>
    <row r="1647" spans="3:22" ht="15.75" customHeight="1">
      <c r="C1647" s="7"/>
      <c r="D1647" s="7"/>
      <c r="H1647" s="7"/>
      <c r="Q1647" s="16"/>
      <c r="R1647" s="16"/>
      <c r="V1647">
        <v>317</v>
      </c>
    </row>
    <row r="1648" spans="3:22" ht="15.75" customHeight="1">
      <c r="C1648" s="7"/>
      <c r="D1648" s="7"/>
      <c r="H1648" s="7"/>
      <c r="Q1648" s="16"/>
      <c r="R1648" s="16"/>
      <c r="V1648">
        <v>317</v>
      </c>
    </row>
    <row r="1649" spans="3:22" ht="15.75" customHeight="1">
      <c r="C1649" s="7"/>
      <c r="D1649" s="7"/>
      <c r="H1649" s="7"/>
      <c r="Q1649" s="16"/>
      <c r="R1649" s="16"/>
      <c r="V1649">
        <v>318</v>
      </c>
    </row>
    <row r="1650" spans="3:22" ht="15.75" customHeight="1">
      <c r="C1650" s="7"/>
      <c r="D1650" s="7"/>
      <c r="H1650" s="7"/>
      <c r="Q1650" s="16"/>
      <c r="R1650" s="16"/>
      <c r="V1650">
        <v>319</v>
      </c>
    </row>
    <row r="1651" spans="3:22" ht="15.75" customHeight="1">
      <c r="C1651" s="7"/>
      <c r="D1651" s="7"/>
      <c r="H1651" s="7"/>
      <c r="Q1651" s="16"/>
      <c r="R1651" s="16"/>
      <c r="V1651">
        <v>320</v>
      </c>
    </row>
    <row r="1652" spans="3:22" ht="15.75" customHeight="1">
      <c r="C1652" s="7"/>
      <c r="D1652" s="7"/>
      <c r="H1652" s="7"/>
      <c r="Q1652" s="16"/>
      <c r="R1652" s="16"/>
      <c r="V1652">
        <v>320</v>
      </c>
    </row>
    <row r="1653" spans="3:22" ht="15.75" customHeight="1">
      <c r="C1653" s="7"/>
      <c r="D1653" s="7"/>
      <c r="H1653" s="7"/>
      <c r="Q1653" s="16"/>
      <c r="R1653" s="16"/>
      <c r="V1653">
        <v>320</v>
      </c>
    </row>
    <row r="1654" spans="3:22" ht="15.75" customHeight="1">
      <c r="C1654" s="7"/>
      <c r="D1654" s="7"/>
      <c r="H1654" s="7"/>
      <c r="Q1654" s="16"/>
      <c r="R1654" s="16"/>
      <c r="V1654">
        <v>320</v>
      </c>
    </row>
    <row r="1655" spans="3:22" ht="15.75" customHeight="1">
      <c r="C1655" s="7"/>
      <c r="D1655" s="7"/>
      <c r="H1655" s="7"/>
      <c r="Q1655" s="16"/>
      <c r="R1655" s="16"/>
      <c r="V1655">
        <v>321</v>
      </c>
    </row>
    <row r="1656" spans="3:22" ht="15.75" customHeight="1">
      <c r="C1656" s="7"/>
      <c r="D1656" s="7"/>
      <c r="H1656" s="7"/>
      <c r="Q1656" s="16"/>
      <c r="R1656" s="16"/>
      <c r="V1656">
        <v>322</v>
      </c>
    </row>
    <row r="1657" spans="3:22" ht="15.75" customHeight="1">
      <c r="C1657" s="7"/>
      <c r="D1657" s="7"/>
      <c r="H1657" s="7"/>
      <c r="Q1657" s="16"/>
      <c r="R1657" s="16"/>
      <c r="V1657">
        <v>323</v>
      </c>
    </row>
    <row r="1658" spans="3:22" ht="15.75" customHeight="1">
      <c r="C1658" s="7"/>
      <c r="D1658" s="7"/>
      <c r="H1658" s="7"/>
      <c r="Q1658" s="16"/>
      <c r="R1658" s="16"/>
      <c r="V1658">
        <v>323</v>
      </c>
    </row>
    <row r="1659" spans="3:22" ht="15.75" customHeight="1">
      <c r="C1659" s="7"/>
      <c r="D1659" s="7"/>
      <c r="H1659" s="7"/>
      <c r="Q1659" s="16"/>
      <c r="R1659" s="16"/>
      <c r="V1659">
        <v>323</v>
      </c>
    </row>
    <row r="1660" spans="3:22" ht="15.75" customHeight="1">
      <c r="C1660" s="7"/>
      <c r="D1660" s="7"/>
      <c r="H1660" s="7"/>
      <c r="Q1660" s="16"/>
      <c r="R1660" s="16"/>
      <c r="V1660">
        <v>323</v>
      </c>
    </row>
    <row r="1661" spans="3:22" ht="15.75" customHeight="1">
      <c r="C1661" s="7"/>
      <c r="D1661" s="7"/>
      <c r="H1661" s="7"/>
      <c r="Q1661" s="16"/>
      <c r="R1661" s="16"/>
      <c r="V1661">
        <v>324</v>
      </c>
    </row>
    <row r="1662" spans="3:22" ht="15.75" customHeight="1">
      <c r="C1662" s="7"/>
      <c r="D1662" s="7"/>
      <c r="H1662" s="7"/>
      <c r="Q1662" s="16"/>
      <c r="R1662" s="16"/>
      <c r="V1662">
        <v>325</v>
      </c>
    </row>
    <row r="1663" spans="3:22" ht="15.75" customHeight="1">
      <c r="C1663" s="7"/>
      <c r="D1663" s="7"/>
      <c r="H1663" s="7"/>
      <c r="Q1663" s="16"/>
      <c r="R1663" s="16"/>
      <c r="V1663">
        <v>325</v>
      </c>
    </row>
    <row r="1664" spans="3:22" ht="15.75" customHeight="1">
      <c r="C1664" s="7"/>
      <c r="D1664" s="7"/>
      <c r="H1664" s="7"/>
      <c r="Q1664" s="16"/>
      <c r="R1664" s="16"/>
      <c r="V1664">
        <v>326</v>
      </c>
    </row>
    <row r="1665" spans="3:22" ht="15.75" customHeight="1">
      <c r="C1665" s="7"/>
      <c r="D1665" s="7"/>
      <c r="H1665" s="7"/>
      <c r="Q1665" s="16"/>
      <c r="R1665" s="16"/>
      <c r="V1665">
        <v>327</v>
      </c>
    </row>
    <row r="1666" spans="3:22" ht="15.75" customHeight="1">
      <c r="C1666" s="7"/>
      <c r="D1666" s="7"/>
      <c r="H1666" s="7"/>
      <c r="Q1666" s="16"/>
      <c r="R1666" s="16"/>
      <c r="V1666">
        <v>328</v>
      </c>
    </row>
    <row r="1667" spans="3:22" ht="15.75" customHeight="1">
      <c r="C1667" s="7"/>
      <c r="D1667" s="7"/>
      <c r="H1667" s="7"/>
      <c r="Q1667" s="16"/>
      <c r="R1667" s="16"/>
      <c r="V1667">
        <v>328</v>
      </c>
    </row>
    <row r="1668" spans="3:22" ht="15.75" customHeight="1">
      <c r="C1668" s="7"/>
      <c r="D1668" s="7"/>
      <c r="H1668" s="7"/>
      <c r="Q1668" s="16"/>
      <c r="R1668" s="16"/>
      <c r="V1668">
        <v>328</v>
      </c>
    </row>
    <row r="1669" spans="3:22" ht="15.75" customHeight="1">
      <c r="C1669" s="7"/>
      <c r="D1669" s="7"/>
      <c r="H1669" s="7"/>
      <c r="Q1669" s="16"/>
      <c r="R1669" s="16"/>
      <c r="V1669">
        <v>329</v>
      </c>
    </row>
    <row r="1670" spans="3:22" ht="15.75" customHeight="1">
      <c r="C1670" s="7"/>
      <c r="D1670" s="7"/>
      <c r="H1670" s="7"/>
      <c r="Q1670" s="16"/>
      <c r="R1670" s="16"/>
      <c r="V1670">
        <v>329</v>
      </c>
    </row>
    <row r="1671" spans="3:22" ht="15.75" customHeight="1">
      <c r="C1671" s="7"/>
      <c r="D1671" s="7"/>
      <c r="H1671" s="7"/>
      <c r="Q1671" s="16"/>
      <c r="R1671" s="16"/>
      <c r="V1671">
        <v>329</v>
      </c>
    </row>
    <row r="1672" spans="3:22" ht="15.75" customHeight="1">
      <c r="C1672" s="7"/>
      <c r="D1672" s="7"/>
      <c r="H1672" s="7"/>
      <c r="Q1672" s="16"/>
      <c r="R1672" s="16"/>
      <c r="V1672">
        <v>329</v>
      </c>
    </row>
    <row r="1673" spans="3:22" ht="15.75" customHeight="1">
      <c r="C1673" s="7"/>
      <c r="D1673" s="7"/>
      <c r="H1673" s="7"/>
      <c r="Q1673" s="16"/>
      <c r="R1673" s="16"/>
      <c r="V1673">
        <v>329</v>
      </c>
    </row>
    <row r="1674" spans="3:22" ht="15.75" customHeight="1">
      <c r="C1674" s="7"/>
      <c r="D1674" s="7"/>
      <c r="H1674" s="7"/>
      <c r="Q1674" s="16"/>
      <c r="R1674" s="16"/>
      <c r="V1674">
        <v>329</v>
      </c>
    </row>
    <row r="1675" spans="3:22" ht="15.75" customHeight="1">
      <c r="C1675" s="7"/>
      <c r="D1675" s="7"/>
      <c r="H1675" s="7"/>
      <c r="Q1675" s="16"/>
      <c r="R1675" s="16"/>
      <c r="V1675">
        <v>329</v>
      </c>
    </row>
    <row r="1676" spans="3:22" ht="15.75" customHeight="1">
      <c r="C1676" s="7"/>
      <c r="D1676" s="7"/>
      <c r="H1676" s="7"/>
      <c r="Q1676" s="16"/>
      <c r="R1676" s="16"/>
      <c r="V1676">
        <v>330</v>
      </c>
    </row>
    <row r="1677" spans="3:22" ht="15.75" customHeight="1">
      <c r="C1677" s="7"/>
      <c r="D1677" s="7"/>
      <c r="H1677" s="7"/>
      <c r="Q1677" s="16"/>
      <c r="R1677" s="16"/>
      <c r="V1677">
        <v>330</v>
      </c>
    </row>
    <row r="1678" spans="3:22" ht="15.75" customHeight="1">
      <c r="C1678" s="7"/>
      <c r="D1678" s="7"/>
      <c r="H1678" s="7"/>
      <c r="Q1678" s="16"/>
      <c r="R1678" s="16"/>
      <c r="V1678">
        <v>330</v>
      </c>
    </row>
    <row r="1679" spans="3:22" ht="15.75" customHeight="1">
      <c r="C1679" s="7"/>
      <c r="D1679" s="7"/>
      <c r="H1679" s="7"/>
      <c r="Q1679" s="16"/>
      <c r="R1679" s="16"/>
      <c r="V1679">
        <v>330</v>
      </c>
    </row>
    <row r="1680" spans="3:22" ht="15.75" customHeight="1">
      <c r="C1680" s="7"/>
      <c r="D1680" s="7"/>
      <c r="H1680" s="7"/>
      <c r="Q1680" s="16"/>
      <c r="R1680" s="16"/>
      <c r="V1680">
        <v>330</v>
      </c>
    </row>
    <row r="1681" spans="3:22" ht="15.75" customHeight="1">
      <c r="C1681" s="7"/>
      <c r="D1681" s="7"/>
      <c r="H1681" s="7"/>
      <c r="Q1681" s="16"/>
      <c r="R1681" s="16"/>
      <c r="V1681">
        <v>330</v>
      </c>
    </row>
    <row r="1682" spans="3:22" ht="15.75" customHeight="1">
      <c r="C1682" s="7"/>
      <c r="D1682" s="7"/>
      <c r="H1682" s="7"/>
      <c r="Q1682" s="16"/>
      <c r="R1682" s="16"/>
      <c r="V1682">
        <v>330</v>
      </c>
    </row>
    <row r="1683" spans="3:22" ht="15.75" customHeight="1">
      <c r="C1683" s="7"/>
      <c r="D1683" s="7"/>
      <c r="H1683" s="7"/>
      <c r="Q1683" s="16"/>
      <c r="R1683" s="16"/>
      <c r="V1683">
        <v>330</v>
      </c>
    </row>
    <row r="1684" spans="3:22" ht="15.75" customHeight="1">
      <c r="C1684" s="7"/>
      <c r="D1684" s="7"/>
      <c r="H1684" s="7"/>
      <c r="Q1684" s="16"/>
      <c r="R1684" s="16"/>
      <c r="V1684">
        <v>331</v>
      </c>
    </row>
    <row r="1685" spans="3:22" ht="15.75" customHeight="1">
      <c r="C1685" s="7"/>
      <c r="D1685" s="7"/>
      <c r="H1685" s="7"/>
      <c r="Q1685" s="16"/>
      <c r="R1685" s="16"/>
      <c r="V1685">
        <v>332</v>
      </c>
    </row>
    <row r="1686" spans="3:22" ht="15.75" customHeight="1">
      <c r="C1686" s="7"/>
      <c r="D1686" s="7"/>
      <c r="H1686" s="7"/>
      <c r="Q1686" s="16"/>
      <c r="R1686" s="16"/>
      <c r="V1686">
        <v>332</v>
      </c>
    </row>
    <row r="1687" spans="3:22" ht="15.75" customHeight="1">
      <c r="C1687" s="7"/>
      <c r="D1687" s="7"/>
      <c r="H1687" s="7"/>
      <c r="Q1687" s="16"/>
      <c r="R1687" s="16"/>
      <c r="V1687">
        <v>332</v>
      </c>
    </row>
    <row r="1688" spans="3:22" ht="15.75" customHeight="1">
      <c r="C1688" s="7"/>
      <c r="D1688" s="7"/>
      <c r="H1688" s="7"/>
      <c r="Q1688" s="16"/>
      <c r="R1688" s="16"/>
      <c r="V1688">
        <v>332</v>
      </c>
    </row>
    <row r="1689" spans="3:22" ht="15.75" customHeight="1">
      <c r="C1689" s="7"/>
      <c r="D1689" s="7"/>
      <c r="H1689" s="7"/>
      <c r="Q1689" s="16"/>
      <c r="R1689" s="16"/>
      <c r="V1689">
        <v>332</v>
      </c>
    </row>
    <row r="1690" spans="3:22" ht="15.75" customHeight="1">
      <c r="C1690" s="7"/>
      <c r="D1690" s="7"/>
      <c r="H1690" s="7"/>
      <c r="Q1690" s="16"/>
      <c r="R1690" s="16"/>
      <c r="V1690">
        <v>332</v>
      </c>
    </row>
    <row r="1691" spans="3:22" ht="15.75" customHeight="1">
      <c r="C1691" s="7"/>
      <c r="D1691" s="7"/>
      <c r="H1691" s="7"/>
      <c r="Q1691" s="16"/>
      <c r="R1691" s="16"/>
      <c r="V1691">
        <v>332</v>
      </c>
    </row>
    <row r="1692" spans="3:22" ht="15.75" customHeight="1">
      <c r="C1692" s="7"/>
      <c r="D1692" s="7"/>
      <c r="H1692" s="7"/>
      <c r="Q1692" s="16"/>
      <c r="R1692" s="16"/>
      <c r="V1692">
        <v>332</v>
      </c>
    </row>
    <row r="1693" spans="3:22" ht="15.75" customHeight="1">
      <c r="C1693" s="7"/>
      <c r="D1693" s="7"/>
      <c r="H1693" s="7"/>
      <c r="Q1693" s="16"/>
      <c r="R1693" s="16"/>
      <c r="V1693">
        <v>332</v>
      </c>
    </row>
    <row r="1694" spans="3:22" ht="15.75" customHeight="1">
      <c r="C1694" s="7"/>
      <c r="D1694" s="7"/>
      <c r="H1694" s="7"/>
      <c r="Q1694" s="16"/>
      <c r="R1694" s="16"/>
      <c r="V1694">
        <v>332</v>
      </c>
    </row>
    <row r="1695" spans="3:22" ht="15.75" customHeight="1">
      <c r="C1695" s="7"/>
      <c r="D1695" s="7"/>
      <c r="H1695" s="7"/>
      <c r="Q1695" s="16"/>
      <c r="R1695" s="16"/>
      <c r="V1695">
        <v>332</v>
      </c>
    </row>
    <row r="1696" spans="3:22" ht="15.75" customHeight="1">
      <c r="C1696" s="7"/>
      <c r="D1696" s="7"/>
      <c r="H1696" s="7"/>
      <c r="Q1696" s="16"/>
      <c r="R1696" s="16"/>
      <c r="V1696">
        <v>332</v>
      </c>
    </row>
    <row r="1697" spans="3:22" ht="15.75" customHeight="1">
      <c r="C1697" s="7"/>
      <c r="D1697" s="7"/>
      <c r="H1697" s="7"/>
      <c r="Q1697" s="16"/>
      <c r="R1697" s="16"/>
      <c r="V1697">
        <v>333</v>
      </c>
    </row>
    <row r="1698" spans="3:22" ht="15.75" customHeight="1">
      <c r="C1698" s="7"/>
      <c r="D1698" s="7"/>
      <c r="H1698" s="7"/>
      <c r="Q1698" s="16"/>
      <c r="R1698" s="16"/>
      <c r="V1698">
        <v>334</v>
      </c>
    </row>
    <row r="1699" spans="3:22" ht="15.75" customHeight="1">
      <c r="C1699" s="7"/>
      <c r="D1699" s="7"/>
      <c r="H1699" s="7"/>
      <c r="Q1699" s="16"/>
      <c r="R1699" s="16"/>
      <c r="V1699">
        <v>335</v>
      </c>
    </row>
    <row r="1700" spans="3:22" ht="15.75" customHeight="1">
      <c r="C1700" s="7"/>
      <c r="D1700" s="7"/>
      <c r="H1700" s="7"/>
      <c r="Q1700" s="16"/>
      <c r="R1700" s="16"/>
      <c r="V1700">
        <v>336</v>
      </c>
    </row>
    <row r="1701" spans="3:22" ht="15.75" customHeight="1">
      <c r="C1701" s="7"/>
      <c r="D1701" s="7"/>
      <c r="H1701" s="7"/>
      <c r="Q1701" s="16"/>
      <c r="R1701" s="16"/>
      <c r="V1701">
        <v>336</v>
      </c>
    </row>
    <row r="1702" spans="3:22" ht="15.75" customHeight="1">
      <c r="C1702" s="7"/>
      <c r="D1702" s="7"/>
      <c r="H1702" s="7"/>
      <c r="Q1702" s="16"/>
      <c r="R1702" s="16"/>
      <c r="V1702">
        <v>337</v>
      </c>
    </row>
    <row r="1703" spans="3:22" ht="15.75" customHeight="1">
      <c r="C1703" s="7"/>
      <c r="D1703" s="7"/>
      <c r="H1703" s="7"/>
      <c r="Q1703" s="16"/>
      <c r="R1703" s="16"/>
      <c r="V1703">
        <v>337</v>
      </c>
    </row>
    <row r="1704" spans="3:22" ht="15.75" customHeight="1">
      <c r="C1704" s="7"/>
      <c r="D1704" s="7"/>
      <c r="H1704" s="7"/>
      <c r="Q1704" s="16"/>
      <c r="R1704" s="16"/>
      <c r="V1704">
        <v>337</v>
      </c>
    </row>
    <row r="1705" spans="3:22" ht="15.75" customHeight="1">
      <c r="C1705" s="7"/>
      <c r="D1705" s="7"/>
      <c r="H1705" s="7"/>
      <c r="Q1705" s="16"/>
      <c r="R1705" s="16"/>
      <c r="V1705">
        <v>337</v>
      </c>
    </row>
    <row r="1706" spans="3:22" ht="15.75" customHeight="1">
      <c r="C1706" s="7"/>
      <c r="D1706" s="7"/>
      <c r="H1706" s="7"/>
      <c r="Q1706" s="16"/>
      <c r="R1706" s="16"/>
      <c r="V1706">
        <v>337</v>
      </c>
    </row>
    <row r="1707" spans="3:22" ht="15.75" customHeight="1">
      <c r="C1707" s="7"/>
      <c r="D1707" s="7"/>
      <c r="H1707" s="7"/>
      <c r="Q1707" s="16"/>
      <c r="R1707" s="16"/>
      <c r="V1707">
        <v>337</v>
      </c>
    </row>
    <row r="1708" spans="3:22" ht="15.75" customHeight="1">
      <c r="C1708" s="7"/>
      <c r="D1708" s="7"/>
      <c r="H1708" s="7"/>
      <c r="Q1708" s="16"/>
      <c r="R1708" s="16"/>
      <c r="V1708">
        <v>337</v>
      </c>
    </row>
    <row r="1709" spans="3:22" ht="15.75" customHeight="1">
      <c r="C1709" s="7"/>
      <c r="D1709" s="7"/>
      <c r="H1709" s="7"/>
      <c r="Q1709" s="16"/>
      <c r="R1709" s="16"/>
      <c r="V1709">
        <v>337</v>
      </c>
    </row>
    <row r="1710" spans="3:22" ht="15.75" customHeight="1">
      <c r="C1710" s="7"/>
      <c r="D1710" s="7"/>
      <c r="H1710" s="7"/>
      <c r="Q1710" s="16"/>
      <c r="R1710" s="16"/>
      <c r="V1710">
        <v>338</v>
      </c>
    </row>
    <row r="1711" spans="3:22" ht="15.75" customHeight="1">
      <c r="C1711" s="7"/>
      <c r="D1711" s="7"/>
      <c r="H1711" s="7"/>
      <c r="Q1711" s="16"/>
      <c r="R1711" s="16"/>
      <c r="V1711">
        <v>339</v>
      </c>
    </row>
    <row r="1712" spans="3:22" ht="15.75" customHeight="1">
      <c r="C1712" s="7"/>
      <c r="D1712" s="7"/>
      <c r="H1712" s="7"/>
      <c r="Q1712" s="16"/>
      <c r="R1712" s="16"/>
      <c r="V1712">
        <v>340</v>
      </c>
    </row>
    <row r="1713" spans="3:22" ht="15.75" customHeight="1">
      <c r="C1713" s="7"/>
      <c r="D1713" s="7"/>
      <c r="H1713" s="7"/>
      <c r="Q1713" s="16"/>
      <c r="R1713" s="16"/>
      <c r="V1713">
        <v>340</v>
      </c>
    </row>
    <row r="1714" spans="3:22" ht="15.75" customHeight="1">
      <c r="C1714" s="7"/>
      <c r="D1714" s="7"/>
      <c r="H1714" s="7"/>
      <c r="Q1714" s="16"/>
      <c r="R1714" s="16"/>
      <c r="V1714">
        <v>340</v>
      </c>
    </row>
    <row r="1715" spans="3:22" ht="15.75" customHeight="1">
      <c r="C1715" s="7"/>
      <c r="D1715" s="7"/>
      <c r="H1715" s="7"/>
      <c r="Q1715" s="16"/>
      <c r="R1715" s="16"/>
      <c r="V1715">
        <v>340</v>
      </c>
    </row>
    <row r="1716" spans="3:22" ht="15.75" customHeight="1">
      <c r="C1716" s="7"/>
      <c r="D1716" s="7"/>
      <c r="H1716" s="7"/>
      <c r="Q1716" s="16"/>
      <c r="R1716" s="16"/>
      <c r="V1716">
        <v>340</v>
      </c>
    </row>
    <row r="1717" spans="3:22" ht="15.75" customHeight="1">
      <c r="C1717" s="7"/>
      <c r="D1717" s="7"/>
      <c r="H1717" s="7"/>
      <c r="Q1717" s="16"/>
      <c r="R1717" s="16"/>
      <c r="V1717">
        <v>340</v>
      </c>
    </row>
    <row r="1718" spans="3:22" ht="15.75" customHeight="1">
      <c r="C1718" s="7"/>
      <c r="D1718" s="7"/>
      <c r="H1718" s="7"/>
      <c r="Q1718" s="16"/>
      <c r="R1718" s="16"/>
      <c r="V1718">
        <v>340</v>
      </c>
    </row>
    <row r="1719" spans="3:22" ht="15.75" customHeight="1">
      <c r="C1719" s="7"/>
      <c r="D1719" s="7"/>
      <c r="H1719" s="7"/>
      <c r="Q1719" s="16"/>
      <c r="R1719" s="16"/>
      <c r="V1719">
        <v>340</v>
      </c>
    </row>
    <row r="1720" spans="3:22" ht="15.75" customHeight="1">
      <c r="C1720" s="7"/>
      <c r="D1720" s="7"/>
      <c r="H1720" s="7"/>
      <c r="Q1720" s="16"/>
      <c r="R1720" s="16"/>
      <c r="V1720">
        <v>340</v>
      </c>
    </row>
    <row r="1721" spans="3:22" ht="15.75" customHeight="1">
      <c r="C1721" s="7"/>
      <c r="D1721" s="7"/>
      <c r="H1721" s="7"/>
      <c r="Q1721" s="16"/>
      <c r="R1721" s="16"/>
      <c r="V1721">
        <v>340</v>
      </c>
    </row>
    <row r="1722" spans="3:22" ht="15.75" customHeight="1">
      <c r="C1722" s="7"/>
      <c r="D1722" s="7"/>
      <c r="H1722" s="7"/>
      <c r="Q1722" s="16"/>
      <c r="R1722" s="16"/>
      <c r="V1722">
        <v>340</v>
      </c>
    </row>
    <row r="1723" spans="3:22" ht="15.75" customHeight="1">
      <c r="C1723" s="7"/>
      <c r="D1723" s="7"/>
      <c r="H1723" s="7"/>
      <c r="Q1723" s="16"/>
      <c r="R1723" s="16"/>
      <c r="V1723">
        <v>340</v>
      </c>
    </row>
    <row r="1724" spans="3:22" ht="15.75" customHeight="1">
      <c r="C1724" s="7"/>
      <c r="D1724" s="7"/>
      <c r="H1724" s="7"/>
      <c r="Q1724" s="16"/>
      <c r="R1724" s="16"/>
      <c r="V1724">
        <v>340</v>
      </c>
    </row>
    <row r="1725" spans="3:22" ht="15.75" customHeight="1">
      <c r="C1725" s="7"/>
      <c r="D1725" s="7"/>
      <c r="H1725" s="7"/>
      <c r="Q1725" s="16"/>
      <c r="R1725" s="16"/>
      <c r="V1725">
        <v>340</v>
      </c>
    </row>
    <row r="1726" spans="3:22" ht="15.75" customHeight="1">
      <c r="C1726" s="7"/>
      <c r="D1726" s="7"/>
      <c r="H1726" s="7"/>
      <c r="Q1726" s="16"/>
      <c r="R1726" s="16"/>
      <c r="V1726">
        <v>340</v>
      </c>
    </row>
    <row r="1727" spans="3:22" ht="15.75" customHeight="1">
      <c r="C1727" s="7"/>
      <c r="D1727" s="7"/>
      <c r="H1727" s="7"/>
      <c r="Q1727" s="16"/>
      <c r="R1727" s="16"/>
      <c r="V1727">
        <v>341</v>
      </c>
    </row>
    <row r="1728" spans="3:22" ht="15.75" customHeight="1">
      <c r="C1728" s="7"/>
      <c r="D1728" s="7"/>
      <c r="H1728" s="7"/>
      <c r="Q1728" s="16"/>
      <c r="R1728" s="16"/>
      <c r="V1728">
        <v>341</v>
      </c>
    </row>
    <row r="1729" spans="3:22" ht="15.75" customHeight="1">
      <c r="C1729" s="7"/>
      <c r="D1729" s="7"/>
      <c r="H1729" s="7"/>
      <c r="Q1729" s="16"/>
      <c r="R1729" s="16"/>
      <c r="V1729">
        <v>341</v>
      </c>
    </row>
    <row r="1730" spans="3:22" ht="15.75" customHeight="1">
      <c r="C1730" s="7"/>
      <c r="D1730" s="7"/>
      <c r="H1730" s="7"/>
      <c r="Q1730" s="16"/>
      <c r="R1730" s="16"/>
      <c r="V1730">
        <v>341</v>
      </c>
    </row>
    <row r="1731" spans="3:22" ht="15.75" customHeight="1">
      <c r="C1731" s="7"/>
      <c r="D1731" s="7"/>
      <c r="H1731" s="7"/>
      <c r="Q1731" s="16"/>
      <c r="R1731" s="16"/>
      <c r="V1731">
        <v>341</v>
      </c>
    </row>
    <row r="1732" spans="3:22" ht="15.75" customHeight="1">
      <c r="C1732" s="7"/>
      <c r="D1732" s="7"/>
      <c r="H1732" s="7"/>
      <c r="Q1732" s="16"/>
      <c r="R1732" s="16"/>
      <c r="V1732">
        <v>341</v>
      </c>
    </row>
    <row r="1733" spans="3:22" ht="15.75" customHeight="1">
      <c r="C1733" s="7"/>
      <c r="D1733" s="7"/>
      <c r="H1733" s="7"/>
      <c r="Q1733" s="16"/>
      <c r="R1733" s="16"/>
      <c r="V1733">
        <v>341</v>
      </c>
    </row>
    <row r="1734" spans="3:22" ht="15.75" customHeight="1">
      <c r="C1734" s="7"/>
      <c r="D1734" s="7"/>
      <c r="H1734" s="7"/>
      <c r="Q1734" s="16"/>
      <c r="R1734" s="16"/>
      <c r="V1734">
        <v>341</v>
      </c>
    </row>
    <row r="1735" spans="3:22" ht="15.75" customHeight="1">
      <c r="C1735" s="7"/>
      <c r="D1735" s="7"/>
      <c r="H1735" s="7"/>
      <c r="Q1735" s="16"/>
      <c r="R1735" s="16"/>
      <c r="V1735">
        <v>341</v>
      </c>
    </row>
    <row r="1736" spans="3:22" ht="15.75" customHeight="1">
      <c r="C1736" s="7"/>
      <c r="D1736" s="7"/>
      <c r="H1736" s="7"/>
      <c r="Q1736" s="16"/>
      <c r="R1736" s="16"/>
      <c r="V1736">
        <v>341</v>
      </c>
    </row>
    <row r="1737" spans="3:22" ht="15.75" customHeight="1">
      <c r="C1737" s="7"/>
      <c r="D1737" s="7"/>
      <c r="H1737" s="7"/>
      <c r="Q1737" s="16"/>
      <c r="R1737" s="16"/>
      <c r="V1737">
        <v>341</v>
      </c>
    </row>
    <row r="1738" spans="3:22" ht="15.75" customHeight="1">
      <c r="C1738" s="7"/>
      <c r="D1738" s="7"/>
      <c r="H1738" s="7"/>
      <c r="Q1738" s="16"/>
      <c r="R1738" s="16"/>
      <c r="V1738">
        <v>341</v>
      </c>
    </row>
    <row r="1739" spans="3:22" ht="15.75" customHeight="1">
      <c r="C1739" s="7"/>
      <c r="D1739" s="7"/>
      <c r="H1739" s="7"/>
      <c r="Q1739" s="16"/>
      <c r="R1739" s="16"/>
      <c r="V1739">
        <v>341</v>
      </c>
    </row>
    <row r="1740" spans="3:22" ht="15.75" customHeight="1">
      <c r="C1740" s="7"/>
      <c r="D1740" s="7"/>
      <c r="H1740" s="7"/>
      <c r="Q1740" s="16"/>
      <c r="R1740" s="16"/>
      <c r="V1740">
        <v>341</v>
      </c>
    </row>
    <row r="1741" spans="3:22" ht="15.75" customHeight="1">
      <c r="C1741" s="7"/>
      <c r="D1741" s="7"/>
      <c r="H1741" s="7"/>
      <c r="Q1741" s="16"/>
      <c r="R1741" s="16"/>
      <c r="V1741">
        <v>342</v>
      </c>
    </row>
    <row r="1742" spans="3:22" ht="15.75" customHeight="1">
      <c r="C1742" s="7"/>
      <c r="D1742" s="7"/>
      <c r="H1742" s="7"/>
      <c r="Q1742" s="16"/>
      <c r="R1742" s="16"/>
      <c r="V1742">
        <v>342</v>
      </c>
    </row>
    <row r="1743" spans="3:22" ht="15.75" customHeight="1">
      <c r="C1743" s="7"/>
      <c r="D1743" s="7"/>
      <c r="H1743" s="7"/>
      <c r="Q1743" s="16"/>
      <c r="R1743" s="16"/>
      <c r="V1743">
        <v>342</v>
      </c>
    </row>
    <row r="1744" spans="3:22" ht="15.75" customHeight="1">
      <c r="C1744" s="7"/>
      <c r="D1744" s="7"/>
      <c r="H1744" s="7"/>
      <c r="Q1744" s="16"/>
      <c r="R1744" s="16"/>
      <c r="V1744">
        <v>342</v>
      </c>
    </row>
    <row r="1745" spans="3:22" ht="15.75" customHeight="1">
      <c r="C1745" s="7"/>
      <c r="D1745" s="7"/>
      <c r="H1745" s="7"/>
      <c r="Q1745" s="16"/>
      <c r="R1745" s="16"/>
      <c r="V1745">
        <v>343</v>
      </c>
    </row>
    <row r="1746" spans="3:22" ht="15.75" customHeight="1">
      <c r="C1746" s="7"/>
      <c r="D1746" s="7"/>
      <c r="H1746" s="7"/>
      <c r="Q1746" s="16"/>
      <c r="R1746" s="16"/>
      <c r="V1746">
        <v>344</v>
      </c>
    </row>
    <row r="1747" spans="3:22" ht="15.75" customHeight="1">
      <c r="C1747" s="7"/>
      <c r="D1747" s="7"/>
      <c r="H1747" s="7"/>
      <c r="Q1747" s="16"/>
      <c r="R1747" s="16"/>
      <c r="V1747">
        <v>345</v>
      </c>
    </row>
    <row r="1748" spans="3:22" ht="15.75" customHeight="1">
      <c r="C1748" s="7"/>
      <c r="D1748" s="7"/>
      <c r="H1748" s="7"/>
      <c r="Q1748" s="16"/>
      <c r="R1748" s="16"/>
      <c r="V1748">
        <v>346</v>
      </c>
    </row>
    <row r="1749" spans="3:22" ht="15.75" customHeight="1">
      <c r="C1749" s="7"/>
      <c r="D1749" s="7"/>
      <c r="H1749" s="7"/>
      <c r="Q1749" s="16"/>
      <c r="R1749" s="16"/>
      <c r="V1749">
        <v>347</v>
      </c>
    </row>
    <row r="1750" spans="3:22" ht="15.75" customHeight="1">
      <c r="C1750" s="7"/>
      <c r="D1750" s="7"/>
      <c r="H1750" s="7"/>
      <c r="Q1750" s="16"/>
      <c r="R1750" s="16"/>
      <c r="V1750">
        <v>347</v>
      </c>
    </row>
    <row r="1751" spans="3:22" ht="15.75" customHeight="1">
      <c r="C1751" s="7"/>
      <c r="D1751" s="7"/>
      <c r="H1751" s="7"/>
      <c r="Q1751" s="16"/>
      <c r="R1751" s="16"/>
      <c r="V1751">
        <v>347</v>
      </c>
    </row>
    <row r="1752" spans="3:22" ht="15.75" customHeight="1">
      <c r="C1752" s="7"/>
      <c r="D1752" s="7"/>
      <c r="H1752" s="7"/>
      <c r="Q1752" s="16"/>
      <c r="R1752" s="16"/>
      <c r="V1752">
        <v>347</v>
      </c>
    </row>
    <row r="1753" spans="3:22" ht="15.75" customHeight="1">
      <c r="C1753" s="7"/>
      <c r="D1753" s="7"/>
      <c r="H1753" s="7"/>
      <c r="Q1753" s="16"/>
      <c r="R1753" s="16"/>
      <c r="V1753">
        <v>347</v>
      </c>
    </row>
    <row r="1754" spans="3:22" ht="15.75" customHeight="1">
      <c r="C1754" s="7"/>
      <c r="D1754" s="7"/>
      <c r="H1754" s="7"/>
      <c r="Q1754" s="16"/>
      <c r="R1754" s="16"/>
      <c r="V1754">
        <v>347</v>
      </c>
    </row>
    <row r="1755" spans="3:22" ht="15.75" customHeight="1">
      <c r="C1755" s="7"/>
      <c r="D1755" s="7"/>
      <c r="H1755" s="7"/>
      <c r="Q1755" s="16"/>
      <c r="R1755" s="16"/>
      <c r="V1755">
        <v>347</v>
      </c>
    </row>
    <row r="1756" spans="3:22" ht="15.75" customHeight="1">
      <c r="C1756" s="7"/>
      <c r="D1756" s="7"/>
      <c r="H1756" s="7"/>
      <c r="Q1756" s="16"/>
      <c r="R1756" s="16"/>
      <c r="V1756">
        <v>347</v>
      </c>
    </row>
    <row r="1757" spans="3:22" ht="15.75" customHeight="1">
      <c r="C1757" s="7"/>
      <c r="D1757" s="7"/>
      <c r="H1757" s="7"/>
      <c r="Q1757" s="16"/>
      <c r="R1757" s="16"/>
      <c r="V1757">
        <v>347</v>
      </c>
    </row>
    <row r="1758" spans="3:22" ht="15.75" customHeight="1">
      <c r="C1758" s="7"/>
      <c r="D1758" s="7"/>
      <c r="H1758" s="7"/>
      <c r="Q1758" s="16"/>
      <c r="R1758" s="16"/>
      <c r="V1758">
        <v>347</v>
      </c>
    </row>
    <row r="1759" spans="3:22" ht="15.75" customHeight="1">
      <c r="C1759" s="7"/>
      <c r="D1759" s="7"/>
      <c r="H1759" s="7"/>
      <c r="Q1759" s="16"/>
      <c r="R1759" s="16"/>
      <c r="V1759">
        <v>347</v>
      </c>
    </row>
    <row r="1760" spans="3:22" ht="15.75" customHeight="1">
      <c r="C1760" s="7"/>
      <c r="D1760" s="7"/>
      <c r="H1760" s="7"/>
      <c r="Q1760" s="16"/>
      <c r="R1760" s="16"/>
      <c r="V1760">
        <v>347</v>
      </c>
    </row>
    <row r="1761" spans="3:22" ht="15.75" customHeight="1">
      <c r="C1761" s="7"/>
      <c r="D1761" s="7"/>
      <c r="H1761" s="7"/>
      <c r="Q1761" s="16"/>
      <c r="R1761" s="16"/>
      <c r="V1761">
        <v>347</v>
      </c>
    </row>
    <row r="1762" spans="3:22" ht="15.75" customHeight="1">
      <c r="C1762" s="7"/>
      <c r="D1762" s="7"/>
      <c r="H1762" s="7"/>
      <c r="Q1762" s="16"/>
      <c r="R1762" s="16"/>
      <c r="V1762">
        <v>347</v>
      </c>
    </row>
    <row r="1763" spans="3:22" ht="15.75" customHeight="1">
      <c r="C1763" s="7"/>
      <c r="D1763" s="7"/>
      <c r="H1763" s="7"/>
      <c r="Q1763" s="16"/>
      <c r="R1763" s="16"/>
      <c r="V1763">
        <v>347</v>
      </c>
    </row>
    <row r="1764" spans="3:22" ht="15.75" customHeight="1">
      <c r="C1764" s="7"/>
      <c r="D1764" s="7"/>
      <c r="H1764" s="7"/>
      <c r="Q1764" s="16"/>
      <c r="R1764" s="16"/>
      <c r="V1764">
        <v>347</v>
      </c>
    </row>
    <row r="1765" spans="3:22" ht="15.75" customHeight="1">
      <c r="C1765" s="7"/>
      <c r="D1765" s="7"/>
      <c r="H1765" s="7"/>
      <c r="Q1765" s="16"/>
      <c r="R1765" s="16"/>
      <c r="V1765">
        <v>348</v>
      </c>
    </row>
    <row r="1766" spans="3:22" ht="15.75" customHeight="1">
      <c r="C1766" s="7"/>
      <c r="D1766" s="7"/>
      <c r="H1766" s="7"/>
      <c r="Q1766" s="16"/>
      <c r="R1766" s="16"/>
      <c r="V1766">
        <v>349</v>
      </c>
    </row>
    <row r="1767" spans="3:22" ht="15.75" customHeight="1">
      <c r="C1767" s="7"/>
      <c r="D1767" s="7"/>
      <c r="H1767" s="7"/>
      <c r="Q1767" s="16"/>
      <c r="R1767" s="16"/>
      <c r="V1767">
        <v>349</v>
      </c>
    </row>
    <row r="1768" spans="3:22" ht="15.75" customHeight="1">
      <c r="C1768" s="7"/>
      <c r="D1768" s="7"/>
      <c r="H1768" s="7"/>
      <c r="Q1768" s="16"/>
      <c r="R1768" s="16"/>
      <c r="V1768">
        <v>350</v>
      </c>
    </row>
    <row r="1769" spans="3:22" ht="15.75" customHeight="1">
      <c r="C1769" s="7"/>
      <c r="D1769" s="7"/>
      <c r="H1769" s="7"/>
      <c r="Q1769" s="16"/>
      <c r="R1769" s="16"/>
      <c r="V1769">
        <v>350</v>
      </c>
    </row>
    <row r="1770" spans="3:22" ht="15.75" customHeight="1">
      <c r="C1770" s="7"/>
      <c r="D1770" s="7"/>
      <c r="H1770" s="7"/>
      <c r="Q1770" s="16"/>
      <c r="R1770" s="16"/>
      <c r="V1770">
        <v>350</v>
      </c>
    </row>
    <row r="1771" spans="3:22" ht="15.75" customHeight="1">
      <c r="C1771" s="7"/>
      <c r="D1771" s="7"/>
      <c r="H1771" s="7"/>
      <c r="Q1771" s="16"/>
      <c r="R1771" s="16"/>
      <c r="V1771">
        <v>350</v>
      </c>
    </row>
    <row r="1772" spans="3:22" ht="15.75" customHeight="1">
      <c r="C1772" s="7"/>
      <c r="D1772" s="7"/>
      <c r="H1772" s="7"/>
      <c r="Q1772" s="16"/>
      <c r="R1772" s="16"/>
      <c r="V1772">
        <v>350</v>
      </c>
    </row>
    <row r="1773" spans="3:22" ht="15.75" customHeight="1">
      <c r="C1773" s="7"/>
      <c r="D1773" s="7"/>
      <c r="H1773" s="7"/>
      <c r="Q1773" s="16"/>
      <c r="R1773" s="16"/>
      <c r="V1773">
        <v>350</v>
      </c>
    </row>
    <row r="1774" spans="3:22" ht="15.75" customHeight="1">
      <c r="C1774" s="7"/>
      <c r="D1774" s="7"/>
      <c r="H1774" s="7"/>
      <c r="Q1774" s="16"/>
      <c r="R1774" s="16"/>
      <c r="V1774">
        <v>351</v>
      </c>
    </row>
    <row r="1775" spans="3:22" ht="15.75" customHeight="1">
      <c r="C1775" s="7"/>
      <c r="D1775" s="7"/>
      <c r="H1775" s="7"/>
      <c r="Q1775" s="16"/>
      <c r="R1775" s="16"/>
      <c r="V1775">
        <v>351</v>
      </c>
    </row>
    <row r="1776" spans="3:22" ht="15.75" customHeight="1">
      <c r="C1776" s="7"/>
      <c r="D1776" s="7"/>
      <c r="H1776" s="7"/>
      <c r="Q1776" s="16"/>
      <c r="R1776" s="16"/>
      <c r="V1776">
        <v>352</v>
      </c>
    </row>
    <row r="1777" spans="3:22" ht="15.75" customHeight="1">
      <c r="C1777" s="7"/>
      <c r="D1777" s="7"/>
      <c r="H1777" s="7"/>
      <c r="Q1777" s="16"/>
      <c r="R1777" s="16"/>
      <c r="V1777">
        <v>352</v>
      </c>
    </row>
    <row r="1778" spans="3:22" ht="15.75" customHeight="1">
      <c r="C1778" s="7"/>
      <c r="D1778" s="7"/>
      <c r="H1778" s="7"/>
      <c r="Q1778" s="16"/>
      <c r="R1778" s="16"/>
      <c r="V1778">
        <v>352</v>
      </c>
    </row>
    <row r="1779" spans="3:22" ht="15.75" customHeight="1">
      <c r="C1779" s="7"/>
      <c r="D1779" s="7"/>
      <c r="H1779" s="7"/>
      <c r="Q1779" s="16"/>
      <c r="R1779" s="16"/>
      <c r="V1779">
        <v>352</v>
      </c>
    </row>
    <row r="1780" spans="3:22" ht="15.75" customHeight="1">
      <c r="C1780" s="7"/>
      <c r="D1780" s="7"/>
      <c r="H1780" s="7"/>
      <c r="Q1780" s="16"/>
      <c r="R1780" s="16"/>
      <c r="V1780">
        <v>352</v>
      </c>
    </row>
    <row r="1781" spans="3:22" ht="15.75" customHeight="1">
      <c r="C1781" s="7"/>
      <c r="D1781" s="7"/>
      <c r="H1781" s="7"/>
      <c r="Q1781" s="16"/>
      <c r="R1781" s="16"/>
      <c r="V1781">
        <v>352</v>
      </c>
    </row>
    <row r="1782" spans="3:22" ht="15.75" customHeight="1">
      <c r="C1782" s="7"/>
      <c r="D1782" s="7"/>
      <c r="H1782" s="7"/>
      <c r="Q1782" s="16"/>
      <c r="R1782" s="16"/>
      <c r="V1782">
        <v>352</v>
      </c>
    </row>
    <row r="1783" spans="3:22" ht="15.75" customHeight="1">
      <c r="C1783" s="7"/>
      <c r="D1783" s="7"/>
      <c r="H1783" s="7"/>
      <c r="Q1783" s="16"/>
      <c r="R1783" s="16"/>
      <c r="V1783">
        <v>353</v>
      </c>
    </row>
    <row r="1784" spans="3:22" ht="15.75" customHeight="1">
      <c r="C1784" s="7"/>
      <c r="D1784" s="7"/>
      <c r="H1784" s="7"/>
      <c r="Q1784" s="16"/>
      <c r="R1784" s="16"/>
      <c r="V1784">
        <v>353</v>
      </c>
    </row>
    <row r="1785" spans="3:22" ht="15.75" customHeight="1">
      <c r="C1785" s="7"/>
      <c r="D1785" s="7"/>
      <c r="H1785" s="7"/>
      <c r="Q1785" s="16"/>
      <c r="R1785" s="16"/>
      <c r="V1785">
        <v>353</v>
      </c>
    </row>
    <row r="1786" spans="3:22" ht="15.75" customHeight="1">
      <c r="C1786" s="7"/>
      <c r="D1786" s="7"/>
      <c r="H1786" s="7"/>
      <c r="Q1786" s="16"/>
      <c r="R1786" s="16"/>
      <c r="V1786">
        <v>353</v>
      </c>
    </row>
    <row r="1787" spans="3:22" ht="15.75" customHeight="1">
      <c r="C1787" s="7"/>
      <c r="D1787" s="7"/>
      <c r="H1787" s="7"/>
      <c r="Q1787" s="16"/>
      <c r="R1787" s="16"/>
      <c r="V1787">
        <v>353</v>
      </c>
    </row>
    <row r="1788" spans="3:22" ht="15.75" customHeight="1">
      <c r="C1788" s="7"/>
      <c r="D1788" s="7"/>
      <c r="H1788" s="7"/>
      <c r="Q1788" s="16"/>
      <c r="R1788" s="16"/>
      <c r="V1788">
        <v>353</v>
      </c>
    </row>
    <row r="1789" spans="3:22" ht="15.75" customHeight="1">
      <c r="C1789" s="7"/>
      <c r="D1789" s="7"/>
      <c r="H1789" s="7"/>
      <c r="Q1789" s="16"/>
      <c r="R1789" s="16"/>
      <c r="V1789">
        <v>354</v>
      </c>
    </row>
    <row r="1790" spans="3:22" ht="15.75" customHeight="1">
      <c r="C1790" s="7"/>
      <c r="D1790" s="7"/>
      <c r="H1790" s="7"/>
      <c r="Q1790" s="16"/>
      <c r="R1790" s="16"/>
      <c r="V1790">
        <v>354</v>
      </c>
    </row>
    <row r="1791" spans="3:22" ht="15.75" customHeight="1">
      <c r="C1791" s="7"/>
      <c r="D1791" s="7"/>
      <c r="H1791" s="7"/>
      <c r="Q1791" s="16"/>
      <c r="R1791" s="16"/>
      <c r="V1791">
        <v>354</v>
      </c>
    </row>
    <row r="1792" spans="3:22" ht="15.75" customHeight="1">
      <c r="C1792" s="7"/>
      <c r="D1792" s="7"/>
      <c r="H1792" s="7"/>
      <c r="Q1792" s="16"/>
      <c r="R1792" s="16"/>
      <c r="V1792">
        <v>354</v>
      </c>
    </row>
    <row r="1793" spans="3:22" ht="15.75" customHeight="1">
      <c r="C1793" s="7"/>
      <c r="D1793" s="7"/>
      <c r="H1793" s="7"/>
      <c r="Q1793" s="16"/>
      <c r="R1793" s="16"/>
      <c r="V1793">
        <v>354</v>
      </c>
    </row>
    <row r="1794" spans="3:22" ht="15.75" customHeight="1">
      <c r="C1794" s="7"/>
      <c r="D1794" s="7"/>
      <c r="H1794" s="7"/>
      <c r="Q1794" s="16"/>
      <c r="R1794" s="16"/>
      <c r="V1794">
        <v>354</v>
      </c>
    </row>
    <row r="1795" spans="3:22" ht="15.75" customHeight="1">
      <c r="C1795" s="7"/>
      <c r="D1795" s="7"/>
      <c r="H1795" s="7"/>
      <c r="Q1795" s="16"/>
      <c r="R1795" s="16"/>
      <c r="V1795">
        <v>354</v>
      </c>
    </row>
    <row r="1796" spans="3:22" ht="15.75" customHeight="1">
      <c r="C1796" s="7"/>
      <c r="D1796" s="7"/>
      <c r="H1796" s="7"/>
      <c r="Q1796" s="16"/>
      <c r="R1796" s="16"/>
      <c r="V1796">
        <v>355</v>
      </c>
    </row>
    <row r="1797" spans="3:22" ht="15.75" customHeight="1">
      <c r="C1797" s="7"/>
      <c r="D1797" s="7"/>
      <c r="H1797" s="7"/>
      <c r="Q1797" s="16"/>
      <c r="R1797" s="16"/>
      <c r="V1797">
        <v>355</v>
      </c>
    </row>
    <row r="1798" spans="3:22" ht="15.75" customHeight="1">
      <c r="C1798" s="7"/>
      <c r="D1798" s="7"/>
      <c r="H1798" s="7"/>
      <c r="Q1798" s="16"/>
      <c r="R1798" s="16"/>
      <c r="V1798">
        <v>355</v>
      </c>
    </row>
    <row r="1799" spans="3:22" ht="15.75" customHeight="1">
      <c r="C1799" s="7"/>
      <c r="D1799" s="7"/>
      <c r="H1799" s="7"/>
      <c r="Q1799" s="16"/>
      <c r="R1799" s="16"/>
      <c r="V1799">
        <v>356</v>
      </c>
    </row>
    <row r="1800" spans="3:22" ht="15.75" customHeight="1">
      <c r="C1800" s="7"/>
      <c r="D1800" s="7"/>
      <c r="H1800" s="7"/>
      <c r="Q1800" s="16"/>
      <c r="R1800" s="16"/>
      <c r="V1800">
        <v>356</v>
      </c>
    </row>
    <row r="1801" spans="3:22" ht="15.75" customHeight="1">
      <c r="C1801" s="7"/>
      <c r="D1801" s="7"/>
      <c r="H1801" s="7"/>
      <c r="Q1801" s="16"/>
      <c r="R1801" s="16"/>
      <c r="V1801">
        <v>356</v>
      </c>
    </row>
    <row r="1802" spans="3:22" ht="15.75" customHeight="1">
      <c r="C1802" s="7"/>
      <c r="D1802" s="7"/>
      <c r="H1802" s="7"/>
      <c r="Q1802" s="16"/>
      <c r="R1802" s="16"/>
      <c r="V1802">
        <v>356</v>
      </c>
    </row>
    <row r="1803" spans="3:22" ht="15.75" customHeight="1">
      <c r="C1803" s="7"/>
      <c r="D1803" s="7"/>
      <c r="H1803" s="7"/>
      <c r="Q1803" s="16"/>
      <c r="R1803" s="16"/>
      <c r="V1803">
        <v>356</v>
      </c>
    </row>
    <row r="1804" spans="3:22" ht="15.75" customHeight="1">
      <c r="C1804" s="7"/>
      <c r="D1804" s="7"/>
      <c r="H1804" s="7"/>
      <c r="Q1804" s="16"/>
      <c r="R1804" s="16"/>
      <c r="V1804">
        <v>356</v>
      </c>
    </row>
    <row r="1805" spans="3:22" ht="15.75" customHeight="1">
      <c r="C1805" s="7"/>
      <c r="D1805" s="7"/>
      <c r="H1805" s="7"/>
      <c r="Q1805" s="16"/>
      <c r="R1805" s="16"/>
      <c r="V1805">
        <v>356</v>
      </c>
    </row>
    <row r="1806" spans="3:22" ht="15.75" customHeight="1">
      <c r="C1806" s="7"/>
      <c r="D1806" s="7"/>
      <c r="H1806" s="7"/>
      <c r="Q1806" s="16"/>
      <c r="R1806" s="16"/>
      <c r="V1806">
        <v>356</v>
      </c>
    </row>
    <row r="1807" spans="3:22" ht="15.75" customHeight="1">
      <c r="C1807" s="7"/>
      <c r="D1807" s="7"/>
      <c r="H1807" s="7"/>
      <c r="Q1807" s="16"/>
      <c r="R1807" s="16"/>
      <c r="V1807">
        <v>356</v>
      </c>
    </row>
    <row r="1808" spans="3:22" ht="15.75" customHeight="1">
      <c r="C1808" s="7"/>
      <c r="D1808" s="7"/>
      <c r="H1808" s="7"/>
      <c r="Q1808" s="16"/>
      <c r="R1808" s="16"/>
      <c r="V1808">
        <v>356</v>
      </c>
    </row>
    <row r="1809" spans="3:22" ht="15.75" customHeight="1">
      <c r="C1809" s="7"/>
      <c r="D1809" s="7"/>
      <c r="H1809" s="7"/>
      <c r="Q1809" s="16"/>
      <c r="R1809" s="16"/>
      <c r="V1809">
        <v>357</v>
      </c>
    </row>
    <row r="1810" spans="3:22" ht="15.75" customHeight="1">
      <c r="C1810" s="7"/>
      <c r="D1810" s="7"/>
      <c r="H1810" s="7"/>
      <c r="Q1810" s="16"/>
      <c r="R1810" s="16"/>
      <c r="V1810">
        <v>357</v>
      </c>
    </row>
    <row r="1811" spans="3:22" ht="15.75" customHeight="1">
      <c r="C1811" s="7"/>
      <c r="D1811" s="7"/>
      <c r="H1811" s="7"/>
      <c r="Q1811" s="16"/>
      <c r="R1811" s="16"/>
      <c r="V1811">
        <v>357</v>
      </c>
    </row>
    <row r="1812" spans="3:22" ht="15.75" customHeight="1">
      <c r="C1812" s="7"/>
      <c r="D1812" s="7"/>
      <c r="H1812" s="7"/>
      <c r="Q1812" s="16"/>
      <c r="R1812" s="16"/>
      <c r="V1812">
        <v>357</v>
      </c>
    </row>
    <row r="1813" spans="3:22" ht="15.75" customHeight="1">
      <c r="C1813" s="7"/>
      <c r="D1813" s="7"/>
      <c r="H1813" s="7"/>
      <c r="Q1813" s="16"/>
      <c r="R1813" s="16"/>
      <c r="V1813">
        <v>358</v>
      </c>
    </row>
    <row r="1814" spans="3:22" ht="15.75" customHeight="1">
      <c r="C1814" s="7"/>
      <c r="D1814" s="7"/>
      <c r="H1814" s="7"/>
      <c r="Q1814" s="16"/>
      <c r="R1814" s="16"/>
      <c r="V1814">
        <v>359</v>
      </c>
    </row>
    <row r="1815" spans="3:22" ht="15.75" customHeight="1">
      <c r="C1815" s="7"/>
      <c r="D1815" s="7"/>
      <c r="H1815" s="7"/>
      <c r="Q1815" s="16"/>
      <c r="R1815" s="16"/>
      <c r="V1815">
        <v>359</v>
      </c>
    </row>
    <row r="1816" spans="3:22" ht="15.75" customHeight="1">
      <c r="C1816" s="7"/>
      <c r="D1816" s="7"/>
      <c r="H1816" s="7"/>
      <c r="Q1816" s="16"/>
      <c r="R1816" s="16"/>
      <c r="V1816">
        <v>359</v>
      </c>
    </row>
    <row r="1817" spans="3:22" ht="15.75" customHeight="1">
      <c r="C1817" s="7"/>
      <c r="D1817" s="7"/>
      <c r="H1817" s="7"/>
      <c r="Q1817" s="16"/>
      <c r="R1817" s="16"/>
      <c r="V1817">
        <v>359</v>
      </c>
    </row>
    <row r="1818" spans="3:22" ht="15.75" customHeight="1">
      <c r="C1818" s="7"/>
      <c r="D1818" s="7"/>
      <c r="H1818" s="7"/>
      <c r="Q1818" s="16"/>
      <c r="R1818" s="16"/>
      <c r="V1818">
        <v>359</v>
      </c>
    </row>
    <row r="1819" spans="3:22" ht="15.75" customHeight="1">
      <c r="C1819" s="7"/>
      <c r="D1819" s="7"/>
      <c r="H1819" s="7"/>
      <c r="Q1819" s="16"/>
      <c r="R1819" s="16"/>
      <c r="V1819">
        <v>360</v>
      </c>
    </row>
    <row r="1820" spans="3:22" ht="15.75" customHeight="1">
      <c r="C1820" s="7"/>
      <c r="D1820" s="7"/>
      <c r="H1820" s="7"/>
      <c r="Q1820" s="16"/>
      <c r="R1820" s="16"/>
      <c r="V1820">
        <v>360</v>
      </c>
    </row>
    <row r="1821" spans="3:22" ht="15.75" customHeight="1">
      <c r="C1821" s="7"/>
      <c r="D1821" s="7"/>
      <c r="H1821" s="7"/>
      <c r="Q1821" s="16"/>
      <c r="R1821" s="16"/>
      <c r="V1821">
        <v>360</v>
      </c>
    </row>
    <row r="1822" spans="3:22" ht="15.75" customHeight="1">
      <c r="C1822" s="7"/>
      <c r="D1822" s="7"/>
      <c r="H1822" s="7"/>
      <c r="Q1822" s="16"/>
      <c r="R1822" s="16"/>
      <c r="V1822">
        <v>360</v>
      </c>
    </row>
    <row r="1823" spans="3:22" ht="15.75" customHeight="1">
      <c r="C1823" s="7"/>
      <c r="D1823" s="7"/>
      <c r="H1823" s="7"/>
      <c r="Q1823" s="16"/>
      <c r="R1823" s="16"/>
      <c r="V1823">
        <v>360</v>
      </c>
    </row>
    <row r="1824" spans="3:22" ht="15.75" customHeight="1">
      <c r="C1824" s="7"/>
      <c r="D1824" s="7"/>
      <c r="H1824" s="7"/>
      <c r="Q1824" s="16"/>
      <c r="R1824" s="16"/>
      <c r="V1824">
        <v>360</v>
      </c>
    </row>
    <row r="1825" spans="3:22" ht="15.75" customHeight="1">
      <c r="C1825" s="7"/>
      <c r="D1825" s="7"/>
      <c r="H1825" s="7"/>
      <c r="Q1825" s="16"/>
      <c r="R1825" s="16"/>
      <c r="V1825">
        <v>361</v>
      </c>
    </row>
    <row r="1826" spans="3:22" ht="15.75" customHeight="1">
      <c r="C1826" s="7"/>
      <c r="D1826" s="7"/>
      <c r="H1826" s="7"/>
      <c r="Q1826" s="16"/>
      <c r="R1826" s="16"/>
      <c r="V1826">
        <v>361</v>
      </c>
    </row>
    <row r="1827" spans="3:22" ht="15.75" customHeight="1">
      <c r="C1827" s="7"/>
      <c r="D1827" s="7"/>
      <c r="H1827" s="7"/>
      <c r="Q1827" s="16"/>
      <c r="R1827" s="16"/>
      <c r="V1827">
        <v>361</v>
      </c>
    </row>
    <row r="1828" spans="3:22" ht="15.75" customHeight="1">
      <c r="C1828" s="7"/>
      <c r="D1828" s="7"/>
      <c r="H1828" s="7"/>
      <c r="Q1828" s="16"/>
      <c r="R1828" s="16"/>
      <c r="V1828">
        <v>362</v>
      </c>
    </row>
    <row r="1829" spans="3:22" ht="15.75" customHeight="1">
      <c r="C1829" s="7"/>
      <c r="D1829" s="7"/>
      <c r="H1829" s="7"/>
      <c r="Q1829" s="16"/>
      <c r="R1829" s="16"/>
      <c r="V1829">
        <v>362</v>
      </c>
    </row>
    <row r="1830" spans="3:22" ht="15.75" customHeight="1">
      <c r="C1830" s="7"/>
      <c r="D1830" s="7"/>
      <c r="H1830" s="7"/>
      <c r="Q1830" s="16"/>
      <c r="R1830" s="16"/>
      <c r="V1830">
        <v>363</v>
      </c>
    </row>
    <row r="1831" spans="3:22" ht="15.75" customHeight="1">
      <c r="C1831" s="7"/>
      <c r="D1831" s="7"/>
      <c r="H1831" s="7"/>
      <c r="Q1831" s="16"/>
      <c r="R1831" s="16"/>
      <c r="V1831">
        <v>364</v>
      </c>
    </row>
    <row r="1832" spans="3:22" ht="15.75" customHeight="1">
      <c r="C1832" s="7"/>
      <c r="D1832" s="7"/>
      <c r="H1832" s="7"/>
      <c r="Q1832" s="16"/>
      <c r="R1832" s="16"/>
      <c r="V1832">
        <v>364</v>
      </c>
    </row>
    <row r="1833" spans="3:22" ht="15.75" customHeight="1">
      <c r="C1833" s="7"/>
      <c r="D1833" s="7"/>
      <c r="H1833" s="7"/>
      <c r="Q1833" s="16"/>
      <c r="R1833" s="16"/>
      <c r="V1833">
        <v>364</v>
      </c>
    </row>
    <row r="1834" spans="3:22" ht="15.75" customHeight="1">
      <c r="C1834" s="7"/>
      <c r="D1834" s="7"/>
      <c r="H1834" s="7"/>
      <c r="Q1834" s="16"/>
      <c r="R1834" s="16"/>
      <c r="V1834">
        <v>364</v>
      </c>
    </row>
    <row r="1835" spans="3:22" ht="15.75" customHeight="1">
      <c r="C1835" s="7"/>
      <c r="D1835" s="7"/>
      <c r="H1835" s="7"/>
      <c r="Q1835" s="16"/>
      <c r="R1835" s="16"/>
      <c r="V1835">
        <v>364</v>
      </c>
    </row>
    <row r="1836" spans="3:22" ht="15.75" customHeight="1">
      <c r="C1836" s="7"/>
      <c r="D1836" s="7"/>
      <c r="H1836" s="7"/>
      <c r="Q1836" s="16"/>
      <c r="R1836" s="16"/>
      <c r="V1836">
        <v>364</v>
      </c>
    </row>
    <row r="1837" spans="3:22" ht="15.75" customHeight="1">
      <c r="C1837" s="7"/>
      <c r="D1837" s="7"/>
      <c r="H1837" s="7"/>
      <c r="Q1837" s="16"/>
      <c r="R1837" s="16"/>
      <c r="V1837">
        <v>364</v>
      </c>
    </row>
    <row r="1838" spans="3:22" ht="15.75" customHeight="1">
      <c r="C1838" s="7"/>
      <c r="D1838" s="7"/>
      <c r="H1838" s="7"/>
      <c r="Q1838" s="16"/>
      <c r="R1838" s="16"/>
      <c r="V1838">
        <v>364</v>
      </c>
    </row>
    <row r="1839" spans="3:22" ht="15.75" customHeight="1">
      <c r="C1839" s="7"/>
      <c r="D1839" s="7"/>
      <c r="H1839" s="7"/>
      <c r="Q1839" s="16"/>
      <c r="R1839" s="16"/>
      <c r="V1839">
        <v>364</v>
      </c>
    </row>
    <row r="1840" spans="3:22" ht="15.75" customHeight="1">
      <c r="C1840" s="7"/>
      <c r="D1840" s="7"/>
      <c r="H1840" s="7"/>
      <c r="Q1840" s="16"/>
      <c r="R1840" s="16"/>
      <c r="V1840">
        <v>364</v>
      </c>
    </row>
    <row r="1841" spans="3:22" ht="15.75" customHeight="1">
      <c r="C1841" s="7"/>
      <c r="D1841" s="7"/>
      <c r="H1841" s="7"/>
      <c r="Q1841" s="16"/>
      <c r="R1841" s="16"/>
      <c r="V1841">
        <v>364</v>
      </c>
    </row>
    <row r="1842" spans="3:22" ht="15.75" customHeight="1">
      <c r="C1842" s="7"/>
      <c r="D1842" s="7"/>
      <c r="H1842" s="7"/>
      <c r="Q1842" s="16"/>
      <c r="R1842" s="16"/>
      <c r="V1842">
        <v>365</v>
      </c>
    </row>
    <row r="1843" spans="3:22" ht="15.75" customHeight="1">
      <c r="C1843" s="7"/>
      <c r="D1843" s="7"/>
      <c r="H1843" s="7"/>
      <c r="Q1843" s="16"/>
      <c r="R1843" s="16"/>
      <c r="V1843">
        <v>366</v>
      </c>
    </row>
    <row r="1844" spans="3:22" ht="15.75" customHeight="1">
      <c r="C1844" s="7"/>
      <c r="D1844" s="7"/>
      <c r="H1844" s="7"/>
      <c r="Q1844" s="16"/>
      <c r="R1844" s="16"/>
      <c r="V1844">
        <v>367</v>
      </c>
    </row>
    <row r="1845" spans="3:22" ht="15.75" customHeight="1">
      <c r="C1845" s="7"/>
      <c r="D1845" s="7"/>
      <c r="H1845" s="7"/>
      <c r="Q1845" s="16"/>
      <c r="R1845" s="16"/>
      <c r="V1845">
        <v>367</v>
      </c>
    </row>
    <row r="1846" spans="3:22" ht="15.75" customHeight="1">
      <c r="C1846" s="7"/>
      <c r="D1846" s="7"/>
      <c r="H1846" s="7"/>
      <c r="Q1846" s="16"/>
      <c r="R1846" s="16"/>
      <c r="V1846">
        <v>368</v>
      </c>
    </row>
    <row r="1847" spans="3:22" ht="15.75" customHeight="1">
      <c r="C1847" s="7"/>
      <c r="D1847" s="7"/>
      <c r="H1847" s="7"/>
      <c r="Q1847" s="16"/>
      <c r="R1847" s="16"/>
      <c r="V1847">
        <v>369</v>
      </c>
    </row>
    <row r="1848" spans="3:22" ht="15.75" customHeight="1">
      <c r="C1848" s="7"/>
      <c r="D1848" s="7"/>
      <c r="H1848" s="7"/>
      <c r="Q1848" s="16"/>
      <c r="R1848" s="16"/>
      <c r="V1848">
        <v>369</v>
      </c>
    </row>
    <row r="1849" spans="3:22" ht="15.75" customHeight="1">
      <c r="C1849" s="7"/>
      <c r="D1849" s="7"/>
      <c r="H1849" s="7"/>
      <c r="Q1849" s="16"/>
      <c r="R1849" s="16"/>
      <c r="V1849">
        <v>369</v>
      </c>
    </row>
    <row r="1850" spans="3:22" ht="15.75" customHeight="1">
      <c r="C1850" s="7"/>
      <c r="D1850" s="7"/>
      <c r="H1850" s="7"/>
      <c r="Q1850" s="16"/>
      <c r="R1850" s="16"/>
      <c r="V1850">
        <v>369</v>
      </c>
    </row>
    <row r="1851" spans="3:22" ht="15.75" customHeight="1">
      <c r="C1851" s="7"/>
      <c r="D1851" s="7"/>
      <c r="H1851" s="7"/>
      <c r="Q1851" s="16"/>
      <c r="R1851" s="16"/>
      <c r="V1851">
        <v>369</v>
      </c>
    </row>
    <row r="1852" spans="3:22" ht="15.75" customHeight="1">
      <c r="C1852" s="7"/>
      <c r="D1852" s="7"/>
      <c r="H1852" s="7"/>
      <c r="Q1852" s="16"/>
      <c r="R1852" s="16"/>
      <c r="V1852">
        <v>369</v>
      </c>
    </row>
    <row r="1853" spans="3:22" ht="15.75" customHeight="1">
      <c r="C1853" s="7"/>
      <c r="D1853" s="7"/>
      <c r="H1853" s="7"/>
      <c r="Q1853" s="16"/>
      <c r="R1853" s="16"/>
      <c r="V1853">
        <v>369</v>
      </c>
    </row>
    <row r="1854" spans="3:22" ht="15.75" customHeight="1">
      <c r="C1854" s="7"/>
      <c r="D1854" s="7"/>
      <c r="H1854" s="7"/>
      <c r="Q1854" s="16"/>
      <c r="R1854" s="16"/>
      <c r="V1854">
        <v>369</v>
      </c>
    </row>
    <row r="1855" spans="3:22" ht="15.75" customHeight="1">
      <c r="C1855" s="7"/>
      <c r="D1855" s="7"/>
      <c r="H1855" s="7"/>
      <c r="Q1855" s="16"/>
      <c r="R1855" s="16"/>
      <c r="V1855">
        <v>369</v>
      </c>
    </row>
    <row r="1856" spans="3:22" ht="15.75" customHeight="1">
      <c r="C1856" s="7"/>
      <c r="D1856" s="7"/>
      <c r="H1856" s="7"/>
      <c r="Q1856" s="16"/>
      <c r="R1856" s="16"/>
      <c r="V1856">
        <v>369</v>
      </c>
    </row>
    <row r="1857" spans="3:22" ht="15.75" customHeight="1">
      <c r="C1857" s="7"/>
      <c r="D1857" s="7"/>
      <c r="H1857" s="7"/>
      <c r="Q1857" s="16"/>
      <c r="R1857" s="16"/>
      <c r="V1857">
        <v>369</v>
      </c>
    </row>
    <row r="1858" spans="3:22" ht="15.75" customHeight="1">
      <c r="C1858" s="7"/>
      <c r="D1858" s="7"/>
      <c r="H1858" s="7"/>
      <c r="Q1858" s="16"/>
      <c r="R1858" s="16"/>
      <c r="V1858">
        <v>369</v>
      </c>
    </row>
    <row r="1859" spans="3:22" ht="15.75" customHeight="1">
      <c r="C1859" s="7"/>
      <c r="D1859" s="7"/>
      <c r="H1859" s="7"/>
      <c r="Q1859" s="16"/>
      <c r="R1859" s="16"/>
      <c r="V1859">
        <v>369</v>
      </c>
    </row>
    <row r="1860" spans="3:22" ht="15.75" customHeight="1">
      <c r="C1860" s="7"/>
      <c r="D1860" s="7"/>
      <c r="H1860" s="7"/>
      <c r="Q1860" s="16"/>
      <c r="R1860" s="16"/>
      <c r="V1860">
        <v>369</v>
      </c>
    </row>
    <row r="1861" spans="3:22" ht="15.75" customHeight="1">
      <c r="C1861" s="7"/>
      <c r="D1861" s="7"/>
      <c r="H1861" s="7"/>
      <c r="Q1861" s="16"/>
      <c r="R1861" s="16"/>
      <c r="V1861">
        <v>369</v>
      </c>
    </row>
    <row r="1862" spans="3:22" ht="15.75" customHeight="1">
      <c r="C1862" s="7"/>
      <c r="D1862" s="7"/>
      <c r="H1862" s="7"/>
      <c r="Q1862" s="16"/>
      <c r="R1862" s="16"/>
      <c r="V1862">
        <v>369</v>
      </c>
    </row>
    <row r="1863" spans="3:22" ht="15.75" customHeight="1">
      <c r="C1863" s="7"/>
      <c r="D1863" s="7"/>
      <c r="H1863" s="7"/>
      <c r="Q1863" s="16"/>
      <c r="R1863" s="16"/>
      <c r="V1863">
        <v>369</v>
      </c>
    </row>
    <row r="1864" spans="3:22" ht="15.75" customHeight="1">
      <c r="C1864" s="7"/>
      <c r="D1864" s="7"/>
      <c r="H1864" s="7"/>
      <c r="Q1864" s="16"/>
      <c r="R1864" s="16"/>
      <c r="V1864">
        <v>369</v>
      </c>
    </row>
    <row r="1865" spans="3:22" ht="15.75" customHeight="1">
      <c r="C1865" s="7"/>
      <c r="D1865" s="7"/>
      <c r="H1865" s="7"/>
      <c r="Q1865" s="16"/>
      <c r="R1865" s="16"/>
      <c r="V1865">
        <v>369</v>
      </c>
    </row>
    <row r="1866" spans="3:22" ht="15.75" customHeight="1">
      <c r="C1866" s="7"/>
      <c r="D1866" s="7"/>
      <c r="H1866" s="7"/>
      <c r="Q1866" s="16"/>
      <c r="R1866" s="16"/>
      <c r="V1866">
        <v>370</v>
      </c>
    </row>
    <row r="1867" spans="3:22" ht="15.75" customHeight="1">
      <c r="C1867" s="7"/>
      <c r="D1867" s="7"/>
      <c r="H1867" s="7"/>
      <c r="Q1867" s="16"/>
      <c r="R1867" s="16"/>
      <c r="V1867">
        <v>370</v>
      </c>
    </row>
    <row r="1868" spans="3:22" ht="15.75" customHeight="1">
      <c r="C1868" s="7"/>
      <c r="D1868" s="7"/>
      <c r="H1868" s="7"/>
      <c r="Q1868" s="16"/>
      <c r="R1868" s="16"/>
      <c r="V1868">
        <v>370</v>
      </c>
    </row>
    <row r="1869" spans="3:22" ht="15.75" customHeight="1">
      <c r="C1869" s="7"/>
      <c r="D1869" s="7"/>
      <c r="H1869" s="7"/>
      <c r="Q1869" s="16"/>
      <c r="R1869" s="16"/>
      <c r="V1869">
        <v>370</v>
      </c>
    </row>
    <row r="1870" spans="3:22" ht="15.75" customHeight="1">
      <c r="C1870" s="7"/>
      <c r="D1870" s="7"/>
      <c r="H1870" s="7"/>
      <c r="Q1870" s="16"/>
      <c r="R1870" s="16"/>
      <c r="V1870">
        <v>370</v>
      </c>
    </row>
    <row r="1871" spans="3:22" ht="15.75" customHeight="1">
      <c r="C1871" s="7"/>
      <c r="D1871" s="7"/>
      <c r="H1871" s="7"/>
      <c r="Q1871" s="16"/>
      <c r="R1871" s="16"/>
      <c r="V1871">
        <v>370</v>
      </c>
    </row>
    <row r="1872" spans="3:22" ht="15.75" customHeight="1">
      <c r="C1872" s="7"/>
      <c r="D1872" s="7"/>
      <c r="H1872" s="7"/>
      <c r="Q1872" s="16"/>
      <c r="R1872" s="16"/>
      <c r="V1872">
        <v>370</v>
      </c>
    </row>
    <row r="1873" spans="3:22" ht="15.75" customHeight="1">
      <c r="C1873" s="7"/>
      <c r="D1873" s="7"/>
      <c r="H1873" s="7"/>
      <c r="Q1873" s="16"/>
      <c r="R1873" s="16"/>
      <c r="V1873">
        <v>370</v>
      </c>
    </row>
    <row r="1874" spans="3:22" ht="15.75" customHeight="1">
      <c r="C1874" s="7"/>
      <c r="D1874" s="7"/>
      <c r="H1874" s="7"/>
      <c r="Q1874" s="16"/>
      <c r="R1874" s="16"/>
      <c r="V1874">
        <v>370</v>
      </c>
    </row>
    <row r="1875" spans="3:22" ht="15.75" customHeight="1">
      <c r="C1875" s="7"/>
      <c r="D1875" s="7"/>
      <c r="H1875" s="7"/>
      <c r="Q1875" s="16"/>
      <c r="R1875" s="16"/>
      <c r="V1875">
        <v>370</v>
      </c>
    </row>
    <row r="1876" spans="3:22" ht="15.75" customHeight="1">
      <c r="C1876" s="7"/>
      <c r="D1876" s="7"/>
      <c r="H1876" s="7"/>
      <c r="Q1876" s="16"/>
      <c r="R1876" s="16"/>
      <c r="V1876">
        <v>370</v>
      </c>
    </row>
    <row r="1877" spans="3:22" ht="15.75" customHeight="1">
      <c r="C1877" s="7"/>
      <c r="D1877" s="7"/>
      <c r="H1877" s="7"/>
      <c r="Q1877" s="16"/>
      <c r="R1877" s="16"/>
      <c r="V1877">
        <v>370</v>
      </c>
    </row>
    <row r="1878" spans="3:22" ht="15.75" customHeight="1">
      <c r="C1878" s="7"/>
      <c r="D1878" s="7"/>
      <c r="H1878" s="7"/>
      <c r="Q1878" s="16"/>
      <c r="R1878" s="16"/>
      <c r="V1878">
        <v>370</v>
      </c>
    </row>
    <row r="1879" spans="3:22" ht="15.75" customHeight="1">
      <c r="C1879" s="7"/>
      <c r="D1879" s="7"/>
      <c r="H1879" s="7"/>
      <c r="Q1879" s="16"/>
      <c r="R1879" s="16"/>
      <c r="V1879">
        <v>370</v>
      </c>
    </row>
    <row r="1880" spans="3:22" ht="15.75" customHeight="1">
      <c r="C1880" s="7"/>
      <c r="D1880" s="7"/>
      <c r="H1880" s="7"/>
      <c r="Q1880" s="16"/>
      <c r="R1880" s="16"/>
      <c r="V1880">
        <v>370</v>
      </c>
    </row>
    <row r="1881" spans="3:22" ht="15.75" customHeight="1">
      <c r="C1881" s="7"/>
      <c r="D1881" s="7"/>
      <c r="H1881" s="7"/>
      <c r="Q1881" s="16"/>
      <c r="R1881" s="16"/>
      <c r="V1881">
        <v>370</v>
      </c>
    </row>
    <row r="1882" spans="3:22" ht="15.75" customHeight="1">
      <c r="C1882" s="7"/>
      <c r="D1882" s="7"/>
      <c r="H1882" s="7"/>
      <c r="Q1882" s="16"/>
      <c r="R1882" s="16"/>
      <c r="V1882">
        <v>370</v>
      </c>
    </row>
    <row r="1883" spans="3:22" ht="15.75" customHeight="1">
      <c r="C1883" s="7"/>
      <c r="D1883" s="7"/>
      <c r="H1883" s="7"/>
      <c r="Q1883" s="16"/>
      <c r="R1883" s="16"/>
      <c r="V1883">
        <v>370</v>
      </c>
    </row>
    <row r="1884" spans="3:22" ht="15.75" customHeight="1">
      <c r="C1884" s="7"/>
      <c r="D1884" s="7"/>
      <c r="H1884" s="7"/>
      <c r="Q1884" s="16"/>
      <c r="R1884" s="16"/>
      <c r="V1884">
        <v>370</v>
      </c>
    </row>
    <row r="1885" spans="3:22" ht="15.75" customHeight="1">
      <c r="C1885" s="7"/>
      <c r="D1885" s="7"/>
      <c r="H1885" s="7"/>
      <c r="Q1885" s="16"/>
      <c r="R1885" s="16"/>
      <c r="V1885">
        <v>370</v>
      </c>
    </row>
    <row r="1886" spans="3:22" ht="15.75" customHeight="1">
      <c r="C1886" s="7"/>
      <c r="D1886" s="7"/>
      <c r="H1886" s="7"/>
      <c r="Q1886" s="16"/>
      <c r="R1886" s="16"/>
      <c r="V1886">
        <v>370</v>
      </c>
    </row>
    <row r="1887" spans="3:22" ht="15.75" customHeight="1">
      <c r="C1887" s="7"/>
      <c r="D1887" s="7"/>
      <c r="H1887" s="7"/>
      <c r="Q1887" s="16"/>
      <c r="R1887" s="16"/>
      <c r="V1887">
        <v>370</v>
      </c>
    </row>
    <row r="1888" spans="3:22" ht="15.75" customHeight="1">
      <c r="C1888" s="7"/>
      <c r="D1888" s="7"/>
      <c r="H1888" s="7"/>
      <c r="Q1888" s="16"/>
      <c r="R1888" s="16"/>
      <c r="V1888">
        <v>370</v>
      </c>
    </row>
    <row r="1889" spans="3:22" ht="15.75" customHeight="1">
      <c r="C1889" s="7"/>
      <c r="D1889" s="7"/>
      <c r="H1889" s="7"/>
      <c r="Q1889" s="16"/>
      <c r="R1889" s="16"/>
      <c r="V1889">
        <v>370</v>
      </c>
    </row>
    <row r="1890" spans="3:22" ht="15.75" customHeight="1">
      <c r="C1890" s="7"/>
      <c r="D1890" s="7"/>
      <c r="H1890" s="7"/>
      <c r="Q1890" s="16"/>
      <c r="R1890" s="16"/>
      <c r="V1890">
        <v>370</v>
      </c>
    </row>
    <row r="1891" spans="3:22" ht="15.75" customHeight="1">
      <c r="C1891" s="7"/>
      <c r="D1891" s="7"/>
      <c r="H1891" s="7"/>
      <c r="Q1891" s="16"/>
      <c r="R1891" s="16"/>
      <c r="V1891">
        <v>370</v>
      </c>
    </row>
    <row r="1892" spans="3:22" ht="15.75" customHeight="1">
      <c r="C1892" s="7"/>
      <c r="D1892" s="7"/>
      <c r="H1892" s="7"/>
      <c r="Q1892" s="16"/>
      <c r="R1892" s="16"/>
      <c r="V1892">
        <v>370</v>
      </c>
    </row>
    <row r="1893" spans="3:22" ht="15.75" customHeight="1">
      <c r="C1893" s="7"/>
      <c r="D1893" s="7"/>
      <c r="H1893" s="7"/>
      <c r="Q1893" s="16"/>
      <c r="R1893" s="16"/>
      <c r="V1893">
        <v>370</v>
      </c>
    </row>
    <row r="1894" spans="3:22" ht="15.75" customHeight="1">
      <c r="C1894" s="7"/>
      <c r="D1894" s="7"/>
      <c r="H1894" s="7"/>
      <c r="Q1894" s="16"/>
      <c r="R1894" s="16"/>
      <c r="V1894">
        <v>370</v>
      </c>
    </row>
    <row r="1895" spans="3:22" ht="15.75" customHeight="1">
      <c r="C1895" s="7"/>
      <c r="D1895" s="7"/>
      <c r="H1895" s="7"/>
      <c r="Q1895" s="16"/>
      <c r="R1895" s="16"/>
      <c r="V1895">
        <v>370</v>
      </c>
    </row>
    <row r="1896" spans="3:22" ht="15.75" customHeight="1">
      <c r="C1896" s="7"/>
      <c r="D1896" s="7"/>
      <c r="H1896" s="7"/>
      <c r="Q1896" s="16"/>
      <c r="R1896" s="16"/>
      <c r="V1896">
        <v>370</v>
      </c>
    </row>
    <row r="1897" spans="3:22" ht="15.75" customHeight="1">
      <c r="C1897" s="7"/>
      <c r="D1897" s="7"/>
      <c r="H1897" s="7"/>
      <c r="Q1897" s="16"/>
      <c r="R1897" s="16"/>
      <c r="V1897">
        <v>370</v>
      </c>
    </row>
    <row r="1898" spans="3:22" ht="15.75" customHeight="1">
      <c r="C1898" s="7"/>
      <c r="D1898" s="7"/>
      <c r="H1898" s="7"/>
      <c r="Q1898" s="16"/>
      <c r="R1898" s="16"/>
      <c r="V1898">
        <v>370</v>
      </c>
    </row>
    <row r="1899" spans="3:22" ht="15.75" customHeight="1">
      <c r="C1899" s="7"/>
      <c r="D1899" s="7"/>
      <c r="H1899" s="7"/>
      <c r="Q1899" s="16"/>
      <c r="R1899" s="16"/>
      <c r="V1899">
        <v>370</v>
      </c>
    </row>
    <row r="1900" spans="3:22" ht="15.75" customHeight="1">
      <c r="C1900" s="7"/>
      <c r="D1900" s="7"/>
      <c r="H1900" s="7"/>
      <c r="Q1900" s="16"/>
      <c r="R1900" s="16"/>
      <c r="V1900">
        <v>370</v>
      </c>
    </row>
    <row r="1901" spans="3:22" ht="15.75" customHeight="1">
      <c r="C1901" s="7"/>
      <c r="D1901" s="7"/>
      <c r="H1901" s="7"/>
      <c r="Q1901" s="16"/>
      <c r="R1901" s="16"/>
      <c r="V1901">
        <v>370</v>
      </c>
    </row>
    <row r="1902" spans="3:22" ht="15.75" customHeight="1">
      <c r="C1902" s="7"/>
      <c r="D1902" s="7"/>
      <c r="H1902" s="7"/>
      <c r="Q1902" s="16"/>
      <c r="R1902" s="16"/>
      <c r="V1902">
        <v>370</v>
      </c>
    </row>
    <row r="1903" spans="3:22" ht="15.75" customHeight="1">
      <c r="C1903" s="7"/>
      <c r="D1903" s="7"/>
      <c r="H1903" s="7"/>
      <c r="Q1903" s="16"/>
      <c r="R1903" s="16"/>
      <c r="V1903">
        <v>370</v>
      </c>
    </row>
    <row r="1904" spans="3:22" ht="15.75" customHeight="1">
      <c r="C1904" s="7"/>
      <c r="D1904" s="7"/>
      <c r="H1904" s="7"/>
      <c r="Q1904" s="16"/>
      <c r="R1904" s="16"/>
      <c r="V1904">
        <v>370</v>
      </c>
    </row>
    <row r="1905" spans="3:22" ht="15.75" customHeight="1">
      <c r="C1905" s="7"/>
      <c r="D1905" s="7"/>
      <c r="H1905" s="7"/>
      <c r="Q1905" s="16"/>
      <c r="R1905" s="16"/>
      <c r="V1905">
        <v>370</v>
      </c>
    </row>
    <row r="1906" spans="3:22" ht="15.75" customHeight="1">
      <c r="C1906" s="7"/>
      <c r="D1906" s="7"/>
      <c r="H1906" s="7"/>
      <c r="Q1906" s="16"/>
      <c r="R1906" s="16"/>
      <c r="V1906">
        <v>370</v>
      </c>
    </row>
    <row r="1907" spans="3:22" ht="15.75" customHeight="1">
      <c r="C1907" s="7"/>
      <c r="D1907" s="7"/>
      <c r="H1907" s="7"/>
      <c r="Q1907" s="16"/>
      <c r="R1907" s="16"/>
      <c r="V1907">
        <v>370</v>
      </c>
    </row>
    <row r="1908" spans="3:22" ht="15.75" customHeight="1">
      <c r="C1908" s="7"/>
      <c r="D1908" s="7"/>
      <c r="H1908" s="7"/>
      <c r="Q1908" s="16"/>
      <c r="R1908" s="16"/>
      <c r="V1908">
        <v>370</v>
      </c>
    </row>
    <row r="1909" spans="3:22" ht="15.75" customHeight="1">
      <c r="C1909" s="7"/>
      <c r="D1909" s="7"/>
      <c r="H1909" s="7"/>
      <c r="Q1909" s="16"/>
      <c r="R1909" s="16"/>
      <c r="V1909">
        <v>370</v>
      </c>
    </row>
    <row r="1910" spans="3:22" ht="15.75" customHeight="1">
      <c r="C1910" s="7"/>
      <c r="D1910" s="7"/>
      <c r="H1910" s="7"/>
      <c r="Q1910" s="16"/>
      <c r="R1910" s="16"/>
      <c r="V1910">
        <v>370</v>
      </c>
    </row>
    <row r="1911" spans="3:22" ht="15.75" customHeight="1">
      <c r="C1911" s="7"/>
      <c r="D1911" s="7"/>
      <c r="H1911" s="7"/>
      <c r="Q1911" s="16"/>
      <c r="R1911" s="16"/>
      <c r="V1911">
        <v>370</v>
      </c>
    </row>
    <row r="1912" spans="3:22" ht="15.75" customHeight="1">
      <c r="C1912" s="7"/>
      <c r="D1912" s="7"/>
      <c r="H1912" s="7"/>
      <c r="Q1912" s="16"/>
      <c r="R1912" s="16"/>
      <c r="V1912">
        <v>370</v>
      </c>
    </row>
    <row r="1913" spans="3:22" ht="15.75" customHeight="1">
      <c r="C1913" s="7"/>
      <c r="D1913" s="7"/>
      <c r="H1913" s="7"/>
      <c r="Q1913" s="16"/>
      <c r="R1913" s="16"/>
      <c r="V1913">
        <v>370</v>
      </c>
    </row>
    <row r="1914" spans="3:22" ht="15.75" customHeight="1">
      <c r="C1914" s="7"/>
      <c r="D1914" s="7"/>
      <c r="H1914" s="7"/>
      <c r="Q1914" s="16"/>
      <c r="R1914" s="16"/>
      <c r="V1914">
        <v>370</v>
      </c>
    </row>
    <row r="1915" spans="3:22" ht="15.75" customHeight="1">
      <c r="C1915" s="7"/>
      <c r="D1915" s="7"/>
      <c r="H1915" s="7"/>
      <c r="Q1915" s="16"/>
      <c r="R1915" s="16"/>
      <c r="V1915">
        <v>370</v>
      </c>
    </row>
    <row r="1916" spans="3:22" ht="15.75" customHeight="1">
      <c r="C1916" s="7"/>
      <c r="D1916" s="7"/>
      <c r="H1916" s="7"/>
      <c r="Q1916" s="16"/>
      <c r="R1916" s="16"/>
      <c r="V1916">
        <v>370</v>
      </c>
    </row>
    <row r="1917" spans="3:22" ht="15.75" customHeight="1">
      <c r="C1917" s="7"/>
      <c r="D1917" s="7"/>
      <c r="H1917" s="7"/>
      <c r="Q1917" s="16"/>
      <c r="R1917" s="16"/>
      <c r="V1917">
        <v>371</v>
      </c>
    </row>
    <row r="1918" spans="3:22" ht="15.75" customHeight="1">
      <c r="C1918" s="7"/>
      <c r="D1918" s="7"/>
      <c r="H1918" s="7"/>
      <c r="Q1918" s="16"/>
      <c r="R1918" s="16"/>
      <c r="V1918">
        <v>371</v>
      </c>
    </row>
    <row r="1919" spans="3:22" ht="15.75" customHeight="1">
      <c r="C1919" s="7"/>
      <c r="D1919" s="7"/>
      <c r="H1919" s="7"/>
      <c r="Q1919" s="16"/>
      <c r="R1919" s="16"/>
      <c r="V1919">
        <v>371</v>
      </c>
    </row>
    <row r="1920" spans="3:22" ht="15.75" customHeight="1">
      <c r="C1920" s="7"/>
      <c r="D1920" s="7"/>
      <c r="H1920" s="7"/>
      <c r="Q1920" s="16"/>
      <c r="R1920" s="16"/>
      <c r="V1920">
        <v>371</v>
      </c>
    </row>
    <row r="1921" spans="3:22" ht="15.75" customHeight="1">
      <c r="C1921" s="7"/>
      <c r="D1921" s="7"/>
      <c r="H1921" s="7"/>
      <c r="Q1921" s="16"/>
      <c r="R1921" s="16"/>
      <c r="V1921">
        <v>371</v>
      </c>
    </row>
    <row r="1922" spans="3:22" ht="15.75" customHeight="1">
      <c r="C1922" s="7"/>
      <c r="D1922" s="7"/>
      <c r="H1922" s="7"/>
      <c r="Q1922" s="16"/>
      <c r="R1922" s="16"/>
      <c r="V1922">
        <v>371</v>
      </c>
    </row>
    <row r="1923" spans="3:22" ht="15.75" customHeight="1">
      <c r="C1923" s="7"/>
      <c r="D1923" s="7"/>
      <c r="H1923" s="7"/>
      <c r="Q1923" s="16"/>
      <c r="R1923" s="16"/>
      <c r="V1923">
        <v>371</v>
      </c>
    </row>
    <row r="1924" spans="3:22" ht="15.75" customHeight="1">
      <c r="C1924" s="7"/>
      <c r="D1924" s="7"/>
      <c r="H1924" s="7"/>
      <c r="Q1924" s="16"/>
      <c r="R1924" s="16"/>
      <c r="V1924">
        <v>371</v>
      </c>
    </row>
    <row r="1925" spans="3:22" ht="15.75" customHeight="1">
      <c r="C1925" s="7"/>
      <c r="D1925" s="7"/>
      <c r="H1925" s="7"/>
      <c r="Q1925" s="16"/>
      <c r="R1925" s="16"/>
      <c r="V1925">
        <v>371</v>
      </c>
    </row>
    <row r="1926" spans="3:22" ht="15.75" customHeight="1">
      <c r="C1926" s="7"/>
      <c r="D1926" s="7"/>
      <c r="H1926" s="7"/>
      <c r="Q1926" s="16"/>
      <c r="R1926" s="16"/>
      <c r="V1926">
        <v>371</v>
      </c>
    </row>
    <row r="1927" spans="3:22" ht="15.75" customHeight="1">
      <c r="C1927" s="7"/>
      <c r="D1927" s="7"/>
      <c r="H1927" s="7"/>
      <c r="Q1927" s="16"/>
      <c r="R1927" s="16"/>
      <c r="V1927">
        <v>371</v>
      </c>
    </row>
    <row r="1928" spans="3:22" ht="15.75" customHeight="1">
      <c r="C1928" s="7"/>
      <c r="D1928" s="7"/>
      <c r="H1928" s="7"/>
      <c r="Q1928" s="16"/>
      <c r="R1928" s="16"/>
      <c r="V1928">
        <v>371</v>
      </c>
    </row>
    <row r="1929" spans="3:22" ht="15.75" customHeight="1">
      <c r="C1929" s="7"/>
      <c r="D1929" s="7"/>
      <c r="H1929" s="7"/>
      <c r="Q1929" s="16"/>
      <c r="R1929" s="16"/>
      <c r="V1929">
        <v>371</v>
      </c>
    </row>
    <row r="1930" spans="3:22" ht="15.75" customHeight="1">
      <c r="C1930" s="7"/>
      <c r="D1930" s="7"/>
      <c r="H1930" s="7"/>
      <c r="Q1930" s="16"/>
      <c r="R1930" s="16"/>
      <c r="V1930">
        <v>371</v>
      </c>
    </row>
    <row r="1931" spans="3:22" ht="15.75" customHeight="1">
      <c r="C1931" s="7"/>
      <c r="D1931" s="7"/>
      <c r="H1931" s="7"/>
      <c r="Q1931" s="16"/>
      <c r="R1931" s="16"/>
      <c r="V1931">
        <v>371</v>
      </c>
    </row>
    <row r="1932" spans="3:22" ht="15.75" customHeight="1">
      <c r="C1932" s="7"/>
      <c r="D1932" s="7"/>
      <c r="H1932" s="7"/>
      <c r="Q1932" s="16"/>
      <c r="R1932" s="16"/>
      <c r="V1932">
        <v>371</v>
      </c>
    </row>
    <row r="1933" spans="3:22" ht="15.75" customHeight="1">
      <c r="C1933" s="7"/>
      <c r="D1933" s="7"/>
      <c r="H1933" s="7"/>
      <c r="Q1933" s="16"/>
      <c r="R1933" s="16"/>
      <c r="V1933">
        <v>371</v>
      </c>
    </row>
    <row r="1934" spans="3:22" ht="15.75" customHeight="1">
      <c r="C1934" s="7"/>
      <c r="D1934" s="7"/>
      <c r="H1934" s="7"/>
      <c r="Q1934" s="16"/>
      <c r="R1934" s="16"/>
      <c r="V1934">
        <v>371</v>
      </c>
    </row>
    <row r="1935" spans="3:22" ht="15.75" customHeight="1">
      <c r="C1935" s="7"/>
      <c r="D1935" s="7"/>
      <c r="H1935" s="7"/>
      <c r="Q1935" s="16"/>
      <c r="R1935" s="16"/>
      <c r="V1935">
        <v>371</v>
      </c>
    </row>
    <row r="1936" spans="3:22" ht="15.75" customHeight="1">
      <c r="C1936" s="7"/>
      <c r="D1936" s="7"/>
      <c r="H1936" s="7"/>
      <c r="Q1936" s="16"/>
      <c r="R1936" s="16"/>
      <c r="V1936">
        <v>371</v>
      </c>
    </row>
    <row r="1937" spans="3:22" ht="15.75" customHeight="1">
      <c r="C1937" s="7"/>
      <c r="D1937" s="7"/>
      <c r="H1937" s="7"/>
      <c r="Q1937" s="16"/>
      <c r="R1937" s="16"/>
      <c r="V1937">
        <v>371</v>
      </c>
    </row>
    <row r="1938" spans="3:22" ht="15.75" customHeight="1">
      <c r="C1938" s="7"/>
      <c r="D1938" s="7"/>
      <c r="H1938" s="7"/>
      <c r="Q1938" s="16"/>
      <c r="R1938" s="16"/>
      <c r="V1938">
        <v>371</v>
      </c>
    </row>
    <row r="1939" spans="3:22" ht="15.75" customHeight="1">
      <c r="C1939" s="7"/>
      <c r="D1939" s="7"/>
      <c r="H1939" s="7"/>
      <c r="Q1939" s="16"/>
      <c r="R1939" s="16"/>
      <c r="V1939">
        <v>371</v>
      </c>
    </row>
    <row r="1940" spans="3:22" ht="15.75" customHeight="1">
      <c r="C1940" s="7"/>
      <c r="D1940" s="7"/>
      <c r="H1940" s="7"/>
      <c r="Q1940" s="16"/>
      <c r="R1940" s="16"/>
      <c r="V1940">
        <v>372</v>
      </c>
    </row>
    <row r="1941" spans="3:22" ht="15.75" customHeight="1">
      <c r="C1941" s="7"/>
      <c r="D1941" s="7"/>
      <c r="H1941" s="7"/>
      <c r="Q1941" s="16"/>
      <c r="R1941" s="16"/>
      <c r="V1941">
        <v>372</v>
      </c>
    </row>
    <row r="1942" spans="3:22" ht="15.75" customHeight="1">
      <c r="C1942" s="7"/>
      <c r="D1942" s="7"/>
      <c r="H1942" s="7"/>
      <c r="Q1942" s="16"/>
      <c r="R1942" s="16"/>
      <c r="V1942">
        <v>372</v>
      </c>
    </row>
    <row r="1943" spans="3:22" ht="15.75" customHeight="1">
      <c r="C1943" s="7"/>
      <c r="D1943" s="7"/>
      <c r="H1943" s="7"/>
      <c r="Q1943" s="16"/>
      <c r="R1943" s="16"/>
      <c r="V1943">
        <v>373</v>
      </c>
    </row>
    <row r="1944" spans="3:22" ht="15.75" customHeight="1">
      <c r="C1944" s="7"/>
      <c r="D1944" s="7"/>
      <c r="H1944" s="7"/>
      <c r="Q1944" s="16"/>
      <c r="R1944" s="16"/>
      <c r="V1944">
        <v>373</v>
      </c>
    </row>
    <row r="1945" spans="3:22" ht="15.75" customHeight="1">
      <c r="C1945" s="7"/>
      <c r="D1945" s="7"/>
      <c r="H1945" s="7"/>
      <c r="Q1945" s="16"/>
      <c r="R1945" s="16"/>
      <c r="V1945">
        <v>373</v>
      </c>
    </row>
    <row r="1946" spans="3:22" ht="15.75" customHeight="1">
      <c r="C1946" s="7"/>
      <c r="D1946" s="7"/>
      <c r="H1946" s="7"/>
      <c r="Q1946" s="16"/>
      <c r="R1946" s="16"/>
      <c r="V1946">
        <v>373</v>
      </c>
    </row>
    <row r="1947" spans="3:22" ht="15.75" customHeight="1">
      <c r="C1947" s="7"/>
      <c r="D1947" s="7"/>
      <c r="H1947" s="7"/>
      <c r="Q1947" s="16"/>
      <c r="R1947" s="16"/>
      <c r="V1947">
        <v>373</v>
      </c>
    </row>
    <row r="1948" spans="3:22" ht="15.75" customHeight="1">
      <c r="C1948" s="7"/>
      <c r="D1948" s="7"/>
      <c r="H1948" s="7"/>
      <c r="Q1948" s="16"/>
      <c r="R1948" s="16"/>
      <c r="V1948">
        <v>373</v>
      </c>
    </row>
    <row r="1949" spans="3:22" ht="15.75" customHeight="1">
      <c r="C1949" s="7"/>
      <c r="D1949" s="7"/>
      <c r="H1949" s="7"/>
      <c r="Q1949" s="16"/>
      <c r="R1949" s="16"/>
      <c r="V1949">
        <v>373</v>
      </c>
    </row>
    <row r="1950" spans="3:22" ht="15.75" customHeight="1">
      <c r="C1950" s="7"/>
      <c r="D1950" s="7"/>
      <c r="H1950" s="7"/>
      <c r="Q1950" s="16"/>
      <c r="R1950" s="16"/>
      <c r="V1950">
        <v>373</v>
      </c>
    </row>
    <row r="1951" spans="3:22" ht="15.75" customHeight="1">
      <c r="C1951" s="7"/>
      <c r="D1951" s="7"/>
      <c r="H1951" s="7"/>
      <c r="Q1951" s="16"/>
      <c r="R1951" s="16"/>
      <c r="V1951">
        <v>374</v>
      </c>
    </row>
    <row r="1952" spans="3:22" ht="15.75" customHeight="1">
      <c r="C1952" s="7"/>
      <c r="D1952" s="7"/>
      <c r="H1952" s="7"/>
      <c r="Q1952" s="16"/>
      <c r="R1952" s="16"/>
      <c r="V1952">
        <v>374</v>
      </c>
    </row>
    <row r="1953" spans="3:22" ht="15.75" customHeight="1">
      <c r="C1953" s="7"/>
      <c r="D1953" s="7"/>
      <c r="H1953" s="7"/>
      <c r="Q1953" s="16"/>
      <c r="R1953" s="16"/>
      <c r="V1953">
        <v>374</v>
      </c>
    </row>
    <row r="1954" spans="3:22" ht="15.75" customHeight="1">
      <c r="C1954" s="7"/>
      <c r="D1954" s="7"/>
      <c r="H1954" s="7"/>
      <c r="Q1954" s="16"/>
      <c r="R1954" s="16"/>
      <c r="V1954">
        <v>374</v>
      </c>
    </row>
    <row r="1955" spans="3:22" ht="15.75" customHeight="1">
      <c r="C1955" s="7"/>
      <c r="D1955" s="7"/>
      <c r="H1955" s="7"/>
      <c r="Q1955" s="16"/>
      <c r="R1955" s="16"/>
      <c r="V1955">
        <v>374</v>
      </c>
    </row>
    <row r="1956" spans="3:22" ht="15.75" customHeight="1">
      <c r="C1956" s="7"/>
      <c r="D1956" s="7"/>
      <c r="H1956" s="7"/>
      <c r="Q1956" s="16"/>
      <c r="R1956" s="16"/>
      <c r="V1956">
        <v>374</v>
      </c>
    </row>
    <row r="1957" spans="3:22" ht="15.75" customHeight="1">
      <c r="C1957" s="7"/>
      <c r="D1957" s="7"/>
      <c r="H1957" s="7"/>
      <c r="Q1957" s="16"/>
      <c r="R1957" s="16"/>
      <c r="V1957">
        <v>374</v>
      </c>
    </row>
    <row r="1958" spans="3:22" ht="15.75" customHeight="1">
      <c r="C1958" s="7"/>
      <c r="D1958" s="7"/>
      <c r="H1958" s="7"/>
      <c r="Q1958" s="16"/>
      <c r="R1958" s="16"/>
      <c r="V1958">
        <v>374</v>
      </c>
    </row>
    <row r="1959" spans="3:22" ht="15.75" customHeight="1">
      <c r="C1959" s="7"/>
      <c r="D1959" s="7"/>
      <c r="H1959" s="7"/>
      <c r="Q1959" s="16"/>
      <c r="R1959" s="16"/>
      <c r="V1959">
        <v>375</v>
      </c>
    </row>
    <row r="1960" spans="3:22" ht="15.75" customHeight="1">
      <c r="C1960" s="7"/>
      <c r="D1960" s="7"/>
      <c r="H1960" s="7"/>
      <c r="Q1960" s="16"/>
      <c r="R1960" s="16"/>
      <c r="V1960">
        <v>376</v>
      </c>
    </row>
    <row r="1961" spans="3:22" ht="15.75" customHeight="1">
      <c r="C1961" s="7"/>
      <c r="D1961" s="7"/>
      <c r="H1961" s="7"/>
      <c r="Q1961" s="16"/>
      <c r="R1961" s="16"/>
      <c r="V1961">
        <v>377</v>
      </c>
    </row>
    <row r="1962" spans="3:22" ht="15.75" customHeight="1">
      <c r="C1962" s="7"/>
      <c r="D1962" s="7"/>
      <c r="H1962" s="7"/>
      <c r="Q1962" s="16"/>
      <c r="R1962" s="16"/>
      <c r="V1962">
        <v>377</v>
      </c>
    </row>
    <row r="1963" spans="3:22" ht="15.75" customHeight="1">
      <c r="C1963" s="7"/>
      <c r="D1963" s="7"/>
      <c r="H1963" s="7"/>
      <c r="Q1963" s="16"/>
      <c r="R1963" s="16"/>
      <c r="V1963">
        <v>377</v>
      </c>
    </row>
    <row r="1964" spans="3:22" ht="15.75" customHeight="1">
      <c r="C1964" s="7"/>
      <c r="D1964" s="7"/>
      <c r="H1964" s="7"/>
      <c r="Q1964" s="16"/>
      <c r="R1964" s="16"/>
      <c r="V1964">
        <v>378</v>
      </c>
    </row>
    <row r="1965" spans="3:22" ht="15.75" customHeight="1">
      <c r="C1965" s="7"/>
      <c r="D1965" s="7"/>
      <c r="H1965" s="7"/>
      <c r="Q1965" s="16"/>
      <c r="R1965" s="16"/>
      <c r="V1965">
        <v>378</v>
      </c>
    </row>
    <row r="1966" spans="3:22" ht="15.75" customHeight="1">
      <c r="C1966" s="7"/>
      <c r="D1966" s="7"/>
      <c r="H1966" s="7"/>
      <c r="Q1966" s="16"/>
      <c r="R1966" s="16"/>
      <c r="V1966">
        <v>378</v>
      </c>
    </row>
    <row r="1967" spans="3:22" ht="15.75" customHeight="1">
      <c r="C1967" s="7"/>
      <c r="D1967" s="7"/>
      <c r="H1967" s="7"/>
      <c r="Q1967" s="16"/>
      <c r="R1967" s="16"/>
      <c r="V1967">
        <v>379</v>
      </c>
    </row>
    <row r="1968" spans="3:22" ht="15.75" customHeight="1">
      <c r="C1968" s="7"/>
      <c r="D1968" s="7"/>
      <c r="H1968" s="7"/>
      <c r="Q1968" s="16"/>
      <c r="R1968" s="16"/>
      <c r="V1968">
        <v>379</v>
      </c>
    </row>
    <row r="1969" spans="3:22" ht="15.75" customHeight="1">
      <c r="C1969" s="7"/>
      <c r="D1969" s="7"/>
      <c r="H1969" s="7"/>
      <c r="Q1969" s="16"/>
      <c r="R1969" s="16"/>
      <c r="V1969">
        <v>379</v>
      </c>
    </row>
    <row r="1970" spans="3:22" ht="15.75" customHeight="1">
      <c r="C1970" s="7"/>
      <c r="D1970" s="7"/>
      <c r="H1970" s="7"/>
      <c r="Q1970" s="16"/>
      <c r="R1970" s="16"/>
      <c r="V1970">
        <v>380</v>
      </c>
    </row>
    <row r="1971" spans="3:22" ht="15.75" customHeight="1">
      <c r="C1971" s="7"/>
      <c r="D1971" s="7"/>
      <c r="H1971" s="7"/>
      <c r="Q1971" s="16"/>
      <c r="R1971" s="16"/>
      <c r="V1971">
        <v>381</v>
      </c>
    </row>
    <row r="1972" spans="3:22" ht="15.75" customHeight="1">
      <c r="C1972" s="7"/>
      <c r="D1972" s="7"/>
      <c r="H1972" s="7"/>
      <c r="Q1972" s="16"/>
      <c r="R1972" s="16"/>
      <c r="V1972">
        <v>381</v>
      </c>
    </row>
    <row r="1973" spans="3:22" ht="15.75" customHeight="1">
      <c r="C1973" s="7"/>
      <c r="D1973" s="7"/>
      <c r="H1973" s="7"/>
      <c r="Q1973" s="16"/>
      <c r="R1973" s="16"/>
      <c r="V1973">
        <v>382</v>
      </c>
    </row>
    <row r="1974" spans="3:22" ht="15.75" customHeight="1">
      <c r="C1974" s="7"/>
      <c r="D1974" s="7"/>
      <c r="H1974" s="7"/>
      <c r="Q1974" s="16"/>
      <c r="R1974" s="16"/>
      <c r="V1974">
        <v>382</v>
      </c>
    </row>
    <row r="1975" spans="3:22" ht="15.75" customHeight="1">
      <c r="C1975" s="7"/>
      <c r="D1975" s="7"/>
      <c r="H1975" s="7"/>
      <c r="Q1975" s="16"/>
      <c r="R1975" s="16"/>
      <c r="V1975">
        <v>382</v>
      </c>
    </row>
    <row r="1976" spans="3:22" ht="15.75" customHeight="1">
      <c r="C1976" s="7"/>
      <c r="D1976" s="7"/>
      <c r="H1976" s="7"/>
      <c r="Q1976" s="16"/>
      <c r="R1976" s="16"/>
      <c r="V1976">
        <v>382</v>
      </c>
    </row>
    <row r="1977" spans="3:22" ht="15.75" customHeight="1">
      <c r="C1977" s="7"/>
      <c r="D1977" s="7"/>
      <c r="H1977" s="7"/>
      <c r="Q1977" s="16"/>
      <c r="R1977" s="16"/>
      <c r="V1977">
        <v>382</v>
      </c>
    </row>
    <row r="1978" spans="3:22" ht="15.75" customHeight="1">
      <c r="C1978" s="7"/>
      <c r="D1978" s="7"/>
      <c r="H1978" s="7"/>
      <c r="Q1978" s="16"/>
      <c r="R1978" s="16"/>
      <c r="V1978">
        <v>382</v>
      </c>
    </row>
    <row r="1979" spans="3:22" ht="15.75" customHeight="1">
      <c r="C1979" s="7"/>
      <c r="D1979" s="7"/>
      <c r="H1979" s="7"/>
      <c r="Q1979" s="16"/>
      <c r="R1979" s="16"/>
      <c r="V1979">
        <v>382</v>
      </c>
    </row>
    <row r="1980" spans="3:22" ht="15.75" customHeight="1">
      <c r="C1980" s="7"/>
      <c r="D1980" s="7"/>
      <c r="H1980" s="7"/>
      <c r="Q1980" s="16"/>
      <c r="R1980" s="16"/>
      <c r="V1980">
        <v>382</v>
      </c>
    </row>
    <row r="1981" spans="3:22" ht="15.75" customHeight="1">
      <c r="C1981" s="7"/>
      <c r="D1981" s="7"/>
      <c r="H1981" s="7"/>
      <c r="Q1981" s="16"/>
      <c r="R1981" s="16"/>
      <c r="V1981">
        <v>382</v>
      </c>
    </row>
    <row r="1982" spans="3:22" ht="15.75" customHeight="1">
      <c r="C1982" s="7"/>
      <c r="D1982" s="7"/>
      <c r="H1982" s="7"/>
      <c r="Q1982" s="16"/>
      <c r="R1982" s="16"/>
      <c r="V1982">
        <v>383</v>
      </c>
    </row>
    <row r="1983" spans="3:22" ht="15.75" customHeight="1">
      <c r="C1983" s="7"/>
      <c r="D1983" s="7"/>
      <c r="H1983" s="7"/>
      <c r="Q1983" s="16"/>
      <c r="R1983" s="16"/>
      <c r="V1983">
        <v>383</v>
      </c>
    </row>
    <row r="1984" spans="3:22" ht="15.75" customHeight="1">
      <c r="C1984" s="7"/>
      <c r="D1984" s="7"/>
      <c r="H1984" s="7"/>
      <c r="Q1984" s="16"/>
      <c r="R1984" s="16"/>
      <c r="V1984">
        <v>383</v>
      </c>
    </row>
    <row r="1985" spans="3:22" ht="15.75" customHeight="1">
      <c r="C1985" s="7"/>
      <c r="D1985" s="7"/>
      <c r="H1985" s="7"/>
      <c r="Q1985" s="16"/>
      <c r="R1985" s="16"/>
      <c r="V1985">
        <v>384</v>
      </c>
    </row>
    <row r="1986" spans="3:22" ht="15.75" customHeight="1">
      <c r="C1986" s="7"/>
      <c r="D1986" s="7"/>
      <c r="H1986" s="7"/>
      <c r="Q1986" s="16"/>
      <c r="R1986" s="16"/>
      <c r="V1986">
        <v>384</v>
      </c>
    </row>
    <row r="1987" spans="3:22" ht="15.75" customHeight="1">
      <c r="C1987" s="7"/>
      <c r="D1987" s="7"/>
      <c r="H1987" s="7"/>
      <c r="Q1987" s="16"/>
      <c r="R1987" s="16"/>
      <c r="V1987">
        <v>385</v>
      </c>
    </row>
    <row r="1988" spans="3:22" ht="15.75" customHeight="1">
      <c r="C1988" s="7"/>
      <c r="D1988" s="7"/>
      <c r="H1988" s="7"/>
      <c r="Q1988" s="16"/>
      <c r="R1988" s="16"/>
      <c r="V1988">
        <v>386</v>
      </c>
    </row>
    <row r="1989" spans="3:22" ht="15.75" customHeight="1">
      <c r="C1989" s="7"/>
      <c r="D1989" s="7"/>
      <c r="H1989" s="7"/>
      <c r="Q1989" s="16"/>
      <c r="R1989" s="16"/>
      <c r="V1989">
        <v>387</v>
      </c>
    </row>
    <row r="1990" spans="3:22" ht="15.75" customHeight="1">
      <c r="C1990" s="7"/>
      <c r="D1990" s="7"/>
      <c r="H1990" s="7"/>
      <c r="Q1990" s="16"/>
      <c r="R1990" s="16"/>
      <c r="V1990">
        <v>388</v>
      </c>
    </row>
    <row r="1991" spans="3:22" ht="15.75" customHeight="1">
      <c r="C1991" s="7"/>
      <c r="D1991" s="7"/>
      <c r="H1991" s="7"/>
      <c r="Q1991" s="16"/>
      <c r="R1991" s="16"/>
      <c r="V1991">
        <v>388</v>
      </c>
    </row>
    <row r="1992" spans="3:22" ht="15.75" customHeight="1">
      <c r="C1992" s="7"/>
      <c r="D1992" s="7"/>
      <c r="H1992" s="7"/>
      <c r="Q1992" s="16"/>
      <c r="R1992" s="16"/>
      <c r="V1992">
        <v>388</v>
      </c>
    </row>
    <row r="1993" spans="3:22" ht="15.75" customHeight="1">
      <c r="C1993" s="7"/>
      <c r="D1993" s="7"/>
      <c r="H1993" s="7"/>
      <c r="Q1993" s="16"/>
      <c r="R1993" s="16"/>
      <c r="V1993">
        <v>388</v>
      </c>
    </row>
    <row r="1994" spans="3:22" ht="15.75" customHeight="1">
      <c r="C1994" s="7"/>
      <c r="D1994" s="7"/>
      <c r="H1994" s="7"/>
      <c r="Q1994" s="16"/>
      <c r="R1994" s="16"/>
      <c r="V1994">
        <v>388</v>
      </c>
    </row>
    <row r="1995" spans="3:22" ht="15.75" customHeight="1">
      <c r="C1995" s="7"/>
      <c r="D1995" s="7"/>
      <c r="H1995" s="7"/>
      <c r="Q1995" s="16"/>
      <c r="R1995" s="16"/>
      <c r="V1995">
        <v>388</v>
      </c>
    </row>
    <row r="1996" spans="3:22" ht="15.75" customHeight="1">
      <c r="C1996" s="7"/>
      <c r="D1996" s="7"/>
      <c r="H1996" s="7"/>
      <c r="Q1996" s="16"/>
      <c r="R1996" s="16"/>
      <c r="V1996">
        <v>388</v>
      </c>
    </row>
    <row r="1997" spans="3:22" ht="15.75" customHeight="1">
      <c r="C1997" s="7"/>
      <c r="D1997" s="7"/>
      <c r="H1997" s="7"/>
      <c r="Q1997" s="16"/>
      <c r="R1997" s="16"/>
      <c r="V1997">
        <v>388</v>
      </c>
    </row>
    <row r="1998" spans="3:22" ht="15.75" customHeight="1">
      <c r="C1998" s="7"/>
      <c r="D1998" s="7"/>
      <c r="H1998" s="7"/>
      <c r="Q1998" s="16"/>
      <c r="R1998" s="16"/>
      <c r="V1998">
        <v>388</v>
      </c>
    </row>
    <row r="1999" spans="3:22" ht="15.75" customHeight="1">
      <c r="C1999" s="7"/>
      <c r="D1999" s="7"/>
      <c r="H1999" s="7"/>
      <c r="Q1999" s="16"/>
      <c r="R1999" s="16"/>
      <c r="V1999">
        <v>388</v>
      </c>
    </row>
    <row r="2000" spans="3:22" ht="15.75" customHeight="1">
      <c r="C2000" s="7"/>
      <c r="D2000" s="7"/>
      <c r="H2000" s="7"/>
      <c r="Q2000" s="16"/>
      <c r="R2000" s="16"/>
      <c r="V2000">
        <v>388</v>
      </c>
    </row>
    <row r="2001" spans="3:22" ht="15.75" customHeight="1">
      <c r="C2001" s="7"/>
      <c r="D2001" s="7"/>
      <c r="H2001" s="7"/>
      <c r="Q2001" s="16"/>
      <c r="R2001" s="16"/>
      <c r="V2001">
        <v>388</v>
      </c>
    </row>
    <row r="2002" spans="3:22" ht="15.75" customHeight="1">
      <c r="C2002" s="7"/>
      <c r="D2002" s="7"/>
      <c r="H2002" s="7"/>
      <c r="Q2002" s="16"/>
      <c r="R2002" s="16"/>
      <c r="V2002">
        <v>388</v>
      </c>
    </row>
    <row r="2003" spans="3:22" ht="15.75" customHeight="1">
      <c r="C2003" s="7"/>
      <c r="D2003" s="7"/>
      <c r="H2003" s="7"/>
      <c r="Q2003" s="16"/>
      <c r="R2003" s="16"/>
      <c r="V2003">
        <v>388</v>
      </c>
    </row>
    <row r="2004" spans="3:22" ht="15.75" customHeight="1">
      <c r="C2004" s="7"/>
      <c r="D2004" s="7"/>
      <c r="H2004" s="7"/>
      <c r="Q2004" s="16"/>
      <c r="R2004" s="16"/>
      <c r="V2004">
        <v>388</v>
      </c>
    </row>
    <row r="2005" spans="3:22" ht="15.75" customHeight="1">
      <c r="C2005" s="7"/>
      <c r="D2005" s="7"/>
      <c r="H2005" s="7"/>
      <c r="Q2005" s="16"/>
      <c r="R2005" s="16"/>
      <c r="V2005">
        <v>388</v>
      </c>
    </row>
    <row r="2006" spans="3:22" ht="15.75" customHeight="1">
      <c r="C2006" s="7"/>
      <c r="D2006" s="7"/>
      <c r="H2006" s="7"/>
      <c r="Q2006" s="16"/>
      <c r="R2006" s="16"/>
      <c r="V2006">
        <v>389</v>
      </c>
    </row>
    <row r="2007" spans="3:22" ht="15.75" customHeight="1">
      <c r="C2007" s="7"/>
      <c r="D2007" s="7"/>
      <c r="H2007" s="7"/>
      <c r="Q2007" s="16"/>
      <c r="R2007" s="16"/>
      <c r="V2007">
        <v>389</v>
      </c>
    </row>
    <row r="2008" spans="3:22" ht="15.75" customHeight="1">
      <c r="C2008" s="7"/>
      <c r="D2008" s="7"/>
      <c r="H2008" s="7"/>
      <c r="Q2008" s="16"/>
      <c r="R2008" s="16"/>
      <c r="V2008">
        <v>389</v>
      </c>
    </row>
    <row r="2009" spans="3:22" ht="15.75" customHeight="1">
      <c r="C2009" s="7"/>
      <c r="D2009" s="7"/>
      <c r="H2009" s="7"/>
      <c r="Q2009" s="16"/>
      <c r="R2009" s="16"/>
      <c r="V2009">
        <v>389</v>
      </c>
    </row>
    <row r="2010" spans="3:22" ht="15.75" customHeight="1">
      <c r="C2010" s="7"/>
      <c r="D2010" s="7"/>
      <c r="H2010" s="7"/>
      <c r="Q2010" s="16"/>
      <c r="R2010" s="16"/>
      <c r="V2010">
        <v>389</v>
      </c>
    </row>
    <row r="2011" spans="3:22" ht="15.75" customHeight="1">
      <c r="C2011" s="7"/>
      <c r="D2011" s="7"/>
      <c r="H2011" s="7"/>
      <c r="Q2011" s="16"/>
      <c r="R2011" s="16"/>
      <c r="V2011">
        <v>389</v>
      </c>
    </row>
    <row r="2012" spans="3:22" ht="15.75" customHeight="1">
      <c r="C2012" s="7"/>
      <c r="D2012" s="7"/>
      <c r="H2012" s="7"/>
      <c r="Q2012" s="16"/>
      <c r="R2012" s="16"/>
      <c r="V2012">
        <v>389</v>
      </c>
    </row>
    <row r="2013" spans="3:22" ht="15.75" customHeight="1">
      <c r="C2013" s="7"/>
      <c r="D2013" s="7"/>
      <c r="H2013" s="7"/>
      <c r="Q2013" s="16"/>
      <c r="R2013" s="16"/>
      <c r="V2013">
        <v>389</v>
      </c>
    </row>
    <row r="2014" spans="3:22" ht="15.75" customHeight="1">
      <c r="C2014" s="7"/>
      <c r="D2014" s="7"/>
      <c r="H2014" s="7"/>
      <c r="Q2014" s="16"/>
      <c r="R2014" s="16"/>
      <c r="V2014">
        <v>389</v>
      </c>
    </row>
    <row r="2015" spans="3:22" ht="15.75" customHeight="1">
      <c r="C2015" s="7"/>
      <c r="D2015" s="7"/>
      <c r="H2015" s="7"/>
      <c r="Q2015" s="16"/>
      <c r="R2015" s="16"/>
      <c r="V2015">
        <v>389</v>
      </c>
    </row>
    <row r="2016" spans="3:22" ht="15.75" customHeight="1">
      <c r="C2016" s="7"/>
      <c r="D2016" s="7"/>
      <c r="H2016" s="7"/>
      <c r="Q2016" s="16"/>
      <c r="R2016" s="16"/>
      <c r="V2016">
        <v>389</v>
      </c>
    </row>
    <row r="2017" spans="3:22" ht="15.75" customHeight="1">
      <c r="C2017" s="7"/>
      <c r="D2017" s="7"/>
      <c r="H2017" s="7"/>
      <c r="Q2017" s="16"/>
      <c r="R2017" s="16"/>
      <c r="V2017">
        <v>389</v>
      </c>
    </row>
    <row r="2018" spans="3:22" ht="15.75" customHeight="1">
      <c r="C2018" s="7"/>
      <c r="D2018" s="7"/>
      <c r="H2018" s="7"/>
      <c r="Q2018" s="16"/>
      <c r="R2018" s="16"/>
      <c r="V2018">
        <v>389</v>
      </c>
    </row>
    <row r="2019" spans="3:22" ht="15.75" customHeight="1">
      <c r="C2019" s="7"/>
      <c r="D2019" s="7"/>
      <c r="H2019" s="7"/>
      <c r="Q2019" s="16"/>
      <c r="R2019" s="16"/>
      <c r="V2019">
        <v>389</v>
      </c>
    </row>
    <row r="2020" spans="3:22" ht="15.75" customHeight="1">
      <c r="C2020" s="7"/>
      <c r="D2020" s="7"/>
      <c r="H2020" s="7"/>
      <c r="Q2020" s="16"/>
      <c r="R2020" s="16"/>
      <c r="V2020">
        <v>389</v>
      </c>
    </row>
    <row r="2021" spans="3:22" ht="15.75" customHeight="1">
      <c r="C2021" s="7"/>
      <c r="D2021" s="7"/>
      <c r="H2021" s="7"/>
      <c r="Q2021" s="16"/>
      <c r="R2021" s="16"/>
      <c r="V2021">
        <v>389</v>
      </c>
    </row>
    <row r="2022" spans="3:22" ht="15.75" customHeight="1">
      <c r="C2022" s="7"/>
      <c r="D2022" s="7"/>
      <c r="H2022" s="7"/>
      <c r="Q2022" s="16"/>
      <c r="R2022" s="16"/>
      <c r="V2022">
        <v>390</v>
      </c>
    </row>
    <row r="2023" spans="3:22" ht="15.75" customHeight="1">
      <c r="C2023" s="7"/>
      <c r="D2023" s="7"/>
      <c r="H2023" s="7"/>
      <c r="Q2023" s="16"/>
      <c r="R2023" s="16"/>
      <c r="V2023">
        <v>390</v>
      </c>
    </row>
    <row r="2024" spans="3:22" ht="15.75" customHeight="1">
      <c r="C2024" s="7"/>
      <c r="D2024" s="7"/>
      <c r="H2024" s="7"/>
      <c r="Q2024" s="16"/>
      <c r="R2024" s="16"/>
      <c r="V2024">
        <v>390</v>
      </c>
    </row>
    <row r="2025" spans="3:22" ht="15.75" customHeight="1">
      <c r="C2025" s="7"/>
      <c r="D2025" s="7"/>
      <c r="H2025" s="7"/>
      <c r="Q2025" s="16"/>
      <c r="R2025" s="16"/>
      <c r="V2025">
        <v>390</v>
      </c>
    </row>
    <row r="2026" spans="3:22" ht="15.75" customHeight="1">
      <c r="C2026" s="7"/>
      <c r="D2026" s="7"/>
      <c r="H2026" s="7"/>
      <c r="Q2026" s="16"/>
      <c r="R2026" s="16"/>
      <c r="V2026">
        <v>390</v>
      </c>
    </row>
    <row r="2027" spans="3:22" ht="15.75" customHeight="1">
      <c r="C2027" s="7"/>
      <c r="D2027" s="7"/>
      <c r="H2027" s="7"/>
      <c r="Q2027" s="16"/>
      <c r="R2027" s="16"/>
      <c r="V2027">
        <v>390</v>
      </c>
    </row>
    <row r="2028" spans="3:22" ht="15.75" customHeight="1">
      <c r="C2028" s="7"/>
      <c r="D2028" s="7"/>
      <c r="H2028" s="7"/>
      <c r="Q2028" s="16"/>
      <c r="R2028" s="16"/>
      <c r="V2028">
        <v>390</v>
      </c>
    </row>
    <row r="2029" spans="3:22" ht="15.75" customHeight="1">
      <c r="C2029" s="7"/>
      <c r="D2029" s="7"/>
      <c r="H2029" s="7"/>
      <c r="Q2029" s="16"/>
      <c r="R2029" s="16"/>
      <c r="V2029">
        <v>390</v>
      </c>
    </row>
    <row r="2030" spans="3:22" ht="15.75" customHeight="1">
      <c r="C2030" s="7"/>
      <c r="D2030" s="7"/>
      <c r="H2030" s="7"/>
      <c r="Q2030" s="16"/>
      <c r="R2030" s="16"/>
      <c r="V2030">
        <v>390</v>
      </c>
    </row>
    <row r="2031" spans="3:22" ht="15.75" customHeight="1">
      <c r="C2031" s="7"/>
      <c r="D2031" s="7"/>
      <c r="H2031" s="7"/>
      <c r="Q2031" s="16"/>
      <c r="R2031" s="16"/>
      <c r="V2031">
        <v>390</v>
      </c>
    </row>
    <row r="2032" spans="3:22" ht="15.75" customHeight="1">
      <c r="C2032" s="7"/>
      <c r="D2032" s="7"/>
      <c r="H2032" s="7"/>
      <c r="Q2032" s="16"/>
      <c r="R2032" s="16"/>
      <c r="V2032">
        <v>390</v>
      </c>
    </row>
    <row r="2033" spans="3:22" ht="15.75" customHeight="1">
      <c r="C2033" s="7"/>
      <c r="D2033" s="7"/>
      <c r="H2033" s="7"/>
      <c r="Q2033" s="16"/>
      <c r="R2033" s="16"/>
      <c r="V2033">
        <v>391</v>
      </c>
    </row>
    <row r="2034" spans="3:22" ht="15.75" customHeight="1">
      <c r="C2034" s="7"/>
      <c r="D2034" s="7"/>
      <c r="H2034" s="7"/>
      <c r="Q2034" s="16"/>
      <c r="R2034" s="16"/>
      <c r="V2034">
        <v>391</v>
      </c>
    </row>
    <row r="2035" spans="3:22" ht="15.75" customHeight="1">
      <c r="C2035" s="7"/>
      <c r="D2035" s="7"/>
      <c r="H2035" s="7"/>
      <c r="Q2035" s="16"/>
      <c r="R2035" s="16"/>
      <c r="V2035">
        <v>391</v>
      </c>
    </row>
    <row r="2036" spans="3:22" ht="15.75" customHeight="1">
      <c r="C2036" s="7"/>
      <c r="D2036" s="7"/>
      <c r="H2036" s="7"/>
      <c r="Q2036" s="16"/>
      <c r="R2036" s="16"/>
      <c r="V2036">
        <v>391</v>
      </c>
    </row>
    <row r="2037" spans="3:22" ht="15.75" customHeight="1">
      <c r="C2037" s="7"/>
      <c r="D2037" s="7"/>
      <c r="H2037" s="7"/>
      <c r="Q2037" s="16"/>
      <c r="R2037" s="16"/>
      <c r="V2037">
        <v>391</v>
      </c>
    </row>
    <row r="2038" spans="3:22" ht="15.75" customHeight="1">
      <c r="C2038" s="7"/>
      <c r="D2038" s="7"/>
      <c r="H2038" s="7"/>
      <c r="Q2038" s="16"/>
      <c r="R2038" s="16"/>
      <c r="V2038">
        <v>391</v>
      </c>
    </row>
    <row r="2039" spans="3:22" ht="15.75" customHeight="1">
      <c r="C2039" s="7"/>
      <c r="D2039" s="7"/>
      <c r="H2039" s="7"/>
      <c r="Q2039" s="16"/>
      <c r="R2039" s="16"/>
      <c r="V2039">
        <v>391</v>
      </c>
    </row>
    <row r="2040" spans="3:22" ht="15.75" customHeight="1">
      <c r="C2040" s="7"/>
      <c r="D2040" s="7"/>
      <c r="H2040" s="7"/>
      <c r="Q2040" s="16"/>
      <c r="R2040" s="16"/>
      <c r="V2040">
        <v>391</v>
      </c>
    </row>
    <row r="2041" spans="3:22" ht="15.75" customHeight="1">
      <c r="C2041" s="7"/>
      <c r="D2041" s="7"/>
      <c r="H2041" s="7"/>
      <c r="Q2041" s="16"/>
      <c r="R2041" s="16"/>
      <c r="V2041">
        <v>391</v>
      </c>
    </row>
    <row r="2042" spans="3:22" ht="15.75" customHeight="1">
      <c r="C2042" s="7"/>
      <c r="D2042" s="7"/>
      <c r="H2042" s="7"/>
      <c r="Q2042" s="16"/>
      <c r="R2042" s="16"/>
      <c r="V2042">
        <v>391</v>
      </c>
    </row>
    <row r="2043" spans="3:22" ht="15.75" customHeight="1">
      <c r="C2043" s="7"/>
      <c r="D2043" s="7"/>
      <c r="H2043" s="7"/>
      <c r="Q2043" s="16"/>
      <c r="R2043" s="16"/>
      <c r="V2043">
        <v>391</v>
      </c>
    </row>
    <row r="2044" spans="3:22" ht="15.75" customHeight="1">
      <c r="C2044" s="7"/>
      <c r="D2044" s="7"/>
      <c r="H2044" s="7"/>
      <c r="Q2044" s="16"/>
      <c r="R2044" s="16"/>
      <c r="V2044">
        <v>391</v>
      </c>
    </row>
    <row r="2045" spans="3:22" ht="15.75" customHeight="1">
      <c r="C2045" s="7"/>
      <c r="D2045" s="7"/>
      <c r="H2045" s="7"/>
      <c r="Q2045" s="16"/>
      <c r="R2045" s="16"/>
      <c r="V2045">
        <v>391</v>
      </c>
    </row>
    <row r="2046" spans="3:22" ht="15.75" customHeight="1">
      <c r="C2046" s="7"/>
      <c r="D2046" s="7"/>
      <c r="H2046" s="7"/>
      <c r="Q2046" s="16"/>
      <c r="R2046" s="16"/>
      <c r="V2046">
        <v>391</v>
      </c>
    </row>
    <row r="2047" spans="3:22" ht="15.75" customHeight="1">
      <c r="C2047" s="7"/>
      <c r="D2047" s="7"/>
      <c r="H2047" s="7"/>
      <c r="Q2047" s="16"/>
      <c r="R2047" s="16"/>
      <c r="V2047">
        <v>391</v>
      </c>
    </row>
    <row r="2048" spans="3:22" ht="15.75" customHeight="1">
      <c r="C2048" s="7"/>
      <c r="D2048" s="7"/>
      <c r="H2048" s="7"/>
      <c r="Q2048" s="16"/>
      <c r="R2048" s="16"/>
      <c r="V2048">
        <v>391</v>
      </c>
    </row>
    <row r="2049" spans="3:22" ht="15.75" customHeight="1">
      <c r="C2049" s="7"/>
      <c r="D2049" s="7"/>
      <c r="H2049" s="7"/>
      <c r="Q2049" s="16"/>
      <c r="R2049" s="16"/>
      <c r="V2049">
        <v>391</v>
      </c>
    </row>
    <row r="2050" spans="3:22" ht="15.75" customHeight="1">
      <c r="C2050" s="7"/>
      <c r="D2050" s="7"/>
      <c r="H2050" s="7"/>
      <c r="Q2050" s="16"/>
      <c r="R2050" s="16"/>
      <c r="V2050">
        <v>391</v>
      </c>
    </row>
    <row r="2051" spans="3:22" ht="15.75" customHeight="1">
      <c r="C2051" s="7"/>
      <c r="D2051" s="7"/>
      <c r="H2051" s="7"/>
      <c r="Q2051" s="16"/>
      <c r="R2051" s="16"/>
      <c r="V2051">
        <v>391</v>
      </c>
    </row>
    <row r="2052" spans="3:22" ht="15.75" customHeight="1">
      <c r="C2052" s="7"/>
      <c r="D2052" s="7"/>
      <c r="H2052" s="7"/>
      <c r="Q2052" s="16"/>
      <c r="R2052" s="16"/>
      <c r="V2052">
        <v>392</v>
      </c>
    </row>
    <row r="2053" spans="3:22" ht="15.75" customHeight="1">
      <c r="C2053" s="7"/>
      <c r="D2053" s="7"/>
      <c r="H2053" s="7"/>
      <c r="Q2053" s="16"/>
      <c r="R2053" s="16"/>
      <c r="V2053">
        <v>392</v>
      </c>
    </row>
    <row r="2054" spans="3:22" ht="15.75" customHeight="1">
      <c r="C2054" s="7"/>
      <c r="D2054" s="7"/>
      <c r="H2054" s="7"/>
      <c r="Q2054" s="16"/>
      <c r="R2054" s="16"/>
      <c r="V2054">
        <v>392</v>
      </c>
    </row>
    <row r="2055" spans="3:22" ht="15.75" customHeight="1">
      <c r="C2055" s="7"/>
      <c r="D2055" s="7"/>
      <c r="H2055" s="7"/>
      <c r="Q2055" s="16"/>
      <c r="R2055" s="16"/>
      <c r="V2055">
        <v>392</v>
      </c>
    </row>
    <row r="2056" spans="3:22" ht="15.75" customHeight="1">
      <c r="C2056" s="7"/>
      <c r="D2056" s="7"/>
      <c r="H2056" s="7"/>
      <c r="Q2056" s="16"/>
      <c r="R2056" s="16"/>
      <c r="V2056">
        <v>393</v>
      </c>
    </row>
    <row r="2057" spans="3:22" ht="15.75" customHeight="1">
      <c r="C2057" s="7"/>
      <c r="D2057" s="7"/>
      <c r="H2057" s="7"/>
      <c r="Q2057" s="16"/>
      <c r="R2057" s="16"/>
      <c r="V2057">
        <v>393</v>
      </c>
    </row>
    <row r="2058" spans="3:22" ht="15.75" customHeight="1">
      <c r="C2058" s="7"/>
      <c r="D2058" s="7"/>
      <c r="H2058" s="7"/>
      <c r="Q2058" s="16"/>
      <c r="R2058" s="16"/>
      <c r="V2058">
        <v>393</v>
      </c>
    </row>
    <row r="2059" spans="3:22" ht="15.75" customHeight="1">
      <c r="C2059" s="7"/>
      <c r="D2059" s="7"/>
      <c r="H2059" s="7"/>
      <c r="Q2059" s="16"/>
      <c r="R2059" s="16"/>
      <c r="V2059">
        <v>393</v>
      </c>
    </row>
    <row r="2060" spans="3:22" ht="15.75" customHeight="1">
      <c r="C2060" s="7"/>
      <c r="D2060" s="7"/>
      <c r="H2060" s="7"/>
      <c r="Q2060" s="16"/>
      <c r="R2060" s="16"/>
      <c r="V2060">
        <v>394</v>
      </c>
    </row>
    <row r="2061" spans="3:22" ht="15.75" customHeight="1">
      <c r="C2061" s="7"/>
      <c r="D2061" s="7"/>
      <c r="H2061" s="7"/>
      <c r="Q2061" s="16"/>
      <c r="R2061" s="16"/>
      <c r="V2061">
        <v>394</v>
      </c>
    </row>
    <row r="2062" spans="3:22" ht="15.75" customHeight="1">
      <c r="C2062" s="7"/>
      <c r="D2062" s="7"/>
      <c r="H2062" s="7"/>
      <c r="Q2062" s="16"/>
      <c r="R2062" s="16"/>
      <c r="V2062">
        <v>394</v>
      </c>
    </row>
    <row r="2063" spans="3:22" ht="15.75" customHeight="1">
      <c r="C2063" s="7"/>
      <c r="D2063" s="7"/>
      <c r="H2063" s="7"/>
      <c r="Q2063" s="16"/>
      <c r="R2063" s="16"/>
      <c r="V2063">
        <v>394</v>
      </c>
    </row>
    <row r="2064" spans="3:22" ht="15.75" customHeight="1">
      <c r="C2064" s="7"/>
      <c r="D2064" s="7"/>
      <c r="H2064" s="7"/>
      <c r="Q2064" s="16"/>
      <c r="R2064" s="16"/>
      <c r="V2064">
        <v>394</v>
      </c>
    </row>
    <row r="2065" spans="3:22" ht="15.75" customHeight="1">
      <c r="C2065" s="7"/>
      <c r="D2065" s="7"/>
      <c r="H2065" s="7"/>
      <c r="Q2065" s="16"/>
      <c r="R2065" s="16"/>
      <c r="V2065">
        <v>394</v>
      </c>
    </row>
    <row r="2066" spans="3:22" ht="15.75" customHeight="1">
      <c r="C2066" s="7"/>
      <c r="D2066" s="7"/>
      <c r="H2066" s="7"/>
      <c r="Q2066" s="16"/>
      <c r="R2066" s="16"/>
      <c r="V2066">
        <v>394</v>
      </c>
    </row>
    <row r="2067" spans="3:22" ht="15.75" customHeight="1">
      <c r="C2067" s="7"/>
      <c r="D2067" s="7"/>
      <c r="H2067" s="7"/>
      <c r="Q2067" s="16"/>
      <c r="R2067" s="16"/>
      <c r="V2067">
        <v>394</v>
      </c>
    </row>
    <row r="2068" spans="3:22" ht="15.75" customHeight="1">
      <c r="C2068" s="7"/>
      <c r="D2068" s="7"/>
      <c r="H2068" s="7"/>
      <c r="Q2068" s="16"/>
      <c r="R2068" s="16"/>
      <c r="V2068">
        <v>394</v>
      </c>
    </row>
    <row r="2069" spans="3:22" ht="15.75" customHeight="1">
      <c r="C2069" s="7"/>
      <c r="D2069" s="7"/>
      <c r="H2069" s="7"/>
      <c r="Q2069" s="16"/>
      <c r="R2069" s="16"/>
      <c r="V2069">
        <v>394</v>
      </c>
    </row>
    <row r="2070" spans="3:22" ht="15.75" customHeight="1">
      <c r="C2070" s="7"/>
      <c r="D2070" s="7"/>
      <c r="H2070" s="7"/>
      <c r="Q2070" s="16"/>
      <c r="R2070" s="16"/>
      <c r="V2070">
        <v>394</v>
      </c>
    </row>
    <row r="2071" spans="3:22" ht="15.75" customHeight="1">
      <c r="C2071" s="7"/>
      <c r="D2071" s="7"/>
      <c r="H2071" s="7"/>
      <c r="Q2071" s="16"/>
      <c r="R2071" s="16"/>
      <c r="V2071">
        <v>394</v>
      </c>
    </row>
    <row r="2072" spans="3:22" ht="15.75" customHeight="1">
      <c r="C2072" s="7"/>
      <c r="D2072" s="7"/>
      <c r="H2072" s="7"/>
      <c r="Q2072" s="16"/>
      <c r="R2072" s="16"/>
      <c r="V2072">
        <v>394</v>
      </c>
    </row>
    <row r="2073" spans="3:22" ht="15.75" customHeight="1">
      <c r="C2073" s="7"/>
      <c r="D2073" s="7"/>
      <c r="H2073" s="7"/>
      <c r="Q2073" s="16"/>
      <c r="R2073" s="16"/>
      <c r="V2073">
        <v>394</v>
      </c>
    </row>
    <row r="2074" spans="3:22" ht="15.75" customHeight="1">
      <c r="C2074" s="7"/>
      <c r="D2074" s="7"/>
      <c r="H2074" s="7"/>
      <c r="Q2074" s="16"/>
      <c r="R2074" s="16"/>
      <c r="V2074">
        <v>394</v>
      </c>
    </row>
    <row r="2075" spans="3:22" ht="15.75" customHeight="1">
      <c r="C2075" s="7"/>
      <c r="D2075" s="7"/>
      <c r="H2075" s="7"/>
      <c r="Q2075" s="16"/>
      <c r="R2075" s="16"/>
      <c r="V2075">
        <v>394</v>
      </c>
    </row>
    <row r="2076" spans="3:22" ht="15.75" customHeight="1">
      <c r="C2076" s="7"/>
      <c r="D2076" s="7"/>
      <c r="H2076" s="7"/>
      <c r="Q2076" s="16"/>
      <c r="R2076" s="16"/>
      <c r="V2076">
        <v>395</v>
      </c>
    </row>
    <row r="2077" spans="3:22" ht="15.75" customHeight="1">
      <c r="C2077" s="7"/>
      <c r="D2077" s="7"/>
      <c r="H2077" s="7"/>
      <c r="Q2077" s="16"/>
      <c r="R2077" s="16"/>
      <c r="V2077">
        <v>395</v>
      </c>
    </row>
    <row r="2078" spans="3:22" ht="15.75" customHeight="1">
      <c r="C2078" s="7"/>
      <c r="D2078" s="7"/>
      <c r="H2078" s="7"/>
      <c r="Q2078" s="16"/>
      <c r="R2078" s="16"/>
      <c r="V2078">
        <v>395</v>
      </c>
    </row>
    <row r="2079" spans="3:22" ht="15.75" customHeight="1">
      <c r="C2079" s="7"/>
      <c r="D2079" s="7"/>
      <c r="H2079" s="7"/>
      <c r="Q2079" s="16"/>
      <c r="R2079" s="16"/>
      <c r="V2079">
        <v>395</v>
      </c>
    </row>
    <row r="2080" spans="3:22" ht="15.75" customHeight="1">
      <c r="C2080" s="7"/>
      <c r="D2080" s="7"/>
      <c r="H2080" s="7"/>
      <c r="Q2080" s="16"/>
      <c r="R2080" s="16"/>
      <c r="V2080">
        <v>395</v>
      </c>
    </row>
    <row r="2081" spans="3:22" ht="15.75" customHeight="1">
      <c r="C2081" s="7"/>
      <c r="D2081" s="7"/>
      <c r="H2081" s="7"/>
      <c r="Q2081" s="16"/>
      <c r="R2081" s="16"/>
      <c r="V2081">
        <v>396</v>
      </c>
    </row>
    <row r="2082" spans="3:22" ht="15.75" customHeight="1">
      <c r="C2082" s="7"/>
      <c r="D2082" s="7"/>
      <c r="H2082" s="7"/>
      <c r="Q2082" s="16"/>
      <c r="R2082" s="16"/>
      <c r="V2082">
        <v>396</v>
      </c>
    </row>
    <row r="2083" spans="3:22" ht="15.75" customHeight="1">
      <c r="C2083" s="7"/>
      <c r="D2083" s="7"/>
      <c r="H2083" s="7"/>
      <c r="Q2083" s="16"/>
      <c r="R2083" s="16"/>
      <c r="V2083">
        <v>397</v>
      </c>
    </row>
    <row r="2084" spans="3:22" ht="15.75" customHeight="1">
      <c r="C2084" s="7"/>
      <c r="D2084" s="7"/>
      <c r="H2084" s="7"/>
      <c r="Q2084" s="16"/>
      <c r="R2084" s="16"/>
      <c r="V2084">
        <v>397</v>
      </c>
    </row>
    <row r="2085" spans="3:22" ht="15.75" customHeight="1">
      <c r="C2085" s="7"/>
      <c r="D2085" s="7"/>
      <c r="H2085" s="7"/>
      <c r="Q2085" s="16"/>
      <c r="R2085" s="16"/>
      <c r="V2085">
        <v>397</v>
      </c>
    </row>
    <row r="2086" spans="3:22" ht="15.75" customHeight="1">
      <c r="C2086" s="7"/>
      <c r="D2086" s="7"/>
      <c r="H2086" s="7"/>
      <c r="Q2086" s="16"/>
      <c r="R2086" s="16"/>
      <c r="V2086">
        <v>397</v>
      </c>
    </row>
    <row r="2087" spans="3:22" ht="15.75" customHeight="1">
      <c r="C2087" s="7"/>
      <c r="D2087" s="7"/>
      <c r="H2087" s="7"/>
      <c r="Q2087" s="16"/>
      <c r="R2087" s="16"/>
      <c r="V2087">
        <v>397</v>
      </c>
    </row>
    <row r="2088" spans="3:22" ht="15.75" customHeight="1">
      <c r="C2088" s="7"/>
      <c r="D2088" s="7"/>
      <c r="H2088" s="7"/>
      <c r="Q2088" s="16"/>
      <c r="R2088" s="16"/>
      <c r="V2088">
        <v>397</v>
      </c>
    </row>
    <row r="2089" spans="3:22" ht="15.75" customHeight="1">
      <c r="C2089" s="7"/>
      <c r="D2089" s="7"/>
      <c r="H2089" s="7"/>
      <c r="Q2089" s="16"/>
      <c r="R2089" s="16"/>
      <c r="V2089">
        <v>398</v>
      </c>
    </row>
    <row r="2090" spans="3:22" ht="15.75" customHeight="1">
      <c r="C2090" s="7"/>
      <c r="D2090" s="7"/>
      <c r="H2090" s="7"/>
      <c r="Q2090" s="16"/>
      <c r="R2090" s="16"/>
      <c r="V2090">
        <v>398</v>
      </c>
    </row>
    <row r="2091" spans="3:22" ht="15.75" customHeight="1">
      <c r="C2091" s="7"/>
      <c r="D2091" s="7"/>
      <c r="H2091" s="7"/>
      <c r="Q2091" s="16"/>
      <c r="R2091" s="16"/>
      <c r="V2091">
        <v>398</v>
      </c>
    </row>
    <row r="2092" spans="3:22" ht="15.75" customHeight="1">
      <c r="C2092" s="7"/>
      <c r="D2092" s="7"/>
      <c r="H2092" s="7"/>
      <c r="Q2092" s="16"/>
      <c r="R2092" s="16"/>
      <c r="V2092">
        <v>398</v>
      </c>
    </row>
    <row r="2093" spans="3:22" ht="15.75" customHeight="1">
      <c r="C2093" s="7"/>
      <c r="D2093" s="7"/>
      <c r="H2093" s="7"/>
      <c r="Q2093" s="16"/>
      <c r="R2093" s="16"/>
      <c r="V2093">
        <v>399</v>
      </c>
    </row>
    <row r="2094" spans="3:22" ht="15.75" customHeight="1">
      <c r="C2094" s="7"/>
      <c r="D2094" s="7"/>
      <c r="H2094" s="7"/>
      <c r="Q2094" s="16"/>
      <c r="R2094" s="16"/>
      <c r="V2094">
        <v>400</v>
      </c>
    </row>
    <row r="2095" spans="3:22" ht="15.75" customHeight="1">
      <c r="C2095" s="7"/>
      <c r="D2095" s="7"/>
      <c r="H2095" s="7"/>
      <c r="Q2095" s="16"/>
      <c r="R2095" s="16"/>
      <c r="V2095">
        <v>401</v>
      </c>
    </row>
    <row r="2096" spans="3:22" ht="15.75" customHeight="1">
      <c r="C2096" s="7"/>
      <c r="D2096" s="7"/>
      <c r="H2096" s="7"/>
      <c r="Q2096" s="16"/>
      <c r="R2096" s="16"/>
      <c r="V2096">
        <v>402</v>
      </c>
    </row>
    <row r="2097" spans="3:22" ht="15.75" customHeight="1">
      <c r="C2097" s="7"/>
      <c r="D2097" s="7"/>
      <c r="H2097" s="7"/>
      <c r="Q2097" s="16"/>
      <c r="R2097" s="16"/>
      <c r="V2097">
        <v>403</v>
      </c>
    </row>
    <row r="2098" spans="3:22" ht="15.75" customHeight="1">
      <c r="C2098" s="7"/>
      <c r="D2098" s="7"/>
      <c r="H2098" s="7"/>
      <c r="Q2098" s="16"/>
      <c r="R2098" s="16"/>
      <c r="V2098">
        <v>403</v>
      </c>
    </row>
    <row r="2099" spans="3:22" ht="15.75" customHeight="1">
      <c r="C2099" s="7"/>
      <c r="D2099" s="7"/>
      <c r="H2099" s="7"/>
      <c r="Q2099" s="16"/>
      <c r="R2099" s="16"/>
      <c r="V2099">
        <v>403</v>
      </c>
    </row>
    <row r="2100" spans="3:22" ht="15.75" customHeight="1">
      <c r="C2100" s="7"/>
      <c r="D2100" s="7"/>
      <c r="H2100" s="7"/>
      <c r="Q2100" s="16"/>
      <c r="R2100" s="16"/>
      <c r="V2100">
        <v>403</v>
      </c>
    </row>
    <row r="2101" spans="3:22" ht="15.75" customHeight="1">
      <c r="C2101" s="7"/>
      <c r="D2101" s="7"/>
      <c r="H2101" s="7"/>
      <c r="Q2101" s="16"/>
      <c r="R2101" s="16"/>
      <c r="V2101">
        <v>403</v>
      </c>
    </row>
    <row r="2102" spans="3:22" ht="15.75" customHeight="1">
      <c r="C2102" s="7"/>
      <c r="D2102" s="7"/>
      <c r="H2102" s="7"/>
      <c r="Q2102" s="16"/>
      <c r="R2102" s="16"/>
      <c r="V2102">
        <v>403</v>
      </c>
    </row>
    <row r="2103" spans="3:22" ht="15.75" customHeight="1">
      <c r="C2103" s="7"/>
      <c r="D2103" s="7"/>
      <c r="H2103" s="7"/>
      <c r="Q2103" s="16"/>
      <c r="R2103" s="16"/>
      <c r="V2103">
        <v>403</v>
      </c>
    </row>
    <row r="2104" spans="3:22" ht="15.75" customHeight="1">
      <c r="C2104" s="7"/>
      <c r="D2104" s="7"/>
      <c r="H2104" s="7"/>
      <c r="Q2104" s="16"/>
      <c r="R2104" s="16"/>
      <c r="V2104">
        <v>403</v>
      </c>
    </row>
    <row r="2105" spans="3:22" ht="15.75" customHeight="1">
      <c r="C2105" s="7"/>
      <c r="D2105" s="7"/>
      <c r="H2105" s="7"/>
      <c r="Q2105" s="16"/>
      <c r="R2105" s="16"/>
      <c r="V2105">
        <v>404</v>
      </c>
    </row>
    <row r="2106" spans="3:22" ht="15.75" customHeight="1">
      <c r="C2106" s="7"/>
      <c r="D2106" s="7"/>
      <c r="H2106" s="7"/>
      <c r="Q2106" s="16"/>
      <c r="R2106" s="16"/>
      <c r="V2106">
        <v>405</v>
      </c>
    </row>
    <row r="2107" spans="3:22" ht="15.75" customHeight="1">
      <c r="C2107" s="7"/>
      <c r="D2107" s="7"/>
      <c r="H2107" s="7"/>
      <c r="Q2107" s="16"/>
      <c r="R2107" s="16"/>
      <c r="V2107">
        <v>405</v>
      </c>
    </row>
    <row r="2108" spans="3:22" ht="15.75" customHeight="1">
      <c r="C2108" s="7"/>
      <c r="D2108" s="7"/>
      <c r="H2108" s="7"/>
      <c r="Q2108" s="16"/>
      <c r="R2108" s="16"/>
      <c r="V2108">
        <v>406</v>
      </c>
    </row>
    <row r="2109" spans="3:22" ht="15.75" customHeight="1">
      <c r="C2109" s="7"/>
      <c r="D2109" s="7"/>
      <c r="H2109" s="7"/>
      <c r="Q2109" s="16"/>
      <c r="R2109" s="16"/>
      <c r="V2109">
        <v>406</v>
      </c>
    </row>
    <row r="2110" spans="3:22" ht="15.75" customHeight="1">
      <c r="C2110" s="7"/>
      <c r="D2110" s="7"/>
      <c r="H2110" s="7"/>
      <c r="Q2110" s="16"/>
      <c r="R2110" s="16"/>
      <c r="V2110">
        <v>406</v>
      </c>
    </row>
    <row r="2111" spans="3:22" ht="15.75" customHeight="1">
      <c r="C2111" s="7"/>
      <c r="D2111" s="7"/>
      <c r="H2111" s="7"/>
      <c r="Q2111" s="16"/>
      <c r="R2111" s="16"/>
      <c r="V2111">
        <v>406</v>
      </c>
    </row>
    <row r="2112" spans="3:22" ht="15.75" customHeight="1">
      <c r="C2112" s="7"/>
      <c r="D2112" s="7"/>
      <c r="H2112" s="7"/>
      <c r="Q2112" s="16"/>
      <c r="R2112" s="16"/>
      <c r="V2112">
        <v>406</v>
      </c>
    </row>
    <row r="2113" spans="3:22" ht="15.75" customHeight="1">
      <c r="C2113" s="7"/>
      <c r="D2113" s="7"/>
      <c r="H2113" s="7"/>
      <c r="Q2113" s="16"/>
      <c r="R2113" s="16"/>
      <c r="V2113">
        <v>406</v>
      </c>
    </row>
    <row r="2114" spans="3:22" ht="15.75" customHeight="1">
      <c r="C2114" s="7"/>
      <c r="D2114" s="7"/>
      <c r="H2114" s="7"/>
      <c r="Q2114" s="16"/>
      <c r="R2114" s="16"/>
      <c r="V2114">
        <v>406</v>
      </c>
    </row>
    <row r="2115" spans="3:22" ht="15.75" customHeight="1">
      <c r="C2115" s="7"/>
      <c r="D2115" s="7"/>
      <c r="H2115" s="7"/>
      <c r="Q2115" s="16"/>
      <c r="R2115" s="16"/>
      <c r="V2115">
        <v>406</v>
      </c>
    </row>
    <row r="2116" spans="3:22" ht="15.75" customHeight="1">
      <c r="C2116" s="7"/>
      <c r="D2116" s="7"/>
      <c r="H2116" s="7"/>
      <c r="Q2116" s="16"/>
      <c r="R2116" s="16"/>
      <c r="V2116">
        <v>406</v>
      </c>
    </row>
    <row r="2117" spans="3:22" ht="15.75" customHeight="1">
      <c r="C2117" s="7"/>
      <c r="D2117" s="7"/>
      <c r="H2117" s="7"/>
      <c r="Q2117" s="16"/>
      <c r="R2117" s="16"/>
      <c r="V2117">
        <v>406</v>
      </c>
    </row>
    <row r="2118" spans="3:22" ht="15.75" customHeight="1">
      <c r="C2118" s="7"/>
      <c r="D2118" s="7"/>
      <c r="H2118" s="7"/>
      <c r="Q2118" s="16"/>
      <c r="R2118" s="16"/>
      <c r="V2118">
        <v>406</v>
      </c>
    </row>
    <row r="2119" spans="3:22" ht="15.75" customHeight="1">
      <c r="C2119" s="7"/>
      <c r="D2119" s="7"/>
      <c r="H2119" s="7"/>
      <c r="Q2119" s="16"/>
      <c r="R2119" s="16"/>
      <c r="V2119">
        <v>406</v>
      </c>
    </row>
    <row r="2120" spans="3:22" ht="15.75" customHeight="1">
      <c r="C2120" s="7"/>
      <c r="D2120" s="7"/>
      <c r="H2120" s="7"/>
      <c r="Q2120" s="16"/>
      <c r="R2120" s="16"/>
      <c r="V2120">
        <v>406</v>
      </c>
    </row>
    <row r="2121" spans="3:22" ht="15.75" customHeight="1">
      <c r="C2121" s="7"/>
      <c r="D2121" s="7"/>
      <c r="H2121" s="7"/>
      <c r="Q2121" s="16"/>
      <c r="R2121" s="16"/>
      <c r="V2121">
        <v>406</v>
      </c>
    </row>
    <row r="2122" spans="3:22" ht="15.75" customHeight="1">
      <c r="C2122" s="7"/>
      <c r="D2122" s="7"/>
      <c r="H2122" s="7"/>
      <c r="Q2122" s="16"/>
      <c r="R2122" s="16"/>
      <c r="V2122">
        <v>406</v>
      </c>
    </row>
    <row r="2123" spans="3:22" ht="15.75" customHeight="1">
      <c r="C2123" s="7"/>
      <c r="D2123" s="7"/>
      <c r="H2123" s="7"/>
      <c r="Q2123" s="16"/>
      <c r="R2123" s="16"/>
      <c r="V2123">
        <v>406</v>
      </c>
    </row>
    <row r="2124" spans="3:22" ht="15.75" customHeight="1">
      <c r="C2124" s="7"/>
      <c r="D2124" s="7"/>
      <c r="H2124" s="7"/>
      <c r="Q2124" s="16"/>
      <c r="R2124" s="16"/>
      <c r="V2124">
        <v>406</v>
      </c>
    </row>
    <row r="2125" spans="3:22" ht="15.75" customHeight="1">
      <c r="C2125" s="7"/>
      <c r="D2125" s="7"/>
      <c r="H2125" s="7"/>
      <c r="Q2125" s="16"/>
      <c r="R2125" s="16"/>
      <c r="V2125">
        <v>406</v>
      </c>
    </row>
    <row r="2126" spans="3:22" ht="15.75" customHeight="1">
      <c r="C2126" s="7"/>
      <c r="D2126" s="7"/>
      <c r="H2126" s="7"/>
      <c r="Q2126" s="16"/>
      <c r="R2126" s="16"/>
      <c r="V2126">
        <v>406</v>
      </c>
    </row>
    <row r="2127" spans="3:22" ht="15.75" customHeight="1">
      <c r="C2127" s="7"/>
      <c r="D2127" s="7"/>
      <c r="H2127" s="7"/>
      <c r="Q2127" s="16"/>
      <c r="R2127" s="16"/>
      <c r="V2127">
        <v>406</v>
      </c>
    </row>
    <row r="2128" spans="3:22" ht="15.75" customHeight="1">
      <c r="C2128" s="7"/>
      <c r="D2128" s="7"/>
      <c r="H2128" s="7"/>
      <c r="Q2128" s="16"/>
      <c r="R2128" s="16"/>
      <c r="V2128">
        <v>406</v>
      </c>
    </row>
    <row r="2129" spans="3:22" ht="15.75" customHeight="1">
      <c r="C2129" s="7"/>
      <c r="D2129" s="7"/>
      <c r="H2129" s="7"/>
      <c r="Q2129" s="16"/>
      <c r="R2129" s="16"/>
      <c r="V2129">
        <v>406</v>
      </c>
    </row>
    <row r="2130" spans="3:22" ht="15.75" customHeight="1">
      <c r="C2130" s="7"/>
      <c r="D2130" s="7"/>
      <c r="H2130" s="7"/>
      <c r="Q2130" s="16"/>
      <c r="R2130" s="16"/>
      <c r="V2130">
        <v>406</v>
      </c>
    </row>
    <row r="2131" spans="3:22" ht="15.75" customHeight="1">
      <c r="C2131" s="7"/>
      <c r="D2131" s="7"/>
      <c r="H2131" s="7"/>
      <c r="Q2131" s="16"/>
      <c r="R2131" s="16"/>
      <c r="V2131">
        <v>406</v>
      </c>
    </row>
    <row r="2132" spans="3:22" ht="15.75" customHeight="1">
      <c r="C2132" s="7"/>
      <c r="D2132" s="7"/>
      <c r="H2132" s="7"/>
      <c r="Q2132" s="16"/>
      <c r="R2132" s="16"/>
      <c r="V2132">
        <v>407</v>
      </c>
    </row>
    <row r="2133" spans="3:22" ht="15.75" customHeight="1">
      <c r="C2133" s="7"/>
      <c r="D2133" s="7"/>
      <c r="H2133" s="7"/>
      <c r="Q2133" s="16"/>
      <c r="R2133" s="16"/>
      <c r="V2133">
        <v>407</v>
      </c>
    </row>
    <row r="2134" spans="3:22" ht="15.75" customHeight="1">
      <c r="C2134" s="7"/>
      <c r="D2134" s="7"/>
      <c r="H2134" s="7"/>
      <c r="Q2134" s="16"/>
      <c r="R2134" s="16"/>
      <c r="V2134">
        <v>407</v>
      </c>
    </row>
    <row r="2135" spans="3:22" ht="15.75" customHeight="1">
      <c r="C2135" s="7"/>
      <c r="D2135" s="7"/>
      <c r="H2135" s="7"/>
      <c r="Q2135" s="16"/>
      <c r="R2135" s="16"/>
      <c r="V2135">
        <v>407</v>
      </c>
    </row>
    <row r="2136" spans="3:22" ht="15.75" customHeight="1">
      <c r="C2136" s="7"/>
      <c r="D2136" s="7"/>
      <c r="H2136" s="7"/>
      <c r="Q2136" s="16"/>
      <c r="R2136" s="16"/>
      <c r="V2136">
        <v>407</v>
      </c>
    </row>
    <row r="2137" spans="3:22" ht="15.75" customHeight="1">
      <c r="C2137" s="7"/>
      <c r="D2137" s="7"/>
      <c r="H2137" s="7"/>
      <c r="Q2137" s="16"/>
      <c r="R2137" s="16"/>
      <c r="V2137">
        <v>407</v>
      </c>
    </row>
    <row r="2138" spans="3:22" ht="15.75" customHeight="1">
      <c r="C2138" s="7"/>
      <c r="D2138" s="7"/>
      <c r="H2138" s="7"/>
      <c r="Q2138" s="16"/>
      <c r="R2138" s="16"/>
      <c r="V2138">
        <v>407</v>
      </c>
    </row>
    <row r="2139" spans="3:22" ht="15.75" customHeight="1">
      <c r="C2139" s="7"/>
      <c r="D2139" s="7"/>
      <c r="H2139" s="7"/>
      <c r="Q2139" s="16"/>
      <c r="R2139" s="16"/>
      <c r="V2139">
        <v>407</v>
      </c>
    </row>
    <row r="2140" spans="3:22" ht="15.75" customHeight="1">
      <c r="C2140" s="7"/>
      <c r="D2140" s="7"/>
      <c r="H2140" s="7"/>
      <c r="Q2140" s="16"/>
      <c r="R2140" s="16"/>
      <c r="V2140">
        <v>407</v>
      </c>
    </row>
    <row r="2141" spans="3:22" ht="15.75" customHeight="1">
      <c r="C2141" s="7"/>
      <c r="D2141" s="7"/>
      <c r="H2141" s="7"/>
      <c r="Q2141" s="16"/>
      <c r="R2141" s="16"/>
      <c r="V2141">
        <v>407</v>
      </c>
    </row>
    <row r="2142" spans="3:22" ht="15.75" customHeight="1">
      <c r="C2142" s="7"/>
      <c r="D2142" s="7"/>
      <c r="H2142" s="7"/>
      <c r="Q2142" s="16"/>
      <c r="R2142" s="16"/>
      <c r="V2142">
        <v>407</v>
      </c>
    </row>
    <row r="2143" spans="3:22" ht="15.75" customHeight="1">
      <c r="C2143" s="7"/>
      <c r="D2143" s="7"/>
      <c r="H2143" s="7"/>
      <c r="Q2143" s="16"/>
      <c r="R2143" s="16"/>
      <c r="V2143">
        <v>407</v>
      </c>
    </row>
    <row r="2144" spans="3:22" ht="15.75" customHeight="1">
      <c r="C2144" s="7"/>
      <c r="D2144" s="7"/>
      <c r="H2144" s="7"/>
      <c r="Q2144" s="16"/>
      <c r="R2144" s="16"/>
      <c r="V2144">
        <v>407</v>
      </c>
    </row>
    <row r="2145" spans="3:22" ht="15.75" customHeight="1">
      <c r="C2145" s="7"/>
      <c r="D2145" s="7"/>
      <c r="H2145" s="7"/>
      <c r="Q2145" s="16"/>
      <c r="R2145" s="16"/>
      <c r="V2145">
        <v>407</v>
      </c>
    </row>
    <row r="2146" spans="3:22" ht="15.75" customHeight="1">
      <c r="C2146" s="7"/>
      <c r="D2146" s="7"/>
      <c r="H2146" s="7"/>
      <c r="Q2146" s="16"/>
      <c r="R2146" s="16"/>
      <c r="V2146">
        <v>408</v>
      </c>
    </row>
    <row r="2147" spans="3:22" ht="15.75" customHeight="1">
      <c r="C2147" s="7"/>
      <c r="D2147" s="7"/>
      <c r="H2147" s="7"/>
      <c r="Q2147" s="16"/>
      <c r="R2147" s="16"/>
      <c r="V2147">
        <v>408</v>
      </c>
    </row>
    <row r="2148" spans="3:22" ht="15.75" customHeight="1">
      <c r="C2148" s="7"/>
      <c r="D2148" s="7"/>
      <c r="H2148" s="7"/>
      <c r="Q2148" s="16"/>
      <c r="R2148" s="16"/>
      <c r="V2148">
        <v>408</v>
      </c>
    </row>
    <row r="2149" spans="3:22" ht="15.75" customHeight="1">
      <c r="C2149" s="7"/>
      <c r="D2149" s="7"/>
      <c r="H2149" s="7"/>
      <c r="Q2149" s="16"/>
      <c r="R2149" s="16"/>
      <c r="V2149">
        <v>408</v>
      </c>
    </row>
    <row r="2150" spans="3:22" ht="15.75" customHeight="1">
      <c r="C2150" s="7"/>
      <c r="D2150" s="7"/>
      <c r="H2150" s="7"/>
      <c r="Q2150" s="16"/>
      <c r="R2150" s="16"/>
      <c r="V2150">
        <v>408</v>
      </c>
    </row>
    <row r="2151" spans="3:22" ht="15.75" customHeight="1">
      <c r="C2151" s="7"/>
      <c r="D2151" s="7"/>
      <c r="H2151" s="7"/>
      <c r="Q2151" s="16"/>
      <c r="R2151" s="16"/>
      <c r="V2151">
        <v>408</v>
      </c>
    </row>
    <row r="2152" spans="3:22" ht="15.75" customHeight="1">
      <c r="C2152" s="7"/>
      <c r="D2152" s="7"/>
      <c r="H2152" s="7"/>
      <c r="Q2152" s="16"/>
      <c r="R2152" s="16"/>
      <c r="V2152">
        <v>408</v>
      </c>
    </row>
    <row r="2153" spans="3:22" ht="15.75" customHeight="1">
      <c r="C2153" s="7"/>
      <c r="D2153" s="7"/>
      <c r="H2153" s="7"/>
      <c r="Q2153" s="16"/>
      <c r="R2153" s="16"/>
      <c r="V2153">
        <v>408</v>
      </c>
    </row>
    <row r="2154" spans="3:22" ht="15.75" customHeight="1">
      <c r="C2154" s="7"/>
      <c r="D2154" s="7"/>
      <c r="H2154" s="7"/>
      <c r="Q2154" s="16"/>
      <c r="R2154" s="16"/>
      <c r="V2154">
        <v>408</v>
      </c>
    </row>
    <row r="2155" spans="3:22" ht="15.75" customHeight="1">
      <c r="C2155" s="7"/>
      <c r="D2155" s="7"/>
      <c r="H2155" s="7"/>
      <c r="Q2155" s="16"/>
      <c r="R2155" s="16"/>
      <c r="V2155">
        <v>408</v>
      </c>
    </row>
    <row r="2156" spans="3:22" ht="15.75" customHeight="1">
      <c r="C2156" s="7"/>
      <c r="D2156" s="7"/>
      <c r="H2156" s="7"/>
      <c r="Q2156" s="16"/>
      <c r="R2156" s="16"/>
      <c r="V2156">
        <v>409</v>
      </c>
    </row>
    <row r="2157" spans="3:22" ht="15.75" customHeight="1">
      <c r="C2157" s="7"/>
      <c r="D2157" s="7"/>
      <c r="H2157" s="7"/>
      <c r="Q2157" s="16"/>
      <c r="R2157" s="16"/>
      <c r="V2157">
        <v>409</v>
      </c>
    </row>
    <row r="2158" spans="3:22" ht="15.75" customHeight="1">
      <c r="C2158" s="7"/>
      <c r="D2158" s="7"/>
      <c r="H2158" s="7"/>
      <c r="Q2158" s="16"/>
      <c r="R2158" s="16"/>
      <c r="V2158">
        <v>409</v>
      </c>
    </row>
    <row r="2159" spans="3:22" ht="15.75" customHeight="1">
      <c r="C2159" s="7"/>
      <c r="D2159" s="7"/>
      <c r="H2159" s="7"/>
      <c r="Q2159" s="16"/>
      <c r="R2159" s="16"/>
      <c r="V2159">
        <v>410</v>
      </c>
    </row>
    <row r="2160" spans="3:22" ht="15.75" customHeight="1">
      <c r="C2160" s="7"/>
      <c r="D2160" s="7"/>
      <c r="H2160" s="7"/>
      <c r="Q2160" s="16"/>
      <c r="R2160" s="16"/>
      <c r="V2160">
        <v>410</v>
      </c>
    </row>
    <row r="2161" spans="3:22" ht="15.75" customHeight="1">
      <c r="C2161" s="7"/>
      <c r="D2161" s="7"/>
      <c r="H2161" s="7"/>
      <c r="Q2161" s="16"/>
      <c r="R2161" s="16"/>
      <c r="V2161">
        <v>410</v>
      </c>
    </row>
    <row r="2162" spans="3:22" ht="15.75" customHeight="1">
      <c r="C2162" s="7"/>
      <c r="D2162" s="7"/>
      <c r="H2162" s="7"/>
      <c r="Q2162" s="16"/>
      <c r="R2162" s="16"/>
      <c r="V2162">
        <v>410</v>
      </c>
    </row>
    <row r="2163" spans="3:22" ht="15.75" customHeight="1">
      <c r="C2163" s="7"/>
      <c r="D2163" s="7"/>
      <c r="H2163" s="7"/>
      <c r="Q2163" s="16"/>
      <c r="R2163" s="16"/>
      <c r="V2163">
        <v>410</v>
      </c>
    </row>
    <row r="2164" spans="3:22" ht="15.75" customHeight="1">
      <c r="C2164" s="7"/>
      <c r="D2164" s="7"/>
      <c r="H2164" s="7"/>
      <c r="Q2164" s="16"/>
      <c r="R2164" s="16"/>
      <c r="V2164">
        <v>410</v>
      </c>
    </row>
    <row r="2165" spans="3:22" ht="15.75" customHeight="1">
      <c r="C2165" s="7"/>
      <c r="D2165" s="7"/>
      <c r="H2165" s="7"/>
      <c r="Q2165" s="16"/>
      <c r="R2165" s="16"/>
      <c r="V2165">
        <v>410</v>
      </c>
    </row>
    <row r="2166" spans="3:22" ht="15.75" customHeight="1">
      <c r="C2166" s="7"/>
      <c r="D2166" s="7"/>
      <c r="H2166" s="7"/>
      <c r="Q2166" s="16"/>
      <c r="R2166" s="16"/>
      <c r="V2166">
        <v>410</v>
      </c>
    </row>
    <row r="2167" spans="3:22" ht="15.75" customHeight="1">
      <c r="C2167" s="7"/>
      <c r="D2167" s="7"/>
      <c r="H2167" s="7"/>
      <c r="Q2167" s="16"/>
      <c r="R2167" s="16"/>
      <c r="V2167">
        <v>410</v>
      </c>
    </row>
    <row r="2168" spans="3:22" ht="15.75" customHeight="1">
      <c r="C2168" s="7"/>
      <c r="D2168" s="7"/>
      <c r="H2168" s="7"/>
      <c r="Q2168" s="16"/>
      <c r="R2168" s="16"/>
      <c r="V2168">
        <v>410</v>
      </c>
    </row>
    <row r="2169" spans="3:22" ht="15.75" customHeight="1">
      <c r="C2169" s="7"/>
      <c r="D2169" s="7"/>
      <c r="H2169" s="7"/>
      <c r="Q2169" s="16"/>
      <c r="R2169" s="16"/>
      <c r="V2169">
        <v>410</v>
      </c>
    </row>
    <row r="2170" spans="3:22" ht="15.75" customHeight="1">
      <c r="C2170" s="7"/>
      <c r="D2170" s="7"/>
      <c r="H2170" s="7"/>
      <c r="Q2170" s="16"/>
      <c r="R2170" s="16"/>
      <c r="V2170">
        <v>410</v>
      </c>
    </row>
    <row r="2171" spans="3:22" ht="15.75" customHeight="1">
      <c r="C2171" s="7"/>
      <c r="D2171" s="7"/>
      <c r="H2171" s="7"/>
      <c r="Q2171" s="16"/>
      <c r="R2171" s="16"/>
      <c r="V2171">
        <v>410</v>
      </c>
    </row>
    <row r="2172" spans="3:22" ht="15.75" customHeight="1">
      <c r="C2172" s="7"/>
      <c r="D2172" s="7"/>
      <c r="H2172" s="7"/>
      <c r="Q2172" s="16"/>
      <c r="R2172" s="16"/>
      <c r="V2172">
        <v>410</v>
      </c>
    </row>
    <row r="2173" spans="3:22" ht="15.75" customHeight="1">
      <c r="C2173" s="7"/>
      <c r="D2173" s="7"/>
      <c r="H2173" s="7"/>
      <c r="Q2173" s="16"/>
      <c r="R2173" s="16"/>
      <c r="V2173">
        <v>410</v>
      </c>
    </row>
    <row r="2174" spans="3:22" ht="15.75" customHeight="1">
      <c r="C2174" s="7"/>
      <c r="D2174" s="7"/>
      <c r="H2174" s="7"/>
      <c r="Q2174" s="16"/>
      <c r="R2174" s="16"/>
      <c r="V2174">
        <v>410</v>
      </c>
    </row>
    <row r="2175" spans="3:22" ht="15.75" customHeight="1">
      <c r="C2175" s="7"/>
      <c r="D2175" s="7"/>
      <c r="H2175" s="7"/>
      <c r="Q2175" s="16"/>
      <c r="R2175" s="16"/>
      <c r="V2175">
        <v>410</v>
      </c>
    </row>
    <row r="2176" spans="3:22" ht="15.75" customHeight="1">
      <c r="C2176" s="7"/>
      <c r="D2176" s="7"/>
      <c r="H2176" s="7"/>
      <c r="Q2176" s="16"/>
      <c r="R2176" s="16"/>
      <c r="V2176">
        <v>410</v>
      </c>
    </row>
    <row r="2177" spans="3:22" ht="15.75" customHeight="1">
      <c r="C2177" s="7"/>
      <c r="D2177" s="7"/>
      <c r="H2177" s="7"/>
      <c r="Q2177" s="16"/>
      <c r="R2177" s="16"/>
      <c r="V2177">
        <v>410</v>
      </c>
    </row>
    <row r="2178" spans="3:22" ht="15.75" customHeight="1">
      <c r="C2178" s="7"/>
      <c r="D2178" s="7"/>
      <c r="H2178" s="7"/>
      <c r="Q2178" s="16"/>
      <c r="R2178" s="16"/>
      <c r="V2178">
        <v>410</v>
      </c>
    </row>
    <row r="2179" spans="3:22" ht="15.75" customHeight="1">
      <c r="C2179" s="7"/>
      <c r="D2179" s="7"/>
      <c r="H2179" s="7"/>
      <c r="Q2179" s="16"/>
      <c r="R2179" s="16"/>
      <c r="V2179">
        <v>410</v>
      </c>
    </row>
    <row r="2180" spans="3:22" ht="15.75" customHeight="1">
      <c r="C2180" s="7"/>
      <c r="D2180" s="7"/>
      <c r="H2180" s="7"/>
      <c r="Q2180" s="16"/>
      <c r="R2180" s="16"/>
      <c r="V2180">
        <v>410</v>
      </c>
    </row>
    <row r="2181" spans="3:22" ht="15.75" customHeight="1">
      <c r="C2181" s="7"/>
      <c r="D2181" s="7"/>
      <c r="H2181" s="7"/>
      <c r="Q2181" s="16"/>
      <c r="R2181" s="16"/>
      <c r="V2181">
        <v>410</v>
      </c>
    </row>
    <row r="2182" spans="3:22" ht="15.75" customHeight="1">
      <c r="C2182" s="7"/>
      <c r="D2182" s="7"/>
      <c r="H2182" s="7"/>
      <c r="Q2182" s="16"/>
      <c r="R2182" s="16"/>
      <c r="V2182">
        <v>411</v>
      </c>
    </row>
    <row r="2183" spans="3:22" ht="15.75" customHeight="1">
      <c r="C2183" s="7"/>
      <c r="D2183" s="7"/>
      <c r="H2183" s="7"/>
      <c r="Q2183" s="16"/>
      <c r="R2183" s="16"/>
      <c r="V2183">
        <v>411</v>
      </c>
    </row>
    <row r="2184" spans="3:22" ht="15.75" customHeight="1">
      <c r="C2184" s="7"/>
      <c r="D2184" s="7"/>
      <c r="H2184" s="7"/>
      <c r="Q2184" s="16"/>
      <c r="R2184" s="16"/>
      <c r="V2184">
        <v>412</v>
      </c>
    </row>
    <row r="2185" spans="3:22" ht="15.75" customHeight="1">
      <c r="C2185" s="7"/>
      <c r="D2185" s="7"/>
      <c r="H2185" s="7"/>
      <c r="Q2185" s="16"/>
      <c r="R2185" s="16"/>
      <c r="V2185">
        <v>413</v>
      </c>
    </row>
    <row r="2186" spans="3:22" ht="15.75" customHeight="1">
      <c r="C2186" s="7"/>
      <c r="D2186" s="7"/>
      <c r="H2186" s="7"/>
      <c r="Q2186" s="16"/>
      <c r="R2186" s="16"/>
      <c r="V2186">
        <v>414</v>
      </c>
    </row>
    <row r="2187" spans="3:22" ht="15.75" customHeight="1">
      <c r="C2187" s="7"/>
      <c r="D2187" s="7"/>
      <c r="H2187" s="7"/>
      <c r="Q2187" s="16"/>
      <c r="R2187" s="16"/>
      <c r="V2187">
        <v>414</v>
      </c>
    </row>
    <row r="2188" spans="3:22" ht="15.75" customHeight="1">
      <c r="C2188" s="7"/>
      <c r="D2188" s="7"/>
      <c r="H2188" s="7"/>
      <c r="Q2188" s="16"/>
      <c r="R2188" s="16"/>
      <c r="V2188">
        <v>414</v>
      </c>
    </row>
    <row r="2189" spans="3:22" ht="15.75" customHeight="1">
      <c r="C2189" s="7"/>
      <c r="D2189" s="7"/>
      <c r="H2189" s="7"/>
      <c r="Q2189" s="16"/>
      <c r="R2189" s="16"/>
      <c r="V2189">
        <v>414</v>
      </c>
    </row>
    <row r="2190" spans="3:22" ht="15.75" customHeight="1">
      <c r="C2190" s="7"/>
      <c r="D2190" s="7"/>
      <c r="H2190" s="7"/>
      <c r="Q2190" s="16"/>
      <c r="R2190" s="16"/>
      <c r="V2190">
        <v>414</v>
      </c>
    </row>
    <row r="2191" spans="3:22" ht="15.75" customHeight="1">
      <c r="C2191" s="7"/>
      <c r="D2191" s="7"/>
      <c r="H2191" s="7"/>
      <c r="Q2191" s="16"/>
      <c r="R2191" s="16"/>
      <c r="V2191">
        <v>415</v>
      </c>
    </row>
    <row r="2192" spans="3:22" ht="15.75" customHeight="1">
      <c r="C2192" s="7"/>
      <c r="D2192" s="7"/>
      <c r="H2192" s="7"/>
      <c r="Q2192" s="16"/>
      <c r="R2192" s="16"/>
      <c r="V2192">
        <v>416</v>
      </c>
    </row>
    <row r="2193" spans="3:22" ht="15.75" customHeight="1">
      <c r="C2193" s="7"/>
      <c r="D2193" s="7"/>
      <c r="H2193" s="7"/>
      <c r="Q2193" s="16"/>
      <c r="R2193" s="16"/>
      <c r="V2193">
        <v>416</v>
      </c>
    </row>
    <row r="2194" spans="3:22" ht="15.75" customHeight="1">
      <c r="C2194" s="7"/>
      <c r="D2194" s="7"/>
      <c r="H2194" s="7"/>
      <c r="Q2194" s="16"/>
      <c r="R2194" s="16"/>
      <c r="V2194">
        <v>416</v>
      </c>
    </row>
    <row r="2195" spans="3:22" ht="15.75" customHeight="1">
      <c r="C2195" s="7"/>
      <c r="D2195" s="7"/>
      <c r="H2195" s="7"/>
      <c r="Q2195" s="16"/>
      <c r="R2195" s="16"/>
      <c r="V2195">
        <v>417</v>
      </c>
    </row>
    <row r="2196" spans="3:22" ht="15.75" customHeight="1">
      <c r="C2196" s="7"/>
      <c r="D2196" s="7"/>
      <c r="H2196" s="7"/>
      <c r="Q2196" s="16"/>
      <c r="R2196" s="16"/>
      <c r="V2196">
        <v>417</v>
      </c>
    </row>
    <row r="2197" spans="3:22" ht="15.75" customHeight="1">
      <c r="C2197" s="7"/>
      <c r="D2197" s="7"/>
      <c r="H2197" s="7"/>
      <c r="Q2197" s="16"/>
      <c r="R2197" s="16"/>
      <c r="V2197">
        <v>417</v>
      </c>
    </row>
    <row r="2198" spans="3:22" ht="15.75" customHeight="1">
      <c r="C2198" s="7"/>
      <c r="D2198" s="7"/>
      <c r="H2198" s="7"/>
      <c r="Q2198" s="16"/>
      <c r="R2198" s="16"/>
      <c r="V2198">
        <v>417</v>
      </c>
    </row>
    <row r="2199" spans="3:22" ht="15.75" customHeight="1">
      <c r="C2199" s="7"/>
      <c r="D2199" s="7"/>
      <c r="H2199" s="7"/>
      <c r="Q2199" s="16"/>
      <c r="R2199" s="16"/>
      <c r="V2199">
        <v>417</v>
      </c>
    </row>
    <row r="2200" spans="3:22" ht="15.75" customHeight="1">
      <c r="C2200" s="7"/>
      <c r="D2200" s="7"/>
      <c r="H2200" s="7"/>
      <c r="Q2200" s="16"/>
      <c r="R2200" s="16"/>
      <c r="V2200">
        <v>417</v>
      </c>
    </row>
    <row r="2201" spans="3:22" ht="15.75" customHeight="1">
      <c r="C2201" s="7"/>
      <c r="D2201" s="7"/>
      <c r="H2201" s="7"/>
      <c r="Q2201" s="16"/>
      <c r="R2201" s="16"/>
      <c r="V2201">
        <v>417</v>
      </c>
    </row>
    <row r="2202" spans="3:22" ht="15.75" customHeight="1">
      <c r="C2202" s="7"/>
      <c r="D2202" s="7"/>
      <c r="H2202" s="7"/>
      <c r="Q2202" s="16"/>
      <c r="R2202" s="16"/>
      <c r="V2202">
        <v>417</v>
      </c>
    </row>
    <row r="2203" spans="3:22" ht="15.75" customHeight="1">
      <c r="C2203" s="7"/>
      <c r="D2203" s="7"/>
      <c r="H2203" s="7"/>
      <c r="Q2203" s="16"/>
      <c r="R2203" s="16"/>
      <c r="V2203">
        <v>418</v>
      </c>
    </row>
    <row r="2204" spans="3:22" ht="15.75" customHeight="1">
      <c r="C2204" s="7"/>
      <c r="D2204" s="7"/>
      <c r="H2204" s="7"/>
      <c r="Q2204" s="16"/>
      <c r="R2204" s="16"/>
      <c r="V2204">
        <v>418</v>
      </c>
    </row>
    <row r="2205" spans="3:22" ht="15.75" customHeight="1">
      <c r="C2205" s="7"/>
      <c r="D2205" s="7"/>
      <c r="H2205" s="7"/>
      <c r="Q2205" s="16"/>
      <c r="R2205" s="16"/>
      <c r="V2205">
        <v>418</v>
      </c>
    </row>
    <row r="2206" spans="3:22" ht="15.75" customHeight="1">
      <c r="C2206" s="7"/>
      <c r="D2206" s="7"/>
      <c r="H2206" s="7"/>
      <c r="Q2206" s="16"/>
      <c r="R2206" s="16"/>
      <c r="V2206">
        <v>419</v>
      </c>
    </row>
    <row r="2207" spans="3:22" ht="15.75" customHeight="1">
      <c r="C2207" s="7"/>
      <c r="D2207" s="7"/>
      <c r="H2207" s="7"/>
      <c r="Q2207" s="16"/>
      <c r="R2207" s="16"/>
      <c r="V2207">
        <v>419</v>
      </c>
    </row>
    <row r="2208" spans="3:22" ht="15.75" customHeight="1">
      <c r="C2208" s="7"/>
      <c r="D2208" s="7"/>
      <c r="H2208" s="7"/>
      <c r="Q2208" s="16"/>
      <c r="R2208" s="16"/>
      <c r="V2208">
        <v>419</v>
      </c>
    </row>
    <row r="2209" spans="3:22" ht="15.75" customHeight="1">
      <c r="C2209" s="7"/>
      <c r="D2209" s="7"/>
      <c r="H2209" s="7"/>
      <c r="Q2209" s="16"/>
      <c r="R2209" s="16"/>
      <c r="V2209">
        <v>419</v>
      </c>
    </row>
    <row r="2210" spans="3:22" ht="15.75" customHeight="1">
      <c r="C2210" s="7"/>
      <c r="D2210" s="7"/>
      <c r="H2210" s="7"/>
      <c r="Q2210" s="16"/>
      <c r="R2210" s="16"/>
      <c r="V2210">
        <v>419</v>
      </c>
    </row>
    <row r="2211" spans="3:22" ht="15.75" customHeight="1">
      <c r="C2211" s="7"/>
      <c r="D2211" s="7"/>
      <c r="H2211" s="7"/>
      <c r="Q2211" s="16"/>
      <c r="R2211" s="16"/>
      <c r="V2211">
        <v>419</v>
      </c>
    </row>
    <row r="2212" spans="3:22" ht="15.75" customHeight="1">
      <c r="C2212" s="7"/>
      <c r="D2212" s="7"/>
      <c r="H2212" s="7"/>
      <c r="Q2212" s="16"/>
      <c r="R2212" s="16"/>
      <c r="V2212">
        <v>420</v>
      </c>
    </row>
    <row r="2213" spans="3:22" ht="15.75" customHeight="1">
      <c r="C2213" s="7"/>
      <c r="D2213" s="7"/>
      <c r="H2213" s="7"/>
      <c r="Q2213" s="16"/>
      <c r="R2213" s="16"/>
      <c r="V2213">
        <v>421</v>
      </c>
    </row>
    <row r="2214" spans="3:22" ht="15.75" customHeight="1">
      <c r="C2214" s="7"/>
      <c r="D2214" s="7"/>
      <c r="H2214" s="7"/>
      <c r="Q2214" s="16"/>
      <c r="R2214" s="16"/>
      <c r="V2214">
        <v>421</v>
      </c>
    </row>
    <row r="2215" spans="3:22" ht="15.75" customHeight="1">
      <c r="C2215" s="7"/>
      <c r="D2215" s="7"/>
      <c r="H2215" s="7"/>
      <c r="Q2215" s="16"/>
      <c r="R2215" s="16"/>
      <c r="V2215">
        <v>421</v>
      </c>
    </row>
    <row r="2216" spans="3:22" ht="15.75" customHeight="1">
      <c r="C2216" s="7"/>
      <c r="D2216" s="7"/>
      <c r="H2216" s="7"/>
      <c r="Q2216" s="16"/>
      <c r="R2216" s="16"/>
      <c r="V2216">
        <v>421</v>
      </c>
    </row>
    <row r="2217" spans="3:22" ht="15.75" customHeight="1">
      <c r="C2217" s="7"/>
      <c r="D2217" s="7"/>
      <c r="H2217" s="7"/>
      <c r="Q2217" s="16"/>
      <c r="R2217" s="16"/>
      <c r="V2217">
        <v>421</v>
      </c>
    </row>
    <row r="2218" spans="3:22" ht="15.75" customHeight="1">
      <c r="C2218" s="7"/>
      <c r="D2218" s="7"/>
      <c r="H2218" s="7"/>
      <c r="Q2218" s="16"/>
      <c r="R2218" s="16"/>
      <c r="V2218">
        <v>421</v>
      </c>
    </row>
    <row r="2219" spans="3:22" ht="15.75" customHeight="1">
      <c r="C2219" s="7"/>
      <c r="D2219" s="7"/>
      <c r="H2219" s="7"/>
      <c r="Q2219" s="16"/>
      <c r="R2219" s="16"/>
      <c r="V2219">
        <v>421</v>
      </c>
    </row>
    <row r="2220" spans="3:22" ht="15.75" customHeight="1">
      <c r="C2220" s="7"/>
      <c r="D2220" s="7"/>
      <c r="H2220" s="7"/>
      <c r="Q2220" s="16"/>
      <c r="R2220" s="16"/>
      <c r="V2220">
        <v>421</v>
      </c>
    </row>
    <row r="2221" spans="3:22" ht="15.75" customHeight="1">
      <c r="C2221" s="7"/>
      <c r="D2221" s="7"/>
      <c r="H2221" s="7"/>
      <c r="Q2221" s="16"/>
      <c r="R2221" s="16"/>
      <c r="V2221">
        <v>421</v>
      </c>
    </row>
    <row r="2222" spans="3:22" ht="15.75" customHeight="1">
      <c r="C2222" s="7"/>
      <c r="D2222" s="7"/>
      <c r="H2222" s="7"/>
      <c r="Q2222" s="16"/>
      <c r="R2222" s="16"/>
      <c r="V2222">
        <v>421</v>
      </c>
    </row>
    <row r="2223" spans="3:22" ht="15.75" customHeight="1">
      <c r="C2223" s="7"/>
      <c r="D2223" s="7"/>
      <c r="H2223" s="7"/>
      <c r="Q2223" s="16"/>
      <c r="R2223" s="16"/>
      <c r="V2223">
        <v>421</v>
      </c>
    </row>
    <row r="2224" spans="3:22" ht="15.75" customHeight="1">
      <c r="C2224" s="7"/>
      <c r="D2224" s="7"/>
      <c r="H2224" s="7"/>
      <c r="Q2224" s="16"/>
      <c r="R2224" s="16"/>
      <c r="V2224">
        <v>421</v>
      </c>
    </row>
    <row r="2225" spans="3:22" ht="15.75" customHeight="1">
      <c r="C2225" s="7"/>
      <c r="D2225" s="7"/>
      <c r="H2225" s="7"/>
      <c r="Q2225" s="16"/>
      <c r="R2225" s="16"/>
      <c r="V2225">
        <v>421</v>
      </c>
    </row>
    <row r="2226" spans="3:22" ht="15.75" customHeight="1">
      <c r="C2226" s="7"/>
      <c r="D2226" s="7"/>
      <c r="H2226" s="7"/>
      <c r="Q2226" s="16"/>
      <c r="R2226" s="16"/>
      <c r="V2226">
        <v>421</v>
      </c>
    </row>
    <row r="2227" spans="3:22" ht="15.75" customHeight="1">
      <c r="C2227" s="7"/>
      <c r="D2227" s="7"/>
      <c r="H2227" s="7"/>
      <c r="Q2227" s="16"/>
      <c r="R2227" s="16"/>
      <c r="V2227">
        <v>421</v>
      </c>
    </row>
    <row r="2228" spans="3:22" ht="15.75" customHeight="1">
      <c r="C2228" s="7"/>
      <c r="D2228" s="7"/>
      <c r="H2228" s="7"/>
      <c r="Q2228" s="16"/>
      <c r="R2228" s="16"/>
      <c r="V2228">
        <v>421</v>
      </c>
    </row>
    <row r="2229" spans="3:22" ht="15.75" customHeight="1">
      <c r="C2229" s="7"/>
      <c r="D2229" s="7"/>
      <c r="H2229" s="7"/>
      <c r="Q2229" s="16"/>
      <c r="R2229" s="16"/>
      <c r="V2229">
        <v>421</v>
      </c>
    </row>
    <row r="2230" spans="3:22" ht="15.75" customHeight="1">
      <c r="C2230" s="7"/>
      <c r="D2230" s="7"/>
      <c r="H2230" s="7"/>
      <c r="Q2230" s="16"/>
      <c r="R2230" s="16"/>
      <c r="V2230">
        <v>421</v>
      </c>
    </row>
    <row r="2231" spans="3:22" ht="15.75" customHeight="1">
      <c r="C2231" s="7"/>
      <c r="D2231" s="7"/>
      <c r="H2231" s="7"/>
      <c r="Q2231" s="16"/>
      <c r="R2231" s="16"/>
      <c r="V2231">
        <v>421</v>
      </c>
    </row>
    <row r="2232" spans="3:22" ht="15.75" customHeight="1">
      <c r="C2232" s="7"/>
      <c r="D2232" s="7"/>
      <c r="H2232" s="7"/>
      <c r="Q2232" s="16"/>
      <c r="R2232" s="16"/>
      <c r="V2232">
        <v>421</v>
      </c>
    </row>
    <row r="2233" spans="3:22" ht="15.75" customHeight="1">
      <c r="C2233" s="7"/>
      <c r="D2233" s="7"/>
      <c r="H2233" s="7"/>
      <c r="Q2233" s="16"/>
      <c r="R2233" s="16"/>
      <c r="V2233">
        <v>421</v>
      </c>
    </row>
    <row r="2234" spans="3:22" ht="15.75" customHeight="1">
      <c r="C2234" s="7"/>
      <c r="D2234" s="7"/>
      <c r="H2234" s="7"/>
      <c r="Q2234" s="16"/>
      <c r="R2234" s="16"/>
      <c r="V2234">
        <v>421</v>
      </c>
    </row>
    <row r="2235" spans="3:22" ht="15.75" customHeight="1">
      <c r="C2235" s="7"/>
      <c r="D2235" s="7"/>
      <c r="H2235" s="7"/>
      <c r="Q2235" s="16"/>
      <c r="R2235" s="16"/>
      <c r="V2235">
        <v>421</v>
      </c>
    </row>
    <row r="2236" spans="3:22" ht="15.75" customHeight="1">
      <c r="C2236" s="7"/>
      <c r="D2236" s="7"/>
      <c r="H2236" s="7"/>
      <c r="Q2236" s="16"/>
      <c r="R2236" s="16"/>
      <c r="V2236">
        <v>421</v>
      </c>
    </row>
    <row r="2237" spans="3:22" ht="15.75" customHeight="1">
      <c r="C2237" s="7"/>
      <c r="D2237" s="7"/>
      <c r="H2237" s="7"/>
      <c r="Q2237" s="16"/>
      <c r="R2237" s="16"/>
      <c r="V2237">
        <v>422</v>
      </c>
    </row>
    <row r="2238" spans="3:22" ht="15.75" customHeight="1">
      <c r="C2238" s="7"/>
      <c r="D2238" s="7"/>
      <c r="H2238" s="7"/>
      <c r="Q2238" s="16"/>
      <c r="R2238" s="16"/>
      <c r="V2238">
        <v>422</v>
      </c>
    </row>
    <row r="2239" spans="3:22" ht="15.75" customHeight="1">
      <c r="C2239" s="7"/>
      <c r="D2239" s="7"/>
      <c r="H2239" s="7"/>
      <c r="Q2239" s="16"/>
      <c r="R2239" s="16"/>
      <c r="V2239">
        <v>423</v>
      </c>
    </row>
    <row r="2240" spans="3:22" ht="15.75" customHeight="1">
      <c r="C2240" s="7"/>
      <c r="D2240" s="7"/>
      <c r="H2240" s="7"/>
      <c r="Q2240" s="16"/>
      <c r="R2240" s="16"/>
      <c r="V2240">
        <v>424</v>
      </c>
    </row>
    <row r="2241" spans="3:22" ht="15.75" customHeight="1">
      <c r="C2241" s="7"/>
      <c r="D2241" s="7"/>
      <c r="H2241" s="7"/>
      <c r="Q2241" s="16"/>
      <c r="R2241" s="16"/>
      <c r="V2241">
        <v>424</v>
      </c>
    </row>
    <row r="2242" spans="3:22" ht="15.75" customHeight="1">
      <c r="C2242" s="7"/>
      <c r="D2242" s="7"/>
      <c r="H2242" s="7"/>
      <c r="Q2242" s="16"/>
      <c r="R2242" s="16"/>
      <c r="V2242">
        <v>424</v>
      </c>
    </row>
    <row r="2243" spans="3:22" ht="15.75" customHeight="1">
      <c r="C2243" s="7"/>
      <c r="D2243" s="7"/>
      <c r="H2243" s="7"/>
      <c r="Q2243" s="16"/>
      <c r="R2243" s="16"/>
      <c r="V2243">
        <v>424</v>
      </c>
    </row>
    <row r="2244" spans="3:22" ht="15.75" customHeight="1">
      <c r="C2244" s="7"/>
      <c r="D2244" s="7"/>
      <c r="H2244" s="7"/>
      <c r="Q2244" s="16"/>
      <c r="R2244" s="16"/>
      <c r="V2244">
        <v>425</v>
      </c>
    </row>
    <row r="2245" spans="3:22" ht="15.75" customHeight="1">
      <c r="C2245" s="7"/>
      <c r="D2245" s="7"/>
      <c r="H2245" s="7"/>
      <c r="Q2245" s="16"/>
      <c r="R2245" s="16"/>
      <c r="V2245">
        <v>425</v>
      </c>
    </row>
    <row r="2246" spans="3:22" ht="15.75" customHeight="1">
      <c r="C2246" s="7"/>
      <c r="D2246" s="7"/>
      <c r="H2246" s="7"/>
      <c r="Q2246" s="16"/>
      <c r="R2246" s="16"/>
      <c r="V2246">
        <v>425</v>
      </c>
    </row>
    <row r="2247" spans="3:22" ht="15.75" customHeight="1">
      <c r="C2247" s="7"/>
      <c r="D2247" s="7"/>
      <c r="H2247" s="7"/>
      <c r="Q2247" s="16"/>
      <c r="R2247" s="16"/>
      <c r="V2247">
        <v>425</v>
      </c>
    </row>
    <row r="2248" spans="3:22" ht="15.75" customHeight="1">
      <c r="C2248" s="7"/>
      <c r="D2248" s="7"/>
      <c r="H2248" s="7"/>
      <c r="Q2248" s="16"/>
      <c r="R2248" s="16"/>
      <c r="V2248">
        <v>426</v>
      </c>
    </row>
    <row r="2249" spans="3:22" ht="15.75" customHeight="1">
      <c r="C2249" s="7"/>
      <c r="D2249" s="7"/>
      <c r="H2249" s="7"/>
      <c r="Q2249" s="16"/>
      <c r="R2249" s="16"/>
      <c r="V2249">
        <v>426</v>
      </c>
    </row>
    <row r="2250" spans="3:22" ht="15.75" customHeight="1">
      <c r="C2250" s="7"/>
      <c r="D2250" s="7"/>
      <c r="H2250" s="7"/>
      <c r="Q2250" s="16"/>
      <c r="R2250" s="16"/>
      <c r="V2250">
        <v>426</v>
      </c>
    </row>
    <row r="2251" spans="3:22" ht="15.75" customHeight="1">
      <c r="C2251" s="7"/>
      <c r="D2251" s="7"/>
      <c r="H2251" s="7"/>
      <c r="Q2251" s="16"/>
      <c r="R2251" s="16"/>
      <c r="V2251">
        <v>426</v>
      </c>
    </row>
    <row r="2252" spans="3:22" ht="15.75" customHeight="1">
      <c r="C2252" s="7"/>
      <c r="D2252" s="7"/>
      <c r="H2252" s="7"/>
      <c r="Q2252" s="16"/>
      <c r="R2252" s="16"/>
      <c r="V2252">
        <v>427</v>
      </c>
    </row>
    <row r="2253" spans="3:22" ht="15.75" customHeight="1">
      <c r="C2253" s="7"/>
      <c r="D2253" s="7"/>
      <c r="H2253" s="7"/>
      <c r="Q2253" s="16"/>
      <c r="R2253" s="16"/>
      <c r="V2253">
        <v>427</v>
      </c>
    </row>
    <row r="2254" spans="3:22" ht="15.75" customHeight="1">
      <c r="C2254" s="7"/>
      <c r="D2254" s="7"/>
      <c r="H2254" s="7"/>
      <c r="Q2254" s="16"/>
      <c r="R2254" s="16"/>
      <c r="V2254">
        <v>427</v>
      </c>
    </row>
    <row r="2255" spans="3:22" ht="15.75" customHeight="1">
      <c r="C2255" s="7"/>
      <c r="D2255" s="7"/>
      <c r="H2255" s="7"/>
      <c r="Q2255" s="16"/>
      <c r="R2255" s="16"/>
      <c r="V2255">
        <v>427</v>
      </c>
    </row>
    <row r="2256" spans="3:22" ht="15.75" customHeight="1">
      <c r="C2256" s="7"/>
      <c r="D2256" s="7"/>
      <c r="H2256" s="7"/>
      <c r="Q2256" s="16"/>
      <c r="R2256" s="16"/>
      <c r="V2256">
        <v>427</v>
      </c>
    </row>
    <row r="2257" spans="3:22" ht="15.75" customHeight="1">
      <c r="C2257" s="7"/>
      <c r="D2257" s="7"/>
      <c r="H2257" s="7"/>
      <c r="Q2257" s="16"/>
      <c r="R2257" s="16"/>
      <c r="V2257">
        <v>427</v>
      </c>
    </row>
    <row r="2258" spans="3:22" ht="15.75" customHeight="1">
      <c r="C2258" s="7"/>
      <c r="D2258" s="7"/>
      <c r="H2258" s="7"/>
      <c r="Q2258" s="16"/>
      <c r="R2258" s="16"/>
      <c r="V2258">
        <v>427</v>
      </c>
    </row>
    <row r="2259" spans="3:22" ht="15.75" customHeight="1">
      <c r="C2259" s="7"/>
      <c r="D2259" s="7"/>
      <c r="H2259" s="7"/>
      <c r="Q2259" s="16"/>
      <c r="R2259" s="16"/>
      <c r="V2259">
        <v>427</v>
      </c>
    </row>
    <row r="2260" spans="3:22" ht="15.75" customHeight="1">
      <c r="C2260" s="7"/>
      <c r="D2260" s="7"/>
      <c r="H2260" s="7"/>
      <c r="Q2260" s="16"/>
      <c r="R2260" s="16"/>
      <c r="V2260">
        <v>427</v>
      </c>
    </row>
    <row r="2261" spans="3:22" ht="15.75" customHeight="1">
      <c r="C2261" s="7"/>
      <c r="D2261" s="7"/>
      <c r="H2261" s="7"/>
      <c r="Q2261" s="16"/>
      <c r="R2261" s="16"/>
      <c r="V2261">
        <v>427</v>
      </c>
    </row>
    <row r="2262" spans="3:22" ht="15.75" customHeight="1">
      <c r="C2262" s="7"/>
      <c r="D2262" s="7"/>
      <c r="H2262" s="7"/>
      <c r="Q2262" s="16"/>
      <c r="R2262" s="16"/>
      <c r="V2262">
        <v>427</v>
      </c>
    </row>
    <row r="2263" spans="3:22" ht="15.75" customHeight="1">
      <c r="C2263" s="7"/>
      <c r="D2263" s="7"/>
      <c r="H2263" s="7"/>
      <c r="Q2263" s="16"/>
      <c r="R2263" s="16"/>
      <c r="V2263">
        <v>427</v>
      </c>
    </row>
    <row r="2264" spans="3:22" ht="15.75" customHeight="1">
      <c r="C2264" s="7"/>
      <c r="D2264" s="7"/>
      <c r="H2264" s="7"/>
      <c r="Q2264" s="16"/>
      <c r="R2264" s="16"/>
      <c r="V2264">
        <v>427</v>
      </c>
    </row>
    <row r="2265" spans="3:22" ht="15.75" customHeight="1">
      <c r="C2265" s="7"/>
      <c r="D2265" s="7"/>
      <c r="H2265" s="7"/>
      <c r="Q2265" s="16"/>
      <c r="R2265" s="16"/>
      <c r="V2265">
        <v>427</v>
      </c>
    </row>
    <row r="2266" spans="3:22" ht="15.75" customHeight="1">
      <c r="C2266" s="7"/>
      <c r="D2266" s="7"/>
      <c r="H2266" s="7"/>
      <c r="Q2266" s="16"/>
      <c r="R2266" s="16"/>
      <c r="V2266">
        <v>427</v>
      </c>
    </row>
    <row r="2267" spans="3:22" ht="15.75" customHeight="1">
      <c r="C2267" s="7"/>
      <c r="D2267" s="7"/>
      <c r="H2267" s="7"/>
      <c r="Q2267" s="16"/>
      <c r="R2267" s="16"/>
      <c r="V2267">
        <v>427</v>
      </c>
    </row>
    <row r="2268" spans="3:22" ht="15.75" customHeight="1">
      <c r="C2268" s="7"/>
      <c r="D2268" s="7"/>
      <c r="H2268" s="7"/>
      <c r="Q2268" s="16"/>
      <c r="R2268" s="16"/>
      <c r="V2268">
        <v>427</v>
      </c>
    </row>
    <row r="2269" spans="3:22" ht="15.75" customHeight="1">
      <c r="C2269" s="7"/>
      <c r="D2269" s="7"/>
      <c r="H2269" s="7"/>
      <c r="Q2269" s="16"/>
      <c r="R2269" s="16"/>
      <c r="V2269">
        <v>427</v>
      </c>
    </row>
    <row r="2270" spans="3:22" ht="15.75" customHeight="1">
      <c r="C2270" s="7"/>
      <c r="D2270" s="7"/>
      <c r="H2270" s="7"/>
      <c r="Q2270" s="16"/>
      <c r="R2270" s="16"/>
      <c r="V2270">
        <v>427</v>
      </c>
    </row>
    <row r="2271" spans="3:22" ht="15.75" customHeight="1">
      <c r="C2271" s="7"/>
      <c r="D2271" s="7"/>
      <c r="H2271" s="7"/>
      <c r="Q2271" s="16"/>
      <c r="R2271" s="16"/>
      <c r="V2271">
        <v>427</v>
      </c>
    </row>
    <row r="2272" spans="3:22" ht="15.75" customHeight="1">
      <c r="C2272" s="7"/>
      <c r="D2272" s="7"/>
      <c r="H2272" s="7"/>
      <c r="Q2272" s="16"/>
      <c r="R2272" s="16"/>
      <c r="V2272">
        <v>427</v>
      </c>
    </row>
    <row r="2273" spans="3:22" ht="15.75" customHeight="1">
      <c r="C2273" s="7"/>
      <c r="D2273" s="7"/>
      <c r="H2273" s="7"/>
      <c r="Q2273" s="16"/>
      <c r="R2273" s="16"/>
      <c r="V2273">
        <v>427</v>
      </c>
    </row>
    <row r="2274" spans="3:22" ht="15.75" customHeight="1">
      <c r="C2274" s="7"/>
      <c r="D2274" s="7"/>
      <c r="H2274" s="7"/>
      <c r="Q2274" s="16"/>
      <c r="R2274" s="16"/>
      <c r="V2274">
        <v>427</v>
      </c>
    </row>
    <row r="2275" spans="3:22" ht="15.75" customHeight="1">
      <c r="C2275" s="7"/>
      <c r="D2275" s="7"/>
      <c r="H2275" s="7"/>
      <c r="Q2275" s="16"/>
      <c r="R2275" s="16"/>
      <c r="V2275">
        <v>427</v>
      </c>
    </row>
    <row r="2276" spans="3:22" ht="15.75" customHeight="1">
      <c r="C2276" s="7"/>
      <c r="D2276" s="7"/>
      <c r="H2276" s="7"/>
      <c r="Q2276" s="16"/>
      <c r="R2276" s="16"/>
      <c r="V2276">
        <v>427</v>
      </c>
    </row>
    <row r="2277" spans="3:22" ht="15.75" customHeight="1">
      <c r="C2277" s="7"/>
      <c r="D2277" s="7"/>
      <c r="H2277" s="7"/>
      <c r="Q2277" s="16"/>
      <c r="R2277" s="16"/>
      <c r="V2277">
        <v>427</v>
      </c>
    </row>
    <row r="2278" spans="3:22" ht="15.75" customHeight="1">
      <c r="C2278" s="7"/>
      <c r="D2278" s="7"/>
      <c r="H2278" s="7"/>
      <c r="Q2278" s="16"/>
      <c r="R2278" s="16"/>
      <c r="V2278">
        <v>427</v>
      </c>
    </row>
    <row r="2279" spans="3:22" ht="15.75" customHeight="1">
      <c r="C2279" s="7"/>
      <c r="D2279" s="7"/>
      <c r="H2279" s="7"/>
      <c r="Q2279" s="16"/>
      <c r="R2279" s="16"/>
      <c r="V2279">
        <v>427</v>
      </c>
    </row>
    <row r="2280" spans="3:22" ht="15.75" customHeight="1">
      <c r="C2280" s="7"/>
      <c r="D2280" s="7"/>
      <c r="H2280" s="7"/>
      <c r="Q2280" s="16"/>
      <c r="R2280" s="16"/>
      <c r="V2280">
        <v>427</v>
      </c>
    </row>
    <row r="2281" spans="3:22" ht="15.75" customHeight="1">
      <c r="C2281" s="7"/>
      <c r="D2281" s="7"/>
      <c r="H2281" s="7"/>
      <c r="Q2281" s="16"/>
      <c r="R2281" s="16"/>
      <c r="V2281">
        <v>427</v>
      </c>
    </row>
    <row r="2282" spans="3:22" ht="15.75" customHeight="1">
      <c r="C2282" s="7"/>
      <c r="D2282" s="7"/>
      <c r="H2282" s="7"/>
      <c r="Q2282" s="16"/>
      <c r="R2282" s="16"/>
      <c r="V2282">
        <v>427</v>
      </c>
    </row>
    <row r="2283" spans="3:22" ht="15.75" customHeight="1">
      <c r="C2283" s="7"/>
      <c r="D2283" s="7"/>
      <c r="H2283" s="7"/>
      <c r="Q2283" s="16"/>
      <c r="R2283" s="16"/>
      <c r="V2283">
        <v>427</v>
      </c>
    </row>
    <row r="2284" spans="3:22" ht="15.75" customHeight="1">
      <c r="C2284" s="7"/>
      <c r="D2284" s="7"/>
      <c r="H2284" s="7"/>
      <c r="Q2284" s="16"/>
      <c r="R2284" s="16"/>
      <c r="V2284">
        <v>427</v>
      </c>
    </row>
    <row r="2285" spans="3:22" ht="15.75" customHeight="1">
      <c r="C2285" s="7"/>
      <c r="D2285" s="7"/>
      <c r="H2285" s="7"/>
      <c r="Q2285" s="16"/>
      <c r="R2285" s="16"/>
      <c r="V2285">
        <v>427</v>
      </c>
    </row>
    <row r="2286" spans="3:22" ht="15.75" customHeight="1">
      <c r="C2286" s="7"/>
      <c r="D2286" s="7"/>
      <c r="H2286" s="7"/>
      <c r="Q2286" s="16"/>
      <c r="R2286" s="16"/>
      <c r="V2286">
        <v>427</v>
      </c>
    </row>
    <row r="2287" spans="3:22" ht="15.75" customHeight="1">
      <c r="C2287" s="7"/>
      <c r="D2287" s="7"/>
      <c r="H2287" s="7"/>
      <c r="Q2287" s="16"/>
      <c r="R2287" s="16"/>
      <c r="V2287">
        <v>427</v>
      </c>
    </row>
    <row r="2288" spans="3:22" ht="15.75" customHeight="1">
      <c r="C2288" s="7"/>
      <c r="D2288" s="7"/>
      <c r="H2288" s="7"/>
      <c r="Q2288" s="16"/>
      <c r="R2288" s="16"/>
      <c r="V2288">
        <v>428</v>
      </c>
    </row>
    <row r="2289" spans="3:22" ht="15.75" customHeight="1">
      <c r="C2289" s="7"/>
      <c r="D2289" s="7"/>
      <c r="H2289" s="7"/>
      <c r="Q2289" s="16"/>
      <c r="R2289" s="16"/>
      <c r="V2289">
        <v>428</v>
      </c>
    </row>
    <row r="2290" spans="3:22" ht="15.75" customHeight="1">
      <c r="C2290" s="7"/>
      <c r="D2290" s="7"/>
      <c r="H2290" s="7"/>
      <c r="Q2290" s="16"/>
      <c r="R2290" s="16"/>
      <c r="V2290">
        <v>428</v>
      </c>
    </row>
    <row r="2291" spans="3:22" ht="15.75" customHeight="1">
      <c r="C2291" s="7"/>
      <c r="D2291" s="7"/>
      <c r="H2291" s="7"/>
      <c r="Q2291" s="16"/>
      <c r="R2291" s="16"/>
      <c r="V2291">
        <v>428</v>
      </c>
    </row>
    <row r="2292" spans="3:22" ht="15.75" customHeight="1">
      <c r="C2292" s="7"/>
      <c r="D2292" s="7"/>
      <c r="H2292" s="7"/>
      <c r="Q2292" s="16"/>
      <c r="R2292" s="16"/>
      <c r="V2292">
        <v>428</v>
      </c>
    </row>
    <row r="2293" spans="3:22" ht="15.75" customHeight="1">
      <c r="C2293" s="7"/>
      <c r="D2293" s="7"/>
      <c r="H2293" s="7"/>
      <c r="Q2293" s="16"/>
      <c r="R2293" s="16"/>
      <c r="V2293">
        <v>428</v>
      </c>
    </row>
    <row r="2294" spans="3:22" ht="15.75" customHeight="1">
      <c r="C2294" s="7"/>
      <c r="D2294" s="7"/>
      <c r="H2294" s="7"/>
      <c r="Q2294" s="16"/>
      <c r="R2294" s="16"/>
      <c r="V2294">
        <v>428</v>
      </c>
    </row>
    <row r="2295" spans="3:22" ht="15.75" customHeight="1">
      <c r="C2295" s="7"/>
      <c r="D2295" s="7"/>
      <c r="H2295" s="7"/>
      <c r="Q2295" s="16"/>
      <c r="R2295" s="16"/>
      <c r="V2295">
        <v>428</v>
      </c>
    </row>
    <row r="2296" spans="3:22" ht="15.75" customHeight="1">
      <c r="C2296" s="7"/>
      <c r="D2296" s="7"/>
      <c r="H2296" s="7"/>
      <c r="Q2296" s="16"/>
      <c r="R2296" s="16"/>
      <c r="V2296">
        <v>428</v>
      </c>
    </row>
    <row r="2297" spans="3:22" ht="15.75" customHeight="1">
      <c r="C2297" s="7"/>
      <c r="D2297" s="7"/>
      <c r="H2297" s="7"/>
      <c r="Q2297" s="16"/>
      <c r="R2297" s="16"/>
      <c r="V2297">
        <v>428</v>
      </c>
    </row>
    <row r="2298" spans="3:22" ht="15.75" customHeight="1">
      <c r="C2298" s="7"/>
      <c r="D2298" s="7"/>
      <c r="H2298" s="7"/>
      <c r="Q2298" s="16"/>
      <c r="R2298" s="16"/>
      <c r="V2298">
        <v>429</v>
      </c>
    </row>
    <row r="2299" spans="3:22" ht="15.75" customHeight="1">
      <c r="C2299" s="7"/>
      <c r="D2299" s="7"/>
      <c r="H2299" s="7"/>
      <c r="Q2299" s="16"/>
      <c r="R2299" s="16"/>
      <c r="V2299">
        <v>429</v>
      </c>
    </row>
    <row r="2300" spans="3:22" ht="15.75" customHeight="1">
      <c r="C2300" s="7"/>
      <c r="D2300" s="7"/>
      <c r="H2300" s="7"/>
      <c r="Q2300" s="16"/>
      <c r="R2300" s="16"/>
      <c r="V2300">
        <v>429</v>
      </c>
    </row>
    <row r="2301" spans="3:22" ht="15.75" customHeight="1">
      <c r="C2301" s="7"/>
      <c r="D2301" s="7"/>
      <c r="H2301" s="7"/>
      <c r="Q2301" s="16"/>
      <c r="R2301" s="16"/>
      <c r="V2301">
        <v>429</v>
      </c>
    </row>
    <row r="2302" spans="3:22" ht="15.75" customHeight="1">
      <c r="C2302" s="7"/>
      <c r="D2302" s="7"/>
      <c r="H2302" s="7"/>
      <c r="Q2302" s="16"/>
      <c r="R2302" s="16"/>
      <c r="V2302">
        <v>429</v>
      </c>
    </row>
    <row r="2303" spans="3:22" ht="15.75" customHeight="1">
      <c r="C2303" s="7"/>
      <c r="D2303" s="7"/>
      <c r="H2303" s="7"/>
      <c r="Q2303" s="16"/>
      <c r="R2303" s="16"/>
      <c r="V2303">
        <v>429</v>
      </c>
    </row>
    <row r="2304" spans="3:22" ht="15.75" customHeight="1">
      <c r="C2304" s="7"/>
      <c r="D2304" s="7"/>
      <c r="H2304" s="7"/>
      <c r="Q2304" s="16"/>
      <c r="R2304" s="16"/>
      <c r="V2304">
        <v>430</v>
      </c>
    </row>
    <row r="2305" spans="3:22" ht="15.75" customHeight="1">
      <c r="C2305" s="7"/>
      <c r="D2305" s="7"/>
      <c r="H2305" s="7"/>
      <c r="Q2305" s="16"/>
      <c r="R2305" s="16"/>
      <c r="V2305">
        <v>430</v>
      </c>
    </row>
    <row r="2306" spans="3:22" ht="15.75" customHeight="1">
      <c r="C2306" s="7"/>
      <c r="D2306" s="7"/>
      <c r="H2306" s="7"/>
      <c r="Q2306" s="16"/>
      <c r="R2306" s="16"/>
      <c r="V2306">
        <v>430</v>
      </c>
    </row>
    <row r="2307" spans="3:22" ht="15.75" customHeight="1">
      <c r="C2307" s="7"/>
      <c r="D2307" s="7"/>
      <c r="H2307" s="7"/>
      <c r="Q2307" s="16"/>
      <c r="R2307" s="16"/>
      <c r="V2307">
        <v>430</v>
      </c>
    </row>
    <row r="2308" spans="3:22" ht="15.75" customHeight="1">
      <c r="C2308" s="7"/>
      <c r="D2308" s="7"/>
      <c r="H2308" s="7"/>
      <c r="Q2308" s="16"/>
      <c r="R2308" s="16"/>
      <c r="V2308">
        <v>430</v>
      </c>
    </row>
    <row r="2309" spans="3:22" ht="15.75" customHeight="1">
      <c r="C2309" s="7"/>
      <c r="D2309" s="7"/>
      <c r="H2309" s="7"/>
      <c r="Q2309" s="16"/>
      <c r="R2309" s="16"/>
      <c r="V2309">
        <v>430</v>
      </c>
    </row>
    <row r="2310" spans="3:22" ht="15.75" customHeight="1">
      <c r="C2310" s="7"/>
      <c r="D2310" s="7"/>
      <c r="H2310" s="7"/>
      <c r="Q2310" s="16"/>
      <c r="R2310" s="16"/>
      <c r="V2310">
        <v>430</v>
      </c>
    </row>
    <row r="2311" spans="3:22" ht="15.75" customHeight="1">
      <c r="C2311" s="7"/>
      <c r="D2311" s="7"/>
      <c r="H2311" s="7"/>
      <c r="Q2311" s="16"/>
      <c r="R2311" s="16"/>
      <c r="V2311">
        <v>430</v>
      </c>
    </row>
    <row r="2312" spans="3:22" ht="15.75" customHeight="1">
      <c r="C2312" s="7"/>
      <c r="D2312" s="7"/>
      <c r="H2312" s="7"/>
      <c r="Q2312" s="16"/>
      <c r="R2312" s="16"/>
      <c r="V2312">
        <v>430</v>
      </c>
    </row>
    <row r="2313" spans="3:22" ht="15.75" customHeight="1">
      <c r="C2313" s="7"/>
      <c r="D2313" s="7"/>
      <c r="H2313" s="7"/>
      <c r="Q2313" s="16"/>
      <c r="R2313" s="16"/>
      <c r="V2313">
        <v>430</v>
      </c>
    </row>
    <row r="2314" spans="3:22" ht="15.75" customHeight="1">
      <c r="C2314" s="7"/>
      <c r="D2314" s="7"/>
      <c r="H2314" s="7"/>
      <c r="Q2314" s="16"/>
      <c r="R2314" s="16"/>
      <c r="V2314">
        <v>431</v>
      </c>
    </row>
    <row r="2315" spans="3:22" ht="15.75" customHeight="1">
      <c r="C2315" s="7"/>
      <c r="D2315" s="7"/>
      <c r="H2315" s="7"/>
      <c r="Q2315" s="16"/>
      <c r="R2315" s="16"/>
      <c r="V2315">
        <v>431</v>
      </c>
    </row>
    <row r="2316" spans="3:22" ht="15.75" customHeight="1">
      <c r="C2316" s="7"/>
      <c r="D2316" s="7"/>
      <c r="H2316" s="7"/>
      <c r="Q2316" s="16"/>
      <c r="R2316" s="16"/>
      <c r="V2316">
        <v>431</v>
      </c>
    </row>
    <row r="2317" spans="3:22" ht="15.75" customHeight="1">
      <c r="C2317" s="7"/>
      <c r="D2317" s="7"/>
      <c r="H2317" s="7"/>
      <c r="Q2317" s="16"/>
      <c r="R2317" s="16"/>
      <c r="V2317">
        <v>431</v>
      </c>
    </row>
    <row r="2318" spans="3:22" ht="15.75" customHeight="1">
      <c r="C2318" s="7"/>
      <c r="D2318" s="7"/>
      <c r="H2318" s="7"/>
      <c r="Q2318" s="16"/>
      <c r="R2318" s="16"/>
      <c r="V2318">
        <v>431</v>
      </c>
    </row>
    <row r="2319" spans="3:22" ht="15.75" customHeight="1">
      <c r="C2319" s="7"/>
      <c r="D2319" s="7"/>
      <c r="H2319" s="7"/>
      <c r="Q2319" s="16"/>
      <c r="R2319" s="16"/>
      <c r="V2319">
        <v>431</v>
      </c>
    </row>
    <row r="2320" spans="3:22" ht="15.75" customHeight="1">
      <c r="C2320" s="7"/>
      <c r="D2320" s="7"/>
      <c r="H2320" s="7"/>
      <c r="Q2320" s="16"/>
      <c r="R2320" s="16"/>
      <c r="V2320">
        <v>431</v>
      </c>
    </row>
    <row r="2321" spans="3:22" ht="15.75" customHeight="1">
      <c r="C2321" s="7"/>
      <c r="D2321" s="7"/>
      <c r="H2321" s="7"/>
      <c r="Q2321" s="16"/>
      <c r="R2321" s="16"/>
      <c r="V2321">
        <v>431</v>
      </c>
    </row>
    <row r="2322" spans="3:22" ht="15.75" customHeight="1">
      <c r="C2322" s="7"/>
      <c r="D2322" s="7"/>
      <c r="H2322" s="7"/>
      <c r="Q2322" s="16"/>
      <c r="R2322" s="16"/>
      <c r="V2322">
        <v>431</v>
      </c>
    </row>
    <row r="2323" spans="3:22" ht="15.75" customHeight="1">
      <c r="C2323" s="7"/>
      <c r="D2323" s="7"/>
      <c r="H2323" s="7"/>
      <c r="Q2323" s="16"/>
      <c r="R2323" s="16"/>
      <c r="V2323">
        <v>431</v>
      </c>
    </row>
    <row r="2324" spans="3:22" ht="15.75" customHeight="1">
      <c r="C2324" s="7"/>
      <c r="D2324" s="7"/>
      <c r="H2324" s="7"/>
      <c r="Q2324" s="16"/>
      <c r="R2324" s="16"/>
      <c r="V2324">
        <v>431</v>
      </c>
    </row>
    <row r="2325" spans="3:22" ht="15.75" customHeight="1">
      <c r="C2325" s="7"/>
      <c r="D2325" s="7"/>
      <c r="H2325" s="7"/>
      <c r="Q2325" s="16"/>
      <c r="R2325" s="16"/>
      <c r="V2325">
        <v>431</v>
      </c>
    </row>
    <row r="2326" spans="3:22" ht="15.75" customHeight="1">
      <c r="C2326" s="7"/>
      <c r="D2326" s="7"/>
      <c r="H2326" s="7"/>
      <c r="Q2326" s="16"/>
      <c r="R2326" s="16"/>
      <c r="V2326">
        <v>431</v>
      </c>
    </row>
    <row r="2327" spans="3:22" ht="15.75" customHeight="1">
      <c r="C2327" s="7"/>
      <c r="D2327" s="7"/>
      <c r="H2327" s="7"/>
      <c r="Q2327" s="16"/>
      <c r="R2327" s="16"/>
      <c r="V2327">
        <v>431</v>
      </c>
    </row>
    <row r="2328" spans="3:22" ht="15.75" customHeight="1">
      <c r="C2328" s="7"/>
      <c r="D2328" s="7"/>
      <c r="H2328" s="7"/>
      <c r="Q2328" s="16"/>
      <c r="R2328" s="16"/>
      <c r="V2328">
        <v>431</v>
      </c>
    </row>
    <row r="2329" spans="3:22" ht="15.75" customHeight="1">
      <c r="C2329" s="7"/>
      <c r="D2329" s="7"/>
      <c r="H2329" s="7"/>
      <c r="Q2329" s="16"/>
      <c r="R2329" s="16"/>
      <c r="V2329">
        <v>431</v>
      </c>
    </row>
    <row r="2330" spans="3:22" ht="15.75" customHeight="1">
      <c r="C2330" s="7"/>
      <c r="D2330" s="7"/>
      <c r="H2330" s="7"/>
      <c r="Q2330" s="16"/>
      <c r="R2330" s="16"/>
      <c r="V2330">
        <v>432</v>
      </c>
    </row>
    <row r="2331" spans="3:22" ht="15.75" customHeight="1">
      <c r="C2331" s="7"/>
      <c r="D2331" s="7"/>
      <c r="H2331" s="7"/>
      <c r="Q2331" s="16"/>
      <c r="R2331" s="16"/>
      <c r="V2331">
        <v>432</v>
      </c>
    </row>
    <row r="2332" spans="3:22" ht="15.75" customHeight="1">
      <c r="C2332" s="7"/>
      <c r="D2332" s="7"/>
      <c r="H2332" s="7"/>
      <c r="Q2332" s="16"/>
      <c r="R2332" s="16"/>
      <c r="V2332">
        <v>432</v>
      </c>
    </row>
    <row r="2333" spans="3:22" ht="15.75" customHeight="1">
      <c r="C2333" s="7"/>
      <c r="D2333" s="7"/>
      <c r="H2333" s="7"/>
      <c r="Q2333" s="16"/>
      <c r="R2333" s="16"/>
      <c r="V2333">
        <v>432</v>
      </c>
    </row>
    <row r="2334" spans="3:22" ht="15.75" customHeight="1">
      <c r="C2334" s="7"/>
      <c r="D2334" s="7"/>
      <c r="H2334" s="7"/>
      <c r="Q2334" s="16"/>
      <c r="R2334" s="16"/>
      <c r="V2334">
        <v>432</v>
      </c>
    </row>
    <row r="2335" spans="3:22" ht="15.75" customHeight="1">
      <c r="C2335" s="7"/>
      <c r="D2335" s="7"/>
      <c r="H2335" s="7"/>
      <c r="Q2335" s="16"/>
      <c r="R2335" s="16"/>
      <c r="V2335">
        <v>433</v>
      </c>
    </row>
    <row r="2336" spans="3:22" ht="15.75" customHeight="1">
      <c r="C2336" s="7"/>
      <c r="D2336" s="7"/>
      <c r="H2336" s="7"/>
      <c r="Q2336" s="16"/>
      <c r="R2336" s="16"/>
      <c r="V2336">
        <v>433</v>
      </c>
    </row>
    <row r="2337" spans="3:22" ht="15.75" customHeight="1">
      <c r="C2337" s="7"/>
      <c r="D2337" s="7"/>
      <c r="H2337" s="7"/>
      <c r="Q2337" s="16"/>
      <c r="R2337" s="16"/>
      <c r="V2337">
        <v>433</v>
      </c>
    </row>
    <row r="2338" spans="3:22" ht="15.75" customHeight="1">
      <c r="C2338" s="7"/>
      <c r="D2338" s="7"/>
      <c r="H2338" s="7"/>
      <c r="Q2338" s="16"/>
      <c r="R2338" s="16"/>
      <c r="V2338">
        <v>433</v>
      </c>
    </row>
    <row r="2339" spans="3:22" ht="15.75" customHeight="1">
      <c r="C2339" s="7"/>
      <c r="D2339" s="7"/>
      <c r="H2339" s="7"/>
      <c r="Q2339" s="16"/>
      <c r="R2339" s="16"/>
      <c r="V2339">
        <v>433</v>
      </c>
    </row>
    <row r="2340" spans="3:22" ht="15.75" customHeight="1">
      <c r="C2340" s="7"/>
      <c r="D2340" s="7"/>
      <c r="H2340" s="7"/>
      <c r="Q2340" s="16"/>
      <c r="R2340" s="16"/>
      <c r="V2340">
        <v>433</v>
      </c>
    </row>
    <row r="2341" spans="3:22" ht="15.75" customHeight="1">
      <c r="C2341" s="7"/>
      <c r="D2341" s="7"/>
      <c r="H2341" s="7"/>
      <c r="Q2341" s="16"/>
      <c r="R2341" s="16"/>
      <c r="V2341">
        <v>433</v>
      </c>
    </row>
    <row r="2342" spans="3:22" ht="15.75" customHeight="1">
      <c r="C2342" s="7"/>
      <c r="D2342" s="7"/>
      <c r="H2342" s="7"/>
      <c r="Q2342" s="16"/>
      <c r="R2342" s="16"/>
      <c r="V2342">
        <v>433</v>
      </c>
    </row>
    <row r="2343" spans="3:22" ht="15.75" customHeight="1">
      <c r="C2343" s="7"/>
      <c r="D2343" s="7"/>
      <c r="H2343" s="7"/>
      <c r="Q2343" s="16"/>
      <c r="R2343" s="16"/>
      <c r="V2343">
        <v>433</v>
      </c>
    </row>
    <row r="2344" spans="3:22" ht="15.75" customHeight="1">
      <c r="C2344" s="7"/>
      <c r="D2344" s="7"/>
      <c r="H2344" s="7"/>
      <c r="Q2344" s="16"/>
      <c r="R2344" s="16"/>
      <c r="V2344">
        <v>434</v>
      </c>
    </row>
    <row r="2345" spans="3:22" ht="15.75" customHeight="1">
      <c r="C2345" s="7"/>
      <c r="D2345" s="7"/>
      <c r="H2345" s="7"/>
      <c r="Q2345" s="16"/>
      <c r="R2345" s="16"/>
      <c r="V2345">
        <v>435</v>
      </c>
    </row>
    <row r="2346" spans="3:22" ht="15.75" customHeight="1">
      <c r="C2346" s="7"/>
      <c r="D2346" s="7"/>
      <c r="H2346" s="7"/>
      <c r="Q2346" s="16"/>
      <c r="R2346" s="16"/>
      <c r="V2346">
        <v>435</v>
      </c>
    </row>
    <row r="2347" spans="3:22" ht="15.75" customHeight="1">
      <c r="C2347" s="7"/>
      <c r="D2347" s="7"/>
      <c r="H2347" s="7"/>
      <c r="Q2347" s="16"/>
      <c r="R2347" s="16"/>
      <c r="V2347">
        <v>435</v>
      </c>
    </row>
    <row r="2348" spans="3:22" ht="15.75" customHeight="1">
      <c r="C2348" s="7"/>
      <c r="D2348" s="7"/>
      <c r="H2348" s="7"/>
      <c r="Q2348" s="16"/>
      <c r="R2348" s="16"/>
      <c r="V2348">
        <v>435</v>
      </c>
    </row>
    <row r="2349" spans="3:22" ht="15.75" customHeight="1">
      <c r="C2349" s="7"/>
      <c r="D2349" s="7"/>
      <c r="H2349" s="7"/>
      <c r="Q2349" s="16"/>
      <c r="R2349" s="16"/>
      <c r="V2349">
        <v>435</v>
      </c>
    </row>
    <row r="2350" spans="3:22" ht="15.75" customHeight="1">
      <c r="C2350" s="7"/>
      <c r="D2350" s="7"/>
      <c r="H2350" s="7"/>
      <c r="Q2350" s="16"/>
      <c r="R2350" s="16"/>
      <c r="V2350">
        <v>435</v>
      </c>
    </row>
    <row r="2351" spans="3:22" ht="15.75" customHeight="1">
      <c r="C2351" s="7"/>
      <c r="D2351" s="7"/>
      <c r="H2351" s="7"/>
      <c r="Q2351" s="16"/>
      <c r="R2351" s="16"/>
      <c r="V2351">
        <v>435</v>
      </c>
    </row>
    <row r="2352" spans="3:22" ht="15.75" customHeight="1">
      <c r="C2352" s="7"/>
      <c r="D2352" s="7"/>
      <c r="H2352" s="7"/>
      <c r="Q2352" s="16"/>
      <c r="R2352" s="16"/>
      <c r="V2352">
        <v>435</v>
      </c>
    </row>
    <row r="2353" spans="3:22" ht="15.75" customHeight="1">
      <c r="C2353" s="7"/>
      <c r="D2353" s="7"/>
      <c r="H2353" s="7"/>
      <c r="Q2353" s="16"/>
      <c r="R2353" s="16"/>
      <c r="V2353">
        <v>435</v>
      </c>
    </row>
    <row r="2354" spans="3:22" ht="15.75" customHeight="1">
      <c r="C2354" s="7"/>
      <c r="D2354" s="7"/>
      <c r="H2354" s="7"/>
      <c r="Q2354" s="16"/>
      <c r="R2354" s="16"/>
      <c r="V2354">
        <v>435</v>
      </c>
    </row>
    <row r="2355" spans="3:22" ht="15.75" customHeight="1">
      <c r="V2355">
        <v>435</v>
      </c>
    </row>
    <row r="2356" spans="3:22" ht="15.75" customHeight="1">
      <c r="V2356">
        <v>435</v>
      </c>
    </row>
    <row r="2357" spans="3:22" ht="15.75" customHeight="1">
      <c r="V2357">
        <v>435</v>
      </c>
    </row>
    <row r="2358" spans="3:22" ht="15.75" customHeight="1">
      <c r="V2358">
        <v>435</v>
      </c>
    </row>
    <row r="2359" spans="3:22" ht="15.75" customHeight="1">
      <c r="V2359">
        <v>435</v>
      </c>
    </row>
    <row r="2360" spans="3:22" ht="15.75" customHeight="1">
      <c r="V2360">
        <v>435</v>
      </c>
    </row>
    <row r="2361" spans="3:22" ht="15.75" customHeight="1">
      <c r="V2361">
        <v>435</v>
      </c>
    </row>
    <row r="2362" spans="3:22" ht="15.75" customHeight="1">
      <c r="V2362">
        <v>436</v>
      </c>
    </row>
    <row r="2363" spans="3:22" ht="15.75" customHeight="1">
      <c r="V2363">
        <v>436</v>
      </c>
    </row>
    <row r="2364" spans="3:22" ht="15.75" customHeight="1">
      <c r="V2364">
        <v>436</v>
      </c>
    </row>
    <row r="2365" spans="3:22" ht="15.75" customHeight="1">
      <c r="V2365">
        <v>436</v>
      </c>
    </row>
    <row r="2366" spans="3:22" ht="15.75" customHeight="1">
      <c r="V2366">
        <v>437</v>
      </c>
    </row>
    <row r="2367" spans="3:22" ht="15.75" customHeight="1">
      <c r="V2367">
        <v>437</v>
      </c>
    </row>
    <row r="2368" spans="3:22" ht="15.75" customHeight="1">
      <c r="V2368">
        <v>437</v>
      </c>
    </row>
    <row r="2369" spans="22:22" ht="15.75" customHeight="1">
      <c r="V2369">
        <v>437</v>
      </c>
    </row>
    <row r="2370" spans="22:22" ht="15.75" customHeight="1">
      <c r="V2370">
        <v>437</v>
      </c>
    </row>
    <row r="2371" spans="22:22" ht="15.75" customHeight="1">
      <c r="V2371">
        <v>437</v>
      </c>
    </row>
    <row r="2372" spans="22:22" ht="15.75" customHeight="1">
      <c r="V2372">
        <v>437</v>
      </c>
    </row>
    <row r="2373" spans="22:22" ht="15.75" customHeight="1">
      <c r="V2373">
        <v>437</v>
      </c>
    </row>
    <row r="2374" spans="22:22" ht="15.75" customHeight="1">
      <c r="V2374">
        <v>437</v>
      </c>
    </row>
    <row r="2375" spans="22:22" ht="15.75" customHeight="1">
      <c r="V2375">
        <v>437</v>
      </c>
    </row>
    <row r="2376" spans="22:22" ht="15.75" customHeight="1">
      <c r="V2376">
        <v>437</v>
      </c>
    </row>
    <row r="2377" spans="22:22" ht="15.75" customHeight="1">
      <c r="V2377">
        <v>437</v>
      </c>
    </row>
    <row r="2378" spans="22:22" ht="15.75" customHeight="1">
      <c r="V2378">
        <v>437</v>
      </c>
    </row>
    <row r="2379" spans="22:22" ht="15.75" customHeight="1">
      <c r="V2379">
        <v>437</v>
      </c>
    </row>
    <row r="2380" spans="22:22" ht="15.75" customHeight="1">
      <c r="V2380">
        <v>437</v>
      </c>
    </row>
    <row r="2381" spans="22:22" ht="15.75" customHeight="1">
      <c r="V2381">
        <v>437</v>
      </c>
    </row>
    <row r="2382" spans="22:22" ht="15.75" customHeight="1">
      <c r="V2382">
        <v>437</v>
      </c>
    </row>
    <row r="2383" spans="22:22" ht="15.75" customHeight="1">
      <c r="V2383">
        <v>437</v>
      </c>
    </row>
    <row r="2384" spans="22:22" ht="15.75" customHeight="1">
      <c r="V2384">
        <v>437</v>
      </c>
    </row>
    <row r="2385" spans="22:22" ht="15.75" customHeight="1">
      <c r="V2385">
        <v>437</v>
      </c>
    </row>
    <row r="2386" spans="22:22" ht="15.75" customHeight="1">
      <c r="V2386">
        <v>437</v>
      </c>
    </row>
    <row r="2387" spans="22:22" ht="15.75" customHeight="1">
      <c r="V2387">
        <v>437</v>
      </c>
    </row>
    <row r="2388" spans="22:22" ht="15.75" customHeight="1">
      <c r="V2388">
        <v>437</v>
      </c>
    </row>
    <row r="2389" spans="22:22" ht="15.75" customHeight="1">
      <c r="V2389">
        <v>437</v>
      </c>
    </row>
    <row r="2390" spans="22:22" ht="15.75" customHeight="1">
      <c r="V2390">
        <v>437</v>
      </c>
    </row>
    <row r="2391" spans="22:22" ht="15.75" customHeight="1">
      <c r="V2391">
        <v>438</v>
      </c>
    </row>
    <row r="2392" spans="22:22" ht="15.75" customHeight="1">
      <c r="V2392">
        <v>439</v>
      </c>
    </row>
    <row r="2393" spans="22:22" ht="15.75" customHeight="1">
      <c r="V2393">
        <v>439</v>
      </c>
    </row>
    <row r="2394" spans="22:22" ht="15.75" customHeight="1">
      <c r="V2394">
        <v>439</v>
      </c>
    </row>
    <row r="2395" spans="22:22" ht="15.75" customHeight="1">
      <c r="V2395">
        <v>439</v>
      </c>
    </row>
    <row r="2396" spans="22:22" ht="15.75" customHeight="1">
      <c r="V2396">
        <v>439</v>
      </c>
    </row>
    <row r="2397" spans="22:22" ht="15.75" customHeight="1">
      <c r="V2397">
        <v>439</v>
      </c>
    </row>
    <row r="2398" spans="22:22" ht="15.75" customHeight="1">
      <c r="V2398">
        <v>439</v>
      </c>
    </row>
    <row r="2399" spans="22:22" ht="15.75" customHeight="1">
      <c r="V2399">
        <v>439</v>
      </c>
    </row>
    <row r="2400" spans="22:22" ht="15.75" customHeight="1">
      <c r="V2400">
        <v>440</v>
      </c>
    </row>
    <row r="2401" spans="22:22" ht="15.75" customHeight="1">
      <c r="V2401">
        <v>440</v>
      </c>
    </row>
    <row r="2402" spans="22:22" ht="15.75" customHeight="1">
      <c r="V2402">
        <v>440</v>
      </c>
    </row>
    <row r="2403" spans="22:22" ht="15.75" customHeight="1">
      <c r="V2403">
        <v>440</v>
      </c>
    </row>
    <row r="2404" spans="22:22" ht="15.75" customHeight="1">
      <c r="V2404">
        <v>440</v>
      </c>
    </row>
    <row r="2405" spans="22:22" ht="15.75" customHeight="1">
      <c r="V2405">
        <v>440</v>
      </c>
    </row>
    <row r="2406" spans="22:22" ht="15.75" customHeight="1">
      <c r="V2406">
        <v>440</v>
      </c>
    </row>
    <row r="2407" spans="22:22" ht="15.75" customHeight="1">
      <c r="V2407">
        <v>440</v>
      </c>
    </row>
    <row r="2408" spans="22:22" ht="15.75" customHeight="1">
      <c r="V2408">
        <v>440</v>
      </c>
    </row>
    <row r="2409" spans="22:22" ht="15.75" customHeight="1">
      <c r="V2409">
        <v>440</v>
      </c>
    </row>
    <row r="2410" spans="22:22" ht="15.75" customHeight="1">
      <c r="V2410">
        <v>440</v>
      </c>
    </row>
    <row r="2411" spans="22:22" ht="15.75" customHeight="1">
      <c r="V2411">
        <v>440</v>
      </c>
    </row>
    <row r="2412" spans="22:22" ht="15.75" customHeight="1">
      <c r="V2412">
        <v>440</v>
      </c>
    </row>
    <row r="2413" spans="22:22" ht="15.75" customHeight="1">
      <c r="V2413">
        <v>440</v>
      </c>
    </row>
    <row r="2414" spans="22:22" ht="15.75" customHeight="1">
      <c r="V2414">
        <v>440</v>
      </c>
    </row>
    <row r="2415" spans="22:22" ht="15.75" customHeight="1">
      <c r="V2415">
        <v>440</v>
      </c>
    </row>
    <row r="2416" spans="22:22" ht="15.75" customHeight="1">
      <c r="V2416">
        <v>440</v>
      </c>
    </row>
    <row r="2417" spans="22:22" ht="15.75" customHeight="1">
      <c r="V2417">
        <v>440</v>
      </c>
    </row>
    <row r="2418" spans="22:22" ht="15.75" customHeight="1">
      <c r="V2418">
        <v>440</v>
      </c>
    </row>
    <row r="2419" spans="22:22" ht="15.75" customHeight="1">
      <c r="V2419">
        <v>440</v>
      </c>
    </row>
    <row r="2420" spans="22:22" ht="15.75" customHeight="1">
      <c r="V2420">
        <v>440</v>
      </c>
    </row>
    <row r="2421" spans="22:22" ht="15.75" customHeight="1">
      <c r="V2421">
        <v>440</v>
      </c>
    </row>
    <row r="2422" spans="22:22" ht="15.75" customHeight="1">
      <c r="V2422">
        <v>440</v>
      </c>
    </row>
    <row r="2423" spans="22:22" ht="15.75" customHeight="1">
      <c r="V2423">
        <v>440</v>
      </c>
    </row>
    <row r="2424" spans="22:22" ht="15.75" customHeight="1">
      <c r="V2424">
        <v>440</v>
      </c>
    </row>
    <row r="2425" spans="22:22" ht="15.75" customHeight="1">
      <c r="V2425">
        <v>440</v>
      </c>
    </row>
    <row r="2426" spans="22:22" ht="15.75" customHeight="1">
      <c r="V2426">
        <v>440</v>
      </c>
    </row>
    <row r="2427" spans="22:22" ht="15.75" customHeight="1">
      <c r="V2427">
        <v>440</v>
      </c>
    </row>
    <row r="2428" spans="22:22" ht="15.75" customHeight="1">
      <c r="V2428">
        <v>440</v>
      </c>
    </row>
    <row r="2429" spans="22:22" ht="15.75" customHeight="1">
      <c r="V2429">
        <v>440</v>
      </c>
    </row>
    <row r="2430" spans="22:22" ht="15.75" customHeight="1">
      <c r="V2430">
        <v>440</v>
      </c>
    </row>
    <row r="2431" spans="22:22" ht="15.75" customHeight="1">
      <c r="V2431">
        <v>440</v>
      </c>
    </row>
    <row r="2432" spans="22:22" ht="15.75" customHeight="1">
      <c r="V2432">
        <v>440</v>
      </c>
    </row>
    <row r="2433" spans="22:22" ht="15.75" customHeight="1">
      <c r="V2433">
        <v>440</v>
      </c>
    </row>
    <row r="2434" spans="22:22" ht="15.75" customHeight="1">
      <c r="V2434">
        <v>440</v>
      </c>
    </row>
    <row r="2435" spans="22:22" ht="15.75" customHeight="1">
      <c r="V2435">
        <v>440</v>
      </c>
    </row>
    <row r="2436" spans="22:22" ht="15.75" customHeight="1">
      <c r="V2436">
        <v>440</v>
      </c>
    </row>
    <row r="2437" spans="22:22" ht="15.75" customHeight="1">
      <c r="V2437">
        <v>440</v>
      </c>
    </row>
    <row r="2438" spans="22:22" ht="15.75" customHeight="1">
      <c r="V2438">
        <v>440</v>
      </c>
    </row>
    <row r="2439" spans="22:22" ht="15.75" customHeight="1">
      <c r="V2439">
        <v>440</v>
      </c>
    </row>
    <row r="2440" spans="22:22" ht="15.75" customHeight="1">
      <c r="V2440">
        <v>440</v>
      </c>
    </row>
    <row r="2441" spans="22:22" ht="15.75" customHeight="1">
      <c r="V2441">
        <v>440</v>
      </c>
    </row>
    <row r="2442" spans="22:22" ht="15.75" customHeight="1">
      <c r="V2442">
        <v>440</v>
      </c>
    </row>
    <row r="2443" spans="22:22" ht="15.75" customHeight="1">
      <c r="V2443">
        <v>440</v>
      </c>
    </row>
    <row r="2444" spans="22:22" ht="15.75" customHeight="1">
      <c r="V2444">
        <v>440</v>
      </c>
    </row>
    <row r="2445" spans="22:22" ht="15.75" customHeight="1">
      <c r="V2445">
        <v>440</v>
      </c>
    </row>
    <row r="2446" spans="22:22" ht="15.75" customHeight="1">
      <c r="V2446">
        <v>440</v>
      </c>
    </row>
    <row r="2447" spans="22:22" ht="15.75" customHeight="1">
      <c r="V2447">
        <v>440</v>
      </c>
    </row>
    <row r="2448" spans="22:22" ht="15.75" customHeight="1">
      <c r="V2448">
        <v>440</v>
      </c>
    </row>
    <row r="2449" spans="22:22" ht="15.75" customHeight="1">
      <c r="V2449">
        <v>440</v>
      </c>
    </row>
    <row r="2450" spans="22:22" ht="15.75" customHeight="1">
      <c r="V2450">
        <v>440</v>
      </c>
    </row>
    <row r="2451" spans="22:22" ht="15.75" customHeight="1">
      <c r="V2451">
        <v>440</v>
      </c>
    </row>
    <row r="2452" spans="22:22" ht="15.75" customHeight="1">
      <c r="V2452">
        <v>440</v>
      </c>
    </row>
    <row r="2453" spans="22:22" ht="15.75" customHeight="1">
      <c r="V2453">
        <v>440</v>
      </c>
    </row>
    <row r="2454" spans="22:22" ht="15.75" customHeight="1">
      <c r="V2454">
        <v>440</v>
      </c>
    </row>
    <row r="2455" spans="22:22" ht="15.75" customHeight="1">
      <c r="V2455">
        <v>440</v>
      </c>
    </row>
    <row r="2456" spans="22:22" ht="15.75" customHeight="1">
      <c r="V2456">
        <v>440</v>
      </c>
    </row>
    <row r="2457" spans="22:22" ht="15.75" customHeight="1">
      <c r="V2457">
        <v>440</v>
      </c>
    </row>
    <row r="2458" spans="22:22" ht="15.75" customHeight="1">
      <c r="V2458">
        <v>441</v>
      </c>
    </row>
    <row r="2459" spans="22:22" ht="15.75" customHeight="1">
      <c r="V2459">
        <v>441</v>
      </c>
    </row>
    <row r="2460" spans="22:22" ht="15.75" customHeight="1">
      <c r="V2460">
        <v>441</v>
      </c>
    </row>
    <row r="2461" spans="22:22" ht="15.75" customHeight="1">
      <c r="V2461">
        <v>441</v>
      </c>
    </row>
    <row r="2462" spans="22:22" ht="15.75" customHeight="1">
      <c r="V2462">
        <v>441</v>
      </c>
    </row>
    <row r="2463" spans="22:22" ht="15.75" customHeight="1">
      <c r="V2463">
        <v>442</v>
      </c>
    </row>
    <row r="2464" spans="22:22" ht="15.75" customHeight="1">
      <c r="V2464">
        <v>443</v>
      </c>
    </row>
    <row r="2465" spans="22:22" ht="15.75" customHeight="1">
      <c r="V2465">
        <v>443</v>
      </c>
    </row>
    <row r="2466" spans="22:22" ht="15.75" customHeight="1">
      <c r="V2466">
        <v>443</v>
      </c>
    </row>
    <row r="2467" spans="22:22" ht="15.75" customHeight="1">
      <c r="V2467">
        <v>443</v>
      </c>
    </row>
    <row r="2468" spans="22:22" ht="15.75" customHeight="1">
      <c r="V2468">
        <v>443</v>
      </c>
    </row>
    <row r="2469" spans="22:22" ht="15.75" customHeight="1">
      <c r="V2469">
        <v>443</v>
      </c>
    </row>
    <row r="2470" spans="22:22" ht="15.75" customHeight="1">
      <c r="V2470">
        <v>443</v>
      </c>
    </row>
    <row r="2471" spans="22:22" ht="15.75" customHeight="1">
      <c r="V2471">
        <v>443</v>
      </c>
    </row>
    <row r="2472" spans="22:22" ht="15.75" customHeight="1">
      <c r="V2472">
        <v>443</v>
      </c>
    </row>
    <row r="2473" spans="22:22" ht="15.75" customHeight="1">
      <c r="V2473">
        <v>444</v>
      </c>
    </row>
    <row r="2474" spans="22:22" ht="15.75" customHeight="1">
      <c r="V2474">
        <v>444</v>
      </c>
    </row>
    <row r="2475" spans="22:22" ht="15.75" customHeight="1">
      <c r="V2475">
        <v>445</v>
      </c>
    </row>
    <row r="2476" spans="22:22" ht="15.75" customHeight="1">
      <c r="V2476">
        <v>445</v>
      </c>
    </row>
    <row r="2477" spans="22:22" ht="15.75" customHeight="1">
      <c r="V2477">
        <v>445</v>
      </c>
    </row>
    <row r="2478" spans="22:22" ht="15.75" customHeight="1">
      <c r="V2478">
        <v>445</v>
      </c>
    </row>
    <row r="2479" spans="22:22" ht="15.75" customHeight="1">
      <c r="V2479">
        <v>445</v>
      </c>
    </row>
    <row r="2480" spans="22:22" ht="15.75" customHeight="1">
      <c r="V2480">
        <v>445</v>
      </c>
    </row>
    <row r="2481" spans="22:22" ht="15.75" customHeight="1">
      <c r="V2481">
        <v>445</v>
      </c>
    </row>
    <row r="2482" spans="22:22" ht="15.75" customHeight="1">
      <c r="V2482">
        <v>445</v>
      </c>
    </row>
    <row r="2483" spans="22:22" ht="15.75" customHeight="1">
      <c r="V2483">
        <v>445</v>
      </c>
    </row>
    <row r="2484" spans="22:22" ht="15.75" customHeight="1">
      <c r="V2484">
        <v>445</v>
      </c>
    </row>
    <row r="2485" spans="22:22" ht="15.75" customHeight="1">
      <c r="V2485">
        <v>445</v>
      </c>
    </row>
    <row r="2486" spans="22:22" ht="15.75" customHeight="1">
      <c r="V2486">
        <v>445</v>
      </c>
    </row>
    <row r="2487" spans="22:22" ht="15.75" customHeight="1">
      <c r="V2487">
        <v>445</v>
      </c>
    </row>
    <row r="2488" spans="22:22" ht="15.75" customHeight="1">
      <c r="V2488">
        <v>445</v>
      </c>
    </row>
    <row r="2489" spans="22:22" ht="15.75" customHeight="1">
      <c r="V2489">
        <v>445</v>
      </c>
    </row>
    <row r="2490" spans="22:22" ht="15.75" customHeight="1">
      <c r="V2490">
        <v>445</v>
      </c>
    </row>
    <row r="2491" spans="22:22" ht="15.75" customHeight="1">
      <c r="V2491">
        <v>445</v>
      </c>
    </row>
    <row r="2492" spans="22:22" ht="15.75" customHeight="1">
      <c r="V2492">
        <v>445</v>
      </c>
    </row>
    <row r="2493" spans="22:22" ht="15.75" customHeight="1">
      <c r="V2493">
        <v>445</v>
      </c>
    </row>
    <row r="2494" spans="22:22" ht="15.75" customHeight="1">
      <c r="V2494">
        <v>445</v>
      </c>
    </row>
    <row r="2495" spans="22:22" ht="15.75" customHeight="1">
      <c r="V2495">
        <v>445</v>
      </c>
    </row>
    <row r="2496" spans="22:22" ht="15.75" customHeight="1">
      <c r="V2496">
        <v>445</v>
      </c>
    </row>
    <row r="2497" spans="22:22" ht="15.75" customHeight="1">
      <c r="V2497">
        <v>445</v>
      </c>
    </row>
    <row r="2498" spans="22:22" ht="15.75" customHeight="1">
      <c r="V2498">
        <v>445</v>
      </c>
    </row>
    <row r="2499" spans="22:22" ht="15.75" customHeight="1">
      <c r="V2499">
        <v>446</v>
      </c>
    </row>
    <row r="2500" spans="22:22" ht="15.75" customHeight="1">
      <c r="V2500">
        <v>446</v>
      </c>
    </row>
    <row r="2501" spans="22:22" ht="15.75" customHeight="1">
      <c r="V2501">
        <v>446</v>
      </c>
    </row>
    <row r="2502" spans="22:22" ht="15.75" customHeight="1">
      <c r="V2502">
        <v>446</v>
      </c>
    </row>
    <row r="2503" spans="22:22" ht="15.75" customHeight="1">
      <c r="V2503">
        <v>447</v>
      </c>
    </row>
    <row r="2504" spans="22:22" ht="15.75" customHeight="1">
      <c r="V2504">
        <v>447</v>
      </c>
    </row>
    <row r="2505" spans="22:22" ht="15.75" customHeight="1">
      <c r="V2505">
        <v>447</v>
      </c>
    </row>
    <row r="2506" spans="22:22" ht="15.75" customHeight="1">
      <c r="V2506">
        <v>447</v>
      </c>
    </row>
    <row r="2507" spans="22:22" ht="15.75" customHeight="1">
      <c r="V2507">
        <v>447</v>
      </c>
    </row>
    <row r="2508" spans="22:22" ht="15.75" customHeight="1">
      <c r="V2508">
        <v>447</v>
      </c>
    </row>
    <row r="2509" spans="22:22" ht="15.75" customHeight="1">
      <c r="V2509">
        <v>447</v>
      </c>
    </row>
    <row r="2510" spans="22:22" ht="15.75" customHeight="1">
      <c r="V2510">
        <v>447</v>
      </c>
    </row>
    <row r="2511" spans="22:22" ht="15.75" customHeight="1">
      <c r="V2511">
        <v>447</v>
      </c>
    </row>
    <row r="2512" spans="22:22" ht="15.75" customHeight="1">
      <c r="V2512">
        <v>447</v>
      </c>
    </row>
    <row r="2513" spans="22:22" ht="15.75" customHeight="1">
      <c r="V2513">
        <v>447</v>
      </c>
    </row>
    <row r="2514" spans="22:22" ht="15.75" customHeight="1">
      <c r="V2514">
        <v>448</v>
      </c>
    </row>
    <row r="2515" spans="22:22" ht="15.75" customHeight="1">
      <c r="V2515">
        <v>448</v>
      </c>
    </row>
    <row r="2516" spans="22:22" ht="15.75" customHeight="1">
      <c r="V2516">
        <v>448</v>
      </c>
    </row>
    <row r="2517" spans="22:22" ht="15.75" customHeight="1">
      <c r="V2517">
        <v>448</v>
      </c>
    </row>
    <row r="2518" spans="22:22" ht="15.75" customHeight="1">
      <c r="V2518">
        <v>448</v>
      </c>
    </row>
    <row r="2519" spans="22:22" ht="15.75" customHeight="1">
      <c r="V2519">
        <v>448</v>
      </c>
    </row>
    <row r="2520" spans="22:22" ht="15.75" customHeight="1">
      <c r="V2520">
        <v>448</v>
      </c>
    </row>
    <row r="2521" spans="22:22" ht="15.75" customHeight="1">
      <c r="V2521">
        <v>448</v>
      </c>
    </row>
    <row r="2522" spans="22:22" ht="15.75" customHeight="1">
      <c r="V2522">
        <v>448</v>
      </c>
    </row>
    <row r="2523" spans="22:22" ht="15.75" customHeight="1">
      <c r="V2523">
        <v>448</v>
      </c>
    </row>
    <row r="2524" spans="22:22" ht="15.75" customHeight="1">
      <c r="V2524">
        <v>448</v>
      </c>
    </row>
    <row r="2525" spans="22:22" ht="15.75" customHeight="1">
      <c r="V2525">
        <v>448</v>
      </c>
    </row>
    <row r="2526" spans="22:22" ht="15.75" customHeight="1">
      <c r="V2526">
        <v>449</v>
      </c>
    </row>
    <row r="2527" spans="22:22" ht="15.75" customHeight="1">
      <c r="V2527">
        <v>449</v>
      </c>
    </row>
    <row r="2528" spans="22:22" ht="15.75" customHeight="1">
      <c r="V2528">
        <v>450</v>
      </c>
    </row>
    <row r="2529" spans="22:22" ht="15.75" customHeight="1">
      <c r="V2529">
        <v>450</v>
      </c>
    </row>
    <row r="2530" spans="22:22" ht="15.75" customHeight="1">
      <c r="V2530">
        <v>451</v>
      </c>
    </row>
    <row r="2531" spans="22:22" ht="15.75" customHeight="1">
      <c r="V2531">
        <v>451</v>
      </c>
    </row>
    <row r="2532" spans="22:22" ht="15.75" customHeight="1">
      <c r="V2532">
        <v>451</v>
      </c>
    </row>
    <row r="2533" spans="22:22" ht="15.75" customHeight="1">
      <c r="V2533">
        <v>451</v>
      </c>
    </row>
    <row r="2534" spans="22:22" ht="15.75" customHeight="1">
      <c r="V2534">
        <v>452</v>
      </c>
    </row>
    <row r="2535" spans="22:22" ht="15.75" customHeight="1">
      <c r="V2535">
        <v>452</v>
      </c>
    </row>
    <row r="2536" spans="22:22" ht="15.75" customHeight="1">
      <c r="V2536">
        <v>452</v>
      </c>
    </row>
    <row r="2537" spans="22:22" ht="15.75" customHeight="1">
      <c r="V2537">
        <v>452</v>
      </c>
    </row>
    <row r="2538" spans="22:22" ht="15.75" customHeight="1">
      <c r="V2538">
        <v>452</v>
      </c>
    </row>
    <row r="2539" spans="22:22" ht="15.75" customHeight="1">
      <c r="V2539">
        <v>452</v>
      </c>
    </row>
    <row r="2540" spans="22:22" ht="15.75" customHeight="1">
      <c r="V2540">
        <v>452</v>
      </c>
    </row>
    <row r="2541" spans="22:22" ht="15.75" customHeight="1">
      <c r="V2541">
        <v>452</v>
      </c>
    </row>
    <row r="2542" spans="22:22" ht="15.75" customHeight="1">
      <c r="V2542">
        <v>452</v>
      </c>
    </row>
    <row r="2543" spans="22:22" ht="15.75" customHeight="1">
      <c r="V2543">
        <v>452</v>
      </c>
    </row>
    <row r="2544" spans="22:22" ht="15.75" customHeight="1">
      <c r="V2544">
        <v>452</v>
      </c>
    </row>
    <row r="2545" spans="22:22" ht="15.75" customHeight="1">
      <c r="V2545">
        <v>452</v>
      </c>
    </row>
    <row r="2546" spans="22:22" ht="15.75" customHeight="1">
      <c r="V2546">
        <v>452</v>
      </c>
    </row>
    <row r="2547" spans="22:22" ht="15.75" customHeight="1">
      <c r="V2547">
        <v>453</v>
      </c>
    </row>
    <row r="2548" spans="22:22" ht="15.75" customHeight="1">
      <c r="V2548">
        <v>453</v>
      </c>
    </row>
    <row r="2549" spans="22:22" ht="15.75" customHeight="1">
      <c r="V2549">
        <v>454</v>
      </c>
    </row>
    <row r="2550" spans="22:22" ht="15.75" customHeight="1">
      <c r="V2550">
        <v>454</v>
      </c>
    </row>
    <row r="2551" spans="22:22" ht="15.75" customHeight="1">
      <c r="V2551">
        <v>454</v>
      </c>
    </row>
    <row r="2552" spans="22:22" ht="15.75" customHeight="1">
      <c r="V2552">
        <v>454</v>
      </c>
    </row>
    <row r="2553" spans="22:22" ht="15.75" customHeight="1">
      <c r="V2553">
        <v>454</v>
      </c>
    </row>
    <row r="2554" spans="22:22" ht="15.75" customHeight="1">
      <c r="V2554">
        <v>454</v>
      </c>
    </row>
    <row r="2555" spans="22:22" ht="15.75" customHeight="1">
      <c r="V2555">
        <v>455</v>
      </c>
    </row>
    <row r="2556" spans="22:22" ht="15.75" customHeight="1">
      <c r="V2556">
        <v>455</v>
      </c>
    </row>
    <row r="2557" spans="22:22" ht="15.75" customHeight="1">
      <c r="V2557">
        <v>456</v>
      </c>
    </row>
    <row r="2558" spans="22:22" ht="15.75" customHeight="1">
      <c r="V2558">
        <v>456</v>
      </c>
    </row>
    <row r="2559" spans="22:22" ht="15.75" customHeight="1">
      <c r="V2559">
        <v>457</v>
      </c>
    </row>
    <row r="2560" spans="22:22" ht="15.75" customHeight="1">
      <c r="V2560">
        <v>457</v>
      </c>
    </row>
    <row r="2561" spans="22:22" ht="15.75" customHeight="1">
      <c r="V2561">
        <v>457</v>
      </c>
    </row>
    <row r="2562" spans="22:22" ht="15.75" customHeight="1">
      <c r="V2562">
        <v>457</v>
      </c>
    </row>
    <row r="2563" spans="22:22" ht="15.75" customHeight="1">
      <c r="V2563">
        <v>458</v>
      </c>
    </row>
    <row r="2564" spans="22:22" ht="15.75" customHeight="1">
      <c r="V2564">
        <v>459</v>
      </c>
    </row>
    <row r="2565" spans="22:22" ht="15.75" customHeight="1">
      <c r="V2565">
        <v>460</v>
      </c>
    </row>
    <row r="2566" spans="22:22" ht="15.75" customHeight="1">
      <c r="V2566">
        <v>460</v>
      </c>
    </row>
    <row r="2567" spans="22:22" ht="15.75" customHeight="1">
      <c r="V2567">
        <v>461</v>
      </c>
    </row>
    <row r="2568" spans="22:22" ht="15.75" customHeight="1">
      <c r="V2568">
        <v>461</v>
      </c>
    </row>
    <row r="2569" spans="22:22" ht="15.75" customHeight="1">
      <c r="V2569">
        <v>461</v>
      </c>
    </row>
    <row r="2570" spans="22:22" ht="15.75" customHeight="1">
      <c r="V2570">
        <v>462</v>
      </c>
    </row>
    <row r="2571" spans="22:22" ht="15.75" customHeight="1">
      <c r="V2571">
        <v>462</v>
      </c>
    </row>
    <row r="2572" spans="22:22" ht="15.75" customHeight="1">
      <c r="V2572">
        <v>462</v>
      </c>
    </row>
    <row r="2573" spans="22:22" ht="15.75" customHeight="1">
      <c r="V2573">
        <v>462</v>
      </c>
    </row>
    <row r="2574" spans="22:22" ht="15.75" customHeight="1">
      <c r="V2574">
        <v>462</v>
      </c>
    </row>
    <row r="2575" spans="22:22" ht="15.75" customHeight="1">
      <c r="V2575">
        <v>462</v>
      </c>
    </row>
    <row r="2576" spans="22:22" ht="15.75" customHeight="1">
      <c r="V2576">
        <v>462</v>
      </c>
    </row>
    <row r="2577" spans="22:22" ht="15.75" customHeight="1">
      <c r="V2577">
        <v>462</v>
      </c>
    </row>
    <row r="2578" spans="22:22" ht="15.75" customHeight="1">
      <c r="V2578">
        <v>462</v>
      </c>
    </row>
    <row r="2579" spans="22:22" ht="15.75" customHeight="1">
      <c r="V2579">
        <v>462</v>
      </c>
    </row>
    <row r="2580" spans="22:22" ht="15.75" customHeight="1">
      <c r="V2580">
        <v>462</v>
      </c>
    </row>
    <row r="2581" spans="22:22" ht="15.75" customHeight="1">
      <c r="V2581">
        <v>462</v>
      </c>
    </row>
    <row r="2582" spans="22:22" ht="15.75" customHeight="1">
      <c r="V2582">
        <v>462</v>
      </c>
    </row>
    <row r="2583" spans="22:22" ht="15.75" customHeight="1">
      <c r="V2583">
        <v>462</v>
      </c>
    </row>
    <row r="2584" spans="22:22" ht="15.75" customHeight="1">
      <c r="V2584">
        <v>462</v>
      </c>
    </row>
    <row r="2585" spans="22:22" ht="15.75" customHeight="1">
      <c r="V2585">
        <v>462</v>
      </c>
    </row>
    <row r="2586" spans="22:22" ht="15.75" customHeight="1">
      <c r="V2586">
        <v>462</v>
      </c>
    </row>
    <row r="2587" spans="22:22" ht="15.75" customHeight="1">
      <c r="V2587">
        <v>462</v>
      </c>
    </row>
    <row r="2588" spans="22:22" ht="15.75" customHeight="1">
      <c r="V2588">
        <v>462</v>
      </c>
    </row>
    <row r="2589" spans="22:22" ht="15.75" customHeight="1">
      <c r="V2589">
        <v>462</v>
      </c>
    </row>
    <row r="2590" spans="22:22" ht="15.75" customHeight="1">
      <c r="V2590">
        <v>462</v>
      </c>
    </row>
    <row r="2591" spans="22:22" ht="15.75" customHeight="1">
      <c r="V2591">
        <v>462</v>
      </c>
    </row>
    <row r="2592" spans="22:22" ht="15.75" customHeight="1">
      <c r="V2592">
        <v>463</v>
      </c>
    </row>
    <row r="2593" spans="22:22" ht="15.75" customHeight="1">
      <c r="V2593">
        <v>463</v>
      </c>
    </row>
    <row r="2594" spans="22:22" ht="15.75" customHeight="1">
      <c r="V2594">
        <v>464</v>
      </c>
    </row>
    <row r="2595" spans="22:22" ht="15.75" customHeight="1">
      <c r="V2595">
        <v>464</v>
      </c>
    </row>
    <row r="2596" spans="22:22" ht="15.75" customHeight="1">
      <c r="V2596">
        <v>464</v>
      </c>
    </row>
    <row r="2597" spans="22:22" ht="15.75" customHeight="1">
      <c r="V2597">
        <v>464</v>
      </c>
    </row>
    <row r="2598" spans="22:22" ht="15.75" customHeight="1">
      <c r="V2598">
        <v>464</v>
      </c>
    </row>
    <row r="2599" spans="22:22" ht="15.75" customHeight="1">
      <c r="V2599">
        <v>465</v>
      </c>
    </row>
    <row r="2600" spans="22:22" ht="15.75" customHeight="1">
      <c r="V2600">
        <v>466</v>
      </c>
    </row>
    <row r="2601" spans="22:22" ht="15.75" customHeight="1">
      <c r="V2601">
        <v>466</v>
      </c>
    </row>
    <row r="2602" spans="22:22" ht="15.75" customHeight="1">
      <c r="V2602">
        <v>467</v>
      </c>
    </row>
    <row r="2603" spans="22:22" ht="15.75" customHeight="1">
      <c r="V2603">
        <v>468</v>
      </c>
    </row>
    <row r="2604" spans="22:22" ht="15.75" customHeight="1">
      <c r="V2604">
        <v>468</v>
      </c>
    </row>
    <row r="2605" spans="22:22" ht="15.75" customHeight="1">
      <c r="V2605">
        <v>468</v>
      </c>
    </row>
    <row r="2606" spans="22:22" ht="15.75" customHeight="1">
      <c r="V2606">
        <v>468</v>
      </c>
    </row>
    <row r="2607" spans="22:22" ht="15.75" customHeight="1">
      <c r="V2607">
        <v>468</v>
      </c>
    </row>
    <row r="2608" spans="22:22" ht="15.75" customHeight="1">
      <c r="V2608">
        <v>468</v>
      </c>
    </row>
    <row r="2609" spans="22:22" ht="15.75" customHeight="1">
      <c r="V2609">
        <v>468</v>
      </c>
    </row>
    <row r="2610" spans="22:22" ht="15.75" customHeight="1">
      <c r="V2610">
        <v>468</v>
      </c>
    </row>
    <row r="2611" spans="22:22" ht="15.75" customHeight="1">
      <c r="V2611">
        <v>468</v>
      </c>
    </row>
    <row r="2612" spans="22:22" ht="15.75" customHeight="1">
      <c r="V2612">
        <v>468</v>
      </c>
    </row>
    <row r="2613" spans="22:22" ht="15.75" customHeight="1">
      <c r="V2613">
        <v>468</v>
      </c>
    </row>
    <row r="2614" spans="22:22" ht="15.75" customHeight="1">
      <c r="V2614">
        <v>468</v>
      </c>
    </row>
    <row r="2615" spans="22:22" ht="15.75" customHeight="1">
      <c r="V2615">
        <v>468</v>
      </c>
    </row>
    <row r="2616" spans="22:22" ht="15.75" customHeight="1">
      <c r="V2616">
        <v>469</v>
      </c>
    </row>
    <row r="2617" spans="22:22" ht="15.75" customHeight="1">
      <c r="V2617">
        <v>470</v>
      </c>
    </row>
    <row r="2618" spans="22:22" ht="15.75" customHeight="1">
      <c r="V2618">
        <v>470</v>
      </c>
    </row>
    <row r="2619" spans="22:22" ht="15.75" customHeight="1">
      <c r="V2619">
        <v>470</v>
      </c>
    </row>
    <row r="2620" spans="22:22" ht="15.75" customHeight="1">
      <c r="V2620">
        <v>470</v>
      </c>
    </row>
    <row r="2621" spans="22:22" ht="15.75" customHeight="1">
      <c r="V2621">
        <v>470</v>
      </c>
    </row>
    <row r="2622" spans="22:22" ht="15.75" customHeight="1">
      <c r="V2622">
        <v>470</v>
      </c>
    </row>
    <row r="2623" spans="22:22" ht="15.75" customHeight="1">
      <c r="V2623">
        <v>470</v>
      </c>
    </row>
    <row r="2624" spans="22:22" ht="15.75" customHeight="1">
      <c r="V2624">
        <v>470</v>
      </c>
    </row>
    <row r="2625" spans="22:22" ht="15.75" customHeight="1">
      <c r="V2625">
        <v>470</v>
      </c>
    </row>
    <row r="2626" spans="22:22" ht="15.75" customHeight="1">
      <c r="V2626">
        <v>470</v>
      </c>
    </row>
    <row r="2627" spans="22:22" ht="15.75" customHeight="1">
      <c r="V2627">
        <v>470</v>
      </c>
    </row>
    <row r="2628" spans="22:22" ht="15.75" customHeight="1">
      <c r="V2628">
        <v>470</v>
      </c>
    </row>
    <row r="2629" spans="22:22" ht="15.75" customHeight="1">
      <c r="V2629">
        <v>470</v>
      </c>
    </row>
    <row r="2630" spans="22:22" ht="15.75" customHeight="1">
      <c r="V2630">
        <v>470</v>
      </c>
    </row>
    <row r="2631" spans="22:22" ht="15.75" customHeight="1">
      <c r="V2631">
        <v>470</v>
      </c>
    </row>
    <row r="2632" spans="22:22" ht="15.75" customHeight="1">
      <c r="V2632">
        <v>470</v>
      </c>
    </row>
    <row r="2633" spans="22:22" ht="15.75" customHeight="1">
      <c r="V2633">
        <v>470</v>
      </c>
    </row>
    <row r="2634" spans="22:22" ht="15.75" customHeight="1">
      <c r="V2634">
        <v>470</v>
      </c>
    </row>
    <row r="2635" spans="22:22" ht="15.75" customHeight="1">
      <c r="V2635">
        <v>470</v>
      </c>
    </row>
    <row r="2636" spans="22:22" ht="15.75" customHeight="1">
      <c r="V2636">
        <v>471</v>
      </c>
    </row>
    <row r="2637" spans="22:22" ht="15.75" customHeight="1">
      <c r="V2637">
        <v>471</v>
      </c>
    </row>
    <row r="2638" spans="22:22" ht="15.75" customHeight="1">
      <c r="V2638">
        <v>471</v>
      </c>
    </row>
    <row r="2639" spans="22:22" ht="15.75" customHeight="1">
      <c r="V2639">
        <v>471</v>
      </c>
    </row>
    <row r="2640" spans="22:22" ht="15.75" customHeight="1">
      <c r="V2640">
        <v>471</v>
      </c>
    </row>
    <row r="2641" spans="22:22" ht="15.75" customHeight="1">
      <c r="V2641">
        <v>471</v>
      </c>
    </row>
    <row r="2642" spans="22:22" ht="15.75" customHeight="1">
      <c r="V2642">
        <v>471</v>
      </c>
    </row>
    <row r="2643" spans="22:22" ht="15.75" customHeight="1">
      <c r="V2643">
        <v>471</v>
      </c>
    </row>
    <row r="2644" spans="22:22" ht="15.75" customHeight="1">
      <c r="V2644">
        <v>471</v>
      </c>
    </row>
    <row r="2645" spans="22:22" ht="15.75" customHeight="1">
      <c r="V2645">
        <v>471</v>
      </c>
    </row>
    <row r="2646" spans="22:22" ht="15.75" customHeight="1">
      <c r="V2646">
        <v>472</v>
      </c>
    </row>
    <row r="2647" spans="22:22" ht="15.75" customHeight="1">
      <c r="V2647">
        <v>472</v>
      </c>
    </row>
    <row r="2648" spans="22:22" ht="15.75" customHeight="1">
      <c r="V2648">
        <v>473</v>
      </c>
    </row>
    <row r="2649" spans="22:22" ht="15.75" customHeight="1">
      <c r="V2649">
        <v>474</v>
      </c>
    </row>
    <row r="2650" spans="22:22" ht="15.75" customHeight="1">
      <c r="V2650">
        <v>475</v>
      </c>
    </row>
    <row r="2651" spans="22:22" ht="15.75" customHeight="1">
      <c r="V2651">
        <v>475</v>
      </c>
    </row>
    <row r="2652" spans="22:22" ht="15.75" customHeight="1">
      <c r="V2652">
        <v>475</v>
      </c>
    </row>
    <row r="2653" spans="22:22" ht="15.75" customHeight="1">
      <c r="V2653">
        <v>475</v>
      </c>
    </row>
    <row r="2654" spans="22:22" ht="15.75" customHeight="1">
      <c r="V2654">
        <v>476</v>
      </c>
    </row>
    <row r="2655" spans="22:22" ht="15.75" customHeight="1">
      <c r="V2655">
        <v>477</v>
      </c>
    </row>
    <row r="2656" spans="22:22" ht="15.75" customHeight="1">
      <c r="V2656">
        <v>478</v>
      </c>
    </row>
    <row r="2657" spans="22:22" ht="15.75" customHeight="1">
      <c r="V2657">
        <v>479</v>
      </c>
    </row>
    <row r="2658" spans="22:22" ht="15.75" customHeight="1">
      <c r="V2658">
        <v>480</v>
      </c>
    </row>
    <row r="2659" spans="22:22" ht="15.75" customHeight="1">
      <c r="V2659">
        <v>481</v>
      </c>
    </row>
    <row r="2660" spans="22:22" ht="15.75" customHeight="1">
      <c r="V2660">
        <v>481</v>
      </c>
    </row>
    <row r="2661" spans="22:22" ht="15.75" customHeight="1">
      <c r="V2661">
        <v>481</v>
      </c>
    </row>
    <row r="2662" spans="22:22" ht="15.75" customHeight="1">
      <c r="V2662">
        <v>482</v>
      </c>
    </row>
    <row r="2663" spans="22:22" ht="15.75" customHeight="1">
      <c r="V2663">
        <v>482</v>
      </c>
    </row>
    <row r="2664" spans="22:22" ht="15.75" customHeight="1">
      <c r="V2664">
        <v>482</v>
      </c>
    </row>
    <row r="2665" spans="22:22" ht="15.75" customHeight="1">
      <c r="V2665">
        <v>482</v>
      </c>
    </row>
    <row r="2666" spans="22:22" ht="15.75" customHeight="1">
      <c r="V2666">
        <v>482</v>
      </c>
    </row>
    <row r="2667" spans="22:22" ht="15.75" customHeight="1">
      <c r="V2667">
        <v>482</v>
      </c>
    </row>
    <row r="2668" spans="22:22" ht="15.75" customHeight="1">
      <c r="V2668">
        <v>482</v>
      </c>
    </row>
    <row r="2669" spans="22:22" ht="15.75" customHeight="1">
      <c r="V2669">
        <v>483</v>
      </c>
    </row>
    <row r="2670" spans="22:22" ht="15.75" customHeight="1">
      <c r="V2670">
        <v>483</v>
      </c>
    </row>
    <row r="2671" spans="22:22" ht="15.75" customHeight="1">
      <c r="V2671">
        <v>484</v>
      </c>
    </row>
    <row r="2672" spans="22:22" ht="15.75" customHeight="1">
      <c r="V2672">
        <v>484</v>
      </c>
    </row>
    <row r="2673" spans="22:22" ht="15.75" customHeight="1">
      <c r="V2673">
        <v>484</v>
      </c>
    </row>
    <row r="2674" spans="22:22" ht="15.75" customHeight="1">
      <c r="V2674">
        <v>485</v>
      </c>
    </row>
    <row r="2675" spans="22:22" ht="15.75" customHeight="1">
      <c r="V2675">
        <v>486</v>
      </c>
    </row>
    <row r="2676" spans="22:22" ht="15.75" customHeight="1">
      <c r="V2676">
        <v>486</v>
      </c>
    </row>
    <row r="2677" spans="22:22" ht="15.75" customHeight="1">
      <c r="V2677">
        <v>486</v>
      </c>
    </row>
    <row r="2678" spans="22:22" ht="15.75" customHeight="1">
      <c r="V2678">
        <v>486</v>
      </c>
    </row>
    <row r="2679" spans="22:22" ht="15.75" customHeight="1">
      <c r="V2679">
        <v>486</v>
      </c>
    </row>
    <row r="2680" spans="22:22" ht="15.75" customHeight="1">
      <c r="V2680">
        <v>486</v>
      </c>
    </row>
    <row r="2681" spans="22:22" ht="15.75" customHeight="1">
      <c r="V2681">
        <v>486</v>
      </c>
    </row>
    <row r="2682" spans="22:22" ht="15.75" customHeight="1">
      <c r="V2682">
        <v>486</v>
      </c>
    </row>
    <row r="2683" spans="22:22" ht="15.75" customHeight="1">
      <c r="V2683">
        <v>486</v>
      </c>
    </row>
    <row r="2684" spans="22:22" ht="15.75" customHeight="1">
      <c r="V2684">
        <v>486</v>
      </c>
    </row>
    <row r="2685" spans="22:22" ht="15.75" customHeight="1">
      <c r="V2685">
        <v>486</v>
      </c>
    </row>
    <row r="2686" spans="22:22" ht="15.75" customHeight="1">
      <c r="V2686">
        <v>486</v>
      </c>
    </row>
    <row r="2687" spans="22:22" ht="15.75" customHeight="1">
      <c r="V2687">
        <v>486</v>
      </c>
    </row>
    <row r="2688" spans="22:22" ht="15.75" customHeight="1">
      <c r="V2688">
        <v>486</v>
      </c>
    </row>
    <row r="2689" spans="22:22" ht="15.75" customHeight="1">
      <c r="V2689">
        <v>486</v>
      </c>
    </row>
    <row r="2690" spans="22:22" ht="15.75" customHeight="1">
      <c r="V2690">
        <v>486</v>
      </c>
    </row>
    <row r="2691" spans="22:22" ht="15.75" customHeight="1">
      <c r="V2691">
        <v>486</v>
      </c>
    </row>
    <row r="2692" spans="22:22" ht="15.75" customHeight="1">
      <c r="V2692">
        <v>486</v>
      </c>
    </row>
    <row r="2693" spans="22:22" ht="15.75" customHeight="1">
      <c r="V2693">
        <v>486</v>
      </c>
    </row>
    <row r="2694" spans="22:22" ht="15.75" customHeight="1">
      <c r="V2694">
        <v>487</v>
      </c>
    </row>
    <row r="2695" spans="22:22" ht="15.75" customHeight="1">
      <c r="V2695">
        <v>487</v>
      </c>
    </row>
    <row r="2696" spans="22:22" ht="15.75" customHeight="1">
      <c r="V2696">
        <v>487</v>
      </c>
    </row>
    <row r="2697" spans="22:22" ht="15.75" customHeight="1">
      <c r="V2697">
        <v>487</v>
      </c>
    </row>
    <row r="2698" spans="22:22" ht="15.75" customHeight="1">
      <c r="V2698">
        <v>487</v>
      </c>
    </row>
    <row r="2699" spans="22:22" ht="15.75" customHeight="1">
      <c r="V2699">
        <v>487</v>
      </c>
    </row>
    <row r="2700" spans="22:22" ht="15.75" customHeight="1">
      <c r="V2700">
        <v>487</v>
      </c>
    </row>
    <row r="2701" spans="22:22" ht="15.75" customHeight="1">
      <c r="V2701">
        <v>487</v>
      </c>
    </row>
    <row r="2702" spans="22:22" ht="15.75" customHeight="1">
      <c r="V2702">
        <v>487</v>
      </c>
    </row>
    <row r="2703" spans="22:22" ht="15.75" customHeight="1">
      <c r="V2703">
        <v>487</v>
      </c>
    </row>
    <row r="2704" spans="22:22" ht="15.75" customHeight="1">
      <c r="V2704">
        <v>487</v>
      </c>
    </row>
    <row r="2705" spans="22:22" ht="15.75" customHeight="1">
      <c r="V2705">
        <v>487</v>
      </c>
    </row>
    <row r="2706" spans="22:22" ht="15.75" customHeight="1">
      <c r="V2706">
        <v>487</v>
      </c>
    </row>
    <row r="2707" spans="22:22" ht="15.75" customHeight="1">
      <c r="V2707">
        <v>487</v>
      </c>
    </row>
    <row r="2708" spans="22:22" ht="15.75" customHeight="1">
      <c r="V2708">
        <v>487</v>
      </c>
    </row>
    <row r="2709" spans="22:22" ht="15.75" customHeight="1">
      <c r="V2709">
        <v>487</v>
      </c>
    </row>
    <row r="2710" spans="22:22" ht="15.75" customHeight="1">
      <c r="V2710">
        <v>487</v>
      </c>
    </row>
    <row r="2711" spans="22:22" ht="15.75" customHeight="1">
      <c r="V2711">
        <v>487</v>
      </c>
    </row>
    <row r="2712" spans="22:22" ht="15.75" customHeight="1">
      <c r="V2712">
        <v>487</v>
      </c>
    </row>
    <row r="2713" spans="22:22" ht="15.75" customHeight="1">
      <c r="V2713">
        <v>488</v>
      </c>
    </row>
    <row r="2714" spans="22:22" ht="15.75" customHeight="1">
      <c r="V2714">
        <v>488</v>
      </c>
    </row>
    <row r="2715" spans="22:22" ht="15.75" customHeight="1">
      <c r="V2715">
        <v>488</v>
      </c>
    </row>
    <row r="2716" spans="22:22" ht="15.75" customHeight="1">
      <c r="V2716">
        <v>488</v>
      </c>
    </row>
    <row r="2717" spans="22:22" ht="15.75" customHeight="1">
      <c r="V2717">
        <v>488</v>
      </c>
    </row>
    <row r="2718" spans="22:22" ht="15.75" customHeight="1">
      <c r="V2718">
        <v>488</v>
      </c>
    </row>
    <row r="2719" spans="22:22" ht="15.75" customHeight="1">
      <c r="V2719">
        <v>488</v>
      </c>
    </row>
    <row r="2720" spans="22:22" ht="15.75" customHeight="1">
      <c r="V2720">
        <v>489</v>
      </c>
    </row>
    <row r="2721" spans="22:22" ht="15.75" customHeight="1">
      <c r="V2721">
        <v>489</v>
      </c>
    </row>
    <row r="2722" spans="22:22" ht="15.75" customHeight="1">
      <c r="V2722">
        <v>489</v>
      </c>
    </row>
    <row r="2723" spans="22:22" ht="15.75" customHeight="1">
      <c r="V2723">
        <v>489</v>
      </c>
    </row>
    <row r="2724" spans="22:22" ht="15.75" customHeight="1">
      <c r="V2724">
        <v>489</v>
      </c>
    </row>
    <row r="2725" spans="22:22" ht="15.75" customHeight="1">
      <c r="V2725">
        <v>489</v>
      </c>
    </row>
    <row r="2726" spans="22:22" ht="15.75" customHeight="1">
      <c r="V2726">
        <v>489</v>
      </c>
    </row>
    <row r="2727" spans="22:22" ht="15.75" customHeight="1">
      <c r="V2727">
        <v>489</v>
      </c>
    </row>
    <row r="2728" spans="22:22" ht="15.75" customHeight="1">
      <c r="V2728">
        <v>489</v>
      </c>
    </row>
    <row r="2729" spans="22:22" ht="15.75" customHeight="1">
      <c r="V2729">
        <v>489</v>
      </c>
    </row>
    <row r="2730" spans="22:22" ht="15.75" customHeight="1">
      <c r="V2730">
        <v>489</v>
      </c>
    </row>
    <row r="2731" spans="22:22" ht="15.75" customHeight="1">
      <c r="V2731">
        <v>489</v>
      </c>
    </row>
    <row r="2732" spans="22:22" ht="15.75" customHeight="1">
      <c r="V2732">
        <v>489</v>
      </c>
    </row>
    <row r="2733" spans="22:22" ht="15.75" customHeight="1">
      <c r="V2733">
        <v>489</v>
      </c>
    </row>
    <row r="2734" spans="22:22" ht="15.75" customHeight="1">
      <c r="V2734">
        <v>489</v>
      </c>
    </row>
    <row r="2735" spans="22:22" ht="15.75" customHeight="1">
      <c r="V2735">
        <v>489</v>
      </c>
    </row>
    <row r="2736" spans="22:22" ht="15.75" customHeight="1">
      <c r="V2736">
        <v>489</v>
      </c>
    </row>
    <row r="2737" spans="22:22" ht="15.75" customHeight="1">
      <c r="V2737">
        <v>489</v>
      </c>
    </row>
    <row r="2738" spans="22:22" ht="15.75" customHeight="1">
      <c r="V2738">
        <v>489</v>
      </c>
    </row>
    <row r="2739" spans="22:22" ht="15.75" customHeight="1">
      <c r="V2739">
        <v>490</v>
      </c>
    </row>
    <row r="2740" spans="22:22" ht="15.75" customHeight="1">
      <c r="V2740">
        <v>491</v>
      </c>
    </row>
    <row r="2741" spans="22:22" ht="15.75" customHeight="1">
      <c r="V2741">
        <v>492</v>
      </c>
    </row>
    <row r="2742" spans="22:22" ht="15.75" customHeight="1">
      <c r="V2742">
        <v>492</v>
      </c>
    </row>
    <row r="2743" spans="22:22" ht="15.75" customHeight="1">
      <c r="V2743">
        <v>493</v>
      </c>
    </row>
    <row r="2744" spans="22:22" ht="15.75" customHeight="1">
      <c r="V2744">
        <v>493</v>
      </c>
    </row>
    <row r="2745" spans="22:22" ht="15.75" customHeight="1">
      <c r="V2745">
        <v>494</v>
      </c>
    </row>
    <row r="2746" spans="22:22" ht="15.75" customHeight="1">
      <c r="V2746">
        <v>494</v>
      </c>
    </row>
    <row r="2747" spans="22:22" ht="15.75" customHeight="1">
      <c r="V2747">
        <v>495</v>
      </c>
    </row>
    <row r="2748" spans="22:22" ht="15.75" customHeight="1">
      <c r="V2748">
        <v>495</v>
      </c>
    </row>
    <row r="2749" spans="22:22" ht="15.75" customHeight="1">
      <c r="V2749">
        <v>495</v>
      </c>
    </row>
    <row r="2750" spans="22:22" ht="15.75" customHeight="1">
      <c r="V2750">
        <v>495</v>
      </c>
    </row>
    <row r="2751" spans="22:22" ht="15.75" customHeight="1">
      <c r="V2751">
        <v>495</v>
      </c>
    </row>
    <row r="2752" spans="22:22" ht="15.75" customHeight="1">
      <c r="V2752">
        <v>495</v>
      </c>
    </row>
    <row r="2753" spans="22:22" ht="15.75" customHeight="1">
      <c r="V2753">
        <v>495</v>
      </c>
    </row>
    <row r="2754" spans="22:22" ht="15.75" customHeight="1">
      <c r="V2754">
        <v>495</v>
      </c>
    </row>
    <row r="2755" spans="22:22" ht="15.75" customHeight="1">
      <c r="V2755">
        <v>496</v>
      </c>
    </row>
    <row r="2756" spans="22:22" ht="15.75" customHeight="1">
      <c r="V2756">
        <v>496</v>
      </c>
    </row>
    <row r="2757" spans="22:22" ht="15.75" customHeight="1">
      <c r="V2757">
        <v>496</v>
      </c>
    </row>
    <row r="2758" spans="22:22" ht="15.75" customHeight="1">
      <c r="V2758">
        <v>496</v>
      </c>
    </row>
    <row r="2759" spans="22:22" ht="15.75" customHeight="1">
      <c r="V2759">
        <v>496</v>
      </c>
    </row>
    <row r="2760" spans="22:22" ht="15.75" customHeight="1">
      <c r="V2760">
        <v>496</v>
      </c>
    </row>
    <row r="2761" spans="22:22" ht="15.75" customHeight="1">
      <c r="V2761">
        <v>496</v>
      </c>
    </row>
    <row r="2762" spans="22:22" ht="15.75" customHeight="1">
      <c r="V2762">
        <v>497</v>
      </c>
    </row>
    <row r="2763" spans="22:22" ht="15.75" customHeight="1">
      <c r="V2763">
        <v>497</v>
      </c>
    </row>
    <row r="2764" spans="22:22" ht="15.75" customHeight="1">
      <c r="V2764">
        <v>498</v>
      </c>
    </row>
    <row r="2765" spans="22:22" ht="15.75" customHeight="1">
      <c r="V2765">
        <v>498</v>
      </c>
    </row>
    <row r="2766" spans="22:22" ht="15.75" customHeight="1">
      <c r="V2766">
        <v>498</v>
      </c>
    </row>
    <row r="2767" spans="22:22" ht="15.75" customHeight="1">
      <c r="V2767">
        <v>499</v>
      </c>
    </row>
    <row r="2768" spans="22:22" ht="15.75" customHeight="1">
      <c r="V2768">
        <v>499</v>
      </c>
    </row>
    <row r="2769" spans="22:22" ht="15.75" customHeight="1">
      <c r="V2769">
        <v>499</v>
      </c>
    </row>
    <row r="2770" spans="22:22" ht="15.75" customHeight="1">
      <c r="V2770">
        <v>499</v>
      </c>
    </row>
    <row r="2771" spans="22:22" ht="15.75" customHeight="1">
      <c r="V2771">
        <v>499</v>
      </c>
    </row>
    <row r="2772" spans="22:22" ht="15.75" customHeight="1">
      <c r="V2772">
        <v>499</v>
      </c>
    </row>
    <row r="2773" spans="22:22" ht="15.75" customHeight="1">
      <c r="V2773">
        <v>499</v>
      </c>
    </row>
    <row r="2774" spans="22:22" ht="15.75" customHeight="1">
      <c r="V2774">
        <v>499</v>
      </c>
    </row>
    <row r="2775" spans="22:22" ht="15.75" customHeight="1">
      <c r="V2775">
        <v>500</v>
      </c>
    </row>
    <row r="2776" spans="22:22" ht="15.75" customHeight="1">
      <c r="V2776">
        <v>500</v>
      </c>
    </row>
    <row r="2777" spans="22:22" ht="15.75" customHeight="1">
      <c r="V2777">
        <v>500</v>
      </c>
    </row>
    <row r="2778" spans="22:22" ht="15.75" customHeight="1">
      <c r="V2778">
        <v>500</v>
      </c>
    </row>
    <row r="2779" spans="22:22" ht="15.75" customHeight="1">
      <c r="V2779">
        <v>500</v>
      </c>
    </row>
    <row r="2780" spans="22:22" ht="15.75" customHeight="1">
      <c r="V2780">
        <v>500</v>
      </c>
    </row>
    <row r="2781" spans="22:22" ht="15.75" customHeight="1">
      <c r="V2781">
        <v>500</v>
      </c>
    </row>
    <row r="2782" spans="22:22" ht="15.75" customHeight="1">
      <c r="V2782">
        <v>501</v>
      </c>
    </row>
    <row r="2783" spans="22:22" ht="15.75" customHeight="1">
      <c r="V2783">
        <v>502</v>
      </c>
    </row>
    <row r="2784" spans="22:22" ht="15.75" customHeight="1">
      <c r="V2784">
        <v>502</v>
      </c>
    </row>
    <row r="2785" spans="22:22" ht="15.75" customHeight="1">
      <c r="V2785">
        <v>502</v>
      </c>
    </row>
    <row r="2786" spans="22:22" ht="15.75" customHeight="1">
      <c r="V2786">
        <v>502</v>
      </c>
    </row>
    <row r="2787" spans="22:22" ht="15.75" customHeight="1">
      <c r="V2787">
        <v>502</v>
      </c>
    </row>
    <row r="2788" spans="22:22" ht="15.75" customHeight="1">
      <c r="V2788">
        <v>502</v>
      </c>
    </row>
    <row r="2789" spans="22:22" ht="15.75" customHeight="1">
      <c r="V2789">
        <v>502</v>
      </c>
    </row>
    <row r="2790" spans="22:22" ht="15.75" customHeight="1">
      <c r="V2790">
        <v>503</v>
      </c>
    </row>
    <row r="2791" spans="22:22" ht="15.75" customHeight="1">
      <c r="V2791">
        <v>503</v>
      </c>
    </row>
    <row r="2792" spans="22:22" ht="15.75" customHeight="1">
      <c r="V2792">
        <v>503</v>
      </c>
    </row>
    <row r="2793" spans="22:22" ht="15.75" customHeight="1">
      <c r="V2793">
        <v>503</v>
      </c>
    </row>
    <row r="2794" spans="22:22" ht="15.75" customHeight="1">
      <c r="V2794">
        <v>503</v>
      </c>
    </row>
    <row r="2795" spans="22:22" ht="15.75" customHeight="1">
      <c r="V2795">
        <v>503</v>
      </c>
    </row>
    <row r="2796" spans="22:22" ht="15.75" customHeight="1">
      <c r="V2796">
        <v>503</v>
      </c>
    </row>
    <row r="2797" spans="22:22" ht="15.75" customHeight="1">
      <c r="V2797">
        <v>503</v>
      </c>
    </row>
    <row r="2798" spans="22:22" ht="15.75" customHeight="1">
      <c r="V2798">
        <v>503</v>
      </c>
    </row>
    <row r="2799" spans="22:22" ht="15.75" customHeight="1">
      <c r="V2799">
        <v>503</v>
      </c>
    </row>
    <row r="2800" spans="22:22" ht="15.75" customHeight="1">
      <c r="V2800">
        <v>503</v>
      </c>
    </row>
    <row r="2801" spans="22:22" ht="15.75" customHeight="1">
      <c r="V2801">
        <v>503</v>
      </c>
    </row>
    <row r="2802" spans="22:22" ht="15.75" customHeight="1">
      <c r="V2802">
        <v>504</v>
      </c>
    </row>
    <row r="2803" spans="22:22" ht="15.75" customHeight="1">
      <c r="V2803">
        <v>505</v>
      </c>
    </row>
    <row r="2804" spans="22:22" ht="15.75" customHeight="1">
      <c r="V2804">
        <v>505</v>
      </c>
    </row>
    <row r="2805" spans="22:22" ht="15.75" customHeight="1">
      <c r="V2805">
        <v>505</v>
      </c>
    </row>
    <row r="2806" spans="22:22" ht="15.75" customHeight="1">
      <c r="V2806">
        <v>505</v>
      </c>
    </row>
    <row r="2807" spans="22:22" ht="15.75" customHeight="1">
      <c r="V2807">
        <v>505</v>
      </c>
    </row>
    <row r="2808" spans="22:22" ht="15.75" customHeight="1">
      <c r="V2808">
        <v>505</v>
      </c>
    </row>
    <row r="2809" spans="22:22" ht="15.75" customHeight="1">
      <c r="V2809">
        <v>505</v>
      </c>
    </row>
    <row r="2810" spans="22:22" ht="15.75" customHeight="1">
      <c r="V2810">
        <v>505</v>
      </c>
    </row>
    <row r="2811" spans="22:22" ht="15.75" customHeight="1">
      <c r="V2811">
        <v>505</v>
      </c>
    </row>
    <row r="2812" spans="22:22" ht="15.75" customHeight="1">
      <c r="V2812">
        <v>505</v>
      </c>
    </row>
    <row r="2813" spans="22:22" ht="15.75" customHeight="1">
      <c r="V2813">
        <v>505</v>
      </c>
    </row>
    <row r="2814" spans="22:22" ht="15.75" customHeight="1">
      <c r="V2814">
        <v>506</v>
      </c>
    </row>
    <row r="2815" spans="22:22" ht="15.75" customHeight="1">
      <c r="V2815">
        <v>506</v>
      </c>
    </row>
    <row r="2816" spans="22:22" ht="15.75" customHeight="1">
      <c r="V2816">
        <v>506</v>
      </c>
    </row>
    <row r="2817" spans="22:22" ht="15.75" customHeight="1">
      <c r="V2817">
        <v>506</v>
      </c>
    </row>
    <row r="2818" spans="22:22" ht="15.75" customHeight="1">
      <c r="V2818">
        <v>506</v>
      </c>
    </row>
    <row r="2819" spans="22:22" ht="15.75" customHeight="1">
      <c r="V2819">
        <v>506</v>
      </c>
    </row>
    <row r="2820" spans="22:22" ht="15.75" customHeight="1">
      <c r="V2820">
        <v>506</v>
      </c>
    </row>
    <row r="2821" spans="22:22" ht="15.75" customHeight="1">
      <c r="V2821">
        <v>506</v>
      </c>
    </row>
    <row r="2822" spans="22:22" ht="15.75" customHeight="1">
      <c r="V2822">
        <v>506</v>
      </c>
    </row>
    <row r="2823" spans="22:22" ht="15.75" customHeight="1">
      <c r="V2823">
        <v>506</v>
      </c>
    </row>
    <row r="2824" spans="22:22" ht="15.75" customHeight="1">
      <c r="V2824">
        <v>506</v>
      </c>
    </row>
    <row r="2825" spans="22:22" ht="15.75" customHeight="1">
      <c r="V2825">
        <v>506</v>
      </c>
    </row>
    <row r="2826" spans="22:22" ht="15.75" customHeight="1">
      <c r="V2826">
        <v>506</v>
      </c>
    </row>
    <row r="2827" spans="22:22" ht="15.75" customHeight="1">
      <c r="V2827">
        <v>506</v>
      </c>
    </row>
    <row r="2828" spans="22:22" ht="15.75" customHeight="1">
      <c r="V2828">
        <v>506</v>
      </c>
    </row>
    <row r="2829" spans="22:22" ht="15.75" customHeight="1">
      <c r="V2829">
        <v>506</v>
      </c>
    </row>
    <row r="2830" spans="22:22" ht="15.75" customHeight="1">
      <c r="V2830">
        <v>506</v>
      </c>
    </row>
    <row r="2831" spans="22:22" ht="15.75" customHeight="1">
      <c r="V2831">
        <v>507</v>
      </c>
    </row>
    <row r="2832" spans="22:22" ht="15.75" customHeight="1">
      <c r="V2832">
        <v>507</v>
      </c>
    </row>
    <row r="2833" spans="22:22" ht="15.75" customHeight="1">
      <c r="V2833">
        <v>507</v>
      </c>
    </row>
    <row r="2834" spans="22:22" ht="15.75" customHeight="1">
      <c r="V2834">
        <v>507</v>
      </c>
    </row>
    <row r="2835" spans="22:22" ht="15.75" customHeight="1">
      <c r="V2835">
        <v>508</v>
      </c>
    </row>
    <row r="2836" spans="22:22" ht="15.75" customHeight="1">
      <c r="V2836">
        <v>509</v>
      </c>
    </row>
    <row r="2837" spans="22:22" ht="15.75" customHeight="1">
      <c r="V2837">
        <v>509</v>
      </c>
    </row>
    <row r="2838" spans="22:22" ht="15.75" customHeight="1">
      <c r="V2838">
        <v>509</v>
      </c>
    </row>
    <row r="2839" spans="22:22" ht="15.75" customHeight="1">
      <c r="V2839">
        <v>509</v>
      </c>
    </row>
    <row r="2840" spans="22:22" ht="15.75" customHeight="1">
      <c r="V2840">
        <v>509</v>
      </c>
    </row>
    <row r="2841" spans="22:22" ht="15.75" customHeight="1">
      <c r="V2841">
        <v>509</v>
      </c>
    </row>
    <row r="2842" spans="22:22" ht="15.75" customHeight="1">
      <c r="V2842">
        <v>509</v>
      </c>
    </row>
    <row r="2843" spans="22:22" ht="15.75" customHeight="1">
      <c r="V2843">
        <v>509</v>
      </c>
    </row>
    <row r="2844" spans="22:22" ht="15.75" customHeight="1">
      <c r="V2844">
        <v>509</v>
      </c>
    </row>
    <row r="2845" spans="22:22" ht="15.75" customHeight="1">
      <c r="V2845">
        <v>510</v>
      </c>
    </row>
    <row r="2846" spans="22:22" ht="15.75" customHeight="1">
      <c r="V2846">
        <v>510</v>
      </c>
    </row>
    <row r="2847" spans="22:22" ht="15.75" customHeight="1">
      <c r="V2847">
        <v>510</v>
      </c>
    </row>
    <row r="2848" spans="22:22" ht="15.75" customHeight="1">
      <c r="V2848">
        <v>510</v>
      </c>
    </row>
    <row r="2849" spans="22:22" ht="15.75" customHeight="1">
      <c r="V2849">
        <v>510</v>
      </c>
    </row>
    <row r="2850" spans="22:22" ht="15.75" customHeight="1">
      <c r="V2850">
        <v>510</v>
      </c>
    </row>
    <row r="2851" spans="22:22" ht="15.75" customHeight="1">
      <c r="V2851">
        <v>511</v>
      </c>
    </row>
    <row r="2852" spans="22:22" ht="15.75" customHeight="1">
      <c r="V2852">
        <v>511</v>
      </c>
    </row>
    <row r="2853" spans="22:22" ht="15.75" customHeight="1">
      <c r="V2853">
        <v>511</v>
      </c>
    </row>
    <row r="2854" spans="22:22" ht="15.75" customHeight="1">
      <c r="V2854">
        <v>511</v>
      </c>
    </row>
    <row r="2855" spans="22:22" ht="15.75" customHeight="1">
      <c r="V2855">
        <v>511</v>
      </c>
    </row>
    <row r="2856" spans="22:22" ht="15.75" customHeight="1">
      <c r="V2856">
        <v>511</v>
      </c>
    </row>
    <row r="2857" spans="22:22" ht="15.75" customHeight="1">
      <c r="V2857">
        <v>511</v>
      </c>
    </row>
    <row r="2858" spans="22:22" ht="15.75" customHeight="1">
      <c r="V2858">
        <v>511</v>
      </c>
    </row>
    <row r="2859" spans="22:22" ht="15.75" customHeight="1">
      <c r="V2859">
        <v>511</v>
      </c>
    </row>
    <row r="2860" spans="22:22" ht="15.75" customHeight="1">
      <c r="V2860">
        <v>512</v>
      </c>
    </row>
    <row r="2861" spans="22:22" ht="15.75" customHeight="1">
      <c r="V2861">
        <v>513</v>
      </c>
    </row>
    <row r="2862" spans="22:22" ht="15.75" customHeight="1">
      <c r="V2862">
        <v>513</v>
      </c>
    </row>
    <row r="2863" spans="22:22" ht="15.75" customHeight="1">
      <c r="V2863">
        <v>513</v>
      </c>
    </row>
    <row r="2864" spans="22:22" ht="15.75" customHeight="1">
      <c r="V2864">
        <v>513</v>
      </c>
    </row>
    <row r="2865" spans="22:22" ht="15.75" customHeight="1">
      <c r="V2865">
        <v>513</v>
      </c>
    </row>
    <row r="2866" spans="22:22" ht="15.75" customHeight="1">
      <c r="V2866">
        <v>513</v>
      </c>
    </row>
    <row r="2867" spans="22:22" ht="15.75" customHeight="1">
      <c r="V2867">
        <v>513</v>
      </c>
    </row>
    <row r="2868" spans="22:22" ht="15.75" customHeight="1">
      <c r="V2868">
        <v>513</v>
      </c>
    </row>
    <row r="2869" spans="22:22" ht="15.75" customHeight="1">
      <c r="V2869">
        <v>513</v>
      </c>
    </row>
    <row r="2870" spans="22:22" ht="15.75" customHeight="1">
      <c r="V2870">
        <v>513</v>
      </c>
    </row>
    <row r="2871" spans="22:22" ht="15.75" customHeight="1">
      <c r="V2871">
        <v>513</v>
      </c>
    </row>
    <row r="2872" spans="22:22" ht="15.75" customHeight="1">
      <c r="V2872">
        <v>513</v>
      </c>
    </row>
    <row r="2873" spans="22:22" ht="15.75" customHeight="1">
      <c r="V2873">
        <v>513</v>
      </c>
    </row>
    <row r="2874" spans="22:22" ht="15.75" customHeight="1">
      <c r="V2874">
        <v>513</v>
      </c>
    </row>
    <row r="2875" spans="22:22" ht="15.75" customHeight="1">
      <c r="V2875">
        <v>513</v>
      </c>
    </row>
    <row r="2876" spans="22:22" ht="15.75" customHeight="1">
      <c r="V2876">
        <v>513</v>
      </c>
    </row>
    <row r="2877" spans="22:22" ht="15.75" customHeight="1">
      <c r="V2877">
        <v>513</v>
      </c>
    </row>
    <row r="2878" spans="22:22" ht="15.75" customHeight="1">
      <c r="V2878">
        <v>513</v>
      </c>
    </row>
    <row r="2879" spans="22:22" ht="15.75" customHeight="1">
      <c r="V2879">
        <v>513</v>
      </c>
    </row>
    <row r="2880" spans="22:22" ht="15.75" customHeight="1">
      <c r="V2880">
        <v>513</v>
      </c>
    </row>
    <row r="2881" spans="22:22" ht="15.75" customHeight="1">
      <c r="V2881">
        <v>513</v>
      </c>
    </row>
    <row r="2882" spans="22:22" ht="15.75" customHeight="1">
      <c r="V2882">
        <v>513</v>
      </c>
    </row>
    <row r="2883" spans="22:22" ht="15.75" customHeight="1">
      <c r="V2883">
        <v>513</v>
      </c>
    </row>
    <row r="2884" spans="22:22" ht="15.75" customHeight="1">
      <c r="V2884">
        <v>513</v>
      </c>
    </row>
    <row r="2885" spans="22:22" ht="15.75" customHeight="1">
      <c r="V2885">
        <v>513</v>
      </c>
    </row>
    <row r="2886" spans="22:22" ht="15.75" customHeight="1">
      <c r="V2886">
        <v>513</v>
      </c>
    </row>
    <row r="2887" spans="22:22" ht="15.75" customHeight="1">
      <c r="V2887">
        <v>513</v>
      </c>
    </row>
    <row r="2888" spans="22:22" ht="15.75" customHeight="1">
      <c r="V2888">
        <v>513</v>
      </c>
    </row>
    <row r="2889" spans="22:22" ht="15.75" customHeight="1">
      <c r="V2889">
        <v>513</v>
      </c>
    </row>
    <row r="2890" spans="22:22" ht="15.75" customHeight="1">
      <c r="V2890">
        <v>513</v>
      </c>
    </row>
    <row r="2891" spans="22:22" ht="15.75" customHeight="1">
      <c r="V2891">
        <v>513</v>
      </c>
    </row>
    <row r="2892" spans="22:22" ht="15.75" customHeight="1">
      <c r="V2892">
        <v>513</v>
      </c>
    </row>
    <row r="2893" spans="22:22" ht="15.75" customHeight="1">
      <c r="V2893">
        <v>514</v>
      </c>
    </row>
    <row r="2894" spans="22:22" ht="15.75" customHeight="1">
      <c r="V2894">
        <v>515</v>
      </c>
    </row>
    <row r="2895" spans="22:22" ht="15.75" customHeight="1">
      <c r="V2895">
        <v>516</v>
      </c>
    </row>
    <row r="2896" spans="22:22" ht="15.75" customHeight="1">
      <c r="V2896">
        <v>517</v>
      </c>
    </row>
    <row r="2897" spans="22:22" ht="15.75" customHeight="1">
      <c r="V2897">
        <v>517</v>
      </c>
    </row>
    <row r="2898" spans="22:22" ht="15.75" customHeight="1">
      <c r="V2898">
        <v>518</v>
      </c>
    </row>
    <row r="2899" spans="22:22" ht="15.75" customHeight="1">
      <c r="V2899">
        <v>519</v>
      </c>
    </row>
    <row r="2900" spans="22:22" ht="15.75" customHeight="1">
      <c r="V2900">
        <v>519</v>
      </c>
    </row>
    <row r="2901" spans="22:22" ht="15.75" customHeight="1">
      <c r="V2901">
        <v>519</v>
      </c>
    </row>
    <row r="2902" spans="22:22" ht="15.75" customHeight="1">
      <c r="V2902">
        <v>519</v>
      </c>
    </row>
    <row r="2903" spans="22:22" ht="15.75" customHeight="1">
      <c r="V2903">
        <v>519</v>
      </c>
    </row>
    <row r="2904" spans="22:22" ht="15.75" customHeight="1">
      <c r="V2904">
        <v>520</v>
      </c>
    </row>
    <row r="2905" spans="22:22" ht="15.75" customHeight="1">
      <c r="V2905">
        <v>520</v>
      </c>
    </row>
    <row r="2906" spans="22:22" ht="15.75" customHeight="1">
      <c r="V2906">
        <v>520</v>
      </c>
    </row>
    <row r="2907" spans="22:22" ht="15.75" customHeight="1">
      <c r="V2907">
        <v>520</v>
      </c>
    </row>
    <row r="2908" spans="22:22" ht="15.75" customHeight="1">
      <c r="V2908">
        <v>520</v>
      </c>
    </row>
    <row r="2909" spans="22:22" ht="15.75" customHeight="1">
      <c r="V2909">
        <v>520</v>
      </c>
    </row>
    <row r="2910" spans="22:22" ht="15.75" customHeight="1">
      <c r="V2910">
        <v>520</v>
      </c>
    </row>
    <row r="2911" spans="22:22" ht="15.75" customHeight="1">
      <c r="V2911">
        <v>520</v>
      </c>
    </row>
    <row r="2912" spans="22:22" ht="15.75" customHeight="1">
      <c r="V2912">
        <v>520</v>
      </c>
    </row>
    <row r="2913" spans="22:22" ht="15.75" customHeight="1">
      <c r="V2913">
        <v>520</v>
      </c>
    </row>
    <row r="2914" spans="22:22" ht="15.75" customHeight="1">
      <c r="V2914">
        <v>520</v>
      </c>
    </row>
    <row r="2915" spans="22:22" ht="15.75" customHeight="1">
      <c r="V2915">
        <v>520</v>
      </c>
    </row>
    <row r="2916" spans="22:22" ht="15.75" customHeight="1">
      <c r="V2916">
        <v>520</v>
      </c>
    </row>
    <row r="2917" spans="22:22" ht="15.75" customHeight="1">
      <c r="V2917">
        <v>520</v>
      </c>
    </row>
    <row r="2918" spans="22:22" ht="15.75" customHeight="1">
      <c r="V2918">
        <v>521</v>
      </c>
    </row>
    <row r="2919" spans="22:22" ht="15.75" customHeight="1">
      <c r="V2919">
        <v>521</v>
      </c>
    </row>
    <row r="2920" spans="22:22" ht="15.75" customHeight="1">
      <c r="V2920">
        <v>521</v>
      </c>
    </row>
    <row r="2921" spans="22:22" ht="15.75" customHeight="1">
      <c r="V2921">
        <v>522</v>
      </c>
    </row>
    <row r="2922" spans="22:22" ht="15.75" customHeight="1">
      <c r="V2922">
        <v>522</v>
      </c>
    </row>
    <row r="2923" spans="22:22" ht="15.75" customHeight="1">
      <c r="V2923">
        <v>523</v>
      </c>
    </row>
    <row r="2924" spans="22:22" ht="15.75" customHeight="1">
      <c r="V2924">
        <v>524</v>
      </c>
    </row>
    <row r="2925" spans="22:22" ht="15.75" customHeight="1">
      <c r="V2925">
        <v>524</v>
      </c>
    </row>
    <row r="2926" spans="22:22" ht="15.75" customHeight="1">
      <c r="V2926">
        <v>524</v>
      </c>
    </row>
    <row r="2927" spans="22:22" ht="15.75" customHeight="1">
      <c r="V2927">
        <v>524</v>
      </c>
    </row>
    <row r="2928" spans="22:22" ht="15.75" customHeight="1">
      <c r="V2928">
        <v>524</v>
      </c>
    </row>
    <row r="2929" spans="22:22" ht="15.75" customHeight="1">
      <c r="V2929">
        <v>524</v>
      </c>
    </row>
    <row r="2930" spans="22:22" ht="15.75" customHeight="1">
      <c r="V2930">
        <v>525</v>
      </c>
    </row>
    <row r="2931" spans="22:22" ht="15.75" customHeight="1">
      <c r="V2931">
        <v>525</v>
      </c>
    </row>
    <row r="2932" spans="22:22" ht="15.75" customHeight="1">
      <c r="V2932">
        <v>525</v>
      </c>
    </row>
    <row r="2933" spans="22:22" ht="15.75" customHeight="1">
      <c r="V2933">
        <v>525</v>
      </c>
    </row>
    <row r="2934" spans="22:22" ht="15.75" customHeight="1">
      <c r="V2934">
        <v>525</v>
      </c>
    </row>
    <row r="2935" spans="22:22" ht="15.75" customHeight="1">
      <c r="V2935">
        <v>525</v>
      </c>
    </row>
    <row r="2936" spans="22:22" ht="15.75" customHeight="1">
      <c r="V2936">
        <v>525</v>
      </c>
    </row>
    <row r="2937" spans="22:22" ht="15.75" customHeight="1">
      <c r="V2937">
        <v>525</v>
      </c>
    </row>
    <row r="2938" spans="22:22" ht="15.75" customHeight="1">
      <c r="V2938">
        <v>526</v>
      </c>
    </row>
    <row r="2939" spans="22:22" ht="15.75" customHeight="1">
      <c r="V2939">
        <v>526</v>
      </c>
    </row>
    <row r="2940" spans="22:22" ht="15.75" customHeight="1">
      <c r="V2940">
        <v>526</v>
      </c>
    </row>
    <row r="2941" spans="22:22" ht="15.75" customHeight="1">
      <c r="V2941">
        <v>527</v>
      </c>
    </row>
    <row r="2942" spans="22:22" ht="15.75" customHeight="1">
      <c r="V2942">
        <v>527</v>
      </c>
    </row>
    <row r="2943" spans="22:22" ht="15.75" customHeight="1">
      <c r="V2943">
        <v>528</v>
      </c>
    </row>
    <row r="2944" spans="22:22" ht="15.75" customHeight="1">
      <c r="V2944">
        <v>529</v>
      </c>
    </row>
    <row r="2945" spans="22:22" ht="15.75" customHeight="1">
      <c r="V2945">
        <v>530</v>
      </c>
    </row>
    <row r="2946" spans="22:22" ht="15.75" customHeight="1">
      <c r="V2946">
        <v>530</v>
      </c>
    </row>
    <row r="2947" spans="22:22" ht="15.75" customHeight="1">
      <c r="V2947">
        <v>530</v>
      </c>
    </row>
    <row r="2948" spans="22:22" ht="15.75" customHeight="1">
      <c r="V2948">
        <v>531</v>
      </c>
    </row>
    <row r="2949" spans="22:22" ht="15.75" customHeight="1">
      <c r="V2949">
        <v>531</v>
      </c>
    </row>
    <row r="2950" spans="22:22" ht="15.75" customHeight="1">
      <c r="V2950">
        <v>531</v>
      </c>
    </row>
    <row r="2951" spans="22:22" ht="15.75" customHeight="1">
      <c r="V2951">
        <v>531</v>
      </c>
    </row>
    <row r="2952" spans="22:22" ht="15.75" customHeight="1">
      <c r="V2952">
        <v>532</v>
      </c>
    </row>
    <row r="2953" spans="22:22" ht="15.75" customHeight="1">
      <c r="V2953">
        <v>532</v>
      </c>
    </row>
    <row r="2954" spans="22:22" ht="15.75" customHeight="1">
      <c r="V2954">
        <v>532</v>
      </c>
    </row>
    <row r="2955" spans="22:22" ht="15.75" customHeight="1">
      <c r="V2955">
        <v>533</v>
      </c>
    </row>
    <row r="2956" spans="22:22" ht="15.75" customHeight="1">
      <c r="V2956">
        <v>534</v>
      </c>
    </row>
    <row r="2957" spans="22:22" ht="15.75" customHeight="1">
      <c r="V2957">
        <v>534</v>
      </c>
    </row>
    <row r="2958" spans="22:22" ht="15.75" customHeight="1">
      <c r="V2958">
        <v>534</v>
      </c>
    </row>
    <row r="2959" spans="22:22" ht="15.75" customHeight="1">
      <c r="V2959">
        <v>534</v>
      </c>
    </row>
    <row r="2960" spans="22:22" ht="15.75" customHeight="1">
      <c r="V2960">
        <v>534</v>
      </c>
    </row>
    <row r="2961" spans="22:22" ht="15.75" customHeight="1">
      <c r="V2961">
        <v>534</v>
      </c>
    </row>
    <row r="2962" spans="22:22" ht="15.75" customHeight="1">
      <c r="V2962">
        <v>534</v>
      </c>
    </row>
    <row r="2963" spans="22:22" ht="15.75" customHeight="1">
      <c r="V2963">
        <v>534</v>
      </c>
    </row>
    <row r="2964" spans="22:22" ht="15.75" customHeight="1">
      <c r="V2964">
        <v>534</v>
      </c>
    </row>
    <row r="2965" spans="22:22" ht="15.75" customHeight="1">
      <c r="V2965">
        <v>534</v>
      </c>
    </row>
    <row r="2966" spans="22:22" ht="15.75" customHeight="1">
      <c r="V2966">
        <v>534</v>
      </c>
    </row>
    <row r="2967" spans="22:22" ht="15.75" customHeight="1">
      <c r="V2967">
        <v>534</v>
      </c>
    </row>
    <row r="2968" spans="22:22" ht="15.75" customHeight="1">
      <c r="V2968">
        <v>534</v>
      </c>
    </row>
    <row r="2969" spans="22:22" ht="15.75" customHeight="1">
      <c r="V2969">
        <v>534</v>
      </c>
    </row>
    <row r="2970" spans="22:22" ht="15.75" customHeight="1">
      <c r="V2970">
        <v>534</v>
      </c>
    </row>
    <row r="2971" spans="22:22" ht="15.75" customHeight="1">
      <c r="V2971">
        <v>534</v>
      </c>
    </row>
    <row r="2972" spans="22:22" ht="15.75" customHeight="1">
      <c r="V2972">
        <v>534</v>
      </c>
    </row>
    <row r="2973" spans="22:22" ht="15.75" customHeight="1">
      <c r="V2973">
        <v>534</v>
      </c>
    </row>
    <row r="2974" spans="22:22" ht="15.75" customHeight="1">
      <c r="V2974">
        <v>534</v>
      </c>
    </row>
    <row r="2975" spans="22:22" ht="15.75" customHeight="1">
      <c r="V2975">
        <v>534</v>
      </c>
    </row>
    <row r="2976" spans="22:22" ht="15.75" customHeight="1">
      <c r="V2976">
        <v>534</v>
      </c>
    </row>
    <row r="2977" spans="22:22" ht="15.75" customHeight="1">
      <c r="V2977">
        <v>534</v>
      </c>
    </row>
    <row r="2978" spans="22:22" ht="15.75" customHeight="1">
      <c r="V2978">
        <v>534</v>
      </c>
    </row>
    <row r="2979" spans="22:22" ht="15.75" customHeight="1">
      <c r="V2979">
        <v>534</v>
      </c>
    </row>
    <row r="2980" spans="22:22" ht="15.75" customHeight="1">
      <c r="V2980">
        <v>534</v>
      </c>
    </row>
    <row r="2981" spans="22:22" ht="15.75" customHeight="1">
      <c r="V2981">
        <v>535</v>
      </c>
    </row>
    <row r="2982" spans="22:22" ht="15.75" customHeight="1">
      <c r="V2982">
        <v>536</v>
      </c>
    </row>
    <row r="2983" spans="22:22" ht="15.75" customHeight="1">
      <c r="V2983">
        <v>536</v>
      </c>
    </row>
    <row r="2984" spans="22:22" ht="15.75" customHeight="1">
      <c r="V2984">
        <v>536</v>
      </c>
    </row>
    <row r="2985" spans="22:22" ht="15.75" customHeight="1">
      <c r="V2985">
        <v>536</v>
      </c>
    </row>
    <row r="2986" spans="22:22" ht="15.75" customHeight="1">
      <c r="V2986">
        <v>536</v>
      </c>
    </row>
    <row r="2987" spans="22:22" ht="15.75" customHeight="1">
      <c r="V2987">
        <v>536</v>
      </c>
    </row>
    <row r="2988" spans="22:22" ht="15.75" customHeight="1">
      <c r="V2988">
        <v>536</v>
      </c>
    </row>
    <row r="2989" spans="22:22" ht="15.75" customHeight="1">
      <c r="V2989">
        <v>536</v>
      </c>
    </row>
    <row r="2990" spans="22:22" ht="15.75" customHeight="1">
      <c r="V2990">
        <v>536</v>
      </c>
    </row>
    <row r="2991" spans="22:22" ht="15.75" customHeight="1">
      <c r="V2991">
        <v>536</v>
      </c>
    </row>
    <row r="2992" spans="22:22" ht="15.75" customHeight="1">
      <c r="V2992">
        <v>536</v>
      </c>
    </row>
    <row r="2993" spans="22:22" ht="15.75" customHeight="1">
      <c r="V2993">
        <v>537</v>
      </c>
    </row>
    <row r="2994" spans="22:22" ht="15.75" customHeight="1">
      <c r="V2994">
        <v>537</v>
      </c>
    </row>
    <row r="2995" spans="22:22" ht="15.75" customHeight="1">
      <c r="V2995">
        <v>537</v>
      </c>
    </row>
    <row r="2996" spans="22:22" ht="15.75" customHeight="1">
      <c r="V2996">
        <v>537</v>
      </c>
    </row>
    <row r="2997" spans="22:22" ht="15.75" customHeight="1">
      <c r="V2997">
        <v>537</v>
      </c>
    </row>
    <row r="2998" spans="22:22" ht="15.75" customHeight="1">
      <c r="V2998">
        <v>537</v>
      </c>
    </row>
    <row r="2999" spans="22:22" ht="15.75" customHeight="1">
      <c r="V2999">
        <v>537</v>
      </c>
    </row>
    <row r="3000" spans="22:22" ht="15.75" customHeight="1">
      <c r="V3000">
        <v>537</v>
      </c>
    </row>
    <row r="3001" spans="22:22" ht="15.75" customHeight="1">
      <c r="V3001">
        <v>537</v>
      </c>
    </row>
    <row r="3002" spans="22:22" ht="15.75" customHeight="1">
      <c r="V3002">
        <v>537</v>
      </c>
    </row>
    <row r="3003" spans="22:22" ht="15.75" customHeight="1">
      <c r="V3003">
        <v>537</v>
      </c>
    </row>
    <row r="3004" spans="22:22" ht="15.75" customHeight="1">
      <c r="V3004">
        <v>537</v>
      </c>
    </row>
    <row r="3005" spans="22:22" ht="15.75" customHeight="1">
      <c r="V3005">
        <v>537</v>
      </c>
    </row>
    <row r="3006" spans="22:22" ht="15.75" customHeight="1">
      <c r="V3006">
        <v>537</v>
      </c>
    </row>
    <row r="3007" spans="22:22" ht="15.75" customHeight="1">
      <c r="V3007">
        <v>538</v>
      </c>
    </row>
    <row r="3008" spans="22:22" ht="15.75" customHeight="1">
      <c r="V3008">
        <v>538</v>
      </c>
    </row>
    <row r="3009" spans="22:22" ht="15.75" customHeight="1">
      <c r="V3009">
        <v>538</v>
      </c>
    </row>
    <row r="3010" spans="22:22" ht="15.75" customHeight="1">
      <c r="V3010">
        <v>539</v>
      </c>
    </row>
    <row r="3011" spans="22:22" ht="15.75" customHeight="1">
      <c r="V3011">
        <v>540</v>
      </c>
    </row>
    <row r="3012" spans="22:22" ht="15.75" customHeight="1">
      <c r="V3012">
        <v>540</v>
      </c>
    </row>
    <row r="3013" spans="22:22" ht="15.75" customHeight="1">
      <c r="V3013">
        <v>540</v>
      </c>
    </row>
    <row r="3014" spans="22:22" ht="15.75" customHeight="1">
      <c r="V3014">
        <v>540</v>
      </c>
    </row>
    <row r="3015" spans="22:22" ht="15.75" customHeight="1">
      <c r="V3015">
        <v>540</v>
      </c>
    </row>
    <row r="3016" spans="22:22" ht="15.75" customHeight="1">
      <c r="V3016">
        <v>540</v>
      </c>
    </row>
    <row r="3017" spans="22:22" ht="15.75" customHeight="1">
      <c r="V3017">
        <v>540</v>
      </c>
    </row>
    <row r="3018" spans="22:22" ht="15.75" customHeight="1">
      <c r="V3018">
        <v>541</v>
      </c>
    </row>
    <row r="3019" spans="22:22" ht="15.75" customHeight="1">
      <c r="V3019">
        <v>541</v>
      </c>
    </row>
    <row r="3020" spans="22:22" ht="15.75" customHeight="1">
      <c r="V3020">
        <v>541</v>
      </c>
    </row>
    <row r="3021" spans="22:22" ht="15.75" customHeight="1">
      <c r="V3021">
        <v>541</v>
      </c>
    </row>
    <row r="3022" spans="22:22" ht="15.75" customHeight="1">
      <c r="V3022">
        <v>542</v>
      </c>
    </row>
    <row r="3023" spans="22:22" ht="15.75" customHeight="1">
      <c r="V3023">
        <v>542</v>
      </c>
    </row>
    <row r="3024" spans="22:22" ht="15.75" customHeight="1">
      <c r="V3024">
        <v>542</v>
      </c>
    </row>
    <row r="3025" spans="22:22" ht="15.75" customHeight="1">
      <c r="V3025">
        <v>542</v>
      </c>
    </row>
    <row r="3026" spans="22:22" ht="15.75" customHeight="1">
      <c r="V3026">
        <v>542</v>
      </c>
    </row>
    <row r="3027" spans="22:22" ht="15.75" customHeight="1">
      <c r="V3027">
        <v>542</v>
      </c>
    </row>
    <row r="3028" spans="22:22" ht="15.75" customHeight="1">
      <c r="V3028">
        <v>542</v>
      </c>
    </row>
    <row r="3029" spans="22:22" ht="15.75" customHeight="1">
      <c r="V3029">
        <v>542</v>
      </c>
    </row>
    <row r="3030" spans="22:22" ht="15.75" customHeight="1">
      <c r="V3030">
        <v>542</v>
      </c>
    </row>
    <row r="3031" spans="22:22" ht="15.75" customHeight="1">
      <c r="V3031">
        <v>542</v>
      </c>
    </row>
    <row r="3032" spans="22:22" ht="15.75" customHeight="1">
      <c r="V3032">
        <v>542</v>
      </c>
    </row>
    <row r="3033" spans="22:22" ht="15.75" customHeight="1">
      <c r="V3033">
        <v>543</v>
      </c>
    </row>
    <row r="3034" spans="22:22" ht="15.75" customHeight="1">
      <c r="V3034">
        <v>544</v>
      </c>
    </row>
    <row r="3035" spans="22:22" ht="15.75" customHeight="1">
      <c r="V3035">
        <v>544</v>
      </c>
    </row>
    <row r="3036" spans="22:22" ht="15.75" customHeight="1">
      <c r="V3036">
        <v>544</v>
      </c>
    </row>
    <row r="3037" spans="22:22" ht="15.75" customHeight="1">
      <c r="V3037">
        <v>545</v>
      </c>
    </row>
    <row r="3038" spans="22:22" ht="15.75" customHeight="1">
      <c r="V3038">
        <v>545</v>
      </c>
    </row>
    <row r="3039" spans="22:22" ht="15.75" customHeight="1">
      <c r="V3039">
        <v>545</v>
      </c>
    </row>
    <row r="3040" spans="22:22" ht="15.75" customHeight="1">
      <c r="V3040">
        <v>545</v>
      </c>
    </row>
    <row r="3041" spans="22:22" ht="15.75" customHeight="1">
      <c r="V3041">
        <v>545</v>
      </c>
    </row>
    <row r="3042" spans="22:22" ht="15.75" customHeight="1">
      <c r="V3042">
        <v>545</v>
      </c>
    </row>
    <row r="3043" spans="22:22" ht="15.75" customHeight="1">
      <c r="V3043">
        <v>545</v>
      </c>
    </row>
    <row r="3044" spans="22:22" ht="15.75" customHeight="1">
      <c r="V3044">
        <v>546</v>
      </c>
    </row>
    <row r="3045" spans="22:22" ht="15.75" customHeight="1">
      <c r="V3045">
        <v>546</v>
      </c>
    </row>
    <row r="3046" spans="22:22" ht="15.75" customHeight="1">
      <c r="V3046">
        <v>547</v>
      </c>
    </row>
    <row r="3047" spans="22:22" ht="15.75" customHeight="1">
      <c r="V3047">
        <v>547</v>
      </c>
    </row>
    <row r="3048" spans="22:22" ht="15.75" customHeight="1">
      <c r="V3048">
        <v>548</v>
      </c>
    </row>
    <row r="3049" spans="22:22" ht="15.75" customHeight="1">
      <c r="V3049">
        <v>548</v>
      </c>
    </row>
    <row r="3050" spans="22:22" ht="15.75" customHeight="1">
      <c r="V3050">
        <v>549</v>
      </c>
    </row>
    <row r="3051" spans="22:22" ht="15.75" customHeight="1">
      <c r="V3051">
        <v>550</v>
      </c>
    </row>
    <row r="3052" spans="22:22" ht="15.75" customHeight="1">
      <c r="V3052">
        <v>551</v>
      </c>
    </row>
    <row r="3053" spans="22:22" ht="15.75" customHeight="1">
      <c r="V3053">
        <v>551</v>
      </c>
    </row>
    <row r="3054" spans="22:22" ht="15.75" customHeight="1">
      <c r="V3054">
        <v>551</v>
      </c>
    </row>
    <row r="3055" spans="22:22" ht="15.75" customHeight="1">
      <c r="V3055">
        <v>552</v>
      </c>
    </row>
    <row r="3056" spans="22:22" ht="15.75" customHeight="1">
      <c r="V3056">
        <v>552</v>
      </c>
    </row>
    <row r="3057" spans="22:22" ht="15.75" customHeight="1">
      <c r="V3057">
        <v>552</v>
      </c>
    </row>
    <row r="3058" spans="22:22" ht="15.75" customHeight="1">
      <c r="V3058">
        <v>552</v>
      </c>
    </row>
    <row r="3059" spans="22:22" ht="15.75" customHeight="1">
      <c r="V3059">
        <v>552</v>
      </c>
    </row>
    <row r="3060" spans="22:22" ht="15.75" customHeight="1">
      <c r="V3060">
        <v>552</v>
      </c>
    </row>
    <row r="3061" spans="22:22" ht="15.75" customHeight="1">
      <c r="V3061">
        <v>552</v>
      </c>
    </row>
    <row r="3062" spans="22:22" ht="15.75" customHeight="1">
      <c r="V3062">
        <v>552</v>
      </c>
    </row>
    <row r="3063" spans="22:22" ht="15.75" customHeight="1">
      <c r="V3063">
        <v>552</v>
      </c>
    </row>
    <row r="3064" spans="22:22" ht="15.75" customHeight="1">
      <c r="V3064">
        <v>552</v>
      </c>
    </row>
    <row r="3065" spans="22:22" ht="15.75" customHeight="1">
      <c r="V3065">
        <v>552</v>
      </c>
    </row>
    <row r="3066" spans="22:22" ht="15.75" customHeight="1">
      <c r="V3066">
        <v>552</v>
      </c>
    </row>
    <row r="3067" spans="22:22" ht="15.75" customHeight="1">
      <c r="V3067">
        <v>552</v>
      </c>
    </row>
    <row r="3068" spans="22:22" ht="15.75" customHeight="1">
      <c r="V3068">
        <v>552</v>
      </c>
    </row>
    <row r="3069" spans="22:22" ht="15.75" customHeight="1">
      <c r="V3069">
        <v>552</v>
      </c>
    </row>
    <row r="3070" spans="22:22" ht="15.75" customHeight="1">
      <c r="V3070">
        <v>552</v>
      </c>
    </row>
    <row r="3071" spans="22:22" ht="15.75" customHeight="1">
      <c r="V3071">
        <v>552</v>
      </c>
    </row>
    <row r="3072" spans="22:22" ht="15.75" customHeight="1">
      <c r="V3072">
        <v>552</v>
      </c>
    </row>
    <row r="3073" spans="22:22" ht="15.75" customHeight="1">
      <c r="V3073">
        <v>552</v>
      </c>
    </row>
    <row r="3074" spans="22:22" ht="15.75" customHeight="1">
      <c r="V3074">
        <v>552</v>
      </c>
    </row>
    <row r="3075" spans="22:22" ht="15.75" customHeight="1">
      <c r="V3075">
        <v>553</v>
      </c>
    </row>
    <row r="3076" spans="22:22" ht="15.75" customHeight="1">
      <c r="V3076">
        <v>553</v>
      </c>
    </row>
    <row r="3077" spans="22:22" ht="15.75" customHeight="1">
      <c r="V3077">
        <v>553</v>
      </c>
    </row>
    <row r="3078" spans="22:22" ht="15.75" customHeight="1">
      <c r="V3078">
        <v>553</v>
      </c>
    </row>
    <row r="3079" spans="22:22" ht="15.75" customHeight="1">
      <c r="V3079">
        <v>553</v>
      </c>
    </row>
    <row r="3080" spans="22:22" ht="15.75" customHeight="1">
      <c r="V3080">
        <v>553</v>
      </c>
    </row>
    <row r="3081" spans="22:22" ht="15.75" customHeight="1">
      <c r="V3081">
        <v>553</v>
      </c>
    </row>
    <row r="3082" spans="22:22" ht="15.75" customHeight="1">
      <c r="V3082">
        <v>553</v>
      </c>
    </row>
    <row r="3083" spans="22:22" ht="15.75" customHeight="1">
      <c r="V3083">
        <v>554</v>
      </c>
    </row>
    <row r="3084" spans="22:22" ht="15.75" customHeight="1">
      <c r="V3084">
        <v>555</v>
      </c>
    </row>
    <row r="3085" spans="22:22" ht="15.75" customHeight="1">
      <c r="V3085">
        <v>556</v>
      </c>
    </row>
    <row r="3086" spans="22:22" ht="15.75" customHeight="1">
      <c r="V3086">
        <v>556</v>
      </c>
    </row>
    <row r="3087" spans="22:22" ht="15.75" customHeight="1">
      <c r="V3087">
        <v>556</v>
      </c>
    </row>
    <row r="3088" spans="22:22" ht="15.75" customHeight="1">
      <c r="V3088">
        <v>556</v>
      </c>
    </row>
    <row r="3089" spans="22:22" ht="15.75" customHeight="1">
      <c r="V3089">
        <v>557</v>
      </c>
    </row>
    <row r="3090" spans="22:22" ht="15.75" customHeight="1">
      <c r="V3090">
        <v>557</v>
      </c>
    </row>
    <row r="3091" spans="22:22" ht="15.75" customHeight="1">
      <c r="V3091">
        <v>557</v>
      </c>
    </row>
    <row r="3092" spans="22:22" ht="15.75" customHeight="1">
      <c r="V3092">
        <v>558</v>
      </c>
    </row>
    <row r="3093" spans="22:22" ht="15.75" customHeight="1">
      <c r="V3093">
        <v>558</v>
      </c>
    </row>
    <row r="3094" spans="22:22" ht="15.75" customHeight="1">
      <c r="V3094">
        <v>558</v>
      </c>
    </row>
    <row r="3095" spans="22:22" ht="15.75" customHeight="1">
      <c r="V3095">
        <v>558</v>
      </c>
    </row>
    <row r="3096" spans="22:22" ht="15.75" customHeight="1">
      <c r="V3096">
        <v>559</v>
      </c>
    </row>
    <row r="3097" spans="22:22" ht="15.75" customHeight="1">
      <c r="V3097">
        <v>559</v>
      </c>
    </row>
    <row r="3098" spans="22:22" ht="15.75" customHeight="1">
      <c r="V3098">
        <v>559</v>
      </c>
    </row>
    <row r="3099" spans="22:22" ht="15.75" customHeight="1">
      <c r="V3099">
        <v>559</v>
      </c>
    </row>
    <row r="3100" spans="22:22" ht="15.75" customHeight="1">
      <c r="V3100">
        <v>560</v>
      </c>
    </row>
    <row r="3101" spans="22:22" ht="15.75" customHeight="1">
      <c r="V3101">
        <v>561</v>
      </c>
    </row>
    <row r="3102" spans="22:22" ht="15.75" customHeight="1">
      <c r="V3102">
        <v>561</v>
      </c>
    </row>
    <row r="3103" spans="22:22" ht="15.75" customHeight="1">
      <c r="V3103">
        <v>561</v>
      </c>
    </row>
    <row r="3104" spans="22:22" ht="15.75" customHeight="1">
      <c r="V3104">
        <v>561</v>
      </c>
    </row>
    <row r="3105" spans="22:22" ht="15.75" customHeight="1">
      <c r="V3105">
        <v>561</v>
      </c>
    </row>
    <row r="3106" spans="22:22" ht="15.75" customHeight="1">
      <c r="V3106">
        <v>561</v>
      </c>
    </row>
    <row r="3107" spans="22:22" ht="15.75" customHeight="1">
      <c r="V3107">
        <v>561</v>
      </c>
    </row>
    <row r="3108" spans="22:22" ht="15.75" customHeight="1">
      <c r="V3108">
        <v>561</v>
      </c>
    </row>
    <row r="3109" spans="22:22" ht="15.75" customHeight="1">
      <c r="V3109">
        <v>561</v>
      </c>
    </row>
    <row r="3110" spans="22:22" ht="15.75" customHeight="1">
      <c r="V3110">
        <v>561</v>
      </c>
    </row>
    <row r="3111" spans="22:22" ht="15.75" customHeight="1">
      <c r="V3111">
        <v>562</v>
      </c>
    </row>
    <row r="3112" spans="22:22" ht="15.75" customHeight="1">
      <c r="V3112">
        <v>563</v>
      </c>
    </row>
    <row r="3113" spans="22:22" ht="15.75" customHeight="1">
      <c r="V3113">
        <v>563</v>
      </c>
    </row>
    <row r="3114" spans="22:22" ht="15.75" customHeight="1">
      <c r="V3114">
        <v>564</v>
      </c>
    </row>
    <row r="3115" spans="22:22" ht="15.75" customHeight="1">
      <c r="V3115">
        <v>564</v>
      </c>
    </row>
    <row r="3116" spans="22:22" ht="15.75" customHeight="1">
      <c r="V3116">
        <v>564</v>
      </c>
    </row>
    <row r="3117" spans="22:22" ht="15.75" customHeight="1">
      <c r="V3117">
        <v>564</v>
      </c>
    </row>
    <row r="3118" spans="22:22" ht="15.75" customHeight="1">
      <c r="V3118">
        <v>564</v>
      </c>
    </row>
    <row r="3119" spans="22:22" ht="15.75" customHeight="1">
      <c r="V3119">
        <v>564</v>
      </c>
    </row>
    <row r="3120" spans="22:22" ht="15.75" customHeight="1">
      <c r="V3120">
        <v>564</v>
      </c>
    </row>
    <row r="3121" spans="22:22" ht="15.75" customHeight="1">
      <c r="V3121">
        <v>564</v>
      </c>
    </row>
    <row r="3122" spans="22:22" ht="15.75" customHeight="1">
      <c r="V3122">
        <v>564</v>
      </c>
    </row>
    <row r="3123" spans="22:22" ht="15.75" customHeight="1">
      <c r="V3123">
        <v>564</v>
      </c>
    </row>
    <row r="3124" spans="22:22" ht="15.75" customHeight="1">
      <c r="V3124">
        <v>564</v>
      </c>
    </row>
    <row r="3125" spans="22:22" ht="15.75" customHeight="1">
      <c r="V3125">
        <v>564</v>
      </c>
    </row>
    <row r="3126" spans="22:22" ht="15.75" customHeight="1">
      <c r="V3126">
        <v>564</v>
      </c>
    </row>
    <row r="3127" spans="22:22" ht="15.75" customHeight="1">
      <c r="V3127">
        <v>564</v>
      </c>
    </row>
    <row r="3128" spans="22:22" ht="15.75" customHeight="1">
      <c r="V3128">
        <v>564</v>
      </c>
    </row>
    <row r="3129" spans="22:22" ht="15.75" customHeight="1">
      <c r="V3129">
        <v>564</v>
      </c>
    </row>
    <row r="3130" spans="22:22" ht="15.75" customHeight="1">
      <c r="V3130">
        <v>564</v>
      </c>
    </row>
    <row r="3131" spans="22:22" ht="15.75" customHeight="1">
      <c r="V3131">
        <v>564</v>
      </c>
    </row>
    <row r="3132" spans="22:22" ht="15.75" customHeight="1">
      <c r="V3132">
        <v>564</v>
      </c>
    </row>
    <row r="3133" spans="22:22" ht="15.75" customHeight="1">
      <c r="V3133">
        <v>564</v>
      </c>
    </row>
    <row r="3134" spans="22:22" ht="15.75" customHeight="1">
      <c r="V3134">
        <v>564</v>
      </c>
    </row>
    <row r="3135" spans="22:22" ht="15.75" customHeight="1">
      <c r="V3135">
        <v>564</v>
      </c>
    </row>
    <row r="3136" spans="22:22" ht="15.75" customHeight="1">
      <c r="V3136">
        <v>564</v>
      </c>
    </row>
    <row r="3137" spans="22:22" ht="15.75" customHeight="1">
      <c r="V3137">
        <v>564</v>
      </c>
    </row>
    <row r="3138" spans="22:22" ht="15.75" customHeight="1">
      <c r="V3138">
        <v>564</v>
      </c>
    </row>
    <row r="3139" spans="22:22" ht="15.75" customHeight="1">
      <c r="V3139">
        <v>564</v>
      </c>
    </row>
    <row r="3140" spans="22:22" ht="15.75" customHeight="1">
      <c r="V3140">
        <v>564</v>
      </c>
    </row>
    <row r="3141" spans="22:22" ht="15.75" customHeight="1">
      <c r="V3141">
        <v>564</v>
      </c>
    </row>
    <row r="3142" spans="22:22" ht="15.75" customHeight="1">
      <c r="V3142">
        <v>564</v>
      </c>
    </row>
    <row r="3143" spans="22:22" ht="15.75" customHeight="1">
      <c r="V3143">
        <v>564</v>
      </c>
    </row>
    <row r="3144" spans="22:22" ht="15.75" customHeight="1">
      <c r="V3144">
        <v>564</v>
      </c>
    </row>
    <row r="3145" spans="22:22" ht="15.75" customHeight="1">
      <c r="V3145">
        <v>564</v>
      </c>
    </row>
    <row r="3146" spans="22:22" ht="15.75" customHeight="1">
      <c r="V3146">
        <v>564</v>
      </c>
    </row>
    <row r="3147" spans="22:22" ht="15.75" customHeight="1">
      <c r="V3147">
        <v>564</v>
      </c>
    </row>
    <row r="3148" spans="22:22" ht="15.75" customHeight="1">
      <c r="V3148">
        <v>564</v>
      </c>
    </row>
    <row r="3149" spans="22:22" ht="15.75" customHeight="1">
      <c r="V3149">
        <v>564</v>
      </c>
    </row>
    <row r="3150" spans="22:22" ht="15.75" customHeight="1">
      <c r="V3150">
        <v>564</v>
      </c>
    </row>
    <row r="3151" spans="22:22" ht="15.75" customHeight="1">
      <c r="V3151">
        <v>564</v>
      </c>
    </row>
    <row r="3152" spans="22:22" ht="15.75" customHeight="1">
      <c r="V3152">
        <v>564</v>
      </c>
    </row>
    <row r="3153" spans="22:22" ht="15.75" customHeight="1">
      <c r="V3153">
        <v>564</v>
      </c>
    </row>
    <row r="3154" spans="22:22" ht="15.75" customHeight="1">
      <c r="V3154">
        <v>564</v>
      </c>
    </row>
    <row r="3155" spans="22:22" ht="15.75" customHeight="1">
      <c r="V3155">
        <v>564</v>
      </c>
    </row>
    <row r="3156" spans="22:22" ht="15.75" customHeight="1">
      <c r="V3156">
        <v>564</v>
      </c>
    </row>
    <row r="3157" spans="22:22" ht="15.75" customHeight="1">
      <c r="V3157">
        <v>564</v>
      </c>
    </row>
    <row r="3158" spans="22:22" ht="15.75" customHeight="1">
      <c r="V3158">
        <v>564</v>
      </c>
    </row>
    <row r="3159" spans="22:22" ht="15.75" customHeight="1">
      <c r="V3159">
        <v>564</v>
      </c>
    </row>
    <row r="3160" spans="22:22" ht="15.75" customHeight="1">
      <c r="V3160">
        <v>564</v>
      </c>
    </row>
    <row r="3161" spans="22:22" ht="15.75" customHeight="1">
      <c r="V3161">
        <v>564</v>
      </c>
    </row>
    <row r="3162" spans="22:22" ht="15.75" customHeight="1">
      <c r="V3162">
        <v>564</v>
      </c>
    </row>
    <row r="3163" spans="22:22" ht="15.75" customHeight="1">
      <c r="V3163">
        <v>564</v>
      </c>
    </row>
    <row r="3164" spans="22:22" ht="15.75" customHeight="1">
      <c r="V3164">
        <v>564</v>
      </c>
    </row>
    <row r="3165" spans="22:22" ht="15.75" customHeight="1">
      <c r="V3165">
        <v>564</v>
      </c>
    </row>
    <row r="3166" spans="22:22" ht="15.75" customHeight="1">
      <c r="V3166">
        <v>564</v>
      </c>
    </row>
    <row r="3167" spans="22:22" ht="15.75" customHeight="1">
      <c r="V3167">
        <v>564</v>
      </c>
    </row>
    <row r="3168" spans="22:22" ht="15.75" customHeight="1">
      <c r="V3168">
        <v>564</v>
      </c>
    </row>
    <row r="3169" spans="22:22" ht="15.75" customHeight="1">
      <c r="V3169">
        <v>564</v>
      </c>
    </row>
    <row r="3170" spans="22:22" ht="15.75" customHeight="1">
      <c r="V3170">
        <v>564</v>
      </c>
    </row>
    <row r="3171" spans="22:22" ht="15.75" customHeight="1">
      <c r="V3171">
        <v>564</v>
      </c>
    </row>
    <row r="3172" spans="22:22" ht="15.75" customHeight="1">
      <c r="V3172">
        <v>564</v>
      </c>
    </row>
    <row r="3173" spans="22:22" ht="15.75" customHeight="1">
      <c r="V3173">
        <v>564</v>
      </c>
    </row>
    <row r="3174" spans="22:22" ht="15.75" customHeight="1">
      <c r="V3174">
        <v>564</v>
      </c>
    </row>
    <row r="3175" spans="22:22" ht="15.75" customHeight="1">
      <c r="V3175">
        <v>565</v>
      </c>
    </row>
    <row r="3176" spans="22:22" ht="15.75" customHeight="1">
      <c r="V3176">
        <v>565</v>
      </c>
    </row>
    <row r="3177" spans="22:22" ht="15.75" customHeight="1">
      <c r="V3177">
        <v>565</v>
      </c>
    </row>
    <row r="3178" spans="22:22" ht="15.75" customHeight="1">
      <c r="V3178">
        <v>566</v>
      </c>
    </row>
    <row r="3179" spans="22:22" ht="15.75" customHeight="1">
      <c r="V3179">
        <v>566</v>
      </c>
    </row>
    <row r="3180" spans="22:22" ht="15.75" customHeight="1">
      <c r="V3180">
        <v>566</v>
      </c>
    </row>
    <row r="3181" spans="22:22" ht="15.75" customHeight="1">
      <c r="V3181">
        <v>566</v>
      </c>
    </row>
    <row r="3182" spans="22:22" ht="15.75" customHeight="1">
      <c r="V3182">
        <v>566</v>
      </c>
    </row>
    <row r="3183" spans="22:22" ht="15.75" customHeight="1">
      <c r="V3183">
        <v>566</v>
      </c>
    </row>
    <row r="3184" spans="22:22" ht="15.75" customHeight="1">
      <c r="V3184">
        <v>566</v>
      </c>
    </row>
    <row r="3185" spans="22:22" ht="15.75" customHeight="1">
      <c r="V3185">
        <v>566</v>
      </c>
    </row>
    <row r="3186" spans="22:22" ht="15.75" customHeight="1">
      <c r="V3186">
        <v>566</v>
      </c>
    </row>
    <row r="3187" spans="22:22" ht="15.75" customHeight="1">
      <c r="V3187">
        <v>566</v>
      </c>
    </row>
    <row r="3188" spans="22:22" ht="15.75" customHeight="1">
      <c r="V3188">
        <v>566</v>
      </c>
    </row>
    <row r="3189" spans="22:22" ht="15.75" customHeight="1">
      <c r="V3189">
        <v>566</v>
      </c>
    </row>
    <row r="3190" spans="22:22" ht="15.75" customHeight="1">
      <c r="V3190">
        <v>566</v>
      </c>
    </row>
    <row r="3191" spans="22:22" ht="15.75" customHeight="1">
      <c r="V3191">
        <v>566</v>
      </c>
    </row>
    <row r="3192" spans="22:22" ht="15.75" customHeight="1">
      <c r="V3192">
        <v>566</v>
      </c>
    </row>
    <row r="3193" spans="22:22" ht="15.75" customHeight="1">
      <c r="V3193">
        <v>567</v>
      </c>
    </row>
    <row r="3194" spans="22:22" ht="15.75" customHeight="1">
      <c r="V3194">
        <v>567</v>
      </c>
    </row>
    <row r="3195" spans="22:22" ht="15.75" customHeight="1">
      <c r="V3195">
        <v>567</v>
      </c>
    </row>
    <row r="3196" spans="22:22" ht="15.75" customHeight="1">
      <c r="V3196">
        <v>567</v>
      </c>
    </row>
    <row r="3197" spans="22:22" ht="15.75" customHeight="1">
      <c r="V3197">
        <v>568</v>
      </c>
    </row>
    <row r="3198" spans="22:22" ht="15.75" customHeight="1">
      <c r="V3198">
        <v>569</v>
      </c>
    </row>
    <row r="3199" spans="22:22" ht="15.75" customHeight="1">
      <c r="V3199">
        <v>570</v>
      </c>
    </row>
    <row r="3200" spans="22:22" ht="15.75" customHeight="1">
      <c r="V3200">
        <v>571</v>
      </c>
    </row>
    <row r="3201" spans="22:22" ht="15.75" customHeight="1">
      <c r="V3201">
        <v>572</v>
      </c>
    </row>
    <row r="3202" spans="22:22" ht="15.75" customHeight="1">
      <c r="V3202">
        <v>572</v>
      </c>
    </row>
    <row r="3203" spans="22:22" ht="15.75" customHeight="1">
      <c r="V3203">
        <v>573</v>
      </c>
    </row>
    <row r="3204" spans="22:22" ht="15.75" customHeight="1">
      <c r="V3204">
        <v>573</v>
      </c>
    </row>
    <row r="3205" spans="22:22" ht="15.75" customHeight="1">
      <c r="V3205">
        <v>573</v>
      </c>
    </row>
    <row r="3206" spans="22:22" ht="15.75" customHeight="1">
      <c r="V3206">
        <v>573</v>
      </c>
    </row>
    <row r="3207" spans="22:22" ht="15.75" customHeight="1">
      <c r="V3207">
        <v>574</v>
      </c>
    </row>
    <row r="3208" spans="22:22" ht="15.75" customHeight="1">
      <c r="V3208">
        <v>574</v>
      </c>
    </row>
    <row r="3209" spans="22:22" ht="15.75" customHeight="1">
      <c r="V3209">
        <v>574</v>
      </c>
    </row>
    <row r="3210" spans="22:22" ht="15.75" customHeight="1">
      <c r="V3210">
        <v>574</v>
      </c>
    </row>
    <row r="3211" spans="22:22" ht="15.75" customHeight="1">
      <c r="V3211">
        <v>575</v>
      </c>
    </row>
    <row r="3212" spans="22:22" ht="15.75" customHeight="1">
      <c r="V3212">
        <v>575</v>
      </c>
    </row>
    <row r="3213" spans="22:22" ht="15.75" customHeight="1">
      <c r="V3213">
        <v>575</v>
      </c>
    </row>
    <row r="3214" spans="22:22" ht="15.75" customHeight="1">
      <c r="V3214">
        <v>576</v>
      </c>
    </row>
    <row r="3215" spans="22:22" ht="15.75" customHeight="1">
      <c r="V3215">
        <v>576</v>
      </c>
    </row>
    <row r="3216" spans="22:22" ht="15.75" customHeight="1">
      <c r="V3216">
        <v>576</v>
      </c>
    </row>
    <row r="3217" spans="22:22" ht="15.75" customHeight="1">
      <c r="V3217">
        <v>576</v>
      </c>
    </row>
    <row r="3218" spans="22:22" ht="15.75" customHeight="1">
      <c r="V3218">
        <v>576</v>
      </c>
    </row>
    <row r="3219" spans="22:22" ht="15.75" customHeight="1">
      <c r="V3219">
        <v>576</v>
      </c>
    </row>
    <row r="3220" spans="22:22" ht="15.75" customHeight="1">
      <c r="V3220">
        <v>577</v>
      </c>
    </row>
    <row r="3221" spans="22:22" ht="15.75" customHeight="1">
      <c r="V3221">
        <v>577</v>
      </c>
    </row>
    <row r="3222" spans="22:22" ht="15.75" customHeight="1">
      <c r="V3222">
        <v>577</v>
      </c>
    </row>
    <row r="3223" spans="22:22" ht="15.75" customHeight="1">
      <c r="V3223">
        <v>577</v>
      </c>
    </row>
    <row r="3224" spans="22:22" ht="15.75" customHeight="1">
      <c r="V3224">
        <v>577</v>
      </c>
    </row>
    <row r="3225" spans="22:22" ht="15.75" customHeight="1">
      <c r="V3225">
        <v>577</v>
      </c>
    </row>
    <row r="3226" spans="22:22" ht="15.75" customHeight="1">
      <c r="V3226">
        <v>577</v>
      </c>
    </row>
    <row r="3227" spans="22:22" ht="15.75" customHeight="1">
      <c r="V3227">
        <v>577</v>
      </c>
    </row>
    <row r="3228" spans="22:22" ht="15.75" customHeight="1">
      <c r="V3228">
        <v>577</v>
      </c>
    </row>
    <row r="3229" spans="22:22" ht="15.75" customHeight="1">
      <c r="V3229">
        <v>577</v>
      </c>
    </row>
    <row r="3230" spans="22:22" ht="15.75" customHeight="1">
      <c r="V3230">
        <v>577</v>
      </c>
    </row>
    <row r="3231" spans="22:22" ht="15.75" customHeight="1">
      <c r="V3231">
        <v>577</v>
      </c>
    </row>
    <row r="3232" spans="22:22" ht="15.75" customHeight="1">
      <c r="V3232">
        <v>577</v>
      </c>
    </row>
    <row r="3233" spans="22:22" ht="15.75" customHeight="1">
      <c r="V3233">
        <v>578</v>
      </c>
    </row>
    <row r="3234" spans="22:22" ht="15.75" customHeight="1">
      <c r="V3234">
        <v>578</v>
      </c>
    </row>
    <row r="3235" spans="22:22" ht="15.75" customHeight="1">
      <c r="V3235">
        <v>579</v>
      </c>
    </row>
    <row r="3236" spans="22:22" ht="15.75" customHeight="1">
      <c r="V3236">
        <v>579</v>
      </c>
    </row>
    <row r="3237" spans="22:22" ht="15.75" customHeight="1">
      <c r="V3237">
        <v>579</v>
      </c>
    </row>
    <row r="3238" spans="22:22" ht="15.75" customHeight="1">
      <c r="V3238">
        <v>579</v>
      </c>
    </row>
    <row r="3239" spans="22:22" ht="15.75" customHeight="1">
      <c r="V3239">
        <v>579</v>
      </c>
    </row>
    <row r="3240" spans="22:22" ht="15.75" customHeight="1">
      <c r="V3240">
        <v>579</v>
      </c>
    </row>
    <row r="3241" spans="22:22" ht="15.75" customHeight="1">
      <c r="V3241">
        <v>580</v>
      </c>
    </row>
    <row r="3242" spans="22:22" ht="15.75" customHeight="1">
      <c r="V3242">
        <v>580</v>
      </c>
    </row>
    <row r="3243" spans="22:22" ht="15.75" customHeight="1">
      <c r="V3243">
        <v>580</v>
      </c>
    </row>
    <row r="3244" spans="22:22" ht="15.75" customHeight="1">
      <c r="V3244">
        <v>580</v>
      </c>
    </row>
    <row r="3245" spans="22:22" ht="15.75" customHeight="1">
      <c r="V3245">
        <v>581</v>
      </c>
    </row>
    <row r="3246" spans="22:22" ht="15.75" customHeight="1">
      <c r="V3246">
        <v>582</v>
      </c>
    </row>
    <row r="3247" spans="22:22" ht="15.75" customHeight="1">
      <c r="V3247">
        <v>582</v>
      </c>
    </row>
    <row r="3248" spans="22:22" ht="15.75" customHeight="1">
      <c r="V3248">
        <v>582</v>
      </c>
    </row>
    <row r="3249" spans="22:22" ht="15.75" customHeight="1">
      <c r="V3249">
        <v>582</v>
      </c>
    </row>
    <row r="3250" spans="22:22" ht="15.75" customHeight="1">
      <c r="V3250">
        <v>582</v>
      </c>
    </row>
    <row r="3251" spans="22:22" ht="15.75" customHeight="1">
      <c r="V3251">
        <v>582</v>
      </c>
    </row>
    <row r="3252" spans="22:22" ht="15.75" customHeight="1">
      <c r="V3252">
        <v>582</v>
      </c>
    </row>
    <row r="3253" spans="22:22" ht="15.75" customHeight="1">
      <c r="V3253">
        <v>582</v>
      </c>
    </row>
    <row r="3254" spans="22:22" ht="15.75" customHeight="1">
      <c r="V3254">
        <v>583</v>
      </c>
    </row>
    <row r="3255" spans="22:22" ht="15.75" customHeight="1">
      <c r="V3255">
        <v>584</v>
      </c>
    </row>
    <row r="3256" spans="22:22" ht="15.75" customHeight="1">
      <c r="V3256">
        <v>584</v>
      </c>
    </row>
    <row r="3257" spans="22:22" ht="15.75" customHeight="1">
      <c r="V3257">
        <v>584</v>
      </c>
    </row>
    <row r="3258" spans="22:22" ht="15.75" customHeight="1">
      <c r="V3258">
        <v>585</v>
      </c>
    </row>
    <row r="3259" spans="22:22" ht="15.75" customHeight="1">
      <c r="V3259">
        <v>585</v>
      </c>
    </row>
    <row r="3260" spans="22:22" ht="15.75" customHeight="1">
      <c r="V3260">
        <v>585</v>
      </c>
    </row>
    <row r="3261" spans="22:22" ht="15.75" customHeight="1">
      <c r="V3261">
        <v>585</v>
      </c>
    </row>
    <row r="3262" spans="22:22" ht="15.75" customHeight="1">
      <c r="V3262">
        <v>585</v>
      </c>
    </row>
    <row r="3263" spans="22:22" ht="15.75" customHeight="1">
      <c r="V3263">
        <v>585</v>
      </c>
    </row>
    <row r="3264" spans="22:22" ht="15.75" customHeight="1">
      <c r="V3264">
        <v>585</v>
      </c>
    </row>
    <row r="3265" spans="22:22" ht="15.75" customHeight="1">
      <c r="V3265">
        <v>585</v>
      </c>
    </row>
    <row r="3266" spans="22:22" ht="15.75" customHeight="1">
      <c r="V3266">
        <v>585</v>
      </c>
    </row>
    <row r="3267" spans="22:22" ht="15.75" customHeight="1">
      <c r="V3267">
        <v>585</v>
      </c>
    </row>
    <row r="3268" spans="22:22" ht="15.75" customHeight="1">
      <c r="V3268">
        <v>585</v>
      </c>
    </row>
    <row r="3269" spans="22:22" ht="15.75" customHeight="1">
      <c r="V3269">
        <v>585</v>
      </c>
    </row>
    <row r="3270" spans="22:22" ht="15.75" customHeight="1">
      <c r="V3270">
        <v>585</v>
      </c>
    </row>
    <row r="3271" spans="22:22" ht="15.75" customHeight="1">
      <c r="V3271">
        <v>585</v>
      </c>
    </row>
    <row r="3272" spans="22:22" ht="15.75" customHeight="1">
      <c r="V3272">
        <v>586</v>
      </c>
    </row>
    <row r="3273" spans="22:22" ht="15.75" customHeight="1">
      <c r="V3273">
        <v>586</v>
      </c>
    </row>
    <row r="3274" spans="22:22" ht="15.75" customHeight="1">
      <c r="V3274">
        <v>586</v>
      </c>
    </row>
    <row r="3275" spans="22:22" ht="15.75" customHeight="1">
      <c r="V3275">
        <v>586</v>
      </c>
    </row>
    <row r="3276" spans="22:22" ht="15.75" customHeight="1">
      <c r="V3276">
        <v>586</v>
      </c>
    </row>
    <row r="3277" spans="22:22" ht="15.75" customHeight="1">
      <c r="V3277">
        <v>586</v>
      </c>
    </row>
    <row r="3278" spans="22:22" ht="15.75" customHeight="1">
      <c r="V3278">
        <v>586</v>
      </c>
    </row>
    <row r="3279" spans="22:22" ht="15.75" customHeight="1">
      <c r="V3279">
        <v>586</v>
      </c>
    </row>
    <row r="3280" spans="22:22" ht="15.75" customHeight="1">
      <c r="V3280">
        <v>586</v>
      </c>
    </row>
    <row r="3281" spans="22:22" ht="15.75" customHeight="1">
      <c r="V3281">
        <v>586</v>
      </c>
    </row>
    <row r="3282" spans="22:22" ht="15.75" customHeight="1">
      <c r="V3282">
        <v>586</v>
      </c>
    </row>
    <row r="3283" spans="22:22" ht="15.75" customHeight="1">
      <c r="V3283">
        <v>586</v>
      </c>
    </row>
    <row r="3284" spans="22:22" ht="15.75" customHeight="1">
      <c r="V3284">
        <v>587</v>
      </c>
    </row>
    <row r="3285" spans="22:22" ht="15.75" customHeight="1">
      <c r="V3285">
        <v>588</v>
      </c>
    </row>
    <row r="3286" spans="22:22" ht="15.75" customHeight="1">
      <c r="V3286">
        <v>588</v>
      </c>
    </row>
    <row r="3287" spans="22:22" ht="15.75" customHeight="1">
      <c r="V3287">
        <v>588</v>
      </c>
    </row>
    <row r="3288" spans="22:22" ht="15.75" customHeight="1">
      <c r="V3288">
        <v>589</v>
      </c>
    </row>
    <row r="3289" spans="22:22" ht="15.75" customHeight="1">
      <c r="V3289">
        <v>590</v>
      </c>
    </row>
    <row r="3290" spans="22:22" ht="15.75" customHeight="1">
      <c r="V3290">
        <v>590</v>
      </c>
    </row>
    <row r="3291" spans="22:22" ht="15.75" customHeight="1">
      <c r="V3291">
        <v>591</v>
      </c>
    </row>
    <row r="3292" spans="22:22" ht="15.75" customHeight="1">
      <c r="V3292">
        <v>591</v>
      </c>
    </row>
    <row r="3293" spans="22:22" ht="15.75" customHeight="1">
      <c r="V3293">
        <v>591</v>
      </c>
    </row>
    <row r="3294" spans="22:22" ht="15.75" customHeight="1">
      <c r="V3294">
        <v>591</v>
      </c>
    </row>
    <row r="3295" spans="22:22" ht="15.75" customHeight="1">
      <c r="V3295">
        <v>592</v>
      </c>
    </row>
    <row r="3296" spans="22:22" ht="15.75" customHeight="1">
      <c r="V3296">
        <v>593</v>
      </c>
    </row>
    <row r="3297" spans="22:22" ht="15.75" customHeight="1">
      <c r="V3297">
        <v>594</v>
      </c>
    </row>
    <row r="3298" spans="22:22" ht="15.75" customHeight="1">
      <c r="V3298">
        <v>594</v>
      </c>
    </row>
    <row r="3299" spans="22:22" ht="15.75" customHeight="1">
      <c r="V3299">
        <v>594</v>
      </c>
    </row>
    <row r="3300" spans="22:22" ht="15.75" customHeight="1">
      <c r="V3300">
        <v>595</v>
      </c>
    </row>
    <row r="3301" spans="22:22" ht="15.75" customHeight="1">
      <c r="V3301">
        <v>595</v>
      </c>
    </row>
    <row r="3302" spans="22:22" ht="15.75" customHeight="1">
      <c r="V3302">
        <v>595</v>
      </c>
    </row>
    <row r="3303" spans="22:22" ht="15.75" customHeight="1">
      <c r="V3303">
        <v>595</v>
      </c>
    </row>
    <row r="3304" spans="22:22" ht="15.75" customHeight="1">
      <c r="V3304">
        <v>595</v>
      </c>
    </row>
    <row r="3305" spans="22:22" ht="15.75" customHeight="1">
      <c r="V3305">
        <v>596</v>
      </c>
    </row>
    <row r="3306" spans="22:22" ht="15.75" customHeight="1">
      <c r="V3306">
        <v>596</v>
      </c>
    </row>
    <row r="3307" spans="22:22" ht="15.75" customHeight="1">
      <c r="V3307">
        <v>596</v>
      </c>
    </row>
    <row r="3308" spans="22:22" ht="15.75" customHeight="1">
      <c r="V3308">
        <v>596</v>
      </c>
    </row>
    <row r="3309" spans="22:22" ht="15.75" customHeight="1">
      <c r="V3309">
        <v>596</v>
      </c>
    </row>
    <row r="3310" spans="22:22" ht="15.75" customHeight="1">
      <c r="V3310">
        <v>596</v>
      </c>
    </row>
    <row r="3311" spans="22:22" ht="15.75" customHeight="1">
      <c r="V3311">
        <v>596</v>
      </c>
    </row>
    <row r="3312" spans="22:22" ht="15.75" customHeight="1">
      <c r="V3312">
        <v>596</v>
      </c>
    </row>
    <row r="3313" spans="22:22" ht="15.75" customHeight="1">
      <c r="V3313">
        <v>596</v>
      </c>
    </row>
    <row r="3314" spans="22:22" ht="15.75" customHeight="1">
      <c r="V3314">
        <v>596</v>
      </c>
    </row>
    <row r="3315" spans="22:22" ht="15.75" customHeight="1">
      <c r="V3315">
        <v>596</v>
      </c>
    </row>
    <row r="3316" spans="22:22" ht="15.75" customHeight="1">
      <c r="V3316">
        <v>596</v>
      </c>
    </row>
    <row r="3317" spans="22:22" ht="15.75" customHeight="1">
      <c r="V3317">
        <v>596</v>
      </c>
    </row>
    <row r="3318" spans="22:22" ht="15.75" customHeight="1">
      <c r="V3318">
        <v>596</v>
      </c>
    </row>
    <row r="3319" spans="22:22" ht="15.75" customHeight="1">
      <c r="V3319">
        <v>596</v>
      </c>
    </row>
    <row r="3320" spans="22:22" ht="15.75" customHeight="1">
      <c r="V3320">
        <v>596</v>
      </c>
    </row>
    <row r="3321" spans="22:22" ht="15.75" customHeight="1">
      <c r="V3321">
        <v>596</v>
      </c>
    </row>
    <row r="3322" spans="22:22" ht="15.75" customHeight="1">
      <c r="V3322">
        <v>596</v>
      </c>
    </row>
    <row r="3323" spans="22:22" ht="15.75" customHeight="1">
      <c r="V3323">
        <v>596</v>
      </c>
    </row>
    <row r="3324" spans="22:22" ht="15.75" customHeight="1">
      <c r="V3324">
        <v>596</v>
      </c>
    </row>
    <row r="3325" spans="22:22" ht="15.75" customHeight="1">
      <c r="V3325">
        <v>596</v>
      </c>
    </row>
    <row r="3326" spans="22:22" ht="15.75" customHeight="1">
      <c r="V3326">
        <v>596</v>
      </c>
    </row>
    <row r="3327" spans="22:22" ht="15.75" customHeight="1">
      <c r="V3327">
        <v>596</v>
      </c>
    </row>
    <row r="3328" spans="22:22" ht="15.75" customHeight="1">
      <c r="V3328">
        <v>596</v>
      </c>
    </row>
    <row r="3329" spans="22:22" ht="15.75" customHeight="1">
      <c r="V3329">
        <v>596</v>
      </c>
    </row>
    <row r="3330" spans="22:22" ht="15.75" customHeight="1">
      <c r="V3330">
        <v>596</v>
      </c>
    </row>
    <row r="3331" spans="22:22" ht="15.75" customHeight="1">
      <c r="V3331">
        <v>596</v>
      </c>
    </row>
    <row r="3332" spans="22:22" ht="15.75" customHeight="1">
      <c r="V3332">
        <v>596</v>
      </c>
    </row>
    <row r="3333" spans="22:22" ht="15.75" customHeight="1">
      <c r="V3333">
        <v>596</v>
      </c>
    </row>
    <row r="3334" spans="22:22" ht="15.75" customHeight="1">
      <c r="V3334">
        <v>596</v>
      </c>
    </row>
    <row r="3335" spans="22:22" ht="15.75" customHeight="1">
      <c r="V3335">
        <v>596</v>
      </c>
    </row>
    <row r="3336" spans="22:22" ht="15.75" customHeight="1">
      <c r="V3336">
        <v>596</v>
      </c>
    </row>
    <row r="3337" spans="22:22" ht="15.75" customHeight="1">
      <c r="V3337">
        <v>597</v>
      </c>
    </row>
    <row r="3338" spans="22:22" ht="15.75" customHeight="1">
      <c r="V3338">
        <v>597</v>
      </c>
    </row>
    <row r="3339" spans="22:22" ht="15.75" customHeight="1">
      <c r="V3339">
        <v>597</v>
      </c>
    </row>
    <row r="3340" spans="22:22" ht="15.75" customHeight="1">
      <c r="V3340">
        <v>597</v>
      </c>
    </row>
    <row r="3341" spans="22:22" ht="15.75" customHeight="1">
      <c r="V3341">
        <v>597</v>
      </c>
    </row>
    <row r="3342" spans="22:22" ht="15.75" customHeight="1">
      <c r="V3342">
        <v>597</v>
      </c>
    </row>
    <row r="3343" spans="22:22" ht="15.75" customHeight="1">
      <c r="V3343">
        <v>597</v>
      </c>
    </row>
    <row r="3344" spans="22:22" ht="15.75" customHeight="1">
      <c r="V3344">
        <v>597</v>
      </c>
    </row>
    <row r="3345" spans="22:22" ht="15.75" customHeight="1">
      <c r="V3345">
        <v>597</v>
      </c>
    </row>
    <row r="3346" spans="22:22" ht="15.75" customHeight="1">
      <c r="V3346">
        <v>597</v>
      </c>
    </row>
    <row r="3347" spans="22:22" ht="15.75" customHeight="1">
      <c r="V3347">
        <v>597</v>
      </c>
    </row>
    <row r="3348" spans="22:22" ht="15.75" customHeight="1">
      <c r="V3348">
        <v>597</v>
      </c>
    </row>
    <row r="3349" spans="22:22" ht="15.75" customHeight="1">
      <c r="V3349">
        <v>597</v>
      </c>
    </row>
    <row r="3350" spans="22:22" ht="15.75" customHeight="1">
      <c r="V3350">
        <v>597</v>
      </c>
    </row>
    <row r="3351" spans="22:22" ht="15.75" customHeight="1">
      <c r="V3351">
        <v>597</v>
      </c>
    </row>
    <row r="3352" spans="22:22" ht="15.75" customHeight="1">
      <c r="V3352">
        <v>597</v>
      </c>
    </row>
    <row r="3353" spans="22:22" ht="15.75" customHeight="1">
      <c r="V3353">
        <v>597</v>
      </c>
    </row>
    <row r="3354" spans="22:22" ht="15.75" customHeight="1">
      <c r="V3354">
        <v>597</v>
      </c>
    </row>
    <row r="3355" spans="22:22" ht="15.75" customHeight="1">
      <c r="V3355">
        <v>597</v>
      </c>
    </row>
    <row r="3356" spans="22:22" ht="15.75" customHeight="1">
      <c r="V3356">
        <v>597</v>
      </c>
    </row>
    <row r="3357" spans="22:22" ht="15.75" customHeight="1">
      <c r="V3357">
        <v>597</v>
      </c>
    </row>
    <row r="3358" spans="22:22" ht="15.75" customHeight="1">
      <c r="V3358">
        <v>597</v>
      </c>
    </row>
    <row r="3359" spans="22:22" ht="15.75" customHeight="1">
      <c r="V3359">
        <v>597</v>
      </c>
    </row>
    <row r="3360" spans="22:22" ht="15.75" customHeight="1">
      <c r="V3360">
        <v>597</v>
      </c>
    </row>
    <row r="3361" spans="22:22" ht="15.75" customHeight="1">
      <c r="V3361">
        <v>597</v>
      </c>
    </row>
    <row r="3362" spans="22:22" ht="15.75" customHeight="1">
      <c r="V3362">
        <v>597</v>
      </c>
    </row>
    <row r="3363" spans="22:22" ht="15.75" customHeight="1">
      <c r="V3363">
        <v>597</v>
      </c>
    </row>
    <row r="3364" spans="22:22" ht="15.75" customHeight="1">
      <c r="V3364">
        <v>597</v>
      </c>
    </row>
    <row r="3365" spans="22:22" ht="15.75" customHeight="1">
      <c r="V3365">
        <v>597</v>
      </c>
    </row>
    <row r="3366" spans="22:22" ht="15.75" customHeight="1">
      <c r="V3366">
        <v>597</v>
      </c>
    </row>
    <row r="3367" spans="22:22" ht="15.75" customHeight="1">
      <c r="V3367">
        <v>597</v>
      </c>
    </row>
    <row r="3368" spans="22:22" ht="15.75" customHeight="1">
      <c r="V3368">
        <v>597</v>
      </c>
    </row>
    <row r="3369" spans="22:22" ht="15.75" customHeight="1">
      <c r="V3369">
        <v>597</v>
      </c>
    </row>
    <row r="3370" spans="22:22" ht="15.75" customHeight="1">
      <c r="V3370">
        <v>597</v>
      </c>
    </row>
    <row r="3371" spans="22:22" ht="15.75" customHeight="1">
      <c r="V3371">
        <v>597</v>
      </c>
    </row>
    <row r="3372" spans="22:22" ht="15.75" customHeight="1">
      <c r="V3372">
        <v>597</v>
      </c>
    </row>
    <row r="3373" spans="22:22" ht="15.75" customHeight="1">
      <c r="V3373">
        <v>597</v>
      </c>
    </row>
    <row r="3374" spans="22:22" ht="15.75" customHeight="1">
      <c r="V3374">
        <v>597</v>
      </c>
    </row>
    <row r="3375" spans="22:22" ht="15.75" customHeight="1">
      <c r="V3375">
        <v>598</v>
      </c>
    </row>
    <row r="3376" spans="22:22" ht="15.75" customHeight="1">
      <c r="V3376">
        <v>599</v>
      </c>
    </row>
    <row r="3377" spans="22:22" ht="15.75" customHeight="1">
      <c r="V3377">
        <v>599</v>
      </c>
    </row>
    <row r="3378" spans="22:22" ht="15.75" customHeight="1">
      <c r="V3378">
        <v>599</v>
      </c>
    </row>
    <row r="3379" spans="22:22" ht="15.75" customHeight="1">
      <c r="V3379">
        <v>599</v>
      </c>
    </row>
    <row r="3380" spans="22:22" ht="15.75" customHeight="1">
      <c r="V3380">
        <v>599</v>
      </c>
    </row>
    <row r="3381" spans="22:22" ht="15.75" customHeight="1">
      <c r="V3381">
        <v>599</v>
      </c>
    </row>
    <row r="3382" spans="22:22" ht="15.75" customHeight="1">
      <c r="V3382">
        <v>599</v>
      </c>
    </row>
    <row r="3383" spans="22:22" ht="15.75" customHeight="1">
      <c r="V3383">
        <v>600</v>
      </c>
    </row>
    <row r="3384" spans="22:22" ht="15.75" customHeight="1">
      <c r="V3384">
        <v>600</v>
      </c>
    </row>
    <row r="3385" spans="22:22" ht="15.75" customHeight="1">
      <c r="V3385">
        <v>600</v>
      </c>
    </row>
    <row r="3386" spans="22:22" ht="15.75" customHeight="1">
      <c r="V3386">
        <v>600</v>
      </c>
    </row>
    <row r="3387" spans="22:22" ht="15.75" customHeight="1">
      <c r="V3387">
        <v>601</v>
      </c>
    </row>
    <row r="3388" spans="22:22" ht="15.75" customHeight="1">
      <c r="V3388">
        <v>601</v>
      </c>
    </row>
    <row r="3389" spans="22:22" ht="15.75" customHeight="1">
      <c r="V3389">
        <v>602</v>
      </c>
    </row>
    <row r="3390" spans="22:22" ht="15.75" customHeight="1">
      <c r="V3390">
        <v>603</v>
      </c>
    </row>
    <row r="3391" spans="22:22" ht="15.75" customHeight="1">
      <c r="V3391">
        <v>604</v>
      </c>
    </row>
    <row r="3392" spans="22:22" ht="15.75" customHeight="1">
      <c r="V3392">
        <v>604</v>
      </c>
    </row>
    <row r="3393" spans="22:22" ht="15.75" customHeight="1">
      <c r="V3393">
        <v>605</v>
      </c>
    </row>
    <row r="3394" spans="22:22" ht="15.75" customHeight="1">
      <c r="V3394">
        <v>606</v>
      </c>
    </row>
    <row r="3395" spans="22:22" ht="15.75" customHeight="1">
      <c r="V3395">
        <v>607</v>
      </c>
    </row>
    <row r="3396" spans="22:22" ht="15.75" customHeight="1">
      <c r="V3396">
        <v>608</v>
      </c>
    </row>
    <row r="3397" spans="22:22" ht="15.75" customHeight="1">
      <c r="V3397">
        <v>609</v>
      </c>
    </row>
    <row r="3398" spans="22:22" ht="15.75" customHeight="1">
      <c r="V3398">
        <v>609</v>
      </c>
    </row>
    <row r="3399" spans="22:22" ht="15.75" customHeight="1">
      <c r="V3399">
        <v>609</v>
      </c>
    </row>
    <row r="3400" spans="22:22" ht="15.75" customHeight="1">
      <c r="V3400">
        <v>609</v>
      </c>
    </row>
    <row r="3401" spans="22:22" ht="15.75" customHeight="1">
      <c r="V3401">
        <v>609</v>
      </c>
    </row>
    <row r="3402" spans="22:22" ht="15.75" customHeight="1">
      <c r="V3402">
        <v>609</v>
      </c>
    </row>
    <row r="3403" spans="22:22" ht="15.75" customHeight="1">
      <c r="V3403">
        <v>609</v>
      </c>
    </row>
    <row r="3404" spans="22:22" ht="15.75" customHeight="1">
      <c r="V3404">
        <v>609</v>
      </c>
    </row>
    <row r="3405" spans="22:22" ht="15.75" customHeight="1">
      <c r="V3405">
        <v>609</v>
      </c>
    </row>
    <row r="3406" spans="22:22" ht="15.75" customHeight="1">
      <c r="V3406">
        <v>609</v>
      </c>
    </row>
    <row r="3407" spans="22:22" ht="15.75" customHeight="1">
      <c r="V3407">
        <v>609</v>
      </c>
    </row>
    <row r="3408" spans="22:22" ht="15.75" customHeight="1">
      <c r="V3408">
        <v>610</v>
      </c>
    </row>
    <row r="3409" spans="22:22" ht="15.75" customHeight="1">
      <c r="V3409">
        <v>610</v>
      </c>
    </row>
    <row r="3410" spans="22:22" ht="15.75" customHeight="1">
      <c r="V3410">
        <v>610</v>
      </c>
    </row>
    <row r="3411" spans="22:22" ht="15.75" customHeight="1">
      <c r="V3411">
        <v>610</v>
      </c>
    </row>
    <row r="3412" spans="22:22" ht="15.75" customHeight="1">
      <c r="V3412">
        <v>610</v>
      </c>
    </row>
    <row r="3413" spans="22:22" ht="15.75" customHeight="1">
      <c r="V3413">
        <v>610</v>
      </c>
    </row>
    <row r="3414" spans="22:22" ht="15.75" customHeight="1">
      <c r="V3414">
        <v>610</v>
      </c>
    </row>
    <row r="3415" spans="22:22" ht="15.75" customHeight="1">
      <c r="V3415">
        <v>610</v>
      </c>
    </row>
    <row r="3416" spans="22:22" ht="15.75" customHeight="1">
      <c r="V3416">
        <v>610</v>
      </c>
    </row>
    <row r="3417" spans="22:22" ht="15.75" customHeight="1">
      <c r="V3417">
        <v>611</v>
      </c>
    </row>
    <row r="3418" spans="22:22" ht="15.75" customHeight="1">
      <c r="V3418">
        <v>612</v>
      </c>
    </row>
    <row r="3419" spans="22:22" ht="15.75" customHeight="1">
      <c r="V3419">
        <v>613</v>
      </c>
    </row>
    <row r="3420" spans="22:22" ht="15.75" customHeight="1">
      <c r="V3420">
        <v>614</v>
      </c>
    </row>
    <row r="3421" spans="22:22" ht="15.75" customHeight="1">
      <c r="V3421">
        <v>614</v>
      </c>
    </row>
    <row r="3422" spans="22:22" ht="15.75" customHeight="1">
      <c r="V3422">
        <v>614</v>
      </c>
    </row>
    <row r="3423" spans="22:22" ht="15.75" customHeight="1">
      <c r="V3423">
        <v>614</v>
      </c>
    </row>
    <row r="3424" spans="22:22" ht="15.75" customHeight="1">
      <c r="V3424">
        <v>614</v>
      </c>
    </row>
    <row r="3425" spans="22:22" ht="15.75" customHeight="1">
      <c r="V3425">
        <v>614</v>
      </c>
    </row>
    <row r="3426" spans="22:22" ht="15.75" customHeight="1">
      <c r="V3426">
        <v>614</v>
      </c>
    </row>
    <row r="3427" spans="22:22" ht="15.75" customHeight="1">
      <c r="V3427">
        <v>614</v>
      </c>
    </row>
    <row r="3428" spans="22:22" ht="15.75" customHeight="1">
      <c r="V3428">
        <v>615</v>
      </c>
    </row>
    <row r="3429" spans="22:22" ht="15.75" customHeight="1">
      <c r="V3429">
        <v>616</v>
      </c>
    </row>
    <row r="3430" spans="22:22" ht="15.75" customHeight="1">
      <c r="V3430">
        <v>617</v>
      </c>
    </row>
    <row r="3431" spans="22:22" ht="15.75" customHeight="1">
      <c r="V3431">
        <v>617</v>
      </c>
    </row>
    <row r="3432" spans="22:22" ht="15.75" customHeight="1">
      <c r="V3432">
        <v>617</v>
      </c>
    </row>
    <row r="3433" spans="22:22" ht="15.75" customHeight="1">
      <c r="V3433">
        <v>617</v>
      </c>
    </row>
    <row r="3434" spans="22:22" ht="15.75" customHeight="1">
      <c r="V3434">
        <v>617</v>
      </c>
    </row>
    <row r="3435" spans="22:22" ht="15.75" customHeight="1">
      <c r="V3435">
        <v>618</v>
      </c>
    </row>
    <row r="3436" spans="22:22" ht="15.75" customHeight="1">
      <c r="V3436">
        <v>619</v>
      </c>
    </row>
    <row r="3437" spans="22:22" ht="15.75" customHeight="1">
      <c r="V3437">
        <v>620</v>
      </c>
    </row>
    <row r="3438" spans="22:22" ht="15.75" customHeight="1">
      <c r="V3438">
        <v>620</v>
      </c>
    </row>
    <row r="3439" spans="22:22" ht="15.75" customHeight="1">
      <c r="V3439">
        <v>621</v>
      </c>
    </row>
    <row r="3440" spans="22:22" ht="15.75" customHeight="1">
      <c r="V3440">
        <v>621</v>
      </c>
    </row>
    <row r="3441" spans="22:22" ht="15.75" customHeight="1">
      <c r="V3441">
        <v>622</v>
      </c>
    </row>
    <row r="3442" spans="22:22" ht="15.75" customHeight="1">
      <c r="V3442">
        <v>623</v>
      </c>
    </row>
    <row r="3443" spans="22:22" ht="15.75" customHeight="1">
      <c r="V3443">
        <v>624</v>
      </c>
    </row>
    <row r="3444" spans="22:22" ht="15.75" customHeight="1">
      <c r="V3444">
        <v>624</v>
      </c>
    </row>
    <row r="3445" spans="22:22" ht="15.75" customHeight="1">
      <c r="V3445">
        <v>624</v>
      </c>
    </row>
    <row r="3446" spans="22:22" ht="15.75" customHeight="1">
      <c r="V3446">
        <v>625</v>
      </c>
    </row>
    <row r="3447" spans="22:22" ht="15.75" customHeight="1">
      <c r="V3447">
        <v>626</v>
      </c>
    </row>
    <row r="3448" spans="22:22" ht="15.75" customHeight="1">
      <c r="V3448">
        <v>626</v>
      </c>
    </row>
    <row r="3449" spans="22:22" ht="15.75" customHeight="1">
      <c r="V3449">
        <v>626</v>
      </c>
    </row>
    <row r="3450" spans="22:22" ht="15.75" customHeight="1">
      <c r="V3450">
        <v>627</v>
      </c>
    </row>
    <row r="3451" spans="22:22" ht="15.75" customHeight="1">
      <c r="V3451">
        <v>628</v>
      </c>
    </row>
    <row r="3452" spans="22:22" ht="15.75" customHeight="1">
      <c r="V3452">
        <v>628</v>
      </c>
    </row>
    <row r="3453" spans="22:22" ht="15.75" customHeight="1">
      <c r="V3453">
        <v>628</v>
      </c>
    </row>
    <row r="3454" spans="22:22" ht="15.75" customHeight="1">
      <c r="V3454">
        <v>628</v>
      </c>
    </row>
    <row r="3455" spans="22:22" ht="15.75" customHeight="1">
      <c r="V3455">
        <v>628</v>
      </c>
    </row>
    <row r="3456" spans="22:22" ht="15.75" customHeight="1">
      <c r="V3456">
        <v>628</v>
      </c>
    </row>
    <row r="3457" spans="22:22" ht="15.75" customHeight="1">
      <c r="V3457">
        <v>628</v>
      </c>
    </row>
    <row r="3458" spans="22:22" ht="15.75" customHeight="1">
      <c r="V3458">
        <v>628</v>
      </c>
    </row>
    <row r="3459" spans="22:22" ht="15.75" customHeight="1">
      <c r="V3459">
        <v>628</v>
      </c>
    </row>
    <row r="3460" spans="22:22" ht="15.75" customHeight="1">
      <c r="V3460">
        <v>628</v>
      </c>
    </row>
    <row r="3461" spans="22:22" ht="15.75" customHeight="1">
      <c r="V3461">
        <v>628</v>
      </c>
    </row>
    <row r="3462" spans="22:22" ht="15.75" customHeight="1">
      <c r="V3462">
        <v>628</v>
      </c>
    </row>
    <row r="3463" spans="22:22" ht="15.75" customHeight="1">
      <c r="V3463">
        <v>628</v>
      </c>
    </row>
    <row r="3464" spans="22:22" ht="15.75" customHeight="1">
      <c r="V3464">
        <v>628</v>
      </c>
    </row>
    <row r="3465" spans="22:22" ht="15.75" customHeight="1">
      <c r="V3465">
        <v>628</v>
      </c>
    </row>
    <row r="3466" spans="22:22" ht="15.75" customHeight="1">
      <c r="V3466">
        <v>628</v>
      </c>
    </row>
    <row r="3467" spans="22:22" ht="15.75" customHeight="1">
      <c r="V3467">
        <v>629</v>
      </c>
    </row>
    <row r="3468" spans="22:22" ht="15.75" customHeight="1">
      <c r="V3468">
        <v>629</v>
      </c>
    </row>
    <row r="3469" spans="22:22" ht="15.75" customHeight="1">
      <c r="V3469">
        <v>629</v>
      </c>
    </row>
    <row r="3470" spans="22:22" ht="15.75" customHeight="1">
      <c r="V3470">
        <v>629</v>
      </c>
    </row>
    <row r="3471" spans="22:22" ht="15.75" customHeight="1">
      <c r="V3471">
        <v>629</v>
      </c>
    </row>
    <row r="3472" spans="22:22" ht="15.75" customHeight="1">
      <c r="V3472">
        <v>629</v>
      </c>
    </row>
    <row r="3473" spans="22:22" ht="15.75" customHeight="1">
      <c r="V3473">
        <v>629</v>
      </c>
    </row>
    <row r="3474" spans="22:22" ht="15.75" customHeight="1">
      <c r="V3474">
        <v>629</v>
      </c>
    </row>
    <row r="3475" spans="22:22" ht="15.75" customHeight="1">
      <c r="V3475">
        <v>629</v>
      </c>
    </row>
    <row r="3476" spans="22:22" ht="15.75" customHeight="1">
      <c r="V3476">
        <v>629</v>
      </c>
    </row>
    <row r="3477" spans="22:22" ht="15.75" customHeight="1">
      <c r="V3477">
        <v>629</v>
      </c>
    </row>
    <row r="3478" spans="22:22" ht="15.75" customHeight="1">
      <c r="V3478">
        <v>629</v>
      </c>
    </row>
    <row r="3479" spans="22:22" ht="15.75" customHeight="1">
      <c r="V3479">
        <v>629</v>
      </c>
    </row>
    <row r="3480" spans="22:22" ht="15.75" customHeight="1">
      <c r="V3480">
        <v>629</v>
      </c>
    </row>
    <row r="3481" spans="22:22" ht="15.75" customHeight="1">
      <c r="V3481">
        <v>629</v>
      </c>
    </row>
    <row r="3482" spans="22:22" ht="15.75" customHeight="1">
      <c r="V3482">
        <v>629</v>
      </c>
    </row>
    <row r="3483" spans="22:22" ht="15.75" customHeight="1">
      <c r="V3483">
        <v>629</v>
      </c>
    </row>
    <row r="3484" spans="22:22" ht="15.75" customHeight="1">
      <c r="V3484">
        <v>629</v>
      </c>
    </row>
    <row r="3485" spans="22:22" ht="15.75" customHeight="1">
      <c r="V3485">
        <v>629</v>
      </c>
    </row>
    <row r="3486" spans="22:22" ht="15.75" customHeight="1">
      <c r="V3486">
        <v>629</v>
      </c>
    </row>
    <row r="3487" spans="22:22" ht="15.75" customHeight="1">
      <c r="V3487">
        <v>629</v>
      </c>
    </row>
    <row r="3488" spans="22:22" ht="15.75" customHeight="1">
      <c r="V3488">
        <v>629</v>
      </c>
    </row>
    <row r="3489" spans="22:22" ht="15.75" customHeight="1">
      <c r="V3489">
        <v>629</v>
      </c>
    </row>
    <row r="3490" spans="22:22" ht="15.75" customHeight="1">
      <c r="V3490">
        <v>629</v>
      </c>
    </row>
    <row r="3491" spans="22:22" ht="15.75" customHeight="1">
      <c r="V3491">
        <v>629</v>
      </c>
    </row>
    <row r="3492" spans="22:22" ht="15.75" customHeight="1">
      <c r="V3492">
        <v>629</v>
      </c>
    </row>
    <row r="3493" spans="22:22" ht="15.75" customHeight="1">
      <c r="V3493">
        <v>629</v>
      </c>
    </row>
    <row r="3494" spans="22:22" ht="15.75" customHeight="1">
      <c r="V3494">
        <v>630</v>
      </c>
    </row>
    <row r="3495" spans="22:22" ht="15.75" customHeight="1">
      <c r="V3495">
        <v>630</v>
      </c>
    </row>
    <row r="3496" spans="22:22" ht="15.75" customHeight="1">
      <c r="V3496">
        <v>630</v>
      </c>
    </row>
    <row r="3497" spans="22:22" ht="15.75" customHeight="1">
      <c r="V3497">
        <v>630</v>
      </c>
    </row>
    <row r="3498" spans="22:22" ht="15.75" customHeight="1">
      <c r="V3498">
        <v>630</v>
      </c>
    </row>
    <row r="3499" spans="22:22" ht="15.75" customHeight="1">
      <c r="V3499">
        <v>630</v>
      </c>
    </row>
    <row r="3500" spans="22:22" ht="15.75" customHeight="1">
      <c r="V3500">
        <v>630</v>
      </c>
    </row>
    <row r="3501" spans="22:22" ht="15.75" customHeight="1">
      <c r="V3501">
        <v>630</v>
      </c>
    </row>
    <row r="3502" spans="22:22" ht="15.75" customHeight="1">
      <c r="V3502">
        <v>630</v>
      </c>
    </row>
    <row r="3503" spans="22:22" ht="15.75" customHeight="1">
      <c r="V3503">
        <v>630</v>
      </c>
    </row>
    <row r="3504" spans="22:22" ht="15.75" customHeight="1">
      <c r="V3504">
        <v>630</v>
      </c>
    </row>
    <row r="3505" spans="22:22" ht="15.75" customHeight="1">
      <c r="V3505">
        <v>630</v>
      </c>
    </row>
    <row r="3506" spans="22:22" ht="15.75" customHeight="1">
      <c r="V3506">
        <v>630</v>
      </c>
    </row>
    <row r="3507" spans="22:22" ht="15.75" customHeight="1">
      <c r="V3507">
        <v>630</v>
      </c>
    </row>
    <row r="3508" spans="22:22" ht="15.75" customHeight="1">
      <c r="V3508">
        <v>630</v>
      </c>
    </row>
    <row r="3509" spans="22:22" ht="15.75" customHeight="1">
      <c r="V3509">
        <v>630</v>
      </c>
    </row>
    <row r="3510" spans="22:22" ht="15.75" customHeight="1">
      <c r="V3510">
        <v>631</v>
      </c>
    </row>
    <row r="3511" spans="22:22" ht="15.75" customHeight="1">
      <c r="V3511">
        <v>631</v>
      </c>
    </row>
    <row r="3512" spans="22:22" ht="15.75" customHeight="1">
      <c r="V3512">
        <v>631</v>
      </c>
    </row>
    <row r="3513" spans="22:22" ht="15.75" customHeight="1">
      <c r="V3513">
        <v>631</v>
      </c>
    </row>
    <row r="3514" spans="22:22" ht="15.75" customHeight="1">
      <c r="V3514">
        <v>631</v>
      </c>
    </row>
    <row r="3515" spans="22:22" ht="15.75" customHeight="1">
      <c r="V3515">
        <v>631</v>
      </c>
    </row>
    <row r="3516" spans="22:22" ht="15.75" customHeight="1">
      <c r="V3516">
        <v>631</v>
      </c>
    </row>
    <row r="3517" spans="22:22" ht="15.75" customHeight="1">
      <c r="V3517">
        <v>631</v>
      </c>
    </row>
    <row r="3518" spans="22:22" ht="15.75" customHeight="1">
      <c r="V3518">
        <v>631</v>
      </c>
    </row>
    <row r="3519" spans="22:22" ht="15.75" customHeight="1">
      <c r="V3519">
        <v>631</v>
      </c>
    </row>
    <row r="3520" spans="22:22" ht="15.75" customHeight="1">
      <c r="V3520">
        <v>631</v>
      </c>
    </row>
    <row r="3521" spans="22:22" ht="15.75" customHeight="1">
      <c r="V3521">
        <v>631</v>
      </c>
    </row>
    <row r="3522" spans="22:22" ht="15.75" customHeight="1">
      <c r="V3522">
        <v>631</v>
      </c>
    </row>
    <row r="3523" spans="22:22" ht="15.75" customHeight="1">
      <c r="V3523">
        <v>631</v>
      </c>
    </row>
    <row r="3524" spans="22:22" ht="15.75" customHeight="1">
      <c r="V3524">
        <v>632</v>
      </c>
    </row>
    <row r="3525" spans="22:22" ht="15.75" customHeight="1">
      <c r="V3525">
        <v>632</v>
      </c>
    </row>
    <row r="3526" spans="22:22" ht="15.75" customHeight="1">
      <c r="V3526">
        <v>632</v>
      </c>
    </row>
    <row r="3527" spans="22:22" ht="15.75" customHeight="1">
      <c r="V3527">
        <v>633</v>
      </c>
    </row>
    <row r="3528" spans="22:22" ht="15.75" customHeight="1">
      <c r="V3528">
        <v>634</v>
      </c>
    </row>
    <row r="3529" spans="22:22" ht="15.75" customHeight="1">
      <c r="V3529">
        <v>635</v>
      </c>
    </row>
    <row r="3530" spans="22:22" ht="15.75" customHeight="1">
      <c r="V3530">
        <v>636</v>
      </c>
    </row>
    <row r="3531" spans="22:22" ht="15.75" customHeight="1">
      <c r="V3531">
        <v>637</v>
      </c>
    </row>
    <row r="3532" spans="22:22" ht="15.75" customHeight="1">
      <c r="V3532">
        <v>638</v>
      </c>
    </row>
    <row r="3533" spans="22:22" ht="15.75" customHeight="1">
      <c r="V3533">
        <v>638</v>
      </c>
    </row>
    <row r="3534" spans="22:22" ht="15.75" customHeight="1">
      <c r="V3534">
        <v>639</v>
      </c>
    </row>
    <row r="3535" spans="22:22" ht="15.75" customHeight="1">
      <c r="V3535">
        <v>640</v>
      </c>
    </row>
    <row r="3536" spans="22:22" ht="15.75" customHeight="1">
      <c r="V3536">
        <v>641</v>
      </c>
    </row>
    <row r="3537" spans="22:22" ht="15.75" customHeight="1">
      <c r="V3537">
        <v>641</v>
      </c>
    </row>
    <row r="3538" spans="22:22" ht="15.75" customHeight="1">
      <c r="V3538">
        <v>641</v>
      </c>
    </row>
    <row r="3539" spans="22:22" ht="15.75" customHeight="1">
      <c r="V3539">
        <v>641</v>
      </c>
    </row>
    <row r="3540" spans="22:22" ht="15.75" customHeight="1">
      <c r="V3540">
        <v>641</v>
      </c>
    </row>
    <row r="3541" spans="22:22" ht="15.75" customHeight="1">
      <c r="V3541">
        <v>641</v>
      </c>
    </row>
    <row r="3542" spans="22:22" ht="15.75" customHeight="1">
      <c r="V3542">
        <v>641</v>
      </c>
    </row>
    <row r="3543" spans="22:22" ht="15.75" customHeight="1">
      <c r="V3543">
        <v>641</v>
      </c>
    </row>
    <row r="3544" spans="22:22" ht="15.75" customHeight="1">
      <c r="V3544">
        <v>641</v>
      </c>
    </row>
    <row r="3545" spans="22:22" ht="15.75" customHeight="1">
      <c r="V3545">
        <v>641</v>
      </c>
    </row>
    <row r="3546" spans="22:22" ht="15.75" customHeight="1">
      <c r="V3546">
        <v>641</v>
      </c>
    </row>
    <row r="3547" spans="22:22" ht="15.75" customHeight="1">
      <c r="V3547">
        <v>641</v>
      </c>
    </row>
    <row r="3548" spans="22:22" ht="15.75" customHeight="1">
      <c r="V3548">
        <v>641</v>
      </c>
    </row>
    <row r="3549" spans="22:22" ht="15.75" customHeight="1">
      <c r="V3549">
        <v>641</v>
      </c>
    </row>
    <row r="3550" spans="22:22" ht="15.75" customHeight="1">
      <c r="V3550">
        <v>641</v>
      </c>
    </row>
    <row r="3551" spans="22:22" ht="15.75" customHeight="1">
      <c r="V3551">
        <v>642</v>
      </c>
    </row>
    <row r="3552" spans="22:22" ht="15.75" customHeight="1">
      <c r="V3552">
        <v>643</v>
      </c>
    </row>
    <row r="3553" spans="22:22" ht="15.75" customHeight="1">
      <c r="V3553">
        <v>644</v>
      </c>
    </row>
    <row r="3554" spans="22:22" ht="15.75" customHeight="1">
      <c r="V3554">
        <v>645</v>
      </c>
    </row>
    <row r="3555" spans="22:22" ht="15.75" customHeight="1">
      <c r="V3555">
        <v>646</v>
      </c>
    </row>
    <row r="3556" spans="22:22" ht="15.75" customHeight="1">
      <c r="V3556">
        <v>647</v>
      </c>
    </row>
    <row r="3557" spans="22:22" ht="15.75" customHeight="1">
      <c r="V3557">
        <v>648</v>
      </c>
    </row>
    <row r="3558" spans="22:22" ht="15.75" customHeight="1">
      <c r="V3558">
        <v>648</v>
      </c>
    </row>
    <row r="3559" spans="22:22" ht="15.75" customHeight="1">
      <c r="V3559">
        <v>648</v>
      </c>
    </row>
    <row r="3560" spans="22:22" ht="15.75" customHeight="1">
      <c r="V3560">
        <v>648</v>
      </c>
    </row>
    <row r="3561" spans="22:22" ht="15.75" customHeight="1">
      <c r="V3561">
        <v>648</v>
      </c>
    </row>
    <row r="3562" spans="22:22" ht="15.75" customHeight="1">
      <c r="V3562">
        <v>649</v>
      </c>
    </row>
    <row r="3563" spans="22:22" ht="15.75" customHeight="1">
      <c r="V3563">
        <v>649</v>
      </c>
    </row>
    <row r="3564" spans="22:22" ht="15.75" customHeight="1">
      <c r="V3564">
        <v>649</v>
      </c>
    </row>
    <row r="3565" spans="22:22" ht="15.75" customHeight="1">
      <c r="V3565">
        <v>649</v>
      </c>
    </row>
    <row r="3566" spans="22:22" ht="15.75" customHeight="1">
      <c r="V3566">
        <v>649</v>
      </c>
    </row>
    <row r="3567" spans="22:22" ht="15.75" customHeight="1">
      <c r="V3567">
        <v>649</v>
      </c>
    </row>
    <row r="3568" spans="22:22" ht="15.75" customHeight="1">
      <c r="V3568">
        <v>649</v>
      </c>
    </row>
    <row r="3569" spans="22:22" ht="15.75" customHeight="1">
      <c r="V3569">
        <v>650</v>
      </c>
    </row>
    <row r="3570" spans="22:22" ht="15.75" customHeight="1">
      <c r="V3570">
        <v>651</v>
      </c>
    </row>
    <row r="3571" spans="22:22" ht="15.75" customHeight="1">
      <c r="V3571">
        <v>652</v>
      </c>
    </row>
    <row r="3572" spans="22:22" ht="15.75" customHeight="1">
      <c r="V3572">
        <v>653</v>
      </c>
    </row>
    <row r="3573" spans="22:22" ht="15.75" customHeight="1">
      <c r="V3573">
        <v>654</v>
      </c>
    </row>
    <row r="3574" spans="22:22" ht="15.75" customHeight="1">
      <c r="V3574">
        <v>655</v>
      </c>
    </row>
    <row r="3575" spans="22:22" ht="15.75" customHeight="1">
      <c r="V3575">
        <v>655</v>
      </c>
    </row>
    <row r="3576" spans="22:22" ht="15.75" customHeight="1">
      <c r="V3576">
        <v>655</v>
      </c>
    </row>
    <row r="3577" spans="22:22" ht="15.75" customHeight="1">
      <c r="V3577">
        <v>655</v>
      </c>
    </row>
    <row r="3578" spans="22:22" ht="15.75" customHeight="1">
      <c r="V3578">
        <v>656</v>
      </c>
    </row>
    <row r="3579" spans="22:22" ht="15.75" customHeight="1">
      <c r="V3579">
        <v>656</v>
      </c>
    </row>
    <row r="3580" spans="22:22" ht="15.75" customHeight="1">
      <c r="V3580">
        <v>657</v>
      </c>
    </row>
    <row r="3581" spans="22:22" ht="15.75" customHeight="1">
      <c r="V3581">
        <v>658</v>
      </c>
    </row>
    <row r="3582" spans="22:22" ht="15.75" customHeight="1">
      <c r="V3582">
        <v>658</v>
      </c>
    </row>
    <row r="3583" spans="22:22" ht="15.75" customHeight="1">
      <c r="V3583">
        <v>658</v>
      </c>
    </row>
    <row r="3584" spans="22:22" ht="15.75" customHeight="1">
      <c r="V3584">
        <v>658</v>
      </c>
    </row>
    <row r="3585" spans="22:22" ht="15.75" customHeight="1">
      <c r="V3585">
        <v>658</v>
      </c>
    </row>
    <row r="3586" spans="22:22" ht="15.75" customHeight="1">
      <c r="V3586">
        <v>658</v>
      </c>
    </row>
    <row r="3587" spans="22:22" ht="15.75" customHeight="1">
      <c r="V3587">
        <v>658</v>
      </c>
    </row>
    <row r="3588" spans="22:22" ht="15.75" customHeight="1">
      <c r="V3588">
        <v>658</v>
      </c>
    </row>
    <row r="3589" spans="22:22" ht="15.75" customHeight="1">
      <c r="V3589">
        <v>658</v>
      </c>
    </row>
    <row r="3590" spans="22:22" ht="15.75" customHeight="1">
      <c r="V3590">
        <v>658</v>
      </c>
    </row>
    <row r="3591" spans="22:22" ht="15.75" customHeight="1">
      <c r="V3591">
        <v>658</v>
      </c>
    </row>
    <row r="3592" spans="22:22" ht="15.75" customHeight="1">
      <c r="V3592">
        <v>659</v>
      </c>
    </row>
    <row r="3593" spans="22:22" ht="15.75" customHeight="1">
      <c r="V3593">
        <v>660</v>
      </c>
    </row>
    <row r="3594" spans="22:22" ht="15.75" customHeight="1">
      <c r="V3594">
        <v>661</v>
      </c>
    </row>
    <row r="3595" spans="22:22" ht="15.75" customHeight="1">
      <c r="V3595">
        <v>661</v>
      </c>
    </row>
    <row r="3596" spans="22:22" ht="15.75" customHeight="1">
      <c r="V3596">
        <v>661</v>
      </c>
    </row>
    <row r="3597" spans="22:22" ht="15.75" customHeight="1">
      <c r="V3597">
        <v>661</v>
      </c>
    </row>
    <row r="3598" spans="22:22" ht="15.75" customHeight="1">
      <c r="V3598">
        <v>661</v>
      </c>
    </row>
    <row r="3599" spans="22:22" ht="15.75" customHeight="1">
      <c r="V3599">
        <v>662</v>
      </c>
    </row>
    <row r="3600" spans="22:22" ht="15.75" customHeight="1">
      <c r="V3600">
        <v>662</v>
      </c>
    </row>
    <row r="3601" spans="22:22" ht="15.75" customHeight="1">
      <c r="V3601">
        <v>662</v>
      </c>
    </row>
    <row r="3602" spans="22:22" ht="15.75" customHeight="1">
      <c r="V3602">
        <v>662</v>
      </c>
    </row>
    <row r="3603" spans="22:22" ht="15.75" customHeight="1">
      <c r="V3603">
        <v>662</v>
      </c>
    </row>
    <row r="3604" spans="22:22" ht="15.75" customHeight="1">
      <c r="V3604">
        <v>662</v>
      </c>
    </row>
    <row r="3605" spans="22:22" ht="15.75" customHeight="1">
      <c r="V3605">
        <v>663</v>
      </c>
    </row>
    <row r="3606" spans="22:22" ht="15.75" customHeight="1">
      <c r="V3606">
        <v>664</v>
      </c>
    </row>
    <row r="3607" spans="22:22" ht="15.75" customHeight="1">
      <c r="V3607">
        <v>665</v>
      </c>
    </row>
    <row r="3608" spans="22:22" ht="15.75" customHeight="1">
      <c r="V3608">
        <v>665</v>
      </c>
    </row>
    <row r="3609" spans="22:22" ht="15.75" customHeight="1">
      <c r="V3609">
        <v>666</v>
      </c>
    </row>
    <row r="3610" spans="22:22" ht="15.75" customHeight="1">
      <c r="V3610">
        <v>666</v>
      </c>
    </row>
    <row r="3611" spans="22:22" ht="15.75" customHeight="1">
      <c r="V3611">
        <v>667</v>
      </c>
    </row>
    <row r="3612" spans="22:22" ht="15.75" customHeight="1">
      <c r="V3612">
        <v>668</v>
      </c>
    </row>
    <row r="3613" spans="22:22" ht="15.75" customHeight="1">
      <c r="V3613">
        <v>669</v>
      </c>
    </row>
    <row r="3614" spans="22:22" ht="15.75" customHeight="1">
      <c r="V3614">
        <v>670</v>
      </c>
    </row>
    <row r="3615" spans="22:22" ht="15.75" customHeight="1">
      <c r="V3615">
        <v>670</v>
      </c>
    </row>
    <row r="3616" spans="22:22" ht="15.75" customHeight="1">
      <c r="V3616">
        <v>671</v>
      </c>
    </row>
    <row r="3617" spans="22:22" ht="15.75" customHeight="1">
      <c r="V3617">
        <v>672</v>
      </c>
    </row>
    <row r="3618" spans="22:22" ht="15.75" customHeight="1">
      <c r="V3618">
        <v>672</v>
      </c>
    </row>
    <row r="3619" spans="22:22" ht="15.75" customHeight="1">
      <c r="V3619">
        <v>672</v>
      </c>
    </row>
    <row r="3620" spans="22:22" ht="15.75" customHeight="1">
      <c r="V3620">
        <v>672</v>
      </c>
    </row>
    <row r="3621" spans="22:22" ht="15.75" customHeight="1">
      <c r="V3621">
        <v>672</v>
      </c>
    </row>
    <row r="3622" spans="22:22" ht="15.75" customHeight="1">
      <c r="V3622">
        <v>672</v>
      </c>
    </row>
    <row r="3623" spans="22:22" ht="15.75" customHeight="1">
      <c r="V3623">
        <v>672</v>
      </c>
    </row>
    <row r="3624" spans="22:22" ht="15.75" customHeight="1">
      <c r="V3624">
        <v>672</v>
      </c>
    </row>
    <row r="3625" spans="22:22" ht="15.75" customHeight="1">
      <c r="V3625">
        <v>672</v>
      </c>
    </row>
    <row r="3626" spans="22:22" ht="15.75" customHeight="1">
      <c r="V3626">
        <v>672</v>
      </c>
    </row>
    <row r="3627" spans="22:22" ht="15.75" customHeight="1">
      <c r="V3627">
        <v>672</v>
      </c>
    </row>
    <row r="3628" spans="22:22" ht="15.75" customHeight="1">
      <c r="V3628">
        <v>672</v>
      </c>
    </row>
    <row r="3629" spans="22:22" ht="15.75" customHeight="1">
      <c r="V3629">
        <v>672</v>
      </c>
    </row>
    <row r="3630" spans="22:22" ht="15.75" customHeight="1">
      <c r="V3630">
        <v>672</v>
      </c>
    </row>
    <row r="3631" spans="22:22" ht="15.75" customHeight="1">
      <c r="V3631">
        <v>672</v>
      </c>
    </row>
    <row r="3632" spans="22:22" ht="15.75" customHeight="1">
      <c r="V3632">
        <v>672</v>
      </c>
    </row>
    <row r="3633" spans="22:22" ht="15.75" customHeight="1">
      <c r="V3633">
        <v>672</v>
      </c>
    </row>
    <row r="3634" spans="22:22" ht="15.75" customHeight="1">
      <c r="V3634">
        <v>672</v>
      </c>
    </row>
    <row r="3635" spans="22:22" ht="15.75" customHeight="1">
      <c r="V3635">
        <v>672</v>
      </c>
    </row>
    <row r="3636" spans="22:22" ht="15.75" customHeight="1">
      <c r="V3636">
        <v>672</v>
      </c>
    </row>
    <row r="3637" spans="22:22" ht="15.75" customHeight="1">
      <c r="V3637">
        <v>672</v>
      </c>
    </row>
    <row r="3638" spans="22:22" ht="15.75" customHeight="1">
      <c r="V3638">
        <v>672</v>
      </c>
    </row>
    <row r="3639" spans="22:22" ht="15.75" customHeight="1">
      <c r="V3639">
        <v>672</v>
      </c>
    </row>
    <row r="3640" spans="22:22" ht="15.75" customHeight="1">
      <c r="V3640">
        <v>672</v>
      </c>
    </row>
    <row r="3641" spans="22:22" ht="15.75" customHeight="1">
      <c r="V3641">
        <v>672</v>
      </c>
    </row>
    <row r="3642" spans="22:22" ht="15.75" customHeight="1">
      <c r="V3642">
        <v>672</v>
      </c>
    </row>
    <row r="3643" spans="22:22" ht="15.75" customHeight="1">
      <c r="V3643">
        <v>672</v>
      </c>
    </row>
    <row r="3644" spans="22:22" ht="15.75" customHeight="1">
      <c r="V3644">
        <v>672</v>
      </c>
    </row>
    <row r="3645" spans="22:22" ht="15.75" customHeight="1">
      <c r="V3645">
        <v>673</v>
      </c>
    </row>
    <row r="3646" spans="22:22" ht="15.75" customHeight="1">
      <c r="V3646">
        <v>674</v>
      </c>
    </row>
    <row r="3647" spans="22:22" ht="15.75" customHeight="1">
      <c r="V3647">
        <v>674</v>
      </c>
    </row>
    <row r="3648" spans="22:22" ht="15.75" customHeight="1">
      <c r="V3648">
        <v>675</v>
      </c>
    </row>
    <row r="3649" spans="22:22" ht="15.75" customHeight="1">
      <c r="V3649">
        <v>675</v>
      </c>
    </row>
    <row r="3650" spans="22:22" ht="15.75" customHeight="1">
      <c r="V3650">
        <v>676</v>
      </c>
    </row>
    <row r="3651" spans="22:22" ht="15.75" customHeight="1">
      <c r="V3651">
        <v>676</v>
      </c>
    </row>
    <row r="3652" spans="22:22" ht="15.75" customHeight="1">
      <c r="V3652">
        <v>676</v>
      </c>
    </row>
    <row r="3653" spans="22:22" ht="15.75" customHeight="1">
      <c r="V3653">
        <v>677</v>
      </c>
    </row>
    <row r="3654" spans="22:22" ht="15.75" customHeight="1">
      <c r="V3654">
        <v>677</v>
      </c>
    </row>
    <row r="3655" spans="22:22" ht="15.75" customHeight="1">
      <c r="V3655">
        <v>677</v>
      </c>
    </row>
    <row r="3656" spans="22:22" ht="15.75" customHeight="1">
      <c r="V3656">
        <v>677</v>
      </c>
    </row>
    <row r="3657" spans="22:22" ht="15.75" customHeight="1">
      <c r="V3657">
        <v>677</v>
      </c>
    </row>
    <row r="3658" spans="22:22" ht="15.75" customHeight="1">
      <c r="V3658">
        <v>677</v>
      </c>
    </row>
    <row r="3659" spans="22:22" ht="15.75" customHeight="1">
      <c r="V3659">
        <v>677</v>
      </c>
    </row>
    <row r="3660" spans="22:22" ht="15.75" customHeight="1">
      <c r="V3660">
        <v>677</v>
      </c>
    </row>
    <row r="3661" spans="22:22" ht="15.75" customHeight="1">
      <c r="V3661">
        <v>678</v>
      </c>
    </row>
    <row r="3662" spans="22:22" ht="15.75" customHeight="1">
      <c r="V3662">
        <v>679</v>
      </c>
    </row>
    <row r="3663" spans="22:22" ht="15.75" customHeight="1">
      <c r="V3663">
        <v>680</v>
      </c>
    </row>
    <row r="3664" spans="22:22" ht="15.75" customHeight="1">
      <c r="V3664">
        <v>680</v>
      </c>
    </row>
    <row r="3665" spans="22:22" ht="15.75" customHeight="1">
      <c r="V3665">
        <v>680</v>
      </c>
    </row>
    <row r="3666" spans="22:22" ht="15.75" customHeight="1">
      <c r="V3666">
        <v>680</v>
      </c>
    </row>
    <row r="3667" spans="22:22" ht="15.75" customHeight="1">
      <c r="V3667">
        <v>680</v>
      </c>
    </row>
    <row r="3668" spans="22:22" ht="15.75" customHeight="1">
      <c r="V3668">
        <v>680</v>
      </c>
    </row>
    <row r="3669" spans="22:22" ht="15.75" customHeight="1">
      <c r="V3669">
        <v>680</v>
      </c>
    </row>
    <row r="3670" spans="22:22" ht="15.75" customHeight="1">
      <c r="V3670">
        <v>680</v>
      </c>
    </row>
    <row r="3671" spans="22:22" ht="15.75" customHeight="1">
      <c r="V3671">
        <v>680</v>
      </c>
    </row>
    <row r="3672" spans="22:22" ht="15.75" customHeight="1">
      <c r="V3672">
        <v>680</v>
      </c>
    </row>
    <row r="3673" spans="22:22" ht="15.75" customHeight="1">
      <c r="V3673">
        <v>680</v>
      </c>
    </row>
    <row r="3674" spans="22:22" ht="15.75" customHeight="1">
      <c r="V3674">
        <v>680</v>
      </c>
    </row>
    <row r="3675" spans="22:22" ht="15.75" customHeight="1">
      <c r="V3675">
        <v>680</v>
      </c>
    </row>
    <row r="3676" spans="22:22" ht="15.75" customHeight="1">
      <c r="V3676">
        <v>680</v>
      </c>
    </row>
    <row r="3677" spans="22:22" ht="15.75" customHeight="1">
      <c r="V3677">
        <v>681</v>
      </c>
    </row>
    <row r="3678" spans="22:22" ht="15.75" customHeight="1">
      <c r="V3678">
        <v>681</v>
      </c>
    </row>
    <row r="3679" spans="22:22" ht="15.75" customHeight="1">
      <c r="V3679">
        <v>682</v>
      </c>
    </row>
    <row r="3680" spans="22:22" ht="15.75" customHeight="1">
      <c r="V3680">
        <v>682</v>
      </c>
    </row>
    <row r="3681" spans="22:22" ht="15.75" customHeight="1">
      <c r="V3681">
        <v>682</v>
      </c>
    </row>
    <row r="3682" spans="22:22" ht="15.75" customHeight="1">
      <c r="V3682">
        <v>683</v>
      </c>
    </row>
    <row r="3683" spans="22:22" ht="15.75" customHeight="1">
      <c r="V3683">
        <v>684</v>
      </c>
    </row>
    <row r="3684" spans="22:22" ht="15.75" customHeight="1">
      <c r="V3684">
        <v>685</v>
      </c>
    </row>
    <row r="3685" spans="22:22" ht="15.75" customHeight="1">
      <c r="V3685">
        <v>685</v>
      </c>
    </row>
    <row r="3686" spans="22:22" ht="15.75" customHeight="1">
      <c r="V3686">
        <v>685</v>
      </c>
    </row>
    <row r="3687" spans="22:22" ht="15.75" customHeight="1">
      <c r="V3687">
        <v>685</v>
      </c>
    </row>
    <row r="3688" spans="22:22" ht="15.75" customHeight="1">
      <c r="V3688">
        <v>685</v>
      </c>
    </row>
    <row r="3689" spans="22:22" ht="15.75" customHeight="1">
      <c r="V3689">
        <v>685</v>
      </c>
    </row>
    <row r="3690" spans="22:22" ht="15.75" customHeight="1">
      <c r="V3690">
        <v>685</v>
      </c>
    </row>
    <row r="3691" spans="22:22" ht="15.75" customHeight="1">
      <c r="V3691">
        <v>685</v>
      </c>
    </row>
    <row r="3692" spans="22:22" ht="15.75" customHeight="1">
      <c r="V3692">
        <v>685</v>
      </c>
    </row>
    <row r="3693" spans="22:22" ht="15.75" customHeight="1">
      <c r="V3693">
        <v>685</v>
      </c>
    </row>
    <row r="3694" spans="22:22" ht="15.75" customHeight="1">
      <c r="V3694">
        <v>685</v>
      </c>
    </row>
    <row r="3695" spans="22:22" ht="15.75" customHeight="1">
      <c r="V3695">
        <v>685</v>
      </c>
    </row>
    <row r="3696" spans="22:22" ht="15.75" customHeight="1">
      <c r="V3696">
        <v>685</v>
      </c>
    </row>
    <row r="3697" spans="22:22" ht="15.75" customHeight="1">
      <c r="V3697">
        <v>685</v>
      </c>
    </row>
    <row r="3698" spans="22:22" ht="15.75" customHeight="1">
      <c r="V3698">
        <v>685</v>
      </c>
    </row>
    <row r="3699" spans="22:22" ht="15.75" customHeight="1">
      <c r="V3699">
        <v>685</v>
      </c>
    </row>
    <row r="3700" spans="22:22" ht="15.75" customHeight="1">
      <c r="V3700">
        <v>685</v>
      </c>
    </row>
    <row r="3701" spans="22:22" ht="15.75" customHeight="1">
      <c r="V3701">
        <v>685</v>
      </c>
    </row>
    <row r="3702" spans="22:22" ht="15.75" customHeight="1">
      <c r="V3702">
        <v>685</v>
      </c>
    </row>
    <row r="3703" spans="22:22" ht="15.75" customHeight="1">
      <c r="V3703">
        <v>686</v>
      </c>
    </row>
    <row r="3704" spans="22:22" ht="15.75" customHeight="1">
      <c r="V3704">
        <v>686</v>
      </c>
    </row>
    <row r="3705" spans="22:22" ht="15.75" customHeight="1">
      <c r="V3705">
        <v>686</v>
      </c>
    </row>
    <row r="3706" spans="22:22" ht="15.75" customHeight="1">
      <c r="V3706">
        <v>686</v>
      </c>
    </row>
    <row r="3707" spans="22:22" ht="15.75" customHeight="1">
      <c r="V3707">
        <v>687</v>
      </c>
    </row>
    <row r="3708" spans="22:22" ht="15.75" customHeight="1">
      <c r="V3708">
        <v>687</v>
      </c>
    </row>
    <row r="3709" spans="22:22" ht="15.75" customHeight="1">
      <c r="V3709">
        <v>687</v>
      </c>
    </row>
    <row r="3710" spans="22:22" ht="15.75" customHeight="1">
      <c r="V3710">
        <v>687</v>
      </c>
    </row>
    <row r="3711" spans="22:22" ht="15.75" customHeight="1">
      <c r="V3711">
        <v>687</v>
      </c>
    </row>
    <row r="3712" spans="22:22" ht="15.75" customHeight="1">
      <c r="V3712">
        <v>687</v>
      </c>
    </row>
    <row r="3713" spans="22:22" ht="15.75" customHeight="1">
      <c r="V3713">
        <v>687</v>
      </c>
    </row>
    <row r="3714" spans="22:22" ht="15.75" customHeight="1">
      <c r="V3714">
        <v>687</v>
      </c>
    </row>
    <row r="3715" spans="22:22" ht="15.75" customHeight="1">
      <c r="V3715">
        <v>687</v>
      </c>
    </row>
    <row r="3716" spans="22:22" ht="15.75" customHeight="1">
      <c r="V3716">
        <v>688</v>
      </c>
    </row>
    <row r="3717" spans="22:22" ht="15.75" customHeight="1">
      <c r="V3717">
        <v>688</v>
      </c>
    </row>
    <row r="3718" spans="22:22" ht="15.75" customHeight="1">
      <c r="V3718">
        <v>689</v>
      </c>
    </row>
    <row r="3719" spans="22:22" ht="15.75" customHeight="1">
      <c r="V3719">
        <v>689</v>
      </c>
    </row>
    <row r="3720" spans="22:22" ht="15.75" customHeight="1">
      <c r="V3720">
        <v>690</v>
      </c>
    </row>
    <row r="3721" spans="22:22" ht="15.75" customHeight="1">
      <c r="V3721">
        <v>690</v>
      </c>
    </row>
    <row r="3722" spans="22:22" ht="15.75" customHeight="1">
      <c r="V3722">
        <v>690</v>
      </c>
    </row>
    <row r="3723" spans="22:22" ht="15.75" customHeight="1">
      <c r="V3723">
        <v>691</v>
      </c>
    </row>
    <row r="3724" spans="22:22" ht="15.75" customHeight="1">
      <c r="V3724">
        <v>691</v>
      </c>
    </row>
    <row r="3725" spans="22:22" ht="15.75" customHeight="1">
      <c r="V3725">
        <v>691</v>
      </c>
    </row>
    <row r="3726" spans="22:22" ht="15.75" customHeight="1">
      <c r="V3726">
        <v>692</v>
      </c>
    </row>
    <row r="3727" spans="22:22" ht="15.75" customHeight="1">
      <c r="V3727">
        <v>693</v>
      </c>
    </row>
    <row r="3728" spans="22:22" ht="15.75" customHeight="1">
      <c r="V3728">
        <v>694</v>
      </c>
    </row>
    <row r="3729" spans="22:22" ht="15.75" customHeight="1">
      <c r="V3729">
        <v>694</v>
      </c>
    </row>
    <row r="3730" spans="22:22" ht="15.75" customHeight="1">
      <c r="V3730">
        <v>694</v>
      </c>
    </row>
    <row r="3731" spans="22:22" ht="15.75" customHeight="1">
      <c r="V3731">
        <v>695</v>
      </c>
    </row>
    <row r="3732" spans="22:22" ht="15.75" customHeight="1">
      <c r="V3732">
        <v>695</v>
      </c>
    </row>
    <row r="3733" spans="22:22" ht="15.75" customHeight="1">
      <c r="V3733">
        <v>695</v>
      </c>
    </row>
    <row r="3734" spans="22:22" ht="15.75" customHeight="1">
      <c r="V3734">
        <v>695</v>
      </c>
    </row>
    <row r="3735" spans="22:22" ht="15.75" customHeight="1">
      <c r="V3735">
        <v>695</v>
      </c>
    </row>
    <row r="3736" spans="22:22" ht="15.75" customHeight="1">
      <c r="V3736">
        <v>695</v>
      </c>
    </row>
    <row r="3737" spans="22:22" ht="15.75" customHeight="1">
      <c r="V3737">
        <v>695</v>
      </c>
    </row>
    <row r="3738" spans="22:22" ht="15.75" customHeight="1">
      <c r="V3738">
        <v>695</v>
      </c>
    </row>
    <row r="3739" spans="22:22" ht="15.75" customHeight="1">
      <c r="V3739">
        <v>695</v>
      </c>
    </row>
    <row r="3740" spans="22:22" ht="15.75" customHeight="1">
      <c r="V3740">
        <v>695</v>
      </c>
    </row>
    <row r="3741" spans="22:22" ht="15.75" customHeight="1">
      <c r="V3741">
        <v>695</v>
      </c>
    </row>
    <row r="3742" spans="22:22" ht="15.75" customHeight="1">
      <c r="V3742">
        <v>695</v>
      </c>
    </row>
    <row r="3743" spans="22:22" ht="15.75" customHeight="1">
      <c r="V3743">
        <v>695</v>
      </c>
    </row>
    <row r="3744" spans="22:22" ht="15.75" customHeight="1">
      <c r="V3744">
        <v>695</v>
      </c>
    </row>
    <row r="3745" spans="22:22" ht="15.75" customHeight="1">
      <c r="V3745">
        <v>695</v>
      </c>
    </row>
    <row r="3746" spans="22:22" ht="15.75" customHeight="1">
      <c r="V3746">
        <v>695</v>
      </c>
    </row>
    <row r="3747" spans="22:22" ht="15.75" customHeight="1">
      <c r="V3747">
        <v>695</v>
      </c>
    </row>
    <row r="3748" spans="22:22" ht="15.75" customHeight="1">
      <c r="V3748">
        <v>695</v>
      </c>
    </row>
    <row r="3749" spans="22:22" ht="15.75" customHeight="1">
      <c r="V3749">
        <v>695</v>
      </c>
    </row>
    <row r="3750" spans="22:22" ht="15.75" customHeight="1">
      <c r="V3750">
        <v>695</v>
      </c>
    </row>
    <row r="3751" spans="22:22" ht="15.75" customHeight="1">
      <c r="V3751">
        <v>695</v>
      </c>
    </row>
    <row r="3752" spans="22:22" ht="15.75" customHeight="1">
      <c r="V3752">
        <v>695</v>
      </c>
    </row>
    <row r="3753" spans="22:22" ht="15.75" customHeight="1">
      <c r="V3753">
        <v>695</v>
      </c>
    </row>
    <row r="3754" spans="22:22" ht="15.75" customHeight="1">
      <c r="V3754">
        <v>695</v>
      </c>
    </row>
    <row r="3755" spans="22:22" ht="15.75" customHeight="1">
      <c r="V3755">
        <v>696</v>
      </c>
    </row>
    <row r="3756" spans="22:22" ht="15.75" customHeight="1">
      <c r="V3756">
        <v>696</v>
      </c>
    </row>
    <row r="3757" spans="22:22" ht="15.75" customHeight="1">
      <c r="V3757">
        <v>696</v>
      </c>
    </row>
    <row r="3758" spans="22:22" ht="15.75" customHeight="1">
      <c r="V3758">
        <v>696</v>
      </c>
    </row>
    <row r="3759" spans="22:22" ht="15.75" customHeight="1">
      <c r="V3759">
        <v>696</v>
      </c>
    </row>
    <row r="3760" spans="22:22" ht="15.75" customHeight="1">
      <c r="V3760">
        <v>696</v>
      </c>
    </row>
    <row r="3761" spans="22:22" ht="15.75" customHeight="1">
      <c r="V3761">
        <v>696</v>
      </c>
    </row>
    <row r="3762" spans="22:22" ht="15.75" customHeight="1">
      <c r="V3762">
        <v>696</v>
      </c>
    </row>
    <row r="3763" spans="22:22" ht="15.75" customHeight="1">
      <c r="V3763">
        <v>696</v>
      </c>
    </row>
    <row r="3764" spans="22:22" ht="15.75" customHeight="1">
      <c r="V3764">
        <v>696</v>
      </c>
    </row>
    <row r="3765" spans="22:22" ht="15.75" customHeight="1">
      <c r="V3765">
        <v>696</v>
      </c>
    </row>
    <row r="3766" spans="22:22" ht="15.75" customHeight="1">
      <c r="V3766">
        <v>696</v>
      </c>
    </row>
    <row r="3767" spans="22:22" ht="15.75" customHeight="1">
      <c r="V3767">
        <v>697</v>
      </c>
    </row>
    <row r="3768" spans="22:22" ht="15.75" customHeight="1">
      <c r="V3768">
        <v>697</v>
      </c>
    </row>
    <row r="3769" spans="22:22" ht="15.75" customHeight="1">
      <c r="V3769">
        <v>697</v>
      </c>
    </row>
    <row r="3770" spans="22:22" ht="15.75" customHeight="1">
      <c r="V3770">
        <v>697</v>
      </c>
    </row>
    <row r="3771" spans="22:22" ht="15.75" customHeight="1">
      <c r="V3771">
        <v>698</v>
      </c>
    </row>
    <row r="3772" spans="22:22" ht="15.75" customHeight="1">
      <c r="V3772">
        <v>699</v>
      </c>
    </row>
    <row r="3773" spans="22:22" ht="15.75" customHeight="1">
      <c r="V3773">
        <v>699</v>
      </c>
    </row>
    <row r="3774" spans="22:22" ht="15.75" customHeight="1">
      <c r="V3774">
        <v>699</v>
      </c>
    </row>
    <row r="3775" spans="22:22" ht="15.75" customHeight="1">
      <c r="V3775">
        <v>699</v>
      </c>
    </row>
    <row r="3776" spans="22:22" ht="15.75" customHeight="1">
      <c r="V3776">
        <v>699</v>
      </c>
    </row>
    <row r="3777" spans="22:22" ht="15.75" customHeight="1">
      <c r="V3777">
        <v>699</v>
      </c>
    </row>
    <row r="3778" spans="22:22" ht="15.75" customHeight="1">
      <c r="V3778">
        <v>700</v>
      </c>
    </row>
    <row r="3779" spans="22:22" ht="15.75" customHeight="1">
      <c r="V3779">
        <v>701</v>
      </c>
    </row>
    <row r="3780" spans="22:22" ht="15.75" customHeight="1">
      <c r="V3780">
        <v>702</v>
      </c>
    </row>
    <row r="3781" spans="22:22" ht="15.75" customHeight="1">
      <c r="V3781">
        <v>702</v>
      </c>
    </row>
    <row r="3782" spans="22:22" ht="15.75" customHeight="1">
      <c r="V3782">
        <v>702</v>
      </c>
    </row>
    <row r="3783" spans="22:22" ht="15.75" customHeight="1">
      <c r="V3783">
        <v>702</v>
      </c>
    </row>
    <row r="3784" spans="22:22" ht="15.75" customHeight="1">
      <c r="V3784">
        <v>703</v>
      </c>
    </row>
    <row r="3785" spans="22:22" ht="15.75" customHeight="1">
      <c r="V3785">
        <v>703</v>
      </c>
    </row>
    <row r="3786" spans="22:22" ht="15.75" customHeight="1">
      <c r="V3786">
        <v>703</v>
      </c>
    </row>
    <row r="3787" spans="22:22" ht="15.75" customHeight="1">
      <c r="V3787">
        <v>703</v>
      </c>
    </row>
    <row r="3788" spans="22:22" ht="15.75" customHeight="1">
      <c r="V3788">
        <v>703</v>
      </c>
    </row>
    <row r="3789" spans="22:22" ht="15.75" customHeight="1">
      <c r="V3789">
        <v>704</v>
      </c>
    </row>
    <row r="3790" spans="22:22" ht="15.75" customHeight="1">
      <c r="V3790">
        <v>704</v>
      </c>
    </row>
    <row r="3791" spans="22:22" ht="15.75" customHeight="1">
      <c r="V3791">
        <v>704</v>
      </c>
    </row>
    <row r="3792" spans="22:22" ht="15.75" customHeight="1">
      <c r="V3792">
        <v>705</v>
      </c>
    </row>
    <row r="3793" spans="22:22" ht="15.75" customHeight="1">
      <c r="V3793">
        <v>705</v>
      </c>
    </row>
    <row r="3794" spans="22:22" ht="15.75" customHeight="1">
      <c r="V3794">
        <v>706</v>
      </c>
    </row>
    <row r="3795" spans="22:22" ht="15.75" customHeight="1">
      <c r="V3795">
        <v>706</v>
      </c>
    </row>
    <row r="3796" spans="22:22" ht="15.75" customHeight="1">
      <c r="V3796">
        <v>706</v>
      </c>
    </row>
    <row r="3797" spans="22:22" ht="15.75" customHeight="1">
      <c r="V3797">
        <v>706</v>
      </c>
    </row>
    <row r="3798" spans="22:22" ht="15.75" customHeight="1">
      <c r="V3798">
        <v>706</v>
      </c>
    </row>
    <row r="3799" spans="22:22" ht="15.75" customHeight="1">
      <c r="V3799">
        <v>706</v>
      </c>
    </row>
    <row r="3800" spans="22:22" ht="15.75" customHeight="1">
      <c r="V3800">
        <v>706</v>
      </c>
    </row>
    <row r="3801" spans="22:22" ht="15.75" customHeight="1">
      <c r="V3801">
        <v>706</v>
      </c>
    </row>
    <row r="3802" spans="22:22" ht="15.75" customHeight="1">
      <c r="V3802">
        <v>707</v>
      </c>
    </row>
    <row r="3803" spans="22:22" ht="15.75" customHeight="1">
      <c r="V3803">
        <v>707</v>
      </c>
    </row>
    <row r="3804" spans="22:22" ht="15.75" customHeight="1">
      <c r="V3804">
        <v>707</v>
      </c>
    </row>
    <row r="3805" spans="22:22" ht="15.75" customHeight="1">
      <c r="V3805">
        <v>707</v>
      </c>
    </row>
    <row r="3806" spans="22:22" ht="15.75" customHeight="1">
      <c r="V3806">
        <v>707</v>
      </c>
    </row>
    <row r="3807" spans="22:22" ht="15.75" customHeight="1">
      <c r="V3807">
        <v>707</v>
      </c>
    </row>
    <row r="3808" spans="22:22" ht="15.75" customHeight="1">
      <c r="V3808">
        <v>708</v>
      </c>
    </row>
    <row r="3809" spans="22:22" ht="15.75" customHeight="1">
      <c r="V3809">
        <v>709</v>
      </c>
    </row>
    <row r="3810" spans="22:22" ht="15.75" customHeight="1">
      <c r="V3810">
        <v>710</v>
      </c>
    </row>
    <row r="3811" spans="22:22" ht="15.75" customHeight="1">
      <c r="V3811">
        <v>710</v>
      </c>
    </row>
    <row r="3812" spans="22:22" ht="15.75" customHeight="1">
      <c r="V3812">
        <v>710</v>
      </c>
    </row>
    <row r="3813" spans="22:22" ht="15.75" customHeight="1">
      <c r="V3813">
        <v>710</v>
      </c>
    </row>
    <row r="3814" spans="22:22" ht="15.75" customHeight="1">
      <c r="V3814">
        <v>710</v>
      </c>
    </row>
    <row r="3815" spans="22:22" ht="15.75" customHeight="1">
      <c r="V3815">
        <v>711</v>
      </c>
    </row>
    <row r="3816" spans="22:22" ht="15.75" customHeight="1">
      <c r="V3816">
        <v>711</v>
      </c>
    </row>
    <row r="3817" spans="22:22" ht="15.75" customHeight="1">
      <c r="V3817">
        <v>711</v>
      </c>
    </row>
    <row r="3818" spans="22:22" ht="15.75" customHeight="1">
      <c r="V3818">
        <v>711</v>
      </c>
    </row>
    <row r="3819" spans="22:22" ht="15.75" customHeight="1">
      <c r="V3819">
        <v>711</v>
      </c>
    </row>
    <row r="3820" spans="22:22" ht="15.75" customHeight="1">
      <c r="V3820">
        <v>711</v>
      </c>
    </row>
    <row r="3821" spans="22:22" ht="15.75" customHeight="1">
      <c r="V3821">
        <v>711</v>
      </c>
    </row>
    <row r="3822" spans="22:22" ht="15.75" customHeight="1">
      <c r="V3822">
        <v>711</v>
      </c>
    </row>
    <row r="3823" spans="22:22" ht="15.75" customHeight="1">
      <c r="V3823">
        <v>711</v>
      </c>
    </row>
    <row r="3824" spans="22:22" ht="15.75" customHeight="1">
      <c r="V3824">
        <v>711</v>
      </c>
    </row>
    <row r="3825" spans="22:22" ht="15.75" customHeight="1">
      <c r="V3825">
        <v>711</v>
      </c>
    </row>
    <row r="3826" spans="22:22" ht="15.75" customHeight="1">
      <c r="V3826">
        <v>711</v>
      </c>
    </row>
    <row r="3827" spans="22:22" ht="15.75" customHeight="1">
      <c r="V3827">
        <v>711</v>
      </c>
    </row>
    <row r="3828" spans="22:22" ht="15.75" customHeight="1">
      <c r="V3828">
        <v>711</v>
      </c>
    </row>
    <row r="3829" spans="22:22" ht="15.75" customHeight="1">
      <c r="V3829">
        <v>711</v>
      </c>
    </row>
    <row r="3830" spans="22:22" ht="15.75" customHeight="1">
      <c r="V3830">
        <v>712</v>
      </c>
    </row>
    <row r="3831" spans="22:22" ht="15.75" customHeight="1">
      <c r="V3831">
        <v>713</v>
      </c>
    </row>
    <row r="3832" spans="22:22" ht="15.75" customHeight="1">
      <c r="V3832">
        <v>713</v>
      </c>
    </row>
    <row r="3833" spans="22:22" ht="15.75" customHeight="1">
      <c r="V3833">
        <v>714</v>
      </c>
    </row>
    <row r="3834" spans="22:22" ht="15.75" customHeight="1">
      <c r="V3834">
        <v>714</v>
      </c>
    </row>
    <row r="3835" spans="22:22" ht="15.75" customHeight="1">
      <c r="V3835">
        <v>715</v>
      </c>
    </row>
    <row r="3836" spans="22:22" ht="15.75" customHeight="1">
      <c r="V3836">
        <v>716</v>
      </c>
    </row>
    <row r="3837" spans="22:22" ht="15.75" customHeight="1">
      <c r="V3837">
        <v>717</v>
      </c>
    </row>
    <row r="3838" spans="22:22" ht="15.75" customHeight="1">
      <c r="V3838">
        <v>718</v>
      </c>
    </row>
    <row r="3839" spans="22:22" ht="15.75" customHeight="1">
      <c r="V3839">
        <v>719</v>
      </c>
    </row>
    <row r="3840" spans="22:22" ht="15.75" customHeight="1">
      <c r="V3840">
        <v>720</v>
      </c>
    </row>
    <row r="3841" spans="22:22" ht="15.75" customHeight="1">
      <c r="V3841">
        <v>720</v>
      </c>
    </row>
    <row r="3842" spans="22:22" ht="15.75" customHeight="1">
      <c r="V3842">
        <v>720</v>
      </c>
    </row>
    <row r="3843" spans="22:22" ht="15.75" customHeight="1">
      <c r="V3843">
        <v>721</v>
      </c>
    </row>
    <row r="3844" spans="22:22" ht="15.75" customHeight="1">
      <c r="V3844">
        <v>721</v>
      </c>
    </row>
    <row r="3845" spans="22:22" ht="15.75" customHeight="1">
      <c r="V3845">
        <v>722</v>
      </c>
    </row>
    <row r="3846" spans="22:22" ht="15.75" customHeight="1">
      <c r="V3846">
        <v>723</v>
      </c>
    </row>
    <row r="3847" spans="22:22" ht="15.75" customHeight="1">
      <c r="V3847">
        <v>724</v>
      </c>
    </row>
    <row r="3848" spans="22:22" ht="15.75" customHeight="1">
      <c r="V3848">
        <v>724</v>
      </c>
    </row>
    <row r="3849" spans="22:22" ht="15.75" customHeight="1">
      <c r="V3849">
        <v>724</v>
      </c>
    </row>
    <row r="3850" spans="22:22" ht="15.75" customHeight="1">
      <c r="V3850">
        <v>724</v>
      </c>
    </row>
    <row r="3851" spans="22:22" ht="15.75" customHeight="1">
      <c r="V3851">
        <v>724</v>
      </c>
    </row>
    <row r="3852" spans="22:22" ht="15.75" customHeight="1">
      <c r="V3852">
        <v>725</v>
      </c>
    </row>
    <row r="3853" spans="22:22" ht="15.75" customHeight="1">
      <c r="V3853">
        <v>725</v>
      </c>
    </row>
    <row r="3854" spans="22:22" ht="15.75" customHeight="1">
      <c r="V3854">
        <v>725</v>
      </c>
    </row>
    <row r="3855" spans="22:22" ht="15.75" customHeight="1">
      <c r="V3855">
        <v>725</v>
      </c>
    </row>
    <row r="3856" spans="22:22" ht="15.75" customHeight="1">
      <c r="V3856">
        <v>725</v>
      </c>
    </row>
    <row r="3857" spans="22:22" ht="15.75" customHeight="1">
      <c r="V3857">
        <v>725</v>
      </c>
    </row>
    <row r="3858" spans="22:22" ht="15.75" customHeight="1">
      <c r="V3858">
        <v>725</v>
      </c>
    </row>
    <row r="3859" spans="22:22" ht="15.75" customHeight="1">
      <c r="V3859">
        <v>725</v>
      </c>
    </row>
    <row r="3860" spans="22:22" ht="15.75" customHeight="1">
      <c r="V3860">
        <v>725</v>
      </c>
    </row>
    <row r="3861" spans="22:22" ht="15.75" customHeight="1">
      <c r="V3861">
        <v>725</v>
      </c>
    </row>
    <row r="3862" spans="22:22" ht="15.75" customHeight="1">
      <c r="V3862">
        <v>725</v>
      </c>
    </row>
    <row r="3863" spans="22:22" ht="15.75" customHeight="1">
      <c r="V3863">
        <v>725</v>
      </c>
    </row>
    <row r="3864" spans="22:22" ht="15.75" customHeight="1">
      <c r="V3864">
        <v>726</v>
      </c>
    </row>
    <row r="3865" spans="22:22" ht="15.75" customHeight="1">
      <c r="V3865">
        <v>726</v>
      </c>
    </row>
    <row r="3866" spans="22:22" ht="15.75" customHeight="1">
      <c r="V3866">
        <v>726</v>
      </c>
    </row>
    <row r="3867" spans="22:22" ht="15.75" customHeight="1">
      <c r="V3867">
        <v>727</v>
      </c>
    </row>
    <row r="3868" spans="22:22" ht="15.75" customHeight="1">
      <c r="V3868">
        <v>727</v>
      </c>
    </row>
    <row r="3869" spans="22:22" ht="15.75" customHeight="1">
      <c r="V3869">
        <v>727</v>
      </c>
    </row>
    <row r="3870" spans="22:22" ht="15.75" customHeight="1">
      <c r="V3870">
        <v>727</v>
      </c>
    </row>
    <row r="3871" spans="22:22" ht="15.75" customHeight="1">
      <c r="V3871">
        <v>727</v>
      </c>
    </row>
    <row r="3872" spans="22:22" ht="15.75" customHeight="1">
      <c r="V3872">
        <v>727</v>
      </c>
    </row>
    <row r="3873" spans="22:22" ht="15.75" customHeight="1">
      <c r="V3873">
        <v>727</v>
      </c>
    </row>
    <row r="3874" spans="22:22" ht="15.75" customHeight="1">
      <c r="V3874">
        <v>727</v>
      </c>
    </row>
    <row r="3875" spans="22:22" ht="15.75" customHeight="1">
      <c r="V3875">
        <v>727</v>
      </c>
    </row>
    <row r="3876" spans="22:22" ht="15.75" customHeight="1">
      <c r="V3876">
        <v>727</v>
      </c>
    </row>
    <row r="3877" spans="22:22" ht="15.75" customHeight="1">
      <c r="V3877">
        <v>727</v>
      </c>
    </row>
    <row r="3878" spans="22:22" ht="15.75" customHeight="1">
      <c r="V3878">
        <v>727</v>
      </c>
    </row>
    <row r="3879" spans="22:22" ht="15.75" customHeight="1">
      <c r="V3879">
        <v>727</v>
      </c>
    </row>
    <row r="3880" spans="22:22" ht="15.75" customHeight="1">
      <c r="V3880">
        <v>727</v>
      </c>
    </row>
    <row r="3881" spans="22:22" ht="15.75" customHeight="1">
      <c r="V3881">
        <v>727</v>
      </c>
    </row>
    <row r="3882" spans="22:22" ht="15.75" customHeight="1">
      <c r="V3882">
        <v>727</v>
      </c>
    </row>
    <row r="3883" spans="22:22" ht="15.75" customHeight="1">
      <c r="V3883">
        <v>727</v>
      </c>
    </row>
    <row r="3884" spans="22:22" ht="15.75" customHeight="1">
      <c r="V3884">
        <v>727</v>
      </c>
    </row>
    <row r="3885" spans="22:22" ht="15.75" customHeight="1">
      <c r="V3885">
        <v>727</v>
      </c>
    </row>
    <row r="3886" spans="22:22" ht="15.75" customHeight="1">
      <c r="V3886">
        <v>728</v>
      </c>
    </row>
    <row r="3887" spans="22:22" ht="15.75" customHeight="1">
      <c r="V3887">
        <v>728</v>
      </c>
    </row>
    <row r="3888" spans="22:22" ht="15.75" customHeight="1">
      <c r="V3888">
        <v>728</v>
      </c>
    </row>
    <row r="3889" spans="22:22" ht="15.75" customHeight="1">
      <c r="V3889">
        <v>729</v>
      </c>
    </row>
    <row r="3890" spans="22:22" ht="15.75" customHeight="1">
      <c r="V3890">
        <v>729</v>
      </c>
    </row>
    <row r="3891" spans="22:22" ht="15.75" customHeight="1">
      <c r="V3891">
        <v>729</v>
      </c>
    </row>
    <row r="3892" spans="22:22" ht="15.75" customHeight="1">
      <c r="V3892">
        <v>730</v>
      </c>
    </row>
    <row r="3893" spans="22:22" ht="15.75" customHeight="1">
      <c r="V3893">
        <v>730</v>
      </c>
    </row>
    <row r="3894" spans="22:22" ht="15.75" customHeight="1">
      <c r="V3894">
        <v>731</v>
      </c>
    </row>
    <row r="3895" spans="22:22" ht="15.75" customHeight="1">
      <c r="V3895">
        <v>732</v>
      </c>
    </row>
    <row r="3896" spans="22:22" ht="15.75" customHeight="1">
      <c r="V3896">
        <v>732</v>
      </c>
    </row>
    <row r="3897" spans="22:22" ht="15.75" customHeight="1">
      <c r="V3897">
        <v>732</v>
      </c>
    </row>
    <row r="3898" spans="22:22" ht="15.75" customHeight="1">
      <c r="V3898">
        <v>733</v>
      </c>
    </row>
    <row r="3899" spans="22:22" ht="15.75" customHeight="1">
      <c r="V3899">
        <v>733</v>
      </c>
    </row>
    <row r="3900" spans="22:22" ht="15.75" customHeight="1">
      <c r="V3900">
        <v>733</v>
      </c>
    </row>
    <row r="3901" spans="22:22" ht="15.75" customHeight="1">
      <c r="V3901">
        <v>733</v>
      </c>
    </row>
    <row r="3902" spans="22:22" ht="15.75" customHeight="1">
      <c r="V3902">
        <v>733</v>
      </c>
    </row>
    <row r="3903" spans="22:22" ht="15.75" customHeight="1">
      <c r="V3903">
        <v>733</v>
      </c>
    </row>
    <row r="3904" spans="22:22" ht="15.75" customHeight="1">
      <c r="V3904">
        <v>733</v>
      </c>
    </row>
    <row r="3905" spans="22:22" ht="15.75" customHeight="1">
      <c r="V3905">
        <v>733</v>
      </c>
    </row>
    <row r="3906" spans="22:22" ht="15.75" customHeight="1">
      <c r="V3906">
        <v>733</v>
      </c>
    </row>
    <row r="3907" spans="22:22" ht="15.75" customHeight="1">
      <c r="V3907">
        <v>733</v>
      </c>
    </row>
    <row r="3908" spans="22:22" ht="15.75" customHeight="1">
      <c r="V3908">
        <v>733</v>
      </c>
    </row>
    <row r="3909" spans="22:22" ht="15.75" customHeight="1">
      <c r="V3909">
        <v>733</v>
      </c>
    </row>
    <row r="3910" spans="22:22" ht="15.75" customHeight="1">
      <c r="V3910">
        <v>733</v>
      </c>
    </row>
    <row r="3911" spans="22:22" ht="15.75" customHeight="1">
      <c r="V3911">
        <v>733</v>
      </c>
    </row>
    <row r="3912" spans="22:22" ht="15.75" customHeight="1">
      <c r="V3912">
        <v>734</v>
      </c>
    </row>
    <row r="3913" spans="22:22" ht="15.75" customHeight="1">
      <c r="V3913">
        <v>734</v>
      </c>
    </row>
    <row r="3914" spans="22:22" ht="15.75" customHeight="1">
      <c r="V3914">
        <v>734</v>
      </c>
    </row>
    <row r="3915" spans="22:22" ht="15.75" customHeight="1">
      <c r="V3915">
        <v>734</v>
      </c>
    </row>
    <row r="3916" spans="22:22" ht="15.75" customHeight="1">
      <c r="V3916">
        <v>735</v>
      </c>
    </row>
    <row r="3917" spans="22:22" ht="15.75" customHeight="1">
      <c r="V3917">
        <v>735</v>
      </c>
    </row>
    <row r="3918" spans="22:22" ht="15.75" customHeight="1">
      <c r="V3918">
        <v>735</v>
      </c>
    </row>
    <row r="3919" spans="22:22" ht="15.75" customHeight="1">
      <c r="V3919">
        <v>735</v>
      </c>
    </row>
    <row r="3920" spans="22:22" ht="15.75" customHeight="1">
      <c r="V3920">
        <v>735</v>
      </c>
    </row>
    <row r="3921" spans="22:22" ht="15.75" customHeight="1">
      <c r="V3921">
        <v>735</v>
      </c>
    </row>
    <row r="3922" spans="22:22" ht="15.75" customHeight="1">
      <c r="V3922">
        <v>735</v>
      </c>
    </row>
    <row r="3923" spans="22:22" ht="15.75" customHeight="1">
      <c r="V3923">
        <v>735</v>
      </c>
    </row>
    <row r="3924" spans="22:22" ht="15.75" customHeight="1">
      <c r="V3924">
        <v>735</v>
      </c>
    </row>
    <row r="3925" spans="22:22" ht="15.75" customHeight="1">
      <c r="V3925">
        <v>735</v>
      </c>
    </row>
    <row r="3926" spans="22:22" ht="15.75" customHeight="1">
      <c r="V3926">
        <v>735</v>
      </c>
    </row>
    <row r="3927" spans="22:22" ht="15.75" customHeight="1">
      <c r="V3927">
        <v>735</v>
      </c>
    </row>
    <row r="3928" spans="22:22" ht="15.75" customHeight="1">
      <c r="V3928">
        <v>735</v>
      </c>
    </row>
    <row r="3929" spans="22:22" ht="15.75" customHeight="1">
      <c r="V3929">
        <v>735</v>
      </c>
    </row>
    <row r="3930" spans="22:22" ht="15.75" customHeight="1">
      <c r="V3930">
        <v>735</v>
      </c>
    </row>
    <row r="3931" spans="22:22" ht="15.75" customHeight="1">
      <c r="V3931">
        <v>735</v>
      </c>
    </row>
    <row r="3932" spans="22:22" ht="15.75" customHeight="1">
      <c r="V3932">
        <v>735</v>
      </c>
    </row>
    <row r="3933" spans="22:22" ht="15.75" customHeight="1">
      <c r="V3933">
        <v>735</v>
      </c>
    </row>
    <row r="3934" spans="22:22" ht="15.75" customHeight="1">
      <c r="V3934">
        <v>735</v>
      </c>
    </row>
    <row r="3935" spans="22:22" ht="15.75" customHeight="1">
      <c r="V3935">
        <v>735</v>
      </c>
    </row>
    <row r="3936" spans="22:22" ht="15.75" customHeight="1">
      <c r="V3936">
        <v>735</v>
      </c>
    </row>
    <row r="3937" spans="22:22" ht="15.75" customHeight="1">
      <c r="V3937">
        <v>735</v>
      </c>
    </row>
    <row r="3938" spans="22:22" ht="15.75" customHeight="1">
      <c r="V3938">
        <v>735</v>
      </c>
    </row>
    <row r="3939" spans="22:22" ht="15.75" customHeight="1">
      <c r="V3939">
        <v>735</v>
      </c>
    </row>
    <row r="3940" spans="22:22" ht="15.75" customHeight="1">
      <c r="V3940">
        <v>736</v>
      </c>
    </row>
    <row r="3941" spans="22:22" ht="15.75" customHeight="1">
      <c r="V3941">
        <v>737</v>
      </c>
    </row>
    <row r="3942" spans="22:22" ht="15.75" customHeight="1">
      <c r="V3942">
        <v>737</v>
      </c>
    </row>
    <row r="3943" spans="22:22" ht="15.75" customHeight="1">
      <c r="V3943">
        <v>738</v>
      </c>
    </row>
    <row r="3944" spans="22:22" ht="15.75" customHeight="1">
      <c r="V3944">
        <v>738</v>
      </c>
    </row>
    <row r="3945" spans="22:22" ht="15.75" customHeight="1">
      <c r="V3945">
        <v>739</v>
      </c>
    </row>
    <row r="3946" spans="22:22" ht="15.75" customHeight="1">
      <c r="V3946">
        <v>739</v>
      </c>
    </row>
    <row r="3947" spans="22:22" ht="15.75" customHeight="1">
      <c r="V3947">
        <v>739</v>
      </c>
    </row>
    <row r="3948" spans="22:22" ht="15.75" customHeight="1">
      <c r="V3948">
        <v>739</v>
      </c>
    </row>
    <row r="3949" spans="22:22" ht="15.75" customHeight="1">
      <c r="V3949">
        <v>739</v>
      </c>
    </row>
    <row r="3950" spans="22:22" ht="15.75" customHeight="1">
      <c r="V3950">
        <v>739</v>
      </c>
    </row>
    <row r="3951" spans="22:22" ht="15.75" customHeight="1">
      <c r="V3951">
        <v>739</v>
      </c>
    </row>
    <row r="3952" spans="22:22" ht="15.75" customHeight="1">
      <c r="V3952">
        <v>739</v>
      </c>
    </row>
    <row r="3953" spans="22:22" ht="15.75" customHeight="1">
      <c r="V3953">
        <v>739</v>
      </c>
    </row>
    <row r="3954" spans="22:22" ht="15.75" customHeight="1">
      <c r="V3954">
        <v>739</v>
      </c>
    </row>
    <row r="3955" spans="22:22" ht="15.75" customHeight="1">
      <c r="V3955">
        <v>739</v>
      </c>
    </row>
    <row r="3956" spans="22:22" ht="15.75" customHeight="1">
      <c r="V3956">
        <v>739</v>
      </c>
    </row>
    <row r="3957" spans="22:22" ht="15.75" customHeight="1">
      <c r="V3957">
        <v>740</v>
      </c>
    </row>
    <row r="3958" spans="22:22" ht="15.75" customHeight="1">
      <c r="V3958">
        <v>740</v>
      </c>
    </row>
    <row r="3959" spans="22:22" ht="15.75" customHeight="1">
      <c r="V3959">
        <v>740</v>
      </c>
    </row>
    <row r="3960" spans="22:22" ht="15.75" customHeight="1">
      <c r="V3960">
        <v>741</v>
      </c>
    </row>
    <row r="3961" spans="22:22" ht="15.75" customHeight="1">
      <c r="V3961">
        <v>742</v>
      </c>
    </row>
    <row r="3962" spans="22:22" ht="15.75" customHeight="1">
      <c r="V3962">
        <v>742</v>
      </c>
    </row>
    <row r="3963" spans="22:22" ht="15.75" customHeight="1">
      <c r="V3963">
        <v>742</v>
      </c>
    </row>
    <row r="3964" spans="22:22" ht="15.75" customHeight="1">
      <c r="V3964">
        <v>742</v>
      </c>
    </row>
    <row r="3965" spans="22:22" ht="15.75" customHeight="1">
      <c r="V3965">
        <v>742</v>
      </c>
    </row>
    <row r="3966" spans="22:22" ht="15.75" customHeight="1">
      <c r="V3966">
        <v>742</v>
      </c>
    </row>
    <row r="3967" spans="22:22" ht="15.75" customHeight="1">
      <c r="V3967">
        <v>742</v>
      </c>
    </row>
    <row r="3968" spans="22:22" ht="15.75" customHeight="1">
      <c r="V3968">
        <v>742</v>
      </c>
    </row>
    <row r="3969" spans="22:22" ht="15.75" customHeight="1">
      <c r="V3969">
        <v>742</v>
      </c>
    </row>
    <row r="3970" spans="22:22" ht="15.75" customHeight="1">
      <c r="V3970">
        <v>742</v>
      </c>
    </row>
    <row r="3971" spans="22:22" ht="15.75" customHeight="1">
      <c r="V3971">
        <v>742</v>
      </c>
    </row>
    <row r="3972" spans="22:22" ht="15.75" customHeight="1">
      <c r="V3972">
        <v>742</v>
      </c>
    </row>
    <row r="3973" spans="22:22" ht="15.75" customHeight="1">
      <c r="V3973">
        <v>742</v>
      </c>
    </row>
    <row r="3974" spans="22:22" ht="15.75" customHeight="1">
      <c r="V3974">
        <v>742</v>
      </c>
    </row>
    <row r="3975" spans="22:22" ht="15.75" customHeight="1">
      <c r="V3975">
        <v>742</v>
      </c>
    </row>
    <row r="3976" spans="22:22" ht="15.75" customHeight="1">
      <c r="V3976">
        <v>742</v>
      </c>
    </row>
    <row r="3977" spans="22:22" ht="15.75" customHeight="1">
      <c r="V3977">
        <v>742</v>
      </c>
    </row>
    <row r="3978" spans="22:22" ht="15.75" customHeight="1">
      <c r="V3978">
        <v>742</v>
      </c>
    </row>
    <row r="3979" spans="22:22" ht="15.75" customHeight="1">
      <c r="V3979">
        <v>742</v>
      </c>
    </row>
    <row r="3980" spans="22:22" ht="15.75" customHeight="1">
      <c r="V3980">
        <v>743</v>
      </c>
    </row>
    <row r="3981" spans="22:22" ht="15.75" customHeight="1">
      <c r="V3981">
        <v>743</v>
      </c>
    </row>
    <row r="3982" spans="22:22" ht="15.75" customHeight="1">
      <c r="V3982">
        <v>743</v>
      </c>
    </row>
    <row r="3983" spans="22:22" ht="15.75" customHeight="1">
      <c r="V3983">
        <v>743</v>
      </c>
    </row>
    <row r="3984" spans="22:22" ht="15.75" customHeight="1">
      <c r="V3984">
        <v>743</v>
      </c>
    </row>
    <row r="3985" spans="22:22" ht="15.75" customHeight="1">
      <c r="V3985">
        <v>743</v>
      </c>
    </row>
    <row r="3986" spans="22:22" ht="15.75" customHeight="1">
      <c r="V3986">
        <v>743</v>
      </c>
    </row>
    <row r="3987" spans="22:22" ht="15.75" customHeight="1">
      <c r="V3987">
        <v>743</v>
      </c>
    </row>
    <row r="3988" spans="22:22" ht="15.75" customHeight="1">
      <c r="V3988">
        <v>743</v>
      </c>
    </row>
    <row r="3989" spans="22:22" ht="15.75" customHeight="1">
      <c r="V3989">
        <v>743</v>
      </c>
    </row>
    <row r="3990" spans="22:22" ht="15.75" customHeight="1">
      <c r="V3990">
        <v>743</v>
      </c>
    </row>
    <row r="3991" spans="22:22" ht="15.75" customHeight="1">
      <c r="V3991">
        <v>743</v>
      </c>
    </row>
    <row r="3992" spans="22:22" ht="15.75" customHeight="1">
      <c r="V3992">
        <v>744</v>
      </c>
    </row>
    <row r="3993" spans="22:22" ht="15.75" customHeight="1">
      <c r="V3993">
        <v>744</v>
      </c>
    </row>
    <row r="3994" spans="22:22" ht="15.75" customHeight="1">
      <c r="V3994">
        <v>744</v>
      </c>
    </row>
    <row r="3995" spans="22:22" ht="15.75" customHeight="1">
      <c r="V3995">
        <v>744</v>
      </c>
    </row>
    <row r="3996" spans="22:22" ht="15.75" customHeight="1">
      <c r="V3996">
        <v>744</v>
      </c>
    </row>
    <row r="3997" spans="22:22" ht="15.75" customHeight="1">
      <c r="V3997">
        <v>744</v>
      </c>
    </row>
    <row r="3998" spans="22:22" ht="15.75" customHeight="1">
      <c r="V3998">
        <v>744</v>
      </c>
    </row>
    <row r="3999" spans="22:22" ht="15.75" customHeight="1">
      <c r="V3999">
        <v>744</v>
      </c>
    </row>
    <row r="4000" spans="22:22" ht="15.75" customHeight="1">
      <c r="V4000">
        <v>744</v>
      </c>
    </row>
    <row r="4001" spans="22:22" ht="15.75" customHeight="1">
      <c r="V4001">
        <v>744</v>
      </c>
    </row>
    <row r="4002" spans="22:22" ht="15.75" customHeight="1">
      <c r="V4002">
        <v>744</v>
      </c>
    </row>
    <row r="4003" spans="22:22" ht="15.75" customHeight="1">
      <c r="V4003">
        <v>744</v>
      </c>
    </row>
    <row r="4004" spans="22:22" ht="15.75" customHeight="1">
      <c r="V4004">
        <v>744</v>
      </c>
    </row>
    <row r="4005" spans="22:22" ht="15.75" customHeight="1">
      <c r="V4005">
        <v>744</v>
      </c>
    </row>
    <row r="4006" spans="22:22" ht="15.75" customHeight="1">
      <c r="V4006">
        <v>744</v>
      </c>
    </row>
    <row r="4007" spans="22:22" ht="15.75" customHeight="1">
      <c r="V4007">
        <v>744</v>
      </c>
    </row>
    <row r="4008" spans="22:22" ht="15.75" customHeight="1">
      <c r="V4008">
        <v>744</v>
      </c>
    </row>
    <row r="4009" spans="22:22" ht="15.75" customHeight="1">
      <c r="V4009">
        <v>744</v>
      </c>
    </row>
    <row r="4010" spans="22:22" ht="15.75" customHeight="1">
      <c r="V4010">
        <v>744</v>
      </c>
    </row>
    <row r="4011" spans="22:22" ht="15.75" customHeight="1">
      <c r="V4011">
        <v>744</v>
      </c>
    </row>
    <row r="4012" spans="22:22" ht="15.75" customHeight="1">
      <c r="V4012">
        <v>744</v>
      </c>
    </row>
    <row r="4013" spans="22:22" ht="15.75" customHeight="1">
      <c r="V4013">
        <v>744</v>
      </c>
    </row>
    <row r="4014" spans="22:22" ht="15.75" customHeight="1">
      <c r="V4014">
        <v>744</v>
      </c>
    </row>
    <row r="4015" spans="22:22" ht="15.75" customHeight="1">
      <c r="V4015">
        <v>744</v>
      </c>
    </row>
    <row r="4016" spans="22:22" ht="15.75" customHeight="1">
      <c r="V4016">
        <v>744</v>
      </c>
    </row>
    <row r="4017" spans="22:22" ht="15.75" customHeight="1">
      <c r="V4017">
        <v>744</v>
      </c>
    </row>
    <row r="4018" spans="22:22" ht="15.75" customHeight="1">
      <c r="V4018">
        <v>744</v>
      </c>
    </row>
    <row r="4019" spans="22:22" ht="15.75" customHeight="1">
      <c r="V4019">
        <v>744</v>
      </c>
    </row>
    <row r="4020" spans="22:22" ht="15.75" customHeight="1">
      <c r="V4020">
        <v>744</v>
      </c>
    </row>
    <row r="4021" spans="22:22" ht="15.75" customHeight="1">
      <c r="V4021">
        <v>744</v>
      </c>
    </row>
    <row r="4022" spans="22:22" ht="15.75" customHeight="1">
      <c r="V4022">
        <v>744</v>
      </c>
    </row>
    <row r="4023" spans="22:22" ht="15.75" customHeight="1">
      <c r="V4023">
        <v>744</v>
      </c>
    </row>
    <row r="4024" spans="22:22" ht="15.75" customHeight="1">
      <c r="V4024">
        <v>745</v>
      </c>
    </row>
    <row r="4025" spans="22:22" ht="15.75" customHeight="1">
      <c r="V4025">
        <v>746</v>
      </c>
    </row>
    <row r="4026" spans="22:22" ht="15.75" customHeight="1">
      <c r="V4026">
        <v>746</v>
      </c>
    </row>
    <row r="4027" spans="22:22" ht="15.75" customHeight="1">
      <c r="V4027">
        <v>746</v>
      </c>
    </row>
    <row r="4028" spans="22:22" ht="15.75" customHeight="1">
      <c r="V4028">
        <v>746</v>
      </c>
    </row>
    <row r="4029" spans="22:22" ht="15.75" customHeight="1">
      <c r="V4029">
        <v>746</v>
      </c>
    </row>
    <row r="4030" spans="22:22" ht="15.75" customHeight="1">
      <c r="V4030">
        <v>746</v>
      </c>
    </row>
    <row r="4031" spans="22:22" ht="15.75" customHeight="1">
      <c r="V4031">
        <v>746</v>
      </c>
    </row>
    <row r="4032" spans="22:22" ht="15.75" customHeight="1">
      <c r="V4032">
        <v>746</v>
      </c>
    </row>
    <row r="4033" spans="22:22" ht="15.75" customHeight="1">
      <c r="V4033">
        <v>746</v>
      </c>
    </row>
    <row r="4034" spans="22:22" ht="15.75" customHeight="1">
      <c r="V4034">
        <v>746</v>
      </c>
    </row>
    <row r="4035" spans="22:22" ht="15.75" customHeight="1">
      <c r="V4035">
        <v>746</v>
      </c>
    </row>
    <row r="4036" spans="22:22" ht="15.75" customHeight="1">
      <c r="V4036">
        <v>747</v>
      </c>
    </row>
    <row r="4037" spans="22:22" ht="15.75" customHeight="1">
      <c r="V4037">
        <v>748</v>
      </c>
    </row>
    <row r="4038" spans="22:22" ht="15.75" customHeight="1">
      <c r="V4038">
        <v>748</v>
      </c>
    </row>
    <row r="4039" spans="22:22" ht="15.75" customHeight="1">
      <c r="V4039">
        <v>748</v>
      </c>
    </row>
    <row r="4040" spans="22:22" ht="15.75" customHeight="1">
      <c r="V4040">
        <v>748</v>
      </c>
    </row>
    <row r="4041" spans="22:22" ht="15.75" customHeight="1">
      <c r="V4041">
        <v>749</v>
      </c>
    </row>
    <row r="4042" spans="22:22" ht="15.75" customHeight="1">
      <c r="V4042">
        <v>750</v>
      </c>
    </row>
    <row r="4043" spans="22:22" ht="15.75" customHeight="1">
      <c r="V4043">
        <v>751</v>
      </c>
    </row>
    <row r="4044" spans="22:22" ht="15.75" customHeight="1">
      <c r="V4044">
        <v>752</v>
      </c>
    </row>
    <row r="4045" spans="22:22" ht="15.75" customHeight="1">
      <c r="V4045">
        <v>752</v>
      </c>
    </row>
    <row r="4046" spans="22:22" ht="15.75" customHeight="1">
      <c r="V4046">
        <v>752</v>
      </c>
    </row>
    <row r="4047" spans="22:22" ht="15.75" customHeight="1">
      <c r="V4047">
        <v>752</v>
      </c>
    </row>
    <row r="4048" spans="22:22" ht="15.75" customHeight="1">
      <c r="V4048">
        <v>752</v>
      </c>
    </row>
    <row r="4049" spans="22:22" ht="15.75" customHeight="1">
      <c r="V4049">
        <v>752</v>
      </c>
    </row>
    <row r="4050" spans="22:22" ht="15.75" customHeight="1">
      <c r="V4050">
        <v>753</v>
      </c>
    </row>
    <row r="4051" spans="22:22" ht="15.75" customHeight="1">
      <c r="V4051">
        <v>753</v>
      </c>
    </row>
    <row r="4052" spans="22:22" ht="15.75" customHeight="1">
      <c r="V4052">
        <v>753</v>
      </c>
    </row>
    <row r="4053" spans="22:22" ht="15.75" customHeight="1">
      <c r="V4053">
        <v>753</v>
      </c>
    </row>
    <row r="4054" spans="22:22" ht="15.75" customHeight="1">
      <c r="V4054">
        <v>753</v>
      </c>
    </row>
    <row r="4055" spans="22:22" ht="15.75" customHeight="1">
      <c r="V4055">
        <v>753</v>
      </c>
    </row>
    <row r="4056" spans="22:22" ht="15.75" customHeight="1">
      <c r="V4056">
        <v>753</v>
      </c>
    </row>
    <row r="4057" spans="22:22" ht="15.75" customHeight="1">
      <c r="V4057">
        <v>754</v>
      </c>
    </row>
    <row r="4058" spans="22:22" ht="15.75" customHeight="1">
      <c r="V4058">
        <v>754</v>
      </c>
    </row>
    <row r="4059" spans="22:22" ht="15.75" customHeight="1">
      <c r="V4059">
        <v>754</v>
      </c>
    </row>
    <row r="4060" spans="22:22" ht="15.75" customHeight="1">
      <c r="V4060">
        <v>754</v>
      </c>
    </row>
    <row r="4061" spans="22:22" ht="15.75" customHeight="1">
      <c r="V4061">
        <v>754</v>
      </c>
    </row>
    <row r="4062" spans="22:22" ht="15.75" customHeight="1">
      <c r="V4062">
        <v>754</v>
      </c>
    </row>
    <row r="4063" spans="22:22" ht="15.75" customHeight="1">
      <c r="V4063">
        <v>754</v>
      </c>
    </row>
    <row r="4064" spans="22:22" ht="15.75" customHeight="1">
      <c r="V4064">
        <v>754</v>
      </c>
    </row>
    <row r="4065" spans="22:22" ht="15.75" customHeight="1">
      <c r="V4065">
        <v>754</v>
      </c>
    </row>
    <row r="4066" spans="22:22" ht="15.75" customHeight="1">
      <c r="V4066">
        <v>754</v>
      </c>
    </row>
    <row r="4067" spans="22:22" ht="15.75" customHeight="1">
      <c r="V4067">
        <v>754</v>
      </c>
    </row>
    <row r="4068" spans="22:22" ht="15.75" customHeight="1">
      <c r="V4068">
        <v>754</v>
      </c>
    </row>
    <row r="4069" spans="22:22" ht="15.75" customHeight="1">
      <c r="V4069">
        <v>754</v>
      </c>
    </row>
    <row r="4070" spans="22:22" ht="15.75" customHeight="1">
      <c r="V4070">
        <v>755</v>
      </c>
    </row>
    <row r="4071" spans="22:22" ht="15.75" customHeight="1">
      <c r="V4071">
        <v>755</v>
      </c>
    </row>
    <row r="4072" spans="22:22" ht="15.75" customHeight="1">
      <c r="V4072">
        <v>755</v>
      </c>
    </row>
    <row r="4073" spans="22:22" ht="15.75" customHeight="1">
      <c r="V4073">
        <v>755</v>
      </c>
    </row>
    <row r="4074" spans="22:22" ht="15.75" customHeight="1">
      <c r="V4074">
        <v>755</v>
      </c>
    </row>
    <row r="4075" spans="22:22" ht="15.75" customHeight="1">
      <c r="V4075">
        <v>755</v>
      </c>
    </row>
    <row r="4076" spans="22:22" ht="15.75" customHeight="1">
      <c r="V4076">
        <v>755</v>
      </c>
    </row>
    <row r="4077" spans="22:22" ht="15.75" customHeight="1">
      <c r="V4077">
        <v>755</v>
      </c>
    </row>
    <row r="4078" spans="22:22" ht="15.75" customHeight="1">
      <c r="V4078">
        <v>755</v>
      </c>
    </row>
    <row r="4079" spans="22:22" ht="15.75" customHeight="1">
      <c r="V4079">
        <v>755</v>
      </c>
    </row>
    <row r="4080" spans="22:22" ht="15.75" customHeight="1">
      <c r="V4080">
        <v>755</v>
      </c>
    </row>
    <row r="4081" spans="22:22" ht="15.75" customHeight="1">
      <c r="V4081">
        <v>755</v>
      </c>
    </row>
    <row r="4082" spans="22:22" ht="15.75" customHeight="1">
      <c r="V4082">
        <v>755</v>
      </c>
    </row>
    <row r="4083" spans="22:22" ht="15.75" customHeight="1">
      <c r="V4083">
        <v>755</v>
      </c>
    </row>
    <row r="4084" spans="22:22" ht="15.75" customHeight="1">
      <c r="V4084">
        <v>755</v>
      </c>
    </row>
    <row r="4085" spans="22:22" ht="15.75" customHeight="1">
      <c r="V4085">
        <v>755</v>
      </c>
    </row>
    <row r="4086" spans="22:22" ht="15.75" customHeight="1">
      <c r="V4086">
        <v>755</v>
      </c>
    </row>
    <row r="4087" spans="22:22" ht="15.75" customHeight="1">
      <c r="V4087">
        <v>755</v>
      </c>
    </row>
    <row r="4088" spans="22:22" ht="15.75" customHeight="1">
      <c r="V4088">
        <v>755</v>
      </c>
    </row>
    <row r="4089" spans="22:22" ht="15.75" customHeight="1">
      <c r="V4089">
        <v>755</v>
      </c>
    </row>
    <row r="4090" spans="22:22" ht="15.75" customHeight="1">
      <c r="V4090">
        <v>756</v>
      </c>
    </row>
    <row r="4091" spans="22:22" ht="15.75" customHeight="1">
      <c r="V4091">
        <v>756</v>
      </c>
    </row>
    <row r="4092" spans="22:22" ht="15.75" customHeight="1">
      <c r="V4092">
        <v>756</v>
      </c>
    </row>
    <row r="4093" spans="22:22" ht="15.75" customHeight="1">
      <c r="V4093">
        <v>756</v>
      </c>
    </row>
    <row r="4094" spans="22:22" ht="15.75" customHeight="1">
      <c r="V4094">
        <v>756</v>
      </c>
    </row>
    <row r="4095" spans="22:22" ht="15.75" customHeight="1">
      <c r="V4095">
        <v>756</v>
      </c>
    </row>
    <row r="4096" spans="22:22" ht="15.75" customHeight="1">
      <c r="V4096">
        <v>757</v>
      </c>
    </row>
    <row r="4097" spans="22:22" ht="15.75" customHeight="1">
      <c r="V4097">
        <v>758</v>
      </c>
    </row>
    <row r="4098" spans="22:22" ht="15.75" customHeight="1">
      <c r="V4098">
        <v>759</v>
      </c>
    </row>
    <row r="4099" spans="22:22" ht="15.75" customHeight="1">
      <c r="V4099">
        <v>759</v>
      </c>
    </row>
    <row r="4100" spans="22:22" ht="15.75" customHeight="1">
      <c r="V4100">
        <v>759</v>
      </c>
    </row>
    <row r="4101" spans="22:22" ht="15.75" customHeight="1">
      <c r="V4101">
        <v>759</v>
      </c>
    </row>
    <row r="4102" spans="22:22" ht="15.75" customHeight="1">
      <c r="V4102">
        <v>759</v>
      </c>
    </row>
    <row r="4103" spans="22:22" ht="15.75" customHeight="1">
      <c r="V4103">
        <v>759</v>
      </c>
    </row>
    <row r="4104" spans="22:22" ht="15.75" customHeight="1">
      <c r="V4104">
        <v>759</v>
      </c>
    </row>
    <row r="4105" spans="22:22" ht="15.75" customHeight="1">
      <c r="V4105">
        <v>759</v>
      </c>
    </row>
    <row r="4106" spans="22:22" ht="15.75" customHeight="1">
      <c r="V4106">
        <v>759</v>
      </c>
    </row>
    <row r="4107" spans="22:22" ht="15.75" customHeight="1">
      <c r="V4107">
        <v>759</v>
      </c>
    </row>
    <row r="4108" spans="22:22" ht="15.75" customHeight="1">
      <c r="V4108">
        <v>760</v>
      </c>
    </row>
    <row r="4109" spans="22:22" ht="15.75" customHeight="1">
      <c r="V4109">
        <v>760</v>
      </c>
    </row>
    <row r="4110" spans="22:22" ht="15.75" customHeight="1">
      <c r="V4110">
        <v>761</v>
      </c>
    </row>
    <row r="4111" spans="22:22" ht="15.75" customHeight="1">
      <c r="V4111">
        <v>761</v>
      </c>
    </row>
    <row r="4112" spans="22:22" ht="15.75" customHeight="1">
      <c r="V4112">
        <v>761</v>
      </c>
    </row>
    <row r="4113" spans="22:22" ht="15.75" customHeight="1">
      <c r="V4113">
        <v>761</v>
      </c>
    </row>
    <row r="4114" spans="22:22" ht="15.75" customHeight="1">
      <c r="V4114">
        <v>761</v>
      </c>
    </row>
    <row r="4115" spans="22:22" ht="15.75" customHeight="1">
      <c r="V4115">
        <v>761</v>
      </c>
    </row>
    <row r="4116" spans="22:22" ht="15.75" customHeight="1">
      <c r="V4116">
        <v>761</v>
      </c>
    </row>
    <row r="4117" spans="22:22" ht="15.75" customHeight="1">
      <c r="V4117">
        <v>761</v>
      </c>
    </row>
    <row r="4118" spans="22:22" ht="15.75" customHeight="1">
      <c r="V4118">
        <v>761</v>
      </c>
    </row>
    <row r="4119" spans="22:22" ht="15.75" customHeight="1">
      <c r="V4119">
        <v>761</v>
      </c>
    </row>
    <row r="4120" spans="22:22" ht="15.75" customHeight="1">
      <c r="V4120">
        <v>761</v>
      </c>
    </row>
    <row r="4121" spans="22:22" ht="15.75" customHeight="1">
      <c r="V4121">
        <v>761</v>
      </c>
    </row>
    <row r="4122" spans="22:22" ht="15.75" customHeight="1">
      <c r="V4122">
        <v>761</v>
      </c>
    </row>
    <row r="4123" spans="22:22" ht="15.75" customHeight="1">
      <c r="V4123">
        <v>761</v>
      </c>
    </row>
    <row r="4124" spans="22:22" ht="15.75" customHeight="1">
      <c r="V4124">
        <v>761</v>
      </c>
    </row>
    <row r="4125" spans="22:22" ht="15.75" customHeight="1">
      <c r="V4125">
        <v>761</v>
      </c>
    </row>
    <row r="4126" spans="22:22" ht="15.75" customHeight="1">
      <c r="V4126">
        <v>761</v>
      </c>
    </row>
    <row r="4127" spans="22:22" ht="15.75" customHeight="1">
      <c r="V4127">
        <v>761</v>
      </c>
    </row>
    <row r="4128" spans="22:22" ht="15.75" customHeight="1">
      <c r="V4128">
        <v>761</v>
      </c>
    </row>
    <row r="4129" spans="22:22" ht="15.75" customHeight="1">
      <c r="V4129">
        <v>761</v>
      </c>
    </row>
    <row r="4130" spans="22:22" ht="15.75" customHeight="1">
      <c r="V4130">
        <v>761</v>
      </c>
    </row>
    <row r="4131" spans="22:22" ht="15.75" customHeight="1">
      <c r="V4131">
        <v>761</v>
      </c>
    </row>
    <row r="4132" spans="22:22" ht="15.75" customHeight="1">
      <c r="V4132">
        <v>761</v>
      </c>
    </row>
    <row r="4133" spans="22:22" ht="15.75" customHeight="1">
      <c r="V4133">
        <v>761</v>
      </c>
    </row>
    <row r="4134" spans="22:22" ht="15.75" customHeight="1">
      <c r="V4134">
        <v>761</v>
      </c>
    </row>
    <row r="4135" spans="22:22" ht="15.75" customHeight="1">
      <c r="V4135">
        <v>761</v>
      </c>
    </row>
    <row r="4136" spans="22:22" ht="15.75" customHeight="1">
      <c r="V4136">
        <v>762</v>
      </c>
    </row>
    <row r="4137" spans="22:22" ht="15.75" customHeight="1">
      <c r="V4137">
        <v>762</v>
      </c>
    </row>
    <row r="4138" spans="22:22" ht="15.75" customHeight="1">
      <c r="V4138">
        <v>762</v>
      </c>
    </row>
    <row r="4139" spans="22:22" ht="15.75" customHeight="1">
      <c r="V4139">
        <v>762</v>
      </c>
    </row>
    <row r="4140" spans="22:22" ht="15.75" customHeight="1">
      <c r="V4140">
        <v>762</v>
      </c>
    </row>
    <row r="4141" spans="22:22" ht="15.75" customHeight="1">
      <c r="V4141">
        <v>762</v>
      </c>
    </row>
    <row r="4142" spans="22:22" ht="15.75" customHeight="1">
      <c r="V4142">
        <v>762</v>
      </c>
    </row>
    <row r="4143" spans="22:22" ht="15.75" customHeight="1">
      <c r="V4143">
        <v>762</v>
      </c>
    </row>
    <row r="4144" spans="22:22" ht="15.75" customHeight="1">
      <c r="V4144">
        <v>762</v>
      </c>
    </row>
    <row r="4145" spans="22:22" ht="15.75" customHeight="1">
      <c r="V4145">
        <v>762</v>
      </c>
    </row>
    <row r="4146" spans="22:22" ht="15.75" customHeight="1">
      <c r="V4146">
        <v>762</v>
      </c>
    </row>
    <row r="4147" spans="22:22" ht="15.75" customHeight="1">
      <c r="V4147">
        <v>762</v>
      </c>
    </row>
    <row r="4148" spans="22:22" ht="15.75" customHeight="1">
      <c r="V4148">
        <v>762</v>
      </c>
    </row>
    <row r="4149" spans="22:22" ht="15.75" customHeight="1">
      <c r="V4149">
        <v>762</v>
      </c>
    </row>
    <row r="4150" spans="22:22" ht="15.75" customHeight="1">
      <c r="V4150">
        <v>762</v>
      </c>
    </row>
    <row r="4151" spans="22:22" ht="15.75" customHeight="1">
      <c r="V4151">
        <v>762</v>
      </c>
    </row>
    <row r="4152" spans="22:22" ht="15.75" customHeight="1">
      <c r="V4152">
        <v>763</v>
      </c>
    </row>
    <row r="4153" spans="22:22" ht="15.75" customHeight="1">
      <c r="V4153">
        <v>763</v>
      </c>
    </row>
    <row r="4154" spans="22:22" ht="15.75" customHeight="1">
      <c r="V4154">
        <v>763</v>
      </c>
    </row>
    <row r="4155" spans="22:22" ht="15.75" customHeight="1">
      <c r="V4155">
        <v>764</v>
      </c>
    </row>
    <row r="4156" spans="22:22" ht="15.75" customHeight="1">
      <c r="V4156">
        <v>764</v>
      </c>
    </row>
    <row r="4157" spans="22:22" ht="15.75" customHeight="1">
      <c r="V4157">
        <v>764</v>
      </c>
    </row>
    <row r="4158" spans="22:22" ht="15.75" customHeight="1">
      <c r="V4158">
        <v>764</v>
      </c>
    </row>
    <row r="4159" spans="22:22" ht="15.75" customHeight="1">
      <c r="V4159">
        <v>764</v>
      </c>
    </row>
    <row r="4160" spans="22:22" ht="15.75" customHeight="1">
      <c r="V4160">
        <v>764</v>
      </c>
    </row>
    <row r="4161" spans="22:22" ht="15.75" customHeight="1">
      <c r="V4161">
        <v>764</v>
      </c>
    </row>
    <row r="4162" spans="22:22" ht="15.75" customHeight="1">
      <c r="V4162">
        <v>764</v>
      </c>
    </row>
    <row r="4163" spans="22:22" ht="15.75" customHeight="1">
      <c r="V4163">
        <v>764</v>
      </c>
    </row>
    <row r="4164" spans="22:22" ht="15.75" customHeight="1">
      <c r="V4164">
        <v>764</v>
      </c>
    </row>
    <row r="4165" spans="22:22" ht="15.75" customHeight="1">
      <c r="V4165">
        <v>764</v>
      </c>
    </row>
    <row r="4166" spans="22:22" ht="15.75" customHeight="1">
      <c r="V4166">
        <v>764</v>
      </c>
    </row>
    <row r="4167" spans="22:22" ht="15.75" customHeight="1">
      <c r="V4167">
        <v>764</v>
      </c>
    </row>
    <row r="4168" spans="22:22" ht="15.75" customHeight="1">
      <c r="V4168">
        <v>765</v>
      </c>
    </row>
    <row r="4169" spans="22:22" ht="15.75" customHeight="1">
      <c r="V4169">
        <v>765</v>
      </c>
    </row>
    <row r="4170" spans="22:22" ht="15.75" customHeight="1">
      <c r="V4170">
        <v>765</v>
      </c>
    </row>
    <row r="4171" spans="22:22" ht="15.75" customHeight="1">
      <c r="V4171">
        <v>766</v>
      </c>
    </row>
    <row r="4172" spans="22:22" ht="15.75" customHeight="1">
      <c r="V4172">
        <v>766</v>
      </c>
    </row>
    <row r="4173" spans="22:22" ht="15.75" customHeight="1">
      <c r="V4173">
        <v>767</v>
      </c>
    </row>
    <row r="4174" spans="22:22" ht="15.75" customHeight="1">
      <c r="V4174">
        <v>767</v>
      </c>
    </row>
    <row r="4175" spans="22:22" ht="15.75" customHeight="1">
      <c r="V4175">
        <v>767</v>
      </c>
    </row>
    <row r="4176" spans="22:22" ht="15.75" customHeight="1">
      <c r="V4176">
        <v>768</v>
      </c>
    </row>
    <row r="4177" spans="22:22" ht="15.75" customHeight="1">
      <c r="V4177">
        <v>769</v>
      </c>
    </row>
    <row r="4178" spans="22:22" ht="15.75" customHeight="1">
      <c r="V4178">
        <v>770</v>
      </c>
    </row>
    <row r="4179" spans="22:22" ht="15.75" customHeight="1">
      <c r="V4179">
        <v>771</v>
      </c>
    </row>
    <row r="4180" spans="22:22" ht="15.75" customHeight="1">
      <c r="V4180">
        <v>772</v>
      </c>
    </row>
    <row r="4181" spans="22:22" ht="15.75" customHeight="1">
      <c r="V4181">
        <v>772</v>
      </c>
    </row>
    <row r="4182" spans="22:22" ht="15.75" customHeight="1">
      <c r="V4182">
        <v>772</v>
      </c>
    </row>
    <row r="4183" spans="22:22" ht="15.75" customHeight="1">
      <c r="V4183">
        <v>772</v>
      </c>
    </row>
    <row r="4184" spans="22:22" ht="15.75" customHeight="1">
      <c r="V4184">
        <v>772</v>
      </c>
    </row>
    <row r="4185" spans="22:22" ht="15.75" customHeight="1">
      <c r="V4185">
        <v>772</v>
      </c>
    </row>
    <row r="4186" spans="22:22" ht="15.75" customHeight="1">
      <c r="V4186">
        <v>772</v>
      </c>
    </row>
    <row r="4187" spans="22:22" ht="15.75" customHeight="1">
      <c r="V4187">
        <v>772</v>
      </c>
    </row>
    <row r="4188" spans="22:22" ht="15.75" customHeight="1">
      <c r="V4188">
        <v>772</v>
      </c>
    </row>
    <row r="4189" spans="22:22" ht="15.75" customHeight="1">
      <c r="V4189">
        <v>772</v>
      </c>
    </row>
    <row r="4190" spans="22:22" ht="15.75" customHeight="1">
      <c r="V4190">
        <v>772</v>
      </c>
    </row>
    <row r="4191" spans="22:22" ht="15.75" customHeight="1">
      <c r="V4191">
        <v>772</v>
      </c>
    </row>
    <row r="4192" spans="22:22" ht="15.75" customHeight="1">
      <c r="V4192">
        <v>772</v>
      </c>
    </row>
    <row r="4193" spans="22:22" ht="15.75" customHeight="1">
      <c r="V4193">
        <v>773</v>
      </c>
    </row>
    <row r="4194" spans="22:22" ht="15.75" customHeight="1">
      <c r="V4194">
        <v>774</v>
      </c>
    </row>
    <row r="4195" spans="22:22" ht="15.75" customHeight="1">
      <c r="V4195">
        <v>774</v>
      </c>
    </row>
    <row r="4196" spans="22:22" ht="15.75" customHeight="1">
      <c r="V4196">
        <v>775</v>
      </c>
    </row>
    <row r="4197" spans="22:22" ht="15.75" customHeight="1">
      <c r="V4197">
        <v>775</v>
      </c>
    </row>
    <row r="4198" spans="22:22" ht="15.75" customHeight="1">
      <c r="V4198">
        <v>775</v>
      </c>
    </row>
    <row r="4199" spans="22:22" ht="15.75" customHeight="1">
      <c r="V4199">
        <v>775</v>
      </c>
    </row>
    <row r="4200" spans="22:22" ht="15.75" customHeight="1">
      <c r="V4200">
        <v>775</v>
      </c>
    </row>
    <row r="4201" spans="22:22" ht="15.75" customHeight="1">
      <c r="V4201">
        <v>775</v>
      </c>
    </row>
    <row r="4202" spans="22:22" ht="15.75" customHeight="1">
      <c r="V4202">
        <v>776</v>
      </c>
    </row>
    <row r="4203" spans="22:22" ht="15.75" customHeight="1">
      <c r="V4203">
        <v>776</v>
      </c>
    </row>
    <row r="4204" spans="22:22" ht="15.75" customHeight="1">
      <c r="V4204">
        <v>776</v>
      </c>
    </row>
    <row r="4205" spans="22:22" ht="15.75" customHeight="1">
      <c r="V4205">
        <v>776</v>
      </c>
    </row>
    <row r="4206" spans="22:22" ht="15.75" customHeight="1">
      <c r="V4206">
        <v>776</v>
      </c>
    </row>
    <row r="4207" spans="22:22" ht="15.75" customHeight="1">
      <c r="V4207">
        <v>776</v>
      </c>
    </row>
    <row r="4208" spans="22:22" ht="15.75" customHeight="1">
      <c r="V4208">
        <v>776</v>
      </c>
    </row>
    <row r="4209" spans="22:22" ht="15.75" customHeight="1">
      <c r="V4209">
        <v>776</v>
      </c>
    </row>
    <row r="4210" spans="22:22" ht="15.75" customHeight="1">
      <c r="V4210">
        <v>776</v>
      </c>
    </row>
    <row r="4211" spans="22:22" ht="15.75" customHeight="1">
      <c r="V4211">
        <v>776</v>
      </c>
    </row>
    <row r="4212" spans="22:22" ht="15.75" customHeight="1">
      <c r="V4212">
        <v>776</v>
      </c>
    </row>
    <row r="4213" spans="22:22" ht="15.75" customHeight="1">
      <c r="V4213">
        <v>777</v>
      </c>
    </row>
    <row r="4214" spans="22:22" ht="15.75" customHeight="1">
      <c r="V4214">
        <v>777</v>
      </c>
    </row>
    <row r="4215" spans="22:22" ht="15.75" customHeight="1">
      <c r="V4215">
        <v>777</v>
      </c>
    </row>
    <row r="4216" spans="22:22" ht="15.75" customHeight="1">
      <c r="V4216">
        <v>777</v>
      </c>
    </row>
    <row r="4217" spans="22:22" ht="15.75" customHeight="1">
      <c r="V4217">
        <v>777</v>
      </c>
    </row>
    <row r="4218" spans="22:22" ht="15.75" customHeight="1">
      <c r="V4218">
        <v>777</v>
      </c>
    </row>
    <row r="4219" spans="22:22" ht="15.75" customHeight="1">
      <c r="V4219">
        <v>777</v>
      </c>
    </row>
    <row r="4220" spans="22:22" ht="15.75" customHeight="1">
      <c r="V4220">
        <v>777</v>
      </c>
    </row>
    <row r="4221" spans="22:22" ht="15.75" customHeight="1">
      <c r="V4221">
        <v>777</v>
      </c>
    </row>
    <row r="4222" spans="22:22" ht="15.75" customHeight="1">
      <c r="V4222">
        <v>777</v>
      </c>
    </row>
    <row r="4223" spans="22:22" ht="15.75" customHeight="1">
      <c r="V4223">
        <v>777</v>
      </c>
    </row>
    <row r="4224" spans="22:22" ht="15.75" customHeight="1">
      <c r="V4224">
        <v>777</v>
      </c>
    </row>
    <row r="4225" spans="22:22" ht="15.75" customHeight="1">
      <c r="V4225">
        <v>777</v>
      </c>
    </row>
    <row r="4226" spans="22:22" ht="15.75" customHeight="1">
      <c r="V4226">
        <v>777</v>
      </c>
    </row>
    <row r="4227" spans="22:22" ht="15.75" customHeight="1">
      <c r="V4227">
        <v>777</v>
      </c>
    </row>
    <row r="4228" spans="22:22" ht="15.75" customHeight="1">
      <c r="V4228">
        <v>777</v>
      </c>
    </row>
    <row r="4229" spans="22:22" ht="15.75" customHeight="1">
      <c r="V4229">
        <v>777</v>
      </c>
    </row>
    <row r="4230" spans="22:22" ht="15.75" customHeight="1">
      <c r="V4230">
        <v>777</v>
      </c>
    </row>
    <row r="4231" spans="22:22" ht="15.75" customHeight="1">
      <c r="V4231">
        <v>777</v>
      </c>
    </row>
    <row r="4232" spans="22:22" ht="15.75" customHeight="1">
      <c r="V4232">
        <v>777</v>
      </c>
    </row>
    <row r="4233" spans="22:22" ht="15.75" customHeight="1">
      <c r="V4233">
        <v>777</v>
      </c>
    </row>
    <row r="4234" spans="22:22" ht="15.75" customHeight="1">
      <c r="V4234">
        <v>777</v>
      </c>
    </row>
    <row r="4235" spans="22:22" ht="15.75" customHeight="1">
      <c r="V4235">
        <v>778</v>
      </c>
    </row>
    <row r="4236" spans="22:22" ht="15.75" customHeight="1">
      <c r="V4236">
        <v>778</v>
      </c>
    </row>
    <row r="4237" spans="22:22" ht="15.75" customHeight="1">
      <c r="V4237">
        <v>778</v>
      </c>
    </row>
    <row r="4238" spans="22:22" ht="15.75" customHeight="1">
      <c r="V4238">
        <v>778</v>
      </c>
    </row>
    <row r="4239" spans="22:22" ht="15.75" customHeight="1">
      <c r="V4239">
        <v>778</v>
      </c>
    </row>
    <row r="4240" spans="22:22" ht="15.75" customHeight="1">
      <c r="V4240">
        <v>779</v>
      </c>
    </row>
    <row r="4241" spans="22:22" ht="15.75" customHeight="1">
      <c r="V4241">
        <v>779</v>
      </c>
    </row>
    <row r="4242" spans="22:22" ht="15.75" customHeight="1">
      <c r="V4242">
        <v>779</v>
      </c>
    </row>
    <row r="4243" spans="22:22" ht="15.75" customHeight="1">
      <c r="V4243">
        <v>779</v>
      </c>
    </row>
    <row r="4244" spans="22:22" ht="15.75" customHeight="1">
      <c r="V4244">
        <v>779</v>
      </c>
    </row>
    <row r="4245" spans="22:22" ht="15.75" customHeight="1">
      <c r="V4245">
        <v>779</v>
      </c>
    </row>
    <row r="4246" spans="22:22" ht="15.75" customHeight="1">
      <c r="V4246">
        <v>779</v>
      </c>
    </row>
    <row r="4247" spans="22:22" ht="15.75" customHeight="1">
      <c r="V4247">
        <v>779</v>
      </c>
    </row>
    <row r="4248" spans="22:22" ht="15.75" customHeight="1">
      <c r="V4248">
        <v>779</v>
      </c>
    </row>
    <row r="4249" spans="22:22" ht="15.75" customHeight="1">
      <c r="V4249">
        <v>779</v>
      </c>
    </row>
    <row r="4250" spans="22:22" ht="15.75" customHeight="1">
      <c r="V4250">
        <v>779</v>
      </c>
    </row>
    <row r="4251" spans="22:22" ht="15.75" customHeight="1">
      <c r="V4251">
        <v>779</v>
      </c>
    </row>
    <row r="4252" spans="22:22" ht="15.75" customHeight="1">
      <c r="V4252">
        <v>779</v>
      </c>
    </row>
    <row r="4253" spans="22:22" ht="15.75" customHeight="1">
      <c r="V4253">
        <v>779</v>
      </c>
    </row>
    <row r="4254" spans="22:22" ht="15.75" customHeight="1">
      <c r="V4254">
        <v>779</v>
      </c>
    </row>
    <row r="4255" spans="22:22" ht="15.75" customHeight="1">
      <c r="V4255">
        <v>779</v>
      </c>
    </row>
    <row r="4256" spans="22:22" ht="15.75" customHeight="1">
      <c r="V4256">
        <v>779</v>
      </c>
    </row>
    <row r="4257" spans="22:22" ht="15.75" customHeight="1">
      <c r="V4257">
        <v>779</v>
      </c>
    </row>
    <row r="4258" spans="22:22" ht="15.75" customHeight="1">
      <c r="V4258">
        <v>779</v>
      </c>
    </row>
    <row r="4259" spans="22:22" ht="15.75" customHeight="1">
      <c r="V4259">
        <v>779</v>
      </c>
    </row>
    <row r="4260" spans="22:22" ht="15.75" customHeight="1">
      <c r="V4260">
        <v>779</v>
      </c>
    </row>
    <row r="4261" spans="22:22" ht="15.75" customHeight="1">
      <c r="V4261">
        <v>779</v>
      </c>
    </row>
    <row r="4262" spans="22:22" ht="15.75" customHeight="1">
      <c r="V4262">
        <v>779</v>
      </c>
    </row>
    <row r="4263" spans="22:22" ht="15.75" customHeight="1">
      <c r="V4263">
        <v>779</v>
      </c>
    </row>
    <row r="4264" spans="22:22" ht="15.75" customHeight="1">
      <c r="V4264">
        <v>779</v>
      </c>
    </row>
    <row r="4265" spans="22:22" ht="15.75" customHeight="1">
      <c r="V4265">
        <v>780</v>
      </c>
    </row>
    <row r="4266" spans="22:22" ht="15.75" customHeight="1">
      <c r="V4266">
        <v>780</v>
      </c>
    </row>
    <row r="4267" spans="22:22" ht="15.75" customHeight="1">
      <c r="V4267">
        <v>780</v>
      </c>
    </row>
    <row r="4268" spans="22:22" ht="15.75" customHeight="1">
      <c r="V4268">
        <v>780</v>
      </c>
    </row>
    <row r="4269" spans="22:22" ht="15.75" customHeight="1">
      <c r="V4269">
        <v>780</v>
      </c>
    </row>
    <row r="4270" spans="22:22" ht="15.75" customHeight="1">
      <c r="V4270">
        <v>780</v>
      </c>
    </row>
    <row r="4271" spans="22:22" ht="15.75" customHeight="1">
      <c r="V4271">
        <v>780</v>
      </c>
    </row>
    <row r="4272" spans="22:22" ht="15.75" customHeight="1">
      <c r="V4272">
        <v>780</v>
      </c>
    </row>
    <row r="4273" spans="22:22" ht="15.75" customHeight="1">
      <c r="V4273">
        <v>780</v>
      </c>
    </row>
    <row r="4274" spans="22:22" ht="15.75" customHeight="1">
      <c r="V4274">
        <v>780</v>
      </c>
    </row>
    <row r="4275" spans="22:22" ht="15.75" customHeight="1">
      <c r="V4275">
        <v>780</v>
      </c>
    </row>
    <row r="4276" spans="22:22" ht="15.75" customHeight="1">
      <c r="V4276">
        <v>781</v>
      </c>
    </row>
    <row r="4277" spans="22:22" ht="15.75" customHeight="1">
      <c r="V4277">
        <v>781</v>
      </c>
    </row>
    <row r="4278" spans="22:22" ht="15.75" customHeight="1">
      <c r="V4278">
        <v>781</v>
      </c>
    </row>
    <row r="4279" spans="22:22" ht="15.75" customHeight="1">
      <c r="V4279">
        <v>782</v>
      </c>
    </row>
    <row r="4280" spans="22:22" ht="15.75" customHeight="1">
      <c r="V4280">
        <v>782</v>
      </c>
    </row>
    <row r="4281" spans="22:22" ht="15.75" customHeight="1">
      <c r="V4281">
        <v>782</v>
      </c>
    </row>
    <row r="4282" spans="22:22" ht="15.75" customHeight="1">
      <c r="V4282">
        <v>782</v>
      </c>
    </row>
    <row r="4283" spans="22:22" ht="15.75" customHeight="1">
      <c r="V4283">
        <v>782</v>
      </c>
    </row>
    <row r="4284" spans="22:22" ht="15.75" customHeight="1">
      <c r="V4284">
        <v>782</v>
      </c>
    </row>
    <row r="4285" spans="22:22" ht="15.75" customHeight="1">
      <c r="V4285">
        <v>782</v>
      </c>
    </row>
    <row r="4286" spans="22:22" ht="15.75" customHeight="1">
      <c r="V4286">
        <v>782</v>
      </c>
    </row>
    <row r="4287" spans="22:22" ht="15.75" customHeight="1">
      <c r="V4287">
        <v>782</v>
      </c>
    </row>
    <row r="4288" spans="22:22" ht="15.75" customHeight="1">
      <c r="V4288">
        <v>782</v>
      </c>
    </row>
    <row r="4289" spans="22:22" ht="15.75" customHeight="1">
      <c r="V4289">
        <v>782</v>
      </c>
    </row>
    <row r="4290" spans="22:22" ht="15.75" customHeight="1">
      <c r="V4290">
        <v>782</v>
      </c>
    </row>
    <row r="4291" spans="22:22" ht="15.75" customHeight="1">
      <c r="V4291">
        <v>782</v>
      </c>
    </row>
    <row r="4292" spans="22:22" ht="15.75" customHeight="1">
      <c r="V4292">
        <v>782</v>
      </c>
    </row>
    <row r="4293" spans="22:22" ht="15.75" customHeight="1">
      <c r="V4293">
        <v>782</v>
      </c>
    </row>
    <row r="4294" spans="22:22" ht="15.75" customHeight="1">
      <c r="V4294">
        <v>782</v>
      </c>
    </row>
    <row r="4295" spans="22:22" ht="15.75" customHeight="1">
      <c r="V4295">
        <v>782</v>
      </c>
    </row>
    <row r="4296" spans="22:22" ht="15.75" customHeight="1">
      <c r="V4296">
        <v>782</v>
      </c>
    </row>
    <row r="4297" spans="22:22" ht="15.75" customHeight="1">
      <c r="V4297">
        <v>782</v>
      </c>
    </row>
    <row r="4298" spans="22:22" ht="15.75" customHeight="1">
      <c r="V4298">
        <v>782</v>
      </c>
    </row>
    <row r="4299" spans="22:22" ht="15.75" customHeight="1">
      <c r="V4299">
        <v>782</v>
      </c>
    </row>
    <row r="4300" spans="22:22" ht="15.75" customHeight="1">
      <c r="V4300">
        <v>783</v>
      </c>
    </row>
    <row r="4301" spans="22:22" ht="15.75" customHeight="1">
      <c r="V4301">
        <v>784</v>
      </c>
    </row>
    <row r="4302" spans="22:22" ht="15.75" customHeight="1">
      <c r="V4302">
        <v>784</v>
      </c>
    </row>
    <row r="4303" spans="22:22" ht="15.75" customHeight="1">
      <c r="V4303">
        <v>784</v>
      </c>
    </row>
    <row r="4304" spans="22:22" ht="15.75" customHeight="1">
      <c r="V4304">
        <v>784</v>
      </c>
    </row>
    <row r="4305" spans="22:22" ht="15.75" customHeight="1">
      <c r="V4305">
        <v>784</v>
      </c>
    </row>
    <row r="4306" spans="22:22" ht="15.75" customHeight="1">
      <c r="V4306">
        <v>785</v>
      </c>
    </row>
    <row r="4307" spans="22:22" ht="15.75" customHeight="1">
      <c r="V4307">
        <v>786</v>
      </c>
    </row>
    <row r="4308" spans="22:22" ht="15.75" customHeight="1">
      <c r="V4308">
        <v>786</v>
      </c>
    </row>
    <row r="4309" spans="22:22" ht="15.75" customHeight="1">
      <c r="V4309">
        <v>786</v>
      </c>
    </row>
    <row r="4310" spans="22:22" ht="15.75" customHeight="1">
      <c r="V4310">
        <v>786</v>
      </c>
    </row>
    <row r="4311" spans="22:22" ht="15.75" customHeight="1">
      <c r="V4311">
        <v>786</v>
      </c>
    </row>
    <row r="4312" spans="22:22" ht="15.75" customHeight="1">
      <c r="V4312">
        <v>786</v>
      </c>
    </row>
    <row r="4313" spans="22:22" ht="15.75" customHeight="1">
      <c r="V4313">
        <v>786</v>
      </c>
    </row>
    <row r="4314" spans="22:22" ht="15.75" customHeight="1">
      <c r="V4314">
        <v>786</v>
      </c>
    </row>
    <row r="4315" spans="22:22" ht="15.75" customHeight="1">
      <c r="V4315">
        <v>786</v>
      </c>
    </row>
    <row r="4316" spans="22:22" ht="15.75" customHeight="1">
      <c r="V4316">
        <v>786</v>
      </c>
    </row>
    <row r="4317" spans="22:22" ht="15.75" customHeight="1">
      <c r="V4317">
        <v>786</v>
      </c>
    </row>
    <row r="4318" spans="22:22" ht="15.75" customHeight="1">
      <c r="V4318">
        <v>786</v>
      </c>
    </row>
    <row r="4319" spans="22:22" ht="15.75" customHeight="1">
      <c r="V4319">
        <v>786</v>
      </c>
    </row>
    <row r="4320" spans="22:22" ht="15.75" customHeight="1">
      <c r="V4320">
        <v>786</v>
      </c>
    </row>
    <row r="4321" spans="22:22" ht="15.75" customHeight="1">
      <c r="V4321">
        <v>787</v>
      </c>
    </row>
    <row r="4322" spans="22:22" ht="15.75" customHeight="1">
      <c r="V4322">
        <v>788</v>
      </c>
    </row>
    <row r="4323" spans="22:22" ht="15.75" customHeight="1">
      <c r="V4323">
        <v>789</v>
      </c>
    </row>
    <row r="4324" spans="22:22" ht="15.75" customHeight="1">
      <c r="V4324">
        <v>789</v>
      </c>
    </row>
    <row r="4325" spans="22:22" ht="15.75" customHeight="1">
      <c r="V4325">
        <v>789</v>
      </c>
    </row>
    <row r="4326" spans="22:22" ht="15.75" customHeight="1">
      <c r="V4326">
        <v>789</v>
      </c>
    </row>
    <row r="4327" spans="22:22" ht="15.75" customHeight="1">
      <c r="V4327">
        <v>789</v>
      </c>
    </row>
    <row r="4328" spans="22:22" ht="15.75" customHeight="1">
      <c r="V4328">
        <v>789</v>
      </c>
    </row>
    <row r="4329" spans="22:22" ht="15.75" customHeight="1">
      <c r="V4329">
        <v>789</v>
      </c>
    </row>
    <row r="4330" spans="22:22" ht="15.75" customHeight="1">
      <c r="V4330">
        <v>789</v>
      </c>
    </row>
    <row r="4331" spans="22:22" ht="15.75" customHeight="1">
      <c r="V4331">
        <v>789</v>
      </c>
    </row>
    <row r="4332" spans="22:22" ht="15.75" customHeight="1">
      <c r="V4332">
        <v>789</v>
      </c>
    </row>
    <row r="4333" spans="22:22" ht="15.75" customHeight="1">
      <c r="V4333">
        <v>789</v>
      </c>
    </row>
    <row r="4334" spans="22:22" ht="15.75" customHeight="1">
      <c r="V4334">
        <v>789</v>
      </c>
    </row>
    <row r="4335" spans="22:22" ht="15.75" customHeight="1">
      <c r="V4335">
        <v>789</v>
      </c>
    </row>
    <row r="4336" spans="22:22" ht="15.75" customHeight="1">
      <c r="V4336">
        <v>789</v>
      </c>
    </row>
    <row r="4337" spans="22:22" ht="15.75" customHeight="1">
      <c r="V4337">
        <v>789</v>
      </c>
    </row>
    <row r="4338" spans="22:22" ht="15.75" customHeight="1">
      <c r="V4338">
        <v>789</v>
      </c>
    </row>
    <row r="4339" spans="22:22" ht="15.75" customHeight="1">
      <c r="V4339">
        <v>789</v>
      </c>
    </row>
    <row r="4340" spans="22:22" ht="15.75" customHeight="1">
      <c r="V4340">
        <v>789</v>
      </c>
    </row>
    <row r="4341" spans="22:22" ht="15.75" customHeight="1">
      <c r="V4341">
        <v>789</v>
      </c>
    </row>
    <row r="4342" spans="22:22" ht="15.75" customHeight="1">
      <c r="V4342">
        <v>790</v>
      </c>
    </row>
    <row r="4343" spans="22:22" ht="15.75" customHeight="1">
      <c r="V4343">
        <v>790</v>
      </c>
    </row>
    <row r="4344" spans="22:22" ht="15.75" customHeight="1">
      <c r="V4344">
        <v>790</v>
      </c>
    </row>
    <row r="4345" spans="22:22" ht="15.75" customHeight="1">
      <c r="V4345">
        <v>790</v>
      </c>
    </row>
    <row r="4346" spans="22:22" ht="15.75" customHeight="1">
      <c r="V4346">
        <v>790</v>
      </c>
    </row>
    <row r="4347" spans="22:22" ht="15.75" customHeight="1">
      <c r="V4347">
        <v>790</v>
      </c>
    </row>
    <row r="4348" spans="22:22" ht="15.75" customHeight="1">
      <c r="V4348">
        <v>790</v>
      </c>
    </row>
    <row r="4349" spans="22:22" ht="15.75" customHeight="1">
      <c r="V4349">
        <v>790</v>
      </c>
    </row>
    <row r="4350" spans="22:22" ht="15.75" customHeight="1">
      <c r="V4350">
        <v>791</v>
      </c>
    </row>
    <row r="4351" spans="22:22" ht="15.75" customHeight="1">
      <c r="V4351">
        <v>791</v>
      </c>
    </row>
    <row r="4352" spans="22:22" ht="15.75" customHeight="1">
      <c r="V4352">
        <v>791</v>
      </c>
    </row>
    <row r="4353" spans="22:22" ht="15.75" customHeight="1">
      <c r="V4353">
        <v>791</v>
      </c>
    </row>
    <row r="4354" spans="22:22" ht="15.75" customHeight="1">
      <c r="V4354">
        <v>791</v>
      </c>
    </row>
    <row r="4355" spans="22:22" ht="15.75" customHeight="1">
      <c r="V4355">
        <v>791</v>
      </c>
    </row>
    <row r="4356" spans="22:22" ht="15.75" customHeight="1">
      <c r="V4356">
        <v>791</v>
      </c>
    </row>
    <row r="4357" spans="22:22" ht="15.75" customHeight="1">
      <c r="V4357">
        <v>792</v>
      </c>
    </row>
    <row r="4358" spans="22:22" ht="15.75" customHeight="1">
      <c r="V4358">
        <v>793</v>
      </c>
    </row>
    <row r="4359" spans="22:22" ht="15.75" customHeight="1">
      <c r="V4359">
        <v>793</v>
      </c>
    </row>
    <row r="4360" spans="22:22" ht="15.75" customHeight="1">
      <c r="V4360">
        <v>794</v>
      </c>
    </row>
    <row r="4361" spans="22:22" ht="15.75" customHeight="1">
      <c r="V4361">
        <v>794</v>
      </c>
    </row>
    <row r="4362" spans="22:22" ht="15.75" customHeight="1">
      <c r="V4362">
        <v>794</v>
      </c>
    </row>
    <row r="4363" spans="22:22" ht="15.75" customHeight="1">
      <c r="V4363">
        <v>794</v>
      </c>
    </row>
    <row r="4364" spans="22:22" ht="15.75" customHeight="1">
      <c r="V4364">
        <v>794</v>
      </c>
    </row>
    <row r="4365" spans="22:22" ht="15.75" customHeight="1">
      <c r="V4365">
        <v>794</v>
      </c>
    </row>
    <row r="4366" spans="22:22" ht="15.75" customHeight="1">
      <c r="V4366">
        <v>794</v>
      </c>
    </row>
    <row r="4367" spans="22:22" ht="15.75" customHeight="1">
      <c r="V4367">
        <v>794</v>
      </c>
    </row>
    <row r="4368" spans="22:22" ht="15.75" customHeight="1">
      <c r="V4368">
        <v>794</v>
      </c>
    </row>
    <row r="4369" spans="22:22" ht="15.75" customHeight="1">
      <c r="V4369">
        <v>794</v>
      </c>
    </row>
    <row r="4370" spans="22:22" ht="15.75" customHeight="1">
      <c r="V4370">
        <v>794</v>
      </c>
    </row>
    <row r="4371" spans="22:22" ht="15.75" customHeight="1">
      <c r="V4371">
        <v>794</v>
      </c>
    </row>
    <row r="4372" spans="22:22" ht="15.75" customHeight="1">
      <c r="V4372">
        <v>795</v>
      </c>
    </row>
    <row r="4373" spans="22:22" ht="15.75" customHeight="1">
      <c r="V4373">
        <v>795</v>
      </c>
    </row>
    <row r="4374" spans="22:22" ht="15.75" customHeight="1">
      <c r="V4374">
        <v>796</v>
      </c>
    </row>
    <row r="4375" spans="22:22" ht="15.75" customHeight="1">
      <c r="V4375">
        <v>797</v>
      </c>
    </row>
    <row r="4376" spans="22:22" ht="15.75" customHeight="1">
      <c r="V4376">
        <v>797</v>
      </c>
    </row>
    <row r="4377" spans="22:22" ht="15.75" customHeight="1">
      <c r="V4377">
        <v>797</v>
      </c>
    </row>
    <row r="4378" spans="22:22" ht="15.75" customHeight="1">
      <c r="V4378">
        <v>797</v>
      </c>
    </row>
    <row r="4379" spans="22:22" ht="15.75" customHeight="1">
      <c r="V4379">
        <v>797</v>
      </c>
    </row>
    <row r="4380" spans="22:22" ht="15.75" customHeight="1">
      <c r="V4380">
        <v>798</v>
      </c>
    </row>
    <row r="4381" spans="22:22" ht="15.75" customHeight="1">
      <c r="V4381">
        <v>799</v>
      </c>
    </row>
    <row r="4382" spans="22:22" ht="15.75" customHeight="1">
      <c r="V4382">
        <v>799</v>
      </c>
    </row>
    <row r="4383" spans="22:22" ht="15.75" customHeight="1">
      <c r="V4383">
        <v>799</v>
      </c>
    </row>
    <row r="4384" spans="22:22" ht="15.75" customHeight="1">
      <c r="V4384">
        <v>799</v>
      </c>
    </row>
    <row r="4385" spans="22:22" ht="15.75" customHeight="1">
      <c r="V4385">
        <v>799</v>
      </c>
    </row>
    <row r="4386" spans="22:22" ht="15.75" customHeight="1">
      <c r="V4386">
        <v>799</v>
      </c>
    </row>
    <row r="4387" spans="22:22" ht="15.75" customHeight="1">
      <c r="V4387">
        <v>799</v>
      </c>
    </row>
    <row r="4388" spans="22:22" ht="15.75" customHeight="1">
      <c r="V4388">
        <v>800</v>
      </c>
    </row>
    <row r="4389" spans="22:22" ht="15.75" customHeight="1">
      <c r="V4389">
        <v>800</v>
      </c>
    </row>
    <row r="4390" spans="22:22" ht="15.75" customHeight="1">
      <c r="V4390">
        <v>800</v>
      </c>
    </row>
    <row r="4391" spans="22:22" ht="15.75" customHeight="1">
      <c r="V4391">
        <v>800</v>
      </c>
    </row>
    <row r="4392" spans="22:22" ht="15.75" customHeight="1">
      <c r="V4392">
        <v>800</v>
      </c>
    </row>
    <row r="4393" spans="22:22" ht="15.75" customHeight="1">
      <c r="V4393">
        <v>800</v>
      </c>
    </row>
    <row r="4394" spans="22:22" ht="15.75" customHeight="1">
      <c r="V4394">
        <v>800</v>
      </c>
    </row>
    <row r="4395" spans="22:22" ht="15.75" customHeight="1">
      <c r="V4395">
        <v>800</v>
      </c>
    </row>
    <row r="4396" spans="22:22" ht="15.75" customHeight="1">
      <c r="V4396">
        <v>801</v>
      </c>
    </row>
    <row r="4397" spans="22:22" ht="15.75" customHeight="1">
      <c r="V4397">
        <v>802</v>
      </c>
    </row>
    <row r="4398" spans="22:22" ht="15.75" customHeight="1">
      <c r="V4398">
        <v>803</v>
      </c>
    </row>
    <row r="4399" spans="22:22" ht="15.75" customHeight="1">
      <c r="V4399">
        <v>804</v>
      </c>
    </row>
    <row r="4400" spans="22:22" ht="15.75" customHeight="1">
      <c r="V4400">
        <v>804</v>
      </c>
    </row>
    <row r="4401" spans="22:22" ht="15.75" customHeight="1">
      <c r="V4401">
        <v>804</v>
      </c>
    </row>
    <row r="4402" spans="22:22" ht="15.75" customHeight="1">
      <c r="V4402">
        <v>804</v>
      </c>
    </row>
    <row r="4403" spans="22:22" ht="15.75" customHeight="1">
      <c r="V4403">
        <v>804</v>
      </c>
    </row>
    <row r="4404" spans="22:22" ht="15.75" customHeight="1">
      <c r="V4404">
        <v>805</v>
      </c>
    </row>
    <row r="4405" spans="22:22" ht="15.75" customHeight="1">
      <c r="V4405">
        <v>806</v>
      </c>
    </row>
    <row r="4406" spans="22:22" ht="15.75" customHeight="1">
      <c r="V4406">
        <v>807</v>
      </c>
    </row>
    <row r="4407" spans="22:22" ht="15.75" customHeight="1">
      <c r="V4407">
        <v>807</v>
      </c>
    </row>
    <row r="4408" spans="22:22" ht="15.75" customHeight="1">
      <c r="V4408">
        <v>807</v>
      </c>
    </row>
    <row r="4409" spans="22:22" ht="15.75" customHeight="1">
      <c r="V4409">
        <v>808</v>
      </c>
    </row>
    <row r="4410" spans="22:22" ht="15.75" customHeight="1">
      <c r="V4410">
        <v>808</v>
      </c>
    </row>
    <row r="4411" spans="22:22" ht="15.75" customHeight="1">
      <c r="V4411">
        <v>808</v>
      </c>
    </row>
    <row r="4412" spans="22:22" ht="15.75" customHeight="1">
      <c r="V4412">
        <v>808</v>
      </c>
    </row>
    <row r="4413" spans="22:22" ht="15.75" customHeight="1">
      <c r="V4413">
        <v>808</v>
      </c>
    </row>
    <row r="4414" spans="22:22" ht="15.75" customHeight="1">
      <c r="V4414">
        <v>808</v>
      </c>
    </row>
    <row r="4415" spans="22:22" ht="15.75" customHeight="1">
      <c r="V4415">
        <v>808</v>
      </c>
    </row>
    <row r="4416" spans="22:22" ht="15.75" customHeight="1">
      <c r="V4416">
        <v>809</v>
      </c>
    </row>
    <row r="4417" spans="22:22" ht="15.75" customHeight="1">
      <c r="V4417">
        <v>810</v>
      </c>
    </row>
    <row r="4418" spans="22:22" ht="15.75" customHeight="1">
      <c r="V4418">
        <v>810</v>
      </c>
    </row>
    <row r="4419" spans="22:22" ht="15.75" customHeight="1">
      <c r="V4419">
        <v>810</v>
      </c>
    </row>
    <row r="4420" spans="22:22" ht="15.75" customHeight="1">
      <c r="V4420">
        <v>811</v>
      </c>
    </row>
    <row r="4421" spans="22:22" ht="15.75" customHeight="1">
      <c r="V4421">
        <v>811</v>
      </c>
    </row>
    <row r="4422" spans="22:22" ht="15.75" customHeight="1">
      <c r="V4422">
        <v>811</v>
      </c>
    </row>
    <row r="4423" spans="22:22" ht="15.75" customHeight="1">
      <c r="V4423">
        <v>811</v>
      </c>
    </row>
    <row r="4424" spans="22:22" ht="15.75" customHeight="1">
      <c r="V4424">
        <v>811</v>
      </c>
    </row>
    <row r="4425" spans="22:22" ht="15.75" customHeight="1">
      <c r="V4425">
        <v>811</v>
      </c>
    </row>
    <row r="4426" spans="22:22" ht="15.75" customHeight="1">
      <c r="V4426">
        <v>812</v>
      </c>
    </row>
    <row r="4427" spans="22:22" ht="15.75" customHeight="1">
      <c r="V4427">
        <v>812</v>
      </c>
    </row>
    <row r="4428" spans="22:22" ht="15.75" customHeight="1">
      <c r="V4428">
        <v>812</v>
      </c>
    </row>
    <row r="4429" spans="22:22" ht="15.75" customHeight="1">
      <c r="V4429">
        <v>812</v>
      </c>
    </row>
    <row r="4430" spans="22:22" ht="15.75" customHeight="1">
      <c r="V4430">
        <v>813</v>
      </c>
    </row>
    <row r="4431" spans="22:22" ht="15.75" customHeight="1">
      <c r="V4431">
        <v>813</v>
      </c>
    </row>
    <row r="4432" spans="22:22" ht="15.75" customHeight="1">
      <c r="V4432">
        <v>814</v>
      </c>
    </row>
    <row r="4433" spans="22:22" ht="15.75" customHeight="1">
      <c r="V4433">
        <v>815</v>
      </c>
    </row>
    <row r="4434" spans="22:22" ht="15.75" customHeight="1">
      <c r="V4434">
        <v>815</v>
      </c>
    </row>
    <row r="4435" spans="22:22" ht="15.75" customHeight="1">
      <c r="V4435">
        <v>815</v>
      </c>
    </row>
    <row r="4436" spans="22:22" ht="15.75" customHeight="1">
      <c r="V4436">
        <v>815</v>
      </c>
    </row>
    <row r="4437" spans="22:22" ht="15.75" customHeight="1">
      <c r="V4437">
        <v>815</v>
      </c>
    </row>
    <row r="4438" spans="22:22" ht="15.75" customHeight="1">
      <c r="V4438">
        <v>815</v>
      </c>
    </row>
    <row r="4439" spans="22:22" ht="15.75" customHeight="1">
      <c r="V4439">
        <v>815</v>
      </c>
    </row>
    <row r="4440" spans="22:22" ht="15.75" customHeight="1">
      <c r="V4440">
        <v>816</v>
      </c>
    </row>
    <row r="4441" spans="22:22" ht="15.75" customHeight="1">
      <c r="V4441">
        <v>817</v>
      </c>
    </row>
    <row r="4442" spans="22:22" ht="15.75" customHeight="1">
      <c r="V4442">
        <v>818</v>
      </c>
    </row>
    <row r="4443" spans="22:22" ht="15.75" customHeight="1">
      <c r="V4443">
        <v>818</v>
      </c>
    </row>
    <row r="4444" spans="22:22" ht="15.75" customHeight="1">
      <c r="V4444">
        <v>818</v>
      </c>
    </row>
    <row r="4445" spans="22:22" ht="15.75" customHeight="1">
      <c r="V4445">
        <v>818</v>
      </c>
    </row>
    <row r="4446" spans="22:22" ht="15.75" customHeight="1">
      <c r="V4446">
        <v>818</v>
      </c>
    </row>
    <row r="4447" spans="22:22" ht="15.75" customHeight="1">
      <c r="V4447">
        <v>818</v>
      </c>
    </row>
    <row r="4448" spans="22:22" ht="15.75" customHeight="1">
      <c r="V4448">
        <v>818</v>
      </c>
    </row>
    <row r="4449" spans="22:22" ht="15.75" customHeight="1">
      <c r="V4449">
        <v>819</v>
      </c>
    </row>
    <row r="4450" spans="22:22" ht="15.75" customHeight="1">
      <c r="V4450">
        <v>819</v>
      </c>
    </row>
    <row r="4451" spans="22:22" ht="15.75" customHeight="1">
      <c r="V4451">
        <v>819</v>
      </c>
    </row>
    <row r="4452" spans="22:22" ht="15.75" customHeight="1">
      <c r="V4452">
        <v>819</v>
      </c>
    </row>
    <row r="4453" spans="22:22" ht="15.75" customHeight="1">
      <c r="V4453">
        <v>819</v>
      </c>
    </row>
    <row r="4454" spans="22:22" ht="15.75" customHeight="1">
      <c r="V4454">
        <v>819</v>
      </c>
    </row>
    <row r="4455" spans="22:22" ht="15.75" customHeight="1">
      <c r="V4455">
        <v>819</v>
      </c>
    </row>
    <row r="4456" spans="22:22" ht="15.75" customHeight="1">
      <c r="V4456">
        <v>819</v>
      </c>
    </row>
    <row r="4457" spans="22:22" ht="15.75" customHeight="1">
      <c r="V4457">
        <v>820</v>
      </c>
    </row>
    <row r="4458" spans="22:22" ht="15.75" customHeight="1">
      <c r="V4458">
        <v>820</v>
      </c>
    </row>
    <row r="4459" spans="22:22" ht="15.75" customHeight="1">
      <c r="V4459">
        <v>820</v>
      </c>
    </row>
    <row r="4460" spans="22:22" ht="15.75" customHeight="1">
      <c r="V4460">
        <v>820</v>
      </c>
    </row>
    <row r="4461" spans="22:22" ht="15.75" customHeight="1">
      <c r="V4461">
        <v>820</v>
      </c>
    </row>
    <row r="4462" spans="22:22" ht="15.75" customHeight="1">
      <c r="V4462">
        <v>820</v>
      </c>
    </row>
    <row r="4463" spans="22:22" ht="15.75" customHeight="1">
      <c r="V4463">
        <v>820</v>
      </c>
    </row>
    <row r="4464" spans="22:22" ht="15.75" customHeight="1">
      <c r="V4464">
        <v>820</v>
      </c>
    </row>
    <row r="4465" spans="22:22" ht="15.75" customHeight="1">
      <c r="V4465">
        <v>820</v>
      </c>
    </row>
    <row r="4466" spans="22:22" ht="15.75" customHeight="1">
      <c r="V4466">
        <v>821</v>
      </c>
    </row>
    <row r="4467" spans="22:22" ht="15.75" customHeight="1">
      <c r="V4467">
        <v>821</v>
      </c>
    </row>
    <row r="4468" spans="22:22" ht="15.75" customHeight="1">
      <c r="V4468">
        <v>821</v>
      </c>
    </row>
    <row r="4469" spans="22:22" ht="15.75" customHeight="1">
      <c r="V4469">
        <v>821</v>
      </c>
    </row>
    <row r="4470" spans="22:22" ht="15.75" customHeight="1">
      <c r="V4470">
        <v>822</v>
      </c>
    </row>
    <row r="4471" spans="22:22" ht="15.75" customHeight="1">
      <c r="V4471">
        <v>823</v>
      </c>
    </row>
    <row r="4472" spans="22:22" ht="15.75" customHeight="1">
      <c r="V4472">
        <v>823</v>
      </c>
    </row>
    <row r="4473" spans="22:22" ht="15.75" customHeight="1">
      <c r="V4473">
        <v>824</v>
      </c>
    </row>
    <row r="4474" spans="22:22" ht="15.75" customHeight="1">
      <c r="V4474">
        <v>824</v>
      </c>
    </row>
    <row r="4475" spans="22:22" ht="15.75" customHeight="1">
      <c r="V4475">
        <v>824</v>
      </c>
    </row>
    <row r="4476" spans="22:22" ht="15.75" customHeight="1">
      <c r="V4476">
        <v>824</v>
      </c>
    </row>
    <row r="4477" spans="22:22" ht="15.75" customHeight="1">
      <c r="V4477">
        <v>824</v>
      </c>
    </row>
    <row r="4478" spans="22:22" ht="15.75" customHeight="1">
      <c r="V4478">
        <v>824</v>
      </c>
    </row>
    <row r="4479" spans="22:22" ht="15.75" customHeight="1">
      <c r="V4479">
        <v>825</v>
      </c>
    </row>
    <row r="4480" spans="22:22" ht="15.75" customHeight="1">
      <c r="V4480">
        <v>826</v>
      </c>
    </row>
    <row r="4481" spans="22:22" ht="15.75" customHeight="1">
      <c r="V4481">
        <v>826</v>
      </c>
    </row>
    <row r="4482" spans="22:22" ht="15.75" customHeight="1">
      <c r="V4482">
        <v>826</v>
      </c>
    </row>
    <row r="4483" spans="22:22" ht="15.75" customHeight="1">
      <c r="V4483">
        <v>826</v>
      </c>
    </row>
    <row r="4484" spans="22:22" ht="15.75" customHeight="1">
      <c r="V4484">
        <v>827</v>
      </c>
    </row>
    <row r="4485" spans="22:22" ht="15.75" customHeight="1">
      <c r="V4485">
        <v>828</v>
      </c>
    </row>
    <row r="4486" spans="22:22" ht="15.75" customHeight="1">
      <c r="V4486">
        <v>828</v>
      </c>
    </row>
    <row r="4487" spans="22:22" ht="15.75" customHeight="1">
      <c r="V4487">
        <v>828</v>
      </c>
    </row>
    <row r="4488" spans="22:22" ht="15.75" customHeight="1">
      <c r="V4488">
        <v>828</v>
      </c>
    </row>
    <row r="4489" spans="22:22" ht="15.75" customHeight="1">
      <c r="V4489">
        <v>828</v>
      </c>
    </row>
    <row r="4490" spans="22:22" ht="15.75" customHeight="1">
      <c r="V4490">
        <v>828</v>
      </c>
    </row>
    <row r="4491" spans="22:22" ht="15.75" customHeight="1">
      <c r="V4491">
        <v>828</v>
      </c>
    </row>
    <row r="4492" spans="22:22" ht="15.75" customHeight="1">
      <c r="V4492">
        <v>828</v>
      </c>
    </row>
    <row r="4493" spans="22:22" ht="15.75" customHeight="1">
      <c r="V4493">
        <v>828</v>
      </c>
    </row>
    <row r="4494" spans="22:22" ht="15.75" customHeight="1">
      <c r="V4494">
        <v>828</v>
      </c>
    </row>
    <row r="4495" spans="22:22" ht="15.75" customHeight="1">
      <c r="V4495">
        <v>828</v>
      </c>
    </row>
    <row r="4496" spans="22:22" ht="15.75" customHeight="1">
      <c r="V4496">
        <v>828</v>
      </c>
    </row>
    <row r="4497" spans="22:22" ht="15.75" customHeight="1">
      <c r="V4497">
        <v>828</v>
      </c>
    </row>
    <row r="4498" spans="22:22" ht="15.75" customHeight="1">
      <c r="V4498">
        <v>828</v>
      </c>
    </row>
    <row r="4499" spans="22:22" ht="15.75" customHeight="1">
      <c r="V4499">
        <v>828</v>
      </c>
    </row>
    <row r="4500" spans="22:22" ht="15.75" customHeight="1">
      <c r="V4500">
        <v>828</v>
      </c>
    </row>
    <row r="4501" spans="22:22" ht="15.75" customHeight="1">
      <c r="V4501">
        <v>828</v>
      </c>
    </row>
    <row r="4502" spans="22:22" ht="15.75" customHeight="1">
      <c r="V4502">
        <v>828</v>
      </c>
    </row>
    <row r="4503" spans="22:22" ht="15.75" customHeight="1">
      <c r="V4503">
        <v>828</v>
      </c>
    </row>
    <row r="4504" spans="22:22" ht="15.75" customHeight="1">
      <c r="V4504">
        <v>828</v>
      </c>
    </row>
    <row r="4505" spans="22:22" ht="15.75" customHeight="1">
      <c r="V4505">
        <v>828</v>
      </c>
    </row>
    <row r="4506" spans="22:22" ht="15.75" customHeight="1">
      <c r="V4506">
        <v>828</v>
      </c>
    </row>
    <row r="4507" spans="22:22" ht="15.75" customHeight="1">
      <c r="V4507">
        <v>829</v>
      </c>
    </row>
    <row r="4508" spans="22:22" ht="15.75" customHeight="1">
      <c r="V4508">
        <v>830</v>
      </c>
    </row>
    <row r="4509" spans="22:22" ht="15.75" customHeight="1">
      <c r="V4509">
        <v>830</v>
      </c>
    </row>
    <row r="4510" spans="22:22" ht="15.75" customHeight="1">
      <c r="V4510">
        <v>830</v>
      </c>
    </row>
    <row r="4511" spans="22:22" ht="15.75" customHeight="1">
      <c r="V4511">
        <v>830</v>
      </c>
    </row>
    <row r="4512" spans="22:22" ht="15.75" customHeight="1">
      <c r="V4512">
        <v>831</v>
      </c>
    </row>
    <row r="4513" spans="22:22" ht="15.75" customHeight="1">
      <c r="V4513">
        <v>831</v>
      </c>
    </row>
    <row r="4514" spans="22:22" ht="15.75" customHeight="1">
      <c r="V4514">
        <v>831</v>
      </c>
    </row>
    <row r="4515" spans="22:22" ht="15.75" customHeight="1">
      <c r="V4515">
        <v>831</v>
      </c>
    </row>
    <row r="4516" spans="22:22" ht="15.75" customHeight="1">
      <c r="V4516">
        <v>831</v>
      </c>
    </row>
    <row r="4517" spans="22:22" ht="15.75" customHeight="1">
      <c r="V4517">
        <v>831</v>
      </c>
    </row>
    <row r="4518" spans="22:22" ht="15.75" customHeight="1">
      <c r="V4518">
        <v>831</v>
      </c>
    </row>
    <row r="4519" spans="22:22" ht="15.75" customHeight="1">
      <c r="V4519">
        <v>832</v>
      </c>
    </row>
    <row r="4520" spans="22:22" ht="15.75" customHeight="1">
      <c r="V4520">
        <v>832</v>
      </c>
    </row>
    <row r="4521" spans="22:22" ht="15.75" customHeight="1">
      <c r="V4521">
        <v>832</v>
      </c>
    </row>
    <row r="4522" spans="22:22" ht="15.75" customHeight="1">
      <c r="V4522">
        <v>832</v>
      </c>
    </row>
    <row r="4523" spans="22:22" ht="15.75" customHeight="1">
      <c r="V4523">
        <v>832</v>
      </c>
    </row>
    <row r="4524" spans="22:22" ht="15.75" customHeight="1">
      <c r="V4524">
        <v>832</v>
      </c>
    </row>
    <row r="4525" spans="22:22" ht="15.75" customHeight="1">
      <c r="V4525">
        <v>832</v>
      </c>
    </row>
    <row r="4526" spans="22:22" ht="15.75" customHeight="1">
      <c r="V4526">
        <v>832</v>
      </c>
    </row>
    <row r="4527" spans="22:22" ht="15.75" customHeight="1">
      <c r="V4527">
        <v>832</v>
      </c>
    </row>
    <row r="4528" spans="22:22" ht="15.75" customHeight="1">
      <c r="V4528">
        <v>832</v>
      </c>
    </row>
    <row r="4529" spans="22:22" ht="15.75" customHeight="1">
      <c r="V4529">
        <v>832</v>
      </c>
    </row>
    <row r="4530" spans="22:22" ht="15.75" customHeight="1">
      <c r="V4530">
        <v>832</v>
      </c>
    </row>
    <row r="4531" spans="22:22" ht="15.75" customHeight="1">
      <c r="V4531">
        <v>832</v>
      </c>
    </row>
    <row r="4532" spans="22:22" ht="15.75" customHeight="1">
      <c r="V4532">
        <v>832</v>
      </c>
    </row>
    <row r="4533" spans="22:22" ht="15.75" customHeight="1">
      <c r="V4533">
        <v>832</v>
      </c>
    </row>
    <row r="4534" spans="22:22" ht="15.75" customHeight="1">
      <c r="V4534">
        <v>832</v>
      </c>
    </row>
    <row r="4535" spans="22:22" ht="15.75" customHeight="1">
      <c r="V4535">
        <v>833</v>
      </c>
    </row>
    <row r="4536" spans="22:22" ht="15.75" customHeight="1">
      <c r="V4536">
        <v>834</v>
      </c>
    </row>
    <row r="4537" spans="22:22" ht="15.75" customHeight="1">
      <c r="V4537">
        <v>834</v>
      </c>
    </row>
    <row r="4538" spans="22:22" ht="15.75" customHeight="1">
      <c r="V4538">
        <v>834</v>
      </c>
    </row>
    <row r="4539" spans="22:22" ht="15.75" customHeight="1">
      <c r="V4539">
        <v>834</v>
      </c>
    </row>
    <row r="4540" spans="22:22" ht="15.75" customHeight="1">
      <c r="V4540">
        <v>834</v>
      </c>
    </row>
    <row r="4541" spans="22:22" ht="15.75" customHeight="1">
      <c r="V4541">
        <v>834</v>
      </c>
    </row>
    <row r="4542" spans="22:22" ht="15.75" customHeight="1">
      <c r="V4542">
        <v>834</v>
      </c>
    </row>
    <row r="4543" spans="22:22" ht="15.75" customHeight="1">
      <c r="V4543">
        <v>834</v>
      </c>
    </row>
    <row r="4544" spans="22:22" ht="15.75" customHeight="1">
      <c r="V4544">
        <v>834</v>
      </c>
    </row>
    <row r="4545" spans="22:22" ht="15.75" customHeight="1">
      <c r="V4545">
        <v>834</v>
      </c>
    </row>
    <row r="4546" spans="22:22" ht="15.75" customHeight="1">
      <c r="V4546">
        <v>834</v>
      </c>
    </row>
    <row r="4547" spans="22:22" ht="15.75" customHeight="1">
      <c r="V4547">
        <v>834</v>
      </c>
    </row>
    <row r="4548" spans="22:22" ht="15.75" customHeight="1">
      <c r="V4548">
        <v>834</v>
      </c>
    </row>
    <row r="4549" spans="22:22" ht="15.75" customHeight="1">
      <c r="V4549">
        <v>834</v>
      </c>
    </row>
    <row r="4550" spans="22:22" ht="15.75" customHeight="1">
      <c r="V4550">
        <v>835</v>
      </c>
    </row>
    <row r="4551" spans="22:22" ht="15.75" customHeight="1">
      <c r="V4551">
        <v>835</v>
      </c>
    </row>
    <row r="4552" spans="22:22" ht="15.75" customHeight="1">
      <c r="V4552">
        <v>835</v>
      </c>
    </row>
    <row r="4553" spans="22:22" ht="15.75" customHeight="1">
      <c r="V4553">
        <v>835</v>
      </c>
    </row>
    <row r="4554" spans="22:22" ht="15.75" customHeight="1">
      <c r="V4554">
        <v>835</v>
      </c>
    </row>
    <row r="4555" spans="22:22" ht="15.75" customHeight="1">
      <c r="V4555">
        <v>835</v>
      </c>
    </row>
    <row r="4556" spans="22:22" ht="15.75" customHeight="1">
      <c r="V4556">
        <v>835</v>
      </c>
    </row>
    <row r="4557" spans="22:22" ht="15.75" customHeight="1">
      <c r="V4557">
        <v>835</v>
      </c>
    </row>
    <row r="4558" spans="22:22" ht="15.75" customHeight="1">
      <c r="V4558">
        <v>835</v>
      </c>
    </row>
    <row r="4559" spans="22:22" ht="15.75" customHeight="1">
      <c r="V4559">
        <v>835</v>
      </c>
    </row>
    <row r="4560" spans="22:22" ht="15.75" customHeight="1">
      <c r="V4560">
        <v>835</v>
      </c>
    </row>
    <row r="4561" spans="22:22" ht="15.75" customHeight="1">
      <c r="V4561">
        <v>835</v>
      </c>
    </row>
    <row r="4562" spans="22:22" ht="15.75" customHeight="1">
      <c r="V4562">
        <v>835</v>
      </c>
    </row>
    <row r="4563" spans="22:22" ht="15.75" customHeight="1">
      <c r="V4563">
        <v>836</v>
      </c>
    </row>
    <row r="4564" spans="22:22" ht="15.75" customHeight="1">
      <c r="V4564">
        <v>836</v>
      </c>
    </row>
    <row r="4565" spans="22:22" ht="15.75" customHeight="1">
      <c r="V4565">
        <v>836</v>
      </c>
    </row>
    <row r="4566" spans="22:22" ht="15.75" customHeight="1">
      <c r="V4566">
        <v>836</v>
      </c>
    </row>
    <row r="4567" spans="22:22" ht="15.75" customHeight="1">
      <c r="V4567">
        <v>836</v>
      </c>
    </row>
    <row r="4568" spans="22:22" ht="15.75" customHeight="1">
      <c r="V4568">
        <v>836</v>
      </c>
    </row>
    <row r="4569" spans="22:22" ht="15.75" customHeight="1">
      <c r="V4569">
        <v>836</v>
      </c>
    </row>
    <row r="4570" spans="22:22" ht="15.75" customHeight="1">
      <c r="V4570">
        <v>836</v>
      </c>
    </row>
    <row r="4571" spans="22:22" ht="15.75" customHeight="1">
      <c r="V4571">
        <v>836</v>
      </c>
    </row>
    <row r="4572" spans="22:22" ht="15.75" customHeight="1">
      <c r="V4572">
        <v>836</v>
      </c>
    </row>
    <row r="4573" spans="22:22" ht="15.75" customHeight="1">
      <c r="V4573">
        <v>836</v>
      </c>
    </row>
    <row r="4574" spans="22:22" ht="15.75" customHeight="1">
      <c r="V4574">
        <v>836</v>
      </c>
    </row>
    <row r="4575" spans="22:22" ht="15.75" customHeight="1">
      <c r="V4575">
        <v>836</v>
      </c>
    </row>
    <row r="4576" spans="22:22" ht="15.75" customHeight="1">
      <c r="V4576">
        <v>836</v>
      </c>
    </row>
    <row r="4577" spans="22:22" ht="15.75" customHeight="1">
      <c r="V4577">
        <v>836</v>
      </c>
    </row>
    <row r="4578" spans="22:22" ht="15.75" customHeight="1">
      <c r="V4578">
        <v>836</v>
      </c>
    </row>
    <row r="4579" spans="22:22" ht="15.75" customHeight="1">
      <c r="V4579">
        <v>836</v>
      </c>
    </row>
    <row r="4580" spans="22:22" ht="15.75" customHeight="1">
      <c r="V4580">
        <v>836</v>
      </c>
    </row>
    <row r="4581" spans="22:22" ht="15.75" customHeight="1">
      <c r="V4581">
        <v>836</v>
      </c>
    </row>
    <row r="4582" spans="22:22" ht="15.75" customHeight="1">
      <c r="V4582">
        <v>837</v>
      </c>
    </row>
    <row r="4583" spans="22:22" ht="15.75" customHeight="1">
      <c r="V4583">
        <v>837</v>
      </c>
    </row>
    <row r="4584" spans="22:22" ht="15.75" customHeight="1">
      <c r="V4584">
        <v>837</v>
      </c>
    </row>
    <row r="4585" spans="22:22" ht="15.75" customHeight="1">
      <c r="V4585">
        <v>837</v>
      </c>
    </row>
    <row r="4586" spans="22:22" ht="15.75" customHeight="1">
      <c r="V4586">
        <v>838</v>
      </c>
    </row>
    <row r="4587" spans="22:22" ht="15.75" customHeight="1">
      <c r="V4587">
        <v>838</v>
      </c>
    </row>
    <row r="4588" spans="22:22" ht="15.75" customHeight="1">
      <c r="V4588">
        <v>838</v>
      </c>
    </row>
    <row r="4589" spans="22:22" ht="15.75" customHeight="1">
      <c r="V4589">
        <v>838</v>
      </c>
    </row>
    <row r="4590" spans="22:22" ht="15.75" customHeight="1">
      <c r="V4590">
        <v>838</v>
      </c>
    </row>
    <row r="4591" spans="22:22" ht="15.75" customHeight="1">
      <c r="V4591">
        <v>838</v>
      </c>
    </row>
    <row r="4592" spans="22:22" ht="15.75" customHeight="1">
      <c r="V4592">
        <v>839</v>
      </c>
    </row>
    <row r="4593" spans="22:22" ht="15.75" customHeight="1">
      <c r="V4593">
        <v>839</v>
      </c>
    </row>
    <row r="4594" spans="22:22" ht="15.75" customHeight="1">
      <c r="V4594">
        <v>840</v>
      </c>
    </row>
    <row r="4595" spans="22:22" ht="15.75" customHeight="1">
      <c r="V4595">
        <v>841</v>
      </c>
    </row>
    <row r="4596" spans="22:22" ht="15.75" customHeight="1">
      <c r="V4596">
        <v>841</v>
      </c>
    </row>
    <row r="4597" spans="22:22" ht="15.75" customHeight="1">
      <c r="V4597">
        <v>841</v>
      </c>
    </row>
    <row r="4598" spans="22:22" ht="15.75" customHeight="1">
      <c r="V4598">
        <v>841</v>
      </c>
    </row>
    <row r="4599" spans="22:22" ht="15.75" customHeight="1">
      <c r="V4599">
        <v>841</v>
      </c>
    </row>
    <row r="4600" spans="22:22" ht="15.75" customHeight="1">
      <c r="V4600">
        <v>841</v>
      </c>
    </row>
    <row r="4601" spans="22:22" ht="15.75" customHeight="1">
      <c r="V4601">
        <v>841</v>
      </c>
    </row>
    <row r="4602" spans="22:22" ht="15.75" customHeight="1">
      <c r="V4602">
        <v>841</v>
      </c>
    </row>
    <row r="4603" spans="22:22" ht="15.75" customHeight="1">
      <c r="V4603">
        <v>841</v>
      </c>
    </row>
    <row r="4604" spans="22:22" ht="15.75" customHeight="1">
      <c r="V4604">
        <v>841</v>
      </c>
    </row>
    <row r="4605" spans="22:22" ht="15.75" customHeight="1">
      <c r="V4605">
        <v>841</v>
      </c>
    </row>
    <row r="4606" spans="22:22" ht="15.75" customHeight="1">
      <c r="V4606">
        <v>841</v>
      </c>
    </row>
    <row r="4607" spans="22:22" ht="15.75" customHeight="1">
      <c r="V4607">
        <v>842</v>
      </c>
    </row>
    <row r="4608" spans="22:22" ht="15.75" customHeight="1">
      <c r="V4608">
        <v>842</v>
      </c>
    </row>
    <row r="4609" spans="22:22" ht="15.75" customHeight="1">
      <c r="V4609">
        <v>842</v>
      </c>
    </row>
    <row r="4610" spans="22:22" ht="15.75" customHeight="1">
      <c r="V4610">
        <v>842</v>
      </c>
    </row>
    <row r="4611" spans="22:22" ht="15.75" customHeight="1">
      <c r="V4611">
        <v>842</v>
      </c>
    </row>
    <row r="4612" spans="22:22" ht="15.75" customHeight="1">
      <c r="V4612">
        <v>843</v>
      </c>
    </row>
    <row r="4613" spans="22:22" ht="15.75" customHeight="1">
      <c r="V4613">
        <v>843</v>
      </c>
    </row>
    <row r="4614" spans="22:22" ht="15.75" customHeight="1">
      <c r="V4614">
        <v>843</v>
      </c>
    </row>
    <row r="4615" spans="22:22" ht="15.75" customHeight="1">
      <c r="V4615">
        <v>844</v>
      </c>
    </row>
    <row r="4616" spans="22:22" ht="15.75" customHeight="1">
      <c r="V4616">
        <v>845</v>
      </c>
    </row>
    <row r="4617" spans="22:22" ht="15.75" customHeight="1">
      <c r="V4617">
        <v>845</v>
      </c>
    </row>
    <row r="4618" spans="22:22" ht="15.75" customHeight="1">
      <c r="V4618">
        <v>846</v>
      </c>
    </row>
    <row r="4619" spans="22:22" ht="15.75" customHeight="1">
      <c r="V4619">
        <v>847</v>
      </c>
    </row>
    <row r="4620" spans="22:22" ht="15.75" customHeight="1">
      <c r="V4620">
        <v>847</v>
      </c>
    </row>
    <row r="4621" spans="22:22" ht="15.75" customHeight="1">
      <c r="V4621">
        <v>847</v>
      </c>
    </row>
    <row r="4622" spans="22:22" ht="15.75" customHeight="1">
      <c r="V4622">
        <v>847</v>
      </c>
    </row>
    <row r="4623" spans="22:22" ht="15.75" customHeight="1">
      <c r="V4623">
        <v>848</v>
      </c>
    </row>
    <row r="4624" spans="22:22" ht="15.75" customHeight="1">
      <c r="V4624">
        <v>848</v>
      </c>
    </row>
    <row r="4625" spans="22:22" ht="15.75" customHeight="1">
      <c r="V4625">
        <v>848</v>
      </c>
    </row>
    <row r="4626" spans="22:22" ht="15.75" customHeight="1">
      <c r="V4626">
        <v>848</v>
      </c>
    </row>
    <row r="4627" spans="22:22" ht="15.75" customHeight="1">
      <c r="V4627">
        <v>848</v>
      </c>
    </row>
    <row r="4628" spans="22:22" ht="15.75" customHeight="1">
      <c r="V4628">
        <v>848</v>
      </c>
    </row>
    <row r="4629" spans="22:22" ht="15.75" customHeight="1">
      <c r="V4629">
        <v>848</v>
      </c>
    </row>
    <row r="4630" spans="22:22" ht="15.75" customHeight="1">
      <c r="V4630">
        <v>848</v>
      </c>
    </row>
    <row r="4631" spans="22:22" ht="15.75" customHeight="1">
      <c r="V4631">
        <v>848</v>
      </c>
    </row>
    <row r="4632" spans="22:22" ht="15.75" customHeight="1">
      <c r="V4632">
        <v>848</v>
      </c>
    </row>
    <row r="4633" spans="22:22" ht="15.75" customHeight="1">
      <c r="V4633">
        <v>848</v>
      </c>
    </row>
    <row r="4634" spans="22:22" ht="15.75" customHeight="1">
      <c r="V4634">
        <v>848</v>
      </c>
    </row>
    <row r="4635" spans="22:22" ht="15.75" customHeight="1">
      <c r="V4635">
        <v>848</v>
      </c>
    </row>
    <row r="4636" spans="22:22" ht="15.75" customHeight="1">
      <c r="V4636">
        <v>848</v>
      </c>
    </row>
    <row r="4637" spans="22:22" ht="15.75" customHeight="1">
      <c r="V4637">
        <v>848</v>
      </c>
    </row>
    <row r="4638" spans="22:22" ht="15.75" customHeight="1">
      <c r="V4638">
        <v>848</v>
      </c>
    </row>
    <row r="4639" spans="22:22" ht="15.75" customHeight="1">
      <c r="V4639">
        <v>848</v>
      </c>
    </row>
    <row r="4640" spans="22:22" ht="15.75" customHeight="1">
      <c r="V4640">
        <v>848</v>
      </c>
    </row>
    <row r="4641" spans="22:22" ht="15.75" customHeight="1">
      <c r="V4641">
        <v>848</v>
      </c>
    </row>
    <row r="4642" spans="22:22" ht="15.75" customHeight="1">
      <c r="V4642">
        <v>848</v>
      </c>
    </row>
    <row r="4643" spans="22:22" ht="15.75" customHeight="1">
      <c r="V4643">
        <v>848</v>
      </c>
    </row>
    <row r="4644" spans="22:22" ht="15.75" customHeight="1">
      <c r="V4644">
        <v>848</v>
      </c>
    </row>
    <row r="4645" spans="22:22" ht="15.75" customHeight="1">
      <c r="V4645">
        <v>848</v>
      </c>
    </row>
    <row r="4646" spans="22:22" ht="15.75" customHeight="1">
      <c r="V4646">
        <v>849</v>
      </c>
    </row>
    <row r="4647" spans="22:22" ht="15.75" customHeight="1">
      <c r="V4647">
        <v>849</v>
      </c>
    </row>
    <row r="4648" spans="22:22" ht="15.75" customHeight="1">
      <c r="V4648">
        <v>850</v>
      </c>
    </row>
    <row r="4649" spans="22:22" ht="15.75" customHeight="1">
      <c r="V4649">
        <v>850</v>
      </c>
    </row>
    <row r="4650" spans="22:22" ht="15.75" customHeight="1">
      <c r="V4650">
        <v>850</v>
      </c>
    </row>
    <row r="4651" spans="22:22" ht="15.75" customHeight="1">
      <c r="V4651">
        <v>850</v>
      </c>
    </row>
    <row r="4652" spans="22:22" ht="15.75" customHeight="1">
      <c r="V4652">
        <v>850</v>
      </c>
    </row>
    <row r="4653" spans="22:22" ht="15.75" customHeight="1">
      <c r="V4653">
        <v>850</v>
      </c>
    </row>
    <row r="4654" spans="22:22" ht="15.75" customHeight="1">
      <c r="V4654">
        <v>850</v>
      </c>
    </row>
    <row r="4655" spans="22:22" ht="15.75" customHeight="1">
      <c r="V4655">
        <v>850</v>
      </c>
    </row>
    <row r="4656" spans="22:22" ht="15.75" customHeight="1">
      <c r="V4656">
        <v>850</v>
      </c>
    </row>
    <row r="4657" spans="22:22" ht="15.75" customHeight="1">
      <c r="V4657">
        <v>850</v>
      </c>
    </row>
    <row r="4658" spans="22:22" ht="15.75" customHeight="1">
      <c r="V4658">
        <v>850</v>
      </c>
    </row>
    <row r="4659" spans="22:22" ht="15.75" customHeight="1">
      <c r="V4659">
        <v>850</v>
      </c>
    </row>
    <row r="4660" spans="22:22" ht="15.75" customHeight="1">
      <c r="V4660">
        <v>850</v>
      </c>
    </row>
    <row r="4661" spans="22:22" ht="15.75" customHeight="1">
      <c r="V4661">
        <v>851</v>
      </c>
    </row>
    <row r="4662" spans="22:22" ht="15.75" customHeight="1">
      <c r="V4662">
        <v>852</v>
      </c>
    </row>
    <row r="4663" spans="22:22" ht="15.75" customHeight="1">
      <c r="V4663">
        <v>852</v>
      </c>
    </row>
    <row r="4664" spans="22:22" ht="15.75" customHeight="1">
      <c r="V4664">
        <v>853</v>
      </c>
    </row>
    <row r="4665" spans="22:22" ht="15.75" customHeight="1">
      <c r="V4665">
        <v>853</v>
      </c>
    </row>
    <row r="4666" spans="22:22" ht="15.75" customHeight="1">
      <c r="V4666">
        <v>853</v>
      </c>
    </row>
    <row r="4667" spans="22:22" ht="15.75" customHeight="1">
      <c r="V4667">
        <v>853</v>
      </c>
    </row>
    <row r="4668" spans="22:22" ht="15.75" customHeight="1">
      <c r="V4668">
        <v>853</v>
      </c>
    </row>
    <row r="4669" spans="22:22" ht="15.75" customHeight="1">
      <c r="V4669">
        <v>853</v>
      </c>
    </row>
    <row r="4670" spans="22:22" ht="15.75" customHeight="1">
      <c r="V4670">
        <v>853</v>
      </c>
    </row>
    <row r="4671" spans="22:22" ht="15.75" customHeight="1">
      <c r="V4671">
        <v>854</v>
      </c>
    </row>
    <row r="4672" spans="22:22" ht="15.75" customHeight="1">
      <c r="V4672">
        <v>855</v>
      </c>
    </row>
    <row r="4673" spans="22:22" ht="15.75" customHeight="1">
      <c r="V4673">
        <v>856</v>
      </c>
    </row>
    <row r="4674" spans="22:22" ht="15.75" customHeight="1">
      <c r="V4674">
        <v>857</v>
      </c>
    </row>
    <row r="4675" spans="22:22" ht="15.75" customHeight="1">
      <c r="V4675">
        <v>858</v>
      </c>
    </row>
    <row r="4676" spans="22:22" ht="15.75" customHeight="1">
      <c r="V4676">
        <v>859</v>
      </c>
    </row>
    <row r="4677" spans="22:22" ht="15.75" customHeight="1">
      <c r="V4677">
        <v>860</v>
      </c>
    </row>
    <row r="4678" spans="22:22" ht="15.75" customHeight="1">
      <c r="V4678">
        <v>861</v>
      </c>
    </row>
    <row r="4679" spans="22:22" ht="15.75" customHeight="1">
      <c r="V4679">
        <v>862</v>
      </c>
    </row>
    <row r="4680" spans="22:22" ht="15.75" customHeight="1">
      <c r="V4680">
        <v>863</v>
      </c>
    </row>
    <row r="4681" spans="22:22" ht="15.75" customHeight="1">
      <c r="V4681">
        <v>863</v>
      </c>
    </row>
    <row r="4682" spans="22:22" ht="15.75" customHeight="1">
      <c r="V4682">
        <v>864</v>
      </c>
    </row>
    <row r="4683" spans="22:22" ht="15.75" customHeight="1">
      <c r="V4683">
        <v>864</v>
      </c>
    </row>
    <row r="4684" spans="22:22" ht="15.75" customHeight="1">
      <c r="V4684">
        <v>865</v>
      </c>
    </row>
    <row r="4685" spans="22:22" ht="15.75" customHeight="1">
      <c r="V4685">
        <v>865</v>
      </c>
    </row>
    <row r="4686" spans="22:22" ht="15.75" customHeight="1">
      <c r="V4686">
        <v>866</v>
      </c>
    </row>
    <row r="4687" spans="22:22" ht="15.75" customHeight="1">
      <c r="V4687">
        <v>867</v>
      </c>
    </row>
    <row r="4688" spans="22:22" ht="15.75" customHeight="1">
      <c r="V4688">
        <v>867</v>
      </c>
    </row>
    <row r="4689" spans="22:22" ht="15.75" customHeight="1">
      <c r="V4689">
        <v>867</v>
      </c>
    </row>
    <row r="4690" spans="22:22" ht="15.75" customHeight="1">
      <c r="V4690">
        <v>867</v>
      </c>
    </row>
    <row r="4691" spans="22:22" ht="15.75" customHeight="1">
      <c r="V4691">
        <v>868</v>
      </c>
    </row>
    <row r="4692" spans="22:22" ht="15.75" customHeight="1">
      <c r="V4692">
        <v>868</v>
      </c>
    </row>
    <row r="4693" spans="22:22" ht="15.75" customHeight="1">
      <c r="V4693">
        <v>868</v>
      </c>
    </row>
    <row r="4694" spans="22:22" ht="15.75" customHeight="1">
      <c r="V4694">
        <v>868</v>
      </c>
    </row>
    <row r="4695" spans="22:22" ht="15.75" customHeight="1">
      <c r="V4695">
        <v>869</v>
      </c>
    </row>
    <row r="4696" spans="22:22" ht="15.75" customHeight="1">
      <c r="V4696">
        <v>869</v>
      </c>
    </row>
    <row r="4697" spans="22:22" ht="15.75" customHeight="1">
      <c r="V4697">
        <v>870</v>
      </c>
    </row>
    <row r="4698" spans="22:22" ht="15.75" customHeight="1">
      <c r="V4698">
        <v>871</v>
      </c>
    </row>
    <row r="4699" spans="22:22" ht="15.75" customHeight="1">
      <c r="V4699">
        <v>871</v>
      </c>
    </row>
    <row r="4700" spans="22:22" ht="15.75" customHeight="1">
      <c r="V4700">
        <v>872</v>
      </c>
    </row>
    <row r="4701" spans="22:22" ht="15.75" customHeight="1">
      <c r="V4701">
        <v>873</v>
      </c>
    </row>
    <row r="4702" spans="22:22" ht="15.75" customHeight="1">
      <c r="V4702">
        <v>874</v>
      </c>
    </row>
    <row r="4703" spans="22:22" ht="15.75" customHeight="1">
      <c r="V4703">
        <v>875</v>
      </c>
    </row>
    <row r="4704" spans="22:22" ht="15.75" customHeight="1">
      <c r="V4704">
        <v>875</v>
      </c>
    </row>
    <row r="4705" spans="22:22" ht="15.75" customHeight="1">
      <c r="V4705">
        <v>875</v>
      </c>
    </row>
    <row r="4706" spans="22:22" ht="15.75" customHeight="1">
      <c r="V4706">
        <v>876</v>
      </c>
    </row>
    <row r="4707" spans="22:22" ht="15.75" customHeight="1">
      <c r="V4707">
        <v>877</v>
      </c>
    </row>
    <row r="4708" spans="22:22" ht="15.75" customHeight="1">
      <c r="V4708">
        <v>878</v>
      </c>
    </row>
    <row r="4709" spans="22:22" ht="15.75" customHeight="1">
      <c r="V4709">
        <v>879</v>
      </c>
    </row>
    <row r="4710" spans="22:22" ht="15.75" customHeight="1">
      <c r="V4710">
        <v>880</v>
      </c>
    </row>
    <row r="4711" spans="22:22" ht="15.75" customHeight="1">
      <c r="V4711">
        <v>881</v>
      </c>
    </row>
    <row r="4712" spans="22:22" ht="15.75" customHeight="1">
      <c r="V4712">
        <v>882</v>
      </c>
    </row>
    <row r="4713" spans="22:22" ht="15.75" customHeight="1">
      <c r="V4713">
        <v>883</v>
      </c>
    </row>
    <row r="4714" spans="22:22" ht="15.75" customHeight="1">
      <c r="V4714">
        <v>883</v>
      </c>
    </row>
    <row r="4715" spans="22:22" ht="15.75" customHeight="1">
      <c r="V4715">
        <v>884</v>
      </c>
    </row>
    <row r="4716" spans="22:22" ht="15.75" customHeight="1">
      <c r="V4716">
        <v>885</v>
      </c>
    </row>
    <row r="4717" spans="22:22" ht="15.75" customHeight="1">
      <c r="V4717">
        <v>886</v>
      </c>
    </row>
    <row r="4718" spans="22:22" ht="15.75" customHeight="1">
      <c r="V4718">
        <v>886</v>
      </c>
    </row>
    <row r="4719" spans="22:22" ht="15.75" customHeight="1">
      <c r="V4719">
        <v>887</v>
      </c>
    </row>
    <row r="4720" spans="22:22" ht="15.75" customHeight="1">
      <c r="V4720">
        <v>888</v>
      </c>
    </row>
    <row r="4721" spans="22:22" ht="15.75" customHeight="1">
      <c r="V4721">
        <v>888</v>
      </c>
    </row>
    <row r="4722" spans="22:22" ht="15.75" customHeight="1">
      <c r="V4722">
        <v>888</v>
      </c>
    </row>
    <row r="4723" spans="22:22" ht="15.75" customHeight="1">
      <c r="V4723">
        <v>888</v>
      </c>
    </row>
    <row r="4724" spans="22:22" ht="15.75" customHeight="1">
      <c r="V4724">
        <v>889</v>
      </c>
    </row>
    <row r="4725" spans="22:22" ht="15.75" customHeight="1">
      <c r="V4725">
        <v>889</v>
      </c>
    </row>
    <row r="4726" spans="22:22" ht="15.75" customHeight="1">
      <c r="V4726">
        <v>889</v>
      </c>
    </row>
    <row r="4727" spans="22:22" ht="15.75" customHeight="1">
      <c r="V4727">
        <v>889</v>
      </c>
    </row>
    <row r="4728" spans="22:22" ht="15.75" customHeight="1">
      <c r="V4728">
        <v>890</v>
      </c>
    </row>
    <row r="4729" spans="22:22" ht="15.75" customHeight="1">
      <c r="V4729">
        <v>890</v>
      </c>
    </row>
    <row r="4730" spans="22:22" ht="15.75" customHeight="1">
      <c r="V4730">
        <v>890</v>
      </c>
    </row>
    <row r="4731" spans="22:22" ht="15.75" customHeight="1">
      <c r="V4731">
        <v>890</v>
      </c>
    </row>
    <row r="4732" spans="22:22" ht="15.75" customHeight="1">
      <c r="V4732">
        <v>890</v>
      </c>
    </row>
    <row r="4733" spans="22:22" ht="15.75" customHeight="1">
      <c r="V4733">
        <v>890</v>
      </c>
    </row>
    <row r="4734" spans="22:22" ht="15.75" customHeight="1">
      <c r="V4734">
        <v>891</v>
      </c>
    </row>
    <row r="4735" spans="22:22" ht="15.75" customHeight="1">
      <c r="V4735">
        <v>892</v>
      </c>
    </row>
    <row r="4736" spans="22:22" ht="15.75" customHeight="1">
      <c r="V4736">
        <v>893</v>
      </c>
    </row>
    <row r="4737" spans="22:22" ht="15.75" customHeight="1">
      <c r="V4737">
        <v>893</v>
      </c>
    </row>
    <row r="4738" spans="22:22" ht="15.75" customHeight="1">
      <c r="V4738">
        <v>893</v>
      </c>
    </row>
    <row r="4739" spans="22:22" ht="15.75" customHeight="1">
      <c r="V4739">
        <v>893</v>
      </c>
    </row>
    <row r="4740" spans="22:22" ht="15.75" customHeight="1">
      <c r="V4740">
        <v>893</v>
      </c>
    </row>
    <row r="4741" spans="22:22" ht="15.75" customHeight="1">
      <c r="V4741">
        <v>893</v>
      </c>
    </row>
    <row r="4742" spans="22:22" ht="15.75" customHeight="1">
      <c r="V4742">
        <v>893</v>
      </c>
    </row>
    <row r="4743" spans="22:22" ht="15.75" customHeight="1">
      <c r="V4743">
        <v>893</v>
      </c>
    </row>
    <row r="4744" spans="22:22" ht="15.75" customHeight="1">
      <c r="V4744">
        <v>893</v>
      </c>
    </row>
    <row r="4745" spans="22:22" ht="15.75" customHeight="1">
      <c r="V4745">
        <v>893</v>
      </c>
    </row>
    <row r="4746" spans="22:22" ht="15.75" customHeight="1">
      <c r="V4746">
        <v>893</v>
      </c>
    </row>
    <row r="4747" spans="22:22" ht="15.75" customHeight="1">
      <c r="V4747">
        <v>893</v>
      </c>
    </row>
    <row r="4748" spans="22:22" ht="15.75" customHeight="1">
      <c r="V4748">
        <v>893</v>
      </c>
    </row>
    <row r="4749" spans="22:22" ht="15.75" customHeight="1">
      <c r="V4749">
        <v>893</v>
      </c>
    </row>
    <row r="4750" spans="22:22" ht="15.75" customHeight="1">
      <c r="V4750">
        <v>893</v>
      </c>
    </row>
    <row r="4751" spans="22:22" ht="15.75" customHeight="1">
      <c r="V4751">
        <v>893</v>
      </c>
    </row>
    <row r="4752" spans="22:22" ht="15.75" customHeight="1">
      <c r="V4752">
        <v>893</v>
      </c>
    </row>
    <row r="4753" spans="22:22" ht="15.75" customHeight="1">
      <c r="V4753">
        <v>893</v>
      </c>
    </row>
    <row r="4754" spans="22:22" ht="15.75" customHeight="1">
      <c r="V4754">
        <v>893</v>
      </c>
    </row>
    <row r="4755" spans="22:22" ht="15.75" customHeight="1">
      <c r="V4755">
        <v>893</v>
      </c>
    </row>
    <row r="4756" spans="22:22" ht="15.75" customHeight="1">
      <c r="V4756">
        <v>893</v>
      </c>
    </row>
    <row r="4757" spans="22:22" ht="15.75" customHeight="1">
      <c r="V4757">
        <v>893</v>
      </c>
    </row>
    <row r="4758" spans="22:22" ht="15.75" customHeight="1">
      <c r="V4758">
        <v>893</v>
      </c>
    </row>
    <row r="4759" spans="22:22" ht="15.75" customHeight="1">
      <c r="V4759">
        <v>893</v>
      </c>
    </row>
    <row r="4760" spans="22:22" ht="15.75" customHeight="1">
      <c r="V4760">
        <v>893</v>
      </c>
    </row>
    <row r="4761" spans="22:22" ht="15.75" customHeight="1">
      <c r="V4761">
        <v>893</v>
      </c>
    </row>
    <row r="4762" spans="22:22" ht="15.75" customHeight="1">
      <c r="V4762">
        <v>893</v>
      </c>
    </row>
    <row r="4763" spans="22:22" ht="15.75" customHeight="1">
      <c r="V4763">
        <v>893</v>
      </c>
    </row>
    <row r="4764" spans="22:22" ht="15.75" customHeight="1">
      <c r="V4764">
        <v>893</v>
      </c>
    </row>
    <row r="4765" spans="22:22" ht="15.75" customHeight="1">
      <c r="V4765">
        <v>893</v>
      </c>
    </row>
    <row r="4766" spans="22:22" ht="15.75" customHeight="1">
      <c r="V4766">
        <v>893</v>
      </c>
    </row>
    <row r="4767" spans="22:22" ht="15.75" customHeight="1">
      <c r="V4767">
        <v>893</v>
      </c>
    </row>
    <row r="4768" spans="22:22" ht="15.75" customHeight="1">
      <c r="V4768">
        <v>893</v>
      </c>
    </row>
    <row r="4769" spans="22:22" ht="15.75" customHeight="1">
      <c r="V4769">
        <v>893</v>
      </c>
    </row>
    <row r="4770" spans="22:22" ht="15.75" customHeight="1">
      <c r="V4770">
        <v>893</v>
      </c>
    </row>
    <row r="4771" spans="22:22" ht="15.75" customHeight="1">
      <c r="V4771">
        <v>893</v>
      </c>
    </row>
    <row r="4772" spans="22:22" ht="15.75" customHeight="1">
      <c r="V4772">
        <v>894</v>
      </c>
    </row>
    <row r="4773" spans="22:22" ht="15.75" customHeight="1">
      <c r="V4773">
        <v>894</v>
      </c>
    </row>
    <row r="4774" spans="22:22" ht="15.75" customHeight="1">
      <c r="V4774">
        <v>895</v>
      </c>
    </row>
    <row r="4775" spans="22:22" ht="15.75" customHeight="1">
      <c r="V4775">
        <v>896</v>
      </c>
    </row>
    <row r="4776" spans="22:22" ht="15.75" customHeight="1">
      <c r="V4776">
        <v>896</v>
      </c>
    </row>
    <row r="4777" spans="22:22" ht="15.75" customHeight="1">
      <c r="V4777">
        <v>896</v>
      </c>
    </row>
    <row r="4778" spans="22:22" ht="15.75" customHeight="1">
      <c r="V4778">
        <v>896</v>
      </c>
    </row>
    <row r="4779" spans="22:22" ht="15.75" customHeight="1">
      <c r="V4779">
        <v>897</v>
      </c>
    </row>
    <row r="4780" spans="22:22" ht="15.75" customHeight="1">
      <c r="V4780">
        <v>898</v>
      </c>
    </row>
    <row r="4781" spans="22:22" ht="15.75" customHeight="1">
      <c r="V4781">
        <v>899</v>
      </c>
    </row>
    <row r="4782" spans="22:22" ht="15.75" customHeight="1">
      <c r="V4782">
        <v>899</v>
      </c>
    </row>
    <row r="4783" spans="22:22" ht="15.75" customHeight="1">
      <c r="V4783">
        <v>899</v>
      </c>
    </row>
    <row r="4784" spans="22:22" ht="15.75" customHeight="1">
      <c r="V4784">
        <v>899</v>
      </c>
    </row>
    <row r="4785" spans="22:22" ht="15.75" customHeight="1">
      <c r="V4785">
        <v>899</v>
      </c>
    </row>
    <row r="4786" spans="22:22" ht="15.75" customHeight="1">
      <c r="V4786">
        <v>899</v>
      </c>
    </row>
    <row r="4787" spans="22:22" ht="15.75" customHeight="1">
      <c r="V4787">
        <v>899</v>
      </c>
    </row>
    <row r="4788" spans="22:22" ht="15.75" customHeight="1">
      <c r="V4788">
        <v>899</v>
      </c>
    </row>
    <row r="4789" spans="22:22" ht="15.75" customHeight="1">
      <c r="V4789">
        <v>899</v>
      </c>
    </row>
    <row r="4790" spans="22:22" ht="15.75" customHeight="1">
      <c r="V4790">
        <v>899</v>
      </c>
    </row>
    <row r="4791" spans="22:22" ht="15.75" customHeight="1">
      <c r="V4791">
        <v>899</v>
      </c>
    </row>
    <row r="4792" spans="22:22" ht="15.75" customHeight="1">
      <c r="V4792">
        <v>899</v>
      </c>
    </row>
    <row r="4793" spans="22:22" ht="15.75" customHeight="1">
      <c r="V4793">
        <v>899</v>
      </c>
    </row>
    <row r="4794" spans="22:22" ht="15.75" customHeight="1">
      <c r="V4794">
        <v>899</v>
      </c>
    </row>
    <row r="4795" spans="22:22" ht="15.75" customHeight="1">
      <c r="V4795">
        <v>899</v>
      </c>
    </row>
    <row r="4796" spans="22:22" ht="15.75" customHeight="1">
      <c r="V4796">
        <v>900</v>
      </c>
    </row>
    <row r="4797" spans="22:22" ht="15.75" customHeight="1">
      <c r="V4797">
        <v>901</v>
      </c>
    </row>
    <row r="4798" spans="22:22" ht="15.75" customHeight="1">
      <c r="V4798">
        <v>901</v>
      </c>
    </row>
    <row r="4799" spans="22:22" ht="15.75" customHeight="1">
      <c r="V4799">
        <v>901</v>
      </c>
    </row>
    <row r="4800" spans="22:22" ht="15.75" customHeight="1">
      <c r="V4800">
        <v>902</v>
      </c>
    </row>
    <row r="4801" spans="22:22" ht="15.75" customHeight="1">
      <c r="V4801">
        <v>902</v>
      </c>
    </row>
    <row r="4802" spans="22:22" ht="15.75" customHeight="1">
      <c r="V4802">
        <v>903</v>
      </c>
    </row>
    <row r="4803" spans="22:22" ht="15.75" customHeight="1">
      <c r="V4803">
        <v>903</v>
      </c>
    </row>
    <row r="4804" spans="22:22" ht="15.75" customHeight="1">
      <c r="V4804">
        <v>903</v>
      </c>
    </row>
    <row r="4805" spans="22:22" ht="15.75" customHeight="1">
      <c r="V4805">
        <v>903</v>
      </c>
    </row>
    <row r="4806" spans="22:22" ht="15.75" customHeight="1">
      <c r="V4806">
        <v>903</v>
      </c>
    </row>
    <row r="4807" spans="22:22" ht="15.75" customHeight="1">
      <c r="V4807">
        <v>903</v>
      </c>
    </row>
    <row r="4808" spans="22:22" ht="15.75" customHeight="1">
      <c r="V4808">
        <v>903</v>
      </c>
    </row>
    <row r="4809" spans="22:22" ht="15.75" customHeight="1">
      <c r="V4809">
        <v>903</v>
      </c>
    </row>
    <row r="4810" spans="22:22" ht="15.75" customHeight="1">
      <c r="V4810">
        <v>904</v>
      </c>
    </row>
    <row r="4811" spans="22:22" ht="15.75" customHeight="1">
      <c r="V4811">
        <v>904</v>
      </c>
    </row>
    <row r="4812" spans="22:22" ht="15.75" customHeight="1">
      <c r="V4812">
        <v>904</v>
      </c>
    </row>
    <row r="4813" spans="22:22" ht="15.75" customHeight="1">
      <c r="V4813">
        <v>905</v>
      </c>
    </row>
    <row r="4814" spans="22:22" ht="15.75" customHeight="1">
      <c r="V4814">
        <v>906</v>
      </c>
    </row>
    <row r="4815" spans="22:22" ht="15.75" customHeight="1">
      <c r="V4815">
        <v>907</v>
      </c>
    </row>
    <row r="4816" spans="22:22" ht="15.75" customHeight="1">
      <c r="V4816">
        <v>908</v>
      </c>
    </row>
    <row r="4817" spans="22:22" ht="15.75" customHeight="1">
      <c r="V4817">
        <v>908</v>
      </c>
    </row>
    <row r="4818" spans="22:22" ht="15.75" customHeight="1">
      <c r="V4818">
        <v>908</v>
      </c>
    </row>
    <row r="4819" spans="22:22" ht="15.75" customHeight="1">
      <c r="V4819">
        <v>908</v>
      </c>
    </row>
    <row r="4820" spans="22:22" ht="15.75" customHeight="1">
      <c r="V4820">
        <v>908</v>
      </c>
    </row>
    <row r="4821" spans="22:22" ht="15.75" customHeight="1">
      <c r="V4821">
        <v>909</v>
      </c>
    </row>
    <row r="4822" spans="22:22" ht="15.75" customHeight="1">
      <c r="V4822">
        <v>909</v>
      </c>
    </row>
    <row r="4823" spans="22:22" ht="15.75" customHeight="1">
      <c r="V4823">
        <v>909</v>
      </c>
    </row>
    <row r="4824" spans="22:22" ht="15.75" customHeight="1">
      <c r="V4824">
        <v>909</v>
      </c>
    </row>
    <row r="4825" spans="22:22" ht="15.75" customHeight="1">
      <c r="V4825">
        <v>910</v>
      </c>
    </row>
    <row r="4826" spans="22:22" ht="15.75" customHeight="1">
      <c r="V4826">
        <v>910</v>
      </c>
    </row>
    <row r="4827" spans="22:22" ht="15.75" customHeight="1">
      <c r="V4827">
        <v>910</v>
      </c>
    </row>
    <row r="4828" spans="22:22" ht="15.75" customHeight="1">
      <c r="V4828">
        <v>910</v>
      </c>
    </row>
    <row r="4829" spans="22:22" ht="15.75" customHeight="1">
      <c r="V4829">
        <v>911</v>
      </c>
    </row>
    <row r="4830" spans="22:22" ht="15.75" customHeight="1">
      <c r="V4830">
        <v>912</v>
      </c>
    </row>
    <row r="4831" spans="22:22" ht="15.75" customHeight="1">
      <c r="V4831">
        <v>913</v>
      </c>
    </row>
    <row r="4832" spans="22:22" ht="15.75" customHeight="1">
      <c r="V4832">
        <v>913</v>
      </c>
    </row>
    <row r="4833" spans="22:22" ht="15.75" customHeight="1">
      <c r="V4833">
        <v>914</v>
      </c>
    </row>
    <row r="4834" spans="22:22" ht="15.75" customHeight="1">
      <c r="V4834">
        <v>914</v>
      </c>
    </row>
    <row r="4835" spans="22:22" ht="15.75" customHeight="1">
      <c r="V4835">
        <v>915</v>
      </c>
    </row>
    <row r="4836" spans="22:22" ht="15.75" customHeight="1">
      <c r="V4836">
        <v>915</v>
      </c>
    </row>
    <row r="4837" spans="22:22" ht="15.75" customHeight="1">
      <c r="V4837">
        <v>916</v>
      </c>
    </row>
    <row r="4838" spans="22:22" ht="15.75" customHeight="1">
      <c r="V4838">
        <v>917</v>
      </c>
    </row>
    <row r="4839" spans="22:22" ht="15.75" customHeight="1">
      <c r="V4839">
        <v>918</v>
      </c>
    </row>
    <row r="4840" spans="22:22" ht="15.75" customHeight="1">
      <c r="V4840">
        <v>919</v>
      </c>
    </row>
    <row r="4841" spans="22:22" ht="15.75" customHeight="1">
      <c r="V4841">
        <v>920</v>
      </c>
    </row>
    <row r="4842" spans="22:22" ht="15.75" customHeight="1">
      <c r="V4842">
        <v>920</v>
      </c>
    </row>
    <row r="4843" spans="22:22" ht="15.75" customHeight="1">
      <c r="V4843">
        <v>921</v>
      </c>
    </row>
    <row r="4844" spans="22:22" ht="15.75" customHeight="1">
      <c r="V4844">
        <v>922</v>
      </c>
    </row>
    <row r="4845" spans="22:22" ht="15.75" customHeight="1">
      <c r="V4845">
        <v>923</v>
      </c>
    </row>
    <row r="4846" spans="22:22" ht="15.75" customHeight="1">
      <c r="V4846">
        <v>924</v>
      </c>
    </row>
    <row r="4847" spans="22:22" ht="15.75" customHeight="1">
      <c r="V4847">
        <v>924</v>
      </c>
    </row>
    <row r="4848" spans="22:22" ht="15.75" customHeight="1">
      <c r="V4848">
        <v>924</v>
      </c>
    </row>
    <row r="4849" spans="22:22" ht="15.75" customHeight="1">
      <c r="V4849">
        <v>925</v>
      </c>
    </row>
    <row r="4850" spans="22:22" ht="15.75" customHeight="1">
      <c r="V4850">
        <v>926</v>
      </c>
    </row>
    <row r="4851" spans="22:22" ht="15.75" customHeight="1">
      <c r="V4851">
        <v>927</v>
      </c>
    </row>
    <row r="4852" spans="22:22" ht="15.75" customHeight="1">
      <c r="V4852">
        <v>927</v>
      </c>
    </row>
    <row r="4853" spans="22:22" ht="15.75" customHeight="1">
      <c r="V4853">
        <v>927</v>
      </c>
    </row>
    <row r="4854" spans="22:22" ht="15.75" customHeight="1">
      <c r="V4854">
        <v>928</v>
      </c>
    </row>
    <row r="4855" spans="22:22" ht="15.75" customHeight="1">
      <c r="V4855">
        <v>929</v>
      </c>
    </row>
    <row r="4856" spans="22:22" ht="15.75" customHeight="1">
      <c r="V4856">
        <v>929</v>
      </c>
    </row>
    <row r="4857" spans="22:22" ht="15.75" customHeight="1">
      <c r="V4857">
        <v>930</v>
      </c>
    </row>
    <row r="4858" spans="22:22" ht="15.75" customHeight="1">
      <c r="V4858">
        <v>931</v>
      </c>
    </row>
    <row r="4859" spans="22:22" ht="15.75" customHeight="1">
      <c r="V4859">
        <v>932</v>
      </c>
    </row>
    <row r="4860" spans="22:22" ht="15.75" customHeight="1">
      <c r="V4860">
        <v>933</v>
      </c>
    </row>
    <row r="4861" spans="22:22" ht="15.75" customHeight="1">
      <c r="V4861">
        <v>933</v>
      </c>
    </row>
    <row r="4862" spans="22:22" ht="15.75" customHeight="1">
      <c r="V4862">
        <v>934</v>
      </c>
    </row>
    <row r="4863" spans="22:22" ht="15.75" customHeight="1">
      <c r="V4863">
        <v>934</v>
      </c>
    </row>
    <row r="4864" spans="22:22" ht="15.75" customHeight="1">
      <c r="V4864">
        <v>934</v>
      </c>
    </row>
    <row r="4865" spans="22:22" ht="15.75" customHeight="1">
      <c r="V4865">
        <v>934</v>
      </c>
    </row>
    <row r="4866" spans="22:22" ht="15.75" customHeight="1">
      <c r="V4866">
        <v>934</v>
      </c>
    </row>
    <row r="4867" spans="22:22" ht="15.75" customHeight="1">
      <c r="V4867">
        <v>934</v>
      </c>
    </row>
    <row r="4868" spans="22:22" ht="15.75" customHeight="1">
      <c r="V4868">
        <v>934</v>
      </c>
    </row>
    <row r="4869" spans="22:22" ht="15.75" customHeight="1">
      <c r="V4869">
        <v>935</v>
      </c>
    </row>
    <row r="4870" spans="22:22" ht="15.75" customHeight="1">
      <c r="V4870">
        <v>936</v>
      </c>
    </row>
    <row r="4871" spans="22:22" ht="15.75" customHeight="1">
      <c r="V4871">
        <v>937</v>
      </c>
    </row>
    <row r="4872" spans="22:22" ht="15.75" customHeight="1">
      <c r="V4872">
        <v>937</v>
      </c>
    </row>
    <row r="4873" spans="22:22" ht="15.75" customHeight="1">
      <c r="V4873">
        <v>937</v>
      </c>
    </row>
    <row r="4874" spans="22:22" ht="15.75" customHeight="1">
      <c r="V4874">
        <v>937</v>
      </c>
    </row>
    <row r="4875" spans="22:22" ht="15.75" customHeight="1">
      <c r="V4875">
        <v>937</v>
      </c>
    </row>
    <row r="4876" spans="22:22" ht="15.75" customHeight="1">
      <c r="V4876">
        <v>937</v>
      </c>
    </row>
    <row r="4877" spans="22:22" ht="15.75" customHeight="1">
      <c r="V4877">
        <v>937</v>
      </c>
    </row>
    <row r="4878" spans="22:22" ht="15.75" customHeight="1">
      <c r="V4878">
        <v>937</v>
      </c>
    </row>
    <row r="4879" spans="22:22" ht="15.75" customHeight="1">
      <c r="V4879">
        <v>938</v>
      </c>
    </row>
    <row r="4880" spans="22:22" ht="15.75" customHeight="1">
      <c r="V4880">
        <v>938</v>
      </c>
    </row>
    <row r="4881" spans="22:22" ht="15.75" customHeight="1">
      <c r="V4881">
        <v>938</v>
      </c>
    </row>
    <row r="4882" spans="22:22" ht="15.75" customHeight="1">
      <c r="V4882">
        <v>938</v>
      </c>
    </row>
    <row r="4883" spans="22:22" ht="15.75" customHeight="1">
      <c r="V4883">
        <v>938</v>
      </c>
    </row>
    <row r="4884" spans="22:22" ht="15.75" customHeight="1">
      <c r="V4884">
        <v>938</v>
      </c>
    </row>
    <row r="4885" spans="22:22" ht="15.75" customHeight="1">
      <c r="V4885">
        <v>938</v>
      </c>
    </row>
    <row r="4886" spans="22:22" ht="15.75" customHeight="1">
      <c r="V4886">
        <v>938</v>
      </c>
    </row>
    <row r="4887" spans="22:22" ht="15.75" customHeight="1">
      <c r="V4887">
        <v>938</v>
      </c>
    </row>
    <row r="4888" spans="22:22" ht="15.75" customHeight="1">
      <c r="V4888">
        <v>938</v>
      </c>
    </row>
    <row r="4889" spans="22:22" ht="15.75" customHeight="1">
      <c r="V4889">
        <v>939</v>
      </c>
    </row>
    <row r="4890" spans="22:22" ht="15.75" customHeight="1">
      <c r="V4890">
        <v>940</v>
      </c>
    </row>
    <row r="4891" spans="22:22" ht="15.75" customHeight="1">
      <c r="V4891">
        <v>941</v>
      </c>
    </row>
    <row r="4892" spans="22:22" ht="15.75" customHeight="1">
      <c r="V4892">
        <v>941</v>
      </c>
    </row>
    <row r="4893" spans="22:22" ht="15.75" customHeight="1">
      <c r="V4893">
        <v>942</v>
      </c>
    </row>
    <row r="4894" spans="22:22" ht="15.75" customHeight="1">
      <c r="V4894">
        <v>943</v>
      </c>
    </row>
    <row r="4895" spans="22:22" ht="15.75" customHeight="1">
      <c r="V4895">
        <v>944</v>
      </c>
    </row>
    <row r="4896" spans="22:22" ht="15.75" customHeight="1">
      <c r="V4896">
        <v>945</v>
      </c>
    </row>
    <row r="4897" spans="22:22" ht="15.75" customHeight="1">
      <c r="V4897">
        <v>946</v>
      </c>
    </row>
    <row r="4898" spans="22:22" ht="15.75" customHeight="1">
      <c r="V4898">
        <v>947</v>
      </c>
    </row>
    <row r="4899" spans="22:22" ht="15.75" customHeight="1">
      <c r="V4899">
        <v>948</v>
      </c>
    </row>
    <row r="4900" spans="22:22" ht="15.75" customHeight="1">
      <c r="V4900">
        <v>949</v>
      </c>
    </row>
    <row r="4901" spans="22:22" ht="15.75" customHeight="1">
      <c r="V4901">
        <v>950</v>
      </c>
    </row>
    <row r="4902" spans="22:22" ht="15.75" customHeight="1">
      <c r="V4902">
        <v>950</v>
      </c>
    </row>
    <row r="4903" spans="22:22" ht="15.75" customHeight="1">
      <c r="V4903">
        <v>950</v>
      </c>
    </row>
    <row r="4904" spans="22:22" ht="15.75" customHeight="1">
      <c r="V4904">
        <v>950</v>
      </c>
    </row>
    <row r="4905" spans="22:22" ht="15.75" customHeight="1">
      <c r="V4905">
        <v>951</v>
      </c>
    </row>
    <row r="4906" spans="22:22" ht="15.75" customHeight="1">
      <c r="V4906">
        <v>952</v>
      </c>
    </row>
    <row r="4907" spans="22:22" ht="15.75" customHeight="1">
      <c r="V4907">
        <v>952</v>
      </c>
    </row>
    <row r="4908" spans="22:22" ht="15.75" customHeight="1">
      <c r="V4908">
        <v>952</v>
      </c>
    </row>
    <row r="4909" spans="22:22" ht="15.75" customHeight="1">
      <c r="V4909">
        <v>952</v>
      </c>
    </row>
    <row r="4910" spans="22:22" ht="15.75" customHeight="1">
      <c r="V4910">
        <v>952</v>
      </c>
    </row>
    <row r="4911" spans="22:22" ht="15.75" customHeight="1">
      <c r="V4911">
        <v>952</v>
      </c>
    </row>
    <row r="4912" spans="22:22" ht="15.75" customHeight="1">
      <c r="V4912">
        <v>952</v>
      </c>
    </row>
    <row r="4913" spans="22:22" ht="15.75" customHeight="1">
      <c r="V4913">
        <v>952</v>
      </c>
    </row>
    <row r="4914" spans="22:22" ht="15.75" customHeight="1">
      <c r="V4914">
        <v>952</v>
      </c>
    </row>
    <row r="4915" spans="22:22" ht="15.75" customHeight="1">
      <c r="V4915">
        <v>952</v>
      </c>
    </row>
    <row r="4916" spans="22:22" ht="15.75" customHeight="1">
      <c r="V4916">
        <v>952</v>
      </c>
    </row>
    <row r="4917" spans="22:22" ht="15.75" customHeight="1">
      <c r="V4917">
        <v>952</v>
      </c>
    </row>
    <row r="4918" spans="22:22" ht="15.75" customHeight="1">
      <c r="V4918">
        <v>952</v>
      </c>
    </row>
    <row r="4919" spans="22:22" ht="15.75" customHeight="1">
      <c r="V4919">
        <v>952</v>
      </c>
    </row>
    <row r="4920" spans="22:22" ht="15.75" customHeight="1">
      <c r="V4920">
        <v>952</v>
      </c>
    </row>
    <row r="4921" spans="22:22" ht="15.75" customHeight="1">
      <c r="V4921">
        <v>952</v>
      </c>
    </row>
    <row r="4922" spans="22:22" ht="15.75" customHeight="1">
      <c r="V4922">
        <v>952</v>
      </c>
    </row>
    <row r="4923" spans="22:22" ht="15.75" customHeight="1">
      <c r="V4923">
        <v>952</v>
      </c>
    </row>
    <row r="4924" spans="22:22" ht="15.75" customHeight="1">
      <c r="V4924">
        <v>952</v>
      </c>
    </row>
    <row r="4925" spans="22:22" ht="15.75" customHeight="1">
      <c r="V4925">
        <v>952</v>
      </c>
    </row>
    <row r="4926" spans="22:22" ht="15.75" customHeight="1">
      <c r="V4926">
        <v>952</v>
      </c>
    </row>
    <row r="4927" spans="22:22" ht="15.75" customHeight="1">
      <c r="V4927">
        <v>952</v>
      </c>
    </row>
    <row r="4928" spans="22:22" ht="15.75" customHeight="1">
      <c r="V4928">
        <v>952</v>
      </c>
    </row>
    <row r="4929" spans="22:22" ht="15.75" customHeight="1">
      <c r="V4929">
        <v>952</v>
      </c>
    </row>
    <row r="4930" spans="22:22" ht="15.75" customHeight="1">
      <c r="V4930">
        <v>952</v>
      </c>
    </row>
    <row r="4931" spans="22:22" ht="15.75" customHeight="1">
      <c r="V4931">
        <v>952</v>
      </c>
    </row>
    <row r="4932" spans="22:22" ht="15.75" customHeight="1">
      <c r="V4932">
        <v>952</v>
      </c>
    </row>
    <row r="4933" spans="22:22" ht="15.75" customHeight="1">
      <c r="V4933">
        <v>952</v>
      </c>
    </row>
    <row r="4934" spans="22:22" ht="15.75" customHeight="1">
      <c r="V4934">
        <v>952</v>
      </c>
    </row>
    <row r="4935" spans="22:22" ht="15.75" customHeight="1">
      <c r="V4935">
        <v>952</v>
      </c>
    </row>
    <row r="4936" spans="22:22" ht="15.75" customHeight="1">
      <c r="V4936">
        <v>952</v>
      </c>
    </row>
    <row r="4937" spans="22:22" ht="15.75" customHeight="1">
      <c r="V4937">
        <v>952</v>
      </c>
    </row>
    <row r="4938" spans="22:22" ht="15.75" customHeight="1">
      <c r="V4938">
        <v>952</v>
      </c>
    </row>
    <row r="4939" spans="22:22" ht="15.75" customHeight="1">
      <c r="V4939">
        <v>952</v>
      </c>
    </row>
    <row r="4940" spans="22:22" ht="15.75" customHeight="1">
      <c r="V4940">
        <v>952</v>
      </c>
    </row>
    <row r="4941" spans="22:22" ht="15.75" customHeight="1">
      <c r="V4941">
        <v>952</v>
      </c>
    </row>
    <row r="4942" spans="22:22" ht="15.75" customHeight="1">
      <c r="V4942">
        <v>952</v>
      </c>
    </row>
    <row r="4943" spans="22:22" ht="15.75" customHeight="1">
      <c r="V4943">
        <v>952</v>
      </c>
    </row>
    <row r="4944" spans="22:22" ht="15.75" customHeight="1">
      <c r="V4944">
        <v>953</v>
      </c>
    </row>
    <row r="4945" spans="22:22" ht="15.75" customHeight="1">
      <c r="V4945">
        <v>953</v>
      </c>
    </row>
    <row r="4946" spans="22:22" ht="15.75" customHeight="1">
      <c r="V4946">
        <v>954</v>
      </c>
    </row>
    <row r="4947" spans="22:22" ht="15.75" customHeight="1">
      <c r="V4947">
        <v>954</v>
      </c>
    </row>
    <row r="4948" spans="22:22" ht="15.75" customHeight="1">
      <c r="V4948">
        <v>954</v>
      </c>
    </row>
    <row r="4949" spans="22:22" ht="15.75" customHeight="1">
      <c r="V4949">
        <v>954</v>
      </c>
    </row>
    <row r="4950" spans="22:22" ht="15.75" customHeight="1">
      <c r="V4950">
        <v>954</v>
      </c>
    </row>
    <row r="4951" spans="22:22" ht="15.75" customHeight="1">
      <c r="V4951">
        <v>955</v>
      </c>
    </row>
    <row r="4952" spans="22:22" ht="15.75" customHeight="1">
      <c r="V4952">
        <v>956</v>
      </c>
    </row>
    <row r="4953" spans="22:22" ht="15.75" customHeight="1">
      <c r="V4953">
        <v>956</v>
      </c>
    </row>
    <row r="4954" spans="22:22" ht="15.75" customHeight="1">
      <c r="V4954">
        <v>956</v>
      </c>
    </row>
    <row r="4955" spans="22:22" ht="15.75" customHeight="1">
      <c r="V4955">
        <v>957</v>
      </c>
    </row>
    <row r="4956" spans="22:22" ht="15.75" customHeight="1">
      <c r="V4956">
        <v>957</v>
      </c>
    </row>
    <row r="4957" spans="22:22" ht="15.75" customHeight="1">
      <c r="V4957">
        <v>957</v>
      </c>
    </row>
    <row r="4958" spans="22:22" ht="15.75" customHeight="1">
      <c r="V4958">
        <v>957</v>
      </c>
    </row>
    <row r="4959" spans="22:22" ht="15.75" customHeight="1">
      <c r="V4959">
        <v>958</v>
      </c>
    </row>
    <row r="4960" spans="22:22" ht="15.75" customHeight="1">
      <c r="V4960">
        <v>958</v>
      </c>
    </row>
    <row r="4961" spans="22:22" ht="15.75" customHeight="1">
      <c r="V4961">
        <v>959</v>
      </c>
    </row>
    <row r="4962" spans="22:22" ht="15.75" customHeight="1">
      <c r="V4962">
        <v>959</v>
      </c>
    </row>
    <row r="4963" spans="22:22" ht="15.75" customHeight="1">
      <c r="V4963">
        <v>959</v>
      </c>
    </row>
    <row r="4964" spans="22:22" ht="15.75" customHeight="1">
      <c r="V4964">
        <v>959</v>
      </c>
    </row>
    <row r="4965" spans="22:22" ht="15.75" customHeight="1">
      <c r="V4965">
        <v>959</v>
      </c>
    </row>
    <row r="4966" spans="22:22" ht="15.75" customHeight="1">
      <c r="V4966">
        <v>960</v>
      </c>
    </row>
    <row r="4967" spans="22:22" ht="15.75" customHeight="1">
      <c r="V4967">
        <v>961</v>
      </c>
    </row>
    <row r="4968" spans="22:22" ht="15.75" customHeight="1">
      <c r="V4968">
        <v>961</v>
      </c>
    </row>
    <row r="4969" spans="22:22" ht="15.75" customHeight="1">
      <c r="V4969">
        <v>961</v>
      </c>
    </row>
    <row r="4970" spans="22:22" ht="15.75" customHeight="1">
      <c r="V4970">
        <v>962</v>
      </c>
    </row>
    <row r="4971" spans="22:22" ht="15.75" customHeight="1">
      <c r="V4971">
        <v>963</v>
      </c>
    </row>
    <row r="4972" spans="22:22" ht="15.75" customHeight="1">
      <c r="V4972">
        <v>964</v>
      </c>
    </row>
    <row r="4973" spans="22:22" ht="15.75" customHeight="1">
      <c r="V4973">
        <v>965</v>
      </c>
    </row>
    <row r="4974" spans="22:22" ht="15.75" customHeight="1">
      <c r="V4974">
        <v>966</v>
      </c>
    </row>
    <row r="4975" spans="22:22" ht="15.75" customHeight="1">
      <c r="V4975">
        <v>967</v>
      </c>
    </row>
    <row r="4976" spans="22:22" ht="15.75" customHeight="1">
      <c r="V4976">
        <v>967</v>
      </c>
    </row>
    <row r="4977" spans="22:22" ht="15.75" customHeight="1">
      <c r="V4977">
        <v>967</v>
      </c>
    </row>
    <row r="4978" spans="22:22" ht="15.75" customHeight="1">
      <c r="V4978">
        <v>967</v>
      </c>
    </row>
    <row r="4979" spans="22:22" ht="15.75" customHeight="1">
      <c r="V4979">
        <v>968</v>
      </c>
    </row>
    <row r="4980" spans="22:22" ht="15.75" customHeight="1">
      <c r="V4980">
        <v>968</v>
      </c>
    </row>
    <row r="4981" spans="22:22" ht="15.75" customHeight="1">
      <c r="V4981">
        <v>968</v>
      </c>
    </row>
    <row r="4982" spans="22:22" ht="15.75" customHeight="1">
      <c r="V4982">
        <v>968</v>
      </c>
    </row>
    <row r="4983" spans="22:22" ht="15.75" customHeight="1">
      <c r="V4983">
        <v>968</v>
      </c>
    </row>
    <row r="4984" spans="22:22" ht="15.75" customHeight="1">
      <c r="V4984">
        <v>968</v>
      </c>
    </row>
    <row r="4985" spans="22:22" ht="15.75" customHeight="1">
      <c r="V4985">
        <v>968</v>
      </c>
    </row>
    <row r="4986" spans="22:22" ht="15.75" customHeight="1">
      <c r="V4986">
        <v>968</v>
      </c>
    </row>
    <row r="4987" spans="22:22" ht="15.75" customHeight="1">
      <c r="V4987">
        <v>968</v>
      </c>
    </row>
    <row r="4988" spans="22:22" ht="15.75" customHeight="1">
      <c r="V4988">
        <v>968</v>
      </c>
    </row>
    <row r="4989" spans="22:22" ht="15.75" customHeight="1">
      <c r="V4989">
        <v>968</v>
      </c>
    </row>
    <row r="4990" spans="22:22" ht="15.75" customHeight="1">
      <c r="V4990">
        <v>968</v>
      </c>
    </row>
    <row r="4991" spans="22:22" ht="15.75" customHeight="1">
      <c r="V4991">
        <v>968</v>
      </c>
    </row>
    <row r="4992" spans="22:22" ht="15.75" customHeight="1">
      <c r="V4992">
        <v>968</v>
      </c>
    </row>
    <row r="4993" spans="22:22" ht="15.75" customHeight="1">
      <c r="V4993">
        <v>968</v>
      </c>
    </row>
    <row r="4994" spans="22:22" ht="15.75" customHeight="1">
      <c r="V4994">
        <v>969</v>
      </c>
    </row>
    <row r="4995" spans="22:22" ht="15.75" customHeight="1">
      <c r="V4995">
        <v>969</v>
      </c>
    </row>
    <row r="4996" spans="22:22" ht="15.75" customHeight="1">
      <c r="V4996">
        <v>970</v>
      </c>
    </row>
    <row r="4997" spans="22:22" ht="15.75" customHeight="1">
      <c r="V4997">
        <v>971</v>
      </c>
    </row>
    <row r="4998" spans="22:22" ht="15.75" customHeight="1">
      <c r="V4998">
        <v>972</v>
      </c>
    </row>
    <row r="4999" spans="22:22" ht="15.75" customHeight="1">
      <c r="V4999">
        <v>973</v>
      </c>
    </row>
    <row r="5000" spans="22:22" ht="15.75" customHeight="1">
      <c r="V5000">
        <v>974</v>
      </c>
    </row>
    <row r="5001" spans="22:22" ht="15.75" customHeight="1">
      <c r="V5001">
        <v>975</v>
      </c>
    </row>
    <row r="5002" spans="22:22" ht="15.75" customHeight="1">
      <c r="V5002">
        <v>976</v>
      </c>
    </row>
    <row r="5003" spans="22:22" ht="15.75" customHeight="1">
      <c r="V5003">
        <v>977</v>
      </c>
    </row>
    <row r="5004" spans="22:22" ht="15.75" customHeight="1">
      <c r="V5004">
        <v>978</v>
      </c>
    </row>
    <row r="5005" spans="22:22" ht="15.75" customHeight="1">
      <c r="V5005">
        <v>979</v>
      </c>
    </row>
    <row r="5006" spans="22:22" ht="15.75" customHeight="1">
      <c r="V5006">
        <v>980</v>
      </c>
    </row>
    <row r="5007" spans="22:22" ht="15.75" customHeight="1">
      <c r="V5007">
        <v>981</v>
      </c>
    </row>
  </sheetData>
  <autoFilter ref="A1:M432" xr:uid="{00000000-0009-0000-0000-000000000000}">
    <filterColumn colId="5">
      <customFilters>
        <customFilter operator="notEqual" val=" "/>
      </customFilters>
    </filterColumn>
  </autoFilter>
  <hyperlinks>
    <hyperlink ref="R336" r:id="rId1" xr:uid="{00000000-0004-0000-0000-000000000000}"/>
    <hyperlink ref="R410" r:id="rId2" xr:uid="{00000000-0004-0000-0000-000001000000}"/>
    <hyperlink ref="R517" r:id="rId3" xr:uid="{00000000-0004-0000-0000-000002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4FA5-EE27-47AF-952B-A8BF51DD6B85}">
  <dimension ref="A2:AF5"/>
  <sheetViews>
    <sheetView topLeftCell="K1" workbookViewId="0">
      <selection activeCell="V21" sqref="V21"/>
    </sheetView>
  </sheetViews>
  <sheetFormatPr baseColWidth="10" defaultColWidth="8.83203125" defaultRowHeight="13"/>
  <cols>
    <col min="1" max="1" width="25.5" bestFit="1" customWidth="1"/>
    <col min="2" max="2" width="14" bestFit="1" customWidth="1"/>
    <col min="3" max="3" width="14.5" bestFit="1" customWidth="1"/>
    <col min="4" max="4" width="7.1640625" bestFit="1" customWidth="1"/>
    <col min="5" max="6" width="8.5" bestFit="1" customWidth="1"/>
    <col min="7" max="7" width="6.83203125" bestFit="1" customWidth="1"/>
    <col min="8" max="11" width="8.5" bestFit="1" customWidth="1"/>
    <col min="12" max="12" width="11" bestFit="1" customWidth="1"/>
    <col min="13" max="13" width="9.5" bestFit="1" customWidth="1"/>
    <col min="14" max="14" width="10.5" bestFit="1" customWidth="1"/>
    <col min="15" max="15" width="9.83203125" bestFit="1" customWidth="1"/>
    <col min="16" max="16" width="10.5" bestFit="1" customWidth="1"/>
    <col min="17" max="17" width="9.5" bestFit="1" customWidth="1"/>
    <col min="18" max="18" width="10.5" bestFit="1" customWidth="1"/>
    <col min="19" max="19" width="9.5" bestFit="1" customWidth="1"/>
    <col min="20" max="21" width="8.5" bestFit="1" customWidth="1"/>
    <col min="22" max="22" width="9.5" bestFit="1" customWidth="1"/>
    <col min="23" max="24" width="8.5" bestFit="1" customWidth="1"/>
    <col min="25" max="25" width="11" bestFit="1" customWidth="1"/>
    <col min="26" max="26" width="8.5" bestFit="1" customWidth="1"/>
    <col min="27" max="27" width="10.5" bestFit="1" customWidth="1"/>
    <col min="28" max="28" width="9.83203125" bestFit="1" customWidth="1"/>
    <col min="29" max="29" width="10.5" bestFit="1" customWidth="1"/>
    <col min="30" max="30" width="8.5" bestFit="1" customWidth="1"/>
    <col min="31" max="31" width="10.33203125" bestFit="1" customWidth="1"/>
    <col min="32" max="32" width="12.6640625" bestFit="1" customWidth="1"/>
    <col min="33" max="33" width="10.33203125" bestFit="1" customWidth="1"/>
    <col min="34" max="34" width="12.6640625" bestFit="1" customWidth="1"/>
  </cols>
  <sheetData>
    <row r="2" spans="1:32">
      <c r="B2" s="18" t="s">
        <v>10</v>
      </c>
      <c r="C2" s="18" t="s">
        <v>8</v>
      </c>
    </row>
    <row r="3" spans="1:32">
      <c r="B3">
        <v>2024</v>
      </c>
      <c r="C3" t="s">
        <v>971</v>
      </c>
      <c r="D3">
        <v>2025</v>
      </c>
      <c r="P3" t="s">
        <v>972</v>
      </c>
      <c r="Q3">
        <v>2026</v>
      </c>
      <c r="AC3" t="s">
        <v>973</v>
      </c>
      <c r="AD3">
        <v>2027</v>
      </c>
      <c r="AE3" t="s">
        <v>974</v>
      </c>
      <c r="AF3" t="s">
        <v>975</v>
      </c>
    </row>
    <row r="4" spans="1:32">
      <c r="B4" t="s">
        <v>976</v>
      </c>
      <c r="D4" t="s">
        <v>977</v>
      </c>
      <c r="E4" t="s">
        <v>978</v>
      </c>
      <c r="F4" t="s">
        <v>979</v>
      </c>
      <c r="G4" t="s">
        <v>980</v>
      </c>
      <c r="H4" t="s">
        <v>981</v>
      </c>
      <c r="I4" t="s">
        <v>982</v>
      </c>
      <c r="J4" t="s">
        <v>983</v>
      </c>
      <c r="K4" t="s">
        <v>984</v>
      </c>
      <c r="L4" t="s">
        <v>985</v>
      </c>
      <c r="M4" t="s">
        <v>986</v>
      </c>
      <c r="N4" t="s">
        <v>987</v>
      </c>
      <c r="O4" t="s">
        <v>976</v>
      </c>
      <c r="Q4" t="s">
        <v>977</v>
      </c>
      <c r="R4" t="s">
        <v>978</v>
      </c>
      <c r="S4" t="s">
        <v>979</v>
      </c>
      <c r="T4" t="s">
        <v>980</v>
      </c>
      <c r="U4" t="s">
        <v>981</v>
      </c>
      <c r="V4" t="s">
        <v>982</v>
      </c>
      <c r="W4" t="s">
        <v>983</v>
      </c>
      <c r="X4" t="s">
        <v>984</v>
      </c>
      <c r="Y4" t="s">
        <v>985</v>
      </c>
      <c r="Z4" t="s">
        <v>986</v>
      </c>
      <c r="AA4" t="s">
        <v>987</v>
      </c>
      <c r="AB4" t="s">
        <v>976</v>
      </c>
      <c r="AD4" t="s">
        <v>977</v>
      </c>
    </row>
    <row r="5" spans="1:32">
      <c r="A5" t="s">
        <v>988</v>
      </c>
      <c r="B5" s="32">
        <v>588.05999999999995</v>
      </c>
      <c r="C5" s="32">
        <v>588.05999999999995</v>
      </c>
      <c r="D5" s="32">
        <v>580.79999999999995</v>
      </c>
      <c r="E5" s="32">
        <v>4671.6379999999999</v>
      </c>
      <c r="F5" s="32">
        <v>3769.0054</v>
      </c>
      <c r="G5" s="32">
        <v>463.76231999999993</v>
      </c>
      <c r="H5" s="32">
        <v>1386.5178000000001</v>
      </c>
      <c r="I5" s="32">
        <v>2768.4727999999996</v>
      </c>
      <c r="J5" s="32">
        <v>2491.1389999999997</v>
      </c>
      <c r="K5" s="32">
        <v>3656.8104800000006</v>
      </c>
      <c r="L5" s="32">
        <v>36414.306399999994</v>
      </c>
      <c r="M5" s="32">
        <v>11554.5628</v>
      </c>
      <c r="N5" s="32">
        <v>8147.7789400000001</v>
      </c>
      <c r="O5" s="32">
        <v>39614.26309</v>
      </c>
      <c r="P5" s="30">
        <v>115519.05703</v>
      </c>
      <c r="Q5" s="32">
        <v>48133.204600000005</v>
      </c>
      <c r="R5" s="32">
        <v>198759.06646999993</v>
      </c>
      <c r="S5" s="32">
        <v>11478.402399999999</v>
      </c>
      <c r="T5" s="32">
        <v>4178.8032000000003</v>
      </c>
      <c r="U5" s="32">
        <v>6931.1104000000005</v>
      </c>
      <c r="V5" s="32">
        <v>12379.397000000003</v>
      </c>
      <c r="W5" s="32">
        <v>1580.1897999999999</v>
      </c>
      <c r="X5" s="32">
        <v>1195.4000000000001</v>
      </c>
      <c r="Y5" s="32">
        <v>11347.68</v>
      </c>
      <c r="Z5" s="32">
        <v>1704.4992000000002</v>
      </c>
      <c r="AA5" s="32">
        <v>1264.2</v>
      </c>
      <c r="AB5" s="32">
        <v>718.01855999999998</v>
      </c>
      <c r="AC5" s="30">
        <v>299669.97162999999</v>
      </c>
      <c r="AD5" s="32">
        <v>1565.2</v>
      </c>
      <c r="AE5" s="30">
        <v>1565.2</v>
      </c>
      <c r="AF5" s="30">
        <v>417342.28866000002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79"/>
  <sheetViews>
    <sheetView topLeftCell="B1" workbookViewId="0">
      <selection activeCell="I7" sqref="I7"/>
    </sheetView>
  </sheetViews>
  <sheetFormatPr baseColWidth="10" defaultColWidth="12.5" defaultRowHeight="15.75" customHeight="1"/>
  <cols>
    <col min="1" max="1" width="20.83203125" customWidth="1"/>
    <col min="7" max="7" width="16.5" customWidth="1"/>
    <col min="8" max="8" width="24.33203125" customWidth="1"/>
    <col min="9" max="9" width="17.5" customWidth="1"/>
  </cols>
  <sheetData>
    <row r="1" spans="1:26" ht="13">
      <c r="A1" t="s">
        <v>0</v>
      </c>
      <c r="B1" t="s">
        <v>1</v>
      </c>
      <c r="C1" t="s">
        <v>2</v>
      </c>
      <c r="D1" t="s">
        <v>3</v>
      </c>
      <c r="E1" t="s">
        <v>4</v>
      </c>
      <c r="F1" s="20" t="s">
        <v>5</v>
      </c>
      <c r="G1" s="2" t="s">
        <v>6</v>
      </c>
      <c r="H1" s="2" t="s">
        <v>989</v>
      </c>
      <c r="I1" s="2" t="s">
        <v>7</v>
      </c>
      <c r="J1" s="2" t="s">
        <v>8</v>
      </c>
      <c r="K1" s="2" t="s">
        <v>990</v>
      </c>
      <c r="L1" s="2" t="s">
        <v>10</v>
      </c>
      <c r="M1" s="2" t="s">
        <v>991</v>
      </c>
      <c r="P1" s="1" t="s">
        <v>0</v>
      </c>
      <c r="Q1" s="1" t="s">
        <v>15</v>
      </c>
      <c r="S1" s="2" t="s">
        <v>992</v>
      </c>
      <c r="T1" s="2" t="s">
        <v>14</v>
      </c>
      <c r="X1" t="s">
        <v>16</v>
      </c>
      <c r="Y1" t="s">
        <v>17</v>
      </c>
      <c r="Z1" t="s">
        <v>18</v>
      </c>
    </row>
    <row r="2" spans="1:26" ht="15.75" customHeight="1">
      <c r="A2">
        <v>38</v>
      </c>
      <c r="B2">
        <v>31030</v>
      </c>
      <c r="C2" s="17">
        <v>45947</v>
      </c>
      <c r="D2" s="17">
        <v>45957</v>
      </c>
      <c r="E2" t="s">
        <v>19</v>
      </c>
      <c r="F2">
        <v>403.29</v>
      </c>
      <c r="G2" s="2">
        <f t="shared" ref="G2:G9" si="0">F2*_xlfn.XLOOKUP(E2,X:X,Y:Y)</f>
        <v>403.29</v>
      </c>
      <c r="H2" s="7" t="str">
        <f t="shared" ref="H2:H9" si="1">_xlfn.XLOOKUP(B2,S:S,T:T)</f>
        <v>Priora Suisse AG</v>
      </c>
      <c r="I2" s="7">
        <f t="shared" ref="I2:I7" si="2">D2+45</f>
        <v>46002</v>
      </c>
      <c r="J2" s="2" t="str">
        <f t="shared" ref="J2:J7" si="3">TEXT(I2,"mmmm")</f>
        <v>diciembre</v>
      </c>
      <c r="K2" s="2">
        <f t="shared" ref="K2:K7" si="4">IF(J2="enero",1,
IF(J2="febrero",2,
IF(J2="marzo",3,
IF(J2="abril",4,
IF(J2="mayo",5,
IF(J2="junio",6,
IF(J2="julio",7,
IF(J2="agosto",8,
IF(J2="septiembre",9,
IF(J2="octubre",10,
IF(J2="noviembre",11,
IF(J2="diciembre",12)))))))))))
)</f>
        <v>12</v>
      </c>
      <c r="L2" s="2">
        <f t="shared" ref="L2:L7" si="5">YEAR(I2)</f>
        <v>2025</v>
      </c>
      <c r="M2" s="2" t="str">
        <f t="shared" ref="M2:M9" si="6">_xlfn.XLOOKUP(A2,P:P,Q:Q,"no")</f>
        <v>FernandaS</v>
      </c>
      <c r="N2" s="5"/>
      <c r="O2" s="3"/>
      <c r="P2" s="3">
        <v>1</v>
      </c>
      <c r="Q2" s="5" t="s">
        <v>570</v>
      </c>
      <c r="S2" s="2">
        <v>27107</v>
      </c>
      <c r="T2" s="2" t="s">
        <v>320</v>
      </c>
      <c r="X2" t="s">
        <v>19</v>
      </c>
      <c r="Y2">
        <v>1</v>
      </c>
      <c r="Z2">
        <v>1.1599999999999999</v>
      </c>
    </row>
    <row r="3" spans="1:26" ht="15.75" customHeight="1">
      <c r="A3">
        <v>53</v>
      </c>
      <c r="B3">
        <v>32066</v>
      </c>
      <c r="C3" s="17">
        <v>46019</v>
      </c>
      <c r="D3" s="17">
        <v>46026</v>
      </c>
      <c r="E3" t="s">
        <v>19</v>
      </c>
      <c r="F3">
        <v>1809</v>
      </c>
      <c r="G3" s="2">
        <f t="shared" si="0"/>
        <v>1809</v>
      </c>
      <c r="H3" s="7" t="str">
        <f t="shared" si="1"/>
        <v>Hotel Park Hyatt Niseko</v>
      </c>
      <c r="I3" s="7">
        <f t="shared" si="2"/>
        <v>46071</v>
      </c>
      <c r="J3" s="2" t="str">
        <f t="shared" si="3"/>
        <v>febrero</v>
      </c>
      <c r="K3" s="2">
        <f t="shared" si="4"/>
        <v>2</v>
      </c>
      <c r="L3" s="2">
        <f t="shared" si="5"/>
        <v>2026</v>
      </c>
      <c r="M3" s="2" t="str">
        <f t="shared" si="6"/>
        <v>AlejandraL</v>
      </c>
      <c r="N3" s="5"/>
      <c r="O3" s="3"/>
      <c r="P3" s="3">
        <v>2</v>
      </c>
      <c r="Q3" s="5" t="s">
        <v>266</v>
      </c>
      <c r="S3" s="3">
        <v>27207</v>
      </c>
      <c r="T3" s="5" t="s">
        <v>993</v>
      </c>
      <c r="X3" t="s">
        <v>24</v>
      </c>
      <c r="Y3">
        <v>0.86</v>
      </c>
      <c r="Z3">
        <v>1</v>
      </c>
    </row>
    <row r="4" spans="1:26" ht="15.75" customHeight="1">
      <c r="A4">
        <v>53</v>
      </c>
      <c r="B4">
        <v>32364</v>
      </c>
      <c r="C4" s="17">
        <v>46017</v>
      </c>
      <c r="D4" s="17">
        <v>46019</v>
      </c>
      <c r="E4" t="s">
        <v>19</v>
      </c>
      <c r="F4">
        <v>852</v>
      </c>
      <c r="G4" s="2">
        <f t="shared" si="0"/>
        <v>852</v>
      </c>
      <c r="H4" s="7" t="str">
        <f t="shared" si="1"/>
        <v>The Tokyo EDITION, Ginza</v>
      </c>
      <c r="I4" s="7">
        <f t="shared" si="2"/>
        <v>46064</v>
      </c>
      <c r="J4" s="2" t="str">
        <f t="shared" si="3"/>
        <v>febrero</v>
      </c>
      <c r="K4" s="2">
        <f t="shared" si="4"/>
        <v>2</v>
      </c>
      <c r="L4" s="2">
        <f t="shared" si="5"/>
        <v>2026</v>
      </c>
      <c r="M4" s="2" t="str">
        <f t="shared" si="6"/>
        <v>AlejandraL</v>
      </c>
      <c r="N4" s="5"/>
      <c r="O4" s="3"/>
      <c r="P4" s="3">
        <v>3</v>
      </c>
      <c r="Q4" s="5" t="s">
        <v>266</v>
      </c>
      <c r="S4" s="3">
        <v>27208</v>
      </c>
      <c r="T4" s="5" t="s">
        <v>994</v>
      </c>
      <c r="X4" t="s">
        <v>26</v>
      </c>
      <c r="Y4">
        <v>1.07</v>
      </c>
      <c r="Z4">
        <v>1.25</v>
      </c>
    </row>
    <row r="5" spans="1:26" ht="15.75" customHeight="1">
      <c r="A5">
        <v>53</v>
      </c>
      <c r="B5">
        <v>34276</v>
      </c>
      <c r="C5" s="17">
        <v>46026</v>
      </c>
      <c r="D5" s="17">
        <v>46027</v>
      </c>
      <c r="E5" t="s">
        <v>19</v>
      </c>
      <c r="F5">
        <v>211</v>
      </c>
      <c r="G5" s="2">
        <f t="shared" si="0"/>
        <v>211</v>
      </c>
      <c r="H5" s="7" t="str">
        <f t="shared" si="1"/>
        <v>JANU TOKYO</v>
      </c>
      <c r="I5" s="7">
        <f t="shared" si="2"/>
        <v>46072</v>
      </c>
      <c r="J5" s="2" t="str">
        <f t="shared" si="3"/>
        <v>febrero</v>
      </c>
      <c r="K5" s="2">
        <f t="shared" si="4"/>
        <v>2</v>
      </c>
      <c r="L5" s="2">
        <f t="shared" si="5"/>
        <v>2026</v>
      </c>
      <c r="M5" s="2" t="str">
        <f t="shared" si="6"/>
        <v>AlejandraL</v>
      </c>
      <c r="N5" s="5"/>
      <c r="O5" s="3"/>
      <c r="P5" s="3">
        <v>4</v>
      </c>
      <c r="Q5" s="5" t="s">
        <v>266</v>
      </c>
      <c r="S5" s="3">
        <v>27209</v>
      </c>
      <c r="T5" s="5" t="s">
        <v>995</v>
      </c>
      <c r="X5" t="s">
        <v>28</v>
      </c>
      <c r="Y5">
        <v>1.1499999999999999</v>
      </c>
      <c r="Z5">
        <v>1.34</v>
      </c>
    </row>
    <row r="6" spans="1:26" ht="15.75" customHeight="1">
      <c r="A6">
        <v>75</v>
      </c>
      <c r="B6">
        <v>31081</v>
      </c>
      <c r="C6" s="17">
        <v>46121</v>
      </c>
      <c r="D6" s="17">
        <v>46124</v>
      </c>
      <c r="E6" t="s">
        <v>19</v>
      </c>
      <c r="F6">
        <v>446.8</v>
      </c>
      <c r="G6" s="2">
        <f t="shared" si="0"/>
        <v>446.8</v>
      </c>
      <c r="H6" s="7" t="str">
        <f t="shared" si="1"/>
        <v>Hotel Finca Cortesin SL</v>
      </c>
      <c r="I6" s="7">
        <f t="shared" si="2"/>
        <v>46169</v>
      </c>
      <c r="J6" s="2" t="str">
        <f t="shared" si="3"/>
        <v>mayo</v>
      </c>
      <c r="K6" s="2">
        <f t="shared" si="4"/>
        <v>5</v>
      </c>
      <c r="L6" s="2">
        <f t="shared" si="5"/>
        <v>2026</v>
      </c>
      <c r="M6" s="2" t="str">
        <f t="shared" si="6"/>
        <v>HelenM</v>
      </c>
      <c r="N6" s="5"/>
      <c r="O6" s="3"/>
      <c r="P6" s="3">
        <v>5</v>
      </c>
      <c r="Q6" s="5" t="s">
        <v>302</v>
      </c>
      <c r="S6" s="3">
        <v>27257</v>
      </c>
      <c r="T6" s="5" t="s">
        <v>996</v>
      </c>
      <c r="X6" t="s">
        <v>30</v>
      </c>
      <c r="Y6">
        <v>1.1499999999999999</v>
      </c>
      <c r="Z6">
        <v>1.34</v>
      </c>
    </row>
    <row r="7" spans="1:26" ht="15.75" customHeight="1">
      <c r="A7">
        <v>76</v>
      </c>
      <c r="B7">
        <v>34219</v>
      </c>
      <c r="C7" s="17">
        <v>46036</v>
      </c>
      <c r="D7" s="17">
        <v>46040</v>
      </c>
      <c r="E7" t="s">
        <v>19</v>
      </c>
      <c r="F7">
        <v>634.54</v>
      </c>
      <c r="G7" s="2">
        <f t="shared" si="0"/>
        <v>634.54</v>
      </c>
      <c r="H7" s="7" t="str">
        <f t="shared" si="1"/>
        <v>Le Grand Hôtel Cayré</v>
      </c>
      <c r="I7" s="7">
        <f t="shared" si="2"/>
        <v>46085</v>
      </c>
      <c r="J7" s="2" t="str">
        <f t="shared" si="3"/>
        <v>marzo</v>
      </c>
      <c r="K7" s="2">
        <f t="shared" si="4"/>
        <v>3</v>
      </c>
      <c r="L7" s="2">
        <f t="shared" si="5"/>
        <v>2026</v>
      </c>
      <c r="M7" s="2" t="str">
        <f t="shared" si="6"/>
        <v>BlancaO</v>
      </c>
      <c r="N7" s="5"/>
      <c r="O7" s="3"/>
      <c r="P7" s="3">
        <v>6</v>
      </c>
      <c r="Q7" s="5" t="s">
        <v>266</v>
      </c>
      <c r="S7" s="3">
        <v>27259</v>
      </c>
      <c r="T7" s="5" t="s">
        <v>997</v>
      </c>
      <c r="X7" t="s">
        <v>32</v>
      </c>
      <c r="Y7">
        <v>5.4999999999999997E-3</v>
      </c>
      <c r="Z7">
        <v>6.4000000000000003E-3</v>
      </c>
    </row>
    <row r="8" spans="1:26" ht="15.75" customHeight="1">
      <c r="A8">
        <v>86</v>
      </c>
      <c r="B8">
        <v>29901</v>
      </c>
      <c r="C8" s="17">
        <v>46061</v>
      </c>
      <c r="D8" s="17">
        <v>46070</v>
      </c>
      <c r="E8" t="s">
        <v>19</v>
      </c>
      <c r="F8">
        <v>193.5</v>
      </c>
      <c r="G8" s="2">
        <f t="shared" si="0"/>
        <v>193.5</v>
      </c>
      <c r="H8" s="31" t="str">
        <f t="shared" si="1"/>
        <v>Gannet España, SL</v>
      </c>
      <c r="I8" s="7">
        <f t="shared" ref="I8:I9" si="7">D8+45</f>
        <v>46115</v>
      </c>
      <c r="J8" s="2" t="str">
        <f t="shared" ref="J8:J9" si="8">TEXT(I8,"mmmm")</f>
        <v>abril</v>
      </c>
      <c r="K8" s="2">
        <f t="shared" ref="K8:K9" si="9">IF(J8="enero",1,
IF(J8="febrero",2,
IF(J8="marzo",3,
IF(J8="abril",4,
IF(J8="mayo",5,
IF(J8="junio",6,
IF(J8="julio",7,
IF(J8="agosto",8,
IF(J8="septiembre",9,
IF(J8="octubre",10,
IF(J8="noviembre",11,
IF(J8="diciembre",12)))))))))))
)</f>
        <v>4</v>
      </c>
      <c r="L8" s="2">
        <f t="shared" ref="L8:L9" si="10">YEAR(I8)</f>
        <v>2026</v>
      </c>
      <c r="M8" s="2" t="str">
        <f t="shared" si="6"/>
        <v>JimenaM</v>
      </c>
      <c r="N8" s="5"/>
      <c r="O8" s="3"/>
      <c r="P8" s="3">
        <v>7</v>
      </c>
      <c r="Q8" s="5" t="s">
        <v>570</v>
      </c>
      <c r="S8" s="3">
        <v>27263</v>
      </c>
      <c r="T8" s="5" t="s">
        <v>444</v>
      </c>
      <c r="X8" t="s">
        <v>34</v>
      </c>
      <c r="Y8">
        <v>4.8000000000000001E-2</v>
      </c>
      <c r="Z8">
        <v>5.6000000000000001E-2</v>
      </c>
    </row>
    <row r="9" spans="1:26" ht="15.75" customHeight="1">
      <c r="A9">
        <v>87</v>
      </c>
      <c r="B9">
        <v>33613</v>
      </c>
      <c r="C9" s="17">
        <v>46033</v>
      </c>
      <c r="D9" s="17">
        <v>46036</v>
      </c>
      <c r="E9" t="s">
        <v>19</v>
      </c>
      <c r="F9">
        <v>285.83</v>
      </c>
      <c r="G9" s="2">
        <f t="shared" si="0"/>
        <v>285.83</v>
      </c>
      <c r="H9" s="7" t="str">
        <f t="shared" si="1"/>
        <v>THE PENINSULA NEW YORK</v>
      </c>
      <c r="I9" s="7">
        <f t="shared" si="7"/>
        <v>46081</v>
      </c>
      <c r="J9" s="2" t="str">
        <f t="shared" si="8"/>
        <v>febrero</v>
      </c>
      <c r="K9" s="2">
        <f t="shared" si="9"/>
        <v>2</v>
      </c>
      <c r="L9" s="2">
        <f t="shared" si="10"/>
        <v>2026</v>
      </c>
      <c r="M9" s="2" t="str">
        <f t="shared" si="6"/>
        <v>AlejandraL</v>
      </c>
      <c r="N9" s="5"/>
      <c r="O9" s="3"/>
      <c r="P9" s="3">
        <v>8</v>
      </c>
      <c r="Q9" s="5" t="s">
        <v>266</v>
      </c>
      <c r="S9" s="3">
        <v>27335</v>
      </c>
      <c r="T9" s="5" t="s">
        <v>998</v>
      </c>
    </row>
    <row r="10" spans="1:26" ht="13">
      <c r="P10" s="3">
        <v>9</v>
      </c>
      <c r="Q10" s="5" t="s">
        <v>266</v>
      </c>
      <c r="S10" s="3">
        <v>27350</v>
      </c>
      <c r="T10" s="5" t="s">
        <v>755</v>
      </c>
    </row>
    <row r="11" spans="1:26" ht="13">
      <c r="P11" s="3">
        <v>10</v>
      </c>
      <c r="Q11" s="5" t="s">
        <v>302</v>
      </c>
      <c r="S11" s="3">
        <v>27538</v>
      </c>
      <c r="T11" s="5" t="s">
        <v>999</v>
      </c>
    </row>
    <row r="12" spans="1:26" ht="13">
      <c r="H12" s="7"/>
      <c r="I12" s="7"/>
      <c r="P12" s="3">
        <v>11</v>
      </c>
      <c r="Q12" s="5" t="s">
        <v>302</v>
      </c>
      <c r="S12" s="3">
        <v>27600</v>
      </c>
      <c r="T12" s="5" t="s">
        <v>433</v>
      </c>
    </row>
    <row r="13" spans="1:26" ht="13">
      <c r="H13" s="7"/>
      <c r="I13" s="7"/>
      <c r="P13" s="3">
        <v>12</v>
      </c>
      <c r="Q13" s="5" t="s">
        <v>302</v>
      </c>
      <c r="S13" s="3">
        <v>27602</v>
      </c>
      <c r="T13" s="5" t="s">
        <v>1000</v>
      </c>
    </row>
    <row r="14" spans="1:26" ht="13">
      <c r="H14" s="7"/>
      <c r="I14" s="7"/>
      <c r="P14" s="3">
        <v>13</v>
      </c>
      <c r="Q14" s="5" t="s">
        <v>266</v>
      </c>
      <c r="S14" s="3">
        <v>27603</v>
      </c>
      <c r="T14" s="5" t="s">
        <v>1001</v>
      </c>
    </row>
    <row r="15" spans="1:26" ht="13">
      <c r="H15" s="7"/>
      <c r="I15" s="7"/>
      <c r="P15" s="3">
        <v>14</v>
      </c>
      <c r="Q15" s="5" t="s">
        <v>302</v>
      </c>
      <c r="S15" s="3">
        <v>27604</v>
      </c>
      <c r="T15" s="5" t="s">
        <v>148</v>
      </c>
    </row>
    <row r="16" spans="1:26" ht="13">
      <c r="H16" s="7"/>
      <c r="I16" s="7"/>
      <c r="P16" s="3">
        <v>15</v>
      </c>
      <c r="Q16" s="5" t="s">
        <v>302</v>
      </c>
      <c r="S16" s="3">
        <v>27605</v>
      </c>
      <c r="T16" s="5" t="s">
        <v>1002</v>
      </c>
    </row>
    <row r="17" spans="8:20" ht="13">
      <c r="H17" s="7"/>
      <c r="I17" s="7"/>
      <c r="P17" s="3">
        <v>16</v>
      </c>
      <c r="Q17" s="5" t="s">
        <v>570</v>
      </c>
      <c r="S17" s="3">
        <v>27608</v>
      </c>
      <c r="T17" s="5" t="s">
        <v>1003</v>
      </c>
    </row>
    <row r="18" spans="8:20" ht="13">
      <c r="H18" s="7"/>
      <c r="I18" s="7"/>
      <c r="P18" s="3">
        <v>17</v>
      </c>
      <c r="Q18" s="5" t="s">
        <v>266</v>
      </c>
      <c r="S18" s="3">
        <v>27610</v>
      </c>
      <c r="T18" s="5" t="s">
        <v>1004</v>
      </c>
    </row>
    <row r="19" spans="8:20" ht="13">
      <c r="H19" s="7"/>
      <c r="I19" s="7"/>
      <c r="P19" s="3">
        <v>18</v>
      </c>
      <c r="Q19" s="5" t="s">
        <v>302</v>
      </c>
      <c r="S19" s="3">
        <v>27687</v>
      </c>
      <c r="T19" s="5" t="s">
        <v>1005</v>
      </c>
    </row>
    <row r="20" spans="8:20" ht="13">
      <c r="H20" s="7"/>
      <c r="I20" s="7"/>
      <c r="P20" s="3">
        <v>19</v>
      </c>
      <c r="Q20" s="5" t="s">
        <v>1006</v>
      </c>
      <c r="S20" s="3">
        <v>27688</v>
      </c>
      <c r="T20" s="5" t="s">
        <v>412</v>
      </c>
    </row>
    <row r="21" spans="8:20" ht="13">
      <c r="H21" s="7"/>
      <c r="I21" s="7"/>
      <c r="P21" s="3">
        <v>20</v>
      </c>
      <c r="Q21" s="5" t="s">
        <v>302</v>
      </c>
      <c r="S21" s="3">
        <v>27738</v>
      </c>
      <c r="T21" s="5" t="s">
        <v>1007</v>
      </c>
    </row>
    <row r="22" spans="8:20" ht="13">
      <c r="H22" s="7"/>
      <c r="I22" s="7"/>
      <c r="P22" s="3">
        <v>21</v>
      </c>
      <c r="Q22" s="5" t="s">
        <v>570</v>
      </c>
      <c r="S22" s="3">
        <v>27857</v>
      </c>
      <c r="T22" s="5" t="s">
        <v>1008</v>
      </c>
    </row>
    <row r="23" spans="8:20" ht="13">
      <c r="H23" s="7"/>
      <c r="I23" s="7"/>
      <c r="P23" s="3">
        <v>22</v>
      </c>
      <c r="Q23" s="5" t="s">
        <v>1006</v>
      </c>
      <c r="S23" s="3">
        <v>27859</v>
      </c>
      <c r="T23" s="5" t="s">
        <v>1009</v>
      </c>
    </row>
    <row r="24" spans="8:20" ht="13">
      <c r="H24" s="7"/>
      <c r="I24" s="7"/>
      <c r="P24" s="3">
        <v>23</v>
      </c>
      <c r="Q24" s="5" t="s">
        <v>767</v>
      </c>
      <c r="S24" s="3">
        <v>27861</v>
      </c>
      <c r="T24" s="5" t="s">
        <v>438</v>
      </c>
    </row>
    <row r="25" spans="8:20" ht="13">
      <c r="H25" s="7"/>
      <c r="I25" s="7"/>
      <c r="P25" s="3">
        <v>24</v>
      </c>
      <c r="Q25" s="5" t="s">
        <v>302</v>
      </c>
      <c r="S25" s="3">
        <v>27988</v>
      </c>
      <c r="T25" s="5" t="s">
        <v>1010</v>
      </c>
    </row>
    <row r="26" spans="8:20" ht="13">
      <c r="H26" s="7"/>
      <c r="I26" s="7"/>
      <c r="P26" s="3">
        <v>25</v>
      </c>
      <c r="Q26" s="5" t="s">
        <v>767</v>
      </c>
      <c r="S26" s="3">
        <v>27989</v>
      </c>
      <c r="T26" s="5" t="s">
        <v>1011</v>
      </c>
    </row>
    <row r="27" spans="8:20" ht="13">
      <c r="H27" s="7"/>
      <c r="I27" s="7"/>
      <c r="P27" s="3">
        <v>26</v>
      </c>
      <c r="Q27" s="5" t="s">
        <v>767</v>
      </c>
      <c r="S27" s="3">
        <v>28091</v>
      </c>
      <c r="T27" s="5" t="s">
        <v>1012</v>
      </c>
    </row>
    <row r="28" spans="8:20" ht="13">
      <c r="H28" s="7"/>
      <c r="I28" s="7"/>
      <c r="P28" s="3">
        <v>27</v>
      </c>
      <c r="Q28" s="5" t="s">
        <v>1013</v>
      </c>
      <c r="S28" s="3">
        <v>28092</v>
      </c>
      <c r="T28" s="5" t="s">
        <v>1014</v>
      </c>
    </row>
    <row r="29" spans="8:20" ht="13">
      <c r="H29" s="7"/>
      <c r="I29" s="7"/>
      <c r="P29" s="3">
        <v>28</v>
      </c>
      <c r="Q29" s="5" t="s">
        <v>1006</v>
      </c>
      <c r="S29" s="3">
        <v>28093</v>
      </c>
      <c r="T29" s="5" t="s">
        <v>518</v>
      </c>
    </row>
    <row r="30" spans="8:20" ht="13">
      <c r="H30" s="7"/>
      <c r="I30" s="7"/>
      <c r="P30" s="3">
        <v>29</v>
      </c>
      <c r="Q30" s="5" t="s">
        <v>302</v>
      </c>
      <c r="S30" s="3">
        <v>28094</v>
      </c>
      <c r="T30" s="5" t="s">
        <v>1015</v>
      </c>
    </row>
    <row r="31" spans="8:20" ht="13">
      <c r="H31" s="7"/>
      <c r="I31" s="7"/>
      <c r="P31" s="3">
        <v>30</v>
      </c>
      <c r="Q31" s="5" t="s">
        <v>1016</v>
      </c>
      <c r="S31" s="3">
        <v>28111</v>
      </c>
      <c r="T31" s="5" t="s">
        <v>1017</v>
      </c>
    </row>
    <row r="32" spans="8:20" ht="13">
      <c r="H32" s="7"/>
      <c r="I32" s="7"/>
      <c r="P32" s="3">
        <v>31</v>
      </c>
      <c r="Q32" s="5" t="s">
        <v>302</v>
      </c>
      <c r="S32" s="3">
        <v>28351</v>
      </c>
      <c r="T32" s="5" t="s">
        <v>1018</v>
      </c>
    </row>
    <row r="33" spans="8:20" ht="13">
      <c r="H33" s="7"/>
      <c r="I33" s="7"/>
      <c r="P33" s="3">
        <v>32</v>
      </c>
      <c r="Q33" s="5" t="s">
        <v>266</v>
      </c>
      <c r="S33" s="3">
        <v>28387</v>
      </c>
      <c r="T33" s="5" t="s">
        <v>1019</v>
      </c>
    </row>
    <row r="34" spans="8:20" ht="13">
      <c r="H34" s="7"/>
      <c r="I34" s="7"/>
      <c r="P34" s="3">
        <v>33</v>
      </c>
      <c r="Q34" s="5" t="s">
        <v>266</v>
      </c>
      <c r="S34" s="3">
        <v>28388</v>
      </c>
      <c r="T34" s="5" t="s">
        <v>1020</v>
      </c>
    </row>
    <row r="35" spans="8:20" ht="13">
      <c r="H35" s="7"/>
      <c r="I35" s="7"/>
      <c r="P35" s="3">
        <v>34</v>
      </c>
      <c r="Q35" s="5" t="s">
        <v>266</v>
      </c>
      <c r="S35" s="3">
        <v>28657</v>
      </c>
      <c r="T35" s="5" t="s">
        <v>487</v>
      </c>
    </row>
    <row r="36" spans="8:20" ht="13">
      <c r="H36" s="7"/>
      <c r="I36" s="7"/>
      <c r="P36" s="3">
        <v>35</v>
      </c>
      <c r="Q36" s="5" t="s">
        <v>767</v>
      </c>
      <c r="S36" s="3">
        <v>28693</v>
      </c>
      <c r="T36" s="5" t="s">
        <v>1021</v>
      </c>
    </row>
    <row r="37" spans="8:20" ht="13">
      <c r="H37" s="7"/>
      <c r="I37" s="7"/>
      <c r="P37" s="3">
        <v>36</v>
      </c>
      <c r="Q37" s="5" t="s">
        <v>1022</v>
      </c>
      <c r="S37" s="3">
        <v>28750</v>
      </c>
      <c r="T37" s="5" t="s">
        <v>497</v>
      </c>
    </row>
    <row r="38" spans="8:20" ht="13">
      <c r="H38" s="7"/>
      <c r="I38" s="7"/>
      <c r="P38" s="3">
        <v>37</v>
      </c>
      <c r="Q38" s="5" t="s">
        <v>570</v>
      </c>
      <c r="S38" s="3">
        <v>28777</v>
      </c>
      <c r="T38" s="5" t="s">
        <v>1023</v>
      </c>
    </row>
    <row r="39" spans="8:20" ht="13">
      <c r="H39" s="7"/>
      <c r="I39" s="7"/>
      <c r="P39" s="3">
        <v>38</v>
      </c>
      <c r="Q39" s="5" t="s">
        <v>767</v>
      </c>
      <c r="S39" s="3">
        <v>28778</v>
      </c>
      <c r="T39" s="5" t="s">
        <v>1024</v>
      </c>
    </row>
    <row r="40" spans="8:20" ht="13">
      <c r="H40" s="7"/>
      <c r="I40" s="7"/>
      <c r="P40" s="3">
        <v>39</v>
      </c>
      <c r="Q40" s="5" t="s">
        <v>302</v>
      </c>
      <c r="S40" s="3">
        <v>28780</v>
      </c>
      <c r="T40" s="5" t="s">
        <v>506</v>
      </c>
    </row>
    <row r="41" spans="8:20" ht="13">
      <c r="H41" s="7"/>
      <c r="I41" s="7"/>
      <c r="P41" s="3">
        <v>40</v>
      </c>
      <c r="Q41" s="5" t="s">
        <v>302</v>
      </c>
      <c r="S41" s="3">
        <v>28782</v>
      </c>
      <c r="T41" s="5" t="s">
        <v>1025</v>
      </c>
    </row>
    <row r="42" spans="8:20" ht="13">
      <c r="H42" s="7"/>
      <c r="I42" s="7"/>
      <c r="P42" s="3">
        <v>41</v>
      </c>
      <c r="Q42" s="5" t="s">
        <v>570</v>
      </c>
      <c r="S42" s="3">
        <v>28798</v>
      </c>
      <c r="T42" s="5" t="s">
        <v>1026</v>
      </c>
    </row>
    <row r="43" spans="8:20" ht="13">
      <c r="H43" s="7"/>
      <c r="I43" s="7"/>
      <c r="P43" s="3">
        <v>42</v>
      </c>
      <c r="Q43" s="5" t="s">
        <v>1013</v>
      </c>
      <c r="S43" s="3">
        <v>28845</v>
      </c>
      <c r="T43" s="5" t="s">
        <v>1027</v>
      </c>
    </row>
    <row r="44" spans="8:20" ht="13">
      <c r="H44" s="7"/>
      <c r="I44" s="7"/>
      <c r="P44" s="3">
        <v>43</v>
      </c>
      <c r="Q44" s="5" t="s">
        <v>302</v>
      </c>
      <c r="S44" s="3">
        <v>28891</v>
      </c>
      <c r="T44" s="5" t="s">
        <v>1028</v>
      </c>
    </row>
    <row r="45" spans="8:20" ht="13">
      <c r="H45" s="7"/>
      <c r="I45" s="7"/>
      <c r="P45" s="3">
        <v>44</v>
      </c>
      <c r="Q45" s="5" t="s">
        <v>1029</v>
      </c>
      <c r="S45" s="3">
        <v>28935</v>
      </c>
      <c r="T45" s="5" t="s">
        <v>519</v>
      </c>
    </row>
    <row r="46" spans="8:20" ht="13">
      <c r="H46" s="7"/>
      <c r="I46" s="7"/>
      <c r="P46" s="3">
        <v>45</v>
      </c>
      <c r="Q46" s="5" t="s">
        <v>1029</v>
      </c>
      <c r="S46" s="3">
        <v>28938</v>
      </c>
      <c r="T46" s="5" t="s">
        <v>1030</v>
      </c>
    </row>
    <row r="47" spans="8:20" ht="13">
      <c r="H47" s="7"/>
      <c r="I47" s="7"/>
      <c r="P47" s="3">
        <v>46</v>
      </c>
      <c r="Q47" s="5" t="s">
        <v>302</v>
      </c>
      <c r="S47" s="3">
        <v>28972</v>
      </c>
      <c r="T47" s="5" t="s">
        <v>1031</v>
      </c>
    </row>
    <row r="48" spans="8:20" ht="13">
      <c r="H48" s="7"/>
      <c r="I48" s="7"/>
      <c r="P48" s="3">
        <v>47</v>
      </c>
      <c r="Q48" s="5" t="s">
        <v>302</v>
      </c>
      <c r="S48" s="3">
        <v>29060</v>
      </c>
      <c r="T48" s="5" t="s">
        <v>534</v>
      </c>
    </row>
    <row r="49" spans="8:20" ht="13">
      <c r="H49" s="7"/>
      <c r="I49" s="7"/>
      <c r="P49" s="3">
        <v>48</v>
      </c>
      <c r="Q49" s="5" t="s">
        <v>570</v>
      </c>
      <c r="S49" s="3">
        <v>29068</v>
      </c>
      <c r="T49" s="5" t="s">
        <v>1032</v>
      </c>
    </row>
    <row r="50" spans="8:20" ht="13">
      <c r="H50" s="7"/>
      <c r="I50" s="7"/>
      <c r="P50" s="3">
        <v>49</v>
      </c>
      <c r="Q50" s="5" t="s">
        <v>302</v>
      </c>
      <c r="S50" s="3">
        <v>29073</v>
      </c>
      <c r="T50" s="5" t="s">
        <v>1033</v>
      </c>
    </row>
    <row r="51" spans="8:20" ht="13">
      <c r="H51" s="7"/>
      <c r="P51" s="3">
        <v>50</v>
      </c>
      <c r="Q51" s="5" t="s">
        <v>1034</v>
      </c>
      <c r="S51" s="3">
        <v>29091</v>
      </c>
      <c r="T51" s="5" t="s">
        <v>1035</v>
      </c>
    </row>
    <row r="52" spans="8:20" ht="13">
      <c r="H52" s="7"/>
      <c r="P52" s="3">
        <v>51</v>
      </c>
      <c r="Q52" s="5" t="s">
        <v>302</v>
      </c>
      <c r="S52" s="3">
        <v>29134</v>
      </c>
      <c r="T52" s="5" t="s">
        <v>1036</v>
      </c>
    </row>
    <row r="53" spans="8:20" ht="13">
      <c r="H53" s="7"/>
      <c r="P53" s="3">
        <v>52</v>
      </c>
      <c r="Q53" s="5" t="s">
        <v>1006</v>
      </c>
      <c r="S53" s="3">
        <v>29135</v>
      </c>
      <c r="T53" s="5" t="s">
        <v>1037</v>
      </c>
    </row>
    <row r="54" spans="8:20" ht="13">
      <c r="H54" s="7"/>
      <c r="P54" s="3">
        <v>53</v>
      </c>
      <c r="Q54" s="5" t="s">
        <v>1038</v>
      </c>
      <c r="S54" s="3">
        <v>29136</v>
      </c>
      <c r="T54" s="5" t="s">
        <v>1039</v>
      </c>
    </row>
    <row r="55" spans="8:20" ht="13">
      <c r="H55" s="7"/>
      <c r="P55" s="3">
        <v>54</v>
      </c>
      <c r="Q55" s="5" t="s">
        <v>767</v>
      </c>
      <c r="S55" s="3">
        <v>29137</v>
      </c>
      <c r="T55" s="5" t="s">
        <v>1040</v>
      </c>
    </row>
    <row r="56" spans="8:20" ht="13">
      <c r="H56" s="7"/>
      <c r="P56" s="3">
        <v>55</v>
      </c>
      <c r="Q56" s="5" t="s">
        <v>1038</v>
      </c>
      <c r="S56" s="3">
        <v>29153</v>
      </c>
      <c r="T56" s="5" t="s">
        <v>1041</v>
      </c>
    </row>
    <row r="57" spans="8:20" ht="13">
      <c r="H57" s="7"/>
      <c r="P57" s="3">
        <v>56</v>
      </c>
      <c r="Q57" s="5" t="s">
        <v>266</v>
      </c>
      <c r="S57" s="3">
        <v>29155</v>
      </c>
      <c r="T57" s="5" t="s">
        <v>546</v>
      </c>
    </row>
    <row r="58" spans="8:20" ht="13">
      <c r="H58" s="7"/>
      <c r="P58" s="3">
        <v>57</v>
      </c>
      <c r="Q58" s="5" t="s">
        <v>1029</v>
      </c>
      <c r="S58" s="3">
        <v>29250</v>
      </c>
      <c r="T58" s="5" t="s">
        <v>1042</v>
      </c>
    </row>
    <row r="59" spans="8:20" ht="13">
      <c r="H59" s="7"/>
      <c r="P59" s="3">
        <v>58</v>
      </c>
      <c r="Q59" s="5" t="s">
        <v>788</v>
      </c>
      <c r="S59" s="3">
        <v>29291</v>
      </c>
      <c r="T59" s="14" t="s">
        <v>555</v>
      </c>
    </row>
    <row r="60" spans="8:20" ht="13">
      <c r="H60" s="7"/>
      <c r="P60" s="3">
        <v>59</v>
      </c>
      <c r="Q60" s="5" t="s">
        <v>767</v>
      </c>
      <c r="S60" s="3">
        <v>29294</v>
      </c>
      <c r="T60" s="5" t="s">
        <v>1043</v>
      </c>
    </row>
    <row r="61" spans="8:20" ht="13">
      <c r="H61" s="7"/>
      <c r="P61" s="3">
        <v>60</v>
      </c>
      <c r="Q61" s="5" t="s">
        <v>767</v>
      </c>
      <c r="S61" s="3">
        <v>29295</v>
      </c>
      <c r="T61" s="5" t="s">
        <v>1044</v>
      </c>
    </row>
    <row r="62" spans="8:20" ht="13">
      <c r="H62" s="7"/>
      <c r="P62" s="3">
        <v>61</v>
      </c>
      <c r="Q62" s="5" t="s">
        <v>1038</v>
      </c>
      <c r="S62" s="3">
        <v>29296</v>
      </c>
      <c r="T62" s="5" t="s">
        <v>1045</v>
      </c>
    </row>
    <row r="63" spans="8:20" ht="13">
      <c r="H63" s="7"/>
      <c r="P63" s="3">
        <v>62</v>
      </c>
      <c r="Q63" s="5" t="s">
        <v>1029</v>
      </c>
      <c r="S63" s="3">
        <v>29297</v>
      </c>
      <c r="T63" s="5" t="s">
        <v>559</v>
      </c>
    </row>
    <row r="64" spans="8:20" ht="13">
      <c r="H64" s="7"/>
      <c r="P64">
        <v>63</v>
      </c>
      <c r="Q64" t="s">
        <v>1022</v>
      </c>
      <c r="S64" s="3">
        <v>29510</v>
      </c>
      <c r="T64" s="5" t="s">
        <v>1046</v>
      </c>
    </row>
    <row r="65" spans="8:20" ht="13">
      <c r="H65" s="7"/>
      <c r="P65">
        <v>64</v>
      </c>
      <c r="Q65" t="s">
        <v>302</v>
      </c>
      <c r="S65" s="3">
        <v>29514</v>
      </c>
      <c r="T65" s="5" t="s">
        <v>1047</v>
      </c>
    </row>
    <row r="66" spans="8:20" ht="13">
      <c r="H66" s="7"/>
      <c r="P66">
        <v>65</v>
      </c>
      <c r="Q66" t="s">
        <v>1038</v>
      </c>
      <c r="S66" s="3">
        <v>29515</v>
      </c>
      <c r="T66" s="5" t="s">
        <v>1048</v>
      </c>
    </row>
    <row r="67" spans="8:20" ht="13">
      <c r="H67" s="7"/>
      <c r="P67">
        <v>66</v>
      </c>
      <c r="Q67" t="s">
        <v>1013</v>
      </c>
      <c r="S67" s="3">
        <v>29579</v>
      </c>
      <c r="T67" s="5" t="s">
        <v>1049</v>
      </c>
    </row>
    <row r="68" spans="8:20" ht="13">
      <c r="H68" s="7"/>
      <c r="P68">
        <v>67</v>
      </c>
      <c r="Q68" t="s">
        <v>1038</v>
      </c>
      <c r="S68" s="3">
        <v>29581</v>
      </c>
      <c r="T68" s="5" t="s">
        <v>1050</v>
      </c>
    </row>
    <row r="69" spans="8:20" ht="13">
      <c r="H69" s="7"/>
      <c r="P69">
        <v>68</v>
      </c>
      <c r="Q69" t="s">
        <v>302</v>
      </c>
      <c r="S69" s="3">
        <v>29631</v>
      </c>
      <c r="T69" s="5" t="s">
        <v>1051</v>
      </c>
    </row>
    <row r="70" spans="8:20" ht="13">
      <c r="H70" s="7"/>
      <c r="P70">
        <v>69</v>
      </c>
      <c r="Q70" t="s">
        <v>767</v>
      </c>
      <c r="S70" s="3">
        <v>29632</v>
      </c>
      <c r="T70" s="5" t="s">
        <v>1052</v>
      </c>
    </row>
    <row r="71" spans="8:20" ht="13">
      <c r="H71" s="7"/>
      <c r="P71">
        <v>70</v>
      </c>
      <c r="Q71" t="s">
        <v>1029</v>
      </c>
      <c r="S71" s="3">
        <v>29634</v>
      </c>
      <c r="T71" s="5" t="s">
        <v>590</v>
      </c>
    </row>
    <row r="72" spans="8:20" ht="13">
      <c r="H72" s="7"/>
      <c r="P72">
        <v>71</v>
      </c>
      <c r="Q72" t="s">
        <v>302</v>
      </c>
      <c r="S72" s="3">
        <v>29710</v>
      </c>
      <c r="T72" s="5" t="s">
        <v>1053</v>
      </c>
    </row>
    <row r="73" spans="8:20" ht="13">
      <c r="H73" s="7"/>
      <c r="P73">
        <v>72</v>
      </c>
      <c r="Q73" t="s">
        <v>266</v>
      </c>
      <c r="S73" s="3">
        <v>29838</v>
      </c>
      <c r="T73" s="5" t="s">
        <v>1054</v>
      </c>
    </row>
    <row r="74" spans="8:20" ht="13">
      <c r="H74" s="7"/>
      <c r="P74">
        <v>73</v>
      </c>
      <c r="Q74" t="s">
        <v>1029</v>
      </c>
      <c r="S74" s="3">
        <v>29901</v>
      </c>
      <c r="T74" s="5" t="s">
        <v>1055</v>
      </c>
    </row>
    <row r="75" spans="8:20" ht="13">
      <c r="H75" s="7"/>
      <c r="P75">
        <v>74</v>
      </c>
      <c r="Q75" t="s">
        <v>570</v>
      </c>
      <c r="S75" s="3">
        <v>29950</v>
      </c>
      <c r="T75" s="5" t="s">
        <v>1056</v>
      </c>
    </row>
    <row r="76" spans="8:20" ht="13">
      <c r="H76" s="7"/>
      <c r="P76">
        <v>75</v>
      </c>
      <c r="Q76" t="s">
        <v>1006</v>
      </c>
      <c r="S76" s="3">
        <v>29956</v>
      </c>
      <c r="T76" s="5" t="s">
        <v>620</v>
      </c>
    </row>
    <row r="77" spans="8:20" ht="13">
      <c r="H77" s="7"/>
      <c r="P77">
        <v>76</v>
      </c>
      <c r="Q77" t="s">
        <v>1013</v>
      </c>
      <c r="S77" s="3">
        <v>30050</v>
      </c>
      <c r="T77" s="5" t="s">
        <v>614</v>
      </c>
    </row>
    <row r="78" spans="8:20" ht="13">
      <c r="H78" s="7"/>
      <c r="P78">
        <v>77</v>
      </c>
      <c r="Q78" t="s">
        <v>498</v>
      </c>
      <c r="S78" s="3">
        <v>30065</v>
      </c>
      <c r="T78" s="5" t="s">
        <v>1057</v>
      </c>
    </row>
    <row r="79" spans="8:20" ht="13">
      <c r="H79" s="7"/>
      <c r="P79">
        <v>78</v>
      </c>
      <c r="Q79" t="s">
        <v>266</v>
      </c>
      <c r="S79" s="3">
        <v>30262</v>
      </c>
      <c r="T79" s="5" t="s">
        <v>1058</v>
      </c>
    </row>
    <row r="80" spans="8:20" ht="13">
      <c r="H80" s="7"/>
      <c r="P80">
        <v>79</v>
      </c>
      <c r="Q80" t="s">
        <v>767</v>
      </c>
      <c r="S80" s="3">
        <v>30514</v>
      </c>
      <c r="T80" s="5" t="s">
        <v>1059</v>
      </c>
    </row>
    <row r="81" spans="8:20" ht="13">
      <c r="H81" s="7"/>
      <c r="P81">
        <v>80</v>
      </c>
      <c r="Q81" t="s">
        <v>1038</v>
      </c>
      <c r="S81" s="3">
        <v>30727</v>
      </c>
      <c r="T81" s="5" t="s">
        <v>1060</v>
      </c>
    </row>
    <row r="82" spans="8:20" ht="13">
      <c r="H82" s="7"/>
      <c r="P82">
        <v>81</v>
      </c>
      <c r="Q82" t="s">
        <v>570</v>
      </c>
      <c r="S82" s="3">
        <v>30729</v>
      </c>
      <c r="T82" s="5" t="s">
        <v>1061</v>
      </c>
    </row>
    <row r="83" spans="8:20" ht="13">
      <c r="H83" s="7"/>
      <c r="P83">
        <v>82</v>
      </c>
      <c r="Q83" t="s">
        <v>302</v>
      </c>
      <c r="S83" s="3">
        <v>30786</v>
      </c>
      <c r="T83" s="5" t="s">
        <v>1062</v>
      </c>
    </row>
    <row r="84" spans="8:20" ht="13">
      <c r="H84" s="7"/>
      <c r="P84">
        <v>83</v>
      </c>
      <c r="Q84" t="s">
        <v>302</v>
      </c>
      <c r="S84" s="3">
        <v>30800</v>
      </c>
      <c r="T84" s="5" t="s">
        <v>725</v>
      </c>
    </row>
    <row r="85" spans="8:20" ht="13">
      <c r="H85" s="7"/>
      <c r="P85">
        <v>84</v>
      </c>
      <c r="Q85" t="s">
        <v>302</v>
      </c>
      <c r="S85" s="3">
        <v>30989</v>
      </c>
      <c r="T85" s="5" t="s">
        <v>756</v>
      </c>
    </row>
    <row r="86" spans="8:20" ht="13">
      <c r="H86" s="7"/>
      <c r="P86">
        <v>85</v>
      </c>
      <c r="Q86" t="s">
        <v>302</v>
      </c>
      <c r="S86" s="3">
        <v>30999</v>
      </c>
      <c r="T86" s="5" t="s">
        <v>1063</v>
      </c>
    </row>
    <row r="87" spans="8:20" ht="13">
      <c r="H87" s="7"/>
      <c r="P87">
        <v>86</v>
      </c>
      <c r="Q87" t="s">
        <v>1064</v>
      </c>
      <c r="S87" s="3">
        <v>31028</v>
      </c>
      <c r="T87" s="5" t="s">
        <v>1065</v>
      </c>
    </row>
    <row r="88" spans="8:20" ht="13">
      <c r="H88" s="7"/>
      <c r="P88">
        <v>87</v>
      </c>
      <c r="Q88" t="s">
        <v>1038</v>
      </c>
      <c r="S88" s="3">
        <v>31029</v>
      </c>
      <c r="T88" s="5" t="s">
        <v>765</v>
      </c>
    </row>
    <row r="89" spans="8:20" ht="13">
      <c r="H89" s="7"/>
      <c r="P89">
        <v>88</v>
      </c>
      <c r="Q89" t="s">
        <v>1029</v>
      </c>
      <c r="S89" s="3">
        <v>31030</v>
      </c>
      <c r="T89" s="5" t="s">
        <v>764</v>
      </c>
    </row>
    <row r="90" spans="8:20" ht="13">
      <c r="H90" s="7"/>
      <c r="P90">
        <v>89</v>
      </c>
      <c r="Q90" t="s">
        <v>570</v>
      </c>
      <c r="S90" s="3">
        <v>31049</v>
      </c>
      <c r="T90" s="5" t="s">
        <v>1066</v>
      </c>
    </row>
    <row r="91" spans="8:20" ht="13">
      <c r="H91" s="7"/>
      <c r="P91">
        <v>90</v>
      </c>
      <c r="Q91" t="s">
        <v>302</v>
      </c>
      <c r="S91" s="3">
        <v>31081</v>
      </c>
      <c r="T91" s="5" t="s">
        <v>1067</v>
      </c>
    </row>
    <row r="92" spans="8:20" ht="13">
      <c r="H92" s="7"/>
      <c r="P92">
        <v>91</v>
      </c>
      <c r="Q92" t="s">
        <v>302</v>
      </c>
      <c r="S92" s="3">
        <v>31088</v>
      </c>
      <c r="T92" s="5" t="s">
        <v>1068</v>
      </c>
    </row>
    <row r="93" spans="8:20" ht="13">
      <c r="H93" s="7"/>
      <c r="S93" s="3">
        <v>31112</v>
      </c>
      <c r="T93" s="5" t="s">
        <v>1069</v>
      </c>
    </row>
    <row r="94" spans="8:20" ht="13">
      <c r="H94" s="7"/>
      <c r="S94" s="3">
        <v>31172</v>
      </c>
      <c r="T94" s="5" t="s">
        <v>1070</v>
      </c>
    </row>
    <row r="95" spans="8:20" ht="13">
      <c r="H95" s="7"/>
      <c r="S95" s="3">
        <v>31173</v>
      </c>
      <c r="T95" s="5" t="s">
        <v>780</v>
      </c>
    </row>
    <row r="96" spans="8:20" ht="13">
      <c r="H96" s="7"/>
      <c r="S96" s="3">
        <v>31179</v>
      </c>
      <c r="T96" s="5" t="s">
        <v>781</v>
      </c>
    </row>
    <row r="97" spans="8:20" ht="13">
      <c r="H97" s="7"/>
      <c r="S97" s="3">
        <v>31182</v>
      </c>
      <c r="T97" s="5" t="s">
        <v>1071</v>
      </c>
    </row>
    <row r="98" spans="8:20" ht="13">
      <c r="H98" s="7"/>
      <c r="S98" s="3">
        <v>31202</v>
      </c>
      <c r="T98" s="5" t="s">
        <v>1072</v>
      </c>
    </row>
    <row r="99" spans="8:20" ht="13">
      <c r="H99" s="7"/>
      <c r="S99" s="3">
        <v>31203</v>
      </c>
      <c r="T99" s="5" t="s">
        <v>1073</v>
      </c>
    </row>
    <row r="100" spans="8:20" ht="13">
      <c r="H100" s="7"/>
      <c r="S100" s="3">
        <v>31204</v>
      </c>
      <c r="T100" s="5" t="s">
        <v>785</v>
      </c>
    </row>
    <row r="101" spans="8:20" ht="13">
      <c r="H101" s="7"/>
      <c r="S101" s="3">
        <v>31205</v>
      </c>
      <c r="T101" s="5" t="s">
        <v>786</v>
      </c>
    </row>
    <row r="102" spans="8:20" ht="13">
      <c r="H102" s="7"/>
      <c r="S102" s="3">
        <v>31216</v>
      </c>
      <c r="T102" s="5" t="s">
        <v>1074</v>
      </c>
    </row>
    <row r="103" spans="8:20" ht="13">
      <c r="H103" s="7"/>
      <c r="S103" s="3">
        <v>31217</v>
      </c>
      <c r="T103" s="5" t="s">
        <v>1075</v>
      </c>
    </row>
    <row r="104" spans="8:20" ht="13">
      <c r="H104" s="7"/>
      <c r="S104" s="3">
        <v>31218</v>
      </c>
      <c r="T104" s="5" t="s">
        <v>1076</v>
      </c>
    </row>
    <row r="105" spans="8:20" ht="13">
      <c r="H105" s="7"/>
      <c r="S105" s="3">
        <v>31219</v>
      </c>
      <c r="T105" s="5" t="s">
        <v>790</v>
      </c>
    </row>
    <row r="106" spans="8:20" ht="13">
      <c r="H106" s="7"/>
      <c r="S106" s="3">
        <v>31220</v>
      </c>
      <c r="T106" s="5" t="s">
        <v>1077</v>
      </c>
    </row>
    <row r="107" spans="8:20" ht="13">
      <c r="H107" s="7"/>
      <c r="S107" s="3">
        <v>31221</v>
      </c>
      <c r="T107" s="5" t="s">
        <v>1078</v>
      </c>
    </row>
    <row r="108" spans="8:20" ht="13">
      <c r="H108" s="7"/>
      <c r="S108" s="3">
        <v>31222</v>
      </c>
      <c r="T108" s="5" t="s">
        <v>1079</v>
      </c>
    </row>
    <row r="109" spans="8:20" ht="13">
      <c r="H109" s="7"/>
      <c r="S109" s="3">
        <v>31223</v>
      </c>
      <c r="T109" s="5" t="s">
        <v>1080</v>
      </c>
    </row>
    <row r="110" spans="8:20" ht="13">
      <c r="H110" s="7"/>
      <c r="S110" s="3">
        <v>31224</v>
      </c>
      <c r="T110" s="5" t="s">
        <v>1081</v>
      </c>
    </row>
    <row r="111" spans="8:20" ht="13">
      <c r="H111" s="7"/>
      <c r="S111" s="3">
        <v>31235</v>
      </c>
      <c r="T111" s="5" t="s">
        <v>1082</v>
      </c>
    </row>
    <row r="112" spans="8:20" ht="13">
      <c r="H112" s="7"/>
      <c r="S112" s="3">
        <v>31307</v>
      </c>
      <c r="T112" s="5" t="s">
        <v>1083</v>
      </c>
    </row>
    <row r="113" spans="8:20" ht="13">
      <c r="H113" s="7"/>
      <c r="S113" s="3">
        <v>31308</v>
      </c>
      <c r="T113" s="5" t="s">
        <v>1084</v>
      </c>
    </row>
    <row r="114" spans="8:20" ht="13">
      <c r="H114" s="7"/>
      <c r="S114" s="3">
        <v>31309</v>
      </c>
      <c r="T114" s="5" t="s">
        <v>1085</v>
      </c>
    </row>
    <row r="115" spans="8:20" ht="13">
      <c r="H115" s="7"/>
      <c r="S115" s="3">
        <v>31354</v>
      </c>
      <c r="T115" s="5" t="s">
        <v>1086</v>
      </c>
    </row>
    <row r="116" spans="8:20" ht="13">
      <c r="H116" s="7"/>
      <c r="S116" s="3">
        <v>31356</v>
      </c>
      <c r="T116" s="5" t="s">
        <v>800</v>
      </c>
    </row>
    <row r="117" spans="8:20" ht="13">
      <c r="H117" s="7"/>
      <c r="S117" s="3">
        <v>31399</v>
      </c>
      <c r="T117" s="5" t="s">
        <v>1087</v>
      </c>
    </row>
    <row r="118" spans="8:20" ht="13">
      <c r="H118" s="7"/>
      <c r="S118" s="3">
        <v>31403</v>
      </c>
      <c r="T118" s="5" t="s">
        <v>1088</v>
      </c>
    </row>
    <row r="119" spans="8:20" ht="13">
      <c r="H119" s="7"/>
      <c r="S119" s="3">
        <v>31464</v>
      </c>
      <c r="T119" s="5" t="s">
        <v>1089</v>
      </c>
    </row>
    <row r="120" spans="8:20" ht="13">
      <c r="H120" s="7"/>
      <c r="S120" s="3">
        <v>31466</v>
      </c>
      <c r="T120" s="5" t="s">
        <v>1090</v>
      </c>
    </row>
    <row r="121" spans="8:20" ht="13">
      <c r="H121" s="7"/>
      <c r="S121" s="3">
        <v>31468</v>
      </c>
      <c r="T121" s="5" t="s">
        <v>1091</v>
      </c>
    </row>
    <row r="122" spans="8:20" ht="13">
      <c r="H122" s="7"/>
      <c r="S122" s="3">
        <v>31470</v>
      </c>
      <c r="T122" s="5" t="s">
        <v>1092</v>
      </c>
    </row>
    <row r="123" spans="8:20" ht="13">
      <c r="H123" s="7"/>
      <c r="S123" s="3">
        <v>31472</v>
      </c>
      <c r="T123" s="5" t="s">
        <v>808</v>
      </c>
    </row>
    <row r="124" spans="8:20" ht="13">
      <c r="H124" s="7"/>
      <c r="S124" s="3">
        <v>31474</v>
      </c>
      <c r="T124" s="5" t="s">
        <v>1093</v>
      </c>
    </row>
    <row r="125" spans="8:20" ht="13">
      <c r="H125" s="7"/>
      <c r="S125" s="3">
        <v>31476</v>
      </c>
      <c r="T125" s="5" t="s">
        <v>1094</v>
      </c>
    </row>
    <row r="126" spans="8:20" ht="13">
      <c r="H126" s="7"/>
      <c r="S126" s="3">
        <v>31478</v>
      </c>
      <c r="T126" s="5" t="s">
        <v>1095</v>
      </c>
    </row>
    <row r="127" spans="8:20" ht="13">
      <c r="H127" s="7"/>
      <c r="S127" s="3">
        <v>31486</v>
      </c>
      <c r="T127" s="5" t="s">
        <v>813</v>
      </c>
    </row>
    <row r="128" spans="8:20" ht="13">
      <c r="H128" s="7"/>
      <c r="S128" s="3">
        <v>31487</v>
      </c>
      <c r="T128" s="5" t="s">
        <v>1096</v>
      </c>
    </row>
    <row r="129" spans="8:20" ht="13">
      <c r="H129" s="7"/>
      <c r="S129" s="3">
        <v>31490</v>
      </c>
      <c r="T129" s="5" t="s">
        <v>815</v>
      </c>
    </row>
    <row r="130" spans="8:20" ht="13">
      <c r="H130" s="7"/>
      <c r="S130" s="3">
        <v>31492</v>
      </c>
      <c r="T130" s="5" t="s">
        <v>816</v>
      </c>
    </row>
    <row r="131" spans="8:20" ht="13">
      <c r="H131" s="7"/>
      <c r="S131" s="3">
        <v>31572</v>
      </c>
      <c r="T131" s="5" t="s">
        <v>1097</v>
      </c>
    </row>
    <row r="132" spans="8:20" ht="13">
      <c r="H132" s="7"/>
      <c r="S132" s="3">
        <v>31573</v>
      </c>
      <c r="T132" s="5" t="s">
        <v>1098</v>
      </c>
    </row>
    <row r="133" spans="8:20" ht="13">
      <c r="H133" s="7"/>
      <c r="S133" s="3">
        <v>31576</v>
      </c>
      <c r="T133" s="5" t="s">
        <v>1099</v>
      </c>
    </row>
    <row r="134" spans="8:20" ht="13">
      <c r="H134" s="7"/>
      <c r="S134" s="3">
        <v>31584</v>
      </c>
      <c r="T134" s="5" t="s">
        <v>1100</v>
      </c>
    </row>
    <row r="135" spans="8:20" ht="13">
      <c r="H135" s="7"/>
      <c r="S135" s="3">
        <v>31589</v>
      </c>
      <c r="T135" s="5" t="s">
        <v>823</v>
      </c>
    </row>
    <row r="136" spans="8:20" ht="13">
      <c r="H136" s="7"/>
      <c r="S136" s="3">
        <v>31599</v>
      </c>
      <c r="T136" s="5" t="s">
        <v>1101</v>
      </c>
    </row>
    <row r="137" spans="8:20" ht="13">
      <c r="H137" s="7"/>
      <c r="S137" s="3">
        <v>31623</v>
      </c>
      <c r="T137" s="5" t="s">
        <v>1102</v>
      </c>
    </row>
    <row r="138" spans="8:20" ht="13">
      <c r="H138" s="7"/>
      <c r="S138" s="3">
        <v>31637</v>
      </c>
      <c r="T138" s="5" t="s">
        <v>1103</v>
      </c>
    </row>
    <row r="139" spans="8:20" ht="13">
      <c r="H139" s="7"/>
      <c r="S139" s="3">
        <v>31640</v>
      </c>
      <c r="T139" s="5" t="s">
        <v>827</v>
      </c>
    </row>
    <row r="140" spans="8:20" ht="13">
      <c r="H140" s="7"/>
      <c r="S140" s="3">
        <v>31642</v>
      </c>
      <c r="T140" s="5" t="s">
        <v>1104</v>
      </c>
    </row>
    <row r="141" spans="8:20" ht="13">
      <c r="H141" s="7"/>
      <c r="S141" s="3">
        <v>31644</v>
      </c>
      <c r="T141" s="5" t="s">
        <v>1105</v>
      </c>
    </row>
    <row r="142" spans="8:20" ht="13">
      <c r="H142" s="7"/>
      <c r="S142" s="3">
        <v>31646</v>
      </c>
      <c r="T142" s="5" t="s">
        <v>830</v>
      </c>
    </row>
    <row r="143" spans="8:20" ht="13">
      <c r="H143" s="7"/>
      <c r="S143" s="3">
        <v>31718</v>
      </c>
      <c r="T143" s="5" t="s">
        <v>831</v>
      </c>
    </row>
    <row r="144" spans="8:20" ht="13">
      <c r="H144" s="7"/>
      <c r="S144" s="3">
        <v>31819</v>
      </c>
      <c r="T144" s="5" t="s">
        <v>1106</v>
      </c>
    </row>
    <row r="145" spans="8:20" ht="13">
      <c r="H145" s="7"/>
      <c r="S145" s="3">
        <v>31855</v>
      </c>
      <c r="T145" s="5" t="s">
        <v>1107</v>
      </c>
    </row>
    <row r="146" spans="8:20" ht="13">
      <c r="H146" s="7"/>
      <c r="S146" s="3">
        <v>31857</v>
      </c>
      <c r="T146" s="5" t="s">
        <v>840</v>
      </c>
    </row>
    <row r="147" spans="8:20" ht="13">
      <c r="H147" s="7"/>
      <c r="S147" s="3">
        <v>31859</v>
      </c>
      <c r="T147" s="5" t="s">
        <v>1108</v>
      </c>
    </row>
    <row r="148" spans="8:20" ht="13">
      <c r="H148" s="7"/>
      <c r="S148" s="3">
        <v>31861</v>
      </c>
      <c r="T148" s="5" t="s">
        <v>842</v>
      </c>
    </row>
    <row r="149" spans="8:20" ht="13">
      <c r="H149" s="7"/>
      <c r="S149" s="3">
        <v>31905</v>
      </c>
      <c r="T149" s="5" t="s">
        <v>843</v>
      </c>
    </row>
    <row r="150" spans="8:20" ht="13">
      <c r="H150" s="7"/>
      <c r="S150" s="3">
        <v>31971</v>
      </c>
      <c r="T150" s="5" t="s">
        <v>845</v>
      </c>
    </row>
    <row r="151" spans="8:20" ht="13">
      <c r="H151" s="7"/>
      <c r="S151" s="3">
        <v>31972</v>
      </c>
      <c r="T151" s="5" t="s">
        <v>1109</v>
      </c>
    </row>
    <row r="152" spans="8:20" ht="13">
      <c r="H152" s="7"/>
      <c r="S152" s="3">
        <v>31977</v>
      </c>
      <c r="T152" s="5" t="s">
        <v>846</v>
      </c>
    </row>
    <row r="153" spans="8:20" ht="13">
      <c r="H153" s="7"/>
      <c r="S153" s="3">
        <v>31979</v>
      </c>
      <c r="T153" s="5" t="s">
        <v>847</v>
      </c>
    </row>
    <row r="154" spans="8:20" ht="13">
      <c r="H154" s="7"/>
      <c r="S154" s="3">
        <v>31982</v>
      </c>
      <c r="T154" s="5" t="s">
        <v>848</v>
      </c>
    </row>
    <row r="155" spans="8:20" ht="13">
      <c r="H155" s="7"/>
      <c r="S155" s="3">
        <v>32003</v>
      </c>
      <c r="T155" s="5" t="s">
        <v>849</v>
      </c>
    </row>
    <row r="156" spans="8:20" ht="13">
      <c r="H156" s="7"/>
      <c r="S156" s="3">
        <v>32014</v>
      </c>
      <c r="T156" s="5" t="s">
        <v>181</v>
      </c>
    </row>
    <row r="157" spans="8:20" ht="13">
      <c r="H157" s="7"/>
      <c r="S157" s="3">
        <v>32016</v>
      </c>
      <c r="T157" s="5" t="s">
        <v>850</v>
      </c>
    </row>
    <row r="158" spans="8:20" ht="13">
      <c r="H158" s="7"/>
      <c r="S158" s="3">
        <v>32018</v>
      </c>
      <c r="T158" s="5" t="s">
        <v>851</v>
      </c>
    </row>
    <row r="159" spans="8:20" ht="13">
      <c r="H159" s="7"/>
      <c r="S159" s="3">
        <v>32019</v>
      </c>
      <c r="T159" s="5" t="s">
        <v>1110</v>
      </c>
    </row>
    <row r="160" spans="8:20" ht="13">
      <c r="H160" s="7"/>
      <c r="S160" s="3">
        <v>32021</v>
      </c>
      <c r="T160" s="5" t="s">
        <v>1111</v>
      </c>
    </row>
    <row r="161" spans="8:20" ht="13">
      <c r="H161" s="7"/>
      <c r="S161" s="3">
        <v>32023</v>
      </c>
      <c r="T161" s="5" t="s">
        <v>1112</v>
      </c>
    </row>
    <row r="162" spans="8:20" ht="13">
      <c r="H162" s="7"/>
      <c r="S162" s="3">
        <v>32024</v>
      </c>
      <c r="T162" s="5" t="s">
        <v>1113</v>
      </c>
    </row>
    <row r="163" spans="8:20" ht="13">
      <c r="H163" s="7"/>
      <c r="S163" s="3">
        <v>32025</v>
      </c>
      <c r="T163" s="5" t="s">
        <v>1114</v>
      </c>
    </row>
    <row r="164" spans="8:20" ht="13">
      <c r="H164" s="7"/>
      <c r="S164" s="3">
        <v>32026</v>
      </c>
      <c r="T164" s="5" t="s">
        <v>706</v>
      </c>
    </row>
    <row r="165" spans="8:20" ht="13">
      <c r="H165" s="7"/>
      <c r="S165" s="3">
        <v>32066</v>
      </c>
      <c r="T165" s="5" t="s">
        <v>1115</v>
      </c>
    </row>
    <row r="166" spans="8:20" ht="13">
      <c r="H166" s="7"/>
      <c r="S166" s="3">
        <v>32069</v>
      </c>
      <c r="T166" s="5" t="s">
        <v>852</v>
      </c>
    </row>
    <row r="167" spans="8:20" ht="13">
      <c r="H167" s="7"/>
      <c r="S167" s="3">
        <v>32072</v>
      </c>
      <c r="T167" s="5" t="s">
        <v>853</v>
      </c>
    </row>
    <row r="168" spans="8:20" ht="13">
      <c r="S168" s="3">
        <v>32078</v>
      </c>
      <c r="T168" s="5" t="s">
        <v>854</v>
      </c>
    </row>
    <row r="169" spans="8:20" ht="13">
      <c r="S169" s="3">
        <v>32098</v>
      </c>
      <c r="T169" s="5" t="s">
        <v>856</v>
      </c>
    </row>
    <row r="170" spans="8:20" ht="13">
      <c r="S170" s="3">
        <v>32162</v>
      </c>
      <c r="T170" s="5" t="s">
        <v>857</v>
      </c>
    </row>
    <row r="171" spans="8:20" ht="13">
      <c r="S171" s="3">
        <v>32163</v>
      </c>
      <c r="T171" s="5" t="s">
        <v>499</v>
      </c>
    </row>
    <row r="172" spans="8:20" ht="13">
      <c r="S172" s="3">
        <v>32172</v>
      </c>
      <c r="T172" s="5" t="s">
        <v>858</v>
      </c>
    </row>
    <row r="173" spans="8:20" ht="13">
      <c r="S173" s="3">
        <v>32226</v>
      </c>
      <c r="T173" s="5" t="s">
        <v>859</v>
      </c>
    </row>
    <row r="174" spans="8:20" ht="13">
      <c r="S174" s="3">
        <v>32228</v>
      </c>
      <c r="T174" s="5" t="s">
        <v>860</v>
      </c>
    </row>
    <row r="175" spans="8:20" ht="13">
      <c r="S175" s="3">
        <v>32230</v>
      </c>
      <c r="T175" s="5" t="s">
        <v>861</v>
      </c>
    </row>
    <row r="176" spans="8:20" ht="13">
      <c r="S176" s="3">
        <v>32236</v>
      </c>
      <c r="T176" s="5" t="s">
        <v>862</v>
      </c>
    </row>
    <row r="177" spans="19:20" ht="13">
      <c r="S177" s="3">
        <v>32256</v>
      </c>
      <c r="T177" s="5" t="s">
        <v>863</v>
      </c>
    </row>
    <row r="178" spans="19:20" ht="13">
      <c r="S178" s="3">
        <v>32277</v>
      </c>
      <c r="T178" s="5" t="s">
        <v>864</v>
      </c>
    </row>
    <row r="179" spans="19:20" ht="13">
      <c r="S179" s="3">
        <v>32292</v>
      </c>
      <c r="T179" s="5" t="s">
        <v>1116</v>
      </c>
    </row>
    <row r="180" spans="19:20" ht="13">
      <c r="S180" s="3">
        <v>32340</v>
      </c>
      <c r="T180" s="5" t="s">
        <v>866</v>
      </c>
    </row>
    <row r="181" spans="19:20" ht="13">
      <c r="S181" s="3">
        <v>32342</v>
      </c>
      <c r="T181" s="5" t="s">
        <v>1117</v>
      </c>
    </row>
    <row r="182" spans="19:20" ht="13">
      <c r="S182" s="3">
        <v>32347</v>
      </c>
      <c r="T182" s="5" t="s">
        <v>868</v>
      </c>
    </row>
    <row r="183" spans="19:20" ht="13">
      <c r="S183" s="3">
        <v>32360</v>
      </c>
      <c r="T183" s="5" t="s">
        <v>869</v>
      </c>
    </row>
    <row r="184" spans="19:20" ht="13">
      <c r="S184" s="3">
        <v>32363</v>
      </c>
      <c r="T184" s="5" t="s">
        <v>870</v>
      </c>
    </row>
    <row r="185" spans="19:20" ht="13">
      <c r="S185" s="3">
        <v>32364</v>
      </c>
      <c r="T185" s="5" t="s">
        <v>1118</v>
      </c>
    </row>
    <row r="186" spans="19:20" ht="13">
      <c r="S186" s="3">
        <v>32368</v>
      </c>
      <c r="T186" s="5" t="s">
        <v>873</v>
      </c>
    </row>
    <row r="187" spans="19:20" ht="13">
      <c r="S187" s="3">
        <v>32369</v>
      </c>
      <c r="T187" s="5" t="s">
        <v>872</v>
      </c>
    </row>
    <row r="188" spans="19:20" ht="13">
      <c r="S188" s="3">
        <v>32370</v>
      </c>
      <c r="T188" s="5" t="s">
        <v>871</v>
      </c>
    </row>
    <row r="189" spans="19:20" ht="13">
      <c r="S189" s="3">
        <v>32408</v>
      </c>
      <c r="T189" s="5" t="s">
        <v>874</v>
      </c>
    </row>
    <row r="190" spans="19:20" ht="13">
      <c r="S190" s="3">
        <v>32411</v>
      </c>
      <c r="T190" s="5" t="s">
        <v>875</v>
      </c>
    </row>
    <row r="191" spans="19:20" ht="13">
      <c r="S191" s="3">
        <v>32423</v>
      </c>
      <c r="T191" s="5" t="s">
        <v>878</v>
      </c>
    </row>
    <row r="192" spans="19:20" ht="13">
      <c r="S192" s="3">
        <v>32424</v>
      </c>
      <c r="T192" s="5" t="s">
        <v>877</v>
      </c>
    </row>
    <row r="193" spans="19:20" ht="13">
      <c r="S193" s="3">
        <v>32454</v>
      </c>
      <c r="T193" s="5" t="s">
        <v>881</v>
      </c>
    </row>
    <row r="194" spans="19:20" ht="13">
      <c r="S194" s="3">
        <v>32455</v>
      </c>
      <c r="T194" s="5" t="s">
        <v>880</v>
      </c>
    </row>
    <row r="195" spans="19:20" ht="13">
      <c r="S195" s="3">
        <v>32459</v>
      </c>
      <c r="T195" s="5" t="s">
        <v>882</v>
      </c>
    </row>
    <row r="196" spans="19:20" ht="13">
      <c r="S196" s="3">
        <v>32461</v>
      </c>
      <c r="T196" s="5" t="s">
        <v>883</v>
      </c>
    </row>
    <row r="197" spans="19:20" ht="13">
      <c r="S197" s="3">
        <v>32499</v>
      </c>
      <c r="T197" s="5" t="s">
        <v>884</v>
      </c>
    </row>
    <row r="198" spans="19:20" ht="13">
      <c r="S198" s="3">
        <v>32508</v>
      </c>
      <c r="T198" s="5" t="s">
        <v>885</v>
      </c>
    </row>
    <row r="199" spans="19:20" ht="13">
      <c r="S199" s="3">
        <v>32552</v>
      </c>
      <c r="T199" s="5" t="s">
        <v>887</v>
      </c>
    </row>
    <row r="200" spans="19:20" ht="13">
      <c r="S200" s="3">
        <v>32634</v>
      </c>
      <c r="T200" s="5" t="s">
        <v>889</v>
      </c>
    </row>
    <row r="201" spans="19:20" ht="13">
      <c r="S201" s="3">
        <v>32790</v>
      </c>
      <c r="T201" s="5" t="s">
        <v>315</v>
      </c>
    </row>
    <row r="202" spans="19:20" ht="13">
      <c r="S202" s="3">
        <v>32791</v>
      </c>
      <c r="T202" s="5" t="s">
        <v>890</v>
      </c>
    </row>
    <row r="203" spans="19:20" ht="13">
      <c r="S203" s="3">
        <v>32792</v>
      </c>
      <c r="T203" s="5" t="s">
        <v>891</v>
      </c>
    </row>
    <row r="204" spans="19:20" ht="13">
      <c r="S204" s="3">
        <v>32793</v>
      </c>
      <c r="T204" s="5" t="s">
        <v>892</v>
      </c>
    </row>
    <row r="205" spans="19:20" ht="13">
      <c r="S205" s="3">
        <v>32798</v>
      </c>
      <c r="T205" s="5" t="s">
        <v>893</v>
      </c>
    </row>
    <row r="206" spans="19:20" ht="13">
      <c r="S206" s="3">
        <v>32799</v>
      </c>
      <c r="T206" s="5" t="s">
        <v>894</v>
      </c>
    </row>
    <row r="207" spans="19:20" ht="13">
      <c r="S207" s="3">
        <v>32833</v>
      </c>
      <c r="T207" s="5" t="s">
        <v>895</v>
      </c>
    </row>
    <row r="208" spans="19:20" ht="15.75" customHeight="1">
      <c r="S208" s="22">
        <v>32873</v>
      </c>
      <c r="T208" s="23" t="s">
        <v>513</v>
      </c>
    </row>
    <row r="209" spans="19:20" ht="15.75" customHeight="1">
      <c r="S209" s="24">
        <v>32939</v>
      </c>
      <c r="T209" s="25" t="s">
        <v>66</v>
      </c>
    </row>
    <row r="210" spans="19:20" ht="15.75" customHeight="1">
      <c r="S210" s="24">
        <v>32940</v>
      </c>
      <c r="T210" s="25" t="s">
        <v>165</v>
      </c>
    </row>
    <row r="211" spans="19:20" ht="15.75" customHeight="1">
      <c r="S211" s="24">
        <v>33013</v>
      </c>
      <c r="T211" s="25" t="s">
        <v>898</v>
      </c>
    </row>
    <row r="212" spans="19:20" ht="15.75" customHeight="1">
      <c r="S212" s="24">
        <v>33026</v>
      </c>
      <c r="T212" s="25" t="s">
        <v>1119</v>
      </c>
    </row>
    <row r="213" spans="19:20" ht="15.75" customHeight="1">
      <c r="S213" s="24">
        <v>33028</v>
      </c>
      <c r="T213" s="25" t="s">
        <v>900</v>
      </c>
    </row>
    <row r="214" spans="19:20" ht="15.75" customHeight="1">
      <c r="S214" s="24">
        <v>33031</v>
      </c>
      <c r="T214" s="25" t="s">
        <v>274</v>
      </c>
    </row>
    <row r="215" spans="19:20" ht="15.75" customHeight="1">
      <c r="S215" s="24">
        <v>33075</v>
      </c>
      <c r="T215" s="25" t="s">
        <v>901</v>
      </c>
    </row>
    <row r="216" spans="19:20" ht="15.75" customHeight="1">
      <c r="S216" s="26">
        <v>33078</v>
      </c>
      <c r="T216" s="27" t="s">
        <v>902</v>
      </c>
    </row>
    <row r="217" spans="19:20" ht="15.75" customHeight="1">
      <c r="S217">
        <v>33081</v>
      </c>
      <c r="T217" t="s">
        <v>577</v>
      </c>
    </row>
    <row r="218" spans="19:20" ht="15.75" customHeight="1">
      <c r="S218">
        <v>33097</v>
      </c>
      <c r="T218" t="s">
        <v>903</v>
      </c>
    </row>
    <row r="219" spans="19:20" ht="15.75" customHeight="1">
      <c r="S219">
        <v>33099</v>
      </c>
      <c r="T219" t="s">
        <v>1120</v>
      </c>
    </row>
    <row r="220" spans="19:20" ht="15.75" customHeight="1">
      <c r="S220">
        <v>33100</v>
      </c>
      <c r="T220" t="s">
        <v>1121</v>
      </c>
    </row>
    <row r="221" spans="19:20" ht="15.75" customHeight="1">
      <c r="S221">
        <v>33115</v>
      </c>
      <c r="T221" t="s">
        <v>904</v>
      </c>
    </row>
    <row r="222" spans="19:20" ht="15.75" customHeight="1">
      <c r="S222">
        <v>33193</v>
      </c>
      <c r="T222" t="s">
        <v>203</v>
      </c>
    </row>
    <row r="223" spans="19:20" ht="15.75" customHeight="1">
      <c r="S223">
        <v>33350</v>
      </c>
      <c r="T223" t="s">
        <v>906</v>
      </c>
    </row>
    <row r="224" spans="19:20" ht="15.75" customHeight="1">
      <c r="S224">
        <v>33382</v>
      </c>
      <c r="T224" t="s">
        <v>907</v>
      </c>
    </row>
    <row r="225" spans="19:20" ht="15.75" customHeight="1">
      <c r="S225">
        <v>33410</v>
      </c>
      <c r="T225" t="s">
        <v>908</v>
      </c>
    </row>
    <row r="226" spans="19:20" ht="15.75" customHeight="1">
      <c r="S226">
        <v>33423</v>
      </c>
      <c r="T226" t="s">
        <v>910</v>
      </c>
    </row>
    <row r="227" spans="19:20" ht="15.75" customHeight="1">
      <c r="S227">
        <v>33467</v>
      </c>
      <c r="T227" t="s">
        <v>912</v>
      </c>
    </row>
    <row r="228" spans="19:20" ht="15.75" customHeight="1">
      <c r="S228">
        <v>33489</v>
      </c>
      <c r="T228" t="s">
        <v>913</v>
      </c>
    </row>
    <row r="229" spans="19:20" ht="15.75" customHeight="1">
      <c r="S229">
        <v>33493</v>
      </c>
      <c r="T229" t="s">
        <v>915</v>
      </c>
    </row>
    <row r="230" spans="19:20" ht="15.75" customHeight="1">
      <c r="S230">
        <v>33508</v>
      </c>
      <c r="T230" t="s">
        <v>916</v>
      </c>
    </row>
    <row r="231" spans="19:20" ht="15.75" customHeight="1">
      <c r="S231">
        <v>33512</v>
      </c>
      <c r="T231" t="s">
        <v>917</v>
      </c>
    </row>
    <row r="232" spans="19:20" ht="15.75" customHeight="1">
      <c r="S232">
        <v>33514</v>
      </c>
      <c r="T232" t="s">
        <v>919</v>
      </c>
    </row>
    <row r="233" spans="19:20" ht="15.75" customHeight="1">
      <c r="S233">
        <v>33516</v>
      </c>
      <c r="T233" t="s">
        <v>920</v>
      </c>
    </row>
    <row r="234" spans="19:20" ht="15.75" customHeight="1">
      <c r="S234">
        <v>33520</v>
      </c>
      <c r="T234" t="s">
        <v>921</v>
      </c>
    </row>
    <row r="235" spans="19:20" ht="15.75" customHeight="1">
      <c r="S235">
        <v>33562</v>
      </c>
      <c r="T235" t="s">
        <v>922</v>
      </c>
    </row>
    <row r="236" spans="19:20" ht="15.75" customHeight="1">
      <c r="S236">
        <v>33566</v>
      </c>
      <c r="T236" t="s">
        <v>923</v>
      </c>
    </row>
    <row r="237" spans="19:20" ht="15.75" customHeight="1">
      <c r="S237">
        <v>33597</v>
      </c>
      <c r="T237" t="s">
        <v>924</v>
      </c>
    </row>
    <row r="238" spans="19:20" ht="15.75" customHeight="1">
      <c r="S238">
        <v>33613</v>
      </c>
      <c r="T238" t="s">
        <v>925</v>
      </c>
    </row>
    <row r="239" spans="19:20" ht="15.75" customHeight="1">
      <c r="S239">
        <v>33616</v>
      </c>
      <c r="T239" t="s">
        <v>926</v>
      </c>
    </row>
    <row r="240" spans="19:20" ht="15.75" customHeight="1">
      <c r="S240">
        <v>33619</v>
      </c>
      <c r="T240" t="s">
        <v>927</v>
      </c>
    </row>
    <row r="241" spans="19:20" ht="15.75" customHeight="1">
      <c r="S241">
        <v>33666</v>
      </c>
      <c r="T241" t="s">
        <v>928</v>
      </c>
    </row>
    <row r="242" spans="19:20" ht="15.75" customHeight="1">
      <c r="S242">
        <v>33668</v>
      </c>
      <c r="T242" t="s">
        <v>929</v>
      </c>
    </row>
    <row r="243" spans="19:20" ht="15.75" customHeight="1">
      <c r="S243">
        <v>33669</v>
      </c>
      <c r="T243" t="s">
        <v>930</v>
      </c>
    </row>
    <row r="244" spans="19:20" ht="15.75" customHeight="1">
      <c r="S244">
        <v>33670</v>
      </c>
      <c r="T244" t="s">
        <v>931</v>
      </c>
    </row>
    <row r="245" spans="19:20" ht="15.75" customHeight="1">
      <c r="S245">
        <v>33674</v>
      </c>
      <c r="T245" t="s">
        <v>932</v>
      </c>
    </row>
    <row r="246" spans="19:20" ht="15.75" customHeight="1">
      <c r="S246">
        <v>33687</v>
      </c>
      <c r="T246" t="s">
        <v>1122</v>
      </c>
    </row>
    <row r="247" spans="19:20" ht="15.75" customHeight="1">
      <c r="S247">
        <v>33691</v>
      </c>
      <c r="T247" t="s">
        <v>935</v>
      </c>
    </row>
    <row r="248" spans="19:20" ht="15.75" customHeight="1">
      <c r="S248">
        <v>33696</v>
      </c>
      <c r="T248" t="s">
        <v>936</v>
      </c>
    </row>
    <row r="249" spans="19:20" ht="15.75" customHeight="1">
      <c r="S249">
        <v>33699</v>
      </c>
      <c r="T249" t="s">
        <v>937</v>
      </c>
    </row>
    <row r="250" spans="19:20" ht="15.75" customHeight="1">
      <c r="S250">
        <v>33712</v>
      </c>
      <c r="T250" t="s">
        <v>939</v>
      </c>
    </row>
    <row r="251" spans="19:20" ht="15.75" customHeight="1">
      <c r="S251">
        <v>33753</v>
      </c>
      <c r="T251" t="s">
        <v>941</v>
      </c>
    </row>
    <row r="252" spans="19:20" ht="15.75" customHeight="1">
      <c r="S252">
        <v>33770</v>
      </c>
      <c r="T252" t="s">
        <v>942</v>
      </c>
    </row>
    <row r="253" spans="19:20" ht="15.75" customHeight="1">
      <c r="S253">
        <v>33780</v>
      </c>
      <c r="T253" t="s">
        <v>943</v>
      </c>
    </row>
    <row r="254" spans="19:20" ht="15.75" customHeight="1">
      <c r="S254">
        <v>33844</v>
      </c>
      <c r="T254" t="s">
        <v>946</v>
      </c>
    </row>
    <row r="255" spans="19:20" ht="15.75" customHeight="1">
      <c r="S255">
        <v>33871</v>
      </c>
      <c r="T255" t="s">
        <v>947</v>
      </c>
    </row>
    <row r="256" spans="19:20" ht="15.75" customHeight="1">
      <c r="S256">
        <v>33872</v>
      </c>
      <c r="T256" t="s">
        <v>944</v>
      </c>
    </row>
    <row r="257" spans="19:20" ht="15.75" customHeight="1">
      <c r="S257">
        <v>33874</v>
      </c>
      <c r="T257" t="s">
        <v>945</v>
      </c>
    </row>
    <row r="258" spans="19:20" ht="15.75" customHeight="1">
      <c r="S258">
        <v>33966</v>
      </c>
      <c r="T258" t="s">
        <v>952</v>
      </c>
    </row>
    <row r="259" spans="19:20" ht="15.75" customHeight="1">
      <c r="S259">
        <v>33967</v>
      </c>
      <c r="T259" t="s">
        <v>951</v>
      </c>
    </row>
    <row r="260" spans="19:20" ht="15.75" customHeight="1">
      <c r="S260">
        <v>33970</v>
      </c>
      <c r="T260" t="s">
        <v>953</v>
      </c>
    </row>
    <row r="261" spans="19:20" ht="15.75" customHeight="1">
      <c r="S261">
        <v>33993</v>
      </c>
      <c r="T261" t="s">
        <v>1123</v>
      </c>
    </row>
    <row r="262" spans="19:20" ht="15.75" customHeight="1">
      <c r="S262">
        <v>34017</v>
      </c>
      <c r="T262" t="s">
        <v>1124</v>
      </c>
    </row>
    <row r="263" spans="19:20" ht="15.75" customHeight="1">
      <c r="S263">
        <v>34190</v>
      </c>
      <c r="T263" t="s">
        <v>956</v>
      </c>
    </row>
    <row r="264" spans="19:20" ht="15.75" customHeight="1">
      <c r="S264">
        <v>34192</v>
      </c>
      <c r="T264" t="s">
        <v>955</v>
      </c>
    </row>
    <row r="265" spans="19:20" ht="15.75" customHeight="1">
      <c r="S265">
        <v>34198</v>
      </c>
      <c r="T265" t="s">
        <v>957</v>
      </c>
    </row>
    <row r="266" spans="19:20" ht="15.75" customHeight="1">
      <c r="S266">
        <v>34219</v>
      </c>
      <c r="T266" t="s">
        <v>1125</v>
      </c>
    </row>
    <row r="267" spans="19:20" ht="15.75" customHeight="1">
      <c r="S267">
        <v>34223</v>
      </c>
      <c r="T267" t="s">
        <v>958</v>
      </c>
    </row>
    <row r="268" spans="19:20" ht="15.75" customHeight="1">
      <c r="S268">
        <v>34229</v>
      </c>
      <c r="T268" t="s">
        <v>959</v>
      </c>
    </row>
    <row r="269" spans="19:20" ht="15.75" customHeight="1">
      <c r="S269">
        <v>34231</v>
      </c>
      <c r="T269" t="s">
        <v>143</v>
      </c>
    </row>
    <row r="270" spans="19:20" ht="15.75" customHeight="1">
      <c r="S270">
        <v>34236</v>
      </c>
      <c r="T270" t="s">
        <v>961</v>
      </c>
    </row>
    <row r="271" spans="19:20" ht="15.75" customHeight="1">
      <c r="S271">
        <v>34255</v>
      </c>
      <c r="T271" t="s">
        <v>963</v>
      </c>
    </row>
    <row r="272" spans="19:20" ht="15.75" customHeight="1">
      <c r="S272">
        <v>34276</v>
      </c>
      <c r="T272" t="s">
        <v>109</v>
      </c>
    </row>
    <row r="273" spans="19:20" ht="15.75" customHeight="1">
      <c r="S273">
        <v>34277</v>
      </c>
      <c r="T273" t="s">
        <v>967</v>
      </c>
    </row>
    <row r="274" spans="19:20" ht="15.75" customHeight="1">
      <c r="S274">
        <v>34279</v>
      </c>
      <c r="T274" t="s">
        <v>962</v>
      </c>
    </row>
    <row r="275" spans="19:20" ht="15.75" customHeight="1">
      <c r="S275">
        <v>34280</v>
      </c>
      <c r="T275" t="s">
        <v>966</v>
      </c>
    </row>
    <row r="276" spans="19:20" ht="15.75" customHeight="1">
      <c r="S276">
        <v>34284</v>
      </c>
      <c r="T276" t="s">
        <v>968</v>
      </c>
    </row>
    <row r="277" spans="19:20" ht="15.75" customHeight="1">
      <c r="S277">
        <v>34292</v>
      </c>
      <c r="T277" t="s">
        <v>1126</v>
      </c>
    </row>
    <row r="278" spans="19:20" ht="15.75" customHeight="1">
      <c r="S278">
        <v>34293</v>
      </c>
      <c r="T278" t="s">
        <v>1127</v>
      </c>
    </row>
    <row r="279" spans="19:20" ht="15.75" customHeight="1">
      <c r="S279">
        <v>34295</v>
      </c>
      <c r="T279" t="s">
        <v>969</v>
      </c>
    </row>
  </sheetData>
  <autoFilter ref="A1:M22" xr:uid="{00000000-0009-0000-0000-000002000000}">
    <sortState xmlns:xlrd2="http://schemas.microsoft.com/office/spreadsheetml/2017/richdata2" ref="A2:M22">
      <sortCondition ref="A1:A22"/>
    </sortState>
  </autoFilter>
  <hyperlinks>
    <hyperlink ref="T59" r:id="rId1" xr:uid="{00000000-0004-0000-0200-000001000000}"/>
  </hyperlinks>
  <pageMargins left="0" right="0" top="0" bottom="0" header="0" footer="0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EB4B-552D-4E02-8760-5EEE20BCCC4D}">
  <dimension ref="A1:M6"/>
  <sheetViews>
    <sheetView workbookViewId="0">
      <selection activeCell="C4" sqref="C4:C5"/>
    </sheetView>
  </sheetViews>
  <sheetFormatPr baseColWidth="10" defaultColWidth="8.83203125" defaultRowHeight="13"/>
  <cols>
    <col min="2" max="2" width="12.5" bestFit="1" customWidth="1"/>
    <col min="3" max="3" width="16.83203125" bestFit="1" customWidth="1"/>
    <col min="4" max="4" width="14.1640625" bestFit="1" customWidth="1"/>
    <col min="5" max="5" width="10.5" bestFit="1" customWidth="1"/>
    <col min="6" max="6" width="18.5" bestFit="1" customWidth="1"/>
    <col min="7" max="7" width="19.1640625" bestFit="1" customWidth="1"/>
    <col min="8" max="8" width="22.5" bestFit="1" customWidth="1"/>
    <col min="9" max="9" width="20.83203125" bestFit="1" customWidth="1"/>
    <col min="10" max="10" width="14" bestFit="1" customWidth="1"/>
    <col min="11" max="11" width="14.6640625" bestFit="1" customWidth="1"/>
    <col min="12" max="12" width="13.5" bestFit="1" customWidth="1"/>
    <col min="13" max="13" width="12" bestFit="1" customWidth="1"/>
  </cols>
  <sheetData>
    <row r="1" spans="1:13">
      <c r="A1" s="21" t="s">
        <v>1128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989</v>
      </c>
      <c r="I3" t="s">
        <v>7</v>
      </c>
      <c r="J3" t="s">
        <v>8</v>
      </c>
      <c r="K3" t="s">
        <v>990</v>
      </c>
      <c r="L3" t="s">
        <v>10</v>
      </c>
      <c r="M3" t="s">
        <v>991</v>
      </c>
    </row>
    <row r="4" spans="1:13">
      <c r="A4">
        <v>20</v>
      </c>
      <c r="B4">
        <v>28845</v>
      </c>
      <c r="C4" s="17">
        <v>45835</v>
      </c>
      <c r="D4" s="17">
        <v>45836</v>
      </c>
      <c r="E4" t="s">
        <v>30</v>
      </c>
      <c r="F4">
        <v>105.6</v>
      </c>
      <c r="G4">
        <v>120.38399999999999</v>
      </c>
      <c r="H4" t="s">
        <v>1027</v>
      </c>
      <c r="I4" s="17">
        <v>45881</v>
      </c>
      <c r="J4" t="s">
        <v>984</v>
      </c>
      <c r="K4">
        <v>8</v>
      </c>
      <c r="L4">
        <v>2025</v>
      </c>
      <c r="M4" t="s">
        <v>302</v>
      </c>
    </row>
    <row r="5" spans="1:13">
      <c r="A5">
        <v>20</v>
      </c>
      <c r="B5">
        <v>28845</v>
      </c>
      <c r="C5" s="17">
        <v>45835</v>
      </c>
      <c r="D5" s="17">
        <v>45836</v>
      </c>
      <c r="E5" t="s">
        <v>30</v>
      </c>
      <c r="F5">
        <v>210</v>
      </c>
      <c r="G5">
        <v>239.39999999999998</v>
      </c>
      <c r="H5" t="s">
        <v>1027</v>
      </c>
      <c r="I5" s="17">
        <v>45881</v>
      </c>
      <c r="J5" t="s">
        <v>984</v>
      </c>
      <c r="K5">
        <v>8</v>
      </c>
      <c r="L5">
        <v>2025</v>
      </c>
      <c r="M5" t="s">
        <v>302</v>
      </c>
    </row>
    <row r="6" spans="1:13">
      <c r="A6">
        <v>20</v>
      </c>
      <c r="B6">
        <v>28845</v>
      </c>
      <c r="C6" s="17">
        <v>45833</v>
      </c>
      <c r="D6" s="17">
        <v>45836</v>
      </c>
      <c r="E6" t="s">
        <v>30</v>
      </c>
      <c r="F6">
        <v>526.08000000000004</v>
      </c>
      <c r="G6">
        <v>599.73119999999994</v>
      </c>
      <c r="H6" t="s">
        <v>1027</v>
      </c>
      <c r="I6" s="17">
        <v>45881</v>
      </c>
      <c r="J6" t="s">
        <v>984</v>
      </c>
      <c r="K6">
        <v>8</v>
      </c>
      <c r="L6">
        <v>2025</v>
      </c>
      <c r="M6" t="s">
        <v>302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3996-E2CF-450A-84FC-1A78191C0A10}">
  <dimension ref="A2:J5"/>
  <sheetViews>
    <sheetView tabSelected="1" workbookViewId="0">
      <selection activeCell="E13" sqref="E13"/>
    </sheetView>
  </sheetViews>
  <sheetFormatPr baseColWidth="10" defaultColWidth="8.83203125" defaultRowHeight="13"/>
  <cols>
    <col min="1" max="1" width="25.5" bestFit="1" customWidth="1"/>
    <col min="2" max="2" width="14" bestFit="1" customWidth="1"/>
    <col min="3" max="3" width="14.5" bestFit="1" customWidth="1"/>
    <col min="4" max="4" width="10.33203125" bestFit="1" customWidth="1"/>
    <col min="5" max="5" width="8.1640625" bestFit="1" customWidth="1"/>
    <col min="6" max="6" width="7.1640625" bestFit="1" customWidth="1"/>
    <col min="7" max="8" width="6.1640625" bestFit="1" customWidth="1"/>
    <col min="9" max="9" width="10.33203125" bestFit="1" customWidth="1"/>
    <col min="10" max="10" width="12.6640625" bestFit="1" customWidth="1"/>
    <col min="11" max="11" width="11.6640625" bestFit="1" customWidth="1"/>
    <col min="12" max="12" width="15" bestFit="1" customWidth="1"/>
    <col min="13" max="13" width="12.6640625" bestFit="1" customWidth="1"/>
  </cols>
  <sheetData>
    <row r="2" spans="1:10">
      <c r="B2" s="18" t="s">
        <v>10</v>
      </c>
      <c r="C2" s="18" t="s">
        <v>8</v>
      </c>
    </row>
    <row r="3" spans="1:10">
      <c r="B3">
        <v>2025</v>
      </c>
      <c r="D3" t="s">
        <v>972</v>
      </c>
      <c r="E3">
        <v>2026</v>
      </c>
      <c r="I3" t="s">
        <v>973</v>
      </c>
      <c r="J3" t="s">
        <v>975</v>
      </c>
    </row>
    <row r="4" spans="1:10">
      <c r="B4" t="s">
        <v>987</v>
      </c>
      <c r="C4" t="s">
        <v>976</v>
      </c>
      <c r="E4" t="s">
        <v>978</v>
      </c>
      <c r="F4" t="s">
        <v>979</v>
      </c>
      <c r="G4" t="s">
        <v>980</v>
      </c>
      <c r="H4" t="s">
        <v>981</v>
      </c>
    </row>
    <row r="5" spans="1:10">
      <c r="A5" t="s">
        <v>988</v>
      </c>
      <c r="B5" s="33">
        <v>94.6</v>
      </c>
      <c r="C5" s="33">
        <v>506.49</v>
      </c>
      <c r="D5">
        <v>601.09</v>
      </c>
      <c r="E5" s="33">
        <v>3157.83</v>
      </c>
      <c r="F5" s="33">
        <v>634.54</v>
      </c>
      <c r="G5" s="33">
        <v>193.5</v>
      </c>
      <c r="H5" s="33">
        <v>446.8</v>
      </c>
      <c r="I5">
        <v>4432.67</v>
      </c>
      <c r="J5">
        <v>5033.76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1B0B-A8EC-430D-8E48-5719E07A1C72}">
  <dimension ref="A3:J6"/>
  <sheetViews>
    <sheetView workbookViewId="0">
      <selection activeCell="C3" sqref="C3"/>
    </sheetView>
  </sheetViews>
  <sheetFormatPr baseColWidth="10" defaultColWidth="8.83203125" defaultRowHeight="13"/>
  <cols>
    <col min="1" max="1" width="22.5" bestFit="1" customWidth="1"/>
    <col min="2" max="2" width="16" bestFit="1" customWidth="1"/>
    <col min="3" max="3" width="10.5" bestFit="1" customWidth="1"/>
    <col min="4" max="4" width="9.83203125" bestFit="1" customWidth="1"/>
    <col min="5" max="5" width="9.33203125" bestFit="1" customWidth="1"/>
    <col min="6" max="6" width="10.6640625" bestFit="1" customWidth="1"/>
    <col min="7" max="7" width="9.1640625" bestFit="1" customWidth="1"/>
    <col min="8" max="9" width="10.6640625" bestFit="1" customWidth="1"/>
    <col min="10" max="10" width="11.1640625" bestFit="1" customWidth="1"/>
  </cols>
  <sheetData>
    <row r="3" spans="1:10">
      <c r="B3" s="18" t="s">
        <v>1129</v>
      </c>
    </row>
    <row r="4" spans="1:10">
      <c r="B4">
        <v>2025</v>
      </c>
      <c r="F4" t="s">
        <v>972</v>
      </c>
      <c r="G4">
        <v>2026</v>
      </c>
      <c r="I4" t="s">
        <v>973</v>
      </c>
      <c r="J4" t="s">
        <v>1130</v>
      </c>
    </row>
    <row r="5" spans="1:10">
      <c r="B5" t="s">
        <v>984</v>
      </c>
      <c r="C5" t="s">
        <v>985</v>
      </c>
      <c r="D5" t="s">
        <v>987</v>
      </c>
      <c r="E5" t="s">
        <v>976</v>
      </c>
      <c r="G5" t="s">
        <v>977</v>
      </c>
      <c r="H5" t="s">
        <v>978</v>
      </c>
    </row>
    <row r="6" spans="1:10">
      <c r="A6" t="s">
        <v>1131</v>
      </c>
      <c r="B6" s="19">
        <v>959.51519999999994</v>
      </c>
      <c r="C6" s="19">
        <v>375.82</v>
      </c>
      <c r="D6" s="19">
        <v>94.6</v>
      </c>
      <c r="E6" s="19">
        <v>506.49</v>
      </c>
      <c r="F6" s="19">
        <v>1936.4251999999999</v>
      </c>
      <c r="G6" s="19">
        <v>394.5</v>
      </c>
      <c r="H6" s="19">
        <v>2661</v>
      </c>
      <c r="I6" s="19">
        <v>3055.5</v>
      </c>
      <c r="J6" s="19">
        <v>4991.9251999999997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c268f4-b00a-4a5a-a737-84c982578199" xsi:nil="true"/>
    <lcf76f155ced4ddcb4097134ff3c332f xmlns="5e59f9b9-9a66-426f-abec-25f3c464bf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07015C779368428DBAE7AD83399B9A" ma:contentTypeVersion="12" ma:contentTypeDescription="Crear nuevo documento." ma:contentTypeScope="" ma:versionID="69cc1e9db5042da6bc5d94a20babba71">
  <xsd:schema xmlns:xsd="http://www.w3.org/2001/XMLSchema" xmlns:xs="http://www.w3.org/2001/XMLSchema" xmlns:p="http://schemas.microsoft.com/office/2006/metadata/properties" xmlns:ns2="5e59f9b9-9a66-426f-abec-25f3c464bf30" xmlns:ns3="80c268f4-b00a-4a5a-a737-84c982578199" targetNamespace="http://schemas.microsoft.com/office/2006/metadata/properties" ma:root="true" ma:fieldsID="083ef1cad8eecd2ea1ff751be7951d8c" ns2:_="" ns3:_="">
    <xsd:import namespace="5e59f9b9-9a66-426f-abec-25f3c464bf30"/>
    <xsd:import namespace="80c268f4-b00a-4a5a-a737-84c982578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9f9b9-9a66-426f-abec-25f3c464b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df41c62-1e1f-4729-b12b-890bede669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268f4-b00a-4a5a-a737-84c9825781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52c1a-042b-48d4-962e-8a2e6c08b6c4}" ma:internalName="TaxCatchAll" ma:showField="CatchAllData" ma:web="80c268f4-b00a-4a5a-a737-84c982578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759766-AD88-4F1C-8148-22AC29BC94BB}">
  <ds:schemaRefs>
    <ds:schemaRef ds:uri="http://schemas.microsoft.com/office/2006/metadata/properties"/>
    <ds:schemaRef ds:uri="http://schemas.microsoft.com/office/infopath/2007/PartnerControls"/>
    <ds:schemaRef ds:uri="80c268f4-b00a-4a5a-a737-84c982578199"/>
    <ds:schemaRef ds:uri="5e59f9b9-9a66-426f-abec-25f3c464bf30"/>
  </ds:schemaRefs>
</ds:datastoreItem>
</file>

<file path=customXml/itemProps2.xml><?xml version="1.0" encoding="utf-8"?>
<ds:datastoreItem xmlns:ds="http://schemas.openxmlformats.org/officeDocument/2006/customXml" ds:itemID="{EE31114F-90AB-4B60-B385-08EC420539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8A9370-8CA9-4C86-8C44-EB8B2E1857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59f9b9-9a66-426f-abec-25f3c464bf30"/>
    <ds:schemaRef ds:uri="80c268f4-b00a-4a5a-a737-84c982578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Data LLC</vt:lpstr>
      <vt:lpstr>Com Pend LLC</vt:lpstr>
      <vt:lpstr>Data SL</vt:lpstr>
      <vt:lpstr>Detail1</vt:lpstr>
      <vt:lpstr>Com Pend SL</vt:lpstr>
      <vt:lpstr>Com Pend SL old</vt:lpstr>
      <vt:lpstr>Tabla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Guerrero Morales</cp:lastModifiedBy>
  <cp:revision/>
  <dcterms:created xsi:type="dcterms:W3CDTF">2025-11-28T17:54:05Z</dcterms:created>
  <dcterms:modified xsi:type="dcterms:W3CDTF">2026-02-25T09:25:00Z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0x0101004E07015C779368428DBAE7AD83399B9A</vt:lpwstr>
  </property>
</Properties>
</file>