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filterPrivacy="1" defaultThemeVersion="166925"/>
  <xr:revisionPtr revIDLastSave="0" documentId="8_{C3C0C42D-420A-49D0-A2C7-6617D1BCF280}" xr6:coauthVersionLast="47" xr6:coauthVersionMax="47" xr10:uidLastSave="{00000000-0000-0000-0000-000000000000}"/>
  <bookViews>
    <workbookView xWindow="-28920" yWindow="2730" windowWidth="29040" windowHeight="15720" firstSheet="4" activeTab="4" xr2:uid="{A22C7B05-6B0A-4116-A99A-60EDDEA67682}"/>
  </bookViews>
  <sheets>
    <sheet name="AP DATA" sheetId="1" r:id="rId1"/>
    <sheet name="AR DATA" sheetId="2" r:id="rId2"/>
    <sheet name="AP Pivot" sheetId="3" r:id="rId3"/>
    <sheet name="Hoja2" sheetId="7" state="hidden" r:id="rId4"/>
    <sheet name="AR Pivot" sheetId="4" r:id="rId5"/>
    <sheet name="Hoja1" sheetId="6" state="hidden" r:id="rId6"/>
  </sheets>
  <definedNames>
    <definedName name="_xlnm._FilterDatabase" localSheetId="1" hidden="1">'AR DATA'!$A$1:$N$1523</definedName>
  </definedNames>
  <calcPr calcId="191028"/>
  <pivotCaches>
    <pivotCache cacheId="6583" r:id="rId7"/>
    <pivotCache cacheId="6584" r:id="rId8"/>
    <pivotCache cacheId="6585" r:id="rId9"/>
    <pivotCache cacheId="658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1" i="2" l="1"/>
  <c r="AC3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" i="2"/>
  <c r="C43" i="2"/>
  <c r="C3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C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2" i="2"/>
  <c r="T2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2" i="2"/>
  <c r="L188" i="2"/>
  <c r="M188" i="2"/>
  <c r="N188" i="2"/>
  <c r="L176" i="2"/>
  <c r="M176" i="2"/>
  <c r="N176" i="2"/>
  <c r="D176" i="2"/>
  <c r="E176" i="2"/>
  <c r="D188" i="2"/>
  <c r="E188" i="2"/>
  <c r="L268" i="2"/>
  <c r="M268" i="2"/>
  <c r="N268" i="2"/>
  <c r="D268" i="2"/>
  <c r="E268" i="2"/>
  <c r="L278" i="2"/>
  <c r="M278" i="2"/>
  <c r="N278" i="2"/>
  <c r="D278" i="2"/>
  <c r="E278" i="2"/>
  <c r="L410" i="2"/>
  <c r="M410" i="2"/>
  <c r="N410" i="2"/>
  <c r="D410" i="2"/>
  <c r="E410" i="2"/>
  <c r="L422" i="2"/>
  <c r="M422" i="2"/>
  <c r="N422" i="2"/>
  <c r="L418" i="2"/>
  <c r="M418" i="2"/>
  <c r="N418" i="2"/>
  <c r="D418" i="2"/>
  <c r="E418" i="2"/>
  <c r="L511" i="2"/>
  <c r="M511" i="2" s="1"/>
  <c r="N511" i="2"/>
  <c r="L147" i="2"/>
  <c r="N147" i="2" s="1"/>
  <c r="M147" i="2"/>
  <c r="L132" i="2"/>
  <c r="N132" i="2" s="1"/>
  <c r="L124" i="2"/>
  <c r="M124" i="2" s="1"/>
  <c r="B124" i="2"/>
  <c r="G124" i="2" s="1"/>
  <c r="C124" i="2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N44" i="2"/>
  <c r="L45" i="2"/>
  <c r="M45" i="2" s="1"/>
  <c r="L46" i="2"/>
  <c r="M46" i="2" s="1"/>
  <c r="L47" i="2"/>
  <c r="M47" i="2" s="1"/>
  <c r="L48" i="2"/>
  <c r="M48" i="2" s="1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M67" i="2" s="1"/>
  <c r="L68" i="2"/>
  <c r="M68" i="2" s="1"/>
  <c r="L69" i="2"/>
  <c r="M69" i="2" s="1"/>
  <c r="L70" i="2"/>
  <c r="M70" i="2" s="1"/>
  <c r="L71" i="2"/>
  <c r="M71" i="2" s="1"/>
  <c r="L72" i="2"/>
  <c r="L73" i="2"/>
  <c r="M73" i="2" s="1"/>
  <c r="L74" i="2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L82" i="2"/>
  <c r="M82" i="2" s="1"/>
  <c r="L83" i="2"/>
  <c r="L84" i="2"/>
  <c r="M84" i="2" s="1"/>
  <c r="L85" i="2"/>
  <c r="M85" i="2" s="1"/>
  <c r="L86" i="2"/>
  <c r="M86" i="2" s="1"/>
  <c r="L87" i="2"/>
  <c r="M87" i="2" s="1"/>
  <c r="N87" i="2"/>
  <c r="L88" i="2"/>
  <c r="M88" i="2" s="1"/>
  <c r="L89" i="2"/>
  <c r="M89" i="2" s="1"/>
  <c r="N89" i="2"/>
  <c r="L90" i="2"/>
  <c r="L91" i="2"/>
  <c r="M91" i="2" s="1"/>
  <c r="L92" i="2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L100" i="2"/>
  <c r="M100" i="2" s="1"/>
  <c r="L101" i="2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L109" i="2"/>
  <c r="M109" i="2" s="1"/>
  <c r="L110" i="2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L118" i="2"/>
  <c r="M118" i="2" s="1"/>
  <c r="L119" i="2"/>
  <c r="L120" i="2"/>
  <c r="M120" i="2" s="1"/>
  <c r="L121" i="2"/>
  <c r="M121" i="2" s="1"/>
  <c r="L122" i="2"/>
  <c r="M122" i="2" s="1"/>
  <c r="L123" i="2"/>
  <c r="M123" i="2" s="1"/>
  <c r="N123" i="2"/>
  <c r="L35" i="2"/>
  <c r="M35" i="2" s="1"/>
  <c r="L36" i="2"/>
  <c r="M36" i="2" s="1"/>
  <c r="N36" i="2"/>
  <c r="C37" i="2"/>
  <c r="C38" i="2"/>
  <c r="C39" i="2"/>
  <c r="C40" i="2"/>
  <c r="C41" i="2"/>
  <c r="C42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35" i="2"/>
  <c r="C36" i="2"/>
  <c r="B36" i="2"/>
  <c r="B37" i="2"/>
  <c r="G37" i="2" s="1"/>
  <c r="B38" i="2"/>
  <c r="B39" i="2"/>
  <c r="B40" i="2"/>
  <c r="G40" i="2" s="1"/>
  <c r="B41" i="2"/>
  <c r="B42" i="2"/>
  <c r="B43" i="2"/>
  <c r="H43" i="2" s="1"/>
  <c r="B44" i="2"/>
  <c r="B45" i="2"/>
  <c r="B46" i="2"/>
  <c r="G46" i="2" s="1"/>
  <c r="B47" i="2"/>
  <c r="B48" i="2"/>
  <c r="B49" i="2"/>
  <c r="G49" i="2" s="1"/>
  <c r="B50" i="2"/>
  <c r="B51" i="2"/>
  <c r="B52" i="2"/>
  <c r="H52" i="2" s="1"/>
  <c r="B53" i="2"/>
  <c r="B54" i="2"/>
  <c r="B55" i="2"/>
  <c r="G55" i="2" s="1"/>
  <c r="B56" i="2"/>
  <c r="B57" i="2"/>
  <c r="B58" i="2"/>
  <c r="G58" i="2" s="1"/>
  <c r="B59" i="2"/>
  <c r="B60" i="2"/>
  <c r="B61" i="2"/>
  <c r="H61" i="2" s="1"/>
  <c r="B62" i="2"/>
  <c r="B63" i="2"/>
  <c r="B64" i="2"/>
  <c r="G64" i="2" s="1"/>
  <c r="B65" i="2"/>
  <c r="B66" i="2"/>
  <c r="B67" i="2"/>
  <c r="G67" i="2" s="1"/>
  <c r="B68" i="2"/>
  <c r="B69" i="2"/>
  <c r="B70" i="2"/>
  <c r="H70" i="2" s="1"/>
  <c r="B71" i="2"/>
  <c r="B72" i="2"/>
  <c r="B73" i="2"/>
  <c r="G73" i="2" s="1"/>
  <c r="B74" i="2"/>
  <c r="B75" i="2"/>
  <c r="B76" i="2"/>
  <c r="G76" i="2" s="1"/>
  <c r="B77" i="2"/>
  <c r="B78" i="2"/>
  <c r="B79" i="2"/>
  <c r="H79" i="2" s="1"/>
  <c r="B80" i="2"/>
  <c r="B81" i="2"/>
  <c r="B82" i="2"/>
  <c r="G82" i="2" s="1"/>
  <c r="B83" i="2"/>
  <c r="B84" i="2"/>
  <c r="B85" i="2"/>
  <c r="G85" i="2" s="1"/>
  <c r="B86" i="2"/>
  <c r="B87" i="2"/>
  <c r="B88" i="2"/>
  <c r="H88" i="2" s="1"/>
  <c r="B89" i="2"/>
  <c r="B90" i="2"/>
  <c r="B91" i="2"/>
  <c r="G91" i="2" s="1"/>
  <c r="B92" i="2"/>
  <c r="B93" i="2"/>
  <c r="B94" i="2"/>
  <c r="G94" i="2" s="1"/>
  <c r="B95" i="2"/>
  <c r="B96" i="2"/>
  <c r="B97" i="2"/>
  <c r="H97" i="2" s="1"/>
  <c r="B98" i="2"/>
  <c r="B99" i="2"/>
  <c r="B100" i="2"/>
  <c r="G100" i="2" s="1"/>
  <c r="B101" i="2"/>
  <c r="B102" i="2"/>
  <c r="B103" i="2"/>
  <c r="G103" i="2" s="1"/>
  <c r="B104" i="2"/>
  <c r="B105" i="2"/>
  <c r="B106" i="2"/>
  <c r="H106" i="2" s="1"/>
  <c r="B107" i="2"/>
  <c r="B108" i="2"/>
  <c r="B109" i="2"/>
  <c r="G109" i="2" s="1"/>
  <c r="B110" i="2"/>
  <c r="B111" i="2"/>
  <c r="B112" i="2"/>
  <c r="H112" i="2" s="1"/>
  <c r="B113" i="2"/>
  <c r="B114" i="2"/>
  <c r="B115" i="2"/>
  <c r="H115" i="2" s="1"/>
  <c r="B116" i="2"/>
  <c r="B117" i="2"/>
  <c r="B118" i="2"/>
  <c r="G118" i="2" s="1"/>
  <c r="B119" i="2"/>
  <c r="B120" i="2"/>
  <c r="B121" i="2"/>
  <c r="H121" i="2" s="1"/>
  <c r="B122" i="2"/>
  <c r="B123" i="2"/>
  <c r="B35" i="2"/>
  <c r="H35" i="2" s="1"/>
  <c r="L513" i="2"/>
  <c r="N513" i="2" s="1"/>
  <c r="M513" i="2"/>
  <c r="L514" i="2"/>
  <c r="N514" i="2" s="1"/>
  <c r="L515" i="2"/>
  <c r="N515" i="2" s="1"/>
  <c r="L516" i="2"/>
  <c r="N516" i="2" s="1"/>
  <c r="L517" i="2"/>
  <c r="N517" i="2" s="1"/>
  <c r="L518" i="2"/>
  <c r="N518" i="2" s="1"/>
  <c r="L519" i="2"/>
  <c r="N519" i="2" s="1"/>
  <c r="L520" i="2"/>
  <c r="L521" i="2"/>
  <c r="N521" i="2" s="1"/>
  <c r="L522" i="2"/>
  <c r="L523" i="2"/>
  <c r="L524" i="2"/>
  <c r="L525" i="2"/>
  <c r="L526" i="2"/>
  <c r="L527" i="2"/>
  <c r="L528" i="2"/>
  <c r="L529" i="2"/>
  <c r="M529" i="2" s="1"/>
  <c r="L530" i="2"/>
  <c r="L531" i="2"/>
  <c r="L532" i="2"/>
  <c r="M532" i="2" s="1"/>
  <c r="L533" i="2"/>
  <c r="L534" i="2"/>
  <c r="L535" i="2"/>
  <c r="M535" i="2" s="1"/>
  <c r="L536" i="2"/>
  <c r="L537" i="2"/>
  <c r="L538" i="2"/>
  <c r="M538" i="2" s="1"/>
  <c r="L539" i="2"/>
  <c r="L540" i="2"/>
  <c r="L541" i="2"/>
  <c r="M541" i="2" s="1"/>
  <c r="L542" i="2"/>
  <c r="L543" i="2"/>
  <c r="L544" i="2"/>
  <c r="M544" i="2" s="1"/>
  <c r="L545" i="2"/>
  <c r="L546" i="2"/>
  <c r="M546" i="2" s="1"/>
  <c r="L547" i="2"/>
  <c r="N547" i="2" s="1"/>
  <c r="L548" i="2"/>
  <c r="L549" i="2"/>
  <c r="M549" i="2" s="1"/>
  <c r="L550" i="2"/>
  <c r="L551" i="2"/>
  <c r="N551" i="2" s="1"/>
  <c r="L552" i="2"/>
  <c r="L553" i="2"/>
  <c r="L554" i="2"/>
  <c r="N554" i="2" s="1"/>
  <c r="M554" i="2"/>
  <c r="L555" i="2"/>
  <c r="L556" i="2"/>
  <c r="L557" i="2"/>
  <c r="N557" i="2" s="1"/>
  <c r="L558" i="2"/>
  <c r="M558" i="2" s="1"/>
  <c r="N558" i="2"/>
  <c r="L559" i="2"/>
  <c r="L560" i="2"/>
  <c r="L561" i="2"/>
  <c r="L562" i="2"/>
  <c r="L563" i="2"/>
  <c r="L564" i="2"/>
  <c r="M564" i="2" s="1"/>
  <c r="L565" i="2"/>
  <c r="M565" i="2" s="1"/>
  <c r="L566" i="2"/>
  <c r="N566" i="2" s="1"/>
  <c r="L567" i="2"/>
  <c r="N567" i="2" s="1"/>
  <c r="M567" i="2"/>
  <c r="L568" i="2"/>
  <c r="L569" i="2"/>
  <c r="N569" i="2" s="1"/>
  <c r="M569" i="2"/>
  <c r="L570" i="2"/>
  <c r="M570" i="2" s="1"/>
  <c r="L571" i="2"/>
  <c r="L572" i="2"/>
  <c r="L573" i="2"/>
  <c r="M573" i="2" s="1"/>
  <c r="L574" i="2"/>
  <c r="M574" i="2" s="1"/>
  <c r="L575" i="2"/>
  <c r="N575" i="2" s="1"/>
  <c r="L576" i="2"/>
  <c r="N576" i="2" s="1"/>
  <c r="L577" i="2"/>
  <c r="L578" i="2"/>
  <c r="N578" i="2" s="1"/>
  <c r="L579" i="2"/>
  <c r="M579" i="2" s="1"/>
  <c r="L580" i="2"/>
  <c r="L581" i="2"/>
  <c r="L582" i="2"/>
  <c r="M582" i="2" s="1"/>
  <c r="L583" i="2"/>
  <c r="M583" i="2" s="1"/>
  <c r="L584" i="2"/>
  <c r="N584" i="2" s="1"/>
  <c r="L585" i="2"/>
  <c r="N585" i="2" s="1"/>
  <c r="L586" i="2"/>
  <c r="M586" i="2" s="1"/>
  <c r="L587" i="2"/>
  <c r="L588" i="2"/>
  <c r="N588" i="2" s="1"/>
  <c r="L589" i="2"/>
  <c r="M589" i="2" s="1"/>
  <c r="L590" i="2"/>
  <c r="M590" i="2" s="1"/>
  <c r="L591" i="2"/>
  <c r="L592" i="2"/>
  <c r="L593" i="2"/>
  <c r="L594" i="2"/>
  <c r="N594" i="2" s="1"/>
  <c r="L595" i="2"/>
  <c r="M595" i="2"/>
  <c r="N595" i="2"/>
  <c r="L596" i="2"/>
  <c r="L597" i="2"/>
  <c r="N597" i="2" s="1"/>
  <c r="L598" i="2"/>
  <c r="L599" i="2"/>
  <c r="M599" i="2" s="1"/>
  <c r="L600" i="2"/>
  <c r="L601" i="2"/>
  <c r="L602" i="2"/>
  <c r="L603" i="2"/>
  <c r="N603" i="2" s="1"/>
  <c r="L604" i="2"/>
  <c r="M604" i="2" s="1"/>
  <c r="N604" i="2"/>
  <c r="L605" i="2"/>
  <c r="L606" i="2"/>
  <c r="N606" i="2" s="1"/>
  <c r="L607" i="2"/>
  <c r="M607" i="2" s="1"/>
  <c r="L608" i="2"/>
  <c r="M608" i="2" s="1"/>
  <c r="N608" i="2"/>
  <c r="L609" i="2"/>
  <c r="L610" i="2"/>
  <c r="L611" i="2"/>
  <c r="L612" i="2"/>
  <c r="L613" i="2"/>
  <c r="N613" i="2" s="1"/>
  <c r="M613" i="2"/>
  <c r="L614" i="2"/>
  <c r="L615" i="2"/>
  <c r="N615" i="2" s="1"/>
  <c r="L616" i="2"/>
  <c r="M616" i="2" s="1"/>
  <c r="L617" i="2"/>
  <c r="L618" i="2"/>
  <c r="L619" i="2"/>
  <c r="L620" i="2"/>
  <c r="L621" i="2"/>
  <c r="N621" i="2" s="1"/>
  <c r="L622" i="2"/>
  <c r="M622" i="2"/>
  <c r="N622" i="2"/>
  <c r="L623" i="2"/>
  <c r="L624" i="2"/>
  <c r="N624" i="2" s="1"/>
  <c r="L625" i="2"/>
  <c r="L626" i="2"/>
  <c r="M626" i="2" s="1"/>
  <c r="N626" i="2"/>
  <c r="L627" i="2"/>
  <c r="L628" i="2"/>
  <c r="L629" i="2"/>
  <c r="L630" i="2"/>
  <c r="N630" i="2" s="1"/>
  <c r="L631" i="2"/>
  <c r="L632" i="2"/>
  <c r="L633" i="2"/>
  <c r="L634" i="2"/>
  <c r="M634" i="2" s="1"/>
  <c r="N634" i="2"/>
  <c r="L635" i="2"/>
  <c r="M635" i="2" s="1"/>
  <c r="L636" i="2"/>
  <c r="L637" i="2"/>
  <c r="L638" i="2"/>
  <c r="L639" i="2"/>
  <c r="L640" i="2"/>
  <c r="N640" i="2" s="1"/>
  <c r="L641" i="2"/>
  <c r="L642" i="2"/>
  <c r="N642" i="2" s="1"/>
  <c r="L643" i="2"/>
  <c r="M643" i="2" s="1"/>
  <c r="L644" i="2"/>
  <c r="L645" i="2"/>
  <c r="L646" i="2"/>
  <c r="L647" i="2"/>
  <c r="L648" i="2"/>
  <c r="N648" i="2" s="1"/>
  <c r="L649" i="2"/>
  <c r="N649" i="2" s="1"/>
  <c r="L650" i="2"/>
  <c r="L651" i="2"/>
  <c r="N651" i="2" s="1"/>
  <c r="L652" i="2"/>
  <c r="M652" i="2" s="1"/>
  <c r="L653" i="2"/>
  <c r="L654" i="2"/>
  <c r="L655" i="2"/>
  <c r="L656" i="2"/>
  <c r="L657" i="2"/>
  <c r="N657" i="2" s="1"/>
  <c r="L658" i="2"/>
  <c r="N658" i="2" s="1"/>
  <c r="M658" i="2"/>
  <c r="L659" i="2"/>
  <c r="L660" i="2"/>
  <c r="N660" i="2" s="1"/>
  <c r="M660" i="2"/>
  <c r="L661" i="2"/>
  <c r="M661" i="2" s="1"/>
  <c r="L662" i="2"/>
  <c r="L663" i="2"/>
  <c r="L664" i="2"/>
  <c r="L665" i="2"/>
  <c r="L666" i="2"/>
  <c r="N666" i="2" s="1"/>
  <c r="L667" i="2"/>
  <c r="N667" i="2" s="1"/>
  <c r="L668" i="2"/>
  <c r="L669" i="2"/>
  <c r="N669" i="2" s="1"/>
  <c r="L670" i="2"/>
  <c r="M670" i="2" s="1"/>
  <c r="L671" i="2"/>
  <c r="L672" i="2"/>
  <c r="L673" i="2"/>
  <c r="L674" i="2"/>
  <c r="L675" i="2"/>
  <c r="N675" i="2" s="1"/>
  <c r="L676" i="2"/>
  <c r="N676" i="2" s="1"/>
  <c r="L677" i="2"/>
  <c r="L678" i="2"/>
  <c r="N678" i="2" s="1"/>
  <c r="L679" i="2"/>
  <c r="M679" i="2" s="1"/>
  <c r="N679" i="2"/>
  <c r="L680" i="2"/>
  <c r="L681" i="2"/>
  <c r="L682" i="2"/>
  <c r="L683" i="2"/>
  <c r="L684" i="2"/>
  <c r="N684" i="2" s="1"/>
  <c r="M684" i="2"/>
  <c r="L685" i="2"/>
  <c r="N685" i="2" s="1"/>
  <c r="L686" i="2"/>
  <c r="L687" i="2"/>
  <c r="N687" i="2" s="1"/>
  <c r="L688" i="2"/>
  <c r="M688" i="2" s="1"/>
  <c r="L689" i="2"/>
  <c r="L690" i="2"/>
  <c r="L691" i="2"/>
  <c r="L692" i="2"/>
  <c r="L693" i="2"/>
  <c r="N693" i="2" s="1"/>
  <c r="L694" i="2"/>
  <c r="N694" i="2" s="1"/>
  <c r="L695" i="2"/>
  <c r="L696" i="2"/>
  <c r="M696" i="2" s="1"/>
  <c r="L697" i="2"/>
  <c r="L698" i="2"/>
  <c r="N698" i="2" s="1"/>
  <c r="L699" i="2"/>
  <c r="L700" i="2"/>
  <c r="L701" i="2"/>
  <c r="N701" i="2" s="1"/>
  <c r="L702" i="2"/>
  <c r="M702" i="2" s="1"/>
  <c r="L703" i="2"/>
  <c r="L704" i="2"/>
  <c r="N704" i="2" s="1"/>
  <c r="L705" i="2"/>
  <c r="L706" i="2"/>
  <c r="L707" i="2"/>
  <c r="N707" i="2" s="1"/>
  <c r="L708" i="2"/>
  <c r="M708" i="2" s="1"/>
  <c r="L709" i="2"/>
  <c r="L710" i="2"/>
  <c r="N710" i="2" s="1"/>
  <c r="L711" i="2"/>
  <c r="L712" i="2"/>
  <c r="L713" i="2"/>
  <c r="N713" i="2" s="1"/>
  <c r="L714" i="2"/>
  <c r="M714" i="2" s="1"/>
  <c r="L715" i="2"/>
  <c r="L716" i="2"/>
  <c r="N716" i="2" s="1"/>
  <c r="L717" i="2"/>
  <c r="L718" i="2"/>
  <c r="L719" i="2"/>
  <c r="N719" i="2" s="1"/>
  <c r="L720" i="2"/>
  <c r="M720" i="2" s="1"/>
  <c r="L721" i="2"/>
  <c r="L722" i="2"/>
  <c r="N722" i="2" s="1"/>
  <c r="L723" i="2"/>
  <c r="L724" i="2"/>
  <c r="L725" i="2"/>
  <c r="N725" i="2" s="1"/>
  <c r="L726" i="2"/>
  <c r="M726" i="2" s="1"/>
  <c r="L727" i="2"/>
  <c r="L728" i="2"/>
  <c r="N728" i="2" s="1"/>
  <c r="L729" i="2"/>
  <c r="L730" i="2"/>
  <c r="L731" i="2"/>
  <c r="N731" i="2" s="1"/>
  <c r="L732" i="2"/>
  <c r="M732" i="2" s="1"/>
  <c r="L733" i="2"/>
  <c r="L734" i="2"/>
  <c r="N734" i="2" s="1"/>
  <c r="L735" i="2"/>
  <c r="L736" i="2"/>
  <c r="L737" i="2"/>
  <c r="N737" i="2" s="1"/>
  <c r="L738" i="2"/>
  <c r="M738" i="2" s="1"/>
  <c r="L739" i="2"/>
  <c r="L740" i="2"/>
  <c r="N740" i="2" s="1"/>
  <c r="L741" i="2"/>
  <c r="L742" i="2"/>
  <c r="L743" i="2"/>
  <c r="L744" i="2"/>
  <c r="M744" i="2" s="1"/>
  <c r="L745" i="2"/>
  <c r="L746" i="2"/>
  <c r="L747" i="2"/>
  <c r="N747" i="2" s="1"/>
  <c r="L748" i="2"/>
  <c r="L749" i="2"/>
  <c r="L750" i="2"/>
  <c r="M750" i="2"/>
  <c r="N750" i="2"/>
  <c r="L751" i="2"/>
  <c r="L752" i="2"/>
  <c r="L753" i="2"/>
  <c r="M753" i="2" s="1"/>
  <c r="L754" i="2"/>
  <c r="L755" i="2"/>
  <c r="L756" i="2"/>
  <c r="N756" i="2" s="1"/>
  <c r="L757" i="2"/>
  <c r="L758" i="2"/>
  <c r="L759" i="2"/>
  <c r="N759" i="2" s="1"/>
  <c r="M759" i="2"/>
  <c r="L760" i="2"/>
  <c r="L761" i="2"/>
  <c r="L762" i="2"/>
  <c r="N762" i="2" s="1"/>
  <c r="L763" i="2"/>
  <c r="L764" i="2"/>
  <c r="L765" i="2"/>
  <c r="N765" i="2" s="1"/>
  <c r="L766" i="2"/>
  <c r="L767" i="2"/>
  <c r="L768" i="2"/>
  <c r="N768" i="2" s="1"/>
  <c r="L769" i="2"/>
  <c r="N769" i="2" s="1"/>
  <c r="L770" i="2"/>
  <c r="N770" i="2" s="1"/>
  <c r="M770" i="2"/>
  <c r="L771" i="2"/>
  <c r="N771" i="2" s="1"/>
  <c r="L772" i="2"/>
  <c r="N772" i="2" s="1"/>
  <c r="L773" i="2"/>
  <c r="N773" i="2" s="1"/>
  <c r="M773" i="2"/>
  <c r="L774" i="2"/>
  <c r="N774" i="2" s="1"/>
  <c r="L775" i="2"/>
  <c r="N775" i="2" s="1"/>
  <c r="L776" i="2"/>
  <c r="N776" i="2" s="1"/>
  <c r="M776" i="2"/>
  <c r="L777" i="2"/>
  <c r="N777" i="2" s="1"/>
  <c r="L778" i="2"/>
  <c r="N778" i="2" s="1"/>
  <c r="L779" i="2"/>
  <c r="N779" i="2" s="1"/>
  <c r="M779" i="2"/>
  <c r="L780" i="2"/>
  <c r="N780" i="2" s="1"/>
  <c r="L781" i="2"/>
  <c r="N781" i="2" s="1"/>
  <c r="L782" i="2"/>
  <c r="N782" i="2" s="1"/>
  <c r="M782" i="2"/>
  <c r="L783" i="2"/>
  <c r="N783" i="2" s="1"/>
  <c r="L784" i="2"/>
  <c r="N784" i="2" s="1"/>
  <c r="L785" i="2"/>
  <c r="N785" i="2" s="1"/>
  <c r="M785" i="2"/>
  <c r="L786" i="2"/>
  <c r="N786" i="2" s="1"/>
  <c r="L787" i="2"/>
  <c r="N787" i="2" s="1"/>
  <c r="L788" i="2"/>
  <c r="N788" i="2" s="1"/>
  <c r="M788" i="2"/>
  <c r="L789" i="2"/>
  <c r="N789" i="2" s="1"/>
  <c r="L790" i="2"/>
  <c r="N790" i="2" s="1"/>
  <c r="L791" i="2"/>
  <c r="N791" i="2" s="1"/>
  <c r="M791" i="2"/>
  <c r="L792" i="2"/>
  <c r="N792" i="2" s="1"/>
  <c r="L793" i="2"/>
  <c r="N793" i="2" s="1"/>
  <c r="L794" i="2"/>
  <c r="N794" i="2" s="1"/>
  <c r="M794" i="2"/>
  <c r="L795" i="2"/>
  <c r="N795" i="2" s="1"/>
  <c r="L796" i="2"/>
  <c r="N796" i="2" s="1"/>
  <c r="L797" i="2"/>
  <c r="N797" i="2" s="1"/>
  <c r="M797" i="2"/>
  <c r="L798" i="2"/>
  <c r="N798" i="2" s="1"/>
  <c r="L799" i="2"/>
  <c r="N799" i="2" s="1"/>
  <c r="L800" i="2"/>
  <c r="N800" i="2" s="1"/>
  <c r="M800" i="2"/>
  <c r="L801" i="2"/>
  <c r="N801" i="2" s="1"/>
  <c r="L802" i="2"/>
  <c r="N802" i="2" s="1"/>
  <c r="L803" i="2"/>
  <c r="N803" i="2" s="1"/>
  <c r="L804" i="2"/>
  <c r="N804" i="2" s="1"/>
  <c r="L805" i="2"/>
  <c r="M805" i="2" s="1"/>
  <c r="L806" i="2"/>
  <c r="N806" i="2" s="1"/>
  <c r="M806" i="2"/>
  <c r="L807" i="2"/>
  <c r="N807" i="2" s="1"/>
  <c r="L808" i="2"/>
  <c r="N808" i="2" s="1"/>
  <c r="L809" i="2"/>
  <c r="M809" i="2" s="1"/>
  <c r="L810" i="2"/>
  <c r="N810" i="2" s="1"/>
  <c r="L811" i="2"/>
  <c r="N811" i="2" s="1"/>
  <c r="L812" i="2"/>
  <c r="N812" i="2" s="1"/>
  <c r="L813" i="2"/>
  <c r="M813" i="2" s="1"/>
  <c r="L814" i="2"/>
  <c r="N814" i="2" s="1"/>
  <c r="M814" i="2"/>
  <c r="L815" i="2"/>
  <c r="N815" i="2" s="1"/>
  <c r="L816" i="2"/>
  <c r="N816" i="2" s="1"/>
  <c r="L817" i="2"/>
  <c r="M817" i="2" s="1"/>
  <c r="L818" i="2"/>
  <c r="N818" i="2" s="1"/>
  <c r="L819" i="2"/>
  <c r="N819" i="2" s="1"/>
  <c r="L820" i="2"/>
  <c r="N820" i="2" s="1"/>
  <c r="L821" i="2"/>
  <c r="M821" i="2" s="1"/>
  <c r="L822" i="2"/>
  <c r="N822" i="2" s="1"/>
  <c r="L823" i="2"/>
  <c r="N823" i="2" s="1"/>
  <c r="L824" i="2"/>
  <c r="N824" i="2" s="1"/>
  <c r="L825" i="2"/>
  <c r="M825" i="2" s="1"/>
  <c r="L826" i="2"/>
  <c r="N826" i="2" s="1"/>
  <c r="L827" i="2"/>
  <c r="N827" i="2" s="1"/>
  <c r="L828" i="2"/>
  <c r="N828" i="2" s="1"/>
  <c r="L829" i="2"/>
  <c r="M829" i="2" s="1"/>
  <c r="L830" i="2"/>
  <c r="N830" i="2" s="1"/>
  <c r="L831" i="2"/>
  <c r="N831" i="2" s="1"/>
  <c r="L832" i="2"/>
  <c r="N832" i="2" s="1"/>
  <c r="L833" i="2"/>
  <c r="M833" i="2" s="1"/>
  <c r="L834" i="2"/>
  <c r="N834" i="2" s="1"/>
  <c r="L835" i="2"/>
  <c r="N835" i="2" s="1"/>
  <c r="L836" i="2"/>
  <c r="N836" i="2" s="1"/>
  <c r="L837" i="2"/>
  <c r="M837" i="2" s="1"/>
  <c r="L838" i="2"/>
  <c r="N838" i="2" s="1"/>
  <c r="L839" i="2"/>
  <c r="N839" i="2" s="1"/>
  <c r="L840" i="2"/>
  <c r="N840" i="2" s="1"/>
  <c r="L841" i="2"/>
  <c r="M841" i="2" s="1"/>
  <c r="L842" i="2"/>
  <c r="N842" i="2" s="1"/>
  <c r="M842" i="2"/>
  <c r="L843" i="2"/>
  <c r="N843" i="2" s="1"/>
  <c r="L844" i="2"/>
  <c r="N844" i="2" s="1"/>
  <c r="L845" i="2"/>
  <c r="M845" i="2" s="1"/>
  <c r="L846" i="2"/>
  <c r="N846" i="2" s="1"/>
  <c r="L847" i="2"/>
  <c r="N847" i="2" s="1"/>
  <c r="L848" i="2"/>
  <c r="N848" i="2" s="1"/>
  <c r="L849" i="2"/>
  <c r="M849" i="2" s="1"/>
  <c r="L850" i="2"/>
  <c r="N850" i="2" s="1"/>
  <c r="M850" i="2"/>
  <c r="L851" i="2"/>
  <c r="N851" i="2" s="1"/>
  <c r="L852" i="2"/>
  <c r="N852" i="2" s="1"/>
  <c r="L853" i="2"/>
  <c r="M853" i="2" s="1"/>
  <c r="L854" i="2"/>
  <c r="N854" i="2" s="1"/>
  <c r="L855" i="2"/>
  <c r="N855" i="2" s="1"/>
  <c r="L856" i="2"/>
  <c r="N856" i="2" s="1"/>
  <c r="L857" i="2"/>
  <c r="M857" i="2" s="1"/>
  <c r="L858" i="2"/>
  <c r="N858" i="2" s="1"/>
  <c r="L859" i="2"/>
  <c r="N859" i="2" s="1"/>
  <c r="L860" i="2"/>
  <c r="N860" i="2" s="1"/>
  <c r="L861" i="2"/>
  <c r="M861" i="2" s="1"/>
  <c r="L862" i="2"/>
  <c r="N862" i="2" s="1"/>
  <c r="L863" i="2"/>
  <c r="N863" i="2" s="1"/>
  <c r="L864" i="2"/>
  <c r="N864" i="2" s="1"/>
  <c r="L865" i="2"/>
  <c r="M865" i="2" s="1"/>
  <c r="L866" i="2"/>
  <c r="N866" i="2" s="1"/>
  <c r="L867" i="2"/>
  <c r="N867" i="2" s="1"/>
  <c r="L868" i="2"/>
  <c r="N868" i="2" s="1"/>
  <c r="L869" i="2"/>
  <c r="M869" i="2" s="1"/>
  <c r="L870" i="2"/>
  <c r="N870" i="2" s="1"/>
  <c r="L871" i="2"/>
  <c r="N871" i="2" s="1"/>
  <c r="L872" i="2"/>
  <c r="N872" i="2" s="1"/>
  <c r="L873" i="2"/>
  <c r="M873" i="2" s="1"/>
  <c r="L874" i="2"/>
  <c r="N874" i="2" s="1"/>
  <c r="L875" i="2"/>
  <c r="N875" i="2" s="1"/>
  <c r="L876" i="2"/>
  <c r="N876" i="2" s="1"/>
  <c r="L877" i="2"/>
  <c r="M877" i="2" s="1"/>
  <c r="L878" i="2"/>
  <c r="N878" i="2" s="1"/>
  <c r="M878" i="2"/>
  <c r="L879" i="2"/>
  <c r="N879" i="2" s="1"/>
  <c r="L880" i="2"/>
  <c r="N880" i="2" s="1"/>
  <c r="L881" i="2"/>
  <c r="M881" i="2" s="1"/>
  <c r="L882" i="2"/>
  <c r="N882" i="2" s="1"/>
  <c r="L883" i="2"/>
  <c r="N883" i="2" s="1"/>
  <c r="L884" i="2"/>
  <c r="N884" i="2" s="1"/>
  <c r="L885" i="2"/>
  <c r="M885" i="2" s="1"/>
  <c r="L886" i="2"/>
  <c r="N886" i="2" s="1"/>
  <c r="M886" i="2"/>
  <c r="L887" i="2"/>
  <c r="N887" i="2" s="1"/>
  <c r="L888" i="2"/>
  <c r="N888" i="2" s="1"/>
  <c r="L889" i="2"/>
  <c r="M889" i="2" s="1"/>
  <c r="L890" i="2"/>
  <c r="N890" i="2" s="1"/>
  <c r="L891" i="2"/>
  <c r="N891" i="2" s="1"/>
  <c r="L892" i="2"/>
  <c r="N892" i="2" s="1"/>
  <c r="L893" i="2"/>
  <c r="M893" i="2" s="1"/>
  <c r="L894" i="2"/>
  <c r="N894" i="2" s="1"/>
  <c r="L895" i="2"/>
  <c r="N895" i="2" s="1"/>
  <c r="L896" i="2"/>
  <c r="N896" i="2" s="1"/>
  <c r="L897" i="2"/>
  <c r="M897" i="2" s="1"/>
  <c r="L898" i="2"/>
  <c r="N898" i="2" s="1"/>
  <c r="L899" i="2"/>
  <c r="N899" i="2" s="1"/>
  <c r="L900" i="2"/>
  <c r="N900" i="2" s="1"/>
  <c r="L901" i="2"/>
  <c r="M901" i="2" s="1"/>
  <c r="L902" i="2"/>
  <c r="N902" i="2" s="1"/>
  <c r="L903" i="2"/>
  <c r="N903" i="2" s="1"/>
  <c r="L904" i="2"/>
  <c r="N904" i="2" s="1"/>
  <c r="L905" i="2"/>
  <c r="M905" i="2" s="1"/>
  <c r="L906" i="2"/>
  <c r="N906" i="2" s="1"/>
  <c r="L907" i="2"/>
  <c r="N907" i="2" s="1"/>
  <c r="L908" i="2"/>
  <c r="N908" i="2" s="1"/>
  <c r="L909" i="2"/>
  <c r="M909" i="2" s="1"/>
  <c r="L910" i="2"/>
  <c r="N910" i="2" s="1"/>
  <c r="L911" i="2"/>
  <c r="N911" i="2" s="1"/>
  <c r="L912" i="2"/>
  <c r="N912" i="2" s="1"/>
  <c r="L913" i="2"/>
  <c r="M913" i="2" s="1"/>
  <c r="L914" i="2"/>
  <c r="N914" i="2" s="1"/>
  <c r="M914" i="2"/>
  <c r="L915" i="2"/>
  <c r="N915" i="2" s="1"/>
  <c r="L916" i="2"/>
  <c r="N916" i="2" s="1"/>
  <c r="L917" i="2"/>
  <c r="M917" i="2" s="1"/>
  <c r="L918" i="2"/>
  <c r="N918" i="2" s="1"/>
  <c r="L919" i="2"/>
  <c r="N919" i="2" s="1"/>
  <c r="L920" i="2"/>
  <c r="N920" i="2" s="1"/>
  <c r="L921" i="2"/>
  <c r="M921" i="2" s="1"/>
  <c r="L922" i="2"/>
  <c r="N922" i="2" s="1"/>
  <c r="M922" i="2"/>
  <c r="L923" i="2"/>
  <c r="N923" i="2" s="1"/>
  <c r="L924" i="2"/>
  <c r="N924" i="2" s="1"/>
  <c r="L925" i="2"/>
  <c r="M925" i="2" s="1"/>
  <c r="L926" i="2"/>
  <c r="N926" i="2" s="1"/>
  <c r="L927" i="2"/>
  <c r="N927" i="2" s="1"/>
  <c r="L928" i="2"/>
  <c r="N928" i="2" s="1"/>
  <c r="L929" i="2"/>
  <c r="M929" i="2" s="1"/>
  <c r="L930" i="2"/>
  <c r="N930" i="2" s="1"/>
  <c r="L931" i="2"/>
  <c r="N931" i="2" s="1"/>
  <c r="L932" i="2"/>
  <c r="N932" i="2" s="1"/>
  <c r="L933" i="2"/>
  <c r="M933" i="2" s="1"/>
  <c r="L934" i="2"/>
  <c r="N934" i="2" s="1"/>
  <c r="L935" i="2"/>
  <c r="N935" i="2" s="1"/>
  <c r="L936" i="2"/>
  <c r="N936" i="2" s="1"/>
  <c r="L937" i="2"/>
  <c r="M937" i="2" s="1"/>
  <c r="L938" i="2"/>
  <c r="N938" i="2" s="1"/>
  <c r="L939" i="2"/>
  <c r="N939" i="2" s="1"/>
  <c r="L940" i="2"/>
  <c r="N940" i="2" s="1"/>
  <c r="L941" i="2"/>
  <c r="M941" i="2" s="1"/>
  <c r="L942" i="2"/>
  <c r="N942" i="2" s="1"/>
  <c r="L943" i="2"/>
  <c r="N943" i="2" s="1"/>
  <c r="L944" i="2"/>
  <c r="N944" i="2" s="1"/>
  <c r="L945" i="2"/>
  <c r="M945" i="2" s="1"/>
  <c r="L946" i="2"/>
  <c r="N946" i="2" s="1"/>
  <c r="L947" i="2"/>
  <c r="N947" i="2" s="1"/>
  <c r="L948" i="2"/>
  <c r="N948" i="2" s="1"/>
  <c r="L949" i="2"/>
  <c r="M949" i="2" s="1"/>
  <c r="L950" i="2"/>
  <c r="N950" i="2" s="1"/>
  <c r="M950" i="2"/>
  <c r="L951" i="2"/>
  <c r="N951" i="2" s="1"/>
  <c r="L952" i="2"/>
  <c r="N952" i="2" s="1"/>
  <c r="L953" i="2"/>
  <c r="M953" i="2" s="1"/>
  <c r="L954" i="2"/>
  <c r="N954" i="2" s="1"/>
  <c r="L955" i="2"/>
  <c r="N955" i="2" s="1"/>
  <c r="L956" i="2"/>
  <c r="N956" i="2" s="1"/>
  <c r="L957" i="2"/>
  <c r="N957" i="2" s="1"/>
  <c r="L958" i="2"/>
  <c r="N958" i="2" s="1"/>
  <c r="L959" i="2"/>
  <c r="N959" i="2" s="1"/>
  <c r="L960" i="2"/>
  <c r="N960" i="2" s="1"/>
  <c r="L961" i="2"/>
  <c r="N961" i="2" s="1"/>
  <c r="L962" i="2"/>
  <c r="N962" i="2" s="1"/>
  <c r="L963" i="2"/>
  <c r="N963" i="2" s="1"/>
  <c r="L964" i="2"/>
  <c r="N964" i="2" s="1"/>
  <c r="L965" i="2"/>
  <c r="N965" i="2" s="1"/>
  <c r="L966" i="2"/>
  <c r="N966" i="2" s="1"/>
  <c r="L967" i="2"/>
  <c r="N967" i="2" s="1"/>
  <c r="L968" i="2"/>
  <c r="N968" i="2" s="1"/>
  <c r="L969" i="2"/>
  <c r="N969" i="2" s="1"/>
  <c r="L970" i="2"/>
  <c r="N970" i="2" s="1"/>
  <c r="L971" i="2"/>
  <c r="N971" i="2" s="1"/>
  <c r="L972" i="2"/>
  <c r="N972" i="2" s="1"/>
  <c r="L973" i="2"/>
  <c r="N973" i="2" s="1"/>
  <c r="L974" i="2"/>
  <c r="N974" i="2" s="1"/>
  <c r="L975" i="2"/>
  <c r="N975" i="2" s="1"/>
  <c r="L976" i="2"/>
  <c r="N976" i="2" s="1"/>
  <c r="L977" i="2"/>
  <c r="N977" i="2" s="1"/>
  <c r="L978" i="2"/>
  <c r="N978" i="2" s="1"/>
  <c r="L979" i="2"/>
  <c r="N979" i="2" s="1"/>
  <c r="L980" i="2"/>
  <c r="N980" i="2" s="1"/>
  <c r="L981" i="2"/>
  <c r="N981" i="2" s="1"/>
  <c r="L982" i="2"/>
  <c r="N982" i="2" s="1"/>
  <c r="L983" i="2"/>
  <c r="N983" i="2" s="1"/>
  <c r="L984" i="2"/>
  <c r="N984" i="2" s="1"/>
  <c r="L985" i="2"/>
  <c r="N985" i="2" s="1"/>
  <c r="L986" i="2"/>
  <c r="N986" i="2" s="1"/>
  <c r="L987" i="2"/>
  <c r="N987" i="2" s="1"/>
  <c r="L988" i="2"/>
  <c r="N988" i="2" s="1"/>
  <c r="L989" i="2"/>
  <c r="N989" i="2" s="1"/>
  <c r="H530" i="2"/>
  <c r="G532" i="2"/>
  <c r="H535" i="2"/>
  <c r="H536" i="2"/>
  <c r="G537" i="2"/>
  <c r="H538" i="2"/>
  <c r="H539" i="2"/>
  <c r="G541" i="2"/>
  <c r="G545" i="2"/>
  <c r="H548" i="2"/>
  <c r="H551" i="2"/>
  <c r="H556" i="2"/>
  <c r="H557" i="2"/>
  <c r="H561" i="2"/>
  <c r="H569" i="2"/>
  <c r="G571" i="2"/>
  <c r="G572" i="2"/>
  <c r="G574" i="2"/>
  <c r="H585" i="2"/>
  <c r="G596" i="2"/>
  <c r="G597" i="2"/>
  <c r="H598" i="2"/>
  <c r="H606" i="2"/>
  <c r="G607" i="2"/>
  <c r="G609" i="2"/>
  <c r="G611" i="2"/>
  <c r="G612" i="2"/>
  <c r="H618" i="2"/>
  <c r="H619" i="2"/>
  <c r="H627" i="2"/>
  <c r="G628" i="2"/>
  <c r="G629" i="2"/>
  <c r="H633" i="2"/>
  <c r="H636" i="2"/>
  <c r="H638" i="2"/>
  <c r="H639" i="2"/>
  <c r="H641" i="2"/>
  <c r="G642" i="2"/>
  <c r="H644" i="2"/>
  <c r="G649" i="2"/>
  <c r="H650" i="2"/>
  <c r="G659" i="2"/>
  <c r="H660" i="2"/>
  <c r="G663" i="2"/>
  <c r="G666" i="2"/>
  <c r="H671" i="2"/>
  <c r="H675" i="2"/>
  <c r="G677" i="2"/>
  <c r="G678" i="2"/>
  <c r="H685" i="2"/>
  <c r="H687" i="2"/>
  <c r="H689" i="2"/>
  <c r="H692" i="2"/>
  <c r="G698" i="2"/>
  <c r="H701" i="2"/>
  <c r="G703" i="2"/>
  <c r="G706" i="2"/>
  <c r="G708" i="2"/>
  <c r="G715" i="2"/>
  <c r="H721" i="2"/>
  <c r="G724" i="2"/>
  <c r="G735" i="2"/>
  <c r="H737" i="2"/>
  <c r="G739" i="2"/>
  <c r="G740" i="2"/>
  <c r="H743" i="2"/>
  <c r="H744" i="2"/>
  <c r="G747" i="2"/>
  <c r="G749" i="2"/>
  <c r="H752" i="2"/>
  <c r="G753" i="2"/>
  <c r="H754" i="2"/>
  <c r="H763" i="2"/>
  <c r="G765" i="2"/>
  <c r="H772" i="2"/>
  <c r="G784" i="2"/>
  <c r="H785" i="2"/>
  <c r="G787" i="2"/>
  <c r="H788" i="2"/>
  <c r="H794" i="2"/>
  <c r="H796" i="2"/>
  <c r="H803" i="2"/>
  <c r="H807" i="2"/>
  <c r="G809" i="2"/>
  <c r="G811" i="2"/>
  <c r="G812" i="2"/>
  <c r="H813" i="2"/>
  <c r="H814" i="2"/>
  <c r="H815" i="2"/>
  <c r="H817" i="2"/>
  <c r="H818" i="2"/>
  <c r="H819" i="2"/>
  <c r="G821" i="2"/>
  <c r="G823" i="2"/>
  <c r="H829" i="2"/>
  <c r="G832" i="2"/>
  <c r="G839" i="2"/>
  <c r="H842" i="2"/>
  <c r="H843" i="2"/>
  <c r="G847" i="2"/>
  <c r="H849" i="2"/>
  <c r="H852" i="2"/>
  <c r="H854" i="2"/>
  <c r="G855" i="2"/>
  <c r="G858" i="2"/>
  <c r="H859" i="2"/>
  <c r="H872" i="2"/>
  <c r="H873" i="2"/>
  <c r="G874" i="2"/>
  <c r="H875" i="2"/>
  <c r="H878" i="2"/>
  <c r="G879" i="2"/>
  <c r="G882" i="2"/>
  <c r="G884" i="2"/>
  <c r="H885" i="2"/>
  <c r="G886" i="2"/>
  <c r="H890" i="2"/>
  <c r="G891" i="2"/>
  <c r="H892" i="2"/>
  <c r="G894" i="2"/>
  <c r="G898" i="2"/>
  <c r="G903" i="2"/>
  <c r="H904" i="2"/>
  <c r="G905" i="2"/>
  <c r="H911" i="2"/>
  <c r="H912" i="2"/>
  <c r="G915" i="2"/>
  <c r="G918" i="2"/>
  <c r="G920" i="2"/>
  <c r="H921" i="2"/>
  <c r="H924" i="2"/>
  <c r="G927" i="2"/>
  <c r="H929" i="2"/>
  <c r="G930" i="2"/>
  <c r="H931" i="2"/>
  <c r="H935" i="2"/>
  <c r="H938" i="2"/>
  <c r="H940" i="2"/>
  <c r="H941" i="2"/>
  <c r="G943" i="2"/>
  <c r="G944" i="2"/>
  <c r="H947" i="2"/>
  <c r="H950" i="2"/>
  <c r="G957" i="2"/>
  <c r="G959" i="2"/>
  <c r="G962" i="2"/>
  <c r="H964" i="2"/>
  <c r="H966" i="2"/>
  <c r="H970" i="2"/>
  <c r="G974" i="2"/>
  <c r="G975" i="2"/>
  <c r="G977" i="2"/>
  <c r="H978" i="2"/>
  <c r="H979" i="2"/>
  <c r="G980" i="2"/>
  <c r="H982" i="2"/>
  <c r="H984" i="2"/>
  <c r="G98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C5" i="1"/>
  <c r="I5" i="1" s="1"/>
  <c r="C2" i="1"/>
  <c r="I2" i="1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2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2" i="1"/>
  <c r="C978" i="1"/>
  <c r="I978" i="1" s="1"/>
  <c r="K548" i="1"/>
  <c r="L548" i="1"/>
  <c r="M548" i="1"/>
  <c r="N548" i="1"/>
  <c r="K549" i="1"/>
  <c r="L549" i="1"/>
  <c r="M549" i="1"/>
  <c r="N549" i="1"/>
  <c r="K550" i="1"/>
  <c r="L550" i="1"/>
  <c r="M550" i="1"/>
  <c r="N550" i="1"/>
  <c r="K551" i="1"/>
  <c r="L551" i="1"/>
  <c r="M551" i="1"/>
  <c r="N551" i="1"/>
  <c r="K552" i="1"/>
  <c r="L552" i="1"/>
  <c r="M552" i="1"/>
  <c r="N552" i="1"/>
  <c r="K553" i="1"/>
  <c r="L553" i="1"/>
  <c r="M553" i="1"/>
  <c r="N553" i="1"/>
  <c r="K554" i="1"/>
  <c r="L554" i="1"/>
  <c r="M554" i="1"/>
  <c r="N554" i="1"/>
  <c r="K555" i="1"/>
  <c r="L555" i="1"/>
  <c r="M555" i="1"/>
  <c r="N555" i="1"/>
  <c r="K556" i="1"/>
  <c r="L556" i="1"/>
  <c r="M556" i="1"/>
  <c r="N556" i="1"/>
  <c r="K557" i="1"/>
  <c r="L557" i="1"/>
  <c r="M557" i="1"/>
  <c r="N557" i="1"/>
  <c r="K558" i="1"/>
  <c r="L558" i="1"/>
  <c r="M558" i="1"/>
  <c r="N558" i="1"/>
  <c r="K559" i="1"/>
  <c r="L559" i="1"/>
  <c r="M559" i="1"/>
  <c r="N559" i="1"/>
  <c r="K560" i="1"/>
  <c r="L560" i="1"/>
  <c r="M560" i="1"/>
  <c r="N560" i="1"/>
  <c r="K561" i="1"/>
  <c r="L561" i="1"/>
  <c r="M561" i="1"/>
  <c r="N561" i="1"/>
  <c r="K562" i="1"/>
  <c r="L562" i="1"/>
  <c r="M562" i="1"/>
  <c r="N562" i="1"/>
  <c r="K563" i="1"/>
  <c r="L563" i="1"/>
  <c r="M563" i="1"/>
  <c r="N563" i="1"/>
  <c r="K564" i="1"/>
  <c r="L564" i="1"/>
  <c r="M564" i="1"/>
  <c r="N564" i="1"/>
  <c r="K565" i="1"/>
  <c r="L565" i="1"/>
  <c r="M565" i="1"/>
  <c r="N565" i="1"/>
  <c r="K566" i="1"/>
  <c r="L566" i="1"/>
  <c r="M566" i="1"/>
  <c r="N566" i="1"/>
  <c r="K567" i="1"/>
  <c r="L567" i="1"/>
  <c r="M567" i="1"/>
  <c r="N567" i="1"/>
  <c r="K568" i="1"/>
  <c r="L568" i="1"/>
  <c r="M568" i="1"/>
  <c r="N568" i="1"/>
  <c r="K569" i="1"/>
  <c r="L569" i="1"/>
  <c r="M569" i="1"/>
  <c r="N569" i="1"/>
  <c r="K570" i="1"/>
  <c r="L570" i="1"/>
  <c r="M570" i="1"/>
  <c r="N570" i="1"/>
  <c r="K571" i="1"/>
  <c r="L571" i="1"/>
  <c r="M571" i="1"/>
  <c r="N571" i="1"/>
  <c r="K572" i="1"/>
  <c r="L572" i="1"/>
  <c r="M572" i="1"/>
  <c r="N572" i="1"/>
  <c r="K573" i="1"/>
  <c r="L573" i="1"/>
  <c r="M573" i="1"/>
  <c r="N573" i="1"/>
  <c r="K574" i="1"/>
  <c r="L574" i="1"/>
  <c r="M574" i="1"/>
  <c r="N574" i="1"/>
  <c r="K575" i="1"/>
  <c r="L575" i="1"/>
  <c r="M575" i="1"/>
  <c r="N575" i="1"/>
  <c r="K576" i="1"/>
  <c r="L576" i="1"/>
  <c r="M576" i="1"/>
  <c r="N576" i="1"/>
  <c r="K577" i="1"/>
  <c r="L577" i="1"/>
  <c r="M577" i="1"/>
  <c r="N577" i="1"/>
  <c r="K578" i="1"/>
  <c r="L578" i="1"/>
  <c r="M578" i="1"/>
  <c r="N578" i="1"/>
  <c r="K579" i="1"/>
  <c r="L579" i="1"/>
  <c r="M579" i="1"/>
  <c r="N579" i="1"/>
  <c r="K580" i="1"/>
  <c r="L580" i="1"/>
  <c r="M580" i="1"/>
  <c r="N580" i="1"/>
  <c r="K581" i="1"/>
  <c r="L581" i="1"/>
  <c r="M581" i="1"/>
  <c r="N581" i="1"/>
  <c r="K582" i="1"/>
  <c r="L582" i="1"/>
  <c r="M582" i="1"/>
  <c r="N582" i="1"/>
  <c r="K583" i="1"/>
  <c r="L583" i="1"/>
  <c r="M583" i="1"/>
  <c r="N583" i="1"/>
  <c r="K584" i="1"/>
  <c r="L584" i="1"/>
  <c r="M584" i="1"/>
  <c r="N584" i="1"/>
  <c r="K585" i="1"/>
  <c r="L585" i="1"/>
  <c r="M585" i="1"/>
  <c r="N585" i="1"/>
  <c r="K586" i="1"/>
  <c r="L586" i="1"/>
  <c r="M586" i="1"/>
  <c r="N586" i="1"/>
  <c r="K587" i="1"/>
  <c r="L587" i="1"/>
  <c r="M587" i="1"/>
  <c r="N587" i="1"/>
  <c r="K588" i="1"/>
  <c r="L588" i="1"/>
  <c r="M588" i="1"/>
  <c r="N588" i="1"/>
  <c r="K589" i="1"/>
  <c r="L589" i="1"/>
  <c r="M589" i="1"/>
  <c r="N589" i="1"/>
  <c r="K590" i="1"/>
  <c r="L590" i="1"/>
  <c r="M590" i="1"/>
  <c r="N590" i="1"/>
  <c r="K591" i="1"/>
  <c r="L591" i="1"/>
  <c r="M591" i="1"/>
  <c r="N591" i="1"/>
  <c r="K592" i="1"/>
  <c r="L592" i="1"/>
  <c r="M592" i="1"/>
  <c r="N592" i="1"/>
  <c r="K593" i="1"/>
  <c r="L593" i="1"/>
  <c r="M593" i="1"/>
  <c r="N593" i="1"/>
  <c r="K594" i="1"/>
  <c r="L594" i="1"/>
  <c r="M594" i="1"/>
  <c r="N594" i="1"/>
  <c r="K595" i="1"/>
  <c r="L595" i="1"/>
  <c r="M595" i="1"/>
  <c r="N595" i="1"/>
  <c r="K596" i="1"/>
  <c r="L596" i="1"/>
  <c r="M596" i="1"/>
  <c r="N596" i="1"/>
  <c r="K597" i="1"/>
  <c r="L597" i="1"/>
  <c r="M597" i="1"/>
  <c r="N597" i="1"/>
  <c r="K598" i="1"/>
  <c r="L598" i="1"/>
  <c r="M598" i="1"/>
  <c r="N598" i="1"/>
  <c r="K599" i="1"/>
  <c r="L599" i="1"/>
  <c r="M599" i="1"/>
  <c r="N599" i="1"/>
  <c r="K600" i="1"/>
  <c r="L600" i="1"/>
  <c r="M600" i="1"/>
  <c r="N600" i="1"/>
  <c r="K601" i="1"/>
  <c r="L601" i="1"/>
  <c r="M601" i="1"/>
  <c r="N601" i="1"/>
  <c r="K602" i="1"/>
  <c r="L602" i="1"/>
  <c r="M602" i="1"/>
  <c r="N602" i="1"/>
  <c r="K603" i="1"/>
  <c r="L603" i="1"/>
  <c r="M603" i="1"/>
  <c r="N603" i="1"/>
  <c r="K604" i="1"/>
  <c r="L604" i="1"/>
  <c r="M604" i="1"/>
  <c r="N604" i="1"/>
  <c r="K605" i="1"/>
  <c r="L605" i="1"/>
  <c r="M605" i="1"/>
  <c r="N605" i="1"/>
  <c r="K606" i="1"/>
  <c r="L606" i="1"/>
  <c r="M606" i="1"/>
  <c r="N606" i="1"/>
  <c r="K607" i="1"/>
  <c r="L607" i="1"/>
  <c r="M607" i="1"/>
  <c r="N607" i="1"/>
  <c r="K608" i="1"/>
  <c r="L608" i="1"/>
  <c r="M608" i="1"/>
  <c r="N608" i="1"/>
  <c r="K609" i="1"/>
  <c r="L609" i="1"/>
  <c r="M609" i="1"/>
  <c r="N609" i="1"/>
  <c r="K610" i="1"/>
  <c r="L610" i="1"/>
  <c r="M610" i="1"/>
  <c r="N610" i="1"/>
  <c r="K611" i="1"/>
  <c r="L611" i="1"/>
  <c r="M611" i="1"/>
  <c r="N611" i="1"/>
  <c r="K612" i="1"/>
  <c r="L612" i="1"/>
  <c r="M612" i="1"/>
  <c r="N612" i="1"/>
  <c r="K613" i="1"/>
  <c r="L613" i="1"/>
  <c r="M613" i="1"/>
  <c r="N613" i="1"/>
  <c r="K614" i="1"/>
  <c r="L614" i="1"/>
  <c r="M614" i="1"/>
  <c r="N614" i="1"/>
  <c r="K615" i="1"/>
  <c r="L615" i="1"/>
  <c r="M615" i="1"/>
  <c r="N615" i="1"/>
  <c r="K616" i="1"/>
  <c r="L616" i="1"/>
  <c r="M616" i="1"/>
  <c r="N616" i="1"/>
  <c r="K617" i="1"/>
  <c r="L617" i="1"/>
  <c r="M617" i="1"/>
  <c r="N617" i="1"/>
  <c r="K618" i="1"/>
  <c r="L618" i="1"/>
  <c r="M618" i="1"/>
  <c r="N618" i="1"/>
  <c r="K619" i="1"/>
  <c r="L619" i="1"/>
  <c r="M619" i="1"/>
  <c r="N619" i="1"/>
  <c r="K620" i="1"/>
  <c r="L620" i="1"/>
  <c r="M620" i="1"/>
  <c r="N620" i="1"/>
  <c r="K621" i="1"/>
  <c r="L621" i="1"/>
  <c r="M621" i="1"/>
  <c r="N621" i="1"/>
  <c r="K622" i="1"/>
  <c r="L622" i="1"/>
  <c r="M622" i="1"/>
  <c r="N622" i="1"/>
  <c r="K623" i="1"/>
  <c r="L623" i="1"/>
  <c r="M623" i="1"/>
  <c r="N623" i="1"/>
  <c r="K624" i="1"/>
  <c r="L624" i="1"/>
  <c r="M624" i="1"/>
  <c r="N624" i="1"/>
  <c r="K625" i="1"/>
  <c r="L625" i="1"/>
  <c r="M625" i="1"/>
  <c r="N625" i="1"/>
  <c r="K626" i="1"/>
  <c r="L626" i="1"/>
  <c r="M626" i="1"/>
  <c r="N626" i="1"/>
  <c r="K627" i="1"/>
  <c r="L627" i="1"/>
  <c r="M627" i="1"/>
  <c r="N627" i="1"/>
  <c r="K628" i="1"/>
  <c r="L628" i="1"/>
  <c r="M628" i="1"/>
  <c r="N628" i="1"/>
  <c r="K629" i="1"/>
  <c r="L629" i="1"/>
  <c r="M629" i="1"/>
  <c r="N629" i="1"/>
  <c r="K630" i="1"/>
  <c r="L630" i="1"/>
  <c r="M630" i="1"/>
  <c r="N630" i="1"/>
  <c r="K631" i="1"/>
  <c r="L631" i="1"/>
  <c r="M631" i="1"/>
  <c r="N631" i="1"/>
  <c r="K632" i="1"/>
  <c r="L632" i="1"/>
  <c r="M632" i="1"/>
  <c r="N632" i="1"/>
  <c r="K633" i="1"/>
  <c r="L633" i="1"/>
  <c r="M633" i="1"/>
  <c r="N633" i="1"/>
  <c r="K634" i="1"/>
  <c r="L634" i="1"/>
  <c r="M634" i="1"/>
  <c r="N634" i="1"/>
  <c r="K635" i="1"/>
  <c r="L635" i="1"/>
  <c r="M635" i="1"/>
  <c r="N635" i="1"/>
  <c r="K636" i="1"/>
  <c r="L636" i="1"/>
  <c r="M636" i="1"/>
  <c r="N636" i="1"/>
  <c r="K637" i="1"/>
  <c r="L637" i="1"/>
  <c r="M637" i="1"/>
  <c r="N637" i="1"/>
  <c r="K638" i="1"/>
  <c r="L638" i="1"/>
  <c r="M638" i="1"/>
  <c r="N638" i="1"/>
  <c r="K639" i="1"/>
  <c r="L639" i="1"/>
  <c r="M639" i="1"/>
  <c r="N639" i="1"/>
  <c r="K640" i="1"/>
  <c r="L640" i="1"/>
  <c r="M640" i="1"/>
  <c r="N640" i="1"/>
  <c r="K641" i="1"/>
  <c r="L641" i="1"/>
  <c r="M641" i="1"/>
  <c r="N641" i="1"/>
  <c r="K642" i="1"/>
  <c r="L642" i="1"/>
  <c r="M642" i="1"/>
  <c r="N642" i="1"/>
  <c r="K643" i="1"/>
  <c r="L643" i="1"/>
  <c r="M643" i="1"/>
  <c r="N643" i="1"/>
  <c r="K644" i="1"/>
  <c r="L644" i="1"/>
  <c r="M644" i="1"/>
  <c r="N644" i="1"/>
  <c r="K645" i="1"/>
  <c r="L645" i="1"/>
  <c r="M645" i="1"/>
  <c r="N645" i="1"/>
  <c r="K646" i="1"/>
  <c r="L646" i="1"/>
  <c r="M646" i="1"/>
  <c r="N646" i="1"/>
  <c r="K647" i="1"/>
  <c r="L647" i="1"/>
  <c r="M647" i="1"/>
  <c r="N647" i="1"/>
  <c r="K648" i="1"/>
  <c r="L648" i="1"/>
  <c r="M648" i="1"/>
  <c r="N648" i="1"/>
  <c r="K649" i="1"/>
  <c r="L649" i="1"/>
  <c r="M649" i="1"/>
  <c r="N649" i="1"/>
  <c r="K650" i="1"/>
  <c r="L650" i="1"/>
  <c r="M650" i="1"/>
  <c r="N650" i="1"/>
  <c r="K651" i="1"/>
  <c r="L651" i="1"/>
  <c r="M651" i="1"/>
  <c r="N651" i="1"/>
  <c r="K652" i="1"/>
  <c r="L652" i="1"/>
  <c r="M652" i="1"/>
  <c r="N652" i="1"/>
  <c r="K653" i="1"/>
  <c r="L653" i="1"/>
  <c r="M653" i="1"/>
  <c r="N653" i="1"/>
  <c r="K654" i="1"/>
  <c r="L654" i="1"/>
  <c r="M654" i="1"/>
  <c r="N654" i="1"/>
  <c r="K655" i="1"/>
  <c r="L655" i="1"/>
  <c r="M655" i="1"/>
  <c r="N655" i="1"/>
  <c r="K656" i="1"/>
  <c r="L656" i="1"/>
  <c r="M656" i="1"/>
  <c r="N656" i="1"/>
  <c r="K657" i="1"/>
  <c r="L657" i="1"/>
  <c r="M657" i="1"/>
  <c r="N657" i="1"/>
  <c r="K658" i="1"/>
  <c r="L658" i="1"/>
  <c r="M658" i="1"/>
  <c r="N658" i="1"/>
  <c r="K659" i="1"/>
  <c r="L659" i="1"/>
  <c r="M659" i="1"/>
  <c r="N659" i="1"/>
  <c r="K660" i="1"/>
  <c r="L660" i="1"/>
  <c r="M660" i="1"/>
  <c r="N660" i="1"/>
  <c r="K661" i="1"/>
  <c r="L661" i="1"/>
  <c r="M661" i="1"/>
  <c r="N661" i="1"/>
  <c r="K662" i="1"/>
  <c r="L662" i="1"/>
  <c r="M662" i="1"/>
  <c r="N662" i="1"/>
  <c r="K663" i="1"/>
  <c r="L663" i="1"/>
  <c r="M663" i="1"/>
  <c r="N663" i="1"/>
  <c r="K664" i="1"/>
  <c r="L664" i="1"/>
  <c r="M664" i="1"/>
  <c r="N664" i="1"/>
  <c r="K665" i="1"/>
  <c r="L665" i="1"/>
  <c r="M665" i="1"/>
  <c r="N665" i="1"/>
  <c r="K666" i="1"/>
  <c r="L666" i="1"/>
  <c r="M666" i="1"/>
  <c r="N666" i="1"/>
  <c r="K667" i="1"/>
  <c r="L667" i="1"/>
  <c r="M667" i="1"/>
  <c r="N667" i="1"/>
  <c r="K668" i="1"/>
  <c r="L668" i="1"/>
  <c r="M668" i="1"/>
  <c r="N668" i="1"/>
  <c r="K669" i="1"/>
  <c r="L669" i="1"/>
  <c r="M669" i="1"/>
  <c r="N669" i="1"/>
  <c r="K670" i="1"/>
  <c r="L670" i="1"/>
  <c r="M670" i="1"/>
  <c r="N670" i="1"/>
  <c r="K671" i="1"/>
  <c r="L671" i="1"/>
  <c r="M671" i="1"/>
  <c r="N671" i="1"/>
  <c r="K672" i="1"/>
  <c r="L672" i="1"/>
  <c r="M672" i="1"/>
  <c r="N672" i="1"/>
  <c r="K673" i="1"/>
  <c r="L673" i="1"/>
  <c r="M673" i="1"/>
  <c r="N673" i="1"/>
  <c r="K674" i="1"/>
  <c r="L674" i="1"/>
  <c r="M674" i="1"/>
  <c r="N674" i="1"/>
  <c r="K675" i="1"/>
  <c r="L675" i="1"/>
  <c r="M675" i="1"/>
  <c r="N675" i="1"/>
  <c r="K676" i="1"/>
  <c r="L676" i="1"/>
  <c r="M676" i="1"/>
  <c r="N676" i="1"/>
  <c r="K677" i="1"/>
  <c r="L677" i="1"/>
  <c r="M677" i="1"/>
  <c r="N677" i="1"/>
  <c r="K678" i="1"/>
  <c r="L678" i="1"/>
  <c r="M678" i="1"/>
  <c r="N678" i="1"/>
  <c r="K679" i="1"/>
  <c r="L679" i="1"/>
  <c r="M679" i="1"/>
  <c r="N679" i="1"/>
  <c r="K680" i="1"/>
  <c r="L680" i="1"/>
  <c r="M680" i="1"/>
  <c r="N680" i="1"/>
  <c r="K681" i="1"/>
  <c r="L681" i="1"/>
  <c r="M681" i="1"/>
  <c r="N681" i="1"/>
  <c r="K682" i="1"/>
  <c r="L682" i="1"/>
  <c r="M682" i="1"/>
  <c r="N682" i="1"/>
  <c r="K683" i="1"/>
  <c r="L683" i="1"/>
  <c r="M683" i="1"/>
  <c r="N683" i="1"/>
  <c r="K684" i="1"/>
  <c r="L684" i="1"/>
  <c r="M684" i="1"/>
  <c r="N684" i="1"/>
  <c r="K685" i="1"/>
  <c r="L685" i="1"/>
  <c r="M685" i="1"/>
  <c r="N685" i="1"/>
  <c r="K686" i="1"/>
  <c r="L686" i="1"/>
  <c r="M686" i="1"/>
  <c r="N686" i="1"/>
  <c r="K687" i="1"/>
  <c r="L687" i="1"/>
  <c r="M687" i="1"/>
  <c r="N687" i="1"/>
  <c r="K688" i="1"/>
  <c r="L688" i="1"/>
  <c r="M688" i="1"/>
  <c r="N688" i="1"/>
  <c r="K689" i="1"/>
  <c r="L689" i="1"/>
  <c r="M689" i="1"/>
  <c r="N689" i="1"/>
  <c r="K690" i="1"/>
  <c r="L690" i="1"/>
  <c r="M690" i="1"/>
  <c r="N690" i="1"/>
  <c r="K691" i="1"/>
  <c r="L691" i="1"/>
  <c r="M691" i="1"/>
  <c r="N691" i="1"/>
  <c r="K692" i="1"/>
  <c r="L692" i="1"/>
  <c r="M692" i="1"/>
  <c r="N692" i="1"/>
  <c r="K693" i="1"/>
  <c r="L693" i="1"/>
  <c r="M693" i="1"/>
  <c r="N693" i="1"/>
  <c r="K694" i="1"/>
  <c r="L694" i="1"/>
  <c r="M694" i="1"/>
  <c r="N694" i="1"/>
  <c r="K695" i="1"/>
  <c r="L695" i="1"/>
  <c r="M695" i="1"/>
  <c r="N695" i="1"/>
  <c r="K696" i="1"/>
  <c r="L696" i="1"/>
  <c r="M696" i="1"/>
  <c r="N696" i="1"/>
  <c r="K697" i="1"/>
  <c r="L697" i="1"/>
  <c r="M697" i="1"/>
  <c r="N697" i="1"/>
  <c r="K698" i="1"/>
  <c r="L698" i="1"/>
  <c r="M698" i="1"/>
  <c r="N698" i="1"/>
  <c r="K699" i="1"/>
  <c r="L699" i="1"/>
  <c r="M699" i="1"/>
  <c r="N699" i="1"/>
  <c r="K700" i="1"/>
  <c r="L700" i="1"/>
  <c r="M700" i="1"/>
  <c r="N700" i="1"/>
  <c r="K701" i="1"/>
  <c r="L701" i="1"/>
  <c r="M701" i="1"/>
  <c r="N701" i="1"/>
  <c r="K702" i="1"/>
  <c r="L702" i="1"/>
  <c r="M702" i="1"/>
  <c r="N702" i="1"/>
  <c r="K703" i="1"/>
  <c r="L703" i="1"/>
  <c r="M703" i="1"/>
  <c r="N703" i="1"/>
  <c r="K704" i="1"/>
  <c r="L704" i="1"/>
  <c r="M704" i="1"/>
  <c r="N704" i="1"/>
  <c r="K705" i="1"/>
  <c r="L705" i="1"/>
  <c r="M705" i="1"/>
  <c r="N705" i="1"/>
  <c r="K706" i="1"/>
  <c r="L706" i="1"/>
  <c r="M706" i="1"/>
  <c r="N706" i="1"/>
  <c r="K707" i="1"/>
  <c r="L707" i="1"/>
  <c r="M707" i="1"/>
  <c r="N707" i="1"/>
  <c r="K708" i="1"/>
  <c r="L708" i="1"/>
  <c r="M708" i="1"/>
  <c r="N708" i="1"/>
  <c r="K709" i="1"/>
  <c r="L709" i="1"/>
  <c r="M709" i="1"/>
  <c r="N709" i="1"/>
  <c r="K710" i="1"/>
  <c r="L710" i="1"/>
  <c r="M710" i="1"/>
  <c r="N710" i="1"/>
  <c r="K711" i="1"/>
  <c r="L711" i="1"/>
  <c r="M711" i="1"/>
  <c r="N711" i="1"/>
  <c r="K712" i="1"/>
  <c r="L712" i="1"/>
  <c r="M712" i="1"/>
  <c r="N712" i="1"/>
  <c r="K713" i="1"/>
  <c r="L713" i="1"/>
  <c r="M713" i="1"/>
  <c r="N713" i="1"/>
  <c r="K714" i="1"/>
  <c r="L714" i="1"/>
  <c r="M714" i="1"/>
  <c r="N714" i="1"/>
  <c r="K715" i="1"/>
  <c r="L715" i="1"/>
  <c r="M715" i="1"/>
  <c r="N715" i="1"/>
  <c r="K716" i="1"/>
  <c r="L716" i="1"/>
  <c r="M716" i="1"/>
  <c r="N716" i="1"/>
  <c r="K717" i="1"/>
  <c r="L717" i="1"/>
  <c r="M717" i="1"/>
  <c r="N717" i="1"/>
  <c r="K718" i="1"/>
  <c r="L718" i="1"/>
  <c r="M718" i="1"/>
  <c r="N718" i="1"/>
  <c r="K719" i="1"/>
  <c r="L719" i="1"/>
  <c r="M719" i="1"/>
  <c r="N719" i="1"/>
  <c r="K720" i="1"/>
  <c r="L720" i="1"/>
  <c r="M720" i="1"/>
  <c r="N720" i="1"/>
  <c r="K721" i="1"/>
  <c r="L721" i="1"/>
  <c r="M721" i="1"/>
  <c r="N721" i="1"/>
  <c r="K722" i="1"/>
  <c r="L722" i="1"/>
  <c r="M722" i="1"/>
  <c r="N722" i="1"/>
  <c r="K723" i="1"/>
  <c r="L723" i="1"/>
  <c r="M723" i="1"/>
  <c r="N723" i="1"/>
  <c r="K724" i="1"/>
  <c r="L724" i="1"/>
  <c r="M724" i="1"/>
  <c r="N724" i="1"/>
  <c r="K725" i="1"/>
  <c r="L725" i="1"/>
  <c r="M725" i="1"/>
  <c r="N725" i="1"/>
  <c r="K726" i="1"/>
  <c r="L726" i="1"/>
  <c r="M726" i="1"/>
  <c r="N726" i="1"/>
  <c r="K727" i="1"/>
  <c r="L727" i="1"/>
  <c r="M727" i="1"/>
  <c r="N727" i="1"/>
  <c r="K728" i="1"/>
  <c r="L728" i="1"/>
  <c r="M728" i="1"/>
  <c r="N728" i="1"/>
  <c r="K729" i="1"/>
  <c r="L729" i="1"/>
  <c r="M729" i="1"/>
  <c r="N729" i="1"/>
  <c r="K730" i="1"/>
  <c r="L730" i="1"/>
  <c r="M730" i="1"/>
  <c r="N730" i="1"/>
  <c r="K731" i="1"/>
  <c r="L731" i="1"/>
  <c r="M731" i="1"/>
  <c r="N731" i="1"/>
  <c r="K732" i="1"/>
  <c r="L732" i="1"/>
  <c r="M732" i="1"/>
  <c r="N732" i="1"/>
  <c r="K733" i="1"/>
  <c r="L733" i="1"/>
  <c r="M733" i="1"/>
  <c r="N733" i="1"/>
  <c r="K734" i="1"/>
  <c r="L734" i="1"/>
  <c r="M734" i="1"/>
  <c r="N734" i="1"/>
  <c r="K735" i="1"/>
  <c r="L735" i="1"/>
  <c r="M735" i="1"/>
  <c r="N735" i="1"/>
  <c r="K736" i="1"/>
  <c r="L736" i="1"/>
  <c r="M736" i="1"/>
  <c r="N736" i="1"/>
  <c r="K737" i="1"/>
  <c r="L737" i="1"/>
  <c r="M737" i="1"/>
  <c r="N737" i="1"/>
  <c r="K738" i="1"/>
  <c r="L738" i="1"/>
  <c r="M738" i="1"/>
  <c r="N738" i="1"/>
  <c r="K739" i="1"/>
  <c r="L739" i="1"/>
  <c r="M739" i="1"/>
  <c r="N739" i="1"/>
  <c r="K740" i="1"/>
  <c r="L740" i="1"/>
  <c r="M740" i="1"/>
  <c r="N740" i="1"/>
  <c r="K741" i="1"/>
  <c r="L741" i="1"/>
  <c r="M741" i="1"/>
  <c r="N741" i="1"/>
  <c r="K742" i="1"/>
  <c r="L742" i="1"/>
  <c r="M742" i="1"/>
  <c r="N742" i="1"/>
  <c r="K743" i="1"/>
  <c r="L743" i="1"/>
  <c r="M743" i="1"/>
  <c r="N743" i="1"/>
  <c r="K744" i="1"/>
  <c r="L744" i="1"/>
  <c r="M744" i="1"/>
  <c r="N744" i="1"/>
  <c r="K745" i="1"/>
  <c r="L745" i="1"/>
  <c r="M745" i="1"/>
  <c r="N745" i="1"/>
  <c r="K746" i="1"/>
  <c r="L746" i="1"/>
  <c r="M746" i="1"/>
  <c r="N746" i="1"/>
  <c r="K747" i="1"/>
  <c r="L747" i="1"/>
  <c r="M747" i="1"/>
  <c r="N747" i="1"/>
  <c r="K748" i="1"/>
  <c r="L748" i="1"/>
  <c r="M748" i="1"/>
  <c r="N748" i="1"/>
  <c r="K749" i="1"/>
  <c r="L749" i="1"/>
  <c r="M749" i="1"/>
  <c r="N749" i="1"/>
  <c r="K750" i="1"/>
  <c r="L750" i="1"/>
  <c r="M750" i="1"/>
  <c r="N750" i="1"/>
  <c r="K751" i="1"/>
  <c r="L751" i="1"/>
  <c r="M751" i="1"/>
  <c r="N751" i="1"/>
  <c r="K752" i="1"/>
  <c r="L752" i="1"/>
  <c r="M752" i="1"/>
  <c r="N752" i="1"/>
  <c r="K753" i="1"/>
  <c r="L753" i="1"/>
  <c r="M753" i="1"/>
  <c r="N753" i="1"/>
  <c r="K754" i="1"/>
  <c r="L754" i="1"/>
  <c r="M754" i="1"/>
  <c r="N754" i="1"/>
  <c r="K755" i="1"/>
  <c r="L755" i="1"/>
  <c r="M755" i="1"/>
  <c r="N755" i="1"/>
  <c r="K756" i="1"/>
  <c r="L756" i="1"/>
  <c r="M756" i="1"/>
  <c r="N756" i="1"/>
  <c r="K757" i="1"/>
  <c r="L757" i="1"/>
  <c r="M757" i="1"/>
  <c r="N757" i="1"/>
  <c r="K758" i="1"/>
  <c r="L758" i="1"/>
  <c r="M758" i="1"/>
  <c r="N758" i="1"/>
  <c r="K759" i="1"/>
  <c r="L759" i="1"/>
  <c r="M759" i="1"/>
  <c r="N759" i="1"/>
  <c r="K760" i="1"/>
  <c r="L760" i="1"/>
  <c r="M760" i="1"/>
  <c r="N760" i="1"/>
  <c r="K761" i="1"/>
  <c r="L761" i="1"/>
  <c r="M761" i="1"/>
  <c r="N761" i="1"/>
  <c r="K762" i="1"/>
  <c r="L762" i="1"/>
  <c r="M762" i="1"/>
  <c r="N762" i="1"/>
  <c r="K763" i="1"/>
  <c r="L763" i="1"/>
  <c r="M763" i="1"/>
  <c r="N763" i="1"/>
  <c r="K764" i="1"/>
  <c r="L764" i="1"/>
  <c r="M764" i="1"/>
  <c r="N764" i="1"/>
  <c r="K765" i="1"/>
  <c r="L765" i="1"/>
  <c r="M765" i="1"/>
  <c r="N765" i="1"/>
  <c r="K766" i="1"/>
  <c r="L766" i="1"/>
  <c r="M766" i="1"/>
  <c r="N766" i="1"/>
  <c r="K767" i="1"/>
  <c r="L767" i="1"/>
  <c r="M767" i="1"/>
  <c r="N767" i="1"/>
  <c r="K768" i="1"/>
  <c r="L768" i="1"/>
  <c r="M768" i="1"/>
  <c r="N768" i="1"/>
  <c r="K769" i="1"/>
  <c r="L769" i="1"/>
  <c r="M769" i="1"/>
  <c r="N769" i="1"/>
  <c r="K770" i="1"/>
  <c r="L770" i="1"/>
  <c r="M770" i="1"/>
  <c r="N770" i="1"/>
  <c r="K771" i="1"/>
  <c r="L771" i="1"/>
  <c r="M771" i="1"/>
  <c r="N771" i="1"/>
  <c r="K772" i="1"/>
  <c r="L772" i="1"/>
  <c r="M772" i="1"/>
  <c r="N772" i="1"/>
  <c r="K773" i="1"/>
  <c r="L773" i="1"/>
  <c r="M773" i="1"/>
  <c r="N773" i="1"/>
  <c r="K774" i="1"/>
  <c r="L774" i="1"/>
  <c r="M774" i="1"/>
  <c r="N774" i="1"/>
  <c r="K775" i="1"/>
  <c r="L775" i="1"/>
  <c r="M775" i="1"/>
  <c r="N775" i="1"/>
  <c r="K776" i="1"/>
  <c r="L776" i="1"/>
  <c r="M776" i="1"/>
  <c r="N776" i="1"/>
  <c r="K777" i="1"/>
  <c r="L777" i="1"/>
  <c r="M777" i="1"/>
  <c r="N777" i="1"/>
  <c r="K778" i="1"/>
  <c r="L778" i="1"/>
  <c r="M778" i="1"/>
  <c r="N778" i="1"/>
  <c r="K779" i="1"/>
  <c r="L779" i="1"/>
  <c r="M779" i="1"/>
  <c r="N779" i="1"/>
  <c r="K780" i="1"/>
  <c r="L780" i="1"/>
  <c r="M780" i="1"/>
  <c r="N780" i="1"/>
  <c r="K781" i="1"/>
  <c r="L781" i="1"/>
  <c r="M781" i="1"/>
  <c r="N781" i="1"/>
  <c r="K782" i="1"/>
  <c r="L782" i="1"/>
  <c r="M782" i="1"/>
  <c r="N782" i="1"/>
  <c r="K783" i="1"/>
  <c r="L783" i="1"/>
  <c r="M783" i="1"/>
  <c r="N783" i="1"/>
  <c r="K784" i="1"/>
  <c r="L784" i="1"/>
  <c r="M784" i="1"/>
  <c r="N784" i="1"/>
  <c r="K785" i="1"/>
  <c r="L785" i="1"/>
  <c r="M785" i="1"/>
  <c r="N785" i="1"/>
  <c r="K786" i="1"/>
  <c r="L786" i="1"/>
  <c r="M786" i="1"/>
  <c r="N786" i="1"/>
  <c r="K787" i="1"/>
  <c r="L787" i="1"/>
  <c r="M787" i="1"/>
  <c r="N787" i="1"/>
  <c r="K788" i="1"/>
  <c r="L788" i="1"/>
  <c r="M788" i="1"/>
  <c r="N788" i="1"/>
  <c r="K789" i="1"/>
  <c r="L789" i="1"/>
  <c r="M789" i="1"/>
  <c r="N789" i="1"/>
  <c r="K790" i="1"/>
  <c r="L790" i="1"/>
  <c r="M790" i="1"/>
  <c r="N790" i="1"/>
  <c r="K791" i="1"/>
  <c r="L791" i="1"/>
  <c r="M791" i="1"/>
  <c r="N791" i="1"/>
  <c r="K792" i="1"/>
  <c r="L792" i="1"/>
  <c r="M792" i="1"/>
  <c r="N792" i="1"/>
  <c r="K793" i="1"/>
  <c r="L793" i="1"/>
  <c r="M793" i="1"/>
  <c r="N793" i="1"/>
  <c r="K794" i="1"/>
  <c r="L794" i="1"/>
  <c r="M794" i="1"/>
  <c r="N794" i="1"/>
  <c r="K795" i="1"/>
  <c r="L795" i="1"/>
  <c r="M795" i="1"/>
  <c r="N795" i="1"/>
  <c r="K796" i="1"/>
  <c r="L796" i="1"/>
  <c r="M796" i="1"/>
  <c r="N796" i="1"/>
  <c r="K797" i="1"/>
  <c r="L797" i="1"/>
  <c r="M797" i="1"/>
  <c r="N797" i="1"/>
  <c r="K798" i="1"/>
  <c r="L798" i="1"/>
  <c r="M798" i="1"/>
  <c r="N798" i="1"/>
  <c r="K799" i="1"/>
  <c r="L799" i="1"/>
  <c r="M799" i="1"/>
  <c r="N799" i="1"/>
  <c r="K800" i="1"/>
  <c r="L800" i="1"/>
  <c r="M800" i="1"/>
  <c r="N800" i="1"/>
  <c r="K801" i="1"/>
  <c r="L801" i="1"/>
  <c r="M801" i="1"/>
  <c r="N801" i="1"/>
  <c r="K802" i="1"/>
  <c r="L802" i="1"/>
  <c r="M802" i="1"/>
  <c r="N802" i="1"/>
  <c r="K803" i="1"/>
  <c r="L803" i="1"/>
  <c r="M803" i="1"/>
  <c r="N803" i="1"/>
  <c r="K804" i="1"/>
  <c r="L804" i="1"/>
  <c r="M804" i="1"/>
  <c r="N804" i="1"/>
  <c r="K805" i="1"/>
  <c r="L805" i="1"/>
  <c r="M805" i="1"/>
  <c r="N805" i="1"/>
  <c r="K806" i="1"/>
  <c r="L806" i="1"/>
  <c r="M806" i="1"/>
  <c r="N806" i="1"/>
  <c r="K807" i="1"/>
  <c r="L807" i="1"/>
  <c r="M807" i="1"/>
  <c r="N807" i="1"/>
  <c r="K808" i="1"/>
  <c r="L808" i="1"/>
  <c r="M808" i="1"/>
  <c r="N808" i="1"/>
  <c r="K809" i="1"/>
  <c r="L809" i="1"/>
  <c r="M809" i="1"/>
  <c r="N809" i="1"/>
  <c r="K810" i="1"/>
  <c r="L810" i="1"/>
  <c r="M810" i="1"/>
  <c r="N810" i="1"/>
  <c r="K811" i="1"/>
  <c r="L811" i="1"/>
  <c r="M811" i="1"/>
  <c r="N811" i="1"/>
  <c r="K812" i="1"/>
  <c r="L812" i="1"/>
  <c r="M812" i="1"/>
  <c r="N812" i="1"/>
  <c r="K813" i="1"/>
  <c r="L813" i="1"/>
  <c r="M813" i="1"/>
  <c r="N813" i="1"/>
  <c r="K814" i="1"/>
  <c r="L814" i="1"/>
  <c r="M814" i="1"/>
  <c r="N814" i="1"/>
  <c r="K815" i="1"/>
  <c r="L815" i="1"/>
  <c r="M815" i="1"/>
  <c r="N815" i="1"/>
  <c r="K816" i="1"/>
  <c r="L816" i="1"/>
  <c r="M816" i="1"/>
  <c r="N816" i="1"/>
  <c r="K817" i="1"/>
  <c r="L817" i="1"/>
  <c r="M817" i="1"/>
  <c r="N817" i="1"/>
  <c r="K818" i="1"/>
  <c r="L818" i="1"/>
  <c r="M818" i="1"/>
  <c r="N818" i="1"/>
  <c r="K819" i="1"/>
  <c r="L819" i="1"/>
  <c r="M819" i="1"/>
  <c r="N819" i="1"/>
  <c r="K820" i="1"/>
  <c r="L820" i="1"/>
  <c r="M820" i="1"/>
  <c r="N820" i="1"/>
  <c r="K821" i="1"/>
  <c r="L821" i="1"/>
  <c r="M821" i="1"/>
  <c r="N821" i="1"/>
  <c r="K822" i="1"/>
  <c r="L822" i="1"/>
  <c r="M822" i="1"/>
  <c r="N822" i="1"/>
  <c r="K823" i="1"/>
  <c r="L823" i="1"/>
  <c r="M823" i="1"/>
  <c r="N823" i="1"/>
  <c r="K824" i="1"/>
  <c r="L824" i="1"/>
  <c r="M824" i="1"/>
  <c r="N824" i="1"/>
  <c r="K825" i="1"/>
  <c r="L825" i="1"/>
  <c r="M825" i="1"/>
  <c r="N825" i="1"/>
  <c r="K826" i="1"/>
  <c r="L826" i="1"/>
  <c r="M826" i="1"/>
  <c r="N826" i="1"/>
  <c r="K827" i="1"/>
  <c r="L827" i="1"/>
  <c r="M827" i="1"/>
  <c r="N827" i="1"/>
  <c r="K828" i="1"/>
  <c r="L828" i="1"/>
  <c r="M828" i="1"/>
  <c r="N828" i="1"/>
  <c r="K829" i="1"/>
  <c r="L829" i="1"/>
  <c r="M829" i="1"/>
  <c r="N829" i="1"/>
  <c r="K830" i="1"/>
  <c r="L830" i="1"/>
  <c r="M830" i="1"/>
  <c r="N830" i="1"/>
  <c r="K831" i="1"/>
  <c r="L831" i="1"/>
  <c r="M831" i="1"/>
  <c r="N831" i="1"/>
  <c r="K832" i="1"/>
  <c r="L832" i="1"/>
  <c r="M832" i="1"/>
  <c r="N832" i="1"/>
  <c r="K833" i="1"/>
  <c r="L833" i="1"/>
  <c r="M833" i="1"/>
  <c r="N833" i="1"/>
  <c r="K834" i="1"/>
  <c r="L834" i="1"/>
  <c r="M834" i="1"/>
  <c r="N834" i="1"/>
  <c r="K835" i="1"/>
  <c r="L835" i="1"/>
  <c r="M835" i="1"/>
  <c r="N835" i="1"/>
  <c r="K836" i="1"/>
  <c r="L836" i="1"/>
  <c r="M836" i="1"/>
  <c r="N836" i="1"/>
  <c r="K837" i="1"/>
  <c r="L837" i="1"/>
  <c r="M837" i="1"/>
  <c r="N837" i="1"/>
  <c r="K838" i="1"/>
  <c r="L838" i="1"/>
  <c r="M838" i="1"/>
  <c r="N838" i="1"/>
  <c r="K839" i="1"/>
  <c r="L839" i="1"/>
  <c r="M839" i="1"/>
  <c r="N839" i="1"/>
  <c r="K840" i="1"/>
  <c r="L840" i="1"/>
  <c r="M840" i="1"/>
  <c r="N840" i="1"/>
  <c r="K841" i="1"/>
  <c r="L841" i="1"/>
  <c r="M841" i="1"/>
  <c r="N841" i="1"/>
  <c r="K842" i="1"/>
  <c r="L842" i="1"/>
  <c r="M842" i="1"/>
  <c r="N842" i="1"/>
  <c r="K843" i="1"/>
  <c r="L843" i="1"/>
  <c r="M843" i="1"/>
  <c r="N843" i="1"/>
  <c r="K844" i="1"/>
  <c r="L844" i="1"/>
  <c r="M844" i="1"/>
  <c r="N844" i="1"/>
  <c r="K845" i="1"/>
  <c r="L845" i="1"/>
  <c r="M845" i="1"/>
  <c r="N845" i="1"/>
  <c r="K846" i="1"/>
  <c r="L846" i="1"/>
  <c r="M846" i="1"/>
  <c r="N846" i="1"/>
  <c r="K847" i="1"/>
  <c r="L847" i="1"/>
  <c r="M847" i="1"/>
  <c r="N847" i="1"/>
  <c r="K848" i="1"/>
  <c r="L848" i="1"/>
  <c r="M848" i="1"/>
  <c r="N848" i="1"/>
  <c r="K849" i="1"/>
  <c r="L849" i="1"/>
  <c r="M849" i="1"/>
  <c r="N849" i="1"/>
  <c r="K850" i="1"/>
  <c r="L850" i="1"/>
  <c r="M850" i="1"/>
  <c r="N850" i="1"/>
  <c r="K851" i="1"/>
  <c r="L851" i="1"/>
  <c r="M851" i="1"/>
  <c r="N851" i="1"/>
  <c r="K852" i="1"/>
  <c r="L852" i="1"/>
  <c r="M852" i="1"/>
  <c r="N852" i="1"/>
  <c r="K853" i="1"/>
  <c r="L853" i="1"/>
  <c r="M853" i="1"/>
  <c r="N853" i="1"/>
  <c r="K854" i="1"/>
  <c r="L854" i="1"/>
  <c r="M854" i="1"/>
  <c r="N854" i="1"/>
  <c r="K855" i="1"/>
  <c r="L855" i="1"/>
  <c r="M855" i="1"/>
  <c r="N855" i="1"/>
  <c r="K856" i="1"/>
  <c r="L856" i="1"/>
  <c r="M856" i="1"/>
  <c r="N856" i="1"/>
  <c r="K857" i="1"/>
  <c r="L857" i="1"/>
  <c r="M857" i="1"/>
  <c r="N857" i="1"/>
  <c r="K858" i="1"/>
  <c r="L858" i="1"/>
  <c r="M858" i="1"/>
  <c r="N858" i="1"/>
  <c r="K859" i="1"/>
  <c r="L859" i="1"/>
  <c r="M859" i="1"/>
  <c r="N859" i="1"/>
  <c r="K860" i="1"/>
  <c r="L860" i="1"/>
  <c r="M860" i="1"/>
  <c r="N860" i="1"/>
  <c r="K861" i="1"/>
  <c r="L861" i="1"/>
  <c r="M861" i="1"/>
  <c r="N861" i="1"/>
  <c r="K862" i="1"/>
  <c r="L862" i="1"/>
  <c r="M862" i="1"/>
  <c r="N862" i="1"/>
  <c r="K863" i="1"/>
  <c r="L863" i="1"/>
  <c r="M863" i="1"/>
  <c r="N863" i="1"/>
  <c r="K864" i="1"/>
  <c r="L864" i="1"/>
  <c r="M864" i="1"/>
  <c r="N864" i="1"/>
  <c r="K865" i="1"/>
  <c r="L865" i="1"/>
  <c r="M865" i="1"/>
  <c r="N865" i="1"/>
  <c r="K866" i="1"/>
  <c r="L866" i="1"/>
  <c r="M866" i="1"/>
  <c r="N866" i="1"/>
  <c r="K867" i="1"/>
  <c r="L867" i="1"/>
  <c r="M867" i="1"/>
  <c r="N867" i="1"/>
  <c r="K868" i="1"/>
  <c r="L868" i="1"/>
  <c r="M868" i="1"/>
  <c r="N868" i="1"/>
  <c r="K869" i="1"/>
  <c r="L869" i="1"/>
  <c r="M869" i="1"/>
  <c r="N869" i="1"/>
  <c r="K870" i="1"/>
  <c r="L870" i="1"/>
  <c r="M870" i="1"/>
  <c r="N870" i="1"/>
  <c r="K871" i="1"/>
  <c r="L871" i="1"/>
  <c r="M871" i="1"/>
  <c r="N871" i="1"/>
  <c r="K872" i="1"/>
  <c r="L872" i="1"/>
  <c r="M872" i="1"/>
  <c r="N872" i="1"/>
  <c r="K873" i="1"/>
  <c r="L873" i="1"/>
  <c r="M873" i="1"/>
  <c r="N873" i="1"/>
  <c r="K874" i="1"/>
  <c r="L874" i="1"/>
  <c r="M874" i="1"/>
  <c r="N874" i="1"/>
  <c r="K875" i="1"/>
  <c r="L875" i="1"/>
  <c r="M875" i="1"/>
  <c r="N875" i="1"/>
  <c r="K876" i="1"/>
  <c r="L876" i="1"/>
  <c r="M876" i="1"/>
  <c r="N876" i="1"/>
  <c r="K877" i="1"/>
  <c r="L877" i="1"/>
  <c r="M877" i="1"/>
  <c r="N877" i="1"/>
  <c r="K878" i="1"/>
  <c r="L878" i="1"/>
  <c r="M878" i="1"/>
  <c r="N878" i="1"/>
  <c r="K879" i="1"/>
  <c r="L879" i="1"/>
  <c r="M879" i="1"/>
  <c r="N879" i="1"/>
  <c r="K880" i="1"/>
  <c r="L880" i="1"/>
  <c r="M880" i="1"/>
  <c r="N880" i="1"/>
  <c r="K881" i="1"/>
  <c r="L881" i="1"/>
  <c r="M881" i="1"/>
  <c r="N881" i="1"/>
  <c r="K882" i="1"/>
  <c r="L882" i="1"/>
  <c r="M882" i="1"/>
  <c r="N882" i="1"/>
  <c r="K883" i="1"/>
  <c r="L883" i="1"/>
  <c r="M883" i="1"/>
  <c r="N883" i="1"/>
  <c r="K884" i="1"/>
  <c r="L884" i="1"/>
  <c r="M884" i="1"/>
  <c r="N884" i="1"/>
  <c r="K885" i="1"/>
  <c r="L885" i="1"/>
  <c r="M885" i="1"/>
  <c r="N885" i="1"/>
  <c r="K886" i="1"/>
  <c r="L886" i="1"/>
  <c r="M886" i="1"/>
  <c r="N886" i="1"/>
  <c r="K887" i="1"/>
  <c r="L887" i="1"/>
  <c r="M887" i="1"/>
  <c r="N887" i="1"/>
  <c r="K888" i="1"/>
  <c r="L888" i="1"/>
  <c r="M888" i="1"/>
  <c r="N888" i="1"/>
  <c r="K889" i="1"/>
  <c r="L889" i="1"/>
  <c r="M889" i="1"/>
  <c r="N889" i="1"/>
  <c r="K890" i="1"/>
  <c r="L890" i="1"/>
  <c r="M890" i="1"/>
  <c r="N890" i="1"/>
  <c r="K891" i="1"/>
  <c r="L891" i="1"/>
  <c r="M891" i="1"/>
  <c r="N891" i="1"/>
  <c r="K892" i="1"/>
  <c r="L892" i="1"/>
  <c r="M892" i="1"/>
  <c r="N892" i="1"/>
  <c r="K893" i="1"/>
  <c r="L893" i="1"/>
  <c r="M893" i="1"/>
  <c r="N893" i="1"/>
  <c r="K894" i="1"/>
  <c r="L894" i="1"/>
  <c r="M894" i="1"/>
  <c r="N894" i="1"/>
  <c r="K895" i="1"/>
  <c r="L895" i="1"/>
  <c r="M895" i="1"/>
  <c r="N895" i="1"/>
  <c r="K896" i="1"/>
  <c r="L896" i="1"/>
  <c r="M896" i="1"/>
  <c r="N896" i="1"/>
  <c r="K897" i="1"/>
  <c r="L897" i="1"/>
  <c r="M897" i="1"/>
  <c r="N897" i="1"/>
  <c r="K898" i="1"/>
  <c r="L898" i="1"/>
  <c r="M898" i="1"/>
  <c r="N898" i="1"/>
  <c r="K899" i="1"/>
  <c r="L899" i="1"/>
  <c r="M899" i="1"/>
  <c r="N899" i="1"/>
  <c r="K900" i="1"/>
  <c r="L900" i="1"/>
  <c r="M900" i="1"/>
  <c r="N900" i="1"/>
  <c r="K901" i="1"/>
  <c r="L901" i="1"/>
  <c r="M901" i="1"/>
  <c r="N901" i="1"/>
  <c r="K902" i="1"/>
  <c r="L902" i="1"/>
  <c r="M902" i="1"/>
  <c r="N902" i="1"/>
  <c r="K903" i="1"/>
  <c r="L903" i="1"/>
  <c r="M903" i="1"/>
  <c r="N903" i="1"/>
  <c r="K904" i="1"/>
  <c r="L904" i="1"/>
  <c r="M904" i="1"/>
  <c r="N904" i="1"/>
  <c r="K905" i="1"/>
  <c r="L905" i="1"/>
  <c r="M905" i="1"/>
  <c r="N905" i="1"/>
  <c r="K906" i="1"/>
  <c r="L906" i="1"/>
  <c r="M906" i="1"/>
  <c r="N906" i="1"/>
  <c r="K907" i="1"/>
  <c r="L907" i="1"/>
  <c r="M907" i="1"/>
  <c r="N907" i="1"/>
  <c r="K908" i="1"/>
  <c r="L908" i="1"/>
  <c r="M908" i="1"/>
  <c r="N908" i="1"/>
  <c r="K909" i="1"/>
  <c r="L909" i="1"/>
  <c r="M909" i="1"/>
  <c r="N909" i="1"/>
  <c r="K910" i="1"/>
  <c r="L910" i="1"/>
  <c r="M910" i="1"/>
  <c r="N910" i="1"/>
  <c r="K911" i="1"/>
  <c r="L911" i="1"/>
  <c r="M911" i="1"/>
  <c r="N911" i="1"/>
  <c r="K912" i="1"/>
  <c r="L912" i="1"/>
  <c r="M912" i="1"/>
  <c r="N912" i="1"/>
  <c r="K913" i="1"/>
  <c r="L913" i="1"/>
  <c r="M913" i="1"/>
  <c r="N913" i="1"/>
  <c r="K914" i="1"/>
  <c r="L914" i="1"/>
  <c r="M914" i="1"/>
  <c r="N914" i="1"/>
  <c r="K915" i="1"/>
  <c r="L915" i="1"/>
  <c r="M915" i="1"/>
  <c r="N915" i="1"/>
  <c r="K916" i="1"/>
  <c r="L916" i="1"/>
  <c r="M916" i="1"/>
  <c r="N916" i="1"/>
  <c r="K917" i="1"/>
  <c r="L917" i="1"/>
  <c r="M917" i="1"/>
  <c r="N917" i="1"/>
  <c r="K918" i="1"/>
  <c r="L918" i="1"/>
  <c r="M918" i="1"/>
  <c r="N918" i="1"/>
  <c r="K919" i="1"/>
  <c r="L919" i="1"/>
  <c r="M919" i="1"/>
  <c r="N919" i="1"/>
  <c r="K920" i="1"/>
  <c r="L920" i="1"/>
  <c r="M920" i="1"/>
  <c r="N920" i="1"/>
  <c r="K921" i="1"/>
  <c r="L921" i="1"/>
  <c r="M921" i="1"/>
  <c r="N921" i="1"/>
  <c r="K922" i="1"/>
  <c r="L922" i="1"/>
  <c r="M922" i="1"/>
  <c r="N922" i="1"/>
  <c r="K923" i="1"/>
  <c r="L923" i="1"/>
  <c r="M923" i="1"/>
  <c r="N923" i="1"/>
  <c r="K924" i="1"/>
  <c r="L924" i="1"/>
  <c r="M924" i="1"/>
  <c r="N924" i="1"/>
  <c r="K925" i="1"/>
  <c r="L925" i="1"/>
  <c r="M925" i="1"/>
  <c r="N925" i="1"/>
  <c r="K926" i="1"/>
  <c r="L926" i="1"/>
  <c r="M926" i="1"/>
  <c r="N926" i="1"/>
  <c r="K927" i="1"/>
  <c r="L927" i="1"/>
  <c r="M927" i="1"/>
  <c r="N927" i="1"/>
  <c r="K928" i="1"/>
  <c r="L928" i="1"/>
  <c r="M928" i="1"/>
  <c r="N928" i="1"/>
  <c r="K929" i="1"/>
  <c r="L929" i="1"/>
  <c r="M929" i="1"/>
  <c r="N929" i="1"/>
  <c r="K930" i="1"/>
  <c r="L930" i="1"/>
  <c r="M930" i="1"/>
  <c r="N930" i="1"/>
  <c r="K931" i="1"/>
  <c r="L931" i="1"/>
  <c r="M931" i="1"/>
  <c r="N931" i="1"/>
  <c r="K932" i="1"/>
  <c r="L932" i="1"/>
  <c r="M932" i="1"/>
  <c r="N932" i="1"/>
  <c r="K933" i="1"/>
  <c r="L933" i="1"/>
  <c r="M933" i="1"/>
  <c r="N933" i="1"/>
  <c r="K934" i="1"/>
  <c r="L934" i="1"/>
  <c r="M934" i="1"/>
  <c r="N934" i="1"/>
  <c r="K935" i="1"/>
  <c r="L935" i="1"/>
  <c r="M935" i="1"/>
  <c r="N935" i="1"/>
  <c r="K936" i="1"/>
  <c r="L936" i="1"/>
  <c r="M936" i="1"/>
  <c r="N936" i="1"/>
  <c r="K937" i="1"/>
  <c r="L937" i="1"/>
  <c r="M937" i="1"/>
  <c r="N937" i="1"/>
  <c r="K938" i="1"/>
  <c r="L938" i="1"/>
  <c r="M938" i="1"/>
  <c r="N938" i="1"/>
  <c r="K939" i="1"/>
  <c r="L939" i="1"/>
  <c r="M939" i="1"/>
  <c r="N939" i="1"/>
  <c r="K940" i="1"/>
  <c r="L940" i="1"/>
  <c r="M940" i="1"/>
  <c r="N940" i="1"/>
  <c r="K941" i="1"/>
  <c r="L941" i="1"/>
  <c r="M941" i="1"/>
  <c r="N941" i="1"/>
  <c r="K942" i="1"/>
  <c r="L942" i="1"/>
  <c r="M942" i="1"/>
  <c r="N942" i="1"/>
  <c r="K943" i="1"/>
  <c r="L943" i="1"/>
  <c r="M943" i="1"/>
  <c r="N943" i="1"/>
  <c r="K944" i="1"/>
  <c r="L944" i="1"/>
  <c r="M944" i="1"/>
  <c r="N944" i="1"/>
  <c r="K945" i="1"/>
  <c r="L945" i="1"/>
  <c r="M945" i="1"/>
  <c r="N945" i="1"/>
  <c r="K946" i="1"/>
  <c r="L946" i="1"/>
  <c r="M946" i="1"/>
  <c r="N946" i="1"/>
  <c r="K947" i="1"/>
  <c r="L947" i="1"/>
  <c r="M947" i="1"/>
  <c r="N947" i="1"/>
  <c r="K948" i="1"/>
  <c r="L948" i="1"/>
  <c r="M948" i="1"/>
  <c r="N948" i="1"/>
  <c r="K949" i="1"/>
  <c r="L949" i="1"/>
  <c r="M949" i="1"/>
  <c r="N949" i="1"/>
  <c r="K950" i="1"/>
  <c r="L950" i="1"/>
  <c r="M950" i="1"/>
  <c r="N950" i="1"/>
  <c r="K951" i="1"/>
  <c r="L951" i="1"/>
  <c r="M951" i="1"/>
  <c r="N951" i="1"/>
  <c r="K952" i="1"/>
  <c r="L952" i="1"/>
  <c r="M952" i="1"/>
  <c r="N952" i="1"/>
  <c r="K953" i="1"/>
  <c r="L953" i="1"/>
  <c r="M953" i="1"/>
  <c r="N953" i="1"/>
  <c r="K954" i="1"/>
  <c r="L954" i="1"/>
  <c r="M954" i="1"/>
  <c r="N954" i="1"/>
  <c r="K955" i="1"/>
  <c r="L955" i="1"/>
  <c r="M955" i="1"/>
  <c r="N955" i="1"/>
  <c r="K956" i="1"/>
  <c r="L956" i="1"/>
  <c r="M956" i="1"/>
  <c r="N956" i="1"/>
  <c r="K957" i="1"/>
  <c r="L957" i="1"/>
  <c r="M957" i="1"/>
  <c r="N957" i="1"/>
  <c r="K958" i="1"/>
  <c r="L958" i="1"/>
  <c r="M958" i="1"/>
  <c r="N958" i="1"/>
  <c r="K959" i="1"/>
  <c r="L959" i="1"/>
  <c r="M959" i="1"/>
  <c r="N959" i="1"/>
  <c r="K960" i="1"/>
  <c r="L960" i="1"/>
  <c r="M960" i="1"/>
  <c r="N960" i="1"/>
  <c r="K961" i="1"/>
  <c r="L961" i="1"/>
  <c r="M961" i="1"/>
  <c r="N961" i="1"/>
  <c r="K962" i="1"/>
  <c r="L962" i="1"/>
  <c r="M962" i="1"/>
  <c r="N962" i="1"/>
  <c r="K963" i="1"/>
  <c r="L963" i="1"/>
  <c r="M963" i="1"/>
  <c r="N963" i="1"/>
  <c r="K964" i="1"/>
  <c r="L964" i="1"/>
  <c r="M964" i="1"/>
  <c r="N964" i="1"/>
  <c r="K965" i="1"/>
  <c r="L965" i="1"/>
  <c r="M965" i="1"/>
  <c r="N965" i="1"/>
  <c r="K966" i="1"/>
  <c r="L966" i="1"/>
  <c r="M966" i="1"/>
  <c r="N966" i="1"/>
  <c r="K967" i="1"/>
  <c r="L967" i="1"/>
  <c r="M967" i="1"/>
  <c r="N967" i="1"/>
  <c r="K968" i="1"/>
  <c r="L968" i="1"/>
  <c r="M968" i="1"/>
  <c r="N968" i="1"/>
  <c r="K969" i="1"/>
  <c r="L969" i="1"/>
  <c r="M969" i="1"/>
  <c r="N969" i="1"/>
  <c r="K970" i="1"/>
  <c r="L970" i="1"/>
  <c r="M970" i="1"/>
  <c r="N970" i="1"/>
  <c r="K971" i="1"/>
  <c r="L971" i="1"/>
  <c r="M971" i="1"/>
  <c r="N971" i="1"/>
  <c r="K972" i="1"/>
  <c r="L972" i="1"/>
  <c r="M972" i="1"/>
  <c r="N972" i="1"/>
  <c r="K973" i="1"/>
  <c r="L973" i="1"/>
  <c r="M973" i="1"/>
  <c r="N973" i="1"/>
  <c r="K974" i="1"/>
  <c r="L974" i="1"/>
  <c r="M974" i="1"/>
  <c r="N974" i="1"/>
  <c r="K975" i="1"/>
  <c r="L975" i="1"/>
  <c r="M975" i="1"/>
  <c r="N975" i="1"/>
  <c r="K976" i="1"/>
  <c r="L976" i="1"/>
  <c r="M976" i="1"/>
  <c r="N976" i="1"/>
  <c r="K977" i="1"/>
  <c r="L977" i="1"/>
  <c r="M977" i="1"/>
  <c r="N977" i="1"/>
  <c r="K978" i="1"/>
  <c r="L978" i="1"/>
  <c r="M978" i="1"/>
  <c r="N978" i="1"/>
  <c r="K979" i="1"/>
  <c r="L979" i="1"/>
  <c r="M979" i="1"/>
  <c r="N979" i="1"/>
  <c r="K980" i="1"/>
  <c r="L980" i="1"/>
  <c r="M980" i="1"/>
  <c r="N980" i="1"/>
  <c r="K981" i="1"/>
  <c r="L981" i="1"/>
  <c r="M981" i="1"/>
  <c r="N981" i="1"/>
  <c r="K982" i="1"/>
  <c r="L982" i="1"/>
  <c r="M982" i="1"/>
  <c r="N982" i="1"/>
  <c r="K983" i="1"/>
  <c r="L983" i="1"/>
  <c r="M983" i="1"/>
  <c r="N983" i="1"/>
  <c r="K984" i="1"/>
  <c r="L984" i="1"/>
  <c r="M984" i="1"/>
  <c r="N984" i="1"/>
  <c r="K985" i="1"/>
  <c r="L985" i="1"/>
  <c r="M985" i="1"/>
  <c r="N985" i="1"/>
  <c r="K986" i="1"/>
  <c r="L986" i="1"/>
  <c r="M986" i="1"/>
  <c r="N986" i="1"/>
  <c r="K987" i="1"/>
  <c r="L987" i="1"/>
  <c r="M987" i="1"/>
  <c r="N987" i="1"/>
  <c r="K988" i="1"/>
  <c r="L988" i="1"/>
  <c r="M988" i="1"/>
  <c r="N988" i="1"/>
  <c r="K989" i="1"/>
  <c r="L989" i="1"/>
  <c r="M989" i="1"/>
  <c r="N989" i="1"/>
  <c r="K990" i="1"/>
  <c r="L990" i="1"/>
  <c r="M990" i="1"/>
  <c r="N990" i="1"/>
  <c r="K991" i="1"/>
  <c r="L991" i="1"/>
  <c r="M991" i="1"/>
  <c r="N991" i="1"/>
  <c r="K992" i="1"/>
  <c r="L992" i="1"/>
  <c r="M992" i="1"/>
  <c r="N992" i="1"/>
  <c r="K993" i="1"/>
  <c r="L993" i="1"/>
  <c r="M993" i="1"/>
  <c r="N993" i="1"/>
  <c r="K994" i="1"/>
  <c r="L994" i="1"/>
  <c r="M994" i="1"/>
  <c r="N994" i="1"/>
  <c r="K995" i="1"/>
  <c r="L995" i="1"/>
  <c r="M995" i="1"/>
  <c r="N995" i="1"/>
  <c r="K996" i="1"/>
  <c r="L996" i="1"/>
  <c r="M996" i="1"/>
  <c r="N996" i="1"/>
  <c r="K997" i="1"/>
  <c r="L997" i="1"/>
  <c r="M997" i="1"/>
  <c r="N997" i="1"/>
  <c r="K998" i="1"/>
  <c r="L998" i="1"/>
  <c r="M998" i="1"/>
  <c r="N998" i="1"/>
  <c r="K999" i="1"/>
  <c r="L999" i="1"/>
  <c r="M999" i="1"/>
  <c r="N999" i="1"/>
  <c r="K1000" i="1"/>
  <c r="L1000" i="1"/>
  <c r="M1000" i="1"/>
  <c r="N1000" i="1"/>
  <c r="K1001" i="1"/>
  <c r="L1001" i="1"/>
  <c r="M1001" i="1"/>
  <c r="N1001" i="1"/>
  <c r="K1002" i="1"/>
  <c r="L1002" i="1"/>
  <c r="M1002" i="1"/>
  <c r="N1002" i="1"/>
  <c r="K1003" i="1"/>
  <c r="L1003" i="1"/>
  <c r="M1003" i="1"/>
  <c r="N1003" i="1"/>
  <c r="K1004" i="1"/>
  <c r="L1004" i="1"/>
  <c r="M1004" i="1"/>
  <c r="N1004" i="1"/>
  <c r="K1005" i="1"/>
  <c r="L1005" i="1"/>
  <c r="M1005" i="1"/>
  <c r="N1005" i="1"/>
  <c r="K1006" i="1"/>
  <c r="L1006" i="1"/>
  <c r="M1006" i="1"/>
  <c r="N1006" i="1"/>
  <c r="K1007" i="1"/>
  <c r="L1007" i="1"/>
  <c r="M1007" i="1"/>
  <c r="N1007" i="1"/>
  <c r="K1008" i="1"/>
  <c r="L1008" i="1"/>
  <c r="M1008" i="1"/>
  <c r="N1008" i="1"/>
  <c r="K1009" i="1"/>
  <c r="L1009" i="1"/>
  <c r="M1009" i="1"/>
  <c r="N1009" i="1"/>
  <c r="K1010" i="1"/>
  <c r="L1010" i="1"/>
  <c r="M1010" i="1"/>
  <c r="N1010" i="1"/>
  <c r="K1011" i="1"/>
  <c r="L1011" i="1"/>
  <c r="M1011" i="1"/>
  <c r="N1011" i="1"/>
  <c r="K1012" i="1"/>
  <c r="L1012" i="1"/>
  <c r="M1012" i="1"/>
  <c r="N1012" i="1"/>
  <c r="K1013" i="1"/>
  <c r="L1013" i="1"/>
  <c r="M1013" i="1"/>
  <c r="N1013" i="1"/>
  <c r="K1014" i="1"/>
  <c r="L1014" i="1"/>
  <c r="M1014" i="1"/>
  <c r="N1014" i="1"/>
  <c r="K1015" i="1"/>
  <c r="L1015" i="1"/>
  <c r="M1015" i="1"/>
  <c r="N1015" i="1"/>
  <c r="C548" i="1"/>
  <c r="I548" i="1" s="1"/>
  <c r="C549" i="1"/>
  <c r="I549" i="1" s="1"/>
  <c r="C550" i="1"/>
  <c r="I550" i="1" s="1"/>
  <c r="C551" i="1"/>
  <c r="I551" i="1" s="1"/>
  <c r="C552" i="1"/>
  <c r="I552" i="1" s="1"/>
  <c r="C553" i="1"/>
  <c r="I553" i="1" s="1"/>
  <c r="C554" i="1"/>
  <c r="I554" i="1" s="1"/>
  <c r="C555" i="1"/>
  <c r="I555" i="1" s="1"/>
  <c r="C556" i="1"/>
  <c r="I556" i="1" s="1"/>
  <c r="C557" i="1"/>
  <c r="I557" i="1" s="1"/>
  <c r="C558" i="1"/>
  <c r="I558" i="1" s="1"/>
  <c r="C559" i="1"/>
  <c r="I559" i="1" s="1"/>
  <c r="C560" i="1"/>
  <c r="I560" i="1" s="1"/>
  <c r="C561" i="1"/>
  <c r="I561" i="1" s="1"/>
  <c r="C562" i="1"/>
  <c r="I562" i="1" s="1"/>
  <c r="C563" i="1"/>
  <c r="I563" i="1" s="1"/>
  <c r="C564" i="1"/>
  <c r="I564" i="1" s="1"/>
  <c r="C565" i="1"/>
  <c r="I565" i="1" s="1"/>
  <c r="C566" i="1"/>
  <c r="I566" i="1" s="1"/>
  <c r="C567" i="1"/>
  <c r="I567" i="1" s="1"/>
  <c r="C568" i="1"/>
  <c r="I568" i="1" s="1"/>
  <c r="C569" i="1"/>
  <c r="I569" i="1" s="1"/>
  <c r="C570" i="1"/>
  <c r="I570" i="1" s="1"/>
  <c r="C571" i="1"/>
  <c r="I571" i="1" s="1"/>
  <c r="C572" i="1"/>
  <c r="I572" i="1" s="1"/>
  <c r="C573" i="1"/>
  <c r="I573" i="1" s="1"/>
  <c r="C574" i="1"/>
  <c r="I574" i="1" s="1"/>
  <c r="C575" i="1"/>
  <c r="I575" i="1" s="1"/>
  <c r="C576" i="1"/>
  <c r="I576" i="1" s="1"/>
  <c r="C577" i="1"/>
  <c r="I577" i="1" s="1"/>
  <c r="C578" i="1"/>
  <c r="I578" i="1" s="1"/>
  <c r="C579" i="1"/>
  <c r="I579" i="1" s="1"/>
  <c r="C580" i="1"/>
  <c r="I580" i="1" s="1"/>
  <c r="C581" i="1"/>
  <c r="I581" i="1" s="1"/>
  <c r="C582" i="1"/>
  <c r="I582" i="1" s="1"/>
  <c r="C583" i="1"/>
  <c r="I583" i="1" s="1"/>
  <c r="C584" i="1"/>
  <c r="I584" i="1" s="1"/>
  <c r="C585" i="1"/>
  <c r="I585" i="1" s="1"/>
  <c r="C586" i="1"/>
  <c r="I586" i="1" s="1"/>
  <c r="C587" i="1"/>
  <c r="I587" i="1" s="1"/>
  <c r="C588" i="1"/>
  <c r="I588" i="1" s="1"/>
  <c r="C589" i="1"/>
  <c r="I589" i="1" s="1"/>
  <c r="C590" i="1"/>
  <c r="I590" i="1" s="1"/>
  <c r="C591" i="1"/>
  <c r="I591" i="1" s="1"/>
  <c r="C592" i="1"/>
  <c r="I592" i="1" s="1"/>
  <c r="C593" i="1"/>
  <c r="I593" i="1" s="1"/>
  <c r="C594" i="1"/>
  <c r="I594" i="1" s="1"/>
  <c r="C595" i="1"/>
  <c r="I595" i="1" s="1"/>
  <c r="C596" i="1"/>
  <c r="I596" i="1" s="1"/>
  <c r="C597" i="1"/>
  <c r="I597" i="1" s="1"/>
  <c r="C598" i="1"/>
  <c r="I598" i="1" s="1"/>
  <c r="C599" i="1"/>
  <c r="I599" i="1" s="1"/>
  <c r="C600" i="1"/>
  <c r="I600" i="1" s="1"/>
  <c r="C601" i="1"/>
  <c r="I601" i="1" s="1"/>
  <c r="C602" i="1"/>
  <c r="I602" i="1" s="1"/>
  <c r="C603" i="1"/>
  <c r="I603" i="1" s="1"/>
  <c r="C604" i="1"/>
  <c r="I604" i="1" s="1"/>
  <c r="C605" i="1"/>
  <c r="I605" i="1" s="1"/>
  <c r="C606" i="1"/>
  <c r="I606" i="1" s="1"/>
  <c r="C607" i="1"/>
  <c r="I607" i="1" s="1"/>
  <c r="C608" i="1"/>
  <c r="I608" i="1" s="1"/>
  <c r="C609" i="1"/>
  <c r="I609" i="1" s="1"/>
  <c r="C610" i="1"/>
  <c r="I610" i="1" s="1"/>
  <c r="C611" i="1"/>
  <c r="I611" i="1" s="1"/>
  <c r="C612" i="1"/>
  <c r="I612" i="1" s="1"/>
  <c r="C613" i="1"/>
  <c r="I613" i="1" s="1"/>
  <c r="C614" i="1"/>
  <c r="I614" i="1" s="1"/>
  <c r="C615" i="1"/>
  <c r="I615" i="1" s="1"/>
  <c r="C616" i="1"/>
  <c r="I616" i="1" s="1"/>
  <c r="C617" i="1"/>
  <c r="I617" i="1" s="1"/>
  <c r="C618" i="1"/>
  <c r="I618" i="1" s="1"/>
  <c r="C619" i="1"/>
  <c r="I619" i="1" s="1"/>
  <c r="C620" i="1"/>
  <c r="I620" i="1" s="1"/>
  <c r="C621" i="1"/>
  <c r="I621" i="1" s="1"/>
  <c r="C622" i="1"/>
  <c r="I622" i="1" s="1"/>
  <c r="C623" i="1"/>
  <c r="I623" i="1" s="1"/>
  <c r="C624" i="1"/>
  <c r="I624" i="1" s="1"/>
  <c r="C625" i="1"/>
  <c r="I625" i="1" s="1"/>
  <c r="C626" i="1"/>
  <c r="I626" i="1" s="1"/>
  <c r="C627" i="1"/>
  <c r="I627" i="1" s="1"/>
  <c r="C628" i="1"/>
  <c r="I628" i="1" s="1"/>
  <c r="C629" i="1"/>
  <c r="I629" i="1" s="1"/>
  <c r="C630" i="1"/>
  <c r="I630" i="1" s="1"/>
  <c r="C631" i="1"/>
  <c r="I631" i="1" s="1"/>
  <c r="C632" i="1"/>
  <c r="I632" i="1" s="1"/>
  <c r="C633" i="1"/>
  <c r="I633" i="1" s="1"/>
  <c r="C634" i="1"/>
  <c r="I634" i="1" s="1"/>
  <c r="C635" i="1"/>
  <c r="I635" i="1" s="1"/>
  <c r="C636" i="1"/>
  <c r="I636" i="1" s="1"/>
  <c r="C637" i="1"/>
  <c r="I637" i="1" s="1"/>
  <c r="C638" i="1"/>
  <c r="I638" i="1" s="1"/>
  <c r="C639" i="1"/>
  <c r="I639" i="1" s="1"/>
  <c r="C640" i="1"/>
  <c r="I640" i="1" s="1"/>
  <c r="C641" i="1"/>
  <c r="I641" i="1" s="1"/>
  <c r="C642" i="1"/>
  <c r="I642" i="1" s="1"/>
  <c r="C643" i="1"/>
  <c r="I643" i="1" s="1"/>
  <c r="C644" i="1"/>
  <c r="I644" i="1" s="1"/>
  <c r="C645" i="1"/>
  <c r="I645" i="1" s="1"/>
  <c r="C646" i="1"/>
  <c r="I646" i="1" s="1"/>
  <c r="C647" i="1"/>
  <c r="I647" i="1" s="1"/>
  <c r="C648" i="1"/>
  <c r="I648" i="1" s="1"/>
  <c r="C649" i="1"/>
  <c r="I649" i="1" s="1"/>
  <c r="C650" i="1"/>
  <c r="I650" i="1" s="1"/>
  <c r="C651" i="1"/>
  <c r="I651" i="1" s="1"/>
  <c r="C652" i="1"/>
  <c r="I652" i="1" s="1"/>
  <c r="C653" i="1"/>
  <c r="I653" i="1" s="1"/>
  <c r="C654" i="1"/>
  <c r="I654" i="1" s="1"/>
  <c r="C655" i="1"/>
  <c r="I655" i="1" s="1"/>
  <c r="C656" i="1"/>
  <c r="I656" i="1" s="1"/>
  <c r="C657" i="1"/>
  <c r="I657" i="1" s="1"/>
  <c r="C658" i="1"/>
  <c r="I658" i="1" s="1"/>
  <c r="C659" i="1"/>
  <c r="I659" i="1" s="1"/>
  <c r="C660" i="1"/>
  <c r="I660" i="1" s="1"/>
  <c r="C661" i="1"/>
  <c r="I661" i="1" s="1"/>
  <c r="C662" i="1"/>
  <c r="I662" i="1" s="1"/>
  <c r="C663" i="1"/>
  <c r="I663" i="1" s="1"/>
  <c r="C664" i="1"/>
  <c r="I664" i="1" s="1"/>
  <c r="C665" i="1"/>
  <c r="I665" i="1" s="1"/>
  <c r="C666" i="1"/>
  <c r="I666" i="1" s="1"/>
  <c r="C667" i="1"/>
  <c r="I667" i="1" s="1"/>
  <c r="C668" i="1"/>
  <c r="I668" i="1" s="1"/>
  <c r="C669" i="1"/>
  <c r="I669" i="1" s="1"/>
  <c r="C670" i="1"/>
  <c r="I670" i="1" s="1"/>
  <c r="C671" i="1"/>
  <c r="I671" i="1" s="1"/>
  <c r="C672" i="1"/>
  <c r="I672" i="1" s="1"/>
  <c r="C673" i="1"/>
  <c r="I673" i="1" s="1"/>
  <c r="C674" i="1"/>
  <c r="I674" i="1" s="1"/>
  <c r="C675" i="1"/>
  <c r="I675" i="1" s="1"/>
  <c r="C676" i="1"/>
  <c r="I676" i="1" s="1"/>
  <c r="C677" i="1"/>
  <c r="I677" i="1" s="1"/>
  <c r="C678" i="1"/>
  <c r="I678" i="1" s="1"/>
  <c r="C679" i="1"/>
  <c r="I679" i="1" s="1"/>
  <c r="C680" i="1"/>
  <c r="I680" i="1" s="1"/>
  <c r="C681" i="1"/>
  <c r="I681" i="1" s="1"/>
  <c r="C682" i="1"/>
  <c r="I682" i="1" s="1"/>
  <c r="C683" i="1"/>
  <c r="I683" i="1" s="1"/>
  <c r="C684" i="1"/>
  <c r="I684" i="1" s="1"/>
  <c r="C685" i="1"/>
  <c r="I685" i="1" s="1"/>
  <c r="C686" i="1"/>
  <c r="I686" i="1" s="1"/>
  <c r="C687" i="1"/>
  <c r="I687" i="1" s="1"/>
  <c r="C688" i="1"/>
  <c r="I688" i="1" s="1"/>
  <c r="C689" i="1"/>
  <c r="I689" i="1" s="1"/>
  <c r="C690" i="1"/>
  <c r="I690" i="1" s="1"/>
  <c r="C691" i="1"/>
  <c r="I691" i="1" s="1"/>
  <c r="C692" i="1"/>
  <c r="I692" i="1" s="1"/>
  <c r="C693" i="1"/>
  <c r="I693" i="1" s="1"/>
  <c r="C694" i="1"/>
  <c r="I694" i="1" s="1"/>
  <c r="C695" i="1"/>
  <c r="I695" i="1" s="1"/>
  <c r="C696" i="1"/>
  <c r="I696" i="1" s="1"/>
  <c r="C697" i="1"/>
  <c r="I697" i="1" s="1"/>
  <c r="C698" i="1"/>
  <c r="I698" i="1" s="1"/>
  <c r="C699" i="1"/>
  <c r="I699" i="1" s="1"/>
  <c r="C700" i="1"/>
  <c r="I700" i="1" s="1"/>
  <c r="C701" i="1"/>
  <c r="I701" i="1" s="1"/>
  <c r="C702" i="1"/>
  <c r="I702" i="1" s="1"/>
  <c r="C703" i="1"/>
  <c r="I703" i="1" s="1"/>
  <c r="C704" i="1"/>
  <c r="I704" i="1" s="1"/>
  <c r="C705" i="1"/>
  <c r="I705" i="1" s="1"/>
  <c r="C706" i="1"/>
  <c r="I706" i="1" s="1"/>
  <c r="C707" i="1"/>
  <c r="I707" i="1" s="1"/>
  <c r="C708" i="1"/>
  <c r="I708" i="1" s="1"/>
  <c r="C709" i="1"/>
  <c r="I709" i="1" s="1"/>
  <c r="C710" i="1"/>
  <c r="I710" i="1" s="1"/>
  <c r="C711" i="1"/>
  <c r="I711" i="1" s="1"/>
  <c r="C712" i="1"/>
  <c r="I712" i="1" s="1"/>
  <c r="C713" i="1"/>
  <c r="I713" i="1" s="1"/>
  <c r="C714" i="1"/>
  <c r="I714" i="1" s="1"/>
  <c r="C715" i="1"/>
  <c r="I715" i="1" s="1"/>
  <c r="C716" i="1"/>
  <c r="I716" i="1" s="1"/>
  <c r="C717" i="1"/>
  <c r="I717" i="1" s="1"/>
  <c r="C718" i="1"/>
  <c r="I718" i="1" s="1"/>
  <c r="C719" i="1"/>
  <c r="I719" i="1" s="1"/>
  <c r="C720" i="1"/>
  <c r="I720" i="1" s="1"/>
  <c r="C721" i="1"/>
  <c r="I721" i="1" s="1"/>
  <c r="C722" i="1"/>
  <c r="I722" i="1" s="1"/>
  <c r="C723" i="1"/>
  <c r="I723" i="1" s="1"/>
  <c r="C724" i="1"/>
  <c r="I724" i="1" s="1"/>
  <c r="C725" i="1"/>
  <c r="I725" i="1" s="1"/>
  <c r="C726" i="1"/>
  <c r="I726" i="1" s="1"/>
  <c r="C727" i="1"/>
  <c r="I727" i="1" s="1"/>
  <c r="C728" i="1"/>
  <c r="I728" i="1" s="1"/>
  <c r="C729" i="1"/>
  <c r="I729" i="1" s="1"/>
  <c r="C730" i="1"/>
  <c r="I730" i="1" s="1"/>
  <c r="C731" i="1"/>
  <c r="I731" i="1" s="1"/>
  <c r="C732" i="1"/>
  <c r="I732" i="1" s="1"/>
  <c r="C733" i="1"/>
  <c r="I733" i="1" s="1"/>
  <c r="C734" i="1"/>
  <c r="I734" i="1" s="1"/>
  <c r="C735" i="1"/>
  <c r="I735" i="1" s="1"/>
  <c r="C736" i="1"/>
  <c r="I736" i="1" s="1"/>
  <c r="C737" i="1"/>
  <c r="I737" i="1" s="1"/>
  <c r="C738" i="1"/>
  <c r="I738" i="1" s="1"/>
  <c r="C739" i="1"/>
  <c r="I739" i="1" s="1"/>
  <c r="C740" i="1"/>
  <c r="I740" i="1" s="1"/>
  <c r="C741" i="1"/>
  <c r="I741" i="1" s="1"/>
  <c r="C742" i="1"/>
  <c r="I742" i="1" s="1"/>
  <c r="C743" i="1"/>
  <c r="I743" i="1" s="1"/>
  <c r="C744" i="1"/>
  <c r="I744" i="1" s="1"/>
  <c r="C745" i="1"/>
  <c r="I745" i="1" s="1"/>
  <c r="C746" i="1"/>
  <c r="I746" i="1" s="1"/>
  <c r="C747" i="1"/>
  <c r="I747" i="1" s="1"/>
  <c r="C748" i="1"/>
  <c r="I748" i="1" s="1"/>
  <c r="C749" i="1"/>
  <c r="I749" i="1" s="1"/>
  <c r="C750" i="1"/>
  <c r="I750" i="1" s="1"/>
  <c r="C751" i="1"/>
  <c r="I751" i="1" s="1"/>
  <c r="C752" i="1"/>
  <c r="I752" i="1" s="1"/>
  <c r="C753" i="1"/>
  <c r="I753" i="1" s="1"/>
  <c r="C754" i="1"/>
  <c r="I754" i="1" s="1"/>
  <c r="C755" i="1"/>
  <c r="I755" i="1" s="1"/>
  <c r="C756" i="1"/>
  <c r="I756" i="1" s="1"/>
  <c r="C757" i="1"/>
  <c r="I757" i="1" s="1"/>
  <c r="C758" i="1"/>
  <c r="I758" i="1" s="1"/>
  <c r="C759" i="1"/>
  <c r="I759" i="1" s="1"/>
  <c r="C760" i="1"/>
  <c r="I760" i="1" s="1"/>
  <c r="C761" i="1"/>
  <c r="I761" i="1" s="1"/>
  <c r="C762" i="1"/>
  <c r="I762" i="1" s="1"/>
  <c r="C763" i="1"/>
  <c r="I763" i="1" s="1"/>
  <c r="C764" i="1"/>
  <c r="I764" i="1" s="1"/>
  <c r="C765" i="1"/>
  <c r="I765" i="1" s="1"/>
  <c r="C766" i="1"/>
  <c r="I766" i="1" s="1"/>
  <c r="C767" i="1"/>
  <c r="I767" i="1" s="1"/>
  <c r="C768" i="1"/>
  <c r="I768" i="1" s="1"/>
  <c r="C769" i="1"/>
  <c r="I769" i="1" s="1"/>
  <c r="C770" i="1"/>
  <c r="I770" i="1" s="1"/>
  <c r="C771" i="1"/>
  <c r="I771" i="1" s="1"/>
  <c r="C772" i="1"/>
  <c r="I772" i="1" s="1"/>
  <c r="C773" i="1"/>
  <c r="I773" i="1" s="1"/>
  <c r="C774" i="1"/>
  <c r="I774" i="1" s="1"/>
  <c r="C775" i="1"/>
  <c r="I775" i="1" s="1"/>
  <c r="C776" i="1"/>
  <c r="I776" i="1" s="1"/>
  <c r="C777" i="1"/>
  <c r="I777" i="1" s="1"/>
  <c r="C778" i="1"/>
  <c r="I778" i="1" s="1"/>
  <c r="C779" i="1"/>
  <c r="I779" i="1" s="1"/>
  <c r="C780" i="1"/>
  <c r="I780" i="1" s="1"/>
  <c r="C781" i="1"/>
  <c r="I781" i="1" s="1"/>
  <c r="C782" i="1"/>
  <c r="I782" i="1" s="1"/>
  <c r="C783" i="1"/>
  <c r="I783" i="1" s="1"/>
  <c r="C784" i="1"/>
  <c r="I784" i="1" s="1"/>
  <c r="C785" i="1"/>
  <c r="I785" i="1" s="1"/>
  <c r="C786" i="1"/>
  <c r="I786" i="1" s="1"/>
  <c r="C787" i="1"/>
  <c r="I787" i="1" s="1"/>
  <c r="C788" i="1"/>
  <c r="I788" i="1" s="1"/>
  <c r="C789" i="1"/>
  <c r="I789" i="1" s="1"/>
  <c r="C790" i="1"/>
  <c r="I790" i="1" s="1"/>
  <c r="C791" i="1"/>
  <c r="I791" i="1" s="1"/>
  <c r="C792" i="1"/>
  <c r="I792" i="1" s="1"/>
  <c r="C793" i="1"/>
  <c r="I793" i="1" s="1"/>
  <c r="C794" i="1"/>
  <c r="I794" i="1" s="1"/>
  <c r="C795" i="1"/>
  <c r="I795" i="1" s="1"/>
  <c r="C796" i="1"/>
  <c r="I796" i="1" s="1"/>
  <c r="C797" i="1"/>
  <c r="I797" i="1" s="1"/>
  <c r="C798" i="1"/>
  <c r="I798" i="1" s="1"/>
  <c r="C799" i="1"/>
  <c r="I799" i="1" s="1"/>
  <c r="C800" i="1"/>
  <c r="I800" i="1" s="1"/>
  <c r="C801" i="1"/>
  <c r="I801" i="1" s="1"/>
  <c r="C802" i="1"/>
  <c r="I802" i="1" s="1"/>
  <c r="C803" i="1"/>
  <c r="I803" i="1" s="1"/>
  <c r="C804" i="1"/>
  <c r="I804" i="1" s="1"/>
  <c r="C805" i="1"/>
  <c r="I805" i="1" s="1"/>
  <c r="C806" i="1"/>
  <c r="I806" i="1" s="1"/>
  <c r="C807" i="1"/>
  <c r="I807" i="1" s="1"/>
  <c r="C808" i="1"/>
  <c r="I808" i="1" s="1"/>
  <c r="C809" i="1"/>
  <c r="I809" i="1" s="1"/>
  <c r="C810" i="1"/>
  <c r="I810" i="1" s="1"/>
  <c r="C811" i="1"/>
  <c r="I811" i="1" s="1"/>
  <c r="C812" i="1"/>
  <c r="I812" i="1" s="1"/>
  <c r="C813" i="1"/>
  <c r="I813" i="1" s="1"/>
  <c r="C814" i="1"/>
  <c r="I814" i="1" s="1"/>
  <c r="C815" i="1"/>
  <c r="I815" i="1" s="1"/>
  <c r="C816" i="1"/>
  <c r="I816" i="1" s="1"/>
  <c r="C817" i="1"/>
  <c r="I817" i="1" s="1"/>
  <c r="C818" i="1"/>
  <c r="I818" i="1" s="1"/>
  <c r="C819" i="1"/>
  <c r="I819" i="1" s="1"/>
  <c r="C820" i="1"/>
  <c r="I820" i="1" s="1"/>
  <c r="C821" i="1"/>
  <c r="I821" i="1" s="1"/>
  <c r="C822" i="1"/>
  <c r="I822" i="1" s="1"/>
  <c r="C823" i="1"/>
  <c r="I823" i="1" s="1"/>
  <c r="C824" i="1"/>
  <c r="I824" i="1" s="1"/>
  <c r="C825" i="1"/>
  <c r="I825" i="1" s="1"/>
  <c r="C826" i="1"/>
  <c r="I826" i="1" s="1"/>
  <c r="C827" i="1"/>
  <c r="I827" i="1" s="1"/>
  <c r="C828" i="1"/>
  <c r="I828" i="1" s="1"/>
  <c r="C829" i="1"/>
  <c r="I829" i="1" s="1"/>
  <c r="C830" i="1"/>
  <c r="I830" i="1" s="1"/>
  <c r="C831" i="1"/>
  <c r="I831" i="1" s="1"/>
  <c r="C832" i="1"/>
  <c r="I832" i="1" s="1"/>
  <c r="C833" i="1"/>
  <c r="I833" i="1" s="1"/>
  <c r="C834" i="1"/>
  <c r="I834" i="1" s="1"/>
  <c r="C835" i="1"/>
  <c r="I835" i="1" s="1"/>
  <c r="C836" i="1"/>
  <c r="I836" i="1" s="1"/>
  <c r="C837" i="1"/>
  <c r="I837" i="1" s="1"/>
  <c r="C838" i="1"/>
  <c r="I838" i="1" s="1"/>
  <c r="C839" i="1"/>
  <c r="I839" i="1" s="1"/>
  <c r="C840" i="1"/>
  <c r="I840" i="1" s="1"/>
  <c r="C841" i="1"/>
  <c r="I841" i="1" s="1"/>
  <c r="C842" i="1"/>
  <c r="I842" i="1" s="1"/>
  <c r="C843" i="1"/>
  <c r="I843" i="1" s="1"/>
  <c r="C844" i="1"/>
  <c r="I844" i="1" s="1"/>
  <c r="C845" i="1"/>
  <c r="I845" i="1" s="1"/>
  <c r="C846" i="1"/>
  <c r="I846" i="1" s="1"/>
  <c r="C847" i="1"/>
  <c r="I847" i="1" s="1"/>
  <c r="C848" i="1"/>
  <c r="I848" i="1" s="1"/>
  <c r="C849" i="1"/>
  <c r="I849" i="1" s="1"/>
  <c r="C850" i="1"/>
  <c r="I850" i="1" s="1"/>
  <c r="C851" i="1"/>
  <c r="I851" i="1" s="1"/>
  <c r="C852" i="1"/>
  <c r="I852" i="1" s="1"/>
  <c r="C853" i="1"/>
  <c r="I853" i="1" s="1"/>
  <c r="C854" i="1"/>
  <c r="I854" i="1" s="1"/>
  <c r="C855" i="1"/>
  <c r="I855" i="1" s="1"/>
  <c r="C856" i="1"/>
  <c r="I856" i="1" s="1"/>
  <c r="C857" i="1"/>
  <c r="I857" i="1" s="1"/>
  <c r="C858" i="1"/>
  <c r="I858" i="1" s="1"/>
  <c r="C859" i="1"/>
  <c r="I859" i="1" s="1"/>
  <c r="C860" i="1"/>
  <c r="I860" i="1" s="1"/>
  <c r="C861" i="1"/>
  <c r="I861" i="1" s="1"/>
  <c r="C862" i="1"/>
  <c r="I862" i="1" s="1"/>
  <c r="C863" i="1"/>
  <c r="I863" i="1" s="1"/>
  <c r="C864" i="1"/>
  <c r="I864" i="1" s="1"/>
  <c r="C865" i="1"/>
  <c r="I865" i="1" s="1"/>
  <c r="C866" i="1"/>
  <c r="I866" i="1" s="1"/>
  <c r="C867" i="1"/>
  <c r="I867" i="1" s="1"/>
  <c r="C868" i="1"/>
  <c r="I868" i="1" s="1"/>
  <c r="C869" i="1"/>
  <c r="I869" i="1" s="1"/>
  <c r="C870" i="1"/>
  <c r="I870" i="1" s="1"/>
  <c r="C871" i="1"/>
  <c r="I871" i="1" s="1"/>
  <c r="C872" i="1"/>
  <c r="I872" i="1" s="1"/>
  <c r="C873" i="1"/>
  <c r="I873" i="1" s="1"/>
  <c r="C874" i="1"/>
  <c r="I874" i="1" s="1"/>
  <c r="C875" i="1"/>
  <c r="I875" i="1" s="1"/>
  <c r="C876" i="1"/>
  <c r="I876" i="1" s="1"/>
  <c r="C877" i="1"/>
  <c r="I877" i="1" s="1"/>
  <c r="C878" i="1"/>
  <c r="I878" i="1" s="1"/>
  <c r="C879" i="1"/>
  <c r="I879" i="1" s="1"/>
  <c r="C880" i="1"/>
  <c r="I880" i="1" s="1"/>
  <c r="C881" i="1"/>
  <c r="I881" i="1" s="1"/>
  <c r="C882" i="1"/>
  <c r="I882" i="1" s="1"/>
  <c r="C883" i="1"/>
  <c r="I883" i="1" s="1"/>
  <c r="C884" i="1"/>
  <c r="I884" i="1" s="1"/>
  <c r="C885" i="1"/>
  <c r="I885" i="1" s="1"/>
  <c r="C886" i="1"/>
  <c r="I886" i="1" s="1"/>
  <c r="C887" i="1"/>
  <c r="I887" i="1" s="1"/>
  <c r="C888" i="1"/>
  <c r="I888" i="1" s="1"/>
  <c r="C889" i="1"/>
  <c r="I889" i="1" s="1"/>
  <c r="C890" i="1"/>
  <c r="I890" i="1" s="1"/>
  <c r="C891" i="1"/>
  <c r="I891" i="1" s="1"/>
  <c r="C892" i="1"/>
  <c r="I892" i="1" s="1"/>
  <c r="C893" i="1"/>
  <c r="I893" i="1" s="1"/>
  <c r="C894" i="1"/>
  <c r="I894" i="1" s="1"/>
  <c r="C895" i="1"/>
  <c r="I895" i="1" s="1"/>
  <c r="C896" i="1"/>
  <c r="I896" i="1" s="1"/>
  <c r="C897" i="1"/>
  <c r="I897" i="1" s="1"/>
  <c r="C898" i="1"/>
  <c r="I898" i="1" s="1"/>
  <c r="C899" i="1"/>
  <c r="I899" i="1" s="1"/>
  <c r="C900" i="1"/>
  <c r="I900" i="1" s="1"/>
  <c r="C901" i="1"/>
  <c r="I901" i="1" s="1"/>
  <c r="C902" i="1"/>
  <c r="I902" i="1" s="1"/>
  <c r="C903" i="1"/>
  <c r="I903" i="1" s="1"/>
  <c r="C904" i="1"/>
  <c r="I904" i="1" s="1"/>
  <c r="C905" i="1"/>
  <c r="I905" i="1" s="1"/>
  <c r="C906" i="1"/>
  <c r="I906" i="1" s="1"/>
  <c r="C907" i="1"/>
  <c r="I907" i="1" s="1"/>
  <c r="C908" i="1"/>
  <c r="I908" i="1" s="1"/>
  <c r="C909" i="1"/>
  <c r="I909" i="1" s="1"/>
  <c r="C910" i="1"/>
  <c r="I910" i="1" s="1"/>
  <c r="C911" i="1"/>
  <c r="I911" i="1" s="1"/>
  <c r="C912" i="1"/>
  <c r="I912" i="1" s="1"/>
  <c r="C913" i="1"/>
  <c r="I913" i="1" s="1"/>
  <c r="C914" i="1"/>
  <c r="I914" i="1" s="1"/>
  <c r="C915" i="1"/>
  <c r="I915" i="1" s="1"/>
  <c r="C916" i="1"/>
  <c r="I916" i="1" s="1"/>
  <c r="C917" i="1"/>
  <c r="I917" i="1" s="1"/>
  <c r="C918" i="1"/>
  <c r="I918" i="1" s="1"/>
  <c r="C919" i="1"/>
  <c r="I919" i="1" s="1"/>
  <c r="C920" i="1"/>
  <c r="I920" i="1" s="1"/>
  <c r="C921" i="1"/>
  <c r="I921" i="1" s="1"/>
  <c r="C922" i="1"/>
  <c r="I922" i="1" s="1"/>
  <c r="C923" i="1"/>
  <c r="I923" i="1" s="1"/>
  <c r="C924" i="1"/>
  <c r="I924" i="1" s="1"/>
  <c r="C925" i="1"/>
  <c r="I925" i="1" s="1"/>
  <c r="C926" i="1"/>
  <c r="I926" i="1" s="1"/>
  <c r="C927" i="1"/>
  <c r="I927" i="1" s="1"/>
  <c r="C928" i="1"/>
  <c r="I928" i="1" s="1"/>
  <c r="C929" i="1"/>
  <c r="I929" i="1" s="1"/>
  <c r="C930" i="1"/>
  <c r="I930" i="1" s="1"/>
  <c r="C931" i="1"/>
  <c r="I931" i="1" s="1"/>
  <c r="C932" i="1"/>
  <c r="I932" i="1" s="1"/>
  <c r="C933" i="1"/>
  <c r="I933" i="1" s="1"/>
  <c r="C934" i="1"/>
  <c r="I934" i="1" s="1"/>
  <c r="C935" i="1"/>
  <c r="I935" i="1" s="1"/>
  <c r="C936" i="1"/>
  <c r="I936" i="1" s="1"/>
  <c r="C937" i="1"/>
  <c r="I937" i="1" s="1"/>
  <c r="C938" i="1"/>
  <c r="I938" i="1" s="1"/>
  <c r="C939" i="1"/>
  <c r="I939" i="1" s="1"/>
  <c r="C940" i="1"/>
  <c r="I940" i="1" s="1"/>
  <c r="C941" i="1"/>
  <c r="I941" i="1" s="1"/>
  <c r="C942" i="1"/>
  <c r="I942" i="1" s="1"/>
  <c r="C943" i="1"/>
  <c r="I943" i="1" s="1"/>
  <c r="C944" i="1"/>
  <c r="I944" i="1" s="1"/>
  <c r="C945" i="1"/>
  <c r="I945" i="1" s="1"/>
  <c r="C946" i="1"/>
  <c r="I946" i="1" s="1"/>
  <c r="C947" i="1"/>
  <c r="I947" i="1" s="1"/>
  <c r="C948" i="1"/>
  <c r="I948" i="1" s="1"/>
  <c r="C949" i="1"/>
  <c r="I949" i="1" s="1"/>
  <c r="C950" i="1"/>
  <c r="I950" i="1" s="1"/>
  <c r="C951" i="1"/>
  <c r="I951" i="1" s="1"/>
  <c r="C952" i="1"/>
  <c r="I952" i="1" s="1"/>
  <c r="C953" i="1"/>
  <c r="I953" i="1" s="1"/>
  <c r="C954" i="1"/>
  <c r="I954" i="1" s="1"/>
  <c r="C955" i="1"/>
  <c r="I955" i="1" s="1"/>
  <c r="C956" i="1"/>
  <c r="I956" i="1" s="1"/>
  <c r="C957" i="1"/>
  <c r="I957" i="1" s="1"/>
  <c r="C958" i="1"/>
  <c r="I958" i="1" s="1"/>
  <c r="C959" i="1"/>
  <c r="I959" i="1" s="1"/>
  <c r="C960" i="1"/>
  <c r="I960" i="1" s="1"/>
  <c r="C961" i="1"/>
  <c r="I961" i="1" s="1"/>
  <c r="C962" i="1"/>
  <c r="I962" i="1" s="1"/>
  <c r="C963" i="1"/>
  <c r="I963" i="1" s="1"/>
  <c r="C964" i="1"/>
  <c r="I964" i="1" s="1"/>
  <c r="C965" i="1"/>
  <c r="I965" i="1" s="1"/>
  <c r="C966" i="1"/>
  <c r="I966" i="1" s="1"/>
  <c r="C967" i="1"/>
  <c r="I967" i="1" s="1"/>
  <c r="C968" i="1"/>
  <c r="I968" i="1" s="1"/>
  <c r="C969" i="1"/>
  <c r="I969" i="1" s="1"/>
  <c r="C970" i="1"/>
  <c r="I970" i="1" s="1"/>
  <c r="C971" i="1"/>
  <c r="I971" i="1" s="1"/>
  <c r="C972" i="1"/>
  <c r="I972" i="1" s="1"/>
  <c r="C973" i="1"/>
  <c r="I973" i="1" s="1"/>
  <c r="C974" i="1"/>
  <c r="I974" i="1" s="1"/>
  <c r="C975" i="1"/>
  <c r="I975" i="1" s="1"/>
  <c r="C976" i="1"/>
  <c r="I976" i="1" s="1"/>
  <c r="C977" i="1"/>
  <c r="I977" i="1" s="1"/>
  <c r="C979" i="1"/>
  <c r="I979" i="1" s="1"/>
  <c r="C980" i="1"/>
  <c r="I980" i="1" s="1"/>
  <c r="C981" i="1"/>
  <c r="I981" i="1" s="1"/>
  <c r="C982" i="1"/>
  <c r="I982" i="1" s="1"/>
  <c r="C983" i="1"/>
  <c r="I983" i="1" s="1"/>
  <c r="C984" i="1"/>
  <c r="I984" i="1" s="1"/>
  <c r="C985" i="1"/>
  <c r="I985" i="1" s="1"/>
  <c r="C986" i="1"/>
  <c r="I986" i="1" s="1"/>
  <c r="C987" i="1"/>
  <c r="I987" i="1" s="1"/>
  <c r="C988" i="1"/>
  <c r="I988" i="1" s="1"/>
  <c r="C989" i="1"/>
  <c r="I989" i="1" s="1"/>
  <c r="C990" i="1"/>
  <c r="I990" i="1" s="1"/>
  <c r="C991" i="1"/>
  <c r="I991" i="1" s="1"/>
  <c r="C992" i="1"/>
  <c r="I992" i="1" s="1"/>
  <c r="C993" i="1"/>
  <c r="I993" i="1" s="1"/>
  <c r="C994" i="1"/>
  <c r="I994" i="1" s="1"/>
  <c r="C995" i="1"/>
  <c r="I995" i="1" s="1"/>
  <c r="C996" i="1"/>
  <c r="I996" i="1" s="1"/>
  <c r="C997" i="1"/>
  <c r="I997" i="1" s="1"/>
  <c r="C998" i="1"/>
  <c r="I998" i="1" s="1"/>
  <c r="C999" i="1"/>
  <c r="I999" i="1" s="1"/>
  <c r="C1000" i="1"/>
  <c r="I1000" i="1" s="1"/>
  <c r="C1001" i="1"/>
  <c r="I1001" i="1" s="1"/>
  <c r="C1002" i="1"/>
  <c r="I1002" i="1" s="1"/>
  <c r="C1003" i="1"/>
  <c r="I1003" i="1" s="1"/>
  <c r="C1004" i="1"/>
  <c r="I1004" i="1" s="1"/>
  <c r="C1005" i="1"/>
  <c r="I1005" i="1" s="1"/>
  <c r="C1006" i="1"/>
  <c r="I1006" i="1" s="1"/>
  <c r="C1007" i="1"/>
  <c r="I1007" i="1" s="1"/>
  <c r="C1008" i="1"/>
  <c r="I1008" i="1" s="1"/>
  <c r="C1009" i="1"/>
  <c r="I1009" i="1" s="1"/>
  <c r="C1010" i="1"/>
  <c r="I1010" i="1" s="1"/>
  <c r="C1011" i="1"/>
  <c r="I1011" i="1" s="1"/>
  <c r="C1012" i="1"/>
  <c r="I1012" i="1" s="1"/>
  <c r="C1013" i="1"/>
  <c r="I1013" i="1" s="1"/>
  <c r="C1014" i="1"/>
  <c r="I1014" i="1" s="1"/>
  <c r="C1015" i="1"/>
  <c r="I1015" i="1" s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K3" i="1"/>
  <c r="L3" i="1" s="1"/>
  <c r="K4" i="1"/>
  <c r="L4" i="1" s="1"/>
  <c r="N4" i="1" s="1"/>
  <c r="K5" i="1"/>
  <c r="L5" i="1" s="1"/>
  <c r="K6" i="1"/>
  <c r="L6" i="1" s="1"/>
  <c r="K7" i="1"/>
  <c r="L7" i="1" s="1"/>
  <c r="N7" i="1" s="1"/>
  <c r="K8" i="1"/>
  <c r="L8" i="1" s="1"/>
  <c r="K9" i="1"/>
  <c r="L9" i="1" s="1"/>
  <c r="K10" i="1"/>
  <c r="L10" i="1" s="1"/>
  <c r="N10" i="1" s="1"/>
  <c r="K11" i="1"/>
  <c r="L11" i="1" s="1"/>
  <c r="K12" i="1"/>
  <c r="L12" i="1" s="1"/>
  <c r="K13" i="1"/>
  <c r="L13" i="1" s="1"/>
  <c r="N13" i="1" s="1"/>
  <c r="K14" i="1"/>
  <c r="L14" i="1" s="1"/>
  <c r="K15" i="1"/>
  <c r="L15" i="1" s="1"/>
  <c r="K16" i="1"/>
  <c r="K17" i="1"/>
  <c r="L17" i="1" s="1"/>
  <c r="K18" i="1"/>
  <c r="L18" i="1" s="1"/>
  <c r="K19" i="1"/>
  <c r="L19" i="1" s="1"/>
  <c r="N19" i="1" s="1"/>
  <c r="K20" i="1"/>
  <c r="L20" i="1" s="1"/>
  <c r="K21" i="1"/>
  <c r="L21" i="1" s="1"/>
  <c r="K22" i="1"/>
  <c r="L22" i="1" s="1"/>
  <c r="N22" i="1" s="1"/>
  <c r="K23" i="1"/>
  <c r="L23" i="1" s="1"/>
  <c r="M23" i="1" s="1"/>
  <c r="K24" i="1"/>
  <c r="K25" i="1"/>
  <c r="L25" i="1" s="1"/>
  <c r="K26" i="1"/>
  <c r="L26" i="1" s="1"/>
  <c r="M26" i="1" s="1"/>
  <c r="K27" i="1"/>
  <c r="L27" i="1" s="1"/>
  <c r="N27" i="1" s="1"/>
  <c r="K28" i="1"/>
  <c r="L28" i="1" s="1"/>
  <c r="K29" i="1"/>
  <c r="L29" i="1" s="1"/>
  <c r="M29" i="1" s="1"/>
  <c r="K30" i="1"/>
  <c r="L30" i="1" s="1"/>
  <c r="K31" i="1"/>
  <c r="L31" i="1" s="1"/>
  <c r="K32" i="1"/>
  <c r="L32" i="1" s="1"/>
  <c r="M32" i="1" s="1"/>
  <c r="K33" i="1"/>
  <c r="L33" i="1" s="1"/>
  <c r="N33" i="1" s="1"/>
  <c r="K34" i="1"/>
  <c r="L34" i="1" s="1"/>
  <c r="N34" i="1" s="1"/>
  <c r="K35" i="1"/>
  <c r="L35" i="1" s="1"/>
  <c r="M35" i="1" s="1"/>
  <c r="K36" i="1"/>
  <c r="L36" i="1" s="1"/>
  <c r="N36" i="1" s="1"/>
  <c r="K37" i="1"/>
  <c r="L37" i="1" s="1"/>
  <c r="N37" i="1" s="1"/>
  <c r="K38" i="1"/>
  <c r="L38" i="1" s="1"/>
  <c r="K39" i="1"/>
  <c r="L39" i="1" s="1"/>
  <c r="N39" i="1" s="1"/>
  <c r="K40" i="1"/>
  <c r="L40" i="1" s="1"/>
  <c r="N40" i="1" s="1"/>
  <c r="K41" i="1"/>
  <c r="L41" i="1" s="1"/>
  <c r="K42" i="1"/>
  <c r="L42" i="1" s="1"/>
  <c r="M42" i="1" s="1"/>
  <c r="K43" i="1"/>
  <c r="L43" i="1" s="1"/>
  <c r="N43" i="1" s="1"/>
  <c r="K44" i="1"/>
  <c r="L44" i="1" s="1"/>
  <c r="K45" i="1"/>
  <c r="L45" i="1" s="1"/>
  <c r="M45" i="1" s="1"/>
  <c r="K46" i="1"/>
  <c r="L46" i="1" s="1"/>
  <c r="N46" i="1" s="1"/>
  <c r="K47" i="1"/>
  <c r="L47" i="1" s="1"/>
  <c r="K48" i="1"/>
  <c r="L48" i="1" s="1"/>
  <c r="M48" i="1" s="1"/>
  <c r="K49" i="1"/>
  <c r="L49" i="1" s="1"/>
  <c r="N49" i="1" s="1"/>
  <c r="K50" i="1"/>
  <c r="K51" i="1"/>
  <c r="L51" i="1" s="1"/>
  <c r="M51" i="1" s="1"/>
  <c r="K52" i="1"/>
  <c r="L52" i="1" s="1"/>
  <c r="N52" i="1" s="1"/>
  <c r="K53" i="1"/>
  <c r="L53" i="1" s="1"/>
  <c r="K54" i="1"/>
  <c r="L54" i="1" s="1"/>
  <c r="M54" i="1" s="1"/>
  <c r="K55" i="1"/>
  <c r="L55" i="1" s="1"/>
  <c r="N55" i="1" s="1"/>
  <c r="K56" i="1"/>
  <c r="L56" i="1" s="1"/>
  <c r="K57" i="1"/>
  <c r="K58" i="1"/>
  <c r="L58" i="1" s="1"/>
  <c r="K59" i="1"/>
  <c r="L59" i="1" s="1"/>
  <c r="M59" i="1" s="1"/>
  <c r="K60" i="1"/>
  <c r="L60" i="1" s="1"/>
  <c r="N60" i="1" s="1"/>
  <c r="K61" i="1"/>
  <c r="L61" i="1" s="1"/>
  <c r="N61" i="1" s="1"/>
  <c r="K62" i="1"/>
  <c r="L62" i="1" s="1"/>
  <c r="K63" i="1"/>
  <c r="L63" i="1" s="1"/>
  <c r="M63" i="1" s="1"/>
  <c r="K64" i="1"/>
  <c r="L64" i="1" s="1"/>
  <c r="K65" i="1"/>
  <c r="L65" i="1" s="1"/>
  <c r="M65" i="1" s="1"/>
  <c r="K66" i="1"/>
  <c r="L66" i="1" s="1"/>
  <c r="M66" i="1" s="1"/>
  <c r="K67" i="1"/>
  <c r="L67" i="1" s="1"/>
  <c r="N67" i="1" s="1"/>
  <c r="K68" i="1"/>
  <c r="L68" i="1" s="1"/>
  <c r="K69" i="1"/>
  <c r="L69" i="1" s="1"/>
  <c r="M69" i="1" s="1"/>
  <c r="K70" i="1"/>
  <c r="L70" i="1" s="1"/>
  <c r="K71" i="1"/>
  <c r="L71" i="1" s="1"/>
  <c r="M71" i="1" s="1"/>
  <c r="K72" i="1"/>
  <c r="L72" i="1" s="1"/>
  <c r="K73" i="1"/>
  <c r="L73" i="1" s="1"/>
  <c r="K74" i="1"/>
  <c r="K75" i="1"/>
  <c r="L75" i="1" s="1"/>
  <c r="K76" i="1"/>
  <c r="L76" i="1" s="1"/>
  <c r="K77" i="1"/>
  <c r="L77" i="1" s="1"/>
  <c r="K78" i="1"/>
  <c r="L78" i="1" s="1"/>
  <c r="N78" i="1" s="1"/>
  <c r="K79" i="1"/>
  <c r="L79" i="1" s="1"/>
  <c r="K80" i="1"/>
  <c r="L80" i="1" s="1"/>
  <c r="K81" i="1"/>
  <c r="L81" i="1" s="1"/>
  <c r="M81" i="1" s="1"/>
  <c r="K82" i="1"/>
  <c r="L82" i="1" s="1"/>
  <c r="K83" i="1"/>
  <c r="L83" i="1" s="1"/>
  <c r="M83" i="1" s="1"/>
  <c r="K84" i="1"/>
  <c r="L84" i="1" s="1"/>
  <c r="K85" i="1"/>
  <c r="L85" i="1" s="1"/>
  <c r="K86" i="1"/>
  <c r="L86" i="1" s="1"/>
  <c r="K87" i="1"/>
  <c r="L87" i="1" s="1"/>
  <c r="M87" i="1" s="1"/>
  <c r="K88" i="1"/>
  <c r="L88" i="1" s="1"/>
  <c r="K89" i="1"/>
  <c r="L89" i="1" s="1"/>
  <c r="M89" i="1" s="1"/>
  <c r="K90" i="1"/>
  <c r="L90" i="1" s="1"/>
  <c r="N90" i="1" s="1"/>
  <c r="K91" i="1"/>
  <c r="L91" i="1" s="1"/>
  <c r="N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M99" i="1" s="1"/>
  <c r="K100" i="1"/>
  <c r="L100" i="1" s="1"/>
  <c r="K101" i="1"/>
  <c r="L101" i="1" s="1"/>
  <c r="M101" i="1" s="1"/>
  <c r="K102" i="1"/>
  <c r="L102" i="1" s="1"/>
  <c r="K103" i="1"/>
  <c r="L103" i="1" s="1"/>
  <c r="K104" i="1"/>
  <c r="L104" i="1" s="1"/>
  <c r="K105" i="1"/>
  <c r="L105" i="1" s="1"/>
  <c r="M105" i="1" s="1"/>
  <c r="K106" i="1"/>
  <c r="L106" i="1" s="1"/>
  <c r="K107" i="1"/>
  <c r="L107" i="1" s="1"/>
  <c r="M107" i="1" s="1"/>
  <c r="K108" i="1"/>
  <c r="L108" i="1" s="1"/>
  <c r="N108" i="1" s="1"/>
  <c r="K109" i="1"/>
  <c r="L109" i="1" s="1"/>
  <c r="N109" i="1" s="1"/>
  <c r="K110" i="1"/>
  <c r="L110" i="1" s="1"/>
  <c r="K111" i="1"/>
  <c r="L111" i="1" s="1"/>
  <c r="K112" i="1"/>
  <c r="L112" i="1" s="1"/>
  <c r="K113" i="1"/>
  <c r="L113" i="1" s="1"/>
  <c r="M113" i="1" s="1"/>
  <c r="K114" i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N120" i="1" s="1"/>
  <c r="K121" i="1"/>
  <c r="L121" i="1" s="1"/>
  <c r="N121" i="1" s="1"/>
  <c r="K122" i="1"/>
  <c r="L122" i="1" s="1"/>
  <c r="K123" i="1"/>
  <c r="L123" i="1" s="1"/>
  <c r="K124" i="1"/>
  <c r="L124" i="1" s="1"/>
  <c r="K125" i="1"/>
  <c r="L125" i="1" s="1"/>
  <c r="M125" i="1" s="1"/>
  <c r="K126" i="1"/>
  <c r="L126" i="1" s="1"/>
  <c r="K127" i="1"/>
  <c r="L127" i="1" s="1"/>
  <c r="K128" i="1"/>
  <c r="L128" i="1" s="1"/>
  <c r="K129" i="1"/>
  <c r="L129" i="1" s="1"/>
  <c r="M129" i="1" s="1"/>
  <c r="K130" i="1"/>
  <c r="L130" i="1" s="1"/>
  <c r="K131" i="1"/>
  <c r="L131" i="1" s="1"/>
  <c r="M131" i="1" s="1"/>
  <c r="K132" i="1"/>
  <c r="L132" i="1" s="1"/>
  <c r="N132" i="1" s="1"/>
  <c r="K133" i="1"/>
  <c r="L133" i="1" s="1"/>
  <c r="N133" i="1" s="1"/>
  <c r="K134" i="1"/>
  <c r="L134" i="1" s="1"/>
  <c r="K135" i="1"/>
  <c r="L135" i="1" s="1"/>
  <c r="K136" i="1"/>
  <c r="L136" i="1" s="1"/>
  <c r="K137" i="1"/>
  <c r="L137" i="1" s="1"/>
  <c r="M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N144" i="1" s="1"/>
  <c r="K145" i="1"/>
  <c r="L145" i="1" s="1"/>
  <c r="N145" i="1" s="1"/>
  <c r="K146" i="1"/>
  <c r="L146" i="1" s="1"/>
  <c r="K147" i="1"/>
  <c r="K148" i="1"/>
  <c r="L148" i="1" s="1"/>
  <c r="K149" i="1"/>
  <c r="L149" i="1" s="1"/>
  <c r="M149" i="1" s="1"/>
  <c r="K150" i="1"/>
  <c r="L150" i="1" s="1"/>
  <c r="K151" i="1"/>
  <c r="L151" i="1" s="1"/>
  <c r="K152" i="1"/>
  <c r="L152" i="1" s="1"/>
  <c r="K153" i="1"/>
  <c r="L153" i="1" s="1"/>
  <c r="M153" i="1" s="1"/>
  <c r="K154" i="1"/>
  <c r="L154" i="1" s="1"/>
  <c r="K155" i="1"/>
  <c r="L155" i="1" s="1"/>
  <c r="M155" i="1" s="1"/>
  <c r="K156" i="1"/>
  <c r="L156" i="1" s="1"/>
  <c r="N156" i="1" s="1"/>
  <c r="K157" i="1"/>
  <c r="L157" i="1" s="1"/>
  <c r="N157" i="1" s="1"/>
  <c r="K158" i="1"/>
  <c r="L158" i="1" s="1"/>
  <c r="K159" i="1"/>
  <c r="L159" i="1" s="1"/>
  <c r="K160" i="1"/>
  <c r="L160" i="1" s="1"/>
  <c r="K161" i="1"/>
  <c r="L161" i="1" s="1"/>
  <c r="M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N168" i="1" s="1"/>
  <c r="K169" i="1"/>
  <c r="L169" i="1" s="1"/>
  <c r="N169" i="1" s="1"/>
  <c r="K170" i="1"/>
  <c r="K171" i="1"/>
  <c r="L171" i="1" s="1"/>
  <c r="K172" i="1"/>
  <c r="L172" i="1" s="1"/>
  <c r="K173" i="1"/>
  <c r="L173" i="1" s="1"/>
  <c r="M173" i="1" s="1"/>
  <c r="K174" i="1"/>
  <c r="L174" i="1" s="1"/>
  <c r="K175" i="1"/>
  <c r="L175" i="1" s="1"/>
  <c r="K176" i="1"/>
  <c r="L176" i="1" s="1"/>
  <c r="K177" i="1"/>
  <c r="L177" i="1" s="1"/>
  <c r="M177" i="1" s="1"/>
  <c r="K178" i="1"/>
  <c r="L178" i="1" s="1"/>
  <c r="K179" i="1"/>
  <c r="L179" i="1" s="1"/>
  <c r="M179" i="1" s="1"/>
  <c r="K180" i="1"/>
  <c r="L180" i="1" s="1"/>
  <c r="N180" i="1" s="1"/>
  <c r="K181" i="1"/>
  <c r="L181" i="1" s="1"/>
  <c r="N181" i="1" s="1"/>
  <c r="K182" i="1"/>
  <c r="L182" i="1" s="1"/>
  <c r="K183" i="1"/>
  <c r="L183" i="1" s="1"/>
  <c r="K184" i="1"/>
  <c r="L184" i="1" s="1"/>
  <c r="K185" i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N192" i="1" s="1"/>
  <c r="K193" i="1"/>
  <c r="L193" i="1" s="1"/>
  <c r="N193" i="1" s="1"/>
  <c r="K194" i="1"/>
  <c r="L194" i="1" s="1"/>
  <c r="K195" i="1"/>
  <c r="L195" i="1" s="1"/>
  <c r="K196" i="1"/>
  <c r="L196" i="1" s="1"/>
  <c r="K197" i="1"/>
  <c r="L197" i="1" s="1"/>
  <c r="M197" i="1" s="1"/>
  <c r="K198" i="1"/>
  <c r="L198" i="1" s="1"/>
  <c r="K199" i="1"/>
  <c r="L199" i="1" s="1"/>
  <c r="K200" i="1"/>
  <c r="K201" i="1"/>
  <c r="L201" i="1" s="1"/>
  <c r="M201" i="1" s="1"/>
  <c r="K202" i="1"/>
  <c r="L202" i="1" s="1"/>
  <c r="K203" i="1"/>
  <c r="L203" i="1" s="1"/>
  <c r="M203" i="1" s="1"/>
  <c r="K204" i="1"/>
  <c r="L204" i="1" s="1"/>
  <c r="N204" i="1" s="1"/>
  <c r="K205" i="1"/>
  <c r="L205" i="1" s="1"/>
  <c r="N205" i="1" s="1"/>
  <c r="K206" i="1"/>
  <c r="L206" i="1" s="1"/>
  <c r="M206" i="1" s="1"/>
  <c r="K207" i="1"/>
  <c r="L207" i="1" s="1"/>
  <c r="M207" i="1" s="1"/>
  <c r="K208" i="1"/>
  <c r="L208" i="1" s="1"/>
  <c r="K209" i="1"/>
  <c r="K210" i="1"/>
  <c r="L210" i="1" s="1"/>
  <c r="M210" i="1" s="1"/>
  <c r="K211" i="1"/>
  <c r="L211" i="1" s="1"/>
  <c r="M211" i="1" s="1"/>
  <c r="K212" i="1"/>
  <c r="L212" i="1" s="1"/>
  <c r="K213" i="1"/>
  <c r="L213" i="1" s="1"/>
  <c r="M213" i="1" s="1"/>
  <c r="K214" i="1"/>
  <c r="L214" i="1" s="1"/>
  <c r="M214" i="1" s="1"/>
  <c r="K215" i="1"/>
  <c r="L215" i="1" s="1"/>
  <c r="K216" i="1"/>
  <c r="L216" i="1" s="1"/>
  <c r="K217" i="1"/>
  <c r="L217" i="1" s="1"/>
  <c r="M217" i="1" s="1"/>
  <c r="K218" i="1"/>
  <c r="L218" i="1" s="1"/>
  <c r="M218" i="1" s="1"/>
  <c r="K219" i="1"/>
  <c r="L219" i="1" s="1"/>
  <c r="M219" i="1" s="1"/>
  <c r="K220" i="1"/>
  <c r="L220" i="1" s="1"/>
  <c r="K221" i="1"/>
  <c r="L221" i="1" s="1"/>
  <c r="K222" i="1"/>
  <c r="K223" i="1"/>
  <c r="L223" i="1" s="1"/>
  <c r="M223" i="1" s="1"/>
  <c r="K224" i="1"/>
  <c r="L224" i="1" s="1"/>
  <c r="K225" i="1"/>
  <c r="L225" i="1" s="1"/>
  <c r="M225" i="1" s="1"/>
  <c r="K226" i="1"/>
  <c r="L226" i="1" s="1"/>
  <c r="M226" i="1" s="1"/>
  <c r="K227" i="1"/>
  <c r="L227" i="1" s="1"/>
  <c r="K228" i="1"/>
  <c r="L228" i="1" s="1"/>
  <c r="K229" i="1"/>
  <c r="L229" i="1" s="1"/>
  <c r="M229" i="1" s="1"/>
  <c r="K230" i="1"/>
  <c r="L230" i="1" s="1"/>
  <c r="M230" i="1" s="1"/>
  <c r="K231" i="1"/>
  <c r="L231" i="1" s="1"/>
  <c r="M231" i="1" s="1"/>
  <c r="K232" i="1"/>
  <c r="L232" i="1" s="1"/>
  <c r="K233" i="1"/>
  <c r="L233" i="1" s="1"/>
  <c r="K234" i="1"/>
  <c r="L234" i="1" s="1"/>
  <c r="M234" i="1" s="1"/>
  <c r="K235" i="1"/>
  <c r="L235" i="1" s="1"/>
  <c r="K236" i="1"/>
  <c r="K237" i="1"/>
  <c r="L237" i="1" s="1"/>
  <c r="M237" i="1" s="1"/>
  <c r="K238" i="1"/>
  <c r="L238" i="1" s="1"/>
  <c r="M238" i="1" s="1"/>
  <c r="K239" i="1"/>
  <c r="L239" i="1" s="1"/>
  <c r="K240" i="1"/>
  <c r="L240" i="1" s="1"/>
  <c r="K241" i="1"/>
  <c r="L241" i="1" s="1"/>
  <c r="K242" i="1"/>
  <c r="L242" i="1" s="1"/>
  <c r="M242" i="1" s="1"/>
  <c r="K243" i="1"/>
  <c r="L243" i="1" s="1"/>
  <c r="M243" i="1" s="1"/>
  <c r="K244" i="1"/>
  <c r="L244" i="1" s="1"/>
  <c r="K245" i="1"/>
  <c r="L245" i="1" s="1"/>
  <c r="K246" i="1"/>
  <c r="L246" i="1" s="1"/>
  <c r="M246" i="1" s="1"/>
  <c r="K247" i="1"/>
  <c r="L247" i="1" s="1"/>
  <c r="K248" i="1"/>
  <c r="L248" i="1" s="1"/>
  <c r="K249" i="1"/>
  <c r="L249" i="1" s="1"/>
  <c r="M249" i="1" s="1"/>
  <c r="K250" i="1"/>
  <c r="L250" i="1" s="1"/>
  <c r="M250" i="1" s="1"/>
  <c r="K251" i="1"/>
  <c r="L251" i="1" s="1"/>
  <c r="K252" i="1"/>
  <c r="L252" i="1" s="1"/>
  <c r="K253" i="1"/>
  <c r="L253" i="1" s="1"/>
  <c r="M253" i="1" s="1"/>
  <c r="K254" i="1"/>
  <c r="K255" i="1"/>
  <c r="K256" i="1"/>
  <c r="L256" i="1" s="1"/>
  <c r="N256" i="1" s="1"/>
  <c r="K257" i="1"/>
  <c r="L257" i="1" s="1"/>
  <c r="N257" i="1" s="1"/>
  <c r="K258" i="1"/>
  <c r="L258" i="1" s="1"/>
  <c r="N258" i="1" s="1"/>
  <c r="K259" i="1"/>
  <c r="L259" i="1" s="1"/>
  <c r="N259" i="1" s="1"/>
  <c r="K260" i="1"/>
  <c r="L260" i="1" s="1"/>
  <c r="N260" i="1" s="1"/>
  <c r="K261" i="1"/>
  <c r="L261" i="1" s="1"/>
  <c r="N261" i="1" s="1"/>
  <c r="K262" i="1"/>
  <c r="L262" i="1" s="1"/>
  <c r="N262" i="1" s="1"/>
  <c r="K263" i="1"/>
  <c r="L263" i="1" s="1"/>
  <c r="N263" i="1" s="1"/>
  <c r="K264" i="1"/>
  <c r="L264" i="1" s="1"/>
  <c r="N264" i="1" s="1"/>
  <c r="K265" i="1"/>
  <c r="L265" i="1" s="1"/>
  <c r="N265" i="1" s="1"/>
  <c r="K266" i="1"/>
  <c r="L266" i="1" s="1"/>
  <c r="N266" i="1" s="1"/>
  <c r="K267" i="1"/>
  <c r="L267" i="1" s="1"/>
  <c r="N267" i="1" s="1"/>
  <c r="K268" i="1"/>
  <c r="L268" i="1" s="1"/>
  <c r="N268" i="1" s="1"/>
  <c r="K269" i="1"/>
  <c r="L269" i="1" s="1"/>
  <c r="N269" i="1" s="1"/>
  <c r="K270" i="1"/>
  <c r="L270" i="1" s="1"/>
  <c r="N270" i="1" s="1"/>
  <c r="K271" i="1"/>
  <c r="L271" i="1" s="1"/>
  <c r="N271" i="1" s="1"/>
  <c r="K272" i="1"/>
  <c r="L272" i="1" s="1"/>
  <c r="N272" i="1" s="1"/>
  <c r="K273" i="1"/>
  <c r="L273" i="1" s="1"/>
  <c r="N273" i="1" s="1"/>
  <c r="K274" i="1"/>
  <c r="L274" i="1" s="1"/>
  <c r="N274" i="1" s="1"/>
  <c r="K275" i="1"/>
  <c r="L275" i="1" s="1"/>
  <c r="N275" i="1" s="1"/>
  <c r="K276" i="1"/>
  <c r="L276" i="1" s="1"/>
  <c r="N276" i="1" s="1"/>
  <c r="K277" i="1"/>
  <c r="L277" i="1" s="1"/>
  <c r="N277" i="1" s="1"/>
  <c r="K278" i="1"/>
  <c r="L278" i="1" s="1"/>
  <c r="N278" i="1" s="1"/>
  <c r="K279" i="1"/>
  <c r="L279" i="1" s="1"/>
  <c r="N279" i="1" s="1"/>
  <c r="K280" i="1"/>
  <c r="L280" i="1" s="1"/>
  <c r="N280" i="1" s="1"/>
  <c r="K281" i="1"/>
  <c r="K282" i="1"/>
  <c r="L282" i="1" s="1"/>
  <c r="N282" i="1" s="1"/>
  <c r="K283" i="1"/>
  <c r="L283" i="1" s="1"/>
  <c r="N283" i="1" s="1"/>
  <c r="K284" i="1"/>
  <c r="L284" i="1" s="1"/>
  <c r="N284" i="1" s="1"/>
  <c r="K285" i="1"/>
  <c r="L285" i="1" s="1"/>
  <c r="N285" i="1" s="1"/>
  <c r="K286" i="1"/>
  <c r="L286" i="1" s="1"/>
  <c r="N286" i="1" s="1"/>
  <c r="K287" i="1"/>
  <c r="L287" i="1" s="1"/>
  <c r="N287" i="1" s="1"/>
  <c r="K288" i="1"/>
  <c r="L288" i="1" s="1"/>
  <c r="K289" i="1"/>
  <c r="L289" i="1" s="1"/>
  <c r="N289" i="1" s="1"/>
  <c r="K290" i="1"/>
  <c r="K291" i="1"/>
  <c r="L291" i="1" s="1"/>
  <c r="N291" i="1" s="1"/>
  <c r="K292" i="1"/>
  <c r="L292" i="1" s="1"/>
  <c r="N292" i="1" s="1"/>
  <c r="K293" i="1"/>
  <c r="L293" i="1" s="1"/>
  <c r="N293" i="1" s="1"/>
  <c r="K294" i="1"/>
  <c r="L294" i="1" s="1"/>
  <c r="N294" i="1" s="1"/>
  <c r="K295" i="1"/>
  <c r="L295" i="1" s="1"/>
  <c r="N295" i="1" s="1"/>
  <c r="K296" i="1"/>
  <c r="L296" i="1" s="1"/>
  <c r="N296" i="1" s="1"/>
  <c r="K297" i="1"/>
  <c r="L297" i="1" s="1"/>
  <c r="N297" i="1" s="1"/>
  <c r="K298" i="1"/>
  <c r="L298" i="1" s="1"/>
  <c r="N298" i="1" s="1"/>
  <c r="K299" i="1"/>
  <c r="L299" i="1" s="1"/>
  <c r="N299" i="1" s="1"/>
  <c r="K300" i="1"/>
  <c r="L300" i="1" s="1"/>
  <c r="N300" i="1" s="1"/>
  <c r="K301" i="1"/>
  <c r="L301" i="1" s="1"/>
  <c r="N301" i="1" s="1"/>
  <c r="K302" i="1"/>
  <c r="L302" i="1" s="1"/>
  <c r="N302" i="1" s="1"/>
  <c r="K303" i="1"/>
  <c r="L303" i="1" s="1"/>
  <c r="N303" i="1" s="1"/>
  <c r="K304" i="1"/>
  <c r="K305" i="1"/>
  <c r="L305" i="1" s="1"/>
  <c r="N305" i="1" s="1"/>
  <c r="K306" i="1"/>
  <c r="L306" i="1" s="1"/>
  <c r="N306" i="1" s="1"/>
  <c r="K307" i="1"/>
  <c r="L307" i="1" s="1"/>
  <c r="N307" i="1" s="1"/>
  <c r="K308" i="1"/>
  <c r="L308" i="1" s="1"/>
  <c r="N308" i="1" s="1"/>
  <c r="K309" i="1"/>
  <c r="L309" i="1" s="1"/>
  <c r="N309" i="1" s="1"/>
  <c r="K310" i="1"/>
  <c r="L310" i="1" s="1"/>
  <c r="N310" i="1" s="1"/>
  <c r="K311" i="1"/>
  <c r="L311" i="1" s="1"/>
  <c r="N311" i="1" s="1"/>
  <c r="K312" i="1"/>
  <c r="L312" i="1" s="1"/>
  <c r="N312" i="1" s="1"/>
  <c r="K313" i="1"/>
  <c r="K314" i="1"/>
  <c r="L314" i="1" s="1"/>
  <c r="N314" i="1" s="1"/>
  <c r="K315" i="1"/>
  <c r="L315" i="1" s="1"/>
  <c r="N315" i="1" s="1"/>
  <c r="K316" i="1"/>
  <c r="L316" i="1" s="1"/>
  <c r="N316" i="1" s="1"/>
  <c r="K317" i="1"/>
  <c r="K318" i="1"/>
  <c r="L318" i="1" s="1"/>
  <c r="N318" i="1" s="1"/>
  <c r="K319" i="1"/>
  <c r="L319" i="1" s="1"/>
  <c r="N319" i="1" s="1"/>
  <c r="K320" i="1"/>
  <c r="L320" i="1" s="1"/>
  <c r="N320" i="1" s="1"/>
  <c r="K321" i="1"/>
  <c r="L321" i="1" s="1"/>
  <c r="N321" i="1" s="1"/>
  <c r="K322" i="1"/>
  <c r="L322" i="1" s="1"/>
  <c r="N322" i="1" s="1"/>
  <c r="K323" i="1"/>
  <c r="L323" i="1" s="1"/>
  <c r="N323" i="1" s="1"/>
  <c r="K324" i="1"/>
  <c r="L324" i="1" s="1"/>
  <c r="N324" i="1" s="1"/>
  <c r="K325" i="1"/>
  <c r="L325" i="1" s="1"/>
  <c r="N325" i="1" s="1"/>
  <c r="K326" i="1"/>
  <c r="L326" i="1" s="1"/>
  <c r="N326" i="1" s="1"/>
  <c r="K327" i="1"/>
  <c r="L327" i="1" s="1"/>
  <c r="N327" i="1" s="1"/>
  <c r="K328" i="1"/>
  <c r="L328" i="1" s="1"/>
  <c r="N328" i="1" s="1"/>
  <c r="K329" i="1"/>
  <c r="L329" i="1" s="1"/>
  <c r="N329" i="1" s="1"/>
  <c r="K330" i="1"/>
  <c r="L330" i="1" s="1"/>
  <c r="N330" i="1" s="1"/>
  <c r="K331" i="1"/>
  <c r="K332" i="1"/>
  <c r="L332" i="1" s="1"/>
  <c r="N332" i="1" s="1"/>
  <c r="K333" i="1"/>
  <c r="L333" i="1" s="1"/>
  <c r="N333" i="1" s="1"/>
  <c r="K334" i="1"/>
  <c r="L334" i="1" s="1"/>
  <c r="N334" i="1" s="1"/>
  <c r="K335" i="1"/>
  <c r="L335" i="1" s="1"/>
  <c r="N335" i="1" s="1"/>
  <c r="K336" i="1"/>
  <c r="L336" i="1" s="1"/>
  <c r="N336" i="1" s="1"/>
  <c r="K337" i="1"/>
  <c r="L337" i="1" s="1"/>
  <c r="N337" i="1" s="1"/>
  <c r="K338" i="1"/>
  <c r="L338" i="1" s="1"/>
  <c r="N338" i="1" s="1"/>
  <c r="K339" i="1"/>
  <c r="L339" i="1" s="1"/>
  <c r="N339" i="1" s="1"/>
  <c r="K340" i="1"/>
  <c r="K341" i="1"/>
  <c r="L341" i="1" s="1"/>
  <c r="N341" i="1" s="1"/>
  <c r="K342" i="1"/>
  <c r="L342" i="1" s="1"/>
  <c r="N342" i="1" s="1"/>
  <c r="K343" i="1"/>
  <c r="L343" i="1" s="1"/>
  <c r="N343" i="1" s="1"/>
  <c r="K344" i="1"/>
  <c r="K345" i="1"/>
  <c r="L345" i="1" s="1"/>
  <c r="N345" i="1" s="1"/>
  <c r="K346" i="1"/>
  <c r="L346" i="1" s="1"/>
  <c r="N346" i="1" s="1"/>
  <c r="K347" i="1"/>
  <c r="L347" i="1" s="1"/>
  <c r="N347" i="1" s="1"/>
  <c r="K348" i="1"/>
  <c r="L348" i="1" s="1"/>
  <c r="N348" i="1" s="1"/>
  <c r="K349" i="1"/>
  <c r="L349" i="1" s="1"/>
  <c r="N349" i="1" s="1"/>
  <c r="K350" i="1"/>
  <c r="L350" i="1" s="1"/>
  <c r="N350" i="1" s="1"/>
  <c r="K351" i="1"/>
  <c r="L351" i="1" s="1"/>
  <c r="N351" i="1" s="1"/>
  <c r="K352" i="1"/>
  <c r="L352" i="1" s="1"/>
  <c r="N352" i="1" s="1"/>
  <c r="K353" i="1"/>
  <c r="L353" i="1" s="1"/>
  <c r="N353" i="1" s="1"/>
  <c r="K354" i="1"/>
  <c r="L354" i="1" s="1"/>
  <c r="N354" i="1" s="1"/>
  <c r="K355" i="1"/>
  <c r="L355" i="1" s="1"/>
  <c r="N355" i="1" s="1"/>
  <c r="K356" i="1"/>
  <c r="L356" i="1" s="1"/>
  <c r="N356" i="1" s="1"/>
  <c r="K357" i="1"/>
  <c r="L357" i="1" s="1"/>
  <c r="K358" i="1"/>
  <c r="K359" i="1"/>
  <c r="L359" i="1" s="1"/>
  <c r="N359" i="1" s="1"/>
  <c r="K360" i="1"/>
  <c r="L360" i="1" s="1"/>
  <c r="N360" i="1" s="1"/>
  <c r="K361" i="1"/>
  <c r="L361" i="1" s="1"/>
  <c r="N361" i="1" s="1"/>
  <c r="K362" i="1"/>
  <c r="L362" i="1" s="1"/>
  <c r="K363" i="1"/>
  <c r="L363" i="1" s="1"/>
  <c r="K364" i="1"/>
  <c r="L364" i="1" s="1"/>
  <c r="K365" i="1"/>
  <c r="L365" i="1" s="1"/>
  <c r="N365" i="1" s="1"/>
  <c r="K366" i="1"/>
  <c r="L366" i="1" s="1"/>
  <c r="K367" i="1"/>
  <c r="K368" i="1"/>
  <c r="L368" i="1" s="1"/>
  <c r="K369" i="1"/>
  <c r="L369" i="1" s="1"/>
  <c r="K370" i="1"/>
  <c r="L370" i="1" s="1"/>
  <c r="N370" i="1" s="1"/>
  <c r="K371" i="1"/>
  <c r="K372" i="1"/>
  <c r="L372" i="1" s="1"/>
  <c r="N372" i="1" s="1"/>
  <c r="K373" i="1"/>
  <c r="L373" i="1" s="1"/>
  <c r="N373" i="1" s="1"/>
  <c r="K374" i="1"/>
  <c r="L374" i="1" s="1"/>
  <c r="K375" i="1"/>
  <c r="L375" i="1" s="1"/>
  <c r="K376" i="1"/>
  <c r="L376" i="1" s="1"/>
  <c r="K377" i="1"/>
  <c r="L377" i="1" s="1"/>
  <c r="K378" i="1"/>
  <c r="L378" i="1" s="1"/>
  <c r="N378" i="1" s="1"/>
  <c r="K379" i="1"/>
  <c r="L379" i="1" s="1"/>
  <c r="K380" i="1"/>
  <c r="L380" i="1" s="1"/>
  <c r="N380" i="1" s="1"/>
  <c r="K381" i="1"/>
  <c r="L381" i="1" s="1"/>
  <c r="N381" i="1" s="1"/>
  <c r="K382" i="1"/>
  <c r="L382" i="1" s="1"/>
  <c r="K383" i="1"/>
  <c r="L383" i="1" s="1"/>
  <c r="M383" i="1" s="1"/>
  <c r="K384" i="1"/>
  <c r="L384" i="1" s="1"/>
  <c r="M384" i="1" s="1"/>
  <c r="K385" i="1"/>
  <c r="K386" i="1"/>
  <c r="L386" i="1" s="1"/>
  <c r="K387" i="1"/>
  <c r="L387" i="1" s="1"/>
  <c r="M387" i="1" s="1"/>
  <c r="K388" i="1"/>
  <c r="L388" i="1" s="1"/>
  <c r="M388" i="1" s="1"/>
  <c r="K389" i="1"/>
  <c r="L389" i="1" s="1"/>
  <c r="K390" i="1"/>
  <c r="L390" i="1" s="1"/>
  <c r="K391" i="1"/>
  <c r="L391" i="1" s="1"/>
  <c r="M391" i="1" s="1"/>
  <c r="K392" i="1"/>
  <c r="L392" i="1" s="1"/>
  <c r="M392" i="1" s="1"/>
  <c r="K393" i="1"/>
  <c r="L393" i="1" s="1"/>
  <c r="K394" i="1"/>
  <c r="K395" i="1"/>
  <c r="L395" i="1" s="1"/>
  <c r="M395" i="1" s="1"/>
  <c r="K396" i="1"/>
  <c r="L396" i="1" s="1"/>
  <c r="M396" i="1" s="1"/>
  <c r="K397" i="1"/>
  <c r="L397" i="1" s="1"/>
  <c r="K398" i="1"/>
  <c r="K399" i="1"/>
  <c r="L399" i="1" s="1"/>
  <c r="M399" i="1" s="1"/>
  <c r="K400" i="1"/>
  <c r="L400" i="1" s="1"/>
  <c r="M400" i="1" s="1"/>
  <c r="K401" i="1"/>
  <c r="L401" i="1" s="1"/>
  <c r="K402" i="1"/>
  <c r="L402" i="1" s="1"/>
  <c r="K403" i="1"/>
  <c r="L403" i="1" s="1"/>
  <c r="M403" i="1" s="1"/>
  <c r="K404" i="1"/>
  <c r="L404" i="1" s="1"/>
  <c r="M404" i="1" s="1"/>
  <c r="K405" i="1"/>
  <c r="L405" i="1" s="1"/>
  <c r="K406" i="1"/>
  <c r="L406" i="1" s="1"/>
  <c r="K407" i="1"/>
  <c r="L407" i="1" s="1"/>
  <c r="M407" i="1" s="1"/>
  <c r="K408" i="1"/>
  <c r="L408" i="1" s="1"/>
  <c r="M408" i="1" s="1"/>
  <c r="K409" i="1"/>
  <c r="L409" i="1" s="1"/>
  <c r="K410" i="1"/>
  <c r="L410" i="1" s="1"/>
  <c r="K411" i="1"/>
  <c r="L411" i="1" s="1"/>
  <c r="M411" i="1" s="1"/>
  <c r="K412" i="1"/>
  <c r="K413" i="1"/>
  <c r="L413" i="1" s="1"/>
  <c r="K414" i="1"/>
  <c r="L414" i="1" s="1"/>
  <c r="K415" i="1"/>
  <c r="L415" i="1" s="1"/>
  <c r="M415" i="1" s="1"/>
  <c r="K416" i="1"/>
  <c r="L416" i="1" s="1"/>
  <c r="M416" i="1" s="1"/>
  <c r="K417" i="1"/>
  <c r="L417" i="1" s="1"/>
  <c r="K418" i="1"/>
  <c r="L418" i="1" s="1"/>
  <c r="K419" i="1"/>
  <c r="L419" i="1" s="1"/>
  <c r="K420" i="1"/>
  <c r="L420" i="1" s="1"/>
  <c r="K421" i="1"/>
  <c r="K422" i="1"/>
  <c r="L422" i="1" s="1"/>
  <c r="K423" i="1"/>
  <c r="L423" i="1" s="1"/>
  <c r="K424" i="1"/>
  <c r="L424" i="1" s="1"/>
  <c r="K425" i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K449" i="1"/>
  <c r="L449" i="1" s="1"/>
  <c r="K450" i="1"/>
  <c r="L450" i="1" s="1"/>
  <c r="K451" i="1"/>
  <c r="L451" i="1" s="1"/>
  <c r="K452" i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K476" i="1"/>
  <c r="L476" i="1" s="1"/>
  <c r="K477" i="1"/>
  <c r="L477" i="1" s="1"/>
  <c r="K478" i="1"/>
  <c r="L478" i="1" s="1"/>
  <c r="K479" i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K503" i="1"/>
  <c r="L503" i="1" s="1"/>
  <c r="K504" i="1"/>
  <c r="L504" i="1" s="1"/>
  <c r="K505" i="1"/>
  <c r="L505" i="1" s="1"/>
  <c r="K506" i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K530" i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K2" i="1"/>
  <c r="L2" i="1" s="1"/>
  <c r="C3" i="1"/>
  <c r="I3" i="1" s="1"/>
  <c r="C4" i="1"/>
  <c r="I4" i="1" s="1"/>
  <c r="C6" i="1"/>
  <c r="I6" i="1" s="1"/>
  <c r="C7" i="1"/>
  <c r="I7" i="1" s="1"/>
  <c r="C8" i="1"/>
  <c r="I8" i="1" s="1"/>
  <c r="C9" i="1"/>
  <c r="I9" i="1" s="1"/>
  <c r="C10" i="1"/>
  <c r="I10" i="1" s="1"/>
  <c r="C11" i="1"/>
  <c r="I11" i="1" s="1"/>
  <c r="C12" i="1"/>
  <c r="I12" i="1" s="1"/>
  <c r="C13" i="1"/>
  <c r="I13" i="1" s="1"/>
  <c r="C14" i="1"/>
  <c r="I14" i="1" s="1"/>
  <c r="C15" i="1"/>
  <c r="I15" i="1" s="1"/>
  <c r="C16" i="1"/>
  <c r="I16" i="1" s="1"/>
  <c r="C17" i="1"/>
  <c r="I17" i="1" s="1"/>
  <c r="C18" i="1"/>
  <c r="I18" i="1" s="1"/>
  <c r="C19" i="1"/>
  <c r="I19" i="1" s="1"/>
  <c r="C20" i="1"/>
  <c r="I20" i="1" s="1"/>
  <c r="C21" i="1"/>
  <c r="I21" i="1" s="1"/>
  <c r="C22" i="1"/>
  <c r="I22" i="1" s="1"/>
  <c r="C23" i="1"/>
  <c r="I23" i="1" s="1"/>
  <c r="C24" i="1"/>
  <c r="I24" i="1" s="1"/>
  <c r="C25" i="1"/>
  <c r="I25" i="1" s="1"/>
  <c r="C26" i="1"/>
  <c r="I26" i="1" s="1"/>
  <c r="C27" i="1"/>
  <c r="I27" i="1" s="1"/>
  <c r="C28" i="1"/>
  <c r="I28" i="1" s="1"/>
  <c r="C29" i="1"/>
  <c r="I29" i="1" s="1"/>
  <c r="C30" i="1"/>
  <c r="I30" i="1" s="1"/>
  <c r="C31" i="1"/>
  <c r="I31" i="1" s="1"/>
  <c r="C32" i="1"/>
  <c r="I32" i="1" s="1"/>
  <c r="C33" i="1"/>
  <c r="I33" i="1" s="1"/>
  <c r="C34" i="1"/>
  <c r="I34" i="1" s="1"/>
  <c r="C35" i="1"/>
  <c r="I35" i="1" s="1"/>
  <c r="C36" i="1"/>
  <c r="I36" i="1" s="1"/>
  <c r="C37" i="1"/>
  <c r="I37" i="1" s="1"/>
  <c r="C38" i="1"/>
  <c r="I38" i="1" s="1"/>
  <c r="C39" i="1"/>
  <c r="I39" i="1" s="1"/>
  <c r="C40" i="1"/>
  <c r="I40" i="1" s="1"/>
  <c r="C41" i="1"/>
  <c r="I41" i="1" s="1"/>
  <c r="C42" i="1"/>
  <c r="I42" i="1" s="1"/>
  <c r="C43" i="1"/>
  <c r="I43" i="1" s="1"/>
  <c r="C44" i="1"/>
  <c r="I44" i="1" s="1"/>
  <c r="C45" i="1"/>
  <c r="I45" i="1" s="1"/>
  <c r="C46" i="1"/>
  <c r="I46" i="1" s="1"/>
  <c r="C47" i="1"/>
  <c r="I47" i="1" s="1"/>
  <c r="C48" i="1"/>
  <c r="I48" i="1" s="1"/>
  <c r="C49" i="1"/>
  <c r="I49" i="1" s="1"/>
  <c r="C50" i="1"/>
  <c r="I50" i="1" s="1"/>
  <c r="C51" i="1"/>
  <c r="I51" i="1" s="1"/>
  <c r="C52" i="1"/>
  <c r="I52" i="1" s="1"/>
  <c r="C53" i="1"/>
  <c r="I53" i="1" s="1"/>
  <c r="C54" i="1"/>
  <c r="I54" i="1" s="1"/>
  <c r="C55" i="1"/>
  <c r="I55" i="1" s="1"/>
  <c r="C56" i="1"/>
  <c r="I56" i="1" s="1"/>
  <c r="C57" i="1"/>
  <c r="I57" i="1" s="1"/>
  <c r="C58" i="1"/>
  <c r="I58" i="1" s="1"/>
  <c r="C59" i="1"/>
  <c r="I59" i="1" s="1"/>
  <c r="C60" i="1"/>
  <c r="I60" i="1" s="1"/>
  <c r="C61" i="1"/>
  <c r="I61" i="1" s="1"/>
  <c r="C62" i="1"/>
  <c r="I62" i="1" s="1"/>
  <c r="C63" i="1"/>
  <c r="I63" i="1" s="1"/>
  <c r="C64" i="1"/>
  <c r="I64" i="1" s="1"/>
  <c r="C65" i="1"/>
  <c r="I65" i="1" s="1"/>
  <c r="C66" i="1"/>
  <c r="I66" i="1" s="1"/>
  <c r="C67" i="1"/>
  <c r="I67" i="1" s="1"/>
  <c r="C68" i="1"/>
  <c r="I68" i="1" s="1"/>
  <c r="C69" i="1"/>
  <c r="I69" i="1" s="1"/>
  <c r="C70" i="1"/>
  <c r="I70" i="1" s="1"/>
  <c r="C71" i="1"/>
  <c r="I71" i="1" s="1"/>
  <c r="C72" i="1"/>
  <c r="I72" i="1" s="1"/>
  <c r="C73" i="1"/>
  <c r="I73" i="1" s="1"/>
  <c r="C74" i="1"/>
  <c r="I74" i="1" s="1"/>
  <c r="C75" i="1"/>
  <c r="I75" i="1" s="1"/>
  <c r="C76" i="1"/>
  <c r="I76" i="1" s="1"/>
  <c r="C77" i="1"/>
  <c r="I77" i="1" s="1"/>
  <c r="C78" i="1"/>
  <c r="I78" i="1" s="1"/>
  <c r="C79" i="1"/>
  <c r="I79" i="1" s="1"/>
  <c r="C80" i="1"/>
  <c r="I80" i="1" s="1"/>
  <c r="C81" i="1"/>
  <c r="I81" i="1" s="1"/>
  <c r="C82" i="1"/>
  <c r="I82" i="1" s="1"/>
  <c r="C83" i="1"/>
  <c r="I83" i="1" s="1"/>
  <c r="C84" i="1"/>
  <c r="I84" i="1" s="1"/>
  <c r="C85" i="1"/>
  <c r="I85" i="1" s="1"/>
  <c r="C86" i="1"/>
  <c r="I86" i="1" s="1"/>
  <c r="C87" i="1"/>
  <c r="I87" i="1" s="1"/>
  <c r="C88" i="1"/>
  <c r="I88" i="1" s="1"/>
  <c r="C89" i="1"/>
  <c r="I89" i="1" s="1"/>
  <c r="C90" i="1"/>
  <c r="I90" i="1" s="1"/>
  <c r="C91" i="1"/>
  <c r="I91" i="1" s="1"/>
  <c r="C92" i="1"/>
  <c r="I92" i="1" s="1"/>
  <c r="C93" i="1"/>
  <c r="I93" i="1" s="1"/>
  <c r="C94" i="1"/>
  <c r="I94" i="1" s="1"/>
  <c r="C95" i="1"/>
  <c r="I95" i="1" s="1"/>
  <c r="C96" i="1"/>
  <c r="I96" i="1" s="1"/>
  <c r="C97" i="1"/>
  <c r="I97" i="1" s="1"/>
  <c r="C98" i="1"/>
  <c r="I98" i="1" s="1"/>
  <c r="C99" i="1"/>
  <c r="I99" i="1" s="1"/>
  <c r="C100" i="1"/>
  <c r="I100" i="1" s="1"/>
  <c r="C101" i="1"/>
  <c r="I101" i="1" s="1"/>
  <c r="C102" i="1"/>
  <c r="I102" i="1" s="1"/>
  <c r="C103" i="1"/>
  <c r="I103" i="1" s="1"/>
  <c r="C104" i="1"/>
  <c r="I104" i="1" s="1"/>
  <c r="C105" i="1"/>
  <c r="I105" i="1" s="1"/>
  <c r="C106" i="1"/>
  <c r="I106" i="1" s="1"/>
  <c r="C107" i="1"/>
  <c r="I107" i="1" s="1"/>
  <c r="C108" i="1"/>
  <c r="I108" i="1" s="1"/>
  <c r="C109" i="1"/>
  <c r="I109" i="1" s="1"/>
  <c r="C110" i="1"/>
  <c r="I110" i="1" s="1"/>
  <c r="C111" i="1"/>
  <c r="I111" i="1" s="1"/>
  <c r="C112" i="1"/>
  <c r="I112" i="1" s="1"/>
  <c r="C113" i="1"/>
  <c r="I113" i="1" s="1"/>
  <c r="C114" i="1"/>
  <c r="I114" i="1" s="1"/>
  <c r="C115" i="1"/>
  <c r="I115" i="1" s="1"/>
  <c r="C116" i="1"/>
  <c r="I116" i="1" s="1"/>
  <c r="C117" i="1"/>
  <c r="I117" i="1" s="1"/>
  <c r="C118" i="1"/>
  <c r="I118" i="1" s="1"/>
  <c r="C119" i="1"/>
  <c r="I119" i="1" s="1"/>
  <c r="C120" i="1"/>
  <c r="I120" i="1" s="1"/>
  <c r="C121" i="1"/>
  <c r="I121" i="1" s="1"/>
  <c r="C122" i="1"/>
  <c r="I122" i="1" s="1"/>
  <c r="C123" i="1"/>
  <c r="I123" i="1" s="1"/>
  <c r="C124" i="1"/>
  <c r="I124" i="1" s="1"/>
  <c r="C125" i="1"/>
  <c r="I125" i="1" s="1"/>
  <c r="C126" i="1"/>
  <c r="I126" i="1" s="1"/>
  <c r="C127" i="1"/>
  <c r="I127" i="1" s="1"/>
  <c r="C128" i="1"/>
  <c r="I128" i="1" s="1"/>
  <c r="C129" i="1"/>
  <c r="I129" i="1" s="1"/>
  <c r="C130" i="1"/>
  <c r="I130" i="1" s="1"/>
  <c r="C131" i="1"/>
  <c r="I131" i="1" s="1"/>
  <c r="C132" i="1"/>
  <c r="I132" i="1" s="1"/>
  <c r="C133" i="1"/>
  <c r="I133" i="1" s="1"/>
  <c r="C134" i="1"/>
  <c r="I134" i="1" s="1"/>
  <c r="C135" i="1"/>
  <c r="I135" i="1" s="1"/>
  <c r="C136" i="1"/>
  <c r="I136" i="1" s="1"/>
  <c r="C137" i="1"/>
  <c r="I137" i="1" s="1"/>
  <c r="C138" i="1"/>
  <c r="I138" i="1" s="1"/>
  <c r="C139" i="1"/>
  <c r="I139" i="1" s="1"/>
  <c r="C140" i="1"/>
  <c r="I140" i="1" s="1"/>
  <c r="C141" i="1"/>
  <c r="I141" i="1" s="1"/>
  <c r="C142" i="1"/>
  <c r="I142" i="1" s="1"/>
  <c r="C143" i="1"/>
  <c r="I143" i="1" s="1"/>
  <c r="C144" i="1"/>
  <c r="I144" i="1" s="1"/>
  <c r="C145" i="1"/>
  <c r="I145" i="1" s="1"/>
  <c r="C146" i="1"/>
  <c r="I146" i="1" s="1"/>
  <c r="C147" i="1"/>
  <c r="I147" i="1" s="1"/>
  <c r="C148" i="1"/>
  <c r="I148" i="1" s="1"/>
  <c r="C149" i="1"/>
  <c r="I149" i="1" s="1"/>
  <c r="C150" i="1"/>
  <c r="I150" i="1" s="1"/>
  <c r="C151" i="1"/>
  <c r="I151" i="1" s="1"/>
  <c r="C152" i="1"/>
  <c r="I152" i="1" s="1"/>
  <c r="C153" i="1"/>
  <c r="I153" i="1" s="1"/>
  <c r="C154" i="1"/>
  <c r="I154" i="1" s="1"/>
  <c r="C155" i="1"/>
  <c r="I155" i="1" s="1"/>
  <c r="C156" i="1"/>
  <c r="I156" i="1" s="1"/>
  <c r="C157" i="1"/>
  <c r="I157" i="1" s="1"/>
  <c r="C158" i="1"/>
  <c r="I158" i="1" s="1"/>
  <c r="C159" i="1"/>
  <c r="I159" i="1" s="1"/>
  <c r="C160" i="1"/>
  <c r="I160" i="1" s="1"/>
  <c r="C161" i="1"/>
  <c r="I161" i="1" s="1"/>
  <c r="C162" i="1"/>
  <c r="I162" i="1" s="1"/>
  <c r="C163" i="1"/>
  <c r="I163" i="1" s="1"/>
  <c r="C164" i="1"/>
  <c r="I164" i="1" s="1"/>
  <c r="C165" i="1"/>
  <c r="I165" i="1" s="1"/>
  <c r="C166" i="1"/>
  <c r="I166" i="1" s="1"/>
  <c r="C167" i="1"/>
  <c r="I167" i="1" s="1"/>
  <c r="C168" i="1"/>
  <c r="I168" i="1" s="1"/>
  <c r="C169" i="1"/>
  <c r="I169" i="1" s="1"/>
  <c r="C170" i="1"/>
  <c r="I170" i="1" s="1"/>
  <c r="C171" i="1"/>
  <c r="I171" i="1" s="1"/>
  <c r="C172" i="1"/>
  <c r="I172" i="1" s="1"/>
  <c r="C173" i="1"/>
  <c r="I173" i="1" s="1"/>
  <c r="C174" i="1"/>
  <c r="I174" i="1" s="1"/>
  <c r="C175" i="1"/>
  <c r="I175" i="1" s="1"/>
  <c r="C176" i="1"/>
  <c r="I176" i="1" s="1"/>
  <c r="C177" i="1"/>
  <c r="I177" i="1" s="1"/>
  <c r="C178" i="1"/>
  <c r="I178" i="1" s="1"/>
  <c r="C179" i="1"/>
  <c r="I179" i="1" s="1"/>
  <c r="C180" i="1"/>
  <c r="I180" i="1" s="1"/>
  <c r="C181" i="1"/>
  <c r="I181" i="1" s="1"/>
  <c r="C182" i="1"/>
  <c r="I182" i="1" s="1"/>
  <c r="C183" i="1"/>
  <c r="I183" i="1" s="1"/>
  <c r="C184" i="1"/>
  <c r="I184" i="1" s="1"/>
  <c r="C185" i="1"/>
  <c r="I185" i="1" s="1"/>
  <c r="C186" i="1"/>
  <c r="I186" i="1" s="1"/>
  <c r="C187" i="1"/>
  <c r="I187" i="1" s="1"/>
  <c r="C188" i="1"/>
  <c r="I188" i="1" s="1"/>
  <c r="C189" i="1"/>
  <c r="I189" i="1" s="1"/>
  <c r="C190" i="1"/>
  <c r="I190" i="1" s="1"/>
  <c r="C191" i="1"/>
  <c r="I191" i="1" s="1"/>
  <c r="C192" i="1"/>
  <c r="I192" i="1" s="1"/>
  <c r="C193" i="1"/>
  <c r="I193" i="1" s="1"/>
  <c r="C194" i="1"/>
  <c r="I194" i="1" s="1"/>
  <c r="C195" i="1"/>
  <c r="I195" i="1" s="1"/>
  <c r="C196" i="1"/>
  <c r="I196" i="1" s="1"/>
  <c r="C197" i="1"/>
  <c r="I197" i="1" s="1"/>
  <c r="C198" i="1"/>
  <c r="I198" i="1" s="1"/>
  <c r="C199" i="1"/>
  <c r="I199" i="1" s="1"/>
  <c r="C200" i="1"/>
  <c r="I200" i="1" s="1"/>
  <c r="C201" i="1"/>
  <c r="I201" i="1" s="1"/>
  <c r="C202" i="1"/>
  <c r="I202" i="1" s="1"/>
  <c r="C203" i="1"/>
  <c r="I203" i="1" s="1"/>
  <c r="C204" i="1"/>
  <c r="I204" i="1" s="1"/>
  <c r="C205" i="1"/>
  <c r="I205" i="1" s="1"/>
  <c r="C206" i="1"/>
  <c r="I206" i="1" s="1"/>
  <c r="C207" i="1"/>
  <c r="I207" i="1" s="1"/>
  <c r="C208" i="1"/>
  <c r="I208" i="1" s="1"/>
  <c r="C209" i="1"/>
  <c r="I209" i="1" s="1"/>
  <c r="C210" i="1"/>
  <c r="I210" i="1" s="1"/>
  <c r="C211" i="1"/>
  <c r="I211" i="1" s="1"/>
  <c r="C212" i="1"/>
  <c r="I212" i="1" s="1"/>
  <c r="C213" i="1"/>
  <c r="I213" i="1" s="1"/>
  <c r="C214" i="1"/>
  <c r="I214" i="1" s="1"/>
  <c r="C215" i="1"/>
  <c r="I215" i="1" s="1"/>
  <c r="C216" i="1"/>
  <c r="I216" i="1" s="1"/>
  <c r="C217" i="1"/>
  <c r="I217" i="1" s="1"/>
  <c r="C218" i="1"/>
  <c r="I218" i="1" s="1"/>
  <c r="C219" i="1"/>
  <c r="I219" i="1" s="1"/>
  <c r="C220" i="1"/>
  <c r="I220" i="1" s="1"/>
  <c r="C221" i="1"/>
  <c r="I221" i="1" s="1"/>
  <c r="C222" i="1"/>
  <c r="I222" i="1" s="1"/>
  <c r="C223" i="1"/>
  <c r="I223" i="1" s="1"/>
  <c r="C224" i="1"/>
  <c r="I224" i="1" s="1"/>
  <c r="C225" i="1"/>
  <c r="I225" i="1" s="1"/>
  <c r="C226" i="1"/>
  <c r="I226" i="1" s="1"/>
  <c r="C227" i="1"/>
  <c r="I227" i="1" s="1"/>
  <c r="C228" i="1"/>
  <c r="I228" i="1" s="1"/>
  <c r="C229" i="1"/>
  <c r="I229" i="1" s="1"/>
  <c r="C230" i="1"/>
  <c r="I230" i="1" s="1"/>
  <c r="C231" i="1"/>
  <c r="I231" i="1" s="1"/>
  <c r="C232" i="1"/>
  <c r="I232" i="1" s="1"/>
  <c r="C233" i="1"/>
  <c r="I233" i="1" s="1"/>
  <c r="C234" i="1"/>
  <c r="I234" i="1" s="1"/>
  <c r="C235" i="1"/>
  <c r="I235" i="1" s="1"/>
  <c r="C236" i="1"/>
  <c r="I236" i="1" s="1"/>
  <c r="C237" i="1"/>
  <c r="I237" i="1" s="1"/>
  <c r="C238" i="1"/>
  <c r="I238" i="1" s="1"/>
  <c r="C239" i="1"/>
  <c r="I239" i="1" s="1"/>
  <c r="C240" i="1"/>
  <c r="I240" i="1" s="1"/>
  <c r="C241" i="1"/>
  <c r="I241" i="1" s="1"/>
  <c r="C242" i="1"/>
  <c r="I242" i="1" s="1"/>
  <c r="C243" i="1"/>
  <c r="I243" i="1" s="1"/>
  <c r="C244" i="1"/>
  <c r="I244" i="1" s="1"/>
  <c r="C245" i="1"/>
  <c r="I245" i="1" s="1"/>
  <c r="C246" i="1"/>
  <c r="I246" i="1" s="1"/>
  <c r="C247" i="1"/>
  <c r="I247" i="1" s="1"/>
  <c r="C248" i="1"/>
  <c r="I248" i="1" s="1"/>
  <c r="C249" i="1"/>
  <c r="I249" i="1" s="1"/>
  <c r="C250" i="1"/>
  <c r="I250" i="1" s="1"/>
  <c r="C251" i="1"/>
  <c r="I251" i="1" s="1"/>
  <c r="C252" i="1"/>
  <c r="I252" i="1" s="1"/>
  <c r="C253" i="1"/>
  <c r="I253" i="1" s="1"/>
  <c r="C254" i="1"/>
  <c r="I254" i="1" s="1"/>
  <c r="C255" i="1"/>
  <c r="I255" i="1" s="1"/>
  <c r="C256" i="1"/>
  <c r="I256" i="1" s="1"/>
  <c r="C257" i="1"/>
  <c r="I257" i="1" s="1"/>
  <c r="C258" i="1"/>
  <c r="I258" i="1" s="1"/>
  <c r="C259" i="1"/>
  <c r="I259" i="1" s="1"/>
  <c r="C260" i="1"/>
  <c r="I260" i="1" s="1"/>
  <c r="C261" i="1"/>
  <c r="I261" i="1" s="1"/>
  <c r="C262" i="1"/>
  <c r="I262" i="1" s="1"/>
  <c r="C263" i="1"/>
  <c r="I263" i="1" s="1"/>
  <c r="C264" i="1"/>
  <c r="I264" i="1" s="1"/>
  <c r="C265" i="1"/>
  <c r="I265" i="1" s="1"/>
  <c r="C266" i="1"/>
  <c r="I266" i="1" s="1"/>
  <c r="C267" i="1"/>
  <c r="I267" i="1" s="1"/>
  <c r="C268" i="1"/>
  <c r="I268" i="1" s="1"/>
  <c r="C269" i="1"/>
  <c r="I269" i="1" s="1"/>
  <c r="C270" i="1"/>
  <c r="I270" i="1" s="1"/>
  <c r="C271" i="1"/>
  <c r="I271" i="1" s="1"/>
  <c r="C272" i="1"/>
  <c r="I272" i="1" s="1"/>
  <c r="C273" i="1"/>
  <c r="I273" i="1" s="1"/>
  <c r="C274" i="1"/>
  <c r="I274" i="1" s="1"/>
  <c r="C275" i="1"/>
  <c r="I275" i="1" s="1"/>
  <c r="C276" i="1"/>
  <c r="I276" i="1" s="1"/>
  <c r="C277" i="1"/>
  <c r="I277" i="1" s="1"/>
  <c r="C278" i="1"/>
  <c r="I278" i="1" s="1"/>
  <c r="C279" i="1"/>
  <c r="I279" i="1" s="1"/>
  <c r="C280" i="1"/>
  <c r="I280" i="1" s="1"/>
  <c r="C281" i="1"/>
  <c r="I281" i="1" s="1"/>
  <c r="C282" i="1"/>
  <c r="I282" i="1" s="1"/>
  <c r="C283" i="1"/>
  <c r="I283" i="1" s="1"/>
  <c r="C284" i="1"/>
  <c r="I284" i="1" s="1"/>
  <c r="C285" i="1"/>
  <c r="I285" i="1" s="1"/>
  <c r="C286" i="1"/>
  <c r="I286" i="1" s="1"/>
  <c r="C287" i="1"/>
  <c r="I287" i="1" s="1"/>
  <c r="C288" i="1"/>
  <c r="I288" i="1" s="1"/>
  <c r="C289" i="1"/>
  <c r="I289" i="1" s="1"/>
  <c r="C290" i="1"/>
  <c r="I290" i="1" s="1"/>
  <c r="C291" i="1"/>
  <c r="I291" i="1" s="1"/>
  <c r="C292" i="1"/>
  <c r="I292" i="1" s="1"/>
  <c r="C293" i="1"/>
  <c r="I293" i="1" s="1"/>
  <c r="C294" i="1"/>
  <c r="I294" i="1" s="1"/>
  <c r="C295" i="1"/>
  <c r="I295" i="1" s="1"/>
  <c r="C296" i="1"/>
  <c r="I296" i="1" s="1"/>
  <c r="C297" i="1"/>
  <c r="I297" i="1" s="1"/>
  <c r="C298" i="1"/>
  <c r="I298" i="1" s="1"/>
  <c r="C299" i="1"/>
  <c r="I299" i="1" s="1"/>
  <c r="C300" i="1"/>
  <c r="I300" i="1" s="1"/>
  <c r="C301" i="1"/>
  <c r="I301" i="1" s="1"/>
  <c r="C302" i="1"/>
  <c r="I302" i="1" s="1"/>
  <c r="C303" i="1"/>
  <c r="I303" i="1" s="1"/>
  <c r="C304" i="1"/>
  <c r="I304" i="1" s="1"/>
  <c r="C305" i="1"/>
  <c r="I305" i="1" s="1"/>
  <c r="C306" i="1"/>
  <c r="I306" i="1" s="1"/>
  <c r="C307" i="1"/>
  <c r="I307" i="1" s="1"/>
  <c r="C308" i="1"/>
  <c r="I308" i="1" s="1"/>
  <c r="C309" i="1"/>
  <c r="I309" i="1" s="1"/>
  <c r="C310" i="1"/>
  <c r="I310" i="1" s="1"/>
  <c r="C311" i="1"/>
  <c r="I311" i="1" s="1"/>
  <c r="C312" i="1"/>
  <c r="I312" i="1" s="1"/>
  <c r="C313" i="1"/>
  <c r="I313" i="1" s="1"/>
  <c r="C314" i="1"/>
  <c r="I314" i="1" s="1"/>
  <c r="C315" i="1"/>
  <c r="I315" i="1" s="1"/>
  <c r="C316" i="1"/>
  <c r="I316" i="1" s="1"/>
  <c r="C317" i="1"/>
  <c r="I317" i="1" s="1"/>
  <c r="C318" i="1"/>
  <c r="I318" i="1" s="1"/>
  <c r="C319" i="1"/>
  <c r="I319" i="1" s="1"/>
  <c r="C320" i="1"/>
  <c r="I320" i="1" s="1"/>
  <c r="C321" i="1"/>
  <c r="I321" i="1" s="1"/>
  <c r="C322" i="1"/>
  <c r="I322" i="1" s="1"/>
  <c r="C323" i="1"/>
  <c r="I323" i="1" s="1"/>
  <c r="C324" i="1"/>
  <c r="I324" i="1" s="1"/>
  <c r="C325" i="1"/>
  <c r="I325" i="1" s="1"/>
  <c r="C326" i="1"/>
  <c r="I326" i="1" s="1"/>
  <c r="C327" i="1"/>
  <c r="I327" i="1" s="1"/>
  <c r="C328" i="1"/>
  <c r="I328" i="1" s="1"/>
  <c r="C329" i="1"/>
  <c r="I329" i="1" s="1"/>
  <c r="C330" i="1"/>
  <c r="I330" i="1" s="1"/>
  <c r="C331" i="1"/>
  <c r="I331" i="1" s="1"/>
  <c r="C332" i="1"/>
  <c r="I332" i="1" s="1"/>
  <c r="C333" i="1"/>
  <c r="I333" i="1" s="1"/>
  <c r="C334" i="1"/>
  <c r="I334" i="1" s="1"/>
  <c r="C335" i="1"/>
  <c r="I335" i="1" s="1"/>
  <c r="C336" i="1"/>
  <c r="I336" i="1" s="1"/>
  <c r="C337" i="1"/>
  <c r="I337" i="1" s="1"/>
  <c r="C338" i="1"/>
  <c r="I338" i="1" s="1"/>
  <c r="C339" i="1"/>
  <c r="I339" i="1" s="1"/>
  <c r="C340" i="1"/>
  <c r="I340" i="1" s="1"/>
  <c r="C341" i="1"/>
  <c r="I341" i="1" s="1"/>
  <c r="C342" i="1"/>
  <c r="I342" i="1" s="1"/>
  <c r="C343" i="1"/>
  <c r="I343" i="1" s="1"/>
  <c r="C344" i="1"/>
  <c r="I344" i="1" s="1"/>
  <c r="C345" i="1"/>
  <c r="I345" i="1" s="1"/>
  <c r="C346" i="1"/>
  <c r="I346" i="1" s="1"/>
  <c r="C347" i="1"/>
  <c r="I347" i="1" s="1"/>
  <c r="C348" i="1"/>
  <c r="I348" i="1" s="1"/>
  <c r="C349" i="1"/>
  <c r="I349" i="1" s="1"/>
  <c r="C350" i="1"/>
  <c r="I350" i="1" s="1"/>
  <c r="C351" i="1"/>
  <c r="I351" i="1" s="1"/>
  <c r="C352" i="1"/>
  <c r="I352" i="1" s="1"/>
  <c r="C353" i="1"/>
  <c r="I353" i="1" s="1"/>
  <c r="C354" i="1"/>
  <c r="I354" i="1" s="1"/>
  <c r="C355" i="1"/>
  <c r="I355" i="1" s="1"/>
  <c r="C356" i="1"/>
  <c r="I356" i="1" s="1"/>
  <c r="C357" i="1"/>
  <c r="I357" i="1" s="1"/>
  <c r="C358" i="1"/>
  <c r="I358" i="1" s="1"/>
  <c r="C359" i="1"/>
  <c r="I359" i="1" s="1"/>
  <c r="C360" i="1"/>
  <c r="I360" i="1" s="1"/>
  <c r="C361" i="1"/>
  <c r="I361" i="1" s="1"/>
  <c r="C362" i="1"/>
  <c r="I362" i="1" s="1"/>
  <c r="C363" i="1"/>
  <c r="I363" i="1" s="1"/>
  <c r="C364" i="1"/>
  <c r="I364" i="1" s="1"/>
  <c r="C365" i="1"/>
  <c r="I365" i="1" s="1"/>
  <c r="C366" i="1"/>
  <c r="I366" i="1" s="1"/>
  <c r="C367" i="1"/>
  <c r="I367" i="1" s="1"/>
  <c r="C368" i="1"/>
  <c r="I368" i="1" s="1"/>
  <c r="C369" i="1"/>
  <c r="I369" i="1" s="1"/>
  <c r="C370" i="1"/>
  <c r="I370" i="1" s="1"/>
  <c r="C371" i="1"/>
  <c r="I371" i="1" s="1"/>
  <c r="C372" i="1"/>
  <c r="I372" i="1" s="1"/>
  <c r="C373" i="1"/>
  <c r="I373" i="1" s="1"/>
  <c r="C374" i="1"/>
  <c r="I374" i="1" s="1"/>
  <c r="C375" i="1"/>
  <c r="I375" i="1" s="1"/>
  <c r="C376" i="1"/>
  <c r="I376" i="1" s="1"/>
  <c r="C377" i="1"/>
  <c r="I377" i="1" s="1"/>
  <c r="C378" i="1"/>
  <c r="I378" i="1" s="1"/>
  <c r="C379" i="1"/>
  <c r="I379" i="1" s="1"/>
  <c r="C380" i="1"/>
  <c r="I380" i="1" s="1"/>
  <c r="C381" i="1"/>
  <c r="I381" i="1" s="1"/>
  <c r="C382" i="1"/>
  <c r="I382" i="1" s="1"/>
  <c r="C383" i="1"/>
  <c r="I383" i="1" s="1"/>
  <c r="C384" i="1"/>
  <c r="I384" i="1" s="1"/>
  <c r="C385" i="1"/>
  <c r="I385" i="1" s="1"/>
  <c r="C386" i="1"/>
  <c r="I386" i="1" s="1"/>
  <c r="C387" i="1"/>
  <c r="I387" i="1" s="1"/>
  <c r="C388" i="1"/>
  <c r="I388" i="1" s="1"/>
  <c r="C389" i="1"/>
  <c r="I389" i="1" s="1"/>
  <c r="C390" i="1"/>
  <c r="I390" i="1" s="1"/>
  <c r="C391" i="1"/>
  <c r="I391" i="1" s="1"/>
  <c r="C392" i="1"/>
  <c r="I392" i="1" s="1"/>
  <c r="C393" i="1"/>
  <c r="I393" i="1" s="1"/>
  <c r="C394" i="1"/>
  <c r="I394" i="1" s="1"/>
  <c r="C395" i="1"/>
  <c r="I395" i="1" s="1"/>
  <c r="C396" i="1"/>
  <c r="I396" i="1" s="1"/>
  <c r="C397" i="1"/>
  <c r="I397" i="1" s="1"/>
  <c r="C398" i="1"/>
  <c r="I398" i="1" s="1"/>
  <c r="C399" i="1"/>
  <c r="I399" i="1" s="1"/>
  <c r="C400" i="1"/>
  <c r="I400" i="1" s="1"/>
  <c r="C401" i="1"/>
  <c r="I401" i="1" s="1"/>
  <c r="C402" i="1"/>
  <c r="I402" i="1" s="1"/>
  <c r="C403" i="1"/>
  <c r="I403" i="1" s="1"/>
  <c r="C404" i="1"/>
  <c r="I404" i="1" s="1"/>
  <c r="C405" i="1"/>
  <c r="I405" i="1" s="1"/>
  <c r="C406" i="1"/>
  <c r="I406" i="1" s="1"/>
  <c r="C407" i="1"/>
  <c r="I407" i="1" s="1"/>
  <c r="C408" i="1"/>
  <c r="I408" i="1" s="1"/>
  <c r="C409" i="1"/>
  <c r="I409" i="1" s="1"/>
  <c r="C410" i="1"/>
  <c r="I410" i="1" s="1"/>
  <c r="C411" i="1"/>
  <c r="I411" i="1" s="1"/>
  <c r="C412" i="1"/>
  <c r="I412" i="1" s="1"/>
  <c r="C413" i="1"/>
  <c r="I413" i="1" s="1"/>
  <c r="C414" i="1"/>
  <c r="I414" i="1" s="1"/>
  <c r="C415" i="1"/>
  <c r="I415" i="1" s="1"/>
  <c r="C416" i="1"/>
  <c r="I416" i="1" s="1"/>
  <c r="C417" i="1"/>
  <c r="I417" i="1" s="1"/>
  <c r="C418" i="1"/>
  <c r="I418" i="1" s="1"/>
  <c r="C419" i="1"/>
  <c r="I419" i="1" s="1"/>
  <c r="C420" i="1"/>
  <c r="I420" i="1" s="1"/>
  <c r="C421" i="1"/>
  <c r="I421" i="1" s="1"/>
  <c r="C422" i="1"/>
  <c r="I422" i="1" s="1"/>
  <c r="C423" i="1"/>
  <c r="I423" i="1" s="1"/>
  <c r="C424" i="1"/>
  <c r="I424" i="1" s="1"/>
  <c r="C425" i="1"/>
  <c r="I425" i="1" s="1"/>
  <c r="C426" i="1"/>
  <c r="I426" i="1" s="1"/>
  <c r="C427" i="1"/>
  <c r="I427" i="1" s="1"/>
  <c r="C428" i="1"/>
  <c r="I428" i="1" s="1"/>
  <c r="C429" i="1"/>
  <c r="I429" i="1" s="1"/>
  <c r="C430" i="1"/>
  <c r="I430" i="1" s="1"/>
  <c r="C431" i="1"/>
  <c r="I431" i="1" s="1"/>
  <c r="C432" i="1"/>
  <c r="I432" i="1" s="1"/>
  <c r="C433" i="1"/>
  <c r="I433" i="1" s="1"/>
  <c r="C434" i="1"/>
  <c r="I434" i="1" s="1"/>
  <c r="C435" i="1"/>
  <c r="I435" i="1" s="1"/>
  <c r="C436" i="1"/>
  <c r="I436" i="1" s="1"/>
  <c r="C437" i="1"/>
  <c r="I437" i="1" s="1"/>
  <c r="C438" i="1"/>
  <c r="I438" i="1" s="1"/>
  <c r="C439" i="1"/>
  <c r="I439" i="1" s="1"/>
  <c r="C440" i="1"/>
  <c r="I440" i="1" s="1"/>
  <c r="C441" i="1"/>
  <c r="I441" i="1" s="1"/>
  <c r="C442" i="1"/>
  <c r="I442" i="1" s="1"/>
  <c r="C443" i="1"/>
  <c r="I443" i="1" s="1"/>
  <c r="C444" i="1"/>
  <c r="I444" i="1" s="1"/>
  <c r="C445" i="1"/>
  <c r="I445" i="1" s="1"/>
  <c r="C446" i="1"/>
  <c r="I446" i="1" s="1"/>
  <c r="C447" i="1"/>
  <c r="I447" i="1" s="1"/>
  <c r="C448" i="1"/>
  <c r="I448" i="1" s="1"/>
  <c r="C449" i="1"/>
  <c r="I449" i="1" s="1"/>
  <c r="C450" i="1"/>
  <c r="I450" i="1" s="1"/>
  <c r="C451" i="1"/>
  <c r="I451" i="1" s="1"/>
  <c r="C452" i="1"/>
  <c r="I452" i="1" s="1"/>
  <c r="C453" i="1"/>
  <c r="I453" i="1" s="1"/>
  <c r="C454" i="1"/>
  <c r="I454" i="1" s="1"/>
  <c r="C455" i="1"/>
  <c r="I455" i="1" s="1"/>
  <c r="C456" i="1"/>
  <c r="I456" i="1" s="1"/>
  <c r="C457" i="1"/>
  <c r="I457" i="1" s="1"/>
  <c r="C458" i="1"/>
  <c r="I458" i="1" s="1"/>
  <c r="C459" i="1"/>
  <c r="I459" i="1" s="1"/>
  <c r="C460" i="1"/>
  <c r="I460" i="1" s="1"/>
  <c r="C461" i="1"/>
  <c r="I461" i="1" s="1"/>
  <c r="C462" i="1"/>
  <c r="I462" i="1" s="1"/>
  <c r="C463" i="1"/>
  <c r="I463" i="1" s="1"/>
  <c r="C464" i="1"/>
  <c r="I464" i="1" s="1"/>
  <c r="C465" i="1"/>
  <c r="I465" i="1" s="1"/>
  <c r="C466" i="1"/>
  <c r="I466" i="1" s="1"/>
  <c r="C467" i="1"/>
  <c r="I467" i="1" s="1"/>
  <c r="C468" i="1"/>
  <c r="I468" i="1" s="1"/>
  <c r="C469" i="1"/>
  <c r="I469" i="1" s="1"/>
  <c r="C470" i="1"/>
  <c r="I470" i="1" s="1"/>
  <c r="C471" i="1"/>
  <c r="I471" i="1" s="1"/>
  <c r="C472" i="1"/>
  <c r="I472" i="1" s="1"/>
  <c r="C473" i="1"/>
  <c r="I473" i="1" s="1"/>
  <c r="C474" i="1"/>
  <c r="I474" i="1" s="1"/>
  <c r="C475" i="1"/>
  <c r="I475" i="1" s="1"/>
  <c r="C476" i="1"/>
  <c r="I476" i="1" s="1"/>
  <c r="C477" i="1"/>
  <c r="I477" i="1" s="1"/>
  <c r="C478" i="1"/>
  <c r="I478" i="1" s="1"/>
  <c r="C479" i="1"/>
  <c r="I479" i="1" s="1"/>
  <c r="C480" i="1"/>
  <c r="I480" i="1" s="1"/>
  <c r="C481" i="1"/>
  <c r="I481" i="1" s="1"/>
  <c r="C482" i="1"/>
  <c r="I482" i="1" s="1"/>
  <c r="C483" i="1"/>
  <c r="I483" i="1" s="1"/>
  <c r="C484" i="1"/>
  <c r="I484" i="1" s="1"/>
  <c r="C485" i="1"/>
  <c r="I485" i="1" s="1"/>
  <c r="C486" i="1"/>
  <c r="I486" i="1" s="1"/>
  <c r="C487" i="1"/>
  <c r="I487" i="1" s="1"/>
  <c r="C488" i="1"/>
  <c r="I488" i="1" s="1"/>
  <c r="C489" i="1"/>
  <c r="I489" i="1" s="1"/>
  <c r="C490" i="1"/>
  <c r="I490" i="1" s="1"/>
  <c r="C491" i="1"/>
  <c r="I491" i="1" s="1"/>
  <c r="C492" i="1"/>
  <c r="I492" i="1" s="1"/>
  <c r="C493" i="1"/>
  <c r="I493" i="1" s="1"/>
  <c r="C494" i="1"/>
  <c r="I494" i="1" s="1"/>
  <c r="C495" i="1"/>
  <c r="I495" i="1" s="1"/>
  <c r="C496" i="1"/>
  <c r="I496" i="1" s="1"/>
  <c r="C497" i="1"/>
  <c r="I497" i="1" s="1"/>
  <c r="C498" i="1"/>
  <c r="I498" i="1" s="1"/>
  <c r="C499" i="1"/>
  <c r="I499" i="1" s="1"/>
  <c r="C500" i="1"/>
  <c r="I500" i="1" s="1"/>
  <c r="C501" i="1"/>
  <c r="I501" i="1" s="1"/>
  <c r="C502" i="1"/>
  <c r="I502" i="1" s="1"/>
  <c r="C503" i="1"/>
  <c r="I503" i="1" s="1"/>
  <c r="C504" i="1"/>
  <c r="I504" i="1" s="1"/>
  <c r="C505" i="1"/>
  <c r="I505" i="1" s="1"/>
  <c r="C506" i="1"/>
  <c r="I506" i="1" s="1"/>
  <c r="C507" i="1"/>
  <c r="I507" i="1" s="1"/>
  <c r="C508" i="1"/>
  <c r="I508" i="1" s="1"/>
  <c r="C509" i="1"/>
  <c r="I509" i="1" s="1"/>
  <c r="C510" i="1"/>
  <c r="I510" i="1" s="1"/>
  <c r="C511" i="1"/>
  <c r="I511" i="1" s="1"/>
  <c r="C512" i="1"/>
  <c r="I512" i="1" s="1"/>
  <c r="C513" i="1"/>
  <c r="I513" i="1" s="1"/>
  <c r="C514" i="1"/>
  <c r="I514" i="1" s="1"/>
  <c r="C515" i="1"/>
  <c r="I515" i="1" s="1"/>
  <c r="C516" i="1"/>
  <c r="I516" i="1" s="1"/>
  <c r="C517" i="1"/>
  <c r="I517" i="1" s="1"/>
  <c r="C518" i="1"/>
  <c r="I518" i="1" s="1"/>
  <c r="C519" i="1"/>
  <c r="I519" i="1" s="1"/>
  <c r="C520" i="1"/>
  <c r="I520" i="1" s="1"/>
  <c r="C521" i="1"/>
  <c r="I521" i="1" s="1"/>
  <c r="C522" i="1"/>
  <c r="I522" i="1" s="1"/>
  <c r="C523" i="1"/>
  <c r="I523" i="1" s="1"/>
  <c r="C524" i="1"/>
  <c r="I524" i="1" s="1"/>
  <c r="C525" i="1"/>
  <c r="I525" i="1" s="1"/>
  <c r="C526" i="1"/>
  <c r="I526" i="1" s="1"/>
  <c r="C527" i="1"/>
  <c r="I527" i="1" s="1"/>
  <c r="C528" i="1"/>
  <c r="I528" i="1" s="1"/>
  <c r="C529" i="1"/>
  <c r="I529" i="1" s="1"/>
  <c r="C530" i="1"/>
  <c r="I530" i="1" s="1"/>
  <c r="C531" i="1"/>
  <c r="I531" i="1" s="1"/>
  <c r="C532" i="1"/>
  <c r="I532" i="1" s="1"/>
  <c r="C533" i="1"/>
  <c r="I533" i="1" s="1"/>
  <c r="C534" i="1"/>
  <c r="I534" i="1" s="1"/>
  <c r="C535" i="1"/>
  <c r="I535" i="1" s="1"/>
  <c r="C536" i="1"/>
  <c r="I536" i="1" s="1"/>
  <c r="C537" i="1"/>
  <c r="I537" i="1" s="1"/>
  <c r="C538" i="1"/>
  <c r="I538" i="1" s="1"/>
  <c r="C539" i="1"/>
  <c r="I539" i="1" s="1"/>
  <c r="C540" i="1"/>
  <c r="I540" i="1" s="1"/>
  <c r="C541" i="1"/>
  <c r="I541" i="1" s="1"/>
  <c r="C542" i="1"/>
  <c r="I542" i="1" s="1"/>
  <c r="C543" i="1"/>
  <c r="I543" i="1" s="1"/>
  <c r="C544" i="1"/>
  <c r="I544" i="1" s="1"/>
  <c r="C545" i="1"/>
  <c r="I545" i="1" s="1"/>
  <c r="C546" i="1"/>
  <c r="I546" i="1" s="1"/>
  <c r="C547" i="1"/>
  <c r="I547" i="1" s="1"/>
  <c r="B3" i="1"/>
  <c r="B4" i="1"/>
  <c r="H4" i="1" s="1"/>
  <c r="B5" i="1"/>
  <c r="B6" i="1"/>
  <c r="B7" i="1"/>
  <c r="B8" i="1"/>
  <c r="B9" i="1"/>
  <c r="B10" i="1"/>
  <c r="H10" i="1" s="1"/>
  <c r="B11" i="1"/>
  <c r="B12" i="1"/>
  <c r="B13" i="1"/>
  <c r="H13" i="1" s="1"/>
  <c r="B14" i="1"/>
  <c r="B15" i="1"/>
  <c r="B16" i="1"/>
  <c r="B17" i="1"/>
  <c r="B18" i="1"/>
  <c r="B19" i="1"/>
  <c r="B20" i="1"/>
  <c r="B21" i="1"/>
  <c r="B22" i="1"/>
  <c r="B23" i="1"/>
  <c r="B24" i="1"/>
  <c r="B25" i="1"/>
  <c r="H25" i="1" s="1"/>
  <c r="B26" i="1"/>
  <c r="B27" i="1"/>
  <c r="B28" i="1"/>
  <c r="H28" i="1" s="1"/>
  <c r="B29" i="1"/>
  <c r="B30" i="1"/>
  <c r="B31" i="1"/>
  <c r="H31" i="1" s="1"/>
  <c r="B32" i="1"/>
  <c r="B33" i="1"/>
  <c r="B34" i="1"/>
  <c r="B35" i="1"/>
  <c r="B36" i="1"/>
  <c r="B37" i="1"/>
  <c r="H37" i="1" s="1"/>
  <c r="B38" i="1"/>
  <c r="B39" i="1"/>
  <c r="B40" i="1"/>
  <c r="H40" i="1" s="1"/>
  <c r="B41" i="1"/>
  <c r="B42" i="1"/>
  <c r="B43" i="1"/>
  <c r="H43" i="1" s="1"/>
  <c r="B44" i="1"/>
  <c r="B45" i="1"/>
  <c r="B46" i="1"/>
  <c r="H46" i="1" s="1"/>
  <c r="B47" i="1"/>
  <c r="B48" i="1"/>
  <c r="B49" i="1"/>
  <c r="B50" i="1"/>
  <c r="B51" i="1"/>
  <c r="B52" i="1"/>
  <c r="H52" i="1" s="1"/>
  <c r="B53" i="1"/>
  <c r="B54" i="1"/>
  <c r="B55" i="1"/>
  <c r="H55" i="1" s="1"/>
  <c r="B56" i="1"/>
  <c r="B57" i="1"/>
  <c r="B58" i="1"/>
  <c r="B59" i="1"/>
  <c r="B60" i="1"/>
  <c r="B61" i="1"/>
  <c r="B62" i="1"/>
  <c r="B63" i="1"/>
  <c r="B64" i="1"/>
  <c r="B65" i="1"/>
  <c r="B66" i="1"/>
  <c r="B67" i="1"/>
  <c r="H67" i="1" s="1"/>
  <c r="B68" i="1"/>
  <c r="B69" i="1"/>
  <c r="B70" i="1"/>
  <c r="H70" i="1" s="1"/>
  <c r="B71" i="1"/>
  <c r="B72" i="1"/>
  <c r="B73" i="1"/>
  <c r="H73" i="1" s="1"/>
  <c r="B74" i="1"/>
  <c r="B75" i="1"/>
  <c r="B76" i="1"/>
  <c r="B77" i="1"/>
  <c r="B78" i="1"/>
  <c r="B79" i="1"/>
  <c r="H79" i="1" s="1"/>
  <c r="B80" i="1"/>
  <c r="B81" i="1"/>
  <c r="B82" i="1"/>
  <c r="H82" i="1" s="1"/>
  <c r="B83" i="1"/>
  <c r="B84" i="1"/>
  <c r="B85" i="1"/>
  <c r="H85" i="1" s="1"/>
  <c r="B86" i="1"/>
  <c r="B87" i="1"/>
  <c r="B88" i="1"/>
  <c r="H88" i="1" s="1"/>
  <c r="B89" i="1"/>
  <c r="B90" i="1"/>
  <c r="B91" i="1"/>
  <c r="B92" i="1"/>
  <c r="B93" i="1"/>
  <c r="B94" i="1"/>
  <c r="H94" i="1" s="1"/>
  <c r="B95" i="1"/>
  <c r="B96" i="1"/>
  <c r="B97" i="1"/>
  <c r="H97" i="1" s="1"/>
  <c r="B98" i="1"/>
  <c r="B99" i="1"/>
  <c r="B100" i="1"/>
  <c r="B101" i="1"/>
  <c r="B102" i="1"/>
  <c r="B103" i="1"/>
  <c r="H103" i="1" s="1"/>
  <c r="B104" i="1"/>
  <c r="B105" i="1"/>
  <c r="B106" i="1"/>
  <c r="B107" i="1"/>
  <c r="B108" i="1"/>
  <c r="B109" i="1"/>
  <c r="H109" i="1" s="1"/>
  <c r="B110" i="1"/>
  <c r="H110" i="1" s="1"/>
  <c r="B111" i="1"/>
  <c r="B112" i="1"/>
  <c r="H112" i="1" s="1"/>
  <c r="B113" i="1"/>
  <c r="H113" i="1" s="1"/>
  <c r="B114" i="1"/>
  <c r="B115" i="1"/>
  <c r="H115" i="1" s="1"/>
  <c r="B116" i="1"/>
  <c r="H116" i="1" s="1"/>
  <c r="B117" i="1"/>
  <c r="B118" i="1"/>
  <c r="B119" i="1"/>
  <c r="B120" i="1"/>
  <c r="B121" i="1"/>
  <c r="G121" i="1" s="1"/>
  <c r="B122" i="1"/>
  <c r="H122" i="1" s="1"/>
  <c r="B123" i="1"/>
  <c r="B124" i="1"/>
  <c r="H124" i="1" s="1"/>
  <c r="B125" i="1"/>
  <c r="H125" i="1" s="1"/>
  <c r="B126" i="1"/>
  <c r="B127" i="1"/>
  <c r="H127" i="1" s="1"/>
  <c r="B128" i="1"/>
  <c r="B129" i="1"/>
  <c r="B130" i="1"/>
  <c r="H130" i="1" s="1"/>
  <c r="B131" i="1"/>
  <c r="G131" i="1" s="1"/>
  <c r="B132" i="1"/>
  <c r="B133" i="1"/>
  <c r="B134" i="1"/>
  <c r="B135" i="1"/>
  <c r="B136" i="1"/>
  <c r="H136" i="1" s="1"/>
  <c r="B137" i="1"/>
  <c r="H137" i="1" s="1"/>
  <c r="B138" i="1"/>
  <c r="B139" i="1"/>
  <c r="H139" i="1" s="1"/>
  <c r="B140" i="1"/>
  <c r="H140" i="1" s="1"/>
  <c r="B141" i="1"/>
  <c r="B142" i="1"/>
  <c r="B143" i="1"/>
  <c r="B144" i="1"/>
  <c r="B145" i="1"/>
  <c r="B146" i="1"/>
  <c r="B147" i="1"/>
  <c r="B148" i="1"/>
  <c r="B149" i="1"/>
  <c r="H149" i="1" s="1"/>
  <c r="B150" i="1"/>
  <c r="B151" i="1"/>
  <c r="H151" i="1" s="1"/>
  <c r="B152" i="1"/>
  <c r="H152" i="1" s="1"/>
  <c r="B153" i="1"/>
  <c r="B154" i="1"/>
  <c r="H154" i="1" s="1"/>
  <c r="B155" i="1"/>
  <c r="B156" i="1"/>
  <c r="B157" i="1"/>
  <c r="H157" i="1" s="1"/>
  <c r="B158" i="1"/>
  <c r="G158" i="1" s="1"/>
  <c r="B159" i="1"/>
  <c r="B160" i="1"/>
  <c r="H160" i="1" s="1"/>
  <c r="B161" i="1"/>
  <c r="B162" i="1"/>
  <c r="B163" i="1"/>
  <c r="H163" i="1" s="1"/>
  <c r="B164" i="1"/>
  <c r="H164" i="1" s="1"/>
  <c r="B165" i="1"/>
  <c r="B166" i="1"/>
  <c r="H166" i="1" s="1"/>
  <c r="B167" i="1"/>
  <c r="H167" i="1" s="1"/>
  <c r="B168" i="1"/>
  <c r="B169" i="1"/>
  <c r="H169" i="1" s="1"/>
  <c r="B170" i="1"/>
  <c r="B171" i="1"/>
  <c r="B172" i="1"/>
  <c r="H172" i="1" s="1"/>
  <c r="B173" i="1"/>
  <c r="B174" i="1"/>
  <c r="B175" i="1"/>
  <c r="B176" i="1"/>
  <c r="B177" i="1"/>
  <c r="B178" i="1"/>
  <c r="H178" i="1" s="1"/>
  <c r="B179" i="1"/>
  <c r="H179" i="1" s="1"/>
  <c r="B180" i="1"/>
  <c r="B181" i="1"/>
  <c r="G181" i="1" s="1"/>
  <c r="B182" i="1"/>
  <c r="H182" i="1" s="1"/>
  <c r="B183" i="1"/>
  <c r="B184" i="1"/>
  <c r="B185" i="1"/>
  <c r="H185" i="1" s="1"/>
  <c r="B186" i="1"/>
  <c r="B187" i="1"/>
  <c r="B188" i="1"/>
  <c r="B189" i="1"/>
  <c r="B190" i="1"/>
  <c r="B191" i="1"/>
  <c r="H191" i="1" s="1"/>
  <c r="B192" i="1"/>
  <c r="B193" i="1"/>
  <c r="H193" i="1" s="1"/>
  <c r="B194" i="1"/>
  <c r="H194" i="1" s="1"/>
  <c r="B195" i="1"/>
  <c r="B196" i="1"/>
  <c r="G196" i="1" s="1"/>
  <c r="B197" i="1"/>
  <c r="H197" i="1" s="1"/>
  <c r="B198" i="1"/>
  <c r="B199" i="1"/>
  <c r="H199" i="1" s="1"/>
  <c r="B200" i="1"/>
  <c r="H200" i="1" s="1"/>
  <c r="B201" i="1"/>
  <c r="B202" i="1"/>
  <c r="B203" i="1"/>
  <c r="B204" i="1"/>
  <c r="B205" i="1"/>
  <c r="H205" i="1" s="1"/>
  <c r="B206" i="1"/>
  <c r="H206" i="1" s="1"/>
  <c r="B207" i="1"/>
  <c r="B208" i="1"/>
  <c r="H208" i="1" s="1"/>
  <c r="B209" i="1"/>
  <c r="H209" i="1" s="1"/>
  <c r="B210" i="1"/>
  <c r="B211" i="1"/>
  <c r="G211" i="1" s="1"/>
  <c r="B212" i="1"/>
  <c r="B213" i="1"/>
  <c r="B214" i="1"/>
  <c r="G214" i="1" s="1"/>
  <c r="B215" i="1"/>
  <c r="B216" i="1"/>
  <c r="B217" i="1"/>
  <c r="B218" i="1"/>
  <c r="B219" i="1"/>
  <c r="B220" i="1"/>
  <c r="H220" i="1" s="1"/>
  <c r="B221" i="1"/>
  <c r="H221" i="1" s="1"/>
  <c r="B222" i="1"/>
  <c r="B223" i="1"/>
  <c r="H223" i="1" s="1"/>
  <c r="B224" i="1"/>
  <c r="G224" i="1" s="1"/>
  <c r="B225" i="1"/>
  <c r="B226" i="1"/>
  <c r="B227" i="1"/>
  <c r="B228" i="1"/>
  <c r="B229" i="1"/>
  <c r="B230" i="1"/>
  <c r="B231" i="1"/>
  <c r="B232" i="1"/>
  <c r="B233" i="1"/>
  <c r="G233" i="1" s="1"/>
  <c r="B234" i="1"/>
  <c r="B235" i="1"/>
  <c r="G235" i="1" s="1"/>
  <c r="B236" i="1"/>
  <c r="H236" i="1" s="1"/>
  <c r="B237" i="1"/>
  <c r="B238" i="1"/>
  <c r="G238" i="1" s="1"/>
  <c r="B239" i="1"/>
  <c r="B240" i="1"/>
  <c r="B241" i="1"/>
  <c r="H241" i="1" s="1"/>
  <c r="B242" i="1"/>
  <c r="H242" i="1" s="1"/>
  <c r="B243" i="1"/>
  <c r="B244" i="1"/>
  <c r="B245" i="1"/>
  <c r="B246" i="1"/>
  <c r="B247" i="1"/>
  <c r="G247" i="1" s="1"/>
  <c r="B248" i="1"/>
  <c r="B249" i="1"/>
  <c r="B250" i="1"/>
  <c r="H250" i="1" s="1"/>
  <c r="B251" i="1"/>
  <c r="B252" i="1"/>
  <c r="B253" i="1"/>
  <c r="H253" i="1" s="1"/>
  <c r="B254" i="1"/>
  <c r="B255" i="1"/>
  <c r="B256" i="1"/>
  <c r="G256" i="1" s="1"/>
  <c r="B257" i="1"/>
  <c r="B258" i="1"/>
  <c r="B259" i="1"/>
  <c r="B260" i="1"/>
  <c r="B261" i="1"/>
  <c r="B262" i="1"/>
  <c r="G262" i="1" s="1"/>
  <c r="B263" i="1"/>
  <c r="H263" i="1" s="1"/>
  <c r="B264" i="1"/>
  <c r="B265" i="1"/>
  <c r="G265" i="1" s="1"/>
  <c r="B266" i="1"/>
  <c r="G266" i="1" s="1"/>
  <c r="B267" i="1"/>
  <c r="B268" i="1"/>
  <c r="B269" i="1"/>
  <c r="B270" i="1"/>
  <c r="B271" i="1"/>
  <c r="B272" i="1"/>
  <c r="B273" i="1"/>
  <c r="B274" i="1"/>
  <c r="B275" i="1"/>
  <c r="G275" i="1" s="1"/>
  <c r="B276" i="1"/>
  <c r="B277" i="1"/>
  <c r="B278" i="1"/>
  <c r="H278" i="1" s="1"/>
  <c r="B279" i="1"/>
  <c r="B280" i="1"/>
  <c r="B281" i="1"/>
  <c r="H281" i="1" s="1"/>
  <c r="B282" i="1"/>
  <c r="B283" i="1"/>
  <c r="B284" i="1"/>
  <c r="H284" i="1" s="1"/>
  <c r="B285" i="1"/>
  <c r="B286" i="1"/>
  <c r="B287" i="1"/>
  <c r="B288" i="1"/>
  <c r="B289" i="1"/>
  <c r="B290" i="1"/>
  <c r="H290" i="1" s="1"/>
  <c r="B291" i="1"/>
  <c r="B292" i="1"/>
  <c r="B293" i="1"/>
  <c r="G293" i="1" s="1"/>
  <c r="B294" i="1"/>
  <c r="B295" i="1"/>
  <c r="B296" i="1"/>
  <c r="B297" i="1"/>
  <c r="B298" i="1"/>
  <c r="B299" i="1"/>
  <c r="B300" i="1"/>
  <c r="B301" i="1"/>
  <c r="B302" i="1"/>
  <c r="B303" i="1"/>
  <c r="B304" i="1"/>
  <c r="B305" i="1"/>
  <c r="G305" i="1" s="1"/>
  <c r="B306" i="1"/>
  <c r="B307" i="1"/>
  <c r="B308" i="1"/>
  <c r="B309" i="1"/>
  <c r="B310" i="1"/>
  <c r="B311" i="1"/>
  <c r="B312" i="1"/>
  <c r="B313" i="1"/>
  <c r="B314" i="1"/>
  <c r="B315" i="1"/>
  <c r="B316" i="1"/>
  <c r="B317" i="1"/>
  <c r="G317" i="1" s="1"/>
  <c r="B318" i="1"/>
  <c r="B319" i="1"/>
  <c r="B320" i="1"/>
  <c r="H320" i="1" s="1"/>
  <c r="B321" i="1"/>
  <c r="B322" i="1"/>
  <c r="B323" i="1"/>
  <c r="B324" i="1"/>
  <c r="B325" i="1"/>
  <c r="B326" i="1"/>
  <c r="H326" i="1" s="1"/>
  <c r="B327" i="1"/>
  <c r="B328" i="1"/>
  <c r="B329" i="1"/>
  <c r="B330" i="1"/>
  <c r="B331" i="1"/>
  <c r="B332" i="1"/>
  <c r="B333" i="1"/>
  <c r="B334" i="1"/>
  <c r="B335" i="1"/>
  <c r="G335" i="1" s="1"/>
  <c r="B336" i="1"/>
  <c r="B337" i="1"/>
  <c r="B338" i="1"/>
  <c r="B339" i="1"/>
  <c r="B340" i="1"/>
  <c r="B341" i="1"/>
  <c r="H341" i="1" s="1"/>
  <c r="B342" i="1"/>
  <c r="B343" i="1"/>
  <c r="B344" i="1"/>
  <c r="B345" i="1"/>
  <c r="B346" i="1"/>
  <c r="B347" i="1"/>
  <c r="H347" i="1" s="1"/>
  <c r="B348" i="1"/>
  <c r="B349" i="1"/>
  <c r="B350" i="1"/>
  <c r="H350" i="1" s="1"/>
  <c r="B351" i="1"/>
  <c r="B352" i="1"/>
  <c r="B353" i="1"/>
  <c r="G353" i="1" s="1"/>
  <c r="B354" i="1"/>
  <c r="B355" i="1"/>
  <c r="B356" i="1"/>
  <c r="H356" i="1" s="1"/>
  <c r="B357" i="1"/>
  <c r="B358" i="1"/>
  <c r="B359" i="1"/>
  <c r="B360" i="1"/>
  <c r="B361" i="1"/>
  <c r="B362" i="1"/>
  <c r="H362" i="1" s="1"/>
  <c r="B363" i="1"/>
  <c r="B364" i="1"/>
  <c r="B365" i="1"/>
  <c r="H365" i="1" s="1"/>
  <c r="B366" i="1"/>
  <c r="B367" i="1"/>
  <c r="B368" i="1"/>
  <c r="H368" i="1" s="1"/>
  <c r="B369" i="1"/>
  <c r="B370" i="1"/>
  <c r="B371" i="1"/>
  <c r="B372" i="1"/>
  <c r="B373" i="1"/>
  <c r="B374" i="1"/>
  <c r="H374" i="1" s="1"/>
  <c r="B375" i="1"/>
  <c r="B376" i="1"/>
  <c r="G376" i="1" s="1"/>
  <c r="B377" i="1"/>
  <c r="B378" i="1"/>
  <c r="B379" i="1"/>
  <c r="B380" i="1"/>
  <c r="B381" i="1"/>
  <c r="H381" i="1" s="1"/>
  <c r="B382" i="1"/>
  <c r="B383" i="1"/>
  <c r="B384" i="1"/>
  <c r="B385" i="1"/>
  <c r="B386" i="1"/>
  <c r="B387" i="1"/>
  <c r="H387" i="1" s="1"/>
  <c r="B388" i="1"/>
  <c r="B389" i="1"/>
  <c r="B390" i="1"/>
  <c r="H390" i="1" s="1"/>
  <c r="B391" i="1"/>
  <c r="B392" i="1"/>
  <c r="B393" i="1"/>
  <c r="G393" i="1" s="1"/>
  <c r="B394" i="1"/>
  <c r="B395" i="1"/>
  <c r="B396" i="1"/>
  <c r="H396" i="1" s="1"/>
  <c r="B397" i="1"/>
  <c r="H397" i="1" s="1"/>
  <c r="B398" i="1"/>
  <c r="B399" i="1"/>
  <c r="B400" i="1"/>
  <c r="B401" i="1"/>
  <c r="G401" i="1" s="1"/>
  <c r="B402" i="1"/>
  <c r="B403" i="1"/>
  <c r="H403" i="1" s="1"/>
  <c r="B404" i="1"/>
  <c r="H404" i="1" s="1"/>
  <c r="B405" i="1"/>
  <c r="B406" i="1"/>
  <c r="H406" i="1" s="1"/>
  <c r="B407" i="1"/>
  <c r="H407" i="1" s="1"/>
  <c r="B408" i="1"/>
  <c r="B409" i="1"/>
  <c r="B410" i="1"/>
  <c r="B411" i="1"/>
  <c r="B412" i="1"/>
  <c r="B413" i="1"/>
  <c r="H413" i="1" s="1"/>
  <c r="B414" i="1"/>
  <c r="B415" i="1"/>
  <c r="H415" i="1" s="1"/>
  <c r="B416" i="1"/>
  <c r="B417" i="1"/>
  <c r="B418" i="1"/>
  <c r="H418" i="1" s="1"/>
  <c r="B419" i="1"/>
  <c r="B420" i="1"/>
  <c r="H420" i="1" s="1"/>
  <c r="B421" i="1"/>
  <c r="B422" i="1"/>
  <c r="B423" i="1"/>
  <c r="B424" i="1"/>
  <c r="B425" i="1"/>
  <c r="H425" i="1" s="1"/>
  <c r="B426" i="1"/>
  <c r="B427" i="1"/>
  <c r="B428" i="1"/>
  <c r="B429" i="1"/>
  <c r="G429" i="1" s="1"/>
  <c r="B430" i="1"/>
  <c r="B431" i="1"/>
  <c r="B432" i="1"/>
  <c r="H432" i="1" s="1"/>
  <c r="B433" i="1"/>
  <c r="B434" i="1"/>
  <c r="B435" i="1"/>
  <c r="B436" i="1"/>
  <c r="B437" i="1"/>
  <c r="B438" i="1"/>
  <c r="H438" i="1" s="1"/>
  <c r="B439" i="1"/>
  <c r="B440" i="1"/>
  <c r="B441" i="1"/>
  <c r="B442" i="1"/>
  <c r="B443" i="1"/>
  <c r="B444" i="1"/>
  <c r="B445" i="1"/>
  <c r="B446" i="1"/>
  <c r="B447" i="1"/>
  <c r="B448" i="1"/>
  <c r="B449" i="1"/>
  <c r="G449" i="1" s="1"/>
  <c r="B450" i="1"/>
  <c r="B451" i="1"/>
  <c r="B452" i="1"/>
  <c r="G452" i="1" s="1"/>
  <c r="B453" i="1"/>
  <c r="B454" i="1"/>
  <c r="B455" i="1"/>
  <c r="B456" i="1"/>
  <c r="B457" i="1"/>
  <c r="B458" i="1"/>
  <c r="H458" i="1" s="1"/>
  <c r="B459" i="1"/>
  <c r="B460" i="1"/>
  <c r="B461" i="1"/>
  <c r="B462" i="1"/>
  <c r="B463" i="1"/>
  <c r="B464" i="1"/>
  <c r="B465" i="1"/>
  <c r="H465" i="1" s="1"/>
  <c r="B466" i="1"/>
  <c r="B467" i="1"/>
  <c r="B468" i="1"/>
  <c r="G468" i="1" s="1"/>
  <c r="B469" i="1"/>
  <c r="B470" i="1"/>
  <c r="B471" i="1"/>
  <c r="H471" i="1" s="1"/>
  <c r="B472" i="1"/>
  <c r="B473" i="1"/>
  <c r="B474" i="1"/>
  <c r="H474" i="1" s="1"/>
  <c r="B475" i="1"/>
  <c r="B476" i="1"/>
  <c r="B477" i="1"/>
  <c r="H477" i="1" s="1"/>
  <c r="B478" i="1"/>
  <c r="B479" i="1"/>
  <c r="B480" i="1"/>
  <c r="H480" i="1" s="1"/>
  <c r="B481" i="1"/>
  <c r="B482" i="1"/>
  <c r="B483" i="1"/>
  <c r="B484" i="1"/>
  <c r="B485" i="1"/>
  <c r="B486" i="1"/>
  <c r="H486" i="1" s="1"/>
  <c r="B487" i="1"/>
  <c r="H487" i="1" s="1"/>
  <c r="B488" i="1"/>
  <c r="G488" i="1" s="1"/>
  <c r="B489" i="1"/>
  <c r="B490" i="1"/>
  <c r="B491" i="1"/>
  <c r="B492" i="1"/>
  <c r="B493" i="1"/>
  <c r="B494" i="1"/>
  <c r="H494" i="1" s="1"/>
  <c r="B495" i="1"/>
  <c r="B496" i="1"/>
  <c r="B497" i="1"/>
  <c r="B498" i="1"/>
  <c r="B499" i="1"/>
  <c r="B500" i="1"/>
  <c r="H500" i="1" s="1"/>
  <c r="B501" i="1"/>
  <c r="B502" i="1"/>
  <c r="B503" i="1"/>
  <c r="B504" i="1"/>
  <c r="B505" i="1"/>
  <c r="B506" i="1"/>
  <c r="B507" i="1"/>
  <c r="B508" i="1"/>
  <c r="H508" i="1" s="1"/>
  <c r="B509" i="1"/>
  <c r="B510" i="1"/>
  <c r="B511" i="1"/>
  <c r="B512" i="1"/>
  <c r="B513" i="1"/>
  <c r="B514" i="1"/>
  <c r="H514" i="1" s="1"/>
  <c r="B515" i="1"/>
  <c r="B516" i="1"/>
  <c r="B517" i="1"/>
  <c r="B518" i="1"/>
  <c r="G518" i="1" s="1"/>
  <c r="B519" i="1"/>
  <c r="B520" i="1"/>
  <c r="B521" i="1"/>
  <c r="G521" i="1" s="1"/>
  <c r="B522" i="1"/>
  <c r="B523" i="1"/>
  <c r="B524" i="1"/>
  <c r="B525" i="1"/>
  <c r="B526" i="1"/>
  <c r="B527" i="1"/>
  <c r="H527" i="1" s="1"/>
  <c r="B528" i="1"/>
  <c r="H528" i="1" s="1"/>
  <c r="B529" i="1"/>
  <c r="B530" i="1"/>
  <c r="B531" i="1"/>
  <c r="B532" i="1"/>
  <c r="B533" i="1"/>
  <c r="B534" i="1"/>
  <c r="G534" i="1" s="1"/>
  <c r="B535" i="1"/>
  <c r="H535" i="1" s="1"/>
  <c r="B536" i="1"/>
  <c r="B537" i="1"/>
  <c r="B538" i="1"/>
  <c r="B539" i="1"/>
  <c r="B540" i="1"/>
  <c r="B541" i="1"/>
  <c r="G541" i="1" s="1"/>
  <c r="B542" i="1"/>
  <c r="B543" i="1"/>
  <c r="B544" i="1"/>
  <c r="B545" i="1"/>
  <c r="B546" i="1"/>
  <c r="B547" i="1"/>
  <c r="H547" i="1" s="1"/>
  <c r="B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2" i="1"/>
  <c r="L3" i="2"/>
  <c r="L4" i="2"/>
  <c r="M4" i="2" s="1"/>
  <c r="L5" i="2"/>
  <c r="N5" i="2" s="1"/>
  <c r="L6" i="2"/>
  <c r="L7" i="2"/>
  <c r="L8" i="2"/>
  <c r="N8" i="2" s="1"/>
  <c r="L9" i="2"/>
  <c r="N9" i="2" s="1"/>
  <c r="L10" i="2"/>
  <c r="M10" i="2" s="1"/>
  <c r="L11" i="2"/>
  <c r="L12" i="2"/>
  <c r="L13" i="2"/>
  <c r="N13" i="2" s="1"/>
  <c r="L14" i="2"/>
  <c r="L15" i="2"/>
  <c r="M15" i="2" s="1"/>
  <c r="L16" i="2"/>
  <c r="M16" i="2" s="1"/>
  <c r="L17" i="2"/>
  <c r="N17" i="2" s="1"/>
  <c r="L18" i="2"/>
  <c r="L19" i="2"/>
  <c r="L20" i="2"/>
  <c r="M20" i="2" s="1"/>
  <c r="L21" i="2"/>
  <c r="M21" i="2" s="1"/>
  <c r="L22" i="2"/>
  <c r="L23" i="2"/>
  <c r="N23" i="2" s="1"/>
  <c r="L24" i="2"/>
  <c r="N24" i="2" s="1"/>
  <c r="L25" i="2"/>
  <c r="L26" i="2"/>
  <c r="L27" i="2"/>
  <c r="L28" i="2"/>
  <c r="L29" i="2"/>
  <c r="L30" i="2"/>
  <c r="L31" i="2"/>
  <c r="M31" i="2" s="1"/>
  <c r="L32" i="2"/>
  <c r="L33" i="2"/>
  <c r="L34" i="2"/>
  <c r="L125" i="2"/>
  <c r="L126" i="2"/>
  <c r="L127" i="2"/>
  <c r="L128" i="2"/>
  <c r="M128" i="2" s="1"/>
  <c r="L129" i="2"/>
  <c r="L130" i="2"/>
  <c r="M130" i="2" s="1"/>
  <c r="L131" i="2"/>
  <c r="N131" i="2" s="1"/>
  <c r="L133" i="2"/>
  <c r="M133" i="2" s="1"/>
  <c r="L134" i="2"/>
  <c r="N134" i="2" s="1"/>
  <c r="L135" i="2"/>
  <c r="N135" i="2" s="1"/>
  <c r="L136" i="2"/>
  <c r="L137" i="2"/>
  <c r="L138" i="2"/>
  <c r="N138" i="2" s="1"/>
  <c r="L139" i="2"/>
  <c r="N139" i="2" s="1"/>
  <c r="L140" i="2"/>
  <c r="L141" i="2"/>
  <c r="L142" i="2"/>
  <c r="L143" i="2"/>
  <c r="N143" i="2" s="1"/>
  <c r="L144" i="2"/>
  <c r="N144" i="2" s="1"/>
  <c r="L145" i="2"/>
  <c r="L146" i="2"/>
  <c r="L148" i="2"/>
  <c r="L149" i="2"/>
  <c r="L150" i="2"/>
  <c r="L151" i="2"/>
  <c r="L152" i="2"/>
  <c r="L153" i="2"/>
  <c r="N153" i="2" s="1"/>
  <c r="L154" i="2"/>
  <c r="L155" i="2"/>
  <c r="L156" i="2"/>
  <c r="L157" i="2"/>
  <c r="L158" i="2"/>
  <c r="L159" i="2"/>
  <c r="L160" i="2"/>
  <c r="L161" i="2"/>
  <c r="M161" i="2" s="1"/>
  <c r="L162" i="2"/>
  <c r="L163" i="2"/>
  <c r="M163" i="2" s="1"/>
  <c r="L164" i="2"/>
  <c r="L165" i="2"/>
  <c r="N165" i="2" s="1"/>
  <c r="L166" i="2"/>
  <c r="L167" i="2"/>
  <c r="L168" i="2"/>
  <c r="M168" i="2" s="1"/>
  <c r="L169" i="2"/>
  <c r="N169" i="2" s="1"/>
  <c r="L170" i="2"/>
  <c r="L171" i="2"/>
  <c r="L172" i="2"/>
  <c r="L173" i="2"/>
  <c r="L174" i="2"/>
  <c r="N174" i="2" s="1"/>
  <c r="L175" i="2"/>
  <c r="L177" i="2"/>
  <c r="N177" i="2" s="1"/>
  <c r="L178" i="2"/>
  <c r="N178" i="2" s="1"/>
  <c r="L179" i="2"/>
  <c r="N179" i="2" s="1"/>
  <c r="L180" i="2"/>
  <c r="M180" i="2" s="1"/>
  <c r="L181" i="2"/>
  <c r="L182" i="2"/>
  <c r="L183" i="2"/>
  <c r="L184" i="2"/>
  <c r="L185" i="2"/>
  <c r="L186" i="2"/>
  <c r="M186" i="2" s="1"/>
  <c r="L187" i="2"/>
  <c r="N187" i="2" s="1"/>
  <c r="L189" i="2"/>
  <c r="L190" i="2"/>
  <c r="M190" i="2" s="1"/>
  <c r="L191" i="2"/>
  <c r="N191" i="2" s="1"/>
  <c r="L192" i="2"/>
  <c r="N192" i="2" s="1"/>
  <c r="L193" i="2"/>
  <c r="L194" i="2"/>
  <c r="L195" i="2"/>
  <c r="M195" i="2" s="1"/>
  <c r="L196" i="2"/>
  <c r="L197" i="2"/>
  <c r="L198" i="2"/>
  <c r="N198" i="2" s="1"/>
  <c r="L199" i="2"/>
  <c r="N199" i="2" s="1"/>
  <c r="L200" i="2"/>
  <c r="L201" i="2"/>
  <c r="M201" i="2" s="1"/>
  <c r="L202" i="2"/>
  <c r="L203" i="2"/>
  <c r="L204" i="2"/>
  <c r="L205" i="2"/>
  <c r="L206" i="2"/>
  <c r="L207" i="2"/>
  <c r="L208" i="2"/>
  <c r="L209" i="2"/>
  <c r="L210" i="2"/>
  <c r="M210" i="2" s="1"/>
  <c r="L211" i="2"/>
  <c r="L212" i="2"/>
  <c r="M212" i="2" s="1"/>
  <c r="L213" i="2"/>
  <c r="N213" i="2" s="1"/>
  <c r="L214" i="2"/>
  <c r="N214" i="2" s="1"/>
  <c r="L215" i="2"/>
  <c r="M215" i="2" s="1"/>
  <c r="L216" i="2"/>
  <c r="N216" i="2" s="1"/>
  <c r="L217" i="2"/>
  <c r="L218" i="2"/>
  <c r="L219" i="2"/>
  <c r="L220" i="2"/>
  <c r="L221" i="2"/>
  <c r="M221" i="2" s="1"/>
  <c r="L222" i="2"/>
  <c r="N222" i="2" s="1"/>
  <c r="L223" i="2"/>
  <c r="M223" i="2" s="1"/>
  <c r="L224" i="2"/>
  <c r="L225" i="2"/>
  <c r="M225" i="2" s="1"/>
  <c r="L226" i="2"/>
  <c r="M226" i="2" s="1"/>
  <c r="N226" i="2"/>
  <c r="L227" i="2"/>
  <c r="L228" i="2"/>
  <c r="L229" i="2"/>
  <c r="N229" i="2" s="1"/>
  <c r="L230" i="2"/>
  <c r="N230" i="2" s="1"/>
  <c r="L231" i="2"/>
  <c r="L232" i="2"/>
  <c r="L233" i="2"/>
  <c r="L234" i="2"/>
  <c r="L235" i="2"/>
  <c r="L236" i="2"/>
  <c r="M236" i="2" s="1"/>
  <c r="L237" i="2"/>
  <c r="L238" i="2"/>
  <c r="L239" i="2"/>
  <c r="M239" i="2" s="1"/>
  <c r="L240" i="2"/>
  <c r="M240" i="2" s="1"/>
  <c r="N240" i="2"/>
  <c r="L241" i="2"/>
  <c r="L242" i="2"/>
  <c r="L243" i="2"/>
  <c r="L244" i="2"/>
  <c r="M244" i="2" s="1"/>
  <c r="L245" i="2"/>
  <c r="L246" i="2"/>
  <c r="N246" i="2" s="1"/>
  <c r="L247" i="2"/>
  <c r="L248" i="2"/>
  <c r="L249" i="2"/>
  <c r="N249" i="2" s="1"/>
  <c r="L250" i="2"/>
  <c r="L251" i="2"/>
  <c r="L252" i="2"/>
  <c r="L253" i="2"/>
  <c r="L254" i="2"/>
  <c r="L255" i="2"/>
  <c r="N255" i="2" s="1"/>
  <c r="L256" i="2"/>
  <c r="L257" i="2"/>
  <c r="L258" i="2"/>
  <c r="L259" i="2"/>
  <c r="L260" i="2"/>
  <c r="L261" i="2"/>
  <c r="M261" i="2" s="1"/>
  <c r="L262" i="2"/>
  <c r="L263" i="2"/>
  <c r="M263" i="2" s="1"/>
  <c r="L264" i="2"/>
  <c r="L265" i="2"/>
  <c r="L266" i="2"/>
  <c r="L267" i="2"/>
  <c r="N267" i="2" s="1"/>
  <c r="L269" i="2"/>
  <c r="L270" i="2"/>
  <c r="L271" i="2"/>
  <c r="L272" i="2"/>
  <c r="L273" i="2"/>
  <c r="L274" i="2"/>
  <c r="L275" i="2"/>
  <c r="L276" i="2"/>
  <c r="L277" i="2"/>
  <c r="L279" i="2"/>
  <c r="L280" i="2"/>
  <c r="L281" i="2"/>
  <c r="L282" i="2"/>
  <c r="L283" i="2"/>
  <c r="M283" i="2" s="1"/>
  <c r="L284" i="2"/>
  <c r="L285" i="2"/>
  <c r="L286" i="2"/>
  <c r="N286" i="2" s="1"/>
  <c r="L287" i="2"/>
  <c r="L288" i="2"/>
  <c r="L289" i="2"/>
  <c r="L290" i="2"/>
  <c r="N290" i="2" s="1"/>
  <c r="L291" i="2"/>
  <c r="L292" i="2"/>
  <c r="L293" i="2"/>
  <c r="L294" i="2"/>
  <c r="L295" i="2"/>
  <c r="M295" i="2" s="1"/>
  <c r="L296" i="2"/>
  <c r="M296" i="2" s="1"/>
  <c r="L297" i="2"/>
  <c r="L298" i="2"/>
  <c r="N298" i="2" s="1"/>
  <c r="L299" i="2"/>
  <c r="L300" i="2"/>
  <c r="L301" i="2"/>
  <c r="L302" i="2"/>
  <c r="L303" i="2"/>
  <c r="L304" i="2"/>
  <c r="L305" i="2"/>
  <c r="M305" i="2" s="1"/>
  <c r="L306" i="2"/>
  <c r="M306" i="2" s="1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M319" i="2" s="1"/>
  <c r="L320" i="2"/>
  <c r="L321" i="2"/>
  <c r="L322" i="2"/>
  <c r="L323" i="2"/>
  <c r="M323" i="2" s="1"/>
  <c r="L324" i="2"/>
  <c r="L325" i="2"/>
  <c r="L326" i="2"/>
  <c r="L327" i="2"/>
  <c r="N327" i="2" s="1"/>
  <c r="L328" i="2"/>
  <c r="L329" i="2"/>
  <c r="L330" i="2"/>
  <c r="M330" i="2" s="1"/>
  <c r="L331" i="2"/>
  <c r="N331" i="2" s="1"/>
  <c r="L332" i="2"/>
  <c r="L333" i="2"/>
  <c r="L334" i="2"/>
  <c r="L335" i="2"/>
  <c r="M335" i="2" s="1"/>
  <c r="L336" i="2"/>
  <c r="L337" i="2"/>
  <c r="L338" i="2"/>
  <c r="L339" i="2"/>
  <c r="M339" i="2" s="1"/>
  <c r="L340" i="2"/>
  <c r="M340" i="2" s="1"/>
  <c r="L341" i="2"/>
  <c r="L342" i="2"/>
  <c r="N342" i="2" s="1"/>
  <c r="L343" i="2"/>
  <c r="L344" i="2"/>
  <c r="L345" i="2"/>
  <c r="M345" i="2" s="1"/>
  <c r="L346" i="2"/>
  <c r="N346" i="2" s="1"/>
  <c r="L347" i="2"/>
  <c r="L348" i="2"/>
  <c r="N348" i="2" s="1"/>
  <c r="L349" i="2"/>
  <c r="N349" i="2" s="1"/>
  <c r="L350" i="2"/>
  <c r="L351" i="2"/>
  <c r="L352" i="2"/>
  <c r="L353" i="2"/>
  <c r="L354" i="2"/>
  <c r="L355" i="2"/>
  <c r="M355" i="2" s="1"/>
  <c r="L356" i="2"/>
  <c r="M356" i="2" s="1"/>
  <c r="L357" i="2"/>
  <c r="L358" i="2"/>
  <c r="M358" i="2" s="1"/>
  <c r="L359" i="2"/>
  <c r="N359" i="2" s="1"/>
  <c r="L360" i="2"/>
  <c r="L361" i="2"/>
  <c r="L362" i="2"/>
  <c r="L363" i="2"/>
  <c r="N363" i="2" s="1"/>
  <c r="L364" i="2"/>
  <c r="L365" i="2"/>
  <c r="M365" i="2" s="1"/>
  <c r="L366" i="2"/>
  <c r="M366" i="2" s="1"/>
  <c r="L367" i="2"/>
  <c r="L368" i="2"/>
  <c r="L369" i="2"/>
  <c r="M369" i="2" s="1"/>
  <c r="L370" i="2"/>
  <c r="M370" i="2" s="1"/>
  <c r="L371" i="2"/>
  <c r="M371" i="2" s="1"/>
  <c r="L372" i="2"/>
  <c r="L373" i="2"/>
  <c r="L374" i="2"/>
  <c r="M374" i="2" s="1"/>
  <c r="L375" i="2"/>
  <c r="L376" i="2"/>
  <c r="M376" i="2" s="1"/>
  <c r="L377" i="2"/>
  <c r="L378" i="2"/>
  <c r="L379" i="2"/>
  <c r="L380" i="2"/>
  <c r="M380" i="2" s="1"/>
  <c r="L381" i="2"/>
  <c r="L382" i="2"/>
  <c r="L383" i="2"/>
  <c r="M383" i="2" s="1"/>
  <c r="L384" i="2"/>
  <c r="L385" i="2"/>
  <c r="L386" i="2"/>
  <c r="L387" i="2"/>
  <c r="L388" i="2"/>
  <c r="L389" i="2"/>
  <c r="L390" i="2"/>
  <c r="N390" i="2" s="1"/>
  <c r="L391" i="2"/>
  <c r="L392" i="2"/>
  <c r="L393" i="2"/>
  <c r="N393" i="2" s="1"/>
  <c r="L394" i="2"/>
  <c r="L395" i="2"/>
  <c r="M395" i="2" s="1"/>
  <c r="L396" i="2"/>
  <c r="M396" i="2" s="1"/>
  <c r="L397" i="2"/>
  <c r="L398" i="2"/>
  <c r="M398" i="2" s="1"/>
  <c r="L399" i="2"/>
  <c r="L400" i="2"/>
  <c r="M400" i="2" s="1"/>
  <c r="L401" i="2"/>
  <c r="M401" i="2" s="1"/>
  <c r="L402" i="2"/>
  <c r="L403" i="2"/>
  <c r="M403" i="2" s="1"/>
  <c r="L404" i="2"/>
  <c r="L405" i="2"/>
  <c r="N405" i="2" s="1"/>
  <c r="L406" i="2"/>
  <c r="M406" i="2" s="1"/>
  <c r="L407" i="2"/>
  <c r="M407" i="2" s="1"/>
  <c r="L408" i="2"/>
  <c r="L409" i="2"/>
  <c r="L411" i="2"/>
  <c r="L412" i="2"/>
  <c r="L413" i="2"/>
  <c r="M413" i="2" s="1"/>
  <c r="L414" i="2"/>
  <c r="L415" i="2"/>
  <c r="M415" i="2" s="1"/>
  <c r="L416" i="2"/>
  <c r="L417" i="2"/>
  <c r="L419" i="2"/>
  <c r="L420" i="2"/>
  <c r="L421" i="2"/>
  <c r="N421" i="2" s="1"/>
  <c r="L423" i="2"/>
  <c r="M423" i="2" s="1"/>
  <c r="L424" i="2"/>
  <c r="N424" i="2" s="1"/>
  <c r="L425" i="2"/>
  <c r="N425" i="2" s="1"/>
  <c r="L426" i="2"/>
  <c r="M426" i="2" s="1"/>
  <c r="L427" i="2"/>
  <c r="M427" i="2" s="1"/>
  <c r="L428" i="2"/>
  <c r="N428" i="2" s="1"/>
  <c r="L429" i="2"/>
  <c r="L430" i="2"/>
  <c r="N430" i="2" s="1"/>
  <c r="L431" i="2"/>
  <c r="L432" i="2"/>
  <c r="M432" i="2" s="1"/>
  <c r="L433" i="2"/>
  <c r="N433" i="2" s="1"/>
  <c r="L434" i="2"/>
  <c r="L435" i="2"/>
  <c r="L436" i="2"/>
  <c r="L437" i="2"/>
  <c r="L438" i="2"/>
  <c r="N438" i="2" s="1"/>
  <c r="L439" i="2"/>
  <c r="L440" i="2"/>
  <c r="L441" i="2"/>
  <c r="L442" i="2"/>
  <c r="L443" i="2"/>
  <c r="N443" i="2" s="1"/>
  <c r="L444" i="2"/>
  <c r="N444" i="2" s="1"/>
  <c r="L445" i="2"/>
  <c r="N445" i="2" s="1"/>
  <c r="L446" i="2"/>
  <c r="N446" i="2" s="1"/>
  <c r="L447" i="2"/>
  <c r="L448" i="2"/>
  <c r="M448" i="2" s="1"/>
  <c r="L449" i="2"/>
  <c r="L450" i="2"/>
  <c r="L451" i="2"/>
  <c r="N451" i="2" s="1"/>
  <c r="L452" i="2"/>
  <c r="L453" i="2"/>
  <c r="N453" i="2" s="1"/>
  <c r="L454" i="2"/>
  <c r="M454" i="2" s="1"/>
  <c r="L455" i="2"/>
  <c r="M455" i="2" s="1"/>
  <c r="L456" i="2"/>
  <c r="N456" i="2" s="1"/>
  <c r="L457" i="2"/>
  <c r="L458" i="2"/>
  <c r="M458" i="2" s="1"/>
  <c r="L459" i="2"/>
  <c r="M459" i="2" s="1"/>
  <c r="L460" i="2"/>
  <c r="M460" i="2" s="1"/>
  <c r="L461" i="2"/>
  <c r="N461" i="2" s="1"/>
  <c r="L462" i="2"/>
  <c r="L463" i="2"/>
  <c r="L464" i="2"/>
  <c r="L465" i="2"/>
  <c r="M465" i="2" s="1"/>
  <c r="L466" i="2"/>
  <c r="M466" i="2" s="1"/>
  <c r="L467" i="2"/>
  <c r="L468" i="2"/>
  <c r="N468" i="2" s="1"/>
  <c r="L469" i="2"/>
  <c r="M469" i="2" s="1"/>
  <c r="L470" i="2"/>
  <c r="N470" i="2" s="1"/>
  <c r="L471" i="2"/>
  <c r="M471" i="2" s="1"/>
  <c r="L472" i="2"/>
  <c r="L473" i="2"/>
  <c r="N473" i="2" s="1"/>
  <c r="L474" i="2"/>
  <c r="N474" i="2" s="1"/>
  <c r="L475" i="2"/>
  <c r="N475" i="2" s="1"/>
  <c r="L476" i="2"/>
  <c r="L477" i="2"/>
  <c r="L478" i="2"/>
  <c r="L479" i="2"/>
  <c r="L480" i="2"/>
  <c r="N480" i="2" s="1"/>
  <c r="L481" i="2"/>
  <c r="N481" i="2" s="1"/>
  <c r="L482" i="2"/>
  <c r="L483" i="2"/>
  <c r="M483" i="2" s="1"/>
  <c r="L484" i="2"/>
  <c r="N484" i="2" s="1"/>
  <c r="L485" i="2"/>
  <c r="L486" i="2"/>
  <c r="L487" i="2"/>
  <c r="L488" i="2"/>
  <c r="L489" i="2"/>
  <c r="L490" i="2"/>
  <c r="L491" i="2"/>
  <c r="N491" i="2" s="1"/>
  <c r="L492" i="2"/>
  <c r="L493" i="2"/>
  <c r="L494" i="2"/>
  <c r="N494" i="2" s="1"/>
  <c r="L495" i="2"/>
  <c r="L496" i="2"/>
  <c r="M496" i="2" s="1"/>
  <c r="L497" i="2"/>
  <c r="L498" i="2"/>
  <c r="N498" i="2" s="1"/>
  <c r="M498" i="2"/>
  <c r="L499" i="2"/>
  <c r="N499" i="2" s="1"/>
  <c r="L500" i="2"/>
  <c r="N500" i="2" s="1"/>
  <c r="L501" i="2"/>
  <c r="N501" i="2" s="1"/>
  <c r="L502" i="2"/>
  <c r="L503" i="2"/>
  <c r="N503" i="2" s="1"/>
  <c r="L504" i="2"/>
  <c r="M504" i="2" s="1"/>
  <c r="L505" i="2"/>
  <c r="L506" i="2"/>
  <c r="N506" i="2" s="1"/>
  <c r="L507" i="2"/>
  <c r="L508" i="2"/>
  <c r="N508" i="2" s="1"/>
  <c r="L509" i="2"/>
  <c r="L510" i="2"/>
  <c r="L512" i="2"/>
  <c r="M512" i="2" s="1"/>
  <c r="L2" i="2"/>
  <c r="H155" i="1"/>
  <c r="H536" i="1"/>
  <c r="L16" i="1"/>
  <c r="N16" i="1" s="1"/>
  <c r="L24" i="1"/>
  <c r="N24" i="1" s="1"/>
  <c r="L50" i="1"/>
  <c r="L57" i="1"/>
  <c r="L74" i="1"/>
  <c r="L114" i="1"/>
  <c r="L147" i="1"/>
  <c r="L170" i="1"/>
  <c r="L185" i="1"/>
  <c r="M185" i="1" s="1"/>
  <c r="L200" i="1"/>
  <c r="L209" i="1"/>
  <c r="L222" i="1"/>
  <c r="M222" i="1" s="1"/>
  <c r="L236" i="1"/>
  <c r="L254" i="1"/>
  <c r="N254" i="1" s="1"/>
  <c r="L255" i="1"/>
  <c r="N255" i="1" s="1"/>
  <c r="L281" i="1"/>
  <c r="N281" i="1" s="1"/>
  <c r="L290" i="1"/>
  <c r="N290" i="1" s="1"/>
  <c r="L304" i="1"/>
  <c r="N304" i="1" s="1"/>
  <c r="L313" i="1"/>
  <c r="N313" i="1" s="1"/>
  <c r="L317" i="1"/>
  <c r="N317" i="1" s="1"/>
  <c r="L331" i="1"/>
  <c r="N331" i="1" s="1"/>
  <c r="L340" i="1"/>
  <c r="N340" i="1" s="1"/>
  <c r="L344" i="1"/>
  <c r="N344" i="1" s="1"/>
  <c r="L358" i="1"/>
  <c r="N358" i="1" s="1"/>
  <c r="L367" i="1"/>
  <c r="L371" i="1"/>
  <c r="L385" i="1"/>
  <c r="L394" i="1"/>
  <c r="L398" i="1"/>
  <c r="L412" i="1"/>
  <c r="M412" i="1" s="1"/>
  <c r="L421" i="1"/>
  <c r="L425" i="1"/>
  <c r="L439" i="1"/>
  <c r="L448" i="1"/>
  <c r="L452" i="1"/>
  <c r="L466" i="1"/>
  <c r="L475" i="1"/>
  <c r="L479" i="1"/>
  <c r="L493" i="1"/>
  <c r="L502" i="1"/>
  <c r="L506" i="1"/>
  <c r="L520" i="1"/>
  <c r="L529" i="1"/>
  <c r="L530" i="1"/>
  <c r="L538" i="1"/>
  <c r="L547" i="1"/>
  <c r="H143" i="1"/>
  <c r="H269" i="1"/>
  <c r="J2" i="1" l="1"/>
  <c r="M946" i="2"/>
  <c r="M938" i="2"/>
  <c r="M910" i="2"/>
  <c r="M902" i="2"/>
  <c r="M874" i="2"/>
  <c r="M866" i="2"/>
  <c r="M838" i="2"/>
  <c r="M830" i="2"/>
  <c r="M802" i="2"/>
  <c r="M799" i="2"/>
  <c r="M796" i="2"/>
  <c r="M793" i="2"/>
  <c r="M790" i="2"/>
  <c r="M787" i="2"/>
  <c r="M784" i="2"/>
  <c r="M781" i="2"/>
  <c r="M778" i="2"/>
  <c r="M775" i="2"/>
  <c r="M772" i="2"/>
  <c r="M769" i="2"/>
  <c r="M765" i="2"/>
  <c r="M740" i="2"/>
  <c r="N738" i="2"/>
  <c r="M734" i="2"/>
  <c r="N732" i="2"/>
  <c r="M728" i="2"/>
  <c r="N726" i="2"/>
  <c r="M722" i="2"/>
  <c r="N720" i="2"/>
  <c r="M716" i="2"/>
  <c r="N714" i="2"/>
  <c r="M710" i="2"/>
  <c r="N708" i="2"/>
  <c r="M704" i="2"/>
  <c r="N702" i="2"/>
  <c r="M698" i="2"/>
  <c r="N696" i="2"/>
  <c r="M694" i="2"/>
  <c r="M678" i="2"/>
  <c r="M676" i="2"/>
  <c r="M651" i="2"/>
  <c r="M649" i="2"/>
  <c r="M621" i="2"/>
  <c r="N616" i="2"/>
  <c r="N607" i="2"/>
  <c r="M603" i="2"/>
  <c r="M594" i="2"/>
  <c r="N589" i="2"/>
  <c r="M584" i="2"/>
  <c r="N582" i="2"/>
  <c r="M566" i="2"/>
  <c r="N564" i="2"/>
  <c r="M557" i="2"/>
  <c r="M547" i="2"/>
  <c r="N107" i="2"/>
  <c r="N105" i="2"/>
  <c r="M934" i="2"/>
  <c r="M926" i="2"/>
  <c r="M898" i="2"/>
  <c r="M890" i="2"/>
  <c r="M862" i="2"/>
  <c r="M854" i="2"/>
  <c r="M826" i="2"/>
  <c r="M818" i="2"/>
  <c r="M801" i="2"/>
  <c r="M798" i="2"/>
  <c r="M795" i="2"/>
  <c r="M792" i="2"/>
  <c r="M789" i="2"/>
  <c r="M786" i="2"/>
  <c r="M783" i="2"/>
  <c r="M780" i="2"/>
  <c r="M777" i="2"/>
  <c r="M774" i="2"/>
  <c r="M771" i="2"/>
  <c r="M768" i="2"/>
  <c r="M756" i="2"/>
  <c r="M737" i="2"/>
  <c r="M731" i="2"/>
  <c r="M725" i="2"/>
  <c r="M719" i="2"/>
  <c r="M713" i="2"/>
  <c r="M707" i="2"/>
  <c r="M701" i="2"/>
  <c r="M693" i="2"/>
  <c r="N688" i="2"/>
  <c r="M666" i="2"/>
  <c r="N661" i="2"/>
  <c r="M642" i="2"/>
  <c r="M640" i="2"/>
  <c r="N635" i="2"/>
  <c r="M578" i="2"/>
  <c r="M576" i="2"/>
  <c r="M516" i="2"/>
  <c r="M514" i="2"/>
  <c r="E521" i="2"/>
  <c r="N116" i="2"/>
  <c r="N114" i="2"/>
  <c r="N95" i="2"/>
  <c r="N93" i="2"/>
  <c r="N71" i="2"/>
  <c r="N41" i="2"/>
  <c r="N124" i="2"/>
  <c r="H124" i="2"/>
  <c r="D132" i="2"/>
  <c r="M192" i="2"/>
  <c r="N190" i="2"/>
  <c r="M153" i="2"/>
  <c r="D723" i="2"/>
  <c r="E720" i="2"/>
  <c r="E699" i="2"/>
  <c r="M954" i="2"/>
  <c r="M942" i="2"/>
  <c r="M930" i="2"/>
  <c r="M918" i="2"/>
  <c r="M906" i="2"/>
  <c r="M894" i="2"/>
  <c r="M882" i="2"/>
  <c r="M870" i="2"/>
  <c r="M858" i="2"/>
  <c r="M846" i="2"/>
  <c r="M834" i="2"/>
  <c r="M822" i="2"/>
  <c r="M810" i="2"/>
  <c r="N753" i="2"/>
  <c r="M747" i="2"/>
  <c r="M687" i="2"/>
  <c r="M685" i="2"/>
  <c r="M669" i="2"/>
  <c r="M667" i="2"/>
  <c r="M657" i="2"/>
  <c r="N652" i="2"/>
  <c r="N643" i="2"/>
  <c r="M630" i="2"/>
  <c r="M585" i="2"/>
  <c r="N579" i="2"/>
  <c r="N570" i="2"/>
  <c r="M519" i="2"/>
  <c r="M517" i="2"/>
  <c r="N122" i="2"/>
  <c r="N120" i="2"/>
  <c r="N98" i="2"/>
  <c r="N96" i="2"/>
  <c r="N80" i="2"/>
  <c r="N78" i="2"/>
  <c r="N47" i="2"/>
  <c r="N38" i="2"/>
  <c r="E967" i="2"/>
  <c r="D808" i="2"/>
  <c r="D700" i="2"/>
  <c r="E637" i="2"/>
  <c r="M480" i="2"/>
  <c r="D863" i="2"/>
  <c r="E722" i="2"/>
  <c r="E519" i="2"/>
  <c r="E518" i="2"/>
  <c r="D516" i="2"/>
  <c r="E515" i="2"/>
  <c r="E514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2" i="2"/>
  <c r="M951" i="2"/>
  <c r="M948" i="2"/>
  <c r="M947" i="2"/>
  <c r="M944" i="2"/>
  <c r="M943" i="2"/>
  <c r="M940" i="2"/>
  <c r="M939" i="2"/>
  <c r="M936" i="2"/>
  <c r="M935" i="2"/>
  <c r="M932" i="2"/>
  <c r="M931" i="2"/>
  <c r="M928" i="2"/>
  <c r="M927" i="2"/>
  <c r="M924" i="2"/>
  <c r="M923" i="2"/>
  <c r="M920" i="2"/>
  <c r="M919" i="2"/>
  <c r="M916" i="2"/>
  <c r="M915" i="2"/>
  <c r="M912" i="2"/>
  <c r="M911" i="2"/>
  <c r="M908" i="2"/>
  <c r="M907" i="2"/>
  <c r="M904" i="2"/>
  <c r="M903" i="2"/>
  <c r="M900" i="2"/>
  <c r="M899" i="2"/>
  <c r="M896" i="2"/>
  <c r="M895" i="2"/>
  <c r="M892" i="2"/>
  <c r="M891" i="2"/>
  <c r="M888" i="2"/>
  <c r="M887" i="2"/>
  <c r="M884" i="2"/>
  <c r="M883" i="2"/>
  <c r="M880" i="2"/>
  <c r="M879" i="2"/>
  <c r="M876" i="2"/>
  <c r="M875" i="2"/>
  <c r="M872" i="2"/>
  <c r="M871" i="2"/>
  <c r="M868" i="2"/>
  <c r="M867" i="2"/>
  <c r="M864" i="2"/>
  <c r="M863" i="2"/>
  <c r="M860" i="2"/>
  <c r="M859" i="2"/>
  <c r="M856" i="2"/>
  <c r="M855" i="2"/>
  <c r="M852" i="2"/>
  <c r="M851" i="2"/>
  <c r="M848" i="2"/>
  <c r="M847" i="2"/>
  <c r="M844" i="2"/>
  <c r="M843" i="2"/>
  <c r="M840" i="2"/>
  <c r="M839" i="2"/>
  <c r="M836" i="2"/>
  <c r="M835" i="2"/>
  <c r="M832" i="2"/>
  <c r="M831" i="2"/>
  <c r="M828" i="2"/>
  <c r="M827" i="2"/>
  <c r="M824" i="2"/>
  <c r="M823" i="2"/>
  <c r="M820" i="2"/>
  <c r="M819" i="2"/>
  <c r="M816" i="2"/>
  <c r="M815" i="2"/>
  <c r="M812" i="2"/>
  <c r="M811" i="2"/>
  <c r="M808" i="2"/>
  <c r="M807" i="2"/>
  <c r="M804" i="2"/>
  <c r="M803" i="2"/>
  <c r="M762" i="2"/>
  <c r="N744" i="2"/>
  <c r="M689" i="2"/>
  <c r="N689" i="2"/>
  <c r="M675" i="2"/>
  <c r="N670" i="2"/>
  <c r="M662" i="2"/>
  <c r="N662" i="2"/>
  <c r="M648" i="2"/>
  <c r="N633" i="2"/>
  <c r="M633" i="2"/>
  <c r="M617" i="2"/>
  <c r="N617" i="2"/>
  <c r="N599" i="2"/>
  <c r="N586" i="2"/>
  <c r="M575" i="2"/>
  <c r="N573" i="2"/>
  <c r="M518" i="2"/>
  <c r="M515" i="2"/>
  <c r="M680" i="2"/>
  <c r="N680" i="2"/>
  <c r="M653" i="2"/>
  <c r="N653" i="2"/>
  <c r="N639" i="2"/>
  <c r="M639" i="2"/>
  <c r="M625" i="2"/>
  <c r="N625" i="2"/>
  <c r="N612" i="2"/>
  <c r="M612" i="2"/>
  <c r="G123" i="2"/>
  <c r="H123" i="2"/>
  <c r="H120" i="2"/>
  <c r="G120" i="2"/>
  <c r="G117" i="2"/>
  <c r="H117" i="2"/>
  <c r="G114" i="2"/>
  <c r="H114" i="2"/>
  <c r="H111" i="2"/>
  <c r="G111" i="2"/>
  <c r="G108" i="2"/>
  <c r="H108" i="2"/>
  <c r="G105" i="2"/>
  <c r="H105" i="2"/>
  <c r="G102" i="2"/>
  <c r="H102" i="2"/>
  <c r="G99" i="2"/>
  <c r="H99" i="2"/>
  <c r="G96" i="2"/>
  <c r="H96" i="2"/>
  <c r="G93" i="2"/>
  <c r="H93" i="2"/>
  <c r="G90" i="2"/>
  <c r="H90" i="2"/>
  <c r="G87" i="2"/>
  <c r="H87" i="2"/>
  <c r="G84" i="2"/>
  <c r="H84" i="2"/>
  <c r="G81" i="2"/>
  <c r="H81" i="2"/>
  <c r="G78" i="2"/>
  <c r="H78" i="2"/>
  <c r="G75" i="2"/>
  <c r="H75" i="2"/>
  <c r="G72" i="2"/>
  <c r="H72" i="2"/>
  <c r="G69" i="2"/>
  <c r="H69" i="2"/>
  <c r="G66" i="2"/>
  <c r="H66" i="2"/>
  <c r="G63" i="2"/>
  <c r="H63" i="2"/>
  <c r="G60" i="2"/>
  <c r="H60" i="2"/>
  <c r="G57" i="2"/>
  <c r="H57" i="2"/>
  <c r="G54" i="2"/>
  <c r="H54" i="2"/>
  <c r="G51" i="2"/>
  <c r="H51" i="2"/>
  <c r="G48" i="2"/>
  <c r="H48" i="2"/>
  <c r="G45" i="2"/>
  <c r="H45" i="2"/>
  <c r="G42" i="2"/>
  <c r="H42" i="2"/>
  <c r="G39" i="2"/>
  <c r="H39" i="2"/>
  <c r="H36" i="2"/>
  <c r="G36" i="2"/>
  <c r="D519" i="2"/>
  <c r="E516" i="2"/>
  <c r="M671" i="2"/>
  <c r="N671" i="2"/>
  <c r="M644" i="2"/>
  <c r="N644" i="2"/>
  <c r="N631" i="2"/>
  <c r="M631" i="2"/>
  <c r="M598" i="2"/>
  <c r="N598" i="2"/>
  <c r="H122" i="2"/>
  <c r="G122" i="2"/>
  <c r="H119" i="2"/>
  <c r="G119" i="2"/>
  <c r="H116" i="2"/>
  <c r="G116" i="2"/>
  <c r="H113" i="2"/>
  <c r="G113" i="2"/>
  <c r="H110" i="2"/>
  <c r="G110" i="2"/>
  <c r="H107" i="2"/>
  <c r="G107" i="2"/>
  <c r="H104" i="2"/>
  <c r="G104" i="2"/>
  <c r="H101" i="2"/>
  <c r="G101" i="2"/>
  <c r="H98" i="2"/>
  <c r="G98" i="2"/>
  <c r="H95" i="2"/>
  <c r="G95" i="2"/>
  <c r="H92" i="2"/>
  <c r="G92" i="2"/>
  <c r="H89" i="2"/>
  <c r="G89" i="2"/>
  <c r="H86" i="2"/>
  <c r="G86" i="2"/>
  <c r="H83" i="2"/>
  <c r="G83" i="2"/>
  <c r="H80" i="2"/>
  <c r="G80" i="2"/>
  <c r="H77" i="2"/>
  <c r="G77" i="2"/>
  <c r="H74" i="2"/>
  <c r="G74" i="2"/>
  <c r="H71" i="2"/>
  <c r="G71" i="2"/>
  <c r="H68" i="2"/>
  <c r="G68" i="2"/>
  <c r="H65" i="2"/>
  <c r="G65" i="2"/>
  <c r="H62" i="2"/>
  <c r="G62" i="2"/>
  <c r="H59" i="2"/>
  <c r="G59" i="2"/>
  <c r="H56" i="2"/>
  <c r="G56" i="2"/>
  <c r="H53" i="2"/>
  <c r="G53" i="2"/>
  <c r="H50" i="2"/>
  <c r="G50" i="2"/>
  <c r="H47" i="2"/>
  <c r="G47" i="2"/>
  <c r="H44" i="2"/>
  <c r="G44" i="2"/>
  <c r="H41" i="2"/>
  <c r="G41" i="2"/>
  <c r="H38" i="2"/>
  <c r="G38" i="2"/>
  <c r="G106" i="2"/>
  <c r="G97" i="2"/>
  <c r="G88" i="2"/>
  <c r="G79" i="2"/>
  <c r="G70" i="2"/>
  <c r="G61" i="2"/>
  <c r="G52" i="2"/>
  <c r="G43" i="2"/>
  <c r="H118" i="2"/>
  <c r="H109" i="2"/>
  <c r="H100" i="2"/>
  <c r="H91" i="2"/>
  <c r="H82" i="2"/>
  <c r="H73" i="2"/>
  <c r="H64" i="2"/>
  <c r="H55" i="2"/>
  <c r="H46" i="2"/>
  <c r="H37" i="2"/>
  <c r="N35" i="2"/>
  <c r="M119" i="2"/>
  <c r="N119" i="2"/>
  <c r="M108" i="2"/>
  <c r="N108" i="2"/>
  <c r="N104" i="2"/>
  <c r="N102" i="2"/>
  <c r="M92" i="2"/>
  <c r="N92" i="2"/>
  <c r="M81" i="2"/>
  <c r="N81" i="2"/>
  <c r="N77" i="2"/>
  <c r="N75" i="2"/>
  <c r="N46" i="2"/>
  <c r="N43" i="2"/>
  <c r="N40" i="2"/>
  <c r="N37" i="2"/>
  <c r="J132" i="2"/>
  <c r="E132" i="2"/>
  <c r="G35" i="2"/>
  <c r="G121" i="2"/>
  <c r="G115" i="2"/>
  <c r="G112" i="2"/>
  <c r="H103" i="2"/>
  <c r="H94" i="2"/>
  <c r="H85" i="2"/>
  <c r="H76" i="2"/>
  <c r="H67" i="2"/>
  <c r="H58" i="2"/>
  <c r="H49" i="2"/>
  <c r="H40" i="2"/>
  <c r="M110" i="2"/>
  <c r="N110" i="2"/>
  <c r="M99" i="2"/>
  <c r="N99" i="2"/>
  <c r="M83" i="2"/>
  <c r="N83" i="2"/>
  <c r="M72" i="2"/>
  <c r="N72" i="2"/>
  <c r="J147" i="2"/>
  <c r="E147" i="2"/>
  <c r="M117" i="2"/>
  <c r="N117" i="2"/>
  <c r="N113" i="2"/>
  <c r="N111" i="2"/>
  <c r="M101" i="2"/>
  <c r="N101" i="2"/>
  <c r="M90" i="2"/>
  <c r="N90" i="2"/>
  <c r="N86" i="2"/>
  <c r="N84" i="2"/>
  <c r="M74" i="2"/>
  <c r="N74" i="2"/>
  <c r="N48" i="2"/>
  <c r="N45" i="2"/>
  <c r="N42" i="2"/>
  <c r="N39" i="2"/>
  <c r="M132" i="2"/>
  <c r="D147" i="2"/>
  <c r="E511" i="2"/>
  <c r="D511" i="2"/>
  <c r="D422" i="2"/>
  <c r="E422" i="2"/>
  <c r="J853" i="2"/>
  <c r="D817" i="2"/>
  <c r="D917" i="2"/>
  <c r="D890" i="2"/>
  <c r="J788" i="2"/>
  <c r="E785" i="2"/>
  <c r="J734" i="2"/>
  <c r="E807" i="2"/>
  <c r="J864" i="2"/>
  <c r="J833" i="2"/>
  <c r="J723" i="2"/>
  <c r="J631" i="2"/>
  <c r="J619" i="2"/>
  <c r="D691" i="2"/>
  <c r="E574" i="2"/>
  <c r="H542" i="2"/>
  <c r="G542" i="2"/>
  <c r="H533" i="2"/>
  <c r="G533" i="2"/>
  <c r="J515" i="2"/>
  <c r="G971" i="2"/>
  <c r="H971" i="2"/>
  <c r="H831" i="2"/>
  <c r="G831" i="2"/>
  <c r="H799" i="2"/>
  <c r="G799" i="2"/>
  <c r="G760" i="2"/>
  <c r="H760" i="2"/>
  <c r="G748" i="2"/>
  <c r="H748" i="2"/>
  <c r="H742" i="2"/>
  <c r="G742" i="2"/>
  <c r="H741" i="2"/>
  <c r="G741" i="2"/>
  <c r="H575" i="2"/>
  <c r="G575" i="2"/>
  <c r="D979" i="2"/>
  <c r="E978" i="2"/>
  <c r="D974" i="2"/>
  <c r="H917" i="2"/>
  <c r="G917" i="2"/>
  <c r="H850" i="2"/>
  <c r="G850" i="2"/>
  <c r="E741" i="2"/>
  <c r="H664" i="2"/>
  <c r="G664" i="2"/>
  <c r="H600" i="2"/>
  <c r="G600" i="2"/>
  <c r="J934" i="2"/>
  <c r="G867" i="2"/>
  <c r="H867" i="2"/>
  <c r="H864" i="2"/>
  <c r="G864" i="2"/>
  <c r="H857" i="2"/>
  <c r="G857" i="2"/>
  <c r="H830" i="2"/>
  <c r="G830" i="2"/>
  <c r="J816" i="2"/>
  <c r="D784" i="2"/>
  <c r="D721" i="2"/>
  <c r="H610" i="2"/>
  <c r="G610" i="2"/>
  <c r="D596" i="2"/>
  <c r="G555" i="2"/>
  <c r="H555" i="2"/>
  <c r="G534" i="2"/>
  <c r="H534" i="2"/>
  <c r="E985" i="2"/>
  <c r="E598" i="2"/>
  <c r="J595" i="2"/>
  <c r="D589" i="2"/>
  <c r="E586" i="2"/>
  <c r="D907" i="2"/>
  <c r="D904" i="2"/>
  <c r="J901" i="2"/>
  <c r="J876" i="2"/>
  <c r="E849" i="2"/>
  <c r="D786" i="2"/>
  <c r="E783" i="2"/>
  <c r="J651" i="2"/>
  <c r="E643" i="2"/>
  <c r="D598" i="2"/>
  <c r="E597" i="2"/>
  <c r="E595" i="2"/>
  <c r="E522" i="2"/>
  <c r="E939" i="2"/>
  <c r="E827" i="2"/>
  <c r="E664" i="2"/>
  <c r="E655" i="2"/>
  <c r="E979" i="2"/>
  <c r="D961" i="2"/>
  <c r="D952" i="2"/>
  <c r="J949" i="2"/>
  <c r="E816" i="2"/>
  <c r="J791" i="2"/>
  <c r="E786" i="2"/>
  <c r="E777" i="2"/>
  <c r="E768" i="2"/>
  <c r="D762" i="2"/>
  <c r="J756" i="2"/>
  <c r="D754" i="2"/>
  <c r="E753" i="2"/>
  <c r="J735" i="2"/>
  <c r="D732" i="2"/>
  <c r="E696" i="2"/>
  <c r="E690" i="2"/>
  <c r="D664" i="2"/>
  <c r="E619" i="2"/>
  <c r="D583" i="2"/>
  <c r="E568" i="2"/>
  <c r="E524" i="2"/>
  <c r="D522" i="2"/>
  <c r="E977" i="2"/>
  <c r="J537" i="2"/>
  <c r="D537" i="2"/>
  <c r="E537" i="2"/>
  <c r="J562" i="2"/>
  <c r="E562" i="2"/>
  <c r="E980" i="2"/>
  <c r="J980" i="2"/>
  <c r="D966" i="2"/>
  <c r="J908" i="2"/>
  <c r="D908" i="2"/>
  <c r="E899" i="2"/>
  <c r="J899" i="2"/>
  <c r="E893" i="2"/>
  <c r="J893" i="2"/>
  <c r="D839" i="2"/>
  <c r="J839" i="2"/>
  <c r="D830" i="2"/>
  <c r="J830" i="2"/>
  <c r="E830" i="2"/>
  <c r="E799" i="2"/>
  <c r="J799" i="2"/>
  <c r="D799" i="2"/>
  <c r="E709" i="2"/>
  <c r="J709" i="2"/>
  <c r="D709" i="2"/>
  <c r="J678" i="2"/>
  <c r="D678" i="2"/>
  <c r="E678" i="2"/>
  <c r="J652" i="2"/>
  <c r="E652" i="2"/>
  <c r="J610" i="2"/>
  <c r="D610" i="2"/>
  <c r="E610" i="2"/>
  <c r="J561" i="2"/>
  <c r="E561" i="2"/>
  <c r="J555" i="2"/>
  <c r="D555" i="2"/>
  <c r="E555" i="2"/>
  <c r="J552" i="2"/>
  <c r="D552" i="2"/>
  <c r="E552" i="2"/>
  <c r="J549" i="2"/>
  <c r="D549" i="2"/>
  <c r="E549" i="2"/>
  <c r="J546" i="2"/>
  <c r="D546" i="2"/>
  <c r="E546" i="2"/>
  <c r="J543" i="2"/>
  <c r="D543" i="2"/>
  <c r="E543" i="2"/>
  <c r="J540" i="2"/>
  <c r="D540" i="2"/>
  <c r="E540" i="2"/>
  <c r="J943" i="2"/>
  <c r="E943" i="2"/>
  <c r="E890" i="2"/>
  <c r="J890" i="2"/>
  <c r="J889" i="2"/>
  <c r="E884" i="2"/>
  <c r="J884" i="2"/>
  <c r="D880" i="2"/>
  <c r="J877" i="2"/>
  <c r="E872" i="2"/>
  <c r="J872" i="2"/>
  <c r="D871" i="2"/>
  <c r="D868" i="2"/>
  <c r="E866" i="2"/>
  <c r="J866" i="2"/>
  <c r="J831" i="2"/>
  <c r="D831" i="2"/>
  <c r="E831" i="2"/>
  <c r="J828" i="2"/>
  <c r="E828" i="2"/>
  <c r="E811" i="2"/>
  <c r="J811" i="2"/>
  <c r="D803" i="2"/>
  <c r="J803" i="2"/>
  <c r="J676" i="2"/>
  <c r="E676" i="2"/>
  <c r="E659" i="2"/>
  <c r="J659" i="2"/>
  <c r="E956" i="2"/>
  <c r="E953" i="2"/>
  <c r="J953" i="2"/>
  <c r="E944" i="2"/>
  <c r="J944" i="2"/>
  <c r="E941" i="2"/>
  <c r="D934" i="2"/>
  <c r="D931" i="2"/>
  <c r="J925" i="2"/>
  <c r="D922" i="2"/>
  <c r="E829" i="2"/>
  <c r="D829" i="2"/>
  <c r="J798" i="2"/>
  <c r="E798" i="2"/>
  <c r="E772" i="2"/>
  <c r="J772" i="2"/>
  <c r="E763" i="2"/>
  <c r="J763" i="2"/>
  <c r="E730" i="2"/>
  <c r="J730" i="2"/>
  <c r="J708" i="2"/>
  <c r="E708" i="2"/>
  <c r="E694" i="2"/>
  <c r="D686" i="2"/>
  <c r="J686" i="2"/>
  <c r="E677" i="2"/>
  <c r="J677" i="2"/>
  <c r="D677" i="2"/>
  <c r="J634" i="2"/>
  <c r="E634" i="2"/>
  <c r="E569" i="2"/>
  <c r="J569" i="2"/>
  <c r="E563" i="2"/>
  <c r="E560" i="2"/>
  <c r="J560" i="2"/>
  <c r="D560" i="2"/>
  <c r="E557" i="2"/>
  <c r="J557" i="2"/>
  <c r="D554" i="2"/>
  <c r="J554" i="2"/>
  <c r="E554" i="2"/>
  <c r="D551" i="2"/>
  <c r="J551" i="2"/>
  <c r="E551" i="2"/>
  <c r="D548" i="2"/>
  <c r="J548" i="2"/>
  <c r="E548" i="2"/>
  <c r="D545" i="2"/>
  <c r="E545" i="2"/>
  <c r="D542" i="2"/>
  <c r="J542" i="2"/>
  <c r="E542" i="2"/>
  <c r="D539" i="2"/>
  <c r="J539" i="2"/>
  <c r="E539" i="2"/>
  <c r="D536" i="2"/>
  <c r="J536" i="2"/>
  <c r="E536" i="2"/>
  <c r="D533" i="2"/>
  <c r="D530" i="2"/>
  <c r="J530" i="2"/>
  <c r="D569" i="2"/>
  <c r="E534" i="2"/>
  <c r="J865" i="2"/>
  <c r="E822" i="2"/>
  <c r="D812" i="2"/>
  <c r="E808" i="2"/>
  <c r="J808" i="2"/>
  <c r="J800" i="2"/>
  <c r="E795" i="2"/>
  <c r="E793" i="2"/>
  <c r="J793" i="2"/>
  <c r="D722" i="2"/>
  <c r="J722" i="2"/>
  <c r="E721" i="2"/>
  <c r="J721" i="2"/>
  <c r="J705" i="2"/>
  <c r="E703" i="2"/>
  <c r="J703" i="2"/>
  <c r="D695" i="2"/>
  <c r="J695" i="2"/>
  <c r="E691" i="2"/>
  <c r="J691" i="2"/>
  <c r="E646" i="2"/>
  <c r="D625" i="2"/>
  <c r="E623" i="2"/>
  <c r="J623" i="2"/>
  <c r="E622" i="2"/>
  <c r="E605" i="2"/>
  <c r="J604" i="2"/>
  <c r="D984" i="2"/>
  <c r="D978" i="2"/>
  <c r="J978" i="2"/>
  <c r="E974" i="2"/>
  <c r="J974" i="2"/>
  <c r="E971" i="2"/>
  <c r="E917" i="2"/>
  <c r="J917" i="2"/>
  <c r="J913" i="2"/>
  <c r="E911" i="2"/>
  <c r="J911" i="2"/>
  <c r="D866" i="2"/>
  <c r="E863" i="2"/>
  <c r="D859" i="2"/>
  <c r="E857" i="2"/>
  <c r="J857" i="2"/>
  <c r="D846" i="2"/>
  <c r="E838" i="2"/>
  <c r="J838" i="2"/>
  <c r="E817" i="2"/>
  <c r="J817" i="2"/>
  <c r="J809" i="2"/>
  <c r="E802" i="2"/>
  <c r="D794" i="2"/>
  <c r="D785" i="2"/>
  <c r="J785" i="2"/>
  <c r="E784" i="2"/>
  <c r="J782" i="2"/>
  <c r="J776" i="2"/>
  <c r="J773" i="2"/>
  <c r="J770" i="2"/>
  <c r="E750" i="2"/>
  <c r="E748" i="2"/>
  <c r="J748" i="2"/>
  <c r="E731" i="2"/>
  <c r="E723" i="2"/>
  <c r="D717" i="2"/>
  <c r="E714" i="2"/>
  <c r="D704" i="2"/>
  <c r="J704" i="2"/>
  <c r="E700" i="2"/>
  <c r="J700" i="2"/>
  <c r="E692" i="2"/>
  <c r="E685" i="2"/>
  <c r="D623" i="2"/>
  <c r="E616" i="2"/>
  <c r="E596" i="2"/>
  <c r="J596" i="2"/>
  <c r="E588" i="2"/>
  <c r="E583" i="2"/>
  <c r="E580" i="2"/>
  <c r="D556" i="2"/>
  <c r="J556" i="2"/>
  <c r="D553" i="2"/>
  <c r="J553" i="2"/>
  <c r="D550" i="2"/>
  <c r="J550" i="2"/>
  <c r="D547" i="2"/>
  <c r="J547" i="2"/>
  <c r="D541" i="2"/>
  <c r="D538" i="2"/>
  <c r="J538" i="2"/>
  <c r="D535" i="2"/>
  <c r="J535" i="2"/>
  <c r="D534" i="2"/>
  <c r="E533" i="2"/>
  <c r="D532" i="2"/>
  <c r="J532" i="2"/>
  <c r="E529" i="2"/>
  <c r="J529" i="2"/>
  <c r="D526" i="2"/>
  <c r="E525" i="2"/>
  <c r="D523" i="2"/>
  <c r="J523" i="2"/>
  <c r="D520" i="2"/>
  <c r="J520" i="2"/>
  <c r="D517" i="2"/>
  <c r="J517" i="2"/>
  <c r="D514" i="2"/>
  <c r="E513" i="2"/>
  <c r="G544" i="2"/>
  <c r="H544" i="2"/>
  <c r="H520" i="2"/>
  <c r="G520" i="2"/>
  <c r="H517" i="2"/>
  <c r="G517" i="2"/>
  <c r="H961" i="2"/>
  <c r="H952" i="2"/>
  <c r="G922" i="2"/>
  <c r="G912" i="2"/>
  <c r="H903" i="2"/>
  <c r="G875" i="2"/>
  <c r="G873" i="2"/>
  <c r="J868" i="2"/>
  <c r="G868" i="2"/>
  <c r="H866" i="2"/>
  <c r="G849" i="2"/>
  <c r="H847" i="2"/>
  <c r="G815" i="2"/>
  <c r="J814" i="2"/>
  <c r="H739" i="2"/>
  <c r="H732" i="2"/>
  <c r="G689" i="2"/>
  <c r="G650" i="2"/>
  <c r="J649" i="2"/>
  <c r="J572" i="2"/>
  <c r="H960" i="2"/>
  <c r="G960" i="2"/>
  <c r="E960" i="2"/>
  <c r="H948" i="2"/>
  <c r="G948" i="2"/>
  <c r="G942" i="2"/>
  <c r="H942" i="2"/>
  <c r="G926" i="2"/>
  <c r="J926" i="2"/>
  <c r="D926" i="2"/>
  <c r="D916" i="2"/>
  <c r="H916" i="2"/>
  <c r="H900" i="2"/>
  <c r="J900" i="2"/>
  <c r="G854" i="2"/>
  <c r="J854" i="2"/>
  <c r="H851" i="2"/>
  <c r="G851" i="2"/>
  <c r="G848" i="2"/>
  <c r="H848" i="2"/>
  <c r="H841" i="2"/>
  <c r="J841" i="2"/>
  <c r="H840" i="2"/>
  <c r="G840" i="2"/>
  <c r="D840" i="2"/>
  <c r="H826" i="2"/>
  <c r="G826" i="2"/>
  <c r="H804" i="2"/>
  <c r="G804" i="2"/>
  <c r="J804" i="2"/>
  <c r="H781" i="2"/>
  <c r="J781" i="2"/>
  <c r="G781" i="2"/>
  <c r="H778" i="2"/>
  <c r="J778" i="2"/>
  <c r="H652" i="2"/>
  <c r="G652" i="2"/>
  <c r="G624" i="2"/>
  <c r="E624" i="2"/>
  <c r="G590" i="2"/>
  <c r="H590" i="2"/>
  <c r="H570" i="2"/>
  <c r="E570" i="2"/>
  <c r="D544" i="2"/>
  <c r="H514" i="2"/>
  <c r="G514" i="2"/>
  <c r="J948" i="2"/>
  <c r="G939" i="2"/>
  <c r="J938" i="2"/>
  <c r="G938" i="2"/>
  <c r="H926" i="2"/>
  <c r="H868" i="2"/>
  <c r="H855" i="2"/>
  <c r="J840" i="2"/>
  <c r="G778" i="2"/>
  <c r="H949" i="2"/>
  <c r="E949" i="2"/>
  <c r="D946" i="2"/>
  <c r="G946" i="2"/>
  <c r="D943" i="2"/>
  <c r="E942" i="2"/>
  <c r="D938" i="2"/>
  <c r="D898" i="2"/>
  <c r="J898" i="2"/>
  <c r="D895" i="2"/>
  <c r="H895" i="2"/>
  <c r="H888" i="2"/>
  <c r="G888" i="2"/>
  <c r="H881" i="2"/>
  <c r="J881" i="2"/>
  <c r="G872" i="2"/>
  <c r="D872" i="2"/>
  <c r="D862" i="2"/>
  <c r="J862" i="2"/>
  <c r="G862" i="2"/>
  <c r="D854" i="2"/>
  <c r="D849" i="2"/>
  <c r="E848" i="2"/>
  <c r="D847" i="2"/>
  <c r="G842" i="2"/>
  <c r="J842" i="2"/>
  <c r="E840" i="2"/>
  <c r="H838" i="2"/>
  <c r="D838" i="2"/>
  <c r="E813" i="2"/>
  <c r="G806" i="2"/>
  <c r="H806" i="2"/>
  <c r="E804" i="2"/>
  <c r="H802" i="2"/>
  <c r="J802" i="2"/>
  <c r="H797" i="2"/>
  <c r="J797" i="2"/>
  <c r="H793" i="2"/>
  <c r="G793" i="2"/>
  <c r="H787" i="2"/>
  <c r="J787" i="2"/>
  <c r="H769" i="2"/>
  <c r="G769" i="2"/>
  <c r="H749" i="2"/>
  <c r="J749" i="2"/>
  <c r="H740" i="2"/>
  <c r="J740" i="2"/>
  <c r="G733" i="2"/>
  <c r="H733" i="2"/>
  <c r="G718" i="2"/>
  <c r="H718" i="2"/>
  <c r="D673" i="2"/>
  <c r="H673" i="2"/>
  <c r="H661" i="2"/>
  <c r="J661" i="2"/>
  <c r="D652" i="2"/>
  <c r="E651" i="2"/>
  <c r="D650" i="2"/>
  <c r="E649" i="2"/>
  <c r="H632" i="2"/>
  <c r="G632" i="2"/>
  <c r="E607" i="2"/>
  <c r="G602" i="2"/>
  <c r="H602" i="2"/>
  <c r="H591" i="2"/>
  <c r="G591" i="2"/>
  <c r="E589" i="2"/>
  <c r="H587" i="2"/>
  <c r="D587" i="2"/>
  <c r="H571" i="2"/>
  <c r="D571" i="2"/>
  <c r="G553" i="2"/>
  <c r="H553" i="2"/>
  <c r="H550" i="2"/>
  <c r="G550" i="2"/>
  <c r="E961" i="2"/>
  <c r="D960" i="2"/>
  <c r="G956" i="2"/>
  <c r="H956" i="2"/>
  <c r="D956" i="2"/>
  <c r="H953" i="2"/>
  <c r="E926" i="2"/>
  <c r="E920" i="2"/>
  <c r="H909" i="2"/>
  <c r="G909" i="2"/>
  <c r="G908" i="2"/>
  <c r="H908" i="2"/>
  <c r="D902" i="2"/>
  <c r="H902" i="2"/>
  <c r="H899" i="2"/>
  <c r="G899" i="2"/>
  <c r="D899" i="2"/>
  <c r="H893" i="2"/>
  <c r="G893" i="2"/>
  <c r="D886" i="2"/>
  <c r="J886" i="2"/>
  <c r="D881" i="2"/>
  <c r="H876" i="2"/>
  <c r="G876" i="2"/>
  <c r="H839" i="2"/>
  <c r="E839" i="2"/>
  <c r="D753" i="2"/>
  <c r="J753" i="2"/>
  <c r="D741" i="2"/>
  <c r="E740" i="2"/>
  <c r="D739" i="2"/>
  <c r="H734" i="2"/>
  <c r="G734" i="2"/>
  <c r="E732" i="2"/>
  <c r="D731" i="2"/>
  <c r="H730" i="2"/>
  <c r="D730" i="2"/>
  <c r="E719" i="2"/>
  <c r="J719" i="2"/>
  <c r="G719" i="2"/>
  <c r="H707" i="2"/>
  <c r="G707" i="2"/>
  <c r="E705" i="2"/>
  <c r="E687" i="2"/>
  <c r="E673" i="2"/>
  <c r="G665" i="2"/>
  <c r="H665" i="2"/>
  <c r="E661" i="2"/>
  <c r="D637" i="2"/>
  <c r="H637" i="2"/>
  <c r="E625" i="2"/>
  <c r="H583" i="2"/>
  <c r="G583" i="2"/>
  <c r="G573" i="2"/>
  <c r="J573" i="2"/>
  <c r="H573" i="2"/>
  <c r="E571" i="2"/>
  <c r="H989" i="2"/>
  <c r="G953" i="2"/>
  <c r="J946" i="2"/>
  <c r="H943" i="2"/>
  <c r="H939" i="2"/>
  <c r="G935" i="2"/>
  <c r="G929" i="2"/>
  <c r="H927" i="2"/>
  <c r="J922" i="2"/>
  <c r="J912" i="2"/>
  <c r="G900" i="2"/>
  <c r="H882" i="2"/>
  <c r="G881" i="2"/>
  <c r="G838" i="2"/>
  <c r="H832" i="2"/>
  <c r="G827" i="2"/>
  <c r="J826" i="2"/>
  <c r="H823" i="2"/>
  <c r="G802" i="2"/>
  <c r="G772" i="2"/>
  <c r="J769" i="2"/>
  <c r="J754" i="2"/>
  <c r="J743" i="2"/>
  <c r="J656" i="2"/>
  <c r="G627" i="2"/>
  <c r="J617" i="2"/>
  <c r="H611" i="2"/>
  <c r="E989" i="2"/>
  <c r="E962" i="2"/>
  <c r="E959" i="2"/>
  <c r="D948" i="2"/>
  <c r="D942" i="2"/>
  <c r="E938" i="2"/>
  <c r="E935" i="2"/>
  <c r="E929" i="2"/>
  <c r="E908" i="2"/>
  <c r="E902" i="2"/>
  <c r="G890" i="2"/>
  <c r="E881" i="2"/>
  <c r="E875" i="2"/>
  <c r="H863" i="2"/>
  <c r="G863" i="2"/>
  <c r="E854" i="2"/>
  <c r="D848" i="2"/>
  <c r="E847" i="2"/>
  <c r="H833" i="2"/>
  <c r="G833" i="2"/>
  <c r="D828" i="2"/>
  <c r="E826" i="2"/>
  <c r="E818" i="2"/>
  <c r="G818" i="2"/>
  <c r="J818" i="2"/>
  <c r="D816" i="2"/>
  <c r="G816" i="2"/>
  <c r="G808" i="2"/>
  <c r="D807" i="2"/>
  <c r="G807" i="2"/>
  <c r="H784" i="2"/>
  <c r="J784" i="2"/>
  <c r="E781" i="2"/>
  <c r="E754" i="2"/>
  <c r="D749" i="2"/>
  <c r="D740" i="2"/>
  <c r="E739" i="2"/>
  <c r="D738" i="2"/>
  <c r="H738" i="2"/>
  <c r="H725" i="2"/>
  <c r="G725" i="2"/>
  <c r="H723" i="2"/>
  <c r="G723" i="2"/>
  <c r="H722" i="2"/>
  <c r="D720" i="2"/>
  <c r="G720" i="2"/>
  <c r="E718" i="2"/>
  <c r="D699" i="2"/>
  <c r="H699" i="2"/>
  <c r="G653" i="2"/>
  <c r="H653" i="2"/>
  <c r="E650" i="2"/>
  <c r="H648" i="2"/>
  <c r="J648" i="2"/>
  <c r="E632" i="2"/>
  <c r="G563" i="2"/>
  <c r="H563" i="2"/>
  <c r="G554" i="2"/>
  <c r="H552" i="2"/>
  <c r="G552" i="2"/>
  <c r="G549" i="2"/>
  <c r="H549" i="2"/>
  <c r="H546" i="2"/>
  <c r="G546" i="2"/>
  <c r="H540" i="2"/>
  <c r="G540" i="2"/>
  <c r="G978" i="2"/>
  <c r="H974" i="2"/>
  <c r="G941" i="2"/>
  <c r="G934" i="2"/>
  <c r="H918" i="2"/>
  <c r="G911" i="2"/>
  <c r="J904" i="2"/>
  <c r="G904" i="2"/>
  <c r="H891" i="2"/>
  <c r="H880" i="2"/>
  <c r="J850" i="2"/>
  <c r="J829" i="2"/>
  <c r="G828" i="2"/>
  <c r="H808" i="2"/>
  <c r="G803" i="2"/>
  <c r="J794" i="2"/>
  <c r="G721" i="2"/>
  <c r="J720" i="2"/>
  <c r="J683" i="2"/>
  <c r="H677" i="2"/>
  <c r="G644" i="2"/>
  <c r="G598" i="2"/>
  <c r="H597" i="2"/>
  <c r="J577" i="2"/>
  <c r="J575" i="2"/>
  <c r="J571" i="2"/>
  <c r="J568" i="2"/>
  <c r="H554" i="2"/>
  <c r="H537" i="2"/>
  <c r="J527" i="2"/>
  <c r="J524" i="2"/>
  <c r="J521" i="2"/>
  <c r="J715" i="2"/>
  <c r="J680" i="2"/>
  <c r="J590" i="2"/>
  <c r="J583" i="2"/>
  <c r="J581" i="2"/>
  <c r="J541" i="2"/>
  <c r="G954" i="2"/>
  <c r="J954" i="2"/>
  <c r="H954" i="2"/>
  <c r="E954" i="2"/>
  <c r="E951" i="2"/>
  <c r="G951" i="2"/>
  <c r="H936" i="2"/>
  <c r="E936" i="2"/>
  <c r="H933" i="2"/>
  <c r="J933" i="2"/>
  <c r="G933" i="2"/>
  <c r="H923" i="2"/>
  <c r="D923" i="2"/>
  <c r="D910" i="2"/>
  <c r="H910" i="2"/>
  <c r="G906" i="2"/>
  <c r="J906" i="2"/>
  <c r="H906" i="2"/>
  <c r="G896" i="2"/>
  <c r="J896" i="2"/>
  <c r="H896" i="2"/>
  <c r="D896" i="2"/>
  <c r="D883" i="2"/>
  <c r="G883" i="2"/>
  <c r="H883" i="2"/>
  <c r="H869" i="2"/>
  <c r="J869" i="2"/>
  <c r="D869" i="2"/>
  <c r="D856" i="2"/>
  <c r="G856" i="2"/>
  <c r="J856" i="2"/>
  <c r="E845" i="2"/>
  <c r="H845" i="2"/>
  <c r="J845" i="2"/>
  <c r="G835" i="2"/>
  <c r="H835" i="2"/>
  <c r="D835" i="2"/>
  <c r="G824" i="2"/>
  <c r="J824" i="2"/>
  <c r="H824" i="2"/>
  <c r="G820" i="2"/>
  <c r="J820" i="2"/>
  <c r="D820" i="2"/>
  <c r="H790" i="2"/>
  <c r="D790" i="2"/>
  <c r="H779" i="2"/>
  <c r="G779" i="2"/>
  <c r="H775" i="2"/>
  <c r="D775" i="2"/>
  <c r="G768" i="2"/>
  <c r="J768" i="2"/>
  <c r="H768" i="2"/>
  <c r="D768" i="2"/>
  <c r="G758" i="2"/>
  <c r="J758" i="2"/>
  <c r="H758" i="2"/>
  <c r="E758" i="2"/>
  <c r="E746" i="2"/>
  <c r="G746" i="2"/>
  <c r="J746" i="2"/>
  <c r="G736" i="2"/>
  <c r="H736" i="2"/>
  <c r="D736" i="2"/>
  <c r="D726" i="2"/>
  <c r="H726" i="2"/>
  <c r="G726" i="2"/>
  <c r="E726" i="2"/>
  <c r="G714" i="2"/>
  <c r="J714" i="2"/>
  <c r="D714" i="2"/>
  <c r="D711" i="2"/>
  <c r="G711" i="2"/>
  <c r="J711" i="2"/>
  <c r="H711" i="2"/>
  <c r="E711" i="2"/>
  <c r="D702" i="2"/>
  <c r="G702" i="2"/>
  <c r="J702" i="2"/>
  <c r="G697" i="2"/>
  <c r="H697" i="2"/>
  <c r="D693" i="2"/>
  <c r="H693" i="2"/>
  <c r="J693" i="2"/>
  <c r="G693" i="2"/>
  <c r="G688" i="2"/>
  <c r="J688" i="2"/>
  <c r="H688" i="2"/>
  <c r="D681" i="2"/>
  <c r="H681" i="2"/>
  <c r="G681" i="2"/>
  <c r="E681" i="2"/>
  <c r="G674" i="2"/>
  <c r="H674" i="2"/>
  <c r="G669" i="2"/>
  <c r="J669" i="2"/>
  <c r="H669" i="2"/>
  <c r="E669" i="2"/>
  <c r="G657" i="2"/>
  <c r="J657" i="2"/>
  <c r="H657" i="2"/>
  <c r="H643" i="2"/>
  <c r="D643" i="2"/>
  <c r="D640" i="2"/>
  <c r="G640" i="2"/>
  <c r="J640" i="2"/>
  <c r="H640" i="2"/>
  <c r="E640" i="2"/>
  <c r="G635" i="2"/>
  <c r="H635" i="2"/>
  <c r="G614" i="2"/>
  <c r="H614" i="2"/>
  <c r="D614" i="2"/>
  <c r="H601" i="2"/>
  <c r="J601" i="2"/>
  <c r="D601" i="2"/>
  <c r="G593" i="2"/>
  <c r="H593" i="2"/>
  <c r="H564" i="2"/>
  <c r="J564" i="2"/>
  <c r="G564" i="2"/>
  <c r="E558" i="2"/>
  <c r="G558" i="2"/>
  <c r="H558" i="2"/>
  <c r="D531" i="2"/>
  <c r="H531" i="2"/>
  <c r="E531" i="2"/>
  <c r="G531" i="2"/>
  <c r="D528" i="2"/>
  <c r="G528" i="2"/>
  <c r="E528" i="2"/>
  <c r="H528" i="2"/>
  <c r="G936" i="2"/>
  <c r="J924" i="2"/>
  <c r="G910" i="2"/>
  <c r="G845" i="2"/>
  <c r="J779" i="2"/>
  <c r="J643" i="2"/>
  <c r="G618" i="2"/>
  <c r="J35" i="2"/>
  <c r="E35" i="2"/>
  <c r="D35" i="2"/>
  <c r="J121" i="2"/>
  <c r="E121" i="2"/>
  <c r="D121" i="2"/>
  <c r="J118" i="2"/>
  <c r="E118" i="2"/>
  <c r="D118" i="2"/>
  <c r="J115" i="2"/>
  <c r="E115" i="2"/>
  <c r="D115" i="2"/>
  <c r="J112" i="2"/>
  <c r="E112" i="2"/>
  <c r="D112" i="2"/>
  <c r="J109" i="2"/>
  <c r="E109" i="2"/>
  <c r="D109" i="2"/>
  <c r="J106" i="2"/>
  <c r="E106" i="2"/>
  <c r="D106" i="2"/>
  <c r="J103" i="2"/>
  <c r="E103" i="2"/>
  <c r="D103" i="2"/>
  <c r="J100" i="2"/>
  <c r="E100" i="2"/>
  <c r="D100" i="2"/>
  <c r="J97" i="2"/>
  <c r="E97" i="2"/>
  <c r="D97" i="2"/>
  <c r="J94" i="2"/>
  <c r="E94" i="2"/>
  <c r="D94" i="2"/>
  <c r="G606" i="2"/>
  <c r="E606" i="2"/>
  <c r="H603" i="2"/>
  <c r="J603" i="2"/>
  <c r="G603" i="2"/>
  <c r="E601" i="2"/>
  <c r="J936" i="2"/>
  <c r="G923" i="2"/>
  <c r="H915" i="2"/>
  <c r="J910" i="2"/>
  <c r="J888" i="2"/>
  <c r="G869" i="2"/>
  <c r="H856" i="2"/>
  <c r="G852" i="2"/>
  <c r="G796" i="2"/>
  <c r="G790" i="2"/>
  <c r="G775" i="2"/>
  <c r="J766" i="2"/>
  <c r="J712" i="2"/>
  <c r="H706" i="2"/>
  <c r="H702" i="2"/>
  <c r="J681" i="2"/>
  <c r="J614" i="2"/>
  <c r="G601" i="2"/>
  <c r="E987" i="2"/>
  <c r="H987" i="2"/>
  <c r="J987" i="2"/>
  <c r="G987" i="2"/>
  <c r="G983" i="2"/>
  <c r="J983" i="2"/>
  <c r="H983" i="2"/>
  <c r="H972" i="2"/>
  <c r="J972" i="2"/>
  <c r="G972" i="2"/>
  <c r="E972" i="2"/>
  <c r="E969" i="2"/>
  <c r="H969" i="2"/>
  <c r="J969" i="2"/>
  <c r="G969" i="2"/>
  <c r="G965" i="2"/>
  <c r="J965" i="2"/>
  <c r="H965" i="2"/>
  <c r="G973" i="2"/>
  <c r="J973" i="2"/>
  <c r="H973" i="2"/>
  <c r="D973" i="2"/>
  <c r="G955" i="2"/>
  <c r="H955" i="2"/>
  <c r="D955" i="2"/>
  <c r="H937" i="2"/>
  <c r="G937" i="2"/>
  <c r="D937" i="2"/>
  <c r="D928" i="2"/>
  <c r="G928" i="2"/>
  <c r="J928" i="2"/>
  <c r="G914" i="2"/>
  <c r="J914" i="2"/>
  <c r="D914" i="2"/>
  <c r="D901" i="2"/>
  <c r="H901" i="2"/>
  <c r="G901" i="2"/>
  <c r="H897" i="2"/>
  <c r="J897" i="2"/>
  <c r="G897" i="2"/>
  <c r="H887" i="2"/>
  <c r="D887" i="2"/>
  <c r="D874" i="2"/>
  <c r="H874" i="2"/>
  <c r="G870" i="2"/>
  <c r="J870" i="2"/>
  <c r="H870" i="2"/>
  <c r="G860" i="2"/>
  <c r="J860" i="2"/>
  <c r="H860" i="2"/>
  <c r="D860" i="2"/>
  <c r="D843" i="2"/>
  <c r="G843" i="2"/>
  <c r="E843" i="2"/>
  <c r="E836" i="2"/>
  <c r="G836" i="2"/>
  <c r="J836" i="2"/>
  <c r="H836" i="2"/>
  <c r="H821" i="2"/>
  <c r="J821" i="2"/>
  <c r="E821" i="2"/>
  <c r="E791" i="2"/>
  <c r="H791" i="2"/>
  <c r="G791" i="2"/>
  <c r="H776" i="2"/>
  <c r="G776" i="2"/>
  <c r="E776" i="2"/>
  <c r="H770" i="2"/>
  <c r="G770" i="2"/>
  <c r="G766" i="2"/>
  <c r="H766" i="2"/>
  <c r="D766" i="2"/>
  <c r="G759" i="2"/>
  <c r="J759" i="2"/>
  <c r="D759" i="2"/>
  <c r="D756" i="2"/>
  <c r="H756" i="2"/>
  <c r="G756" i="2"/>
  <c r="E756" i="2"/>
  <c r="G751" i="2"/>
  <c r="H751" i="2"/>
  <c r="D744" i="2"/>
  <c r="G744" i="2"/>
  <c r="J744" i="2"/>
  <c r="E744" i="2"/>
  <c r="E737" i="2"/>
  <c r="G737" i="2"/>
  <c r="J737" i="2"/>
  <c r="H727" i="2"/>
  <c r="D727" i="2"/>
  <c r="G716" i="2"/>
  <c r="J716" i="2"/>
  <c r="H716" i="2"/>
  <c r="H712" i="2"/>
  <c r="G712" i="2"/>
  <c r="D712" i="2"/>
  <c r="G682" i="2"/>
  <c r="J682" i="2"/>
  <c r="H682" i="2"/>
  <c r="D682" i="2"/>
  <c r="G670" i="2"/>
  <c r="J670" i="2"/>
  <c r="H670" i="2"/>
  <c r="D670" i="2"/>
  <c r="D667" i="2"/>
  <c r="H667" i="2"/>
  <c r="G667" i="2"/>
  <c r="J667" i="2"/>
  <c r="E667" i="2"/>
  <c r="H662" i="2"/>
  <c r="G662" i="2"/>
  <c r="G645" i="2"/>
  <c r="H645" i="2"/>
  <c r="G641" i="2"/>
  <c r="D641" i="2"/>
  <c r="H628" i="2"/>
  <c r="J628" i="2"/>
  <c r="D628" i="2"/>
  <c r="G620" i="2"/>
  <c r="H620" i="2"/>
  <c r="G615" i="2"/>
  <c r="H615" i="2"/>
  <c r="E615" i="2"/>
  <c r="G986" i="2"/>
  <c r="J986" i="2"/>
  <c r="H986" i="2"/>
  <c r="D986" i="2"/>
  <c r="D976" i="2"/>
  <c r="G976" i="2"/>
  <c r="J976" i="2"/>
  <c r="H976" i="2"/>
  <c r="E973" i="2"/>
  <c r="G968" i="2"/>
  <c r="J968" i="2"/>
  <c r="D968" i="2"/>
  <c r="H968" i="2"/>
  <c r="D958" i="2"/>
  <c r="G958" i="2"/>
  <c r="J958" i="2"/>
  <c r="H958" i="2"/>
  <c r="E955" i="2"/>
  <c r="G950" i="2"/>
  <c r="J950" i="2"/>
  <c r="D950" i="2"/>
  <c r="D940" i="2"/>
  <c r="G940" i="2"/>
  <c r="J940" i="2"/>
  <c r="E937" i="2"/>
  <c r="G932" i="2"/>
  <c r="J932" i="2"/>
  <c r="H932" i="2"/>
  <c r="D932" i="2"/>
  <c r="D919" i="2"/>
  <c r="G919" i="2"/>
  <c r="H919" i="2"/>
  <c r="H905" i="2"/>
  <c r="J905" i="2"/>
  <c r="D905" i="2"/>
  <c r="D892" i="2"/>
  <c r="G892" i="2"/>
  <c r="J892" i="2"/>
  <c r="G878" i="2"/>
  <c r="J878" i="2"/>
  <c r="D878" i="2"/>
  <c r="D865" i="2"/>
  <c r="H865" i="2"/>
  <c r="G865" i="2"/>
  <c r="H861" i="2"/>
  <c r="J861" i="2"/>
  <c r="G861" i="2"/>
  <c r="G844" i="2"/>
  <c r="J844" i="2"/>
  <c r="D844" i="2"/>
  <c r="D834" i="2"/>
  <c r="G834" i="2"/>
  <c r="J834" i="2"/>
  <c r="H834" i="2"/>
  <c r="E834" i="2"/>
  <c r="G822" i="2"/>
  <c r="J822" i="2"/>
  <c r="H822" i="2"/>
  <c r="D822" i="2"/>
  <c r="D819" i="2"/>
  <c r="G819" i="2"/>
  <c r="E819" i="2"/>
  <c r="D810" i="2"/>
  <c r="G810" i="2"/>
  <c r="J810" i="2"/>
  <c r="H810" i="2"/>
  <c r="H805" i="2"/>
  <c r="G805" i="2"/>
  <c r="D801" i="2"/>
  <c r="G801" i="2"/>
  <c r="J801" i="2"/>
  <c r="H801" i="2"/>
  <c r="D789" i="2"/>
  <c r="G789" i="2"/>
  <c r="J789" i="2"/>
  <c r="H789" i="2"/>
  <c r="E789" i="2"/>
  <c r="G777" i="2"/>
  <c r="J777" i="2"/>
  <c r="H777" i="2"/>
  <c r="D777" i="2"/>
  <c r="G767" i="2"/>
  <c r="J767" i="2"/>
  <c r="E767" i="2"/>
  <c r="H761" i="2"/>
  <c r="J761" i="2"/>
  <c r="E759" i="2"/>
  <c r="G757" i="2"/>
  <c r="H757" i="2"/>
  <c r="D757" i="2"/>
  <c r="H745" i="2"/>
  <c r="D745" i="2"/>
  <c r="D735" i="2"/>
  <c r="H735" i="2"/>
  <c r="E735" i="2"/>
  <c r="E728" i="2"/>
  <c r="G728" i="2"/>
  <c r="J728" i="2"/>
  <c r="G713" i="2"/>
  <c r="J713" i="2"/>
  <c r="H713" i="2"/>
  <c r="E713" i="2"/>
  <c r="E683" i="2"/>
  <c r="H683" i="2"/>
  <c r="G683" i="2"/>
  <c r="G672" i="2"/>
  <c r="H672" i="2"/>
  <c r="E670" i="2"/>
  <c r="H668" i="2"/>
  <c r="G668" i="2"/>
  <c r="D668" i="2"/>
  <c r="G655" i="2"/>
  <c r="J655" i="2"/>
  <c r="H655" i="2"/>
  <c r="D655" i="2"/>
  <c r="G647" i="2"/>
  <c r="H647" i="2"/>
  <c r="H642" i="2"/>
  <c r="E642" i="2"/>
  <c r="H630" i="2"/>
  <c r="J630" i="2"/>
  <c r="G630" i="2"/>
  <c r="E628" i="2"/>
  <c r="H616" i="2"/>
  <c r="J616" i="2"/>
  <c r="G616" i="2"/>
  <c r="D616" i="2"/>
  <c r="D613" i="2"/>
  <c r="H613" i="2"/>
  <c r="G613" i="2"/>
  <c r="J613" i="2"/>
  <c r="E613" i="2"/>
  <c r="H608" i="2"/>
  <c r="G608" i="2"/>
  <c r="H592" i="2"/>
  <c r="D592" i="2"/>
  <c r="G592" i="2"/>
  <c r="E592" i="2"/>
  <c r="G584" i="2"/>
  <c r="J584" i="2"/>
  <c r="H584" i="2"/>
  <c r="G582" i="2"/>
  <c r="J582" i="2"/>
  <c r="H582" i="2"/>
  <c r="G578" i="2"/>
  <c r="J578" i="2"/>
  <c r="H578" i="2"/>
  <c r="D578" i="2"/>
  <c r="H951" i="2"/>
  <c r="G947" i="2"/>
  <c r="J937" i="2"/>
  <c r="H928" i="2"/>
  <c r="G924" i="2"/>
  <c r="H914" i="2"/>
  <c r="G887" i="2"/>
  <c r="H879" i="2"/>
  <c r="J874" i="2"/>
  <c r="J852" i="2"/>
  <c r="H844" i="2"/>
  <c r="H820" i="2"/>
  <c r="G814" i="2"/>
  <c r="J805" i="2"/>
  <c r="J796" i="2"/>
  <c r="J790" i="2"/>
  <c r="J775" i="2"/>
  <c r="H767" i="2"/>
  <c r="G761" i="2"/>
  <c r="H759" i="2"/>
  <c r="H746" i="2"/>
  <c r="G745" i="2"/>
  <c r="J736" i="2"/>
  <c r="H728" i="2"/>
  <c r="G727" i="2"/>
  <c r="J726" i="2"/>
  <c r="H714" i="2"/>
  <c r="J672" i="2"/>
  <c r="G643" i="2"/>
  <c r="J642" i="2"/>
  <c r="J592" i="2"/>
  <c r="J91" i="2"/>
  <c r="E91" i="2"/>
  <c r="D91" i="2"/>
  <c r="J88" i="2"/>
  <c r="E88" i="2"/>
  <c r="D88" i="2"/>
  <c r="J85" i="2"/>
  <c r="E85" i="2"/>
  <c r="D85" i="2"/>
  <c r="J82" i="2"/>
  <c r="E82" i="2"/>
  <c r="D82" i="2"/>
  <c r="J79" i="2"/>
  <c r="E79" i="2"/>
  <c r="D79" i="2"/>
  <c r="J76" i="2"/>
  <c r="E76" i="2"/>
  <c r="D76" i="2"/>
  <c r="J73" i="2"/>
  <c r="E73" i="2"/>
  <c r="D73" i="2"/>
  <c r="J70" i="2"/>
  <c r="E70" i="2"/>
  <c r="D70" i="2"/>
  <c r="J67" i="2"/>
  <c r="E67" i="2"/>
  <c r="D67" i="2"/>
  <c r="J64" i="2"/>
  <c r="E64" i="2"/>
  <c r="D64" i="2"/>
  <c r="G967" i="2"/>
  <c r="J967" i="2"/>
  <c r="H967" i="2"/>
  <c r="G966" i="2"/>
  <c r="J75" i="2"/>
  <c r="E75" i="2"/>
  <c r="D75" i="2"/>
  <c r="J72" i="2"/>
  <c r="E72" i="2"/>
  <c r="D72" i="2"/>
  <c r="J69" i="2"/>
  <c r="E69" i="2"/>
  <c r="D69" i="2"/>
  <c r="D988" i="2"/>
  <c r="G988" i="2"/>
  <c r="J988" i="2"/>
  <c r="G985" i="2"/>
  <c r="J985" i="2"/>
  <c r="E981" i="2"/>
  <c r="H981" i="2"/>
  <c r="D970" i="2"/>
  <c r="G970" i="2"/>
  <c r="J970" i="2"/>
  <c r="E963" i="2"/>
  <c r="H963" i="2"/>
  <c r="E945" i="2"/>
  <c r="H945" i="2"/>
  <c r="D925" i="2"/>
  <c r="H925" i="2"/>
  <c r="D889" i="2"/>
  <c r="H889" i="2"/>
  <c r="D853" i="2"/>
  <c r="H853" i="2"/>
  <c r="D837" i="2"/>
  <c r="H837" i="2"/>
  <c r="D825" i="2"/>
  <c r="H825" i="2"/>
  <c r="G795" i="2"/>
  <c r="J795" i="2"/>
  <c r="D792" i="2"/>
  <c r="G792" i="2"/>
  <c r="J792" i="2"/>
  <c r="E782" i="2"/>
  <c r="H782" i="2"/>
  <c r="D780" i="2"/>
  <c r="G780" i="2"/>
  <c r="J780" i="2"/>
  <c r="E773" i="2"/>
  <c r="H773" i="2"/>
  <c r="D771" i="2"/>
  <c r="G771" i="2"/>
  <c r="J771" i="2"/>
  <c r="E764" i="2"/>
  <c r="G764" i="2"/>
  <c r="J764" i="2"/>
  <c r="G750" i="2"/>
  <c r="J750" i="2"/>
  <c r="D747" i="2"/>
  <c r="H747" i="2"/>
  <c r="D729" i="2"/>
  <c r="G729" i="2"/>
  <c r="J729" i="2"/>
  <c r="H705" i="2"/>
  <c r="G705" i="2"/>
  <c r="H704" i="2"/>
  <c r="G696" i="2"/>
  <c r="J696" i="2"/>
  <c r="H696" i="2"/>
  <c r="H695" i="2"/>
  <c r="G695" i="2"/>
  <c r="H694" i="2"/>
  <c r="J694" i="2"/>
  <c r="G687" i="2"/>
  <c r="J687" i="2"/>
  <c r="G686" i="2"/>
  <c r="H686" i="2"/>
  <c r="G685" i="2"/>
  <c r="J685" i="2"/>
  <c r="D684" i="2"/>
  <c r="G684" i="2"/>
  <c r="J684" i="2"/>
  <c r="H679" i="2"/>
  <c r="G679" i="2"/>
  <c r="G675" i="2"/>
  <c r="J675" i="2"/>
  <c r="D658" i="2"/>
  <c r="G658" i="2"/>
  <c r="J658" i="2"/>
  <c r="G646" i="2"/>
  <c r="J646" i="2"/>
  <c r="G634" i="2"/>
  <c r="H634" i="2"/>
  <c r="G633" i="2"/>
  <c r="J633" i="2"/>
  <c r="D631" i="2"/>
  <c r="H631" i="2"/>
  <c r="G631" i="2"/>
  <c r="H626" i="2"/>
  <c r="G626" i="2"/>
  <c r="H621" i="2"/>
  <c r="J621" i="2"/>
  <c r="H607" i="2"/>
  <c r="J607" i="2"/>
  <c r="D604" i="2"/>
  <c r="H604" i="2"/>
  <c r="G604" i="2"/>
  <c r="E604" i="2"/>
  <c r="H599" i="2"/>
  <c r="G599" i="2"/>
  <c r="H594" i="2"/>
  <c r="J594" i="2"/>
  <c r="G579" i="2"/>
  <c r="J579" i="2"/>
  <c r="E579" i="2"/>
  <c r="H576" i="2"/>
  <c r="J576" i="2"/>
  <c r="G566" i="2"/>
  <c r="J566" i="2"/>
  <c r="H566" i="2"/>
  <c r="H565" i="2"/>
  <c r="G565" i="2"/>
  <c r="D565" i="2"/>
  <c r="D559" i="2"/>
  <c r="H559" i="2"/>
  <c r="G559" i="2"/>
  <c r="H547" i="2"/>
  <c r="G547" i="2"/>
  <c r="H529" i="2"/>
  <c r="D529" i="2"/>
  <c r="G513" i="2"/>
  <c r="J513" i="2"/>
  <c r="H513" i="2"/>
  <c r="H988" i="2"/>
  <c r="H985" i="2"/>
  <c r="G984" i="2"/>
  <c r="G981" i="2"/>
  <c r="H980" i="2"/>
  <c r="H977" i="2"/>
  <c r="G963" i="2"/>
  <c r="H962" i="2"/>
  <c r="H959" i="2"/>
  <c r="J952" i="2"/>
  <c r="G952" i="2"/>
  <c r="G945" i="2"/>
  <c r="H944" i="2"/>
  <c r="J941" i="2"/>
  <c r="H930" i="2"/>
  <c r="J929" i="2"/>
  <c r="G921" i="2"/>
  <c r="H920" i="2"/>
  <c r="J916" i="2"/>
  <c r="G916" i="2"/>
  <c r="H907" i="2"/>
  <c r="J902" i="2"/>
  <c r="G902" i="2"/>
  <c r="H894" i="2"/>
  <c r="G885" i="2"/>
  <c r="H884" i="2"/>
  <c r="J880" i="2"/>
  <c r="G880" i="2"/>
  <c r="H871" i="2"/>
  <c r="G866" i="2"/>
  <c r="H858" i="2"/>
  <c r="H846" i="2"/>
  <c r="G837" i="2"/>
  <c r="J832" i="2"/>
  <c r="G825" i="2"/>
  <c r="G813" i="2"/>
  <c r="H812" i="2"/>
  <c r="H811" i="2"/>
  <c r="J806" i="2"/>
  <c r="H764" i="2"/>
  <c r="G763" i="2"/>
  <c r="H762" i="2"/>
  <c r="J757" i="2"/>
  <c r="G752" i="2"/>
  <c r="H750" i="2"/>
  <c r="J747" i="2"/>
  <c r="J738" i="2"/>
  <c r="G738" i="2"/>
  <c r="H724" i="2"/>
  <c r="H717" i="2"/>
  <c r="J707" i="2"/>
  <c r="H698" i="2"/>
  <c r="J697" i="2"/>
  <c r="H684" i="2"/>
  <c r="J673" i="2"/>
  <c r="G673" i="2"/>
  <c r="H663" i="2"/>
  <c r="G660" i="2"/>
  <c r="H659" i="2"/>
  <c r="J645" i="2"/>
  <c r="G638" i="2"/>
  <c r="G636" i="2"/>
  <c r="J635" i="2"/>
  <c r="J626" i="2"/>
  <c r="G621" i="2"/>
  <c r="H609" i="2"/>
  <c r="J599" i="2"/>
  <c r="G594" i="2"/>
  <c r="H574" i="2"/>
  <c r="J565" i="2"/>
  <c r="J559" i="2"/>
  <c r="H541" i="2"/>
  <c r="G538" i="2"/>
  <c r="G535" i="2"/>
  <c r="H532" i="2"/>
  <c r="G529" i="2"/>
  <c r="J123" i="2"/>
  <c r="E123" i="2"/>
  <c r="D123" i="2"/>
  <c r="J120" i="2"/>
  <c r="E120" i="2"/>
  <c r="D120" i="2"/>
  <c r="J117" i="2"/>
  <c r="E117" i="2"/>
  <c r="D117" i="2"/>
  <c r="J114" i="2"/>
  <c r="E114" i="2"/>
  <c r="D114" i="2"/>
  <c r="J111" i="2"/>
  <c r="E111" i="2"/>
  <c r="D111" i="2"/>
  <c r="J108" i="2"/>
  <c r="E108" i="2"/>
  <c r="D108" i="2"/>
  <c r="J105" i="2"/>
  <c r="E105" i="2"/>
  <c r="D105" i="2"/>
  <c r="J102" i="2"/>
  <c r="E102" i="2"/>
  <c r="D102" i="2"/>
  <c r="J99" i="2"/>
  <c r="E99" i="2"/>
  <c r="D99" i="2"/>
  <c r="J96" i="2"/>
  <c r="E96" i="2"/>
  <c r="D96" i="2"/>
  <c r="J93" i="2"/>
  <c r="E93" i="2"/>
  <c r="D93" i="2"/>
  <c r="J90" i="2"/>
  <c r="E90" i="2"/>
  <c r="D90" i="2"/>
  <c r="J87" i="2"/>
  <c r="E87" i="2"/>
  <c r="D87" i="2"/>
  <c r="J84" i="2"/>
  <c r="E84" i="2"/>
  <c r="D84" i="2"/>
  <c r="J81" i="2"/>
  <c r="E81" i="2"/>
  <c r="D81" i="2"/>
  <c r="J78" i="2"/>
  <c r="E78" i="2"/>
  <c r="D78" i="2"/>
  <c r="E986" i="2"/>
  <c r="D985" i="2"/>
  <c r="E984" i="2"/>
  <c r="E983" i="2"/>
  <c r="D982" i="2"/>
  <c r="G982" i="2"/>
  <c r="J982" i="2"/>
  <c r="D980" i="2"/>
  <c r="G979" i="2"/>
  <c r="J979" i="2"/>
  <c r="E975" i="2"/>
  <c r="H975" i="2"/>
  <c r="D972" i="2"/>
  <c r="E968" i="2"/>
  <c r="D967" i="2"/>
  <c r="E966" i="2"/>
  <c r="E965" i="2"/>
  <c r="D964" i="2"/>
  <c r="G964" i="2"/>
  <c r="J964" i="2"/>
  <c r="D962" i="2"/>
  <c r="G961" i="2"/>
  <c r="J961" i="2"/>
  <c r="E957" i="2"/>
  <c r="H957" i="2"/>
  <c r="D954" i="2"/>
  <c r="E950" i="2"/>
  <c r="D949" i="2"/>
  <c r="E948" i="2"/>
  <c r="E947" i="2"/>
  <c r="D944" i="2"/>
  <c r="D936" i="2"/>
  <c r="E932" i="2"/>
  <c r="D929" i="2"/>
  <c r="E923" i="2"/>
  <c r="D920" i="2"/>
  <c r="E914" i="2"/>
  <c r="D913" i="2"/>
  <c r="H913" i="2"/>
  <c r="D911" i="2"/>
  <c r="E905" i="2"/>
  <c r="E896" i="2"/>
  <c r="D893" i="2"/>
  <c r="E887" i="2"/>
  <c r="D884" i="2"/>
  <c r="E878" i="2"/>
  <c r="D877" i="2"/>
  <c r="H877" i="2"/>
  <c r="D875" i="2"/>
  <c r="E869" i="2"/>
  <c r="E860" i="2"/>
  <c r="D857" i="2"/>
  <c r="E844" i="2"/>
  <c r="E835" i="2"/>
  <c r="D826" i="2"/>
  <c r="E825" i="2"/>
  <c r="D821" i="2"/>
  <c r="E820" i="2"/>
  <c r="D813" i="2"/>
  <c r="E812" i="2"/>
  <c r="D811" i="2"/>
  <c r="E809" i="2"/>
  <c r="H809" i="2"/>
  <c r="D804" i="2"/>
  <c r="E803" i="2"/>
  <c r="D802" i="2"/>
  <c r="E800" i="2"/>
  <c r="H800" i="2"/>
  <c r="D798" i="2"/>
  <c r="G798" i="2"/>
  <c r="D795" i="2"/>
  <c r="E794" i="2"/>
  <c r="D793" i="2"/>
  <c r="E792" i="2"/>
  <c r="E790" i="2"/>
  <c r="G786" i="2"/>
  <c r="J786" i="2"/>
  <c r="D783" i="2"/>
  <c r="G783" i="2"/>
  <c r="J783" i="2"/>
  <c r="D781" i="2"/>
  <c r="E780" i="2"/>
  <c r="D776" i="2"/>
  <c r="E775" i="2"/>
  <c r="D774" i="2"/>
  <c r="G774" i="2"/>
  <c r="J774" i="2"/>
  <c r="D772" i="2"/>
  <c r="E771" i="2"/>
  <c r="D767" i="2"/>
  <c r="E766" i="2"/>
  <c r="D765" i="2"/>
  <c r="H765" i="2"/>
  <c r="D763" i="2"/>
  <c r="E762" i="2"/>
  <c r="D758" i="2"/>
  <c r="E757" i="2"/>
  <c r="E755" i="2"/>
  <c r="G755" i="2"/>
  <c r="J755" i="2"/>
  <c r="D750" i="2"/>
  <c r="E749" i="2"/>
  <c r="D748" i="2"/>
  <c r="E747" i="2"/>
  <c r="E745" i="2"/>
  <c r="E736" i="2"/>
  <c r="G732" i="2"/>
  <c r="J732" i="2"/>
  <c r="G731" i="2"/>
  <c r="J731" i="2"/>
  <c r="E727" i="2"/>
  <c r="D718" i="2"/>
  <c r="E717" i="2"/>
  <c r="D713" i="2"/>
  <c r="E712" i="2"/>
  <c r="E710" i="2"/>
  <c r="G710" i="2"/>
  <c r="J710" i="2"/>
  <c r="H710" i="2"/>
  <c r="H709" i="2"/>
  <c r="G709" i="2"/>
  <c r="D708" i="2"/>
  <c r="H708" i="2"/>
  <c r="D705" i="2"/>
  <c r="E704" i="2"/>
  <c r="D703" i="2"/>
  <c r="E701" i="2"/>
  <c r="G701" i="2"/>
  <c r="J701" i="2"/>
  <c r="G700" i="2"/>
  <c r="H700" i="2"/>
  <c r="D696" i="2"/>
  <c r="E695" i="2"/>
  <c r="D694" i="2"/>
  <c r="H691" i="2"/>
  <c r="G691" i="2"/>
  <c r="D690" i="2"/>
  <c r="H690" i="2"/>
  <c r="D687" i="2"/>
  <c r="E686" i="2"/>
  <c r="D685" i="2"/>
  <c r="E684" i="2"/>
  <c r="E682" i="2"/>
  <c r="G680" i="2"/>
  <c r="H680" i="2"/>
  <c r="H678" i="2"/>
  <c r="D676" i="2"/>
  <c r="G676" i="2"/>
  <c r="E668" i="2"/>
  <c r="H666" i="2"/>
  <c r="J666" i="2"/>
  <c r="D661" i="2"/>
  <c r="E660" i="2"/>
  <c r="D659" i="2"/>
  <c r="E658" i="2"/>
  <c r="H656" i="2"/>
  <c r="G656" i="2"/>
  <c r="H654" i="2"/>
  <c r="G654" i="2"/>
  <c r="H651" i="2"/>
  <c r="G651" i="2"/>
  <c r="D649" i="2"/>
  <c r="H649" i="2"/>
  <c r="D646" i="2"/>
  <c r="E641" i="2"/>
  <c r="G639" i="2"/>
  <c r="J639" i="2"/>
  <c r="G637" i="2"/>
  <c r="J637" i="2"/>
  <c r="D634" i="2"/>
  <c r="E633" i="2"/>
  <c r="D632" i="2"/>
  <c r="E631" i="2"/>
  <c r="H625" i="2"/>
  <c r="J625" i="2"/>
  <c r="G623" i="2"/>
  <c r="H623" i="2"/>
  <c r="D622" i="2"/>
  <c r="H622" i="2"/>
  <c r="G622" i="2"/>
  <c r="D619" i="2"/>
  <c r="H617" i="2"/>
  <c r="G617" i="2"/>
  <c r="E614" i="2"/>
  <c r="H612" i="2"/>
  <c r="J612" i="2"/>
  <c r="D607" i="2"/>
  <c r="G605" i="2"/>
  <c r="H605" i="2"/>
  <c r="D605" i="2"/>
  <c r="G589" i="2"/>
  <c r="J589" i="2"/>
  <c r="H589" i="2"/>
  <c r="H588" i="2"/>
  <c r="G588" i="2"/>
  <c r="D586" i="2"/>
  <c r="G586" i="2"/>
  <c r="J586" i="2"/>
  <c r="H586" i="2"/>
  <c r="H581" i="2"/>
  <c r="G581" i="2"/>
  <c r="G580" i="2"/>
  <c r="H580" i="2"/>
  <c r="D580" i="2"/>
  <c r="E578" i="2"/>
  <c r="D577" i="2"/>
  <c r="H577" i="2"/>
  <c r="G577" i="2"/>
  <c r="E577" i="2"/>
  <c r="D574" i="2"/>
  <c r="G567" i="2"/>
  <c r="J567" i="2"/>
  <c r="E565" i="2"/>
  <c r="G530" i="2"/>
  <c r="E530" i="2"/>
  <c r="G527" i="2"/>
  <c r="H527" i="2"/>
  <c r="H526" i="2"/>
  <c r="G526" i="2"/>
  <c r="D525" i="2"/>
  <c r="G525" i="2"/>
  <c r="H525" i="2"/>
  <c r="G524" i="2"/>
  <c r="H524" i="2"/>
  <c r="G522" i="2"/>
  <c r="J522" i="2"/>
  <c r="H522" i="2"/>
  <c r="H521" i="2"/>
  <c r="G521" i="2"/>
  <c r="G519" i="2"/>
  <c r="J519" i="2"/>
  <c r="H519" i="2"/>
  <c r="H518" i="2"/>
  <c r="G518" i="2"/>
  <c r="G516" i="2"/>
  <c r="J516" i="2"/>
  <c r="H516" i="2"/>
  <c r="H515" i="2"/>
  <c r="G515" i="2"/>
  <c r="D515" i="2"/>
  <c r="D513" i="2"/>
  <c r="J989" i="2"/>
  <c r="J984" i="2"/>
  <c r="J981" i="2"/>
  <c r="J977" i="2"/>
  <c r="J975" i="2"/>
  <c r="J971" i="2"/>
  <c r="J966" i="2"/>
  <c r="J963" i="2"/>
  <c r="J962" i="2"/>
  <c r="J960" i="2"/>
  <c r="J959" i="2"/>
  <c r="J957" i="2"/>
  <c r="J956" i="2"/>
  <c r="G949" i="2"/>
  <c r="H946" i="2"/>
  <c r="J945" i="2"/>
  <c r="J942" i="2"/>
  <c r="H934" i="2"/>
  <c r="G931" i="2"/>
  <c r="J930" i="2"/>
  <c r="G925" i="2"/>
  <c r="H922" i="2"/>
  <c r="J921" i="2"/>
  <c r="J920" i="2"/>
  <c r="J918" i="2"/>
  <c r="G913" i="2"/>
  <c r="J909" i="2"/>
  <c r="G907" i="2"/>
  <c r="H898" i="2"/>
  <c r="G895" i="2"/>
  <c r="J894" i="2"/>
  <c r="G889" i="2"/>
  <c r="H886" i="2"/>
  <c r="J885" i="2"/>
  <c r="J882" i="2"/>
  <c r="G877" i="2"/>
  <c r="J873" i="2"/>
  <c r="G871" i="2"/>
  <c r="H862" i="2"/>
  <c r="G859" i="2"/>
  <c r="J858" i="2"/>
  <c r="G853" i="2"/>
  <c r="J849" i="2"/>
  <c r="J848" i="2"/>
  <c r="J846" i="2"/>
  <c r="G846" i="2"/>
  <c r="G841" i="2"/>
  <c r="J837" i="2"/>
  <c r="G829" i="2"/>
  <c r="H828" i="2"/>
  <c r="H827" i="2"/>
  <c r="J825" i="2"/>
  <c r="G817" i="2"/>
  <c r="H816" i="2"/>
  <c r="J813" i="2"/>
  <c r="J812" i="2"/>
  <c r="G800" i="2"/>
  <c r="H798" i="2"/>
  <c r="G797" i="2"/>
  <c r="H795" i="2"/>
  <c r="G794" i="2"/>
  <c r="H792" i="2"/>
  <c r="G788" i="2"/>
  <c r="H786" i="2"/>
  <c r="G785" i="2"/>
  <c r="H783" i="2"/>
  <c r="G782" i="2"/>
  <c r="H780" i="2"/>
  <c r="H774" i="2"/>
  <c r="G773" i="2"/>
  <c r="H771" i="2"/>
  <c r="J765" i="2"/>
  <c r="J762" i="2"/>
  <c r="G762" i="2"/>
  <c r="H755" i="2"/>
  <c r="G754" i="2"/>
  <c r="H753" i="2"/>
  <c r="J752" i="2"/>
  <c r="J745" i="2"/>
  <c r="G743" i="2"/>
  <c r="J741" i="2"/>
  <c r="J733" i="2"/>
  <c r="H731" i="2"/>
  <c r="G730" i="2"/>
  <c r="H729" i="2"/>
  <c r="J727" i="2"/>
  <c r="J725" i="2"/>
  <c r="G722" i="2"/>
  <c r="H720" i="2"/>
  <c r="H719" i="2"/>
  <c r="J718" i="2"/>
  <c r="J717" i="2"/>
  <c r="G717" i="2"/>
  <c r="H715" i="2"/>
  <c r="G704" i="2"/>
  <c r="H703" i="2"/>
  <c r="J699" i="2"/>
  <c r="G699" i="2"/>
  <c r="J698" i="2"/>
  <c r="G694" i="2"/>
  <c r="G692" i="2"/>
  <c r="G690" i="2"/>
  <c r="J689" i="2"/>
  <c r="J679" i="2"/>
  <c r="H676" i="2"/>
  <c r="J674" i="2"/>
  <c r="G671" i="2"/>
  <c r="J664" i="2"/>
  <c r="J662" i="2"/>
  <c r="G661" i="2"/>
  <c r="J660" i="2"/>
  <c r="H658" i="2"/>
  <c r="J654" i="2"/>
  <c r="G648" i="2"/>
  <c r="H646" i="2"/>
  <c r="J641" i="2"/>
  <c r="H629" i="2"/>
  <c r="G625" i="2"/>
  <c r="H624" i="2"/>
  <c r="J622" i="2"/>
  <c r="G619" i="2"/>
  <c r="J608" i="2"/>
  <c r="J605" i="2"/>
  <c r="J588" i="2"/>
  <c r="G587" i="2"/>
  <c r="H579" i="2"/>
  <c r="G576" i="2"/>
  <c r="H572" i="2"/>
  <c r="H567" i="2"/>
  <c r="G556" i="2"/>
  <c r="J526" i="2"/>
  <c r="J518" i="2"/>
  <c r="J61" i="2"/>
  <c r="E61" i="2"/>
  <c r="D61" i="2"/>
  <c r="J66" i="2"/>
  <c r="E66" i="2"/>
  <c r="D66" i="2"/>
  <c r="J63" i="2"/>
  <c r="E63" i="2"/>
  <c r="D63" i="2"/>
  <c r="D595" i="2"/>
  <c r="H595" i="2"/>
  <c r="E587" i="2"/>
  <c r="G585" i="2"/>
  <c r="J585" i="2"/>
  <c r="G570" i="2"/>
  <c r="J570" i="2"/>
  <c r="G569" i="2"/>
  <c r="D568" i="2"/>
  <c r="G568" i="2"/>
  <c r="H568" i="2"/>
  <c r="D562" i="2"/>
  <c r="G562" i="2"/>
  <c r="G560" i="2"/>
  <c r="G557" i="2"/>
  <c r="G551" i="2"/>
  <c r="H545" i="2"/>
  <c r="J545" i="2"/>
  <c r="G543" i="2"/>
  <c r="H543" i="2"/>
  <c r="G539" i="2"/>
  <c r="E527" i="2"/>
  <c r="E526" i="2"/>
  <c r="D524" i="2"/>
  <c r="H523" i="2"/>
  <c r="G523" i="2"/>
  <c r="D521" i="2"/>
  <c r="D518" i="2"/>
  <c r="J955" i="2"/>
  <c r="J951" i="2"/>
  <c r="J947" i="2"/>
  <c r="J939" i="2"/>
  <c r="J935" i="2"/>
  <c r="J931" i="2"/>
  <c r="J927" i="2"/>
  <c r="J923" i="2"/>
  <c r="J919" i="2"/>
  <c r="J915" i="2"/>
  <c r="J907" i="2"/>
  <c r="J903" i="2"/>
  <c r="J895" i="2"/>
  <c r="J891" i="2"/>
  <c r="J887" i="2"/>
  <c r="J883" i="2"/>
  <c r="J879" i="2"/>
  <c r="J875" i="2"/>
  <c r="J871" i="2"/>
  <c r="J867" i="2"/>
  <c r="J863" i="2"/>
  <c r="J859" i="2"/>
  <c r="J855" i="2"/>
  <c r="J851" i="2"/>
  <c r="J847" i="2"/>
  <c r="J843" i="2"/>
  <c r="J835" i="2"/>
  <c r="J827" i="2"/>
  <c r="J823" i="2"/>
  <c r="J819" i="2"/>
  <c r="J815" i="2"/>
  <c r="J807" i="2"/>
  <c r="J760" i="2"/>
  <c r="J751" i="2"/>
  <c r="J742" i="2"/>
  <c r="J739" i="2"/>
  <c r="J724" i="2"/>
  <c r="J668" i="2"/>
  <c r="J653" i="2"/>
  <c r="J647" i="2"/>
  <c r="J638" i="2"/>
  <c r="J636" i="2"/>
  <c r="J632" i="2"/>
  <c r="J598" i="2"/>
  <c r="H596" i="2"/>
  <c r="G595" i="2"/>
  <c r="H562" i="2"/>
  <c r="G561" i="2"/>
  <c r="H560" i="2"/>
  <c r="J558" i="2"/>
  <c r="G548" i="2"/>
  <c r="G536" i="2"/>
  <c r="J534" i="2"/>
  <c r="J533" i="2"/>
  <c r="J514" i="2"/>
  <c r="J58" i="2"/>
  <c r="E58" i="2"/>
  <c r="D58" i="2"/>
  <c r="J60" i="2"/>
  <c r="E60" i="2"/>
  <c r="D60" i="2"/>
  <c r="J57" i="2"/>
  <c r="E57" i="2"/>
  <c r="D57" i="2"/>
  <c r="J706" i="2"/>
  <c r="J692" i="2"/>
  <c r="J690" i="2"/>
  <c r="J671" i="2"/>
  <c r="J665" i="2"/>
  <c r="J663" i="2"/>
  <c r="J650" i="2"/>
  <c r="J644" i="2"/>
  <c r="J629" i="2"/>
  <c r="J627" i="2"/>
  <c r="J624" i="2"/>
  <c r="J620" i="2"/>
  <c r="J618" i="2"/>
  <c r="J615" i="2"/>
  <c r="J611" i="2"/>
  <c r="J609" i="2"/>
  <c r="J606" i="2"/>
  <c r="J602" i="2"/>
  <c r="J600" i="2"/>
  <c r="J597" i="2"/>
  <c r="J593" i="2"/>
  <c r="J591" i="2"/>
  <c r="J587" i="2"/>
  <c r="J531" i="2"/>
  <c r="J55" i="2"/>
  <c r="E55" i="2"/>
  <c r="D55" i="2"/>
  <c r="J52" i="2"/>
  <c r="E52" i="2"/>
  <c r="D52" i="2"/>
  <c r="J49" i="2"/>
  <c r="E49" i="2"/>
  <c r="D49" i="2"/>
  <c r="J54" i="2"/>
  <c r="E54" i="2"/>
  <c r="D54" i="2"/>
  <c r="J51" i="2"/>
  <c r="E51" i="2"/>
  <c r="D51" i="2"/>
  <c r="J48" i="2"/>
  <c r="E48" i="2"/>
  <c r="D48" i="2"/>
  <c r="J580" i="2"/>
  <c r="J574" i="2"/>
  <c r="J563" i="2"/>
  <c r="J544" i="2"/>
  <c r="J528" i="2"/>
  <c r="J525" i="2"/>
  <c r="J36" i="2"/>
  <c r="E36" i="2"/>
  <c r="D36" i="2"/>
  <c r="J122" i="2"/>
  <c r="E122" i="2"/>
  <c r="D122" i="2"/>
  <c r="J119" i="2"/>
  <c r="E119" i="2"/>
  <c r="D119" i="2"/>
  <c r="J116" i="2"/>
  <c r="E116" i="2"/>
  <c r="D116" i="2"/>
  <c r="J113" i="2"/>
  <c r="E113" i="2"/>
  <c r="D113" i="2"/>
  <c r="J110" i="2"/>
  <c r="E110" i="2"/>
  <c r="D110" i="2"/>
  <c r="J107" i="2"/>
  <c r="E107" i="2"/>
  <c r="D107" i="2"/>
  <c r="J104" i="2"/>
  <c r="E104" i="2"/>
  <c r="D104" i="2"/>
  <c r="J101" i="2"/>
  <c r="E101" i="2"/>
  <c r="D101" i="2"/>
  <c r="J98" i="2"/>
  <c r="E98" i="2"/>
  <c r="D98" i="2"/>
  <c r="J95" i="2"/>
  <c r="E95" i="2"/>
  <c r="D95" i="2"/>
  <c r="J92" i="2"/>
  <c r="E92" i="2"/>
  <c r="D92" i="2"/>
  <c r="J89" i="2"/>
  <c r="E89" i="2"/>
  <c r="D89" i="2"/>
  <c r="J86" i="2"/>
  <c r="E86" i="2"/>
  <c r="D86" i="2"/>
  <c r="J83" i="2"/>
  <c r="E83" i="2"/>
  <c r="D83" i="2"/>
  <c r="J80" i="2"/>
  <c r="E80" i="2"/>
  <c r="D80" i="2"/>
  <c r="J77" i="2"/>
  <c r="E77" i="2"/>
  <c r="D77" i="2"/>
  <c r="J74" i="2"/>
  <c r="E74" i="2"/>
  <c r="D74" i="2"/>
  <c r="J71" i="2"/>
  <c r="E71" i="2"/>
  <c r="D71" i="2"/>
  <c r="J68" i="2"/>
  <c r="E68" i="2"/>
  <c r="D68" i="2"/>
  <c r="J65" i="2"/>
  <c r="E65" i="2"/>
  <c r="D65" i="2"/>
  <c r="J62" i="2"/>
  <c r="E62" i="2"/>
  <c r="D62" i="2"/>
  <c r="J59" i="2"/>
  <c r="E59" i="2"/>
  <c r="D59" i="2"/>
  <c r="J56" i="2"/>
  <c r="E56" i="2"/>
  <c r="D56" i="2"/>
  <c r="J53" i="2"/>
  <c r="E53" i="2"/>
  <c r="D53" i="2"/>
  <c r="J50" i="2"/>
  <c r="E50" i="2"/>
  <c r="D50" i="2"/>
  <c r="J47" i="2"/>
  <c r="E47" i="2"/>
  <c r="D47" i="2"/>
  <c r="J46" i="2"/>
  <c r="E46" i="2"/>
  <c r="D46" i="2"/>
  <c r="J45" i="2"/>
  <c r="E45" i="2"/>
  <c r="D45" i="2"/>
  <c r="J44" i="2"/>
  <c r="E44" i="2"/>
  <c r="D44" i="2"/>
  <c r="J43" i="2"/>
  <c r="E43" i="2"/>
  <c r="D43" i="2"/>
  <c r="J42" i="2"/>
  <c r="E42" i="2"/>
  <c r="D42" i="2"/>
  <c r="J41" i="2"/>
  <c r="E41" i="2"/>
  <c r="D41" i="2"/>
  <c r="J40" i="2"/>
  <c r="E40" i="2"/>
  <c r="D40" i="2"/>
  <c r="J39" i="2"/>
  <c r="E39" i="2"/>
  <c r="D39" i="2"/>
  <c r="J38" i="2"/>
  <c r="E38" i="2"/>
  <c r="D38" i="2"/>
  <c r="J37" i="2"/>
  <c r="E37" i="2"/>
  <c r="D37" i="2"/>
  <c r="J124" i="2"/>
  <c r="D124" i="2"/>
  <c r="E124" i="2"/>
  <c r="G132" i="2"/>
  <c r="H132" i="2"/>
  <c r="G147" i="2"/>
  <c r="H147" i="2"/>
  <c r="G511" i="2"/>
  <c r="H511" i="2"/>
  <c r="J511" i="2"/>
  <c r="G422" i="2"/>
  <c r="H422" i="2"/>
  <c r="J422" i="2"/>
  <c r="G418" i="2"/>
  <c r="H418" i="2"/>
  <c r="J418" i="2"/>
  <c r="G410" i="2"/>
  <c r="H410" i="2"/>
  <c r="J410" i="2"/>
  <c r="G278" i="2"/>
  <c r="H278" i="2"/>
  <c r="J278" i="2"/>
  <c r="G268" i="2"/>
  <c r="H268" i="2"/>
  <c r="J268" i="2"/>
  <c r="G188" i="2"/>
  <c r="H188" i="2"/>
  <c r="J188" i="2"/>
  <c r="G176" i="2"/>
  <c r="H176" i="2"/>
  <c r="J176" i="2"/>
  <c r="N66" i="2"/>
  <c r="M66" i="2"/>
  <c r="N65" i="2"/>
  <c r="M65" i="2"/>
  <c r="N64" i="2"/>
  <c r="M64" i="2"/>
  <c r="N63" i="2"/>
  <c r="M63" i="2"/>
  <c r="N62" i="2"/>
  <c r="M62" i="2"/>
  <c r="M61" i="2"/>
  <c r="N61" i="2"/>
  <c r="M60" i="2"/>
  <c r="N60" i="2"/>
  <c r="M59" i="2"/>
  <c r="N59" i="2"/>
  <c r="N58" i="2"/>
  <c r="M58" i="2"/>
  <c r="M57" i="2"/>
  <c r="N57" i="2"/>
  <c r="M56" i="2"/>
  <c r="N56" i="2"/>
  <c r="N55" i="2"/>
  <c r="M55" i="2"/>
  <c r="M54" i="2"/>
  <c r="N54" i="2"/>
  <c r="M53" i="2"/>
  <c r="N53" i="2"/>
  <c r="N52" i="2"/>
  <c r="M52" i="2"/>
  <c r="M51" i="2"/>
  <c r="N51" i="2"/>
  <c r="N50" i="2"/>
  <c r="M50" i="2"/>
  <c r="N49" i="2"/>
  <c r="M49" i="2"/>
  <c r="N68" i="2"/>
  <c r="N69" i="2"/>
  <c r="N121" i="2"/>
  <c r="N118" i="2"/>
  <c r="N115" i="2"/>
  <c r="N112" i="2"/>
  <c r="N109" i="2"/>
  <c r="N106" i="2"/>
  <c r="N103" i="2"/>
  <c r="N100" i="2"/>
  <c r="N97" i="2"/>
  <c r="N94" i="2"/>
  <c r="N91" i="2"/>
  <c r="N88" i="2"/>
  <c r="N85" i="2"/>
  <c r="N82" i="2"/>
  <c r="N79" i="2"/>
  <c r="N76" i="2"/>
  <c r="N73" i="2"/>
  <c r="N70" i="2"/>
  <c r="N67" i="2"/>
  <c r="M717" i="2"/>
  <c r="N717" i="2"/>
  <c r="M715" i="2"/>
  <c r="N715" i="2"/>
  <c r="M611" i="2"/>
  <c r="N611" i="2"/>
  <c r="M610" i="2"/>
  <c r="N610" i="2"/>
  <c r="M763" i="2"/>
  <c r="N763" i="2"/>
  <c r="M741" i="2"/>
  <c r="N741" i="2"/>
  <c r="M739" i="2"/>
  <c r="N739" i="2"/>
  <c r="M760" i="2"/>
  <c r="N760" i="2"/>
  <c r="N755" i="2"/>
  <c r="M755" i="2"/>
  <c r="M699" i="2"/>
  <c r="N699" i="2"/>
  <c r="M697" i="2"/>
  <c r="N697" i="2"/>
  <c r="M637" i="2"/>
  <c r="N637" i="2"/>
  <c r="M632" i="2"/>
  <c r="N632" i="2"/>
  <c r="M623" i="2"/>
  <c r="N623" i="2"/>
  <c r="N618" i="2"/>
  <c r="M618" i="2"/>
  <c r="N953" i="2"/>
  <c r="N949" i="2"/>
  <c r="N945" i="2"/>
  <c r="N941" i="2"/>
  <c r="N937" i="2"/>
  <c r="N933" i="2"/>
  <c r="N929" i="2"/>
  <c r="N925" i="2"/>
  <c r="N921" i="2"/>
  <c r="N917" i="2"/>
  <c r="N913" i="2"/>
  <c r="N909" i="2"/>
  <c r="N905" i="2"/>
  <c r="N901" i="2"/>
  <c r="N897" i="2"/>
  <c r="N893" i="2"/>
  <c r="N889" i="2"/>
  <c r="N885" i="2"/>
  <c r="N881" i="2"/>
  <c r="N877" i="2"/>
  <c r="N873" i="2"/>
  <c r="N869" i="2"/>
  <c r="N865" i="2"/>
  <c r="N861" i="2"/>
  <c r="N857" i="2"/>
  <c r="N853" i="2"/>
  <c r="N849" i="2"/>
  <c r="N845" i="2"/>
  <c r="N841" i="2"/>
  <c r="N837" i="2"/>
  <c r="N833" i="2"/>
  <c r="N829" i="2"/>
  <c r="N825" i="2"/>
  <c r="N821" i="2"/>
  <c r="N817" i="2"/>
  <c r="N813" i="2"/>
  <c r="N809" i="2"/>
  <c r="N805" i="2"/>
  <c r="N764" i="2"/>
  <c r="M764" i="2"/>
  <c r="M757" i="2"/>
  <c r="N757" i="2"/>
  <c r="N752" i="2"/>
  <c r="M752" i="2"/>
  <c r="M745" i="2"/>
  <c r="N745" i="2"/>
  <c r="M729" i="2"/>
  <c r="N729" i="2"/>
  <c r="M727" i="2"/>
  <c r="N727" i="2"/>
  <c r="M705" i="2"/>
  <c r="N705" i="2"/>
  <c r="M703" i="2"/>
  <c r="N703" i="2"/>
  <c r="M692" i="2"/>
  <c r="N692" i="2"/>
  <c r="M691" i="2"/>
  <c r="N691" i="2"/>
  <c r="M683" i="2"/>
  <c r="N683" i="2"/>
  <c r="M682" i="2"/>
  <c r="N682" i="2"/>
  <c r="M674" i="2"/>
  <c r="N674" i="2"/>
  <c r="M673" i="2"/>
  <c r="N673" i="2"/>
  <c r="M665" i="2"/>
  <c r="N665" i="2"/>
  <c r="M664" i="2"/>
  <c r="N664" i="2"/>
  <c r="M656" i="2"/>
  <c r="N656" i="2"/>
  <c r="M655" i="2"/>
  <c r="N655" i="2"/>
  <c r="M647" i="2"/>
  <c r="N647" i="2"/>
  <c r="M646" i="2"/>
  <c r="N646" i="2"/>
  <c r="N636" i="2"/>
  <c r="M636" i="2"/>
  <c r="M614" i="2"/>
  <c r="N614" i="2"/>
  <c r="N609" i="2"/>
  <c r="M609" i="2"/>
  <c r="M602" i="2"/>
  <c r="N602" i="2"/>
  <c r="M601" i="2"/>
  <c r="N601" i="2"/>
  <c r="N758" i="2"/>
  <c r="M758" i="2"/>
  <c r="M751" i="2"/>
  <c r="N751" i="2"/>
  <c r="N746" i="2"/>
  <c r="M746" i="2"/>
  <c r="N767" i="2"/>
  <c r="M767" i="2"/>
  <c r="M748" i="2"/>
  <c r="N748" i="2"/>
  <c r="N743" i="2"/>
  <c r="M743" i="2"/>
  <c r="M723" i="2"/>
  <c r="N723" i="2"/>
  <c r="M721" i="2"/>
  <c r="N721" i="2"/>
  <c r="M638" i="2"/>
  <c r="N638" i="2"/>
  <c r="M766" i="2"/>
  <c r="N766" i="2"/>
  <c r="N761" i="2"/>
  <c r="M761" i="2"/>
  <c r="M754" i="2"/>
  <c r="N754" i="2"/>
  <c r="N749" i="2"/>
  <c r="M749" i="2"/>
  <c r="M735" i="2"/>
  <c r="N735" i="2"/>
  <c r="M733" i="2"/>
  <c r="N733" i="2"/>
  <c r="M711" i="2"/>
  <c r="N711" i="2"/>
  <c r="M709" i="2"/>
  <c r="N709" i="2"/>
  <c r="N590" i="2"/>
  <c r="M587" i="2"/>
  <c r="N587" i="2"/>
  <c r="M580" i="2"/>
  <c r="N580" i="2"/>
  <c r="N563" i="2"/>
  <c r="M563" i="2"/>
  <c r="M742" i="2"/>
  <c r="N742" i="2"/>
  <c r="M736" i="2"/>
  <c r="N736" i="2"/>
  <c r="M730" i="2"/>
  <c r="N730" i="2"/>
  <c r="M724" i="2"/>
  <c r="N724" i="2"/>
  <c r="M718" i="2"/>
  <c r="N718" i="2"/>
  <c r="M712" i="2"/>
  <c r="N712" i="2"/>
  <c r="M706" i="2"/>
  <c r="N706" i="2"/>
  <c r="M700" i="2"/>
  <c r="N700" i="2"/>
  <c r="N690" i="2"/>
  <c r="M690" i="2"/>
  <c r="N681" i="2"/>
  <c r="M681" i="2"/>
  <c r="N672" i="2"/>
  <c r="M672" i="2"/>
  <c r="N663" i="2"/>
  <c r="M663" i="2"/>
  <c r="N654" i="2"/>
  <c r="M654" i="2"/>
  <c r="N645" i="2"/>
  <c r="M645" i="2"/>
  <c r="M641" i="2"/>
  <c r="N641" i="2"/>
  <c r="M629" i="2"/>
  <c r="N629" i="2"/>
  <c r="M628" i="2"/>
  <c r="N628" i="2"/>
  <c r="M605" i="2"/>
  <c r="N605" i="2"/>
  <c r="N600" i="2"/>
  <c r="M600" i="2"/>
  <c r="M593" i="2"/>
  <c r="N593" i="2"/>
  <c r="M592" i="2"/>
  <c r="N592" i="2"/>
  <c r="N572" i="2"/>
  <c r="M572" i="2"/>
  <c r="M568" i="2"/>
  <c r="N568" i="2"/>
  <c r="M562" i="2"/>
  <c r="N562" i="2"/>
  <c r="M695" i="2"/>
  <c r="N695" i="2"/>
  <c r="M686" i="2"/>
  <c r="N686" i="2"/>
  <c r="M677" i="2"/>
  <c r="N677" i="2"/>
  <c r="M668" i="2"/>
  <c r="N668" i="2"/>
  <c r="M659" i="2"/>
  <c r="N659" i="2"/>
  <c r="M650" i="2"/>
  <c r="N650" i="2"/>
  <c r="N627" i="2"/>
  <c r="M627" i="2"/>
  <c r="M620" i="2"/>
  <c r="N620" i="2"/>
  <c r="M619" i="2"/>
  <c r="N619" i="2"/>
  <c r="M596" i="2"/>
  <c r="N596" i="2"/>
  <c r="N591" i="2"/>
  <c r="M591" i="2"/>
  <c r="N581" i="2"/>
  <c r="M581" i="2"/>
  <c r="M577" i="2"/>
  <c r="N577" i="2"/>
  <c r="M571" i="2"/>
  <c r="N571" i="2"/>
  <c r="M561" i="2"/>
  <c r="N561" i="2"/>
  <c r="M555" i="2"/>
  <c r="N555" i="2"/>
  <c r="M552" i="2"/>
  <c r="N552" i="2"/>
  <c r="M624" i="2"/>
  <c r="M615" i="2"/>
  <c r="M606" i="2"/>
  <c r="M597" i="2"/>
  <c r="M588" i="2"/>
  <c r="N583" i="2"/>
  <c r="N574" i="2"/>
  <c r="N565" i="2"/>
  <c r="N560" i="2"/>
  <c r="M560" i="2"/>
  <c r="M556" i="2"/>
  <c r="N556" i="2"/>
  <c r="M553" i="2"/>
  <c r="N553" i="2"/>
  <c r="N548" i="2"/>
  <c r="M548" i="2"/>
  <c r="M543" i="2"/>
  <c r="N543" i="2"/>
  <c r="N539" i="2"/>
  <c r="M539" i="2"/>
  <c r="M534" i="2"/>
  <c r="N534" i="2"/>
  <c r="N530" i="2"/>
  <c r="M530" i="2"/>
  <c r="M526" i="2"/>
  <c r="N526" i="2"/>
  <c r="M523" i="2"/>
  <c r="N523" i="2"/>
  <c r="N549" i="2"/>
  <c r="N542" i="2"/>
  <c r="M542" i="2"/>
  <c r="M537" i="2"/>
  <c r="N537" i="2"/>
  <c r="N533" i="2"/>
  <c r="M533" i="2"/>
  <c r="M528" i="2"/>
  <c r="N528" i="2"/>
  <c r="M525" i="2"/>
  <c r="N525" i="2"/>
  <c r="M522" i="2"/>
  <c r="N522" i="2"/>
  <c r="M559" i="2"/>
  <c r="N559" i="2"/>
  <c r="M551" i="2"/>
  <c r="M550" i="2"/>
  <c r="N550" i="2"/>
  <c r="N545" i="2"/>
  <c r="M545" i="2"/>
  <c r="M540" i="2"/>
  <c r="N540" i="2"/>
  <c r="N536" i="2"/>
  <c r="M536" i="2"/>
  <c r="M531" i="2"/>
  <c r="N531" i="2"/>
  <c r="N527" i="2"/>
  <c r="M527" i="2"/>
  <c r="N524" i="2"/>
  <c r="M524" i="2"/>
  <c r="M520" i="2"/>
  <c r="N520" i="2"/>
  <c r="N546" i="2"/>
  <c r="M521" i="2"/>
  <c r="N544" i="2"/>
  <c r="N541" i="2"/>
  <c r="N538" i="2"/>
  <c r="N535" i="2"/>
  <c r="N532" i="2"/>
  <c r="N529" i="2"/>
  <c r="D573" i="2"/>
  <c r="E573" i="2"/>
  <c r="D564" i="2"/>
  <c r="E564" i="2"/>
  <c r="E572" i="2"/>
  <c r="D572" i="2"/>
  <c r="D851" i="2"/>
  <c r="E851" i="2"/>
  <c r="E832" i="2"/>
  <c r="D832" i="2"/>
  <c r="D815" i="2"/>
  <c r="E815" i="2"/>
  <c r="E796" i="2"/>
  <c r="D796" i="2"/>
  <c r="D779" i="2"/>
  <c r="E779" i="2"/>
  <c r="E760" i="2"/>
  <c r="D760" i="2"/>
  <c r="D743" i="2"/>
  <c r="E743" i="2"/>
  <c r="E724" i="2"/>
  <c r="D724" i="2"/>
  <c r="D707" i="2"/>
  <c r="E707" i="2"/>
  <c r="E688" i="2"/>
  <c r="D688" i="2"/>
  <c r="E662" i="2"/>
  <c r="D662" i="2"/>
  <c r="D648" i="2"/>
  <c r="E648" i="2"/>
  <c r="D645" i="2"/>
  <c r="E645" i="2"/>
  <c r="E626" i="2"/>
  <c r="D626" i="2"/>
  <c r="D612" i="2"/>
  <c r="E612" i="2"/>
  <c r="D609" i="2"/>
  <c r="E609" i="2"/>
  <c r="E590" i="2"/>
  <c r="D590" i="2"/>
  <c r="D576" i="2"/>
  <c r="E576" i="2"/>
  <c r="D842" i="2"/>
  <c r="E842" i="2"/>
  <c r="E823" i="2"/>
  <c r="D823" i="2"/>
  <c r="D806" i="2"/>
  <c r="E806" i="2"/>
  <c r="E787" i="2"/>
  <c r="D787" i="2"/>
  <c r="D770" i="2"/>
  <c r="E770" i="2"/>
  <c r="E751" i="2"/>
  <c r="D751" i="2"/>
  <c r="D734" i="2"/>
  <c r="E734" i="2"/>
  <c r="E715" i="2"/>
  <c r="D715" i="2"/>
  <c r="D698" i="2"/>
  <c r="E698" i="2"/>
  <c r="E679" i="2"/>
  <c r="D679" i="2"/>
  <c r="D675" i="2"/>
  <c r="E675" i="2"/>
  <c r="D672" i="2"/>
  <c r="E672" i="2"/>
  <c r="E653" i="2"/>
  <c r="D653" i="2"/>
  <c r="D639" i="2"/>
  <c r="E639" i="2"/>
  <c r="D636" i="2"/>
  <c r="E636" i="2"/>
  <c r="E617" i="2"/>
  <c r="D617" i="2"/>
  <c r="D603" i="2"/>
  <c r="E603" i="2"/>
  <c r="D600" i="2"/>
  <c r="E600" i="2"/>
  <c r="E581" i="2"/>
  <c r="D581" i="2"/>
  <c r="D567" i="2"/>
  <c r="E567" i="2"/>
  <c r="E988" i="2"/>
  <c r="E982" i="2"/>
  <c r="E976" i="2"/>
  <c r="E970" i="2"/>
  <c r="E964" i="2"/>
  <c r="E958" i="2"/>
  <c r="E952" i="2"/>
  <c r="E946" i="2"/>
  <c r="E940" i="2"/>
  <c r="E934" i="2"/>
  <c r="D933" i="2"/>
  <c r="E933" i="2"/>
  <c r="D930" i="2"/>
  <c r="E930" i="2"/>
  <c r="D927" i="2"/>
  <c r="E927" i="2"/>
  <c r="D924" i="2"/>
  <c r="E924" i="2"/>
  <c r="D921" i="2"/>
  <c r="E921" i="2"/>
  <c r="D918" i="2"/>
  <c r="E918" i="2"/>
  <c r="D915" i="2"/>
  <c r="E915" i="2"/>
  <c r="D912" i="2"/>
  <c r="E912" i="2"/>
  <c r="D909" i="2"/>
  <c r="E909" i="2"/>
  <c r="D906" i="2"/>
  <c r="E906" i="2"/>
  <c r="D903" i="2"/>
  <c r="E903" i="2"/>
  <c r="D900" i="2"/>
  <c r="E900" i="2"/>
  <c r="D897" i="2"/>
  <c r="E897" i="2"/>
  <c r="D894" i="2"/>
  <c r="E894" i="2"/>
  <c r="D891" i="2"/>
  <c r="E891" i="2"/>
  <c r="D888" i="2"/>
  <c r="E888" i="2"/>
  <c r="D885" i="2"/>
  <c r="E885" i="2"/>
  <c r="D882" i="2"/>
  <c r="E882" i="2"/>
  <c r="D879" i="2"/>
  <c r="E879" i="2"/>
  <c r="D876" i="2"/>
  <c r="E876" i="2"/>
  <c r="D873" i="2"/>
  <c r="E873" i="2"/>
  <c r="D870" i="2"/>
  <c r="E870" i="2"/>
  <c r="D867" i="2"/>
  <c r="E867" i="2"/>
  <c r="D864" i="2"/>
  <c r="E864" i="2"/>
  <c r="D861" i="2"/>
  <c r="E861" i="2"/>
  <c r="D858" i="2"/>
  <c r="E858" i="2"/>
  <c r="D855" i="2"/>
  <c r="E855" i="2"/>
  <c r="D852" i="2"/>
  <c r="E852" i="2"/>
  <c r="E850" i="2"/>
  <c r="D850" i="2"/>
  <c r="E846" i="2"/>
  <c r="D833" i="2"/>
  <c r="E833" i="2"/>
  <c r="E814" i="2"/>
  <c r="D814" i="2"/>
  <c r="E810" i="2"/>
  <c r="D797" i="2"/>
  <c r="E797" i="2"/>
  <c r="E778" i="2"/>
  <c r="D778" i="2"/>
  <c r="E774" i="2"/>
  <c r="D761" i="2"/>
  <c r="E761" i="2"/>
  <c r="E742" i="2"/>
  <c r="D742" i="2"/>
  <c r="E738" i="2"/>
  <c r="D725" i="2"/>
  <c r="E725" i="2"/>
  <c r="E706" i="2"/>
  <c r="D706" i="2"/>
  <c r="E702" i="2"/>
  <c r="D689" i="2"/>
  <c r="E689" i="2"/>
  <c r="D666" i="2"/>
  <c r="E666" i="2"/>
  <c r="D663" i="2"/>
  <c r="E663" i="2"/>
  <c r="E644" i="2"/>
  <c r="D644" i="2"/>
  <c r="D630" i="2"/>
  <c r="E630" i="2"/>
  <c r="D627" i="2"/>
  <c r="E627" i="2"/>
  <c r="E608" i="2"/>
  <c r="D608" i="2"/>
  <c r="D594" i="2"/>
  <c r="E594" i="2"/>
  <c r="D591" i="2"/>
  <c r="E591" i="2"/>
  <c r="D989" i="2"/>
  <c r="D987" i="2"/>
  <c r="D983" i="2"/>
  <c r="D981" i="2"/>
  <c r="D977" i="2"/>
  <c r="D975" i="2"/>
  <c r="D971" i="2"/>
  <c r="D969" i="2"/>
  <c r="D965" i="2"/>
  <c r="D963" i="2"/>
  <c r="D959" i="2"/>
  <c r="D957" i="2"/>
  <c r="D953" i="2"/>
  <c r="D951" i="2"/>
  <c r="D947" i="2"/>
  <c r="D945" i="2"/>
  <c r="D941" i="2"/>
  <c r="D939" i="2"/>
  <c r="D935" i="2"/>
  <c r="E931" i="2"/>
  <c r="E928" i="2"/>
  <c r="E925" i="2"/>
  <c r="E922" i="2"/>
  <c r="E919" i="2"/>
  <c r="E916" i="2"/>
  <c r="E913" i="2"/>
  <c r="E910" i="2"/>
  <c r="E907" i="2"/>
  <c r="E904" i="2"/>
  <c r="E901" i="2"/>
  <c r="E898" i="2"/>
  <c r="E895" i="2"/>
  <c r="E892" i="2"/>
  <c r="E889" i="2"/>
  <c r="E886" i="2"/>
  <c r="E883" i="2"/>
  <c r="E880" i="2"/>
  <c r="E877" i="2"/>
  <c r="E874" i="2"/>
  <c r="E871" i="2"/>
  <c r="E868" i="2"/>
  <c r="E865" i="2"/>
  <c r="E862" i="2"/>
  <c r="E859" i="2"/>
  <c r="E856" i="2"/>
  <c r="E853" i="2"/>
  <c r="E841" i="2"/>
  <c r="D841" i="2"/>
  <c r="E837" i="2"/>
  <c r="D824" i="2"/>
  <c r="E824" i="2"/>
  <c r="E805" i="2"/>
  <c r="D805" i="2"/>
  <c r="E801" i="2"/>
  <c r="D788" i="2"/>
  <c r="E788" i="2"/>
  <c r="E769" i="2"/>
  <c r="D769" i="2"/>
  <c r="E765" i="2"/>
  <c r="D752" i="2"/>
  <c r="E752" i="2"/>
  <c r="E733" i="2"/>
  <c r="D733" i="2"/>
  <c r="E729" i="2"/>
  <c r="D716" i="2"/>
  <c r="E716" i="2"/>
  <c r="E697" i="2"/>
  <c r="D697" i="2"/>
  <c r="E693" i="2"/>
  <c r="D680" i="2"/>
  <c r="E680" i="2"/>
  <c r="E671" i="2"/>
  <c r="D671" i="2"/>
  <c r="D657" i="2"/>
  <c r="E657" i="2"/>
  <c r="D654" i="2"/>
  <c r="E654" i="2"/>
  <c r="E635" i="2"/>
  <c r="D635" i="2"/>
  <c r="D621" i="2"/>
  <c r="E621" i="2"/>
  <c r="D618" i="2"/>
  <c r="E618" i="2"/>
  <c r="E599" i="2"/>
  <c r="D599" i="2"/>
  <c r="D585" i="2"/>
  <c r="E585" i="2"/>
  <c r="D582" i="2"/>
  <c r="E582" i="2"/>
  <c r="E559" i="2"/>
  <c r="D845" i="2"/>
  <c r="D836" i="2"/>
  <c r="D827" i="2"/>
  <c r="D818" i="2"/>
  <c r="D809" i="2"/>
  <c r="D800" i="2"/>
  <c r="D791" i="2"/>
  <c r="D782" i="2"/>
  <c r="D773" i="2"/>
  <c r="D764" i="2"/>
  <c r="D755" i="2"/>
  <c r="D746" i="2"/>
  <c r="D737" i="2"/>
  <c r="D728" i="2"/>
  <c r="D719" i="2"/>
  <c r="D710" i="2"/>
  <c r="D701" i="2"/>
  <c r="D692" i="2"/>
  <c r="D683" i="2"/>
  <c r="E674" i="2"/>
  <c r="D674" i="2"/>
  <c r="E665" i="2"/>
  <c r="D665" i="2"/>
  <c r="E656" i="2"/>
  <c r="D656" i="2"/>
  <c r="E647" i="2"/>
  <c r="D647" i="2"/>
  <c r="E638" i="2"/>
  <c r="D638" i="2"/>
  <c r="E629" i="2"/>
  <c r="D629" i="2"/>
  <c r="E620" i="2"/>
  <c r="D620" i="2"/>
  <c r="E611" i="2"/>
  <c r="D611" i="2"/>
  <c r="E602" i="2"/>
  <c r="D602" i="2"/>
  <c r="E593" i="2"/>
  <c r="D593" i="2"/>
  <c r="E584" i="2"/>
  <c r="D584" i="2"/>
  <c r="E575" i="2"/>
  <c r="D575" i="2"/>
  <c r="E566" i="2"/>
  <c r="D566" i="2"/>
  <c r="D563" i="2"/>
  <c r="D558" i="2"/>
  <c r="D669" i="2"/>
  <c r="D660" i="2"/>
  <c r="D651" i="2"/>
  <c r="D642" i="2"/>
  <c r="D633" i="2"/>
  <c r="D624" i="2"/>
  <c r="D615" i="2"/>
  <c r="D606" i="2"/>
  <c r="D597" i="2"/>
  <c r="D588" i="2"/>
  <c r="D579" i="2"/>
  <c r="D570" i="2"/>
  <c r="D561" i="2"/>
  <c r="D557" i="2"/>
  <c r="E556" i="2"/>
  <c r="E553" i="2"/>
  <c r="E550" i="2"/>
  <c r="E547" i="2"/>
  <c r="E544" i="2"/>
  <c r="E541" i="2"/>
  <c r="E538" i="2"/>
  <c r="E535" i="2"/>
  <c r="E532" i="2"/>
  <c r="D527" i="2"/>
  <c r="E523" i="2"/>
  <c r="E520" i="2"/>
  <c r="E517" i="2"/>
  <c r="M405" i="2"/>
  <c r="N374" i="2"/>
  <c r="M349" i="2"/>
  <c r="N261" i="2"/>
  <c r="N201" i="2"/>
  <c r="M199" i="2"/>
  <c r="M144" i="2"/>
  <c r="M143" i="2"/>
  <c r="M134" i="2"/>
  <c r="N504" i="2"/>
  <c r="N395" i="2"/>
  <c r="N383" i="2"/>
  <c r="N370" i="2"/>
  <c r="M348" i="2"/>
  <c r="M346" i="2"/>
  <c r="N305" i="2"/>
  <c r="M255" i="2"/>
  <c r="N212" i="2"/>
  <c r="N210" i="2"/>
  <c r="M198" i="2"/>
  <c r="N168" i="2"/>
  <c r="N205" i="2"/>
  <c r="M205" i="2"/>
  <c r="N312" i="2"/>
  <c r="M312" i="2"/>
  <c r="N241" i="2"/>
  <c r="M241" i="2"/>
  <c r="N16" i="2"/>
  <c r="N244" i="2"/>
  <c r="N471" i="2"/>
  <c r="N366" i="2"/>
  <c r="N345" i="2"/>
  <c r="N339" i="2"/>
  <c r="N306" i="2"/>
  <c r="N295" i="2"/>
  <c r="M286" i="2"/>
  <c r="M213" i="2"/>
  <c r="M177" i="2"/>
  <c r="M165" i="2"/>
  <c r="N163" i="2"/>
  <c r="N161" i="2"/>
  <c r="M131" i="2"/>
  <c r="N321" i="2"/>
  <c r="M321" i="2"/>
  <c r="N404" i="2"/>
  <c r="M404" i="2"/>
  <c r="M280" i="2"/>
  <c r="N280" i="2"/>
  <c r="M200" i="2"/>
  <c r="N200" i="2"/>
  <c r="N194" i="2"/>
  <c r="M194" i="2"/>
  <c r="N173" i="2"/>
  <c r="M173" i="2"/>
  <c r="M160" i="2"/>
  <c r="N160" i="2"/>
  <c r="M5" i="2"/>
  <c r="N431" i="2"/>
  <c r="M431" i="2"/>
  <c r="N320" i="2"/>
  <c r="M320" i="2"/>
  <c r="N276" i="2"/>
  <c r="M276" i="2"/>
  <c r="M258" i="2"/>
  <c r="N258" i="2"/>
  <c r="N233" i="2"/>
  <c r="M233" i="2"/>
  <c r="M170" i="2"/>
  <c r="N170" i="2"/>
  <c r="M14" i="2"/>
  <c r="N14" i="2"/>
  <c r="N512" i="2"/>
  <c r="M474" i="2"/>
  <c r="N460" i="2"/>
  <c r="M433" i="2"/>
  <c r="N432" i="2"/>
  <c r="M417" i="2"/>
  <c r="N417" i="2"/>
  <c r="N371" i="2"/>
  <c r="N365" i="2"/>
  <c r="M351" i="2"/>
  <c r="N351" i="2"/>
  <c r="N335" i="2"/>
  <c r="N323" i="2"/>
  <c r="M317" i="2"/>
  <c r="N317" i="2"/>
  <c r="M298" i="2"/>
  <c r="N283" i="2"/>
  <c r="M279" i="2"/>
  <c r="N279" i="2"/>
  <c r="M193" i="2"/>
  <c r="N193" i="2"/>
  <c r="M169" i="2"/>
  <c r="M139" i="2"/>
  <c r="M29" i="2"/>
  <c r="N29" i="2"/>
  <c r="M24" i="2"/>
  <c r="M17" i="2"/>
  <c r="M489" i="2"/>
  <c r="N489" i="2"/>
  <c r="N439" i="2"/>
  <c r="M439" i="2"/>
  <c r="M429" i="2"/>
  <c r="N429" i="2"/>
  <c r="M495" i="2"/>
  <c r="N495" i="2"/>
  <c r="N492" i="2"/>
  <c r="M492" i="2"/>
  <c r="M488" i="2"/>
  <c r="N488" i="2"/>
  <c r="M464" i="2"/>
  <c r="N464" i="2"/>
  <c r="M441" i="2"/>
  <c r="N441" i="2"/>
  <c r="M502" i="2"/>
  <c r="N502" i="2"/>
  <c r="M463" i="2"/>
  <c r="N463" i="2"/>
  <c r="M435" i="2"/>
  <c r="N435" i="2"/>
  <c r="M507" i="2"/>
  <c r="N507" i="2"/>
  <c r="M486" i="2"/>
  <c r="N486" i="2"/>
  <c r="M452" i="2"/>
  <c r="N452" i="2"/>
  <c r="M434" i="2"/>
  <c r="N434" i="2"/>
  <c r="M508" i="2"/>
  <c r="M503" i="2"/>
  <c r="M484" i="2"/>
  <c r="M481" i="2"/>
  <c r="M473" i="2"/>
  <c r="M470" i="2"/>
  <c r="N469" i="2"/>
  <c r="M468" i="2"/>
  <c r="N465" i="2"/>
  <c r="N459" i="2"/>
  <c r="M453" i="2"/>
  <c r="M444" i="2"/>
  <c r="M430" i="2"/>
  <c r="N427" i="2"/>
  <c r="N426" i="2"/>
  <c r="M425" i="2"/>
  <c r="M424" i="2"/>
  <c r="N423" i="2"/>
  <c r="M411" i="2"/>
  <c r="N411" i="2"/>
  <c r="N406" i="2"/>
  <c r="N403" i="2"/>
  <c r="N401" i="2"/>
  <c r="N394" i="2"/>
  <c r="M394" i="2"/>
  <c r="M390" i="2"/>
  <c r="M385" i="2"/>
  <c r="N385" i="2"/>
  <c r="N369" i="2"/>
  <c r="M353" i="2"/>
  <c r="N353" i="2"/>
  <c r="M343" i="2"/>
  <c r="N343" i="2"/>
  <c r="N341" i="2"/>
  <c r="M341" i="2"/>
  <c r="M329" i="2"/>
  <c r="N329" i="2"/>
  <c r="N324" i="2"/>
  <c r="M324" i="2"/>
  <c r="M313" i="2"/>
  <c r="N313" i="2"/>
  <c r="N310" i="2"/>
  <c r="M310" i="2"/>
  <c r="M304" i="2"/>
  <c r="N304" i="2"/>
  <c r="N297" i="2"/>
  <c r="M297" i="2"/>
  <c r="N292" i="2"/>
  <c r="M292" i="2"/>
  <c r="M282" i="2"/>
  <c r="N282" i="2"/>
  <c r="M274" i="2"/>
  <c r="N274" i="2"/>
  <c r="M271" i="2"/>
  <c r="N271" i="2"/>
  <c r="N265" i="2"/>
  <c r="M265" i="2"/>
  <c r="M260" i="2"/>
  <c r="N260" i="2"/>
  <c r="M254" i="2"/>
  <c r="N254" i="2"/>
  <c r="M235" i="2"/>
  <c r="N235" i="2"/>
  <c r="N225" i="2"/>
  <c r="N219" i="2"/>
  <c r="M219" i="2"/>
  <c r="N195" i="2"/>
  <c r="N183" i="2"/>
  <c r="M183" i="2"/>
  <c r="M159" i="2"/>
  <c r="N159" i="2"/>
  <c r="N155" i="2"/>
  <c r="M155" i="2"/>
  <c r="M150" i="2"/>
  <c r="N150" i="2"/>
  <c r="M145" i="2"/>
  <c r="N145" i="2"/>
  <c r="N125" i="2"/>
  <c r="M125" i="2"/>
  <c r="M33" i="2"/>
  <c r="N33" i="2"/>
  <c r="N30" i="2"/>
  <c r="M30" i="2"/>
  <c r="M19" i="2"/>
  <c r="N19" i="2"/>
  <c r="M12" i="2"/>
  <c r="N12" i="2"/>
  <c r="N493" i="2"/>
  <c r="M493" i="2"/>
  <c r="M490" i="2"/>
  <c r="N490" i="2"/>
  <c r="M478" i="2"/>
  <c r="N478" i="2"/>
  <c r="M449" i="2"/>
  <c r="N449" i="2"/>
  <c r="N440" i="2"/>
  <c r="M440" i="2"/>
  <c r="N436" i="2"/>
  <c r="M436" i="2"/>
  <c r="M419" i="2"/>
  <c r="N419" i="2"/>
  <c r="N414" i="2"/>
  <c r="M414" i="2"/>
  <c r="N412" i="2"/>
  <c r="M412" i="2"/>
  <c r="N386" i="2"/>
  <c r="M386" i="2"/>
  <c r="M373" i="2"/>
  <c r="N373" i="2"/>
  <c r="N361" i="2"/>
  <c r="M361" i="2"/>
  <c r="N338" i="2"/>
  <c r="M338" i="2"/>
  <c r="M328" i="2"/>
  <c r="N328" i="2"/>
  <c r="N326" i="2"/>
  <c r="M326" i="2"/>
  <c r="M309" i="2"/>
  <c r="N309" i="2"/>
  <c r="N299" i="2"/>
  <c r="M299" i="2"/>
  <c r="M294" i="2"/>
  <c r="N294" i="2"/>
  <c r="M291" i="2"/>
  <c r="N291" i="2"/>
  <c r="M285" i="2"/>
  <c r="N285" i="2"/>
  <c r="M273" i="2"/>
  <c r="N273" i="2"/>
  <c r="M270" i="2"/>
  <c r="N270" i="2"/>
  <c r="M264" i="2"/>
  <c r="N264" i="2"/>
  <c r="N256" i="2"/>
  <c r="M256" i="2"/>
  <c r="M251" i="2"/>
  <c r="N251" i="2"/>
  <c r="M243" i="2"/>
  <c r="N243" i="2"/>
  <c r="M228" i="2"/>
  <c r="N228" i="2"/>
  <c r="N211" i="2"/>
  <c r="M211" i="2"/>
  <c r="M185" i="2"/>
  <c r="N185" i="2"/>
  <c r="N158" i="2"/>
  <c r="M158" i="2"/>
  <c r="N156" i="2"/>
  <c r="M156" i="2"/>
  <c r="N146" i="2"/>
  <c r="M146" i="2"/>
  <c r="M506" i="2"/>
  <c r="M501" i="2"/>
  <c r="M500" i="2"/>
  <c r="M494" i="2"/>
  <c r="M491" i="2"/>
  <c r="N483" i="2"/>
  <c r="M475" i="2"/>
  <c r="M461" i="2"/>
  <c r="N458" i="2"/>
  <c r="M456" i="2"/>
  <c r="N455" i="2"/>
  <c r="M451" i="2"/>
  <c r="N448" i="2"/>
  <c r="M446" i="2"/>
  <c r="M445" i="2"/>
  <c r="M443" i="2"/>
  <c r="M438" i="2"/>
  <c r="M421" i="2"/>
  <c r="N415" i="2"/>
  <c r="N409" i="2"/>
  <c r="M409" i="2"/>
  <c r="N400" i="2"/>
  <c r="N398" i="2"/>
  <c r="N396" i="2"/>
  <c r="M393" i="2"/>
  <c r="N389" i="2"/>
  <c r="M389" i="2"/>
  <c r="M384" i="2"/>
  <c r="N384" i="2"/>
  <c r="M378" i="2"/>
  <c r="N378" i="2"/>
  <c r="M360" i="2"/>
  <c r="N360" i="2"/>
  <c r="M334" i="2"/>
  <c r="N334" i="2"/>
  <c r="N314" i="2"/>
  <c r="M314" i="2"/>
  <c r="M308" i="2"/>
  <c r="N308" i="2"/>
  <c r="N303" i="2"/>
  <c r="M303" i="2"/>
  <c r="N300" i="2"/>
  <c r="M300" i="2"/>
  <c r="M288" i="2"/>
  <c r="N288" i="2"/>
  <c r="M275" i="2"/>
  <c r="N275" i="2"/>
  <c r="N257" i="2"/>
  <c r="M257" i="2"/>
  <c r="N253" i="2"/>
  <c r="M253" i="2"/>
  <c r="M250" i="2"/>
  <c r="N250" i="2"/>
  <c r="M238" i="2"/>
  <c r="N238" i="2"/>
  <c r="M217" i="2"/>
  <c r="N217" i="2"/>
  <c r="M208" i="2"/>
  <c r="N208" i="2"/>
  <c r="N186" i="2"/>
  <c r="M182" i="2"/>
  <c r="N182" i="2"/>
  <c r="N180" i="2"/>
  <c r="N166" i="2"/>
  <c r="M166" i="2"/>
  <c r="M154" i="2"/>
  <c r="N154" i="2"/>
  <c r="N149" i="2"/>
  <c r="M149" i="2"/>
  <c r="M129" i="2"/>
  <c r="N129" i="2"/>
  <c r="N333" i="2"/>
  <c r="M333" i="2"/>
  <c r="N318" i="2"/>
  <c r="M318" i="2"/>
  <c r="N234" i="2"/>
  <c r="M234" i="2"/>
  <c r="M196" i="2"/>
  <c r="N196" i="2"/>
  <c r="M171" i="2"/>
  <c r="N171" i="2"/>
  <c r="N34" i="2"/>
  <c r="M34" i="2"/>
  <c r="N26" i="2"/>
  <c r="M26" i="2"/>
  <c r="M13" i="2"/>
  <c r="M18" i="2"/>
  <c r="N18" i="2"/>
  <c r="N6" i="2"/>
  <c r="M6" i="2"/>
  <c r="N407" i="2"/>
  <c r="N380" i="2"/>
  <c r="N376" i="2"/>
  <c r="M363" i="2"/>
  <c r="M359" i="2"/>
  <c r="N356" i="2"/>
  <c r="N355" i="2"/>
  <c r="M342" i="2"/>
  <c r="N340" i="2"/>
  <c r="M331" i="2"/>
  <c r="M327" i="2"/>
  <c r="N302" i="2"/>
  <c r="M302" i="2"/>
  <c r="N296" i="2"/>
  <c r="N293" i="2"/>
  <c r="M293" i="2"/>
  <c r="M290" i="2"/>
  <c r="M267" i="2"/>
  <c r="M249" i="2"/>
  <c r="M246" i="2"/>
  <c r="M230" i="2"/>
  <c r="N223" i="2"/>
  <c r="M222" i="2"/>
  <c r="M216" i="2"/>
  <c r="M214" i="2"/>
  <c r="M187" i="2"/>
  <c r="M178" i="2"/>
  <c r="M174" i="2"/>
  <c r="M140" i="2"/>
  <c r="N140" i="2"/>
  <c r="M138" i="2"/>
  <c r="M135" i="2"/>
  <c r="N133" i="2"/>
  <c r="N130" i="2"/>
  <c r="N128" i="2"/>
  <c r="N31" i="2"/>
  <c r="M23" i="2"/>
  <c r="N20" i="2"/>
  <c r="N15" i="2"/>
  <c r="N10" i="2"/>
  <c r="M9" i="2"/>
  <c r="M8" i="2"/>
  <c r="N4" i="2"/>
  <c r="M151" i="2"/>
  <c r="N151" i="2"/>
  <c r="M11" i="2"/>
  <c r="N11" i="2"/>
  <c r="N23" i="1"/>
  <c r="E448" i="1"/>
  <c r="N288" i="1"/>
  <c r="M288" i="1"/>
  <c r="N225" i="1"/>
  <c r="D542" i="1"/>
  <c r="H1015" i="1"/>
  <c r="G1015" i="1"/>
  <c r="H1014" i="1"/>
  <c r="G1014" i="1"/>
  <c r="H1013" i="1"/>
  <c r="G1013" i="1"/>
  <c r="H1012" i="1"/>
  <c r="G1012" i="1"/>
  <c r="H1011" i="1"/>
  <c r="G1011" i="1"/>
  <c r="H1010" i="1"/>
  <c r="G1010" i="1"/>
  <c r="H1009" i="1"/>
  <c r="G1009" i="1"/>
  <c r="H1008" i="1"/>
  <c r="G1008" i="1"/>
  <c r="H1007" i="1"/>
  <c r="G1007" i="1"/>
  <c r="H1006" i="1"/>
  <c r="G1006" i="1"/>
  <c r="H1005" i="1"/>
  <c r="G1005" i="1"/>
  <c r="H1004" i="1"/>
  <c r="G1004" i="1"/>
  <c r="H1003" i="1"/>
  <c r="G1003" i="1"/>
  <c r="H1002" i="1"/>
  <c r="G1002" i="1"/>
  <c r="H1001" i="1"/>
  <c r="G1001" i="1"/>
  <c r="H1000" i="1"/>
  <c r="G1000" i="1"/>
  <c r="H999" i="1"/>
  <c r="G999" i="1"/>
  <c r="H998" i="1"/>
  <c r="G998" i="1"/>
  <c r="H997" i="1"/>
  <c r="G997" i="1"/>
  <c r="H996" i="1"/>
  <c r="G996" i="1"/>
  <c r="H995" i="1"/>
  <c r="G995" i="1"/>
  <c r="H994" i="1"/>
  <c r="G994" i="1"/>
  <c r="H993" i="1"/>
  <c r="G993" i="1"/>
  <c r="H992" i="1"/>
  <c r="G992" i="1"/>
  <c r="H991" i="1"/>
  <c r="G991" i="1"/>
  <c r="H990" i="1"/>
  <c r="G990" i="1"/>
  <c r="H989" i="1"/>
  <c r="G989" i="1"/>
  <c r="H988" i="1"/>
  <c r="G988" i="1"/>
  <c r="H987" i="1"/>
  <c r="G987" i="1"/>
  <c r="H986" i="1"/>
  <c r="G986" i="1"/>
  <c r="H985" i="1"/>
  <c r="G985" i="1"/>
  <c r="H984" i="1"/>
  <c r="G984" i="1"/>
  <c r="H983" i="1"/>
  <c r="G983" i="1"/>
  <c r="H982" i="1"/>
  <c r="G982" i="1"/>
  <c r="H981" i="1"/>
  <c r="G981" i="1"/>
  <c r="H980" i="1"/>
  <c r="G980" i="1"/>
  <c r="H979" i="1"/>
  <c r="G979" i="1"/>
  <c r="H978" i="1"/>
  <c r="G978" i="1"/>
  <c r="E978" i="1"/>
  <c r="D978" i="1"/>
  <c r="H977" i="1"/>
  <c r="G977" i="1"/>
  <c r="H976" i="1"/>
  <c r="G976" i="1"/>
  <c r="H975" i="1"/>
  <c r="G975" i="1"/>
  <c r="H974" i="1"/>
  <c r="G974" i="1"/>
  <c r="H973" i="1"/>
  <c r="G973" i="1"/>
  <c r="H972" i="1"/>
  <c r="G972" i="1"/>
  <c r="H971" i="1"/>
  <c r="G971" i="1"/>
  <c r="H970" i="1"/>
  <c r="G970" i="1"/>
  <c r="H969" i="1"/>
  <c r="G969" i="1"/>
  <c r="H968" i="1"/>
  <c r="G968" i="1"/>
  <c r="H967" i="1"/>
  <c r="G967" i="1"/>
  <c r="H966" i="1"/>
  <c r="G966" i="1"/>
  <c r="H965" i="1"/>
  <c r="G965" i="1"/>
  <c r="H964" i="1"/>
  <c r="G964" i="1"/>
  <c r="H963" i="1"/>
  <c r="G963" i="1"/>
  <c r="H962" i="1"/>
  <c r="G962" i="1"/>
  <c r="H961" i="1"/>
  <c r="G961" i="1"/>
  <c r="H960" i="1"/>
  <c r="G960" i="1"/>
  <c r="H959" i="1"/>
  <c r="G959" i="1"/>
  <c r="H958" i="1"/>
  <c r="G958" i="1"/>
  <c r="H957" i="1"/>
  <c r="G957" i="1"/>
  <c r="H956" i="1"/>
  <c r="G956" i="1"/>
  <c r="H955" i="1"/>
  <c r="G955" i="1"/>
  <c r="H954" i="1"/>
  <c r="G954" i="1"/>
  <c r="H953" i="1"/>
  <c r="G953" i="1"/>
  <c r="H952" i="1"/>
  <c r="G952" i="1"/>
  <c r="H951" i="1"/>
  <c r="G951" i="1"/>
  <c r="H950" i="1"/>
  <c r="G950" i="1"/>
  <c r="H949" i="1"/>
  <c r="G949" i="1"/>
  <c r="H948" i="1"/>
  <c r="G948" i="1"/>
  <c r="H947" i="1"/>
  <c r="G947" i="1"/>
  <c r="H946" i="1"/>
  <c r="G946" i="1"/>
  <c r="H945" i="1"/>
  <c r="G945" i="1"/>
  <c r="H944" i="1"/>
  <c r="G944" i="1"/>
  <c r="H943" i="1"/>
  <c r="G943" i="1"/>
  <c r="H942" i="1"/>
  <c r="G942" i="1"/>
  <c r="H941" i="1"/>
  <c r="G941" i="1"/>
  <c r="H940" i="1"/>
  <c r="G940" i="1"/>
  <c r="H939" i="1"/>
  <c r="G939" i="1"/>
  <c r="H938" i="1"/>
  <c r="G938" i="1"/>
  <c r="H937" i="1"/>
  <c r="G937" i="1"/>
  <c r="H936" i="1"/>
  <c r="G936" i="1"/>
  <c r="H935" i="1"/>
  <c r="G935" i="1"/>
  <c r="H934" i="1"/>
  <c r="G934" i="1"/>
  <c r="H933" i="1"/>
  <c r="G933" i="1"/>
  <c r="H932" i="1"/>
  <c r="G932" i="1"/>
  <c r="H931" i="1"/>
  <c r="G931" i="1"/>
  <c r="H930" i="1"/>
  <c r="G930" i="1"/>
  <c r="H929" i="1"/>
  <c r="G929" i="1"/>
  <c r="H928" i="1"/>
  <c r="G928" i="1"/>
  <c r="H927" i="1"/>
  <c r="G927" i="1"/>
  <c r="H926" i="1"/>
  <c r="G926" i="1"/>
  <c r="H925" i="1"/>
  <c r="G925" i="1"/>
  <c r="H924" i="1"/>
  <c r="G924" i="1"/>
  <c r="H923" i="1"/>
  <c r="G923" i="1"/>
  <c r="H922" i="1"/>
  <c r="G922" i="1"/>
  <c r="H921" i="1"/>
  <c r="G921" i="1"/>
  <c r="H920" i="1"/>
  <c r="G920" i="1"/>
  <c r="H919" i="1"/>
  <c r="G919" i="1"/>
  <c r="H918" i="1"/>
  <c r="G918" i="1"/>
  <c r="H917" i="1"/>
  <c r="G917" i="1"/>
  <c r="H916" i="1"/>
  <c r="G916" i="1"/>
  <c r="H915" i="1"/>
  <c r="G915" i="1"/>
  <c r="H914" i="1"/>
  <c r="G914" i="1"/>
  <c r="H913" i="1"/>
  <c r="G913" i="1"/>
  <c r="H912" i="1"/>
  <c r="G912" i="1"/>
  <c r="H911" i="1"/>
  <c r="G911" i="1"/>
  <c r="H910" i="1"/>
  <c r="G910" i="1"/>
  <c r="H909" i="1"/>
  <c r="G909" i="1"/>
  <c r="H908" i="1"/>
  <c r="G908" i="1"/>
  <c r="H907" i="1"/>
  <c r="G907" i="1"/>
  <c r="H906" i="1"/>
  <c r="G906" i="1"/>
  <c r="H905" i="1"/>
  <c r="G905" i="1"/>
  <c r="H904" i="1"/>
  <c r="G904" i="1"/>
  <c r="H903" i="1"/>
  <c r="G903" i="1"/>
  <c r="H902" i="1"/>
  <c r="G902" i="1"/>
  <c r="H901" i="1"/>
  <c r="G901" i="1"/>
  <c r="H900" i="1"/>
  <c r="G900" i="1"/>
  <c r="H899" i="1"/>
  <c r="G899" i="1"/>
  <c r="H898" i="1"/>
  <c r="G898" i="1"/>
  <c r="H897" i="1"/>
  <c r="G897" i="1"/>
  <c r="H896" i="1"/>
  <c r="G896" i="1"/>
  <c r="H895" i="1"/>
  <c r="G895" i="1"/>
  <c r="H894" i="1"/>
  <c r="G894" i="1"/>
  <c r="H893" i="1"/>
  <c r="G893" i="1"/>
  <c r="H892" i="1"/>
  <c r="G892" i="1"/>
  <c r="H891" i="1"/>
  <c r="G891" i="1"/>
  <c r="H890" i="1"/>
  <c r="G890" i="1"/>
  <c r="H889" i="1"/>
  <c r="G889" i="1"/>
  <c r="H888" i="1"/>
  <c r="G888" i="1"/>
  <c r="H887" i="1"/>
  <c r="G887" i="1"/>
  <c r="H886" i="1"/>
  <c r="G886" i="1"/>
  <c r="H885" i="1"/>
  <c r="G885" i="1"/>
  <c r="H884" i="1"/>
  <c r="G884" i="1"/>
  <c r="H883" i="1"/>
  <c r="G883" i="1"/>
  <c r="H882" i="1"/>
  <c r="G882" i="1"/>
  <c r="H881" i="1"/>
  <c r="G881" i="1"/>
  <c r="H880" i="1"/>
  <c r="G880" i="1"/>
  <c r="H879" i="1"/>
  <c r="G879" i="1"/>
  <c r="H878" i="1"/>
  <c r="G878" i="1"/>
  <c r="H877" i="1"/>
  <c r="G877" i="1"/>
  <c r="H876" i="1"/>
  <c r="G876" i="1"/>
  <c r="H875" i="1"/>
  <c r="G875" i="1"/>
  <c r="H874" i="1"/>
  <c r="G874" i="1"/>
  <c r="H873" i="1"/>
  <c r="G873" i="1"/>
  <c r="H872" i="1"/>
  <c r="G872" i="1"/>
  <c r="H871" i="1"/>
  <c r="G871" i="1"/>
  <c r="H870" i="1"/>
  <c r="G870" i="1"/>
  <c r="H869" i="1"/>
  <c r="G869" i="1"/>
  <c r="H868" i="1"/>
  <c r="G868" i="1"/>
  <c r="H867" i="1"/>
  <c r="G867" i="1"/>
  <c r="H866" i="1"/>
  <c r="G866" i="1"/>
  <c r="H865" i="1"/>
  <c r="G865" i="1"/>
  <c r="H864" i="1"/>
  <c r="G864" i="1"/>
  <c r="H863" i="1"/>
  <c r="G863" i="1"/>
  <c r="H862" i="1"/>
  <c r="G862" i="1"/>
  <c r="H861" i="1"/>
  <c r="G861" i="1"/>
  <c r="H860" i="1"/>
  <c r="G860" i="1"/>
  <c r="H859" i="1"/>
  <c r="G859" i="1"/>
  <c r="H858" i="1"/>
  <c r="G858" i="1"/>
  <c r="H857" i="1"/>
  <c r="G857" i="1"/>
  <c r="H856" i="1"/>
  <c r="G856" i="1"/>
  <c r="H855" i="1"/>
  <c r="G855" i="1"/>
  <c r="H854" i="1"/>
  <c r="G854" i="1"/>
  <c r="H853" i="1"/>
  <c r="G853" i="1"/>
  <c r="H852" i="1"/>
  <c r="G852" i="1"/>
  <c r="H851" i="1"/>
  <c r="G851" i="1"/>
  <c r="H850" i="1"/>
  <c r="G850" i="1"/>
  <c r="H849" i="1"/>
  <c r="G849" i="1"/>
  <c r="H848" i="1"/>
  <c r="G848" i="1"/>
  <c r="H847" i="1"/>
  <c r="G847" i="1"/>
  <c r="H846" i="1"/>
  <c r="G846" i="1"/>
  <c r="H845" i="1"/>
  <c r="G845" i="1"/>
  <c r="H844" i="1"/>
  <c r="G844" i="1"/>
  <c r="H843" i="1"/>
  <c r="G843" i="1"/>
  <c r="H842" i="1"/>
  <c r="G842" i="1"/>
  <c r="H841" i="1"/>
  <c r="G841" i="1"/>
  <c r="H840" i="1"/>
  <c r="G840" i="1"/>
  <c r="H839" i="1"/>
  <c r="G839" i="1"/>
  <c r="H838" i="1"/>
  <c r="G838" i="1"/>
  <c r="H837" i="1"/>
  <c r="G837" i="1"/>
  <c r="H836" i="1"/>
  <c r="G836" i="1"/>
  <c r="H835" i="1"/>
  <c r="G835" i="1"/>
  <c r="H834" i="1"/>
  <c r="G834" i="1"/>
  <c r="H833" i="1"/>
  <c r="G833" i="1"/>
  <c r="H832" i="1"/>
  <c r="G832" i="1"/>
  <c r="H831" i="1"/>
  <c r="G831" i="1"/>
  <c r="H830" i="1"/>
  <c r="G830" i="1"/>
  <c r="H829" i="1"/>
  <c r="G829" i="1"/>
  <c r="H828" i="1"/>
  <c r="G828" i="1"/>
  <c r="H827" i="1"/>
  <c r="G827" i="1"/>
  <c r="H826" i="1"/>
  <c r="G826" i="1"/>
  <c r="H825" i="1"/>
  <c r="G825" i="1"/>
  <c r="H824" i="1"/>
  <c r="G824" i="1"/>
  <c r="H823" i="1"/>
  <c r="G823" i="1"/>
  <c r="H822" i="1"/>
  <c r="G822" i="1"/>
  <c r="H821" i="1"/>
  <c r="G821" i="1"/>
  <c r="H820" i="1"/>
  <c r="G820" i="1"/>
  <c r="H819" i="1"/>
  <c r="G819" i="1"/>
  <c r="H818" i="1"/>
  <c r="G818" i="1"/>
  <c r="H817" i="1"/>
  <c r="G817" i="1"/>
  <c r="H816" i="1"/>
  <c r="G816" i="1"/>
  <c r="H815" i="1"/>
  <c r="G815" i="1"/>
  <c r="H814" i="1"/>
  <c r="G814" i="1"/>
  <c r="H813" i="1"/>
  <c r="G813" i="1"/>
  <c r="H812" i="1"/>
  <c r="G812" i="1"/>
  <c r="H811" i="1"/>
  <c r="G811" i="1"/>
  <c r="H810" i="1"/>
  <c r="G810" i="1"/>
  <c r="H809" i="1"/>
  <c r="G809" i="1"/>
  <c r="H808" i="1"/>
  <c r="G808" i="1"/>
  <c r="H807" i="1"/>
  <c r="G807" i="1"/>
  <c r="H806" i="1"/>
  <c r="G806" i="1"/>
  <c r="H805" i="1"/>
  <c r="G805" i="1"/>
  <c r="H804" i="1"/>
  <c r="G804" i="1"/>
  <c r="H803" i="1"/>
  <c r="G803" i="1"/>
  <c r="H802" i="1"/>
  <c r="G802" i="1"/>
  <c r="H801" i="1"/>
  <c r="G801" i="1"/>
  <c r="H800" i="1"/>
  <c r="G800" i="1"/>
  <c r="H799" i="1"/>
  <c r="G799" i="1"/>
  <c r="H798" i="1"/>
  <c r="G798" i="1"/>
  <c r="H797" i="1"/>
  <c r="G797" i="1"/>
  <c r="H796" i="1"/>
  <c r="G796" i="1"/>
  <c r="H795" i="1"/>
  <c r="G795" i="1"/>
  <c r="H794" i="1"/>
  <c r="G794" i="1"/>
  <c r="H793" i="1"/>
  <c r="G793" i="1"/>
  <c r="H792" i="1"/>
  <c r="G792" i="1"/>
  <c r="H791" i="1"/>
  <c r="G791" i="1"/>
  <c r="H790" i="1"/>
  <c r="G790" i="1"/>
  <c r="H789" i="1"/>
  <c r="G789" i="1"/>
  <c r="H788" i="1"/>
  <c r="G788" i="1"/>
  <c r="H787" i="1"/>
  <c r="G787" i="1"/>
  <c r="H786" i="1"/>
  <c r="G786" i="1"/>
  <c r="H785" i="1"/>
  <c r="G785" i="1"/>
  <c r="H784" i="1"/>
  <c r="G784" i="1"/>
  <c r="H783" i="1"/>
  <c r="G783" i="1"/>
  <c r="H782" i="1"/>
  <c r="G782" i="1"/>
  <c r="H781" i="1"/>
  <c r="G781" i="1"/>
  <c r="H780" i="1"/>
  <c r="G780" i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G773" i="1"/>
  <c r="H772" i="1"/>
  <c r="G772" i="1"/>
  <c r="H771" i="1"/>
  <c r="G771" i="1"/>
  <c r="H770" i="1"/>
  <c r="G770" i="1"/>
  <c r="H769" i="1"/>
  <c r="G769" i="1"/>
  <c r="H768" i="1"/>
  <c r="G768" i="1"/>
  <c r="H767" i="1"/>
  <c r="G767" i="1"/>
  <c r="H766" i="1"/>
  <c r="G766" i="1"/>
  <c r="H765" i="1"/>
  <c r="G765" i="1"/>
  <c r="H764" i="1"/>
  <c r="G764" i="1"/>
  <c r="H763" i="1"/>
  <c r="G763" i="1"/>
  <c r="H762" i="1"/>
  <c r="G762" i="1"/>
  <c r="H761" i="1"/>
  <c r="G761" i="1"/>
  <c r="H760" i="1"/>
  <c r="G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G747" i="1"/>
  <c r="H746" i="1"/>
  <c r="G746" i="1"/>
  <c r="H745" i="1"/>
  <c r="G745" i="1"/>
  <c r="H744" i="1"/>
  <c r="G744" i="1"/>
  <c r="H743" i="1"/>
  <c r="G743" i="1"/>
  <c r="H742" i="1"/>
  <c r="G742" i="1"/>
  <c r="H741" i="1"/>
  <c r="G741" i="1"/>
  <c r="H740" i="1"/>
  <c r="G740" i="1"/>
  <c r="H739" i="1"/>
  <c r="G739" i="1"/>
  <c r="H738" i="1"/>
  <c r="G738" i="1"/>
  <c r="H737" i="1"/>
  <c r="G737" i="1"/>
  <c r="H736" i="1"/>
  <c r="G736" i="1"/>
  <c r="H735" i="1"/>
  <c r="G735" i="1"/>
  <c r="H734" i="1"/>
  <c r="G734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H706" i="1"/>
  <c r="G706" i="1"/>
  <c r="H705" i="1"/>
  <c r="G705" i="1"/>
  <c r="H704" i="1"/>
  <c r="G704" i="1"/>
  <c r="H703" i="1"/>
  <c r="G703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J978" i="1"/>
  <c r="J1015" i="1"/>
  <c r="E1015" i="1"/>
  <c r="D1015" i="1"/>
  <c r="J1014" i="1"/>
  <c r="E1014" i="1"/>
  <c r="D1014" i="1"/>
  <c r="J1013" i="1"/>
  <c r="E1013" i="1"/>
  <c r="D1013" i="1"/>
  <c r="J1012" i="1"/>
  <c r="E1012" i="1"/>
  <c r="D1012" i="1"/>
  <c r="J1011" i="1"/>
  <c r="E1011" i="1"/>
  <c r="D1011" i="1"/>
  <c r="J1010" i="1"/>
  <c r="E1010" i="1"/>
  <c r="D1010" i="1"/>
  <c r="J1009" i="1"/>
  <c r="E1009" i="1"/>
  <c r="D1009" i="1"/>
  <c r="J1008" i="1"/>
  <c r="E1008" i="1"/>
  <c r="D1008" i="1"/>
  <c r="J1007" i="1"/>
  <c r="E1007" i="1"/>
  <c r="D1007" i="1"/>
  <c r="J1006" i="1"/>
  <c r="E1006" i="1"/>
  <c r="D1006" i="1"/>
  <c r="J1005" i="1"/>
  <c r="E1005" i="1"/>
  <c r="D1005" i="1"/>
  <c r="J1004" i="1"/>
  <c r="E1004" i="1"/>
  <c r="D1004" i="1"/>
  <c r="J1003" i="1"/>
  <c r="E1003" i="1"/>
  <c r="D1003" i="1"/>
  <c r="J1002" i="1"/>
  <c r="E1002" i="1"/>
  <c r="D1002" i="1"/>
  <c r="J1001" i="1"/>
  <c r="E1001" i="1"/>
  <c r="D1001" i="1"/>
  <c r="J1000" i="1"/>
  <c r="E1000" i="1"/>
  <c r="D1000" i="1"/>
  <c r="J999" i="1"/>
  <c r="E999" i="1"/>
  <c r="D999" i="1"/>
  <c r="J998" i="1"/>
  <c r="E998" i="1"/>
  <c r="D998" i="1"/>
  <c r="J997" i="1"/>
  <c r="E997" i="1"/>
  <c r="D997" i="1"/>
  <c r="J996" i="1"/>
  <c r="E996" i="1"/>
  <c r="D996" i="1"/>
  <c r="J995" i="1"/>
  <c r="E995" i="1"/>
  <c r="D995" i="1"/>
  <c r="J994" i="1"/>
  <c r="E994" i="1"/>
  <c r="D994" i="1"/>
  <c r="J993" i="1"/>
  <c r="E993" i="1"/>
  <c r="D993" i="1"/>
  <c r="J992" i="1"/>
  <c r="E992" i="1"/>
  <c r="D992" i="1"/>
  <c r="J991" i="1"/>
  <c r="E991" i="1"/>
  <c r="D991" i="1"/>
  <c r="J990" i="1"/>
  <c r="E990" i="1"/>
  <c r="D990" i="1"/>
  <c r="J989" i="1"/>
  <c r="E989" i="1"/>
  <c r="D989" i="1"/>
  <c r="J988" i="1"/>
  <c r="E988" i="1"/>
  <c r="D988" i="1"/>
  <c r="J987" i="1"/>
  <c r="E987" i="1"/>
  <c r="D987" i="1"/>
  <c r="J986" i="1"/>
  <c r="E986" i="1"/>
  <c r="D986" i="1"/>
  <c r="J985" i="1"/>
  <c r="E985" i="1"/>
  <c r="D985" i="1"/>
  <c r="J984" i="1"/>
  <c r="E984" i="1"/>
  <c r="D984" i="1"/>
  <c r="J983" i="1"/>
  <c r="E983" i="1"/>
  <c r="D983" i="1"/>
  <c r="J982" i="1"/>
  <c r="E982" i="1"/>
  <c r="D982" i="1"/>
  <c r="J981" i="1"/>
  <c r="E981" i="1"/>
  <c r="D981" i="1"/>
  <c r="J980" i="1"/>
  <c r="E980" i="1"/>
  <c r="D980" i="1"/>
  <c r="J979" i="1"/>
  <c r="E979" i="1"/>
  <c r="D979" i="1"/>
  <c r="J977" i="1"/>
  <c r="E977" i="1"/>
  <c r="D977" i="1"/>
  <c r="J976" i="1"/>
  <c r="E976" i="1"/>
  <c r="D976" i="1"/>
  <c r="J975" i="1"/>
  <c r="E975" i="1"/>
  <c r="D975" i="1"/>
  <c r="J974" i="1"/>
  <c r="E974" i="1"/>
  <c r="D974" i="1"/>
  <c r="J973" i="1"/>
  <c r="E973" i="1"/>
  <c r="D973" i="1"/>
  <c r="J972" i="1"/>
  <c r="E972" i="1"/>
  <c r="D972" i="1"/>
  <c r="J971" i="1"/>
  <c r="E971" i="1"/>
  <c r="D971" i="1"/>
  <c r="J970" i="1"/>
  <c r="E970" i="1"/>
  <c r="D970" i="1"/>
  <c r="J969" i="1"/>
  <c r="E969" i="1"/>
  <c r="D969" i="1"/>
  <c r="J968" i="1"/>
  <c r="E968" i="1"/>
  <c r="D968" i="1"/>
  <c r="J967" i="1"/>
  <c r="E967" i="1"/>
  <c r="D967" i="1"/>
  <c r="J966" i="1"/>
  <c r="E966" i="1"/>
  <c r="D966" i="1"/>
  <c r="J965" i="1"/>
  <c r="E965" i="1"/>
  <c r="D965" i="1"/>
  <c r="J964" i="1"/>
  <c r="E964" i="1"/>
  <c r="D964" i="1"/>
  <c r="J963" i="1"/>
  <c r="E963" i="1"/>
  <c r="D963" i="1"/>
  <c r="J962" i="1"/>
  <c r="E962" i="1"/>
  <c r="D962" i="1"/>
  <c r="J961" i="1"/>
  <c r="E961" i="1"/>
  <c r="D961" i="1"/>
  <c r="J960" i="1"/>
  <c r="E960" i="1"/>
  <c r="D960" i="1"/>
  <c r="J959" i="1"/>
  <c r="E959" i="1"/>
  <c r="D959" i="1"/>
  <c r="J958" i="1"/>
  <c r="E958" i="1"/>
  <c r="D958" i="1"/>
  <c r="J957" i="1"/>
  <c r="E957" i="1"/>
  <c r="D957" i="1"/>
  <c r="J956" i="1"/>
  <c r="E956" i="1"/>
  <c r="D956" i="1"/>
  <c r="J955" i="1"/>
  <c r="E955" i="1"/>
  <c r="D955" i="1"/>
  <c r="J954" i="1"/>
  <c r="E954" i="1"/>
  <c r="D954" i="1"/>
  <c r="J953" i="1"/>
  <c r="E953" i="1"/>
  <c r="D953" i="1"/>
  <c r="J952" i="1"/>
  <c r="E952" i="1"/>
  <c r="D952" i="1"/>
  <c r="J951" i="1"/>
  <c r="E951" i="1"/>
  <c r="D951" i="1"/>
  <c r="J950" i="1"/>
  <c r="E950" i="1"/>
  <c r="D950" i="1"/>
  <c r="J949" i="1"/>
  <c r="E949" i="1"/>
  <c r="D949" i="1"/>
  <c r="J948" i="1"/>
  <c r="E948" i="1"/>
  <c r="D948" i="1"/>
  <c r="J947" i="1"/>
  <c r="E947" i="1"/>
  <c r="D947" i="1"/>
  <c r="J946" i="1"/>
  <c r="E946" i="1"/>
  <c r="D946" i="1"/>
  <c r="J945" i="1"/>
  <c r="E945" i="1"/>
  <c r="D945" i="1"/>
  <c r="J944" i="1"/>
  <c r="E944" i="1"/>
  <c r="D944" i="1"/>
  <c r="J943" i="1"/>
  <c r="E943" i="1"/>
  <c r="D943" i="1"/>
  <c r="J942" i="1"/>
  <c r="E942" i="1"/>
  <c r="D942" i="1"/>
  <c r="J941" i="1"/>
  <c r="E941" i="1"/>
  <c r="D941" i="1"/>
  <c r="J940" i="1"/>
  <c r="E940" i="1"/>
  <c r="D940" i="1"/>
  <c r="J939" i="1"/>
  <c r="E939" i="1"/>
  <c r="D939" i="1"/>
  <c r="J938" i="1"/>
  <c r="E938" i="1"/>
  <c r="D938" i="1"/>
  <c r="J937" i="1"/>
  <c r="E937" i="1"/>
  <c r="D937" i="1"/>
  <c r="J936" i="1"/>
  <c r="E936" i="1"/>
  <c r="D936" i="1"/>
  <c r="J935" i="1"/>
  <c r="E935" i="1"/>
  <c r="D935" i="1"/>
  <c r="J934" i="1"/>
  <c r="E934" i="1"/>
  <c r="D934" i="1"/>
  <c r="J933" i="1"/>
  <c r="E933" i="1"/>
  <c r="D933" i="1"/>
  <c r="J932" i="1"/>
  <c r="E932" i="1"/>
  <c r="D932" i="1"/>
  <c r="J931" i="1"/>
  <c r="E931" i="1"/>
  <c r="D931" i="1"/>
  <c r="J930" i="1"/>
  <c r="E930" i="1"/>
  <c r="D930" i="1"/>
  <c r="J929" i="1"/>
  <c r="E929" i="1"/>
  <c r="D929" i="1"/>
  <c r="J928" i="1"/>
  <c r="E928" i="1"/>
  <c r="D928" i="1"/>
  <c r="J927" i="1"/>
  <c r="E927" i="1"/>
  <c r="D927" i="1"/>
  <c r="J926" i="1"/>
  <c r="E926" i="1"/>
  <c r="D926" i="1"/>
  <c r="J925" i="1"/>
  <c r="E925" i="1"/>
  <c r="D925" i="1"/>
  <c r="J924" i="1"/>
  <c r="E924" i="1"/>
  <c r="D924" i="1"/>
  <c r="J923" i="1"/>
  <c r="E923" i="1"/>
  <c r="D923" i="1"/>
  <c r="J922" i="1"/>
  <c r="E922" i="1"/>
  <c r="D922" i="1"/>
  <c r="J921" i="1"/>
  <c r="E921" i="1"/>
  <c r="D921" i="1"/>
  <c r="J920" i="1"/>
  <c r="E920" i="1"/>
  <c r="D920" i="1"/>
  <c r="J919" i="1"/>
  <c r="E919" i="1"/>
  <c r="D919" i="1"/>
  <c r="J918" i="1"/>
  <c r="E918" i="1"/>
  <c r="D918" i="1"/>
  <c r="J917" i="1"/>
  <c r="E917" i="1"/>
  <c r="D917" i="1"/>
  <c r="J916" i="1"/>
  <c r="E916" i="1"/>
  <c r="D916" i="1"/>
  <c r="J915" i="1"/>
  <c r="E915" i="1"/>
  <c r="D915" i="1"/>
  <c r="J914" i="1"/>
  <c r="E914" i="1"/>
  <c r="D914" i="1"/>
  <c r="J913" i="1"/>
  <c r="E913" i="1"/>
  <c r="D913" i="1"/>
  <c r="J912" i="1"/>
  <c r="E912" i="1"/>
  <c r="D912" i="1"/>
  <c r="J911" i="1"/>
  <c r="E911" i="1"/>
  <c r="D911" i="1"/>
  <c r="J910" i="1"/>
  <c r="E910" i="1"/>
  <c r="D910" i="1"/>
  <c r="J909" i="1"/>
  <c r="E909" i="1"/>
  <c r="D909" i="1"/>
  <c r="J908" i="1"/>
  <c r="E908" i="1"/>
  <c r="D908" i="1"/>
  <c r="J907" i="1"/>
  <c r="E907" i="1"/>
  <c r="D907" i="1"/>
  <c r="J906" i="1"/>
  <c r="E906" i="1"/>
  <c r="D906" i="1"/>
  <c r="J905" i="1"/>
  <c r="E905" i="1"/>
  <c r="D905" i="1"/>
  <c r="J904" i="1"/>
  <c r="E904" i="1"/>
  <c r="D904" i="1"/>
  <c r="J903" i="1"/>
  <c r="E903" i="1"/>
  <c r="D903" i="1"/>
  <c r="J902" i="1"/>
  <c r="E902" i="1"/>
  <c r="D902" i="1"/>
  <c r="J901" i="1"/>
  <c r="E901" i="1"/>
  <c r="D901" i="1"/>
  <c r="J900" i="1"/>
  <c r="E900" i="1"/>
  <c r="D900" i="1"/>
  <c r="J899" i="1"/>
  <c r="E899" i="1"/>
  <c r="D899" i="1"/>
  <c r="J898" i="1"/>
  <c r="E898" i="1"/>
  <c r="D898" i="1"/>
  <c r="J897" i="1"/>
  <c r="E897" i="1"/>
  <c r="D897" i="1"/>
  <c r="J896" i="1"/>
  <c r="E896" i="1"/>
  <c r="D896" i="1"/>
  <c r="J895" i="1"/>
  <c r="E895" i="1"/>
  <c r="D895" i="1"/>
  <c r="J894" i="1"/>
  <c r="E894" i="1"/>
  <c r="D894" i="1"/>
  <c r="J893" i="1"/>
  <c r="E893" i="1"/>
  <c r="D893" i="1"/>
  <c r="J892" i="1"/>
  <c r="E892" i="1"/>
  <c r="D892" i="1"/>
  <c r="J891" i="1"/>
  <c r="E891" i="1"/>
  <c r="D891" i="1"/>
  <c r="J890" i="1"/>
  <c r="E890" i="1"/>
  <c r="D890" i="1"/>
  <c r="J889" i="1"/>
  <c r="E889" i="1"/>
  <c r="D889" i="1"/>
  <c r="J888" i="1"/>
  <c r="E888" i="1"/>
  <c r="D888" i="1"/>
  <c r="J887" i="1"/>
  <c r="E887" i="1"/>
  <c r="D887" i="1"/>
  <c r="J886" i="1"/>
  <c r="E886" i="1"/>
  <c r="D886" i="1"/>
  <c r="J885" i="1"/>
  <c r="E885" i="1"/>
  <c r="D885" i="1"/>
  <c r="J884" i="1"/>
  <c r="E884" i="1"/>
  <c r="D884" i="1"/>
  <c r="J883" i="1"/>
  <c r="E883" i="1"/>
  <c r="D883" i="1"/>
  <c r="J882" i="1"/>
  <c r="E882" i="1"/>
  <c r="D882" i="1"/>
  <c r="J881" i="1"/>
  <c r="E881" i="1"/>
  <c r="D881" i="1"/>
  <c r="J880" i="1"/>
  <c r="E880" i="1"/>
  <c r="D880" i="1"/>
  <c r="J879" i="1"/>
  <c r="E879" i="1"/>
  <c r="D879" i="1"/>
  <c r="J878" i="1"/>
  <c r="E878" i="1"/>
  <c r="D878" i="1"/>
  <c r="J877" i="1"/>
  <c r="E877" i="1"/>
  <c r="D877" i="1"/>
  <c r="J876" i="1"/>
  <c r="E876" i="1"/>
  <c r="D876" i="1"/>
  <c r="J875" i="1"/>
  <c r="E875" i="1"/>
  <c r="D875" i="1"/>
  <c r="J874" i="1"/>
  <c r="E874" i="1"/>
  <c r="D874" i="1"/>
  <c r="J873" i="1"/>
  <c r="E873" i="1"/>
  <c r="D873" i="1"/>
  <c r="J872" i="1"/>
  <c r="E872" i="1"/>
  <c r="D872" i="1"/>
  <c r="J871" i="1"/>
  <c r="E871" i="1"/>
  <c r="D871" i="1"/>
  <c r="J870" i="1"/>
  <c r="E870" i="1"/>
  <c r="D870" i="1"/>
  <c r="J869" i="1"/>
  <c r="E869" i="1"/>
  <c r="D869" i="1"/>
  <c r="J868" i="1"/>
  <c r="E868" i="1"/>
  <c r="D868" i="1"/>
  <c r="J867" i="1"/>
  <c r="E867" i="1"/>
  <c r="D867" i="1"/>
  <c r="J866" i="1"/>
  <c r="E866" i="1"/>
  <c r="D866" i="1"/>
  <c r="J865" i="1"/>
  <c r="E865" i="1"/>
  <c r="D865" i="1"/>
  <c r="J864" i="1"/>
  <c r="E864" i="1"/>
  <c r="D864" i="1"/>
  <c r="J863" i="1"/>
  <c r="E863" i="1"/>
  <c r="D863" i="1"/>
  <c r="J862" i="1"/>
  <c r="E862" i="1"/>
  <c r="D862" i="1"/>
  <c r="J861" i="1"/>
  <c r="E861" i="1"/>
  <c r="D861" i="1"/>
  <c r="J860" i="1"/>
  <c r="E860" i="1"/>
  <c r="D860" i="1"/>
  <c r="J859" i="1"/>
  <c r="E859" i="1"/>
  <c r="D859" i="1"/>
  <c r="J858" i="1"/>
  <c r="E858" i="1"/>
  <c r="D858" i="1"/>
  <c r="J857" i="1"/>
  <c r="E857" i="1"/>
  <c r="D857" i="1"/>
  <c r="J856" i="1"/>
  <c r="E856" i="1"/>
  <c r="D856" i="1"/>
  <c r="J855" i="1"/>
  <c r="E855" i="1"/>
  <c r="D855" i="1"/>
  <c r="J854" i="1"/>
  <c r="E854" i="1"/>
  <c r="D854" i="1"/>
  <c r="J853" i="1"/>
  <c r="E853" i="1"/>
  <c r="D853" i="1"/>
  <c r="J852" i="1"/>
  <c r="E852" i="1"/>
  <c r="D852" i="1"/>
  <c r="J851" i="1"/>
  <c r="E851" i="1"/>
  <c r="D851" i="1"/>
  <c r="J850" i="1"/>
  <c r="E850" i="1"/>
  <c r="D850" i="1"/>
  <c r="J849" i="1"/>
  <c r="E849" i="1"/>
  <c r="D849" i="1"/>
  <c r="J848" i="1"/>
  <c r="E848" i="1"/>
  <c r="D848" i="1"/>
  <c r="J847" i="1"/>
  <c r="E847" i="1"/>
  <c r="D847" i="1"/>
  <c r="J846" i="1"/>
  <c r="E846" i="1"/>
  <c r="D846" i="1"/>
  <c r="J845" i="1"/>
  <c r="E845" i="1"/>
  <c r="D845" i="1"/>
  <c r="J844" i="1"/>
  <c r="E844" i="1"/>
  <c r="D844" i="1"/>
  <c r="J843" i="1"/>
  <c r="E843" i="1"/>
  <c r="D843" i="1"/>
  <c r="J842" i="1"/>
  <c r="E842" i="1"/>
  <c r="D842" i="1"/>
  <c r="J841" i="1"/>
  <c r="E841" i="1"/>
  <c r="D841" i="1"/>
  <c r="J840" i="1"/>
  <c r="E840" i="1"/>
  <c r="D840" i="1"/>
  <c r="J839" i="1"/>
  <c r="E839" i="1"/>
  <c r="D839" i="1"/>
  <c r="J838" i="1"/>
  <c r="E838" i="1"/>
  <c r="D838" i="1"/>
  <c r="J837" i="1"/>
  <c r="E837" i="1"/>
  <c r="D837" i="1"/>
  <c r="J836" i="1"/>
  <c r="E836" i="1"/>
  <c r="D836" i="1"/>
  <c r="J835" i="1"/>
  <c r="E835" i="1"/>
  <c r="D835" i="1"/>
  <c r="J834" i="1"/>
  <c r="E834" i="1"/>
  <c r="D834" i="1"/>
  <c r="J833" i="1"/>
  <c r="E833" i="1"/>
  <c r="D833" i="1"/>
  <c r="J832" i="1"/>
  <c r="E832" i="1"/>
  <c r="D832" i="1"/>
  <c r="J831" i="1"/>
  <c r="E831" i="1"/>
  <c r="D831" i="1"/>
  <c r="J830" i="1"/>
  <c r="E830" i="1"/>
  <c r="D830" i="1"/>
  <c r="J829" i="1"/>
  <c r="E829" i="1"/>
  <c r="D829" i="1"/>
  <c r="J828" i="1"/>
  <c r="E828" i="1"/>
  <c r="D828" i="1"/>
  <c r="J827" i="1"/>
  <c r="E827" i="1"/>
  <c r="D827" i="1"/>
  <c r="J826" i="1"/>
  <c r="E826" i="1"/>
  <c r="D826" i="1"/>
  <c r="J825" i="1"/>
  <c r="E825" i="1"/>
  <c r="D825" i="1"/>
  <c r="J824" i="1"/>
  <c r="E824" i="1"/>
  <c r="D824" i="1"/>
  <c r="J823" i="1"/>
  <c r="E823" i="1"/>
  <c r="D823" i="1"/>
  <c r="J822" i="1"/>
  <c r="E822" i="1"/>
  <c r="D822" i="1"/>
  <c r="J821" i="1"/>
  <c r="E821" i="1"/>
  <c r="D821" i="1"/>
  <c r="J820" i="1"/>
  <c r="E820" i="1"/>
  <c r="D820" i="1"/>
  <c r="J819" i="1"/>
  <c r="E819" i="1"/>
  <c r="D819" i="1"/>
  <c r="J818" i="1"/>
  <c r="E818" i="1"/>
  <c r="D818" i="1"/>
  <c r="J817" i="1"/>
  <c r="E817" i="1"/>
  <c r="D817" i="1"/>
  <c r="J816" i="1"/>
  <c r="E816" i="1"/>
  <c r="D816" i="1"/>
  <c r="J815" i="1"/>
  <c r="E815" i="1"/>
  <c r="D815" i="1"/>
  <c r="J814" i="1"/>
  <c r="E814" i="1"/>
  <c r="D814" i="1"/>
  <c r="J813" i="1"/>
  <c r="E813" i="1"/>
  <c r="D813" i="1"/>
  <c r="J812" i="1"/>
  <c r="E812" i="1"/>
  <c r="D812" i="1"/>
  <c r="J811" i="1"/>
  <c r="E811" i="1"/>
  <c r="D811" i="1"/>
  <c r="J810" i="1"/>
  <c r="E810" i="1"/>
  <c r="D810" i="1"/>
  <c r="J809" i="1"/>
  <c r="E809" i="1"/>
  <c r="D809" i="1"/>
  <c r="J808" i="1"/>
  <c r="E808" i="1"/>
  <c r="D808" i="1"/>
  <c r="J807" i="1"/>
  <c r="E807" i="1"/>
  <c r="D807" i="1"/>
  <c r="J806" i="1"/>
  <c r="E806" i="1"/>
  <c r="D806" i="1"/>
  <c r="J805" i="1"/>
  <c r="E805" i="1"/>
  <c r="D805" i="1"/>
  <c r="J804" i="1"/>
  <c r="E804" i="1"/>
  <c r="D804" i="1"/>
  <c r="J803" i="1"/>
  <c r="E803" i="1"/>
  <c r="D803" i="1"/>
  <c r="J802" i="1"/>
  <c r="E802" i="1"/>
  <c r="D802" i="1"/>
  <c r="J801" i="1"/>
  <c r="E801" i="1"/>
  <c r="D801" i="1"/>
  <c r="J800" i="1"/>
  <c r="E800" i="1"/>
  <c r="D800" i="1"/>
  <c r="J799" i="1"/>
  <c r="E799" i="1"/>
  <c r="D799" i="1"/>
  <c r="J798" i="1"/>
  <c r="E798" i="1"/>
  <c r="D798" i="1"/>
  <c r="J797" i="1"/>
  <c r="E797" i="1"/>
  <c r="D797" i="1"/>
  <c r="J796" i="1"/>
  <c r="E796" i="1"/>
  <c r="D796" i="1"/>
  <c r="J795" i="1"/>
  <c r="E795" i="1"/>
  <c r="D795" i="1"/>
  <c r="J794" i="1"/>
  <c r="E794" i="1"/>
  <c r="D794" i="1"/>
  <c r="J793" i="1"/>
  <c r="E793" i="1"/>
  <c r="D793" i="1"/>
  <c r="J792" i="1"/>
  <c r="E792" i="1"/>
  <c r="D792" i="1"/>
  <c r="J791" i="1"/>
  <c r="E791" i="1"/>
  <c r="D791" i="1"/>
  <c r="J790" i="1"/>
  <c r="E790" i="1"/>
  <c r="D790" i="1"/>
  <c r="J789" i="1"/>
  <c r="E789" i="1"/>
  <c r="D789" i="1"/>
  <c r="J788" i="1"/>
  <c r="E788" i="1"/>
  <c r="D788" i="1"/>
  <c r="J787" i="1"/>
  <c r="E787" i="1"/>
  <c r="D787" i="1"/>
  <c r="J786" i="1"/>
  <c r="E786" i="1"/>
  <c r="D786" i="1"/>
  <c r="J785" i="1"/>
  <c r="E785" i="1"/>
  <c r="D785" i="1"/>
  <c r="J784" i="1"/>
  <c r="E784" i="1"/>
  <c r="D784" i="1"/>
  <c r="J783" i="1"/>
  <c r="E783" i="1"/>
  <c r="D783" i="1"/>
  <c r="J782" i="1"/>
  <c r="E782" i="1"/>
  <c r="D782" i="1"/>
  <c r="J781" i="1"/>
  <c r="E781" i="1"/>
  <c r="D781" i="1"/>
  <c r="J780" i="1"/>
  <c r="E780" i="1"/>
  <c r="D780" i="1"/>
  <c r="J779" i="1"/>
  <c r="E779" i="1"/>
  <c r="D779" i="1"/>
  <c r="J778" i="1"/>
  <c r="E778" i="1"/>
  <c r="D778" i="1"/>
  <c r="J777" i="1"/>
  <c r="E777" i="1"/>
  <c r="D777" i="1"/>
  <c r="J776" i="1"/>
  <c r="E776" i="1"/>
  <c r="D776" i="1"/>
  <c r="J775" i="1"/>
  <c r="E775" i="1"/>
  <c r="D775" i="1"/>
  <c r="J774" i="1"/>
  <c r="E774" i="1"/>
  <c r="D774" i="1"/>
  <c r="J773" i="1"/>
  <c r="E773" i="1"/>
  <c r="D773" i="1"/>
  <c r="J772" i="1"/>
  <c r="E772" i="1"/>
  <c r="D772" i="1"/>
  <c r="J771" i="1"/>
  <c r="E771" i="1"/>
  <c r="D771" i="1"/>
  <c r="J770" i="1"/>
  <c r="E770" i="1"/>
  <c r="D770" i="1"/>
  <c r="J769" i="1"/>
  <c r="E769" i="1"/>
  <c r="D769" i="1"/>
  <c r="J768" i="1"/>
  <c r="E768" i="1"/>
  <c r="D768" i="1"/>
  <c r="J767" i="1"/>
  <c r="E767" i="1"/>
  <c r="D767" i="1"/>
  <c r="J766" i="1"/>
  <c r="E766" i="1"/>
  <c r="D766" i="1"/>
  <c r="J765" i="1"/>
  <c r="E765" i="1"/>
  <c r="D765" i="1"/>
  <c r="J764" i="1"/>
  <c r="E764" i="1"/>
  <c r="D764" i="1"/>
  <c r="J763" i="1"/>
  <c r="E763" i="1"/>
  <c r="D763" i="1"/>
  <c r="J762" i="1"/>
  <c r="E762" i="1"/>
  <c r="D762" i="1"/>
  <c r="J761" i="1"/>
  <c r="E761" i="1"/>
  <c r="D761" i="1"/>
  <c r="J760" i="1"/>
  <c r="E760" i="1"/>
  <c r="D760" i="1"/>
  <c r="J759" i="1"/>
  <c r="E759" i="1"/>
  <c r="D759" i="1"/>
  <c r="J758" i="1"/>
  <c r="E758" i="1"/>
  <c r="D758" i="1"/>
  <c r="J757" i="1"/>
  <c r="E757" i="1"/>
  <c r="D757" i="1"/>
  <c r="J756" i="1"/>
  <c r="E756" i="1"/>
  <c r="D756" i="1"/>
  <c r="J755" i="1"/>
  <c r="E755" i="1"/>
  <c r="D755" i="1"/>
  <c r="J754" i="1"/>
  <c r="E754" i="1"/>
  <c r="D754" i="1"/>
  <c r="J753" i="1"/>
  <c r="E753" i="1"/>
  <c r="D753" i="1"/>
  <c r="J752" i="1"/>
  <c r="E752" i="1"/>
  <c r="D752" i="1"/>
  <c r="J751" i="1"/>
  <c r="E751" i="1"/>
  <c r="D751" i="1"/>
  <c r="J750" i="1"/>
  <c r="E750" i="1"/>
  <c r="D750" i="1"/>
  <c r="J749" i="1"/>
  <c r="E749" i="1"/>
  <c r="D749" i="1"/>
  <c r="J748" i="1"/>
  <c r="E748" i="1"/>
  <c r="D748" i="1"/>
  <c r="J747" i="1"/>
  <c r="E747" i="1"/>
  <c r="D747" i="1"/>
  <c r="J746" i="1"/>
  <c r="E746" i="1"/>
  <c r="D746" i="1"/>
  <c r="J745" i="1"/>
  <c r="E745" i="1"/>
  <c r="D745" i="1"/>
  <c r="J744" i="1"/>
  <c r="E744" i="1"/>
  <c r="D744" i="1"/>
  <c r="J743" i="1"/>
  <c r="E743" i="1"/>
  <c r="D743" i="1"/>
  <c r="J742" i="1"/>
  <c r="E742" i="1"/>
  <c r="D742" i="1"/>
  <c r="J741" i="1"/>
  <c r="E741" i="1"/>
  <c r="D741" i="1"/>
  <c r="J740" i="1"/>
  <c r="E740" i="1"/>
  <c r="D740" i="1"/>
  <c r="J739" i="1"/>
  <c r="E739" i="1"/>
  <c r="D739" i="1"/>
  <c r="J738" i="1"/>
  <c r="E738" i="1"/>
  <c r="D738" i="1"/>
  <c r="J737" i="1"/>
  <c r="E737" i="1"/>
  <c r="D737" i="1"/>
  <c r="J736" i="1"/>
  <c r="E736" i="1"/>
  <c r="D736" i="1"/>
  <c r="J735" i="1"/>
  <c r="E735" i="1"/>
  <c r="D735" i="1"/>
  <c r="J734" i="1"/>
  <c r="E734" i="1"/>
  <c r="D734" i="1"/>
  <c r="J733" i="1"/>
  <c r="E733" i="1"/>
  <c r="D733" i="1"/>
  <c r="J732" i="1"/>
  <c r="E732" i="1"/>
  <c r="D732" i="1"/>
  <c r="J731" i="1"/>
  <c r="E731" i="1"/>
  <c r="D731" i="1"/>
  <c r="J730" i="1"/>
  <c r="E730" i="1"/>
  <c r="D730" i="1"/>
  <c r="J729" i="1"/>
  <c r="E729" i="1"/>
  <c r="D729" i="1"/>
  <c r="J728" i="1"/>
  <c r="E728" i="1"/>
  <c r="D728" i="1"/>
  <c r="J727" i="1"/>
  <c r="E727" i="1"/>
  <c r="D727" i="1"/>
  <c r="J726" i="1"/>
  <c r="E726" i="1"/>
  <c r="D726" i="1"/>
  <c r="J725" i="1"/>
  <c r="E725" i="1"/>
  <c r="D725" i="1"/>
  <c r="J724" i="1"/>
  <c r="E724" i="1"/>
  <c r="D724" i="1"/>
  <c r="J723" i="1"/>
  <c r="E723" i="1"/>
  <c r="D723" i="1"/>
  <c r="J722" i="1"/>
  <c r="E722" i="1"/>
  <c r="D722" i="1"/>
  <c r="J721" i="1"/>
  <c r="E721" i="1"/>
  <c r="D721" i="1"/>
  <c r="J720" i="1"/>
  <c r="E720" i="1"/>
  <c r="D720" i="1"/>
  <c r="J719" i="1"/>
  <c r="E719" i="1"/>
  <c r="D719" i="1"/>
  <c r="J718" i="1"/>
  <c r="E718" i="1"/>
  <c r="D718" i="1"/>
  <c r="J717" i="1"/>
  <c r="E717" i="1"/>
  <c r="D717" i="1"/>
  <c r="J716" i="1"/>
  <c r="E716" i="1"/>
  <c r="D716" i="1"/>
  <c r="J715" i="1"/>
  <c r="E715" i="1"/>
  <c r="D715" i="1"/>
  <c r="J714" i="1"/>
  <c r="E714" i="1"/>
  <c r="D714" i="1"/>
  <c r="J713" i="1"/>
  <c r="E713" i="1"/>
  <c r="D713" i="1"/>
  <c r="J712" i="1"/>
  <c r="E712" i="1"/>
  <c r="D712" i="1"/>
  <c r="J711" i="1"/>
  <c r="E711" i="1"/>
  <c r="D711" i="1"/>
  <c r="J710" i="1"/>
  <c r="E710" i="1"/>
  <c r="D710" i="1"/>
  <c r="J709" i="1"/>
  <c r="E709" i="1"/>
  <c r="D709" i="1"/>
  <c r="J708" i="1"/>
  <c r="E708" i="1"/>
  <c r="D708" i="1"/>
  <c r="J707" i="1"/>
  <c r="E707" i="1"/>
  <c r="D707" i="1"/>
  <c r="J706" i="1"/>
  <c r="E706" i="1"/>
  <c r="D706" i="1"/>
  <c r="J705" i="1"/>
  <c r="E705" i="1"/>
  <c r="D705" i="1"/>
  <c r="J704" i="1"/>
  <c r="E704" i="1"/>
  <c r="D704" i="1"/>
  <c r="J703" i="1"/>
  <c r="E703" i="1"/>
  <c r="D703" i="1"/>
  <c r="J702" i="1"/>
  <c r="E702" i="1"/>
  <c r="D702" i="1"/>
  <c r="J701" i="1"/>
  <c r="E701" i="1"/>
  <c r="D701" i="1"/>
  <c r="J700" i="1"/>
  <c r="E700" i="1"/>
  <c r="D700" i="1"/>
  <c r="J699" i="1"/>
  <c r="E699" i="1"/>
  <c r="D699" i="1"/>
  <c r="J698" i="1"/>
  <c r="E698" i="1"/>
  <c r="D698" i="1"/>
  <c r="J697" i="1"/>
  <c r="E697" i="1"/>
  <c r="D697" i="1"/>
  <c r="J696" i="1"/>
  <c r="E696" i="1"/>
  <c r="D696" i="1"/>
  <c r="J695" i="1"/>
  <c r="E695" i="1"/>
  <c r="D695" i="1"/>
  <c r="J694" i="1"/>
  <c r="E694" i="1"/>
  <c r="D694" i="1"/>
  <c r="J693" i="1"/>
  <c r="E693" i="1"/>
  <c r="D693" i="1"/>
  <c r="J692" i="1"/>
  <c r="E692" i="1"/>
  <c r="D692" i="1"/>
  <c r="J691" i="1"/>
  <c r="E691" i="1"/>
  <c r="D691" i="1"/>
  <c r="J690" i="1"/>
  <c r="E690" i="1"/>
  <c r="D690" i="1"/>
  <c r="J689" i="1"/>
  <c r="E689" i="1"/>
  <c r="D689" i="1"/>
  <c r="J688" i="1"/>
  <c r="E688" i="1"/>
  <c r="D688" i="1"/>
  <c r="J687" i="1"/>
  <c r="E687" i="1"/>
  <c r="D687" i="1"/>
  <c r="J686" i="1"/>
  <c r="E686" i="1"/>
  <c r="D686" i="1"/>
  <c r="J685" i="1"/>
  <c r="E685" i="1"/>
  <c r="D685" i="1"/>
  <c r="J684" i="1"/>
  <c r="E684" i="1"/>
  <c r="D684" i="1"/>
  <c r="J683" i="1"/>
  <c r="E683" i="1"/>
  <c r="D683" i="1"/>
  <c r="J682" i="1"/>
  <c r="E682" i="1"/>
  <c r="D682" i="1"/>
  <c r="J681" i="1"/>
  <c r="E681" i="1"/>
  <c r="D681" i="1"/>
  <c r="J680" i="1"/>
  <c r="E680" i="1"/>
  <c r="D680" i="1"/>
  <c r="J679" i="1"/>
  <c r="E679" i="1"/>
  <c r="D679" i="1"/>
  <c r="J678" i="1"/>
  <c r="E678" i="1"/>
  <c r="D678" i="1"/>
  <c r="J677" i="1"/>
  <c r="E677" i="1"/>
  <c r="D677" i="1"/>
  <c r="J676" i="1"/>
  <c r="E676" i="1"/>
  <c r="D676" i="1"/>
  <c r="J675" i="1"/>
  <c r="E675" i="1"/>
  <c r="D675" i="1"/>
  <c r="J674" i="1"/>
  <c r="E674" i="1"/>
  <c r="D674" i="1"/>
  <c r="J673" i="1"/>
  <c r="E673" i="1"/>
  <c r="D673" i="1"/>
  <c r="J672" i="1"/>
  <c r="E672" i="1"/>
  <c r="D672" i="1"/>
  <c r="J671" i="1"/>
  <c r="E671" i="1"/>
  <c r="D671" i="1"/>
  <c r="J670" i="1"/>
  <c r="E670" i="1"/>
  <c r="D670" i="1"/>
  <c r="J669" i="1"/>
  <c r="E669" i="1"/>
  <c r="D669" i="1"/>
  <c r="J668" i="1"/>
  <c r="E668" i="1"/>
  <c r="D668" i="1"/>
  <c r="J667" i="1"/>
  <c r="E667" i="1"/>
  <c r="D667" i="1"/>
  <c r="J666" i="1"/>
  <c r="E666" i="1"/>
  <c r="D666" i="1"/>
  <c r="J665" i="1"/>
  <c r="E665" i="1"/>
  <c r="D665" i="1"/>
  <c r="J664" i="1"/>
  <c r="E664" i="1"/>
  <c r="D664" i="1"/>
  <c r="J663" i="1"/>
  <c r="E663" i="1"/>
  <c r="D663" i="1"/>
  <c r="J662" i="1"/>
  <c r="E662" i="1"/>
  <c r="D662" i="1"/>
  <c r="J661" i="1"/>
  <c r="E661" i="1"/>
  <c r="D661" i="1"/>
  <c r="J660" i="1"/>
  <c r="E660" i="1"/>
  <c r="D660" i="1"/>
  <c r="J659" i="1"/>
  <c r="E659" i="1"/>
  <c r="D659" i="1"/>
  <c r="J658" i="1"/>
  <c r="E658" i="1"/>
  <c r="D658" i="1"/>
  <c r="J657" i="1"/>
  <c r="E657" i="1"/>
  <c r="D657" i="1"/>
  <c r="J656" i="1"/>
  <c r="E656" i="1"/>
  <c r="D656" i="1"/>
  <c r="J655" i="1"/>
  <c r="E655" i="1"/>
  <c r="D655" i="1"/>
  <c r="J654" i="1"/>
  <c r="E654" i="1"/>
  <c r="D654" i="1"/>
  <c r="J653" i="1"/>
  <c r="E653" i="1"/>
  <c r="D653" i="1"/>
  <c r="J652" i="1"/>
  <c r="E652" i="1"/>
  <c r="D652" i="1"/>
  <c r="J651" i="1"/>
  <c r="E651" i="1"/>
  <c r="D651" i="1"/>
  <c r="J650" i="1"/>
  <c r="E650" i="1"/>
  <c r="D650" i="1"/>
  <c r="J649" i="1"/>
  <c r="E649" i="1"/>
  <c r="D649" i="1"/>
  <c r="J648" i="1"/>
  <c r="E648" i="1"/>
  <c r="D648" i="1"/>
  <c r="J647" i="1"/>
  <c r="E647" i="1"/>
  <c r="D647" i="1"/>
  <c r="J646" i="1"/>
  <c r="E646" i="1"/>
  <c r="D646" i="1"/>
  <c r="J645" i="1"/>
  <c r="E645" i="1"/>
  <c r="D645" i="1"/>
  <c r="J644" i="1"/>
  <c r="E644" i="1"/>
  <c r="D644" i="1"/>
  <c r="J643" i="1"/>
  <c r="E643" i="1"/>
  <c r="D643" i="1"/>
  <c r="J642" i="1"/>
  <c r="E642" i="1"/>
  <c r="D642" i="1"/>
  <c r="J641" i="1"/>
  <c r="E641" i="1"/>
  <c r="D641" i="1"/>
  <c r="J640" i="1"/>
  <c r="E640" i="1"/>
  <c r="D640" i="1"/>
  <c r="J639" i="1"/>
  <c r="E639" i="1"/>
  <c r="D639" i="1"/>
  <c r="J638" i="1"/>
  <c r="E638" i="1"/>
  <c r="D638" i="1"/>
  <c r="J637" i="1"/>
  <c r="E637" i="1"/>
  <c r="D637" i="1"/>
  <c r="J636" i="1"/>
  <c r="E636" i="1"/>
  <c r="D636" i="1"/>
  <c r="J635" i="1"/>
  <c r="E635" i="1"/>
  <c r="D635" i="1"/>
  <c r="J634" i="1"/>
  <c r="E634" i="1"/>
  <c r="D634" i="1"/>
  <c r="J633" i="1"/>
  <c r="E633" i="1"/>
  <c r="D633" i="1"/>
  <c r="J632" i="1"/>
  <c r="E632" i="1"/>
  <c r="D632" i="1"/>
  <c r="J631" i="1"/>
  <c r="E631" i="1"/>
  <c r="D631" i="1"/>
  <c r="J630" i="1"/>
  <c r="E630" i="1"/>
  <c r="D630" i="1"/>
  <c r="J629" i="1"/>
  <c r="E629" i="1"/>
  <c r="D629" i="1"/>
  <c r="J628" i="1"/>
  <c r="E628" i="1"/>
  <c r="D628" i="1"/>
  <c r="J627" i="1"/>
  <c r="E627" i="1"/>
  <c r="D627" i="1"/>
  <c r="J626" i="1"/>
  <c r="E626" i="1"/>
  <c r="D626" i="1"/>
  <c r="J625" i="1"/>
  <c r="E625" i="1"/>
  <c r="D625" i="1"/>
  <c r="J624" i="1"/>
  <c r="E624" i="1"/>
  <c r="D624" i="1"/>
  <c r="J623" i="1"/>
  <c r="E623" i="1"/>
  <c r="D623" i="1"/>
  <c r="J622" i="1"/>
  <c r="E622" i="1"/>
  <c r="D622" i="1"/>
  <c r="J621" i="1"/>
  <c r="E621" i="1"/>
  <c r="D621" i="1"/>
  <c r="J620" i="1"/>
  <c r="E620" i="1"/>
  <c r="D620" i="1"/>
  <c r="J619" i="1"/>
  <c r="E619" i="1"/>
  <c r="D619" i="1"/>
  <c r="J618" i="1"/>
  <c r="E618" i="1"/>
  <c r="D618" i="1"/>
  <c r="J617" i="1"/>
  <c r="E617" i="1"/>
  <c r="D617" i="1"/>
  <c r="J616" i="1"/>
  <c r="E616" i="1"/>
  <c r="D616" i="1"/>
  <c r="J615" i="1"/>
  <c r="E615" i="1"/>
  <c r="D615" i="1"/>
  <c r="J614" i="1"/>
  <c r="E614" i="1"/>
  <c r="D614" i="1"/>
  <c r="J613" i="1"/>
  <c r="E613" i="1"/>
  <c r="D613" i="1"/>
  <c r="J612" i="1"/>
  <c r="E612" i="1"/>
  <c r="D612" i="1"/>
  <c r="J611" i="1"/>
  <c r="E611" i="1"/>
  <c r="D611" i="1"/>
  <c r="J610" i="1"/>
  <c r="E610" i="1"/>
  <c r="D610" i="1"/>
  <c r="J609" i="1"/>
  <c r="E609" i="1"/>
  <c r="D609" i="1"/>
  <c r="J608" i="1"/>
  <c r="E608" i="1"/>
  <c r="D608" i="1"/>
  <c r="J607" i="1"/>
  <c r="E607" i="1"/>
  <c r="D607" i="1"/>
  <c r="J606" i="1"/>
  <c r="E606" i="1"/>
  <c r="D606" i="1"/>
  <c r="J605" i="1"/>
  <c r="E605" i="1"/>
  <c r="D605" i="1"/>
  <c r="J604" i="1"/>
  <c r="E604" i="1"/>
  <c r="D604" i="1"/>
  <c r="J603" i="1"/>
  <c r="E603" i="1"/>
  <c r="D603" i="1"/>
  <c r="J602" i="1"/>
  <c r="E602" i="1"/>
  <c r="D602" i="1"/>
  <c r="J601" i="1"/>
  <c r="E601" i="1"/>
  <c r="D601" i="1"/>
  <c r="J600" i="1"/>
  <c r="E600" i="1"/>
  <c r="D600" i="1"/>
  <c r="J599" i="1"/>
  <c r="E599" i="1"/>
  <c r="D599" i="1"/>
  <c r="J598" i="1"/>
  <c r="E598" i="1"/>
  <c r="D598" i="1"/>
  <c r="J597" i="1"/>
  <c r="E597" i="1"/>
  <c r="D597" i="1"/>
  <c r="J596" i="1"/>
  <c r="E596" i="1"/>
  <c r="D596" i="1"/>
  <c r="J595" i="1"/>
  <c r="E595" i="1"/>
  <c r="D595" i="1"/>
  <c r="J594" i="1"/>
  <c r="E594" i="1"/>
  <c r="D594" i="1"/>
  <c r="J593" i="1"/>
  <c r="E593" i="1"/>
  <c r="D593" i="1"/>
  <c r="J592" i="1"/>
  <c r="E592" i="1"/>
  <c r="D592" i="1"/>
  <c r="J591" i="1"/>
  <c r="E591" i="1"/>
  <c r="D591" i="1"/>
  <c r="J590" i="1"/>
  <c r="E590" i="1"/>
  <c r="D590" i="1"/>
  <c r="J589" i="1"/>
  <c r="E589" i="1"/>
  <c r="D589" i="1"/>
  <c r="J588" i="1"/>
  <c r="E588" i="1"/>
  <c r="D588" i="1"/>
  <c r="J587" i="1"/>
  <c r="E587" i="1"/>
  <c r="D587" i="1"/>
  <c r="J586" i="1"/>
  <c r="E586" i="1"/>
  <c r="D586" i="1"/>
  <c r="J585" i="1"/>
  <c r="E585" i="1"/>
  <c r="D585" i="1"/>
  <c r="J584" i="1"/>
  <c r="E584" i="1"/>
  <c r="D584" i="1"/>
  <c r="J583" i="1"/>
  <c r="E583" i="1"/>
  <c r="D583" i="1"/>
  <c r="J582" i="1"/>
  <c r="E582" i="1"/>
  <c r="D582" i="1"/>
  <c r="J581" i="1"/>
  <c r="E581" i="1"/>
  <c r="D581" i="1"/>
  <c r="J580" i="1"/>
  <c r="E580" i="1"/>
  <c r="D580" i="1"/>
  <c r="J579" i="1"/>
  <c r="E579" i="1"/>
  <c r="D579" i="1"/>
  <c r="J578" i="1"/>
  <c r="E578" i="1"/>
  <c r="D578" i="1"/>
  <c r="J577" i="1"/>
  <c r="E577" i="1"/>
  <c r="D577" i="1"/>
  <c r="J576" i="1"/>
  <c r="E576" i="1"/>
  <c r="D576" i="1"/>
  <c r="J575" i="1"/>
  <c r="E575" i="1"/>
  <c r="D575" i="1"/>
  <c r="J574" i="1"/>
  <c r="E574" i="1"/>
  <c r="D574" i="1"/>
  <c r="J573" i="1"/>
  <c r="E573" i="1"/>
  <c r="D573" i="1"/>
  <c r="J572" i="1"/>
  <c r="E572" i="1"/>
  <c r="D572" i="1"/>
  <c r="J571" i="1"/>
  <c r="E571" i="1"/>
  <c r="D571" i="1"/>
  <c r="J570" i="1"/>
  <c r="E570" i="1"/>
  <c r="D570" i="1"/>
  <c r="J569" i="1"/>
  <c r="E569" i="1"/>
  <c r="D569" i="1"/>
  <c r="J568" i="1"/>
  <c r="E568" i="1"/>
  <c r="D568" i="1"/>
  <c r="J567" i="1"/>
  <c r="E567" i="1"/>
  <c r="D567" i="1"/>
  <c r="J566" i="1"/>
  <c r="E566" i="1"/>
  <c r="D566" i="1"/>
  <c r="J565" i="1"/>
  <c r="E565" i="1"/>
  <c r="D565" i="1"/>
  <c r="J564" i="1"/>
  <c r="E564" i="1"/>
  <c r="D564" i="1"/>
  <c r="J563" i="1"/>
  <c r="E563" i="1"/>
  <c r="D563" i="1"/>
  <c r="J562" i="1"/>
  <c r="E562" i="1"/>
  <c r="D562" i="1"/>
  <c r="J561" i="1"/>
  <c r="E561" i="1"/>
  <c r="D561" i="1"/>
  <c r="J560" i="1"/>
  <c r="E560" i="1"/>
  <c r="D560" i="1"/>
  <c r="J559" i="1"/>
  <c r="E559" i="1"/>
  <c r="D559" i="1"/>
  <c r="J558" i="1"/>
  <c r="E558" i="1"/>
  <c r="D558" i="1"/>
  <c r="J557" i="1"/>
  <c r="E557" i="1"/>
  <c r="D557" i="1"/>
  <c r="J556" i="1"/>
  <c r="E556" i="1"/>
  <c r="D556" i="1"/>
  <c r="J555" i="1"/>
  <c r="E555" i="1"/>
  <c r="D555" i="1"/>
  <c r="J554" i="1"/>
  <c r="E554" i="1"/>
  <c r="D554" i="1"/>
  <c r="J553" i="1"/>
  <c r="E553" i="1"/>
  <c r="D553" i="1"/>
  <c r="J552" i="1"/>
  <c r="E552" i="1"/>
  <c r="D552" i="1"/>
  <c r="J551" i="1"/>
  <c r="E551" i="1"/>
  <c r="D551" i="1"/>
  <c r="J550" i="1"/>
  <c r="E550" i="1"/>
  <c r="D550" i="1"/>
  <c r="J549" i="1"/>
  <c r="E549" i="1"/>
  <c r="D549" i="1"/>
  <c r="J548" i="1"/>
  <c r="E548" i="1"/>
  <c r="D548" i="1"/>
  <c r="G55" i="1"/>
  <c r="M270" i="1"/>
  <c r="N185" i="1"/>
  <c r="M60" i="1"/>
  <c r="M372" i="1"/>
  <c r="M273" i="1"/>
  <c r="M255" i="1"/>
  <c r="N137" i="1"/>
  <c r="N87" i="1"/>
  <c r="M282" i="1"/>
  <c r="M261" i="1"/>
  <c r="N219" i="1"/>
  <c r="N149" i="1"/>
  <c r="M27" i="1"/>
  <c r="J267" i="1"/>
  <c r="H544" i="1"/>
  <c r="H529" i="1"/>
  <c r="H472" i="1"/>
  <c r="G469" i="1"/>
  <c r="H466" i="1"/>
  <c r="H445" i="1"/>
  <c r="G430" i="1"/>
  <c r="H409" i="1"/>
  <c r="G388" i="1"/>
  <c r="G382" i="1"/>
  <c r="H379" i="1"/>
  <c r="G112" i="1"/>
  <c r="N407" i="1"/>
  <c r="M291" i="1"/>
  <c r="M279" i="1"/>
  <c r="M264" i="1"/>
  <c r="N207" i="1"/>
  <c r="N173" i="1"/>
  <c r="N113" i="1"/>
  <c r="N99" i="1"/>
  <c r="G451" i="1"/>
  <c r="H364" i="1"/>
  <c r="G322" i="1"/>
  <c r="H319" i="1"/>
  <c r="G532" i="1"/>
  <c r="G46" i="1"/>
  <c r="N391" i="1"/>
  <c r="M294" i="1"/>
  <c r="M285" i="1"/>
  <c r="M276" i="1"/>
  <c r="M267" i="1"/>
  <c r="M258" i="1"/>
  <c r="N231" i="1"/>
  <c r="N213" i="1"/>
  <c r="N197" i="1"/>
  <c r="N161" i="1"/>
  <c r="N125" i="1"/>
  <c r="M90" i="1"/>
  <c r="N81" i="1"/>
  <c r="J346" i="1"/>
  <c r="H533" i="1"/>
  <c r="H530" i="1"/>
  <c r="G485" i="1"/>
  <c r="H479" i="1"/>
  <c r="G476" i="1"/>
  <c r="H473" i="1"/>
  <c r="G470" i="1"/>
  <c r="G467" i="1"/>
  <c r="H446" i="1"/>
  <c r="H443" i="1"/>
  <c r="H437" i="1"/>
  <c r="H434" i="1"/>
  <c r="H431" i="1"/>
  <c r="G410" i="1"/>
  <c r="H395" i="1"/>
  <c r="H392" i="1"/>
  <c r="H389" i="1"/>
  <c r="G520" i="1"/>
  <c r="H505" i="1"/>
  <c r="H502" i="1"/>
  <c r="H499" i="1"/>
  <c r="H493" i="1"/>
  <c r="G490" i="1"/>
  <c r="H463" i="1"/>
  <c r="H460" i="1"/>
  <c r="H457" i="1"/>
  <c r="H451" i="1"/>
  <c r="H424" i="1"/>
  <c r="H421" i="1"/>
  <c r="G373" i="1"/>
  <c r="H367" i="1"/>
  <c r="G364" i="1"/>
  <c r="G361" i="1"/>
  <c r="H358" i="1"/>
  <c r="H349" i="1"/>
  <c r="H346" i="1"/>
  <c r="G340" i="1"/>
  <c r="H337" i="1"/>
  <c r="H334" i="1"/>
  <c r="G331" i="1"/>
  <c r="G328" i="1"/>
  <c r="H325" i="1"/>
  <c r="H322" i="1"/>
  <c r="G319" i="1"/>
  <c r="H307" i="1"/>
  <c r="G304" i="1"/>
  <c r="G298" i="1"/>
  <c r="G295" i="1"/>
  <c r="H292" i="1"/>
  <c r="G289" i="1"/>
  <c r="H283" i="1"/>
  <c r="G280" i="1"/>
  <c r="H277" i="1"/>
  <c r="J206" i="1"/>
  <c r="D151" i="1"/>
  <c r="E123" i="1"/>
  <c r="J69" i="1"/>
  <c r="D63" i="1"/>
  <c r="J36" i="1"/>
  <c r="D28" i="1"/>
  <c r="D14" i="1"/>
  <c r="D26" i="1"/>
  <c r="E38" i="1"/>
  <c r="E50" i="1"/>
  <c r="J62" i="1"/>
  <c r="J74" i="1"/>
  <c r="J86" i="1"/>
  <c r="D98" i="1"/>
  <c r="J101" i="1"/>
  <c r="D122" i="1"/>
  <c r="J135" i="1"/>
  <c r="E147" i="1"/>
  <c r="D159" i="1"/>
  <c r="J172" i="1"/>
  <c r="J184" i="1"/>
  <c r="J196" i="1"/>
  <c r="D208" i="1"/>
  <c r="D220" i="1"/>
  <c r="E232" i="1"/>
  <c r="E244" i="1"/>
  <c r="D256" i="1"/>
  <c r="J3" i="1"/>
  <c r="D16" i="1"/>
  <c r="D30" i="1"/>
  <c r="D34" i="1"/>
  <c r="D52" i="1"/>
  <c r="J57" i="1"/>
  <c r="D70" i="1"/>
  <c r="D88" i="1"/>
  <c r="J106" i="1"/>
  <c r="E120" i="1"/>
  <c r="E143" i="1"/>
  <c r="J180" i="1"/>
  <c r="J185" i="1"/>
  <c r="E198" i="1"/>
  <c r="D216" i="1"/>
  <c r="D234" i="1"/>
  <c r="J266" i="1"/>
  <c r="J279" i="1"/>
  <c r="J282" i="1"/>
  <c r="J291" i="1"/>
  <c r="D303" i="1"/>
  <c r="E315" i="1"/>
  <c r="E336" i="1"/>
  <c r="J351" i="1"/>
  <c r="E375" i="1"/>
  <c r="J388" i="1"/>
  <c r="J400" i="1"/>
  <c r="J412" i="1"/>
  <c r="E422" i="1"/>
  <c r="J425" i="1"/>
  <c r="D438" i="1"/>
  <c r="E451" i="1"/>
  <c r="D463" i="1"/>
  <c r="J476" i="1"/>
  <c r="J486" i="1"/>
  <c r="D491" i="1"/>
  <c r="D503" i="1"/>
  <c r="J518" i="1"/>
  <c r="J530" i="1"/>
  <c r="D533" i="1"/>
  <c r="J546" i="1"/>
  <c r="E524" i="1"/>
  <c r="D501" i="1"/>
  <c r="J480" i="1"/>
  <c r="D461" i="1"/>
  <c r="J423" i="1"/>
  <c r="J404" i="1"/>
  <c r="D386" i="1"/>
  <c r="J381" i="1"/>
  <c r="D371" i="1"/>
  <c r="D367" i="1"/>
  <c r="E349" i="1"/>
  <c r="J331" i="1"/>
  <c r="E313" i="1"/>
  <c r="E295" i="1"/>
  <c r="D277" i="1"/>
  <c r="J197" i="1"/>
  <c r="J191" i="1"/>
  <c r="J170" i="1"/>
  <c r="E142" i="1"/>
  <c r="D114" i="1"/>
  <c r="J94" i="1"/>
  <c r="D87" i="1"/>
  <c r="D60" i="1"/>
  <c r="J13" i="1"/>
  <c r="E6" i="1"/>
  <c r="G537" i="1"/>
  <c r="H522" i="1"/>
  <c r="H519" i="1"/>
  <c r="H513" i="1"/>
  <c r="H507" i="1"/>
  <c r="G504" i="1"/>
  <c r="H501" i="1"/>
  <c r="G492" i="1"/>
  <c r="G462" i="1"/>
  <c r="H459" i="1"/>
  <c r="H423" i="1"/>
  <c r="G417" i="1"/>
  <c r="D405" i="1"/>
  <c r="G402" i="1"/>
  <c r="H375" i="1"/>
  <c r="H360" i="1"/>
  <c r="H357" i="1"/>
  <c r="G354" i="1"/>
  <c r="H351" i="1"/>
  <c r="H348" i="1"/>
  <c r="H345" i="1"/>
  <c r="H333" i="1"/>
  <c r="G327" i="1"/>
  <c r="H321" i="1"/>
  <c r="G318" i="1"/>
  <c r="H312" i="1"/>
  <c r="G309" i="1"/>
  <c r="H306" i="1"/>
  <c r="H303" i="1"/>
  <c r="G297" i="1"/>
  <c r="H294" i="1"/>
  <c r="H291" i="1"/>
  <c r="G270" i="1"/>
  <c r="H267" i="1"/>
  <c r="H264" i="1"/>
  <c r="G261" i="1"/>
  <c r="H255" i="1"/>
  <c r="H249" i="1"/>
  <c r="G237" i="1"/>
  <c r="G234" i="1"/>
  <c r="H228" i="1"/>
  <c r="G225" i="1"/>
  <c r="H222" i="1"/>
  <c r="H219" i="1"/>
  <c r="G213" i="1"/>
  <c r="G210" i="1"/>
  <c r="H207" i="1"/>
  <c r="G192" i="1"/>
  <c r="H186" i="1"/>
  <c r="H183" i="1"/>
  <c r="H180" i="1"/>
  <c r="H177" i="1"/>
  <c r="H171" i="1"/>
  <c r="H165" i="1"/>
  <c r="H153" i="1"/>
  <c r="H150" i="1"/>
  <c r="H144" i="1"/>
  <c r="H141" i="1"/>
  <c r="H138" i="1"/>
  <c r="H135" i="1"/>
  <c r="G132" i="1"/>
  <c r="H129" i="1"/>
  <c r="H123" i="1"/>
  <c r="H111" i="1"/>
  <c r="G108" i="1"/>
  <c r="H102" i="1"/>
  <c r="H99" i="1"/>
  <c r="H96" i="1"/>
  <c r="H93" i="1"/>
  <c r="H87" i="1"/>
  <c r="H84" i="1"/>
  <c r="H81" i="1"/>
  <c r="G69" i="1"/>
  <c r="H66" i="1"/>
  <c r="G60" i="1"/>
  <c r="H57" i="1"/>
  <c r="H54" i="1"/>
  <c r="H51" i="1"/>
  <c r="H45" i="1"/>
  <c r="H39" i="1"/>
  <c r="H24" i="1"/>
  <c r="G18" i="1"/>
  <c r="H12" i="1"/>
  <c r="H9" i="1"/>
  <c r="H3" i="1"/>
  <c r="D484" i="1"/>
  <c r="D478" i="1"/>
  <c r="E421" i="1"/>
  <c r="E380" i="1"/>
  <c r="E361" i="1"/>
  <c r="E325" i="1"/>
  <c r="E307" i="1"/>
  <c r="J271" i="1"/>
  <c r="E249" i="1"/>
  <c r="J168" i="1"/>
  <c r="E85" i="1"/>
  <c r="D58" i="1"/>
  <c r="E10" i="1"/>
  <c r="H107" i="1"/>
  <c r="H101" i="1"/>
  <c r="H95" i="1"/>
  <c r="H83" i="1"/>
  <c r="H80" i="1"/>
  <c r="G74" i="1"/>
  <c r="H71" i="1"/>
  <c r="H68" i="1"/>
  <c r="G65" i="1"/>
  <c r="H59" i="1"/>
  <c r="H56" i="1"/>
  <c r="H53" i="1"/>
  <c r="H41" i="1"/>
  <c r="G38" i="1"/>
  <c r="H29" i="1"/>
  <c r="H26" i="1"/>
  <c r="H23" i="1"/>
  <c r="H17" i="1"/>
  <c r="H11" i="1"/>
  <c r="G42" i="1"/>
  <c r="H42" i="1"/>
  <c r="H515" i="1"/>
  <c r="G515" i="1"/>
  <c r="H491" i="1"/>
  <c r="G491" i="1"/>
  <c r="H416" i="1"/>
  <c r="G416" i="1"/>
  <c r="G359" i="1"/>
  <c r="H359" i="1"/>
  <c r="G332" i="1"/>
  <c r="H332" i="1"/>
  <c r="G323" i="1"/>
  <c r="H323" i="1"/>
  <c r="G311" i="1"/>
  <c r="H311" i="1"/>
  <c r="H308" i="1"/>
  <c r="G308" i="1"/>
  <c r="H251" i="1"/>
  <c r="G251" i="1"/>
  <c r="G248" i="1"/>
  <c r="H248" i="1"/>
  <c r="G239" i="1"/>
  <c r="H239" i="1"/>
  <c r="G227" i="1"/>
  <c r="H227" i="1"/>
  <c r="H98" i="1"/>
  <c r="G98" i="1"/>
  <c r="H32" i="1"/>
  <c r="G32" i="1"/>
  <c r="G507" i="1"/>
  <c r="G434" i="1"/>
  <c r="G387" i="1"/>
  <c r="G294" i="1"/>
  <c r="G242" i="1"/>
  <c r="G200" i="1"/>
  <c r="G143" i="1"/>
  <c r="G107" i="1"/>
  <c r="M239" i="1"/>
  <c r="N239" i="1"/>
  <c r="M235" i="1"/>
  <c r="N235" i="1"/>
  <c r="N73" i="1"/>
  <c r="M73" i="1"/>
  <c r="H543" i="1"/>
  <c r="G543" i="1"/>
  <c r="H444" i="1"/>
  <c r="G444" i="1"/>
  <c r="G435" i="1"/>
  <c r="H435" i="1"/>
  <c r="H378" i="1"/>
  <c r="G378" i="1"/>
  <c r="H339" i="1"/>
  <c r="G339" i="1"/>
  <c r="G336" i="1"/>
  <c r="H336" i="1"/>
  <c r="H279" i="1"/>
  <c r="G279" i="1"/>
  <c r="G276" i="1"/>
  <c r="H276" i="1"/>
  <c r="G252" i="1"/>
  <c r="H252" i="1"/>
  <c r="H195" i="1"/>
  <c r="G195" i="1"/>
  <c r="G168" i="1"/>
  <c r="H168" i="1"/>
  <c r="H126" i="1"/>
  <c r="G126" i="1"/>
  <c r="H27" i="1"/>
  <c r="G27" i="1"/>
  <c r="H14" i="1"/>
  <c r="G536" i="1"/>
  <c r="G500" i="1"/>
  <c r="G459" i="1"/>
  <c r="G423" i="1"/>
  <c r="G368" i="1"/>
  <c r="G228" i="1"/>
  <c r="G179" i="1"/>
  <c r="G83" i="1"/>
  <c r="M245" i="1"/>
  <c r="N245" i="1"/>
  <c r="M241" i="1"/>
  <c r="N241" i="1"/>
  <c r="D15" i="1"/>
  <c r="H15" i="1"/>
  <c r="E11" i="1"/>
  <c r="G407" i="1"/>
  <c r="G347" i="1"/>
  <c r="G303" i="1"/>
  <c r="G171" i="1"/>
  <c r="M251" i="1"/>
  <c r="N251" i="1"/>
  <c r="M247" i="1"/>
  <c r="N247" i="1"/>
  <c r="M233" i="1"/>
  <c r="N233" i="1"/>
  <c r="M227" i="1"/>
  <c r="N227" i="1"/>
  <c r="M221" i="1"/>
  <c r="N221" i="1"/>
  <c r="M215" i="1"/>
  <c r="N215" i="1"/>
  <c r="M209" i="1"/>
  <c r="N209" i="1"/>
  <c r="N199" i="1"/>
  <c r="M199" i="1"/>
  <c r="N187" i="1"/>
  <c r="M187" i="1"/>
  <c r="N175" i="1"/>
  <c r="M175" i="1"/>
  <c r="N163" i="1"/>
  <c r="M163" i="1"/>
  <c r="N151" i="1"/>
  <c r="M151" i="1"/>
  <c r="N139" i="1"/>
  <c r="M139" i="1"/>
  <c r="N127" i="1"/>
  <c r="M127" i="1"/>
  <c r="N115" i="1"/>
  <c r="M115" i="1"/>
  <c r="N103" i="1"/>
  <c r="M103" i="1"/>
  <c r="N97" i="1"/>
  <c r="M97" i="1"/>
  <c r="N85" i="1"/>
  <c r="M85" i="1"/>
  <c r="N79" i="1"/>
  <c r="M79" i="1"/>
  <c r="N72" i="1"/>
  <c r="M72" i="1"/>
  <c r="M56" i="1"/>
  <c r="N56" i="1"/>
  <c r="G466" i="1"/>
  <c r="G223" i="1"/>
  <c r="G151" i="1"/>
  <c r="G4" i="1"/>
  <c r="H235" i="1"/>
  <c r="N403" i="1"/>
  <c r="N387" i="1"/>
  <c r="M380" i="1"/>
  <c r="M355" i="1"/>
  <c r="M353" i="1"/>
  <c r="M351" i="1"/>
  <c r="M349" i="1"/>
  <c r="M347" i="1"/>
  <c r="M345" i="1"/>
  <c r="M343" i="1"/>
  <c r="M341" i="1"/>
  <c r="M339" i="1"/>
  <c r="M337" i="1"/>
  <c r="M335" i="1"/>
  <c r="M333" i="1"/>
  <c r="M331" i="1"/>
  <c r="M329" i="1"/>
  <c r="M327" i="1"/>
  <c r="M325" i="1"/>
  <c r="M323" i="1"/>
  <c r="M321" i="1"/>
  <c r="M319" i="1"/>
  <c r="M317" i="1"/>
  <c r="M315" i="1"/>
  <c r="M313" i="1"/>
  <c r="M311" i="1"/>
  <c r="M309" i="1"/>
  <c r="M307" i="1"/>
  <c r="M305" i="1"/>
  <c r="M303" i="1"/>
  <c r="M301" i="1"/>
  <c r="M299" i="1"/>
  <c r="M297" i="1"/>
  <c r="M295" i="1"/>
  <c r="M292" i="1"/>
  <c r="M289" i="1"/>
  <c r="M286" i="1"/>
  <c r="M283" i="1"/>
  <c r="M280" i="1"/>
  <c r="M277" i="1"/>
  <c r="M274" i="1"/>
  <c r="M271" i="1"/>
  <c r="M268" i="1"/>
  <c r="M265" i="1"/>
  <c r="M262" i="1"/>
  <c r="M259" i="1"/>
  <c r="M256" i="1"/>
  <c r="N253" i="1"/>
  <c r="N229" i="1"/>
  <c r="N223" i="1"/>
  <c r="N217" i="1"/>
  <c r="N211" i="1"/>
  <c r="M205" i="1"/>
  <c r="M204" i="1"/>
  <c r="M195" i="1"/>
  <c r="N195" i="1"/>
  <c r="M193" i="1"/>
  <c r="M192" i="1"/>
  <c r="M183" i="1"/>
  <c r="N183" i="1"/>
  <c r="M181" i="1"/>
  <c r="M180" i="1"/>
  <c r="M171" i="1"/>
  <c r="N171" i="1"/>
  <c r="M169" i="1"/>
  <c r="M168" i="1"/>
  <c r="M159" i="1"/>
  <c r="N159" i="1"/>
  <c r="M157" i="1"/>
  <c r="M156" i="1"/>
  <c r="M147" i="1"/>
  <c r="N147" i="1"/>
  <c r="M145" i="1"/>
  <c r="M144" i="1"/>
  <c r="M135" i="1"/>
  <c r="N135" i="1"/>
  <c r="M133" i="1"/>
  <c r="M132" i="1"/>
  <c r="M123" i="1"/>
  <c r="N123" i="1"/>
  <c r="M121" i="1"/>
  <c r="M120" i="1"/>
  <c r="M111" i="1"/>
  <c r="N111" i="1"/>
  <c r="M109" i="1"/>
  <c r="M108" i="1"/>
  <c r="M91" i="1"/>
  <c r="N66" i="1"/>
  <c r="M61" i="1"/>
  <c r="H388" i="1"/>
  <c r="H280" i="1"/>
  <c r="N415" i="1"/>
  <c r="N399" i="1"/>
  <c r="N383" i="1"/>
  <c r="M359" i="1"/>
  <c r="M293" i="1"/>
  <c r="M290" i="1"/>
  <c r="M287" i="1"/>
  <c r="M284" i="1"/>
  <c r="M281" i="1"/>
  <c r="M278" i="1"/>
  <c r="M275" i="1"/>
  <c r="M272" i="1"/>
  <c r="M269" i="1"/>
  <c r="M266" i="1"/>
  <c r="M263" i="1"/>
  <c r="M260" i="1"/>
  <c r="M257" i="1"/>
  <c r="M254" i="1"/>
  <c r="N249" i="1"/>
  <c r="N243" i="1"/>
  <c r="N237" i="1"/>
  <c r="N198" i="1"/>
  <c r="M198" i="1"/>
  <c r="N186" i="1"/>
  <c r="M186" i="1"/>
  <c r="N174" i="1"/>
  <c r="M174" i="1"/>
  <c r="N162" i="1"/>
  <c r="M162" i="1"/>
  <c r="N150" i="1"/>
  <c r="M150" i="1"/>
  <c r="N138" i="1"/>
  <c r="M138" i="1"/>
  <c r="N126" i="1"/>
  <c r="M126" i="1"/>
  <c r="N114" i="1"/>
  <c r="M114" i="1"/>
  <c r="N102" i="1"/>
  <c r="M102" i="1"/>
  <c r="N96" i="1"/>
  <c r="M96" i="1"/>
  <c r="N89" i="1"/>
  <c r="N84" i="1"/>
  <c r="M84" i="1"/>
  <c r="M78" i="1"/>
  <c r="M67" i="1"/>
  <c r="N59" i="1"/>
  <c r="M43" i="1"/>
  <c r="N30" i="1"/>
  <c r="M30" i="1"/>
  <c r="N5" i="1"/>
  <c r="M5" i="1"/>
  <c r="M33" i="1"/>
  <c r="J402" i="1"/>
  <c r="J387" i="1"/>
  <c r="J275" i="1"/>
  <c r="J241" i="1"/>
  <c r="J211" i="1"/>
  <c r="J125" i="1"/>
  <c r="J53" i="1"/>
  <c r="J41" i="1"/>
  <c r="J73" i="1"/>
  <c r="J37" i="1"/>
  <c r="J418" i="1"/>
  <c r="M141" i="1"/>
  <c r="N141" i="1"/>
  <c r="M117" i="1"/>
  <c r="N117" i="1"/>
  <c r="M95" i="1"/>
  <c r="N95" i="1"/>
  <c r="G41" i="1"/>
  <c r="G13" i="1"/>
  <c r="H542" i="1"/>
  <c r="H485" i="1"/>
  <c r="H449" i="1"/>
  <c r="H430" i="1"/>
  <c r="H417" i="1"/>
  <c r="H402" i="1"/>
  <c r="H393" i="1"/>
  <c r="H373" i="1"/>
  <c r="H353" i="1"/>
  <c r="H298" i="1"/>
  <c r="H293" i="1"/>
  <c r="H289" i="1"/>
  <c r="H266" i="1"/>
  <c r="H262" i="1"/>
  <c r="H213" i="1"/>
  <c r="H181" i="1"/>
  <c r="H121" i="1"/>
  <c r="H69" i="1"/>
  <c r="M546" i="1"/>
  <c r="N546" i="1"/>
  <c r="M542" i="1"/>
  <c r="N542" i="1"/>
  <c r="M538" i="1"/>
  <c r="N538" i="1"/>
  <c r="M534" i="1"/>
  <c r="N534" i="1"/>
  <c r="M530" i="1"/>
  <c r="N530" i="1"/>
  <c r="M526" i="1"/>
  <c r="N526" i="1"/>
  <c r="M522" i="1"/>
  <c r="N522" i="1"/>
  <c r="M518" i="1"/>
  <c r="N518" i="1"/>
  <c r="M514" i="1"/>
  <c r="N514" i="1"/>
  <c r="M510" i="1"/>
  <c r="N510" i="1"/>
  <c r="M506" i="1"/>
  <c r="N506" i="1"/>
  <c r="M502" i="1"/>
  <c r="N502" i="1"/>
  <c r="M498" i="1"/>
  <c r="N498" i="1"/>
  <c r="M494" i="1"/>
  <c r="N494" i="1"/>
  <c r="M490" i="1"/>
  <c r="N490" i="1"/>
  <c r="M486" i="1"/>
  <c r="N486" i="1"/>
  <c r="M482" i="1"/>
  <c r="N482" i="1"/>
  <c r="M478" i="1"/>
  <c r="N478" i="1"/>
  <c r="M474" i="1"/>
  <c r="N474" i="1"/>
  <c r="M470" i="1"/>
  <c r="N470" i="1"/>
  <c r="M466" i="1"/>
  <c r="N466" i="1"/>
  <c r="M462" i="1"/>
  <c r="N462" i="1"/>
  <c r="M458" i="1"/>
  <c r="N458" i="1"/>
  <c r="M454" i="1"/>
  <c r="N454" i="1"/>
  <c r="M450" i="1"/>
  <c r="N450" i="1"/>
  <c r="M446" i="1"/>
  <c r="N446" i="1"/>
  <c r="M442" i="1"/>
  <c r="N442" i="1"/>
  <c r="M438" i="1"/>
  <c r="N438" i="1"/>
  <c r="M434" i="1"/>
  <c r="N434" i="1"/>
  <c r="M430" i="1"/>
  <c r="N430" i="1"/>
  <c r="M426" i="1"/>
  <c r="N426" i="1"/>
  <c r="M422" i="1"/>
  <c r="N422" i="1"/>
  <c r="M418" i="1"/>
  <c r="N418" i="1"/>
  <c r="M413" i="1"/>
  <c r="N413" i="1"/>
  <c r="M406" i="1"/>
  <c r="N406" i="1"/>
  <c r="M397" i="1"/>
  <c r="N397" i="1"/>
  <c r="M390" i="1"/>
  <c r="N390" i="1"/>
  <c r="N375" i="1"/>
  <c r="M375" i="1"/>
  <c r="N369" i="1"/>
  <c r="M369" i="1"/>
  <c r="N366" i="1"/>
  <c r="M366" i="1"/>
  <c r="N357" i="1"/>
  <c r="M357" i="1"/>
  <c r="M189" i="1"/>
  <c r="N189" i="1"/>
  <c r="M165" i="1"/>
  <c r="N165" i="1"/>
  <c r="E516" i="1"/>
  <c r="G516" i="1"/>
  <c r="G542" i="1"/>
  <c r="G535" i="1"/>
  <c r="G529" i="1"/>
  <c r="G514" i="1"/>
  <c r="G505" i="1"/>
  <c r="G499" i="1"/>
  <c r="G480" i="1"/>
  <c r="G473" i="1"/>
  <c r="G465" i="1"/>
  <c r="G458" i="1"/>
  <c r="G443" i="1"/>
  <c r="G431" i="1"/>
  <c r="G421" i="1"/>
  <c r="G415" i="1"/>
  <c r="G406" i="1"/>
  <c r="G397" i="1"/>
  <c r="G392" i="1"/>
  <c r="G375" i="1"/>
  <c r="G367" i="1"/>
  <c r="G360" i="1"/>
  <c r="G351" i="1"/>
  <c r="G346" i="1"/>
  <c r="G337" i="1"/>
  <c r="G326" i="1"/>
  <c r="G321" i="1"/>
  <c r="G312" i="1"/>
  <c r="G307" i="1"/>
  <c r="G283" i="1"/>
  <c r="G277" i="1"/>
  <c r="G269" i="1"/>
  <c r="G263" i="1"/>
  <c r="G255" i="1"/>
  <c r="G249" i="1"/>
  <c r="G241" i="1"/>
  <c r="G221" i="1"/>
  <c r="G207" i="1"/>
  <c r="G199" i="1"/>
  <c r="G193" i="1"/>
  <c r="G183" i="1"/>
  <c r="G178" i="1"/>
  <c r="G169" i="1"/>
  <c r="G164" i="1"/>
  <c r="G155" i="1"/>
  <c r="G150" i="1"/>
  <c r="G141" i="1"/>
  <c r="G136" i="1"/>
  <c r="G130" i="1"/>
  <c r="G125" i="1"/>
  <c r="G116" i="1"/>
  <c r="G111" i="1"/>
  <c r="G102" i="1"/>
  <c r="G97" i="1"/>
  <c r="G87" i="1"/>
  <c r="G81" i="1"/>
  <c r="G73" i="1"/>
  <c r="G67" i="1"/>
  <c r="G59" i="1"/>
  <c r="G53" i="1"/>
  <c r="G45" i="1"/>
  <c r="G39" i="1"/>
  <c r="G31" i="1"/>
  <c r="G25" i="1"/>
  <c r="G17" i="1"/>
  <c r="G11" i="1"/>
  <c r="G3" i="1"/>
  <c r="H541" i="1"/>
  <c r="H521" i="1"/>
  <c r="H488" i="1"/>
  <c r="H448" i="1"/>
  <c r="H429" i="1"/>
  <c r="H401" i="1"/>
  <c r="H376" i="1"/>
  <c r="H340" i="1"/>
  <c r="H335" i="1"/>
  <c r="H331" i="1"/>
  <c r="H318" i="1"/>
  <c r="H309" i="1"/>
  <c r="H305" i="1"/>
  <c r="H297" i="1"/>
  <c r="H275" i="1"/>
  <c r="H265" i="1"/>
  <c r="H261" i="1"/>
  <c r="H247" i="1"/>
  <c r="H238" i="1"/>
  <c r="H234" i="1"/>
  <c r="H225" i="1"/>
  <c r="H211" i="1"/>
  <c r="H192" i="1"/>
  <c r="H65" i="1"/>
  <c r="H38" i="1"/>
  <c r="M545" i="1"/>
  <c r="N545" i="1"/>
  <c r="M541" i="1"/>
  <c r="N541" i="1"/>
  <c r="M537" i="1"/>
  <c r="N537" i="1"/>
  <c r="M533" i="1"/>
  <c r="N533" i="1"/>
  <c r="M529" i="1"/>
  <c r="N529" i="1"/>
  <c r="M525" i="1"/>
  <c r="N525" i="1"/>
  <c r="M521" i="1"/>
  <c r="N521" i="1"/>
  <c r="M517" i="1"/>
  <c r="N517" i="1"/>
  <c r="M513" i="1"/>
  <c r="N513" i="1"/>
  <c r="M509" i="1"/>
  <c r="N509" i="1"/>
  <c r="M505" i="1"/>
  <c r="N505" i="1"/>
  <c r="M501" i="1"/>
  <c r="N501" i="1"/>
  <c r="M497" i="1"/>
  <c r="N497" i="1"/>
  <c r="M493" i="1"/>
  <c r="N493" i="1"/>
  <c r="M489" i="1"/>
  <c r="N489" i="1"/>
  <c r="M485" i="1"/>
  <c r="N485" i="1"/>
  <c r="M481" i="1"/>
  <c r="N481" i="1"/>
  <c r="M477" i="1"/>
  <c r="N477" i="1"/>
  <c r="M473" i="1"/>
  <c r="N473" i="1"/>
  <c r="M469" i="1"/>
  <c r="N469" i="1"/>
  <c r="M465" i="1"/>
  <c r="N465" i="1"/>
  <c r="M461" i="1"/>
  <c r="N461" i="1"/>
  <c r="M457" i="1"/>
  <c r="N457" i="1"/>
  <c r="M453" i="1"/>
  <c r="N453" i="1"/>
  <c r="M449" i="1"/>
  <c r="N449" i="1"/>
  <c r="M445" i="1"/>
  <c r="N445" i="1"/>
  <c r="M441" i="1"/>
  <c r="N441" i="1"/>
  <c r="M437" i="1"/>
  <c r="N437" i="1"/>
  <c r="M433" i="1"/>
  <c r="N433" i="1"/>
  <c r="M429" i="1"/>
  <c r="N429" i="1"/>
  <c r="M425" i="1"/>
  <c r="N425" i="1"/>
  <c r="M421" i="1"/>
  <c r="N421" i="1"/>
  <c r="M417" i="1"/>
  <c r="N417" i="1"/>
  <c r="M410" i="1"/>
  <c r="N410" i="1"/>
  <c r="M401" i="1"/>
  <c r="N401" i="1"/>
  <c r="M394" i="1"/>
  <c r="N394" i="1"/>
  <c r="M385" i="1"/>
  <c r="N385" i="1"/>
  <c r="N377" i="1"/>
  <c r="M377" i="1"/>
  <c r="N374" i="1"/>
  <c r="M374" i="1"/>
  <c r="D224" i="1"/>
  <c r="D24" i="1"/>
  <c r="D359" i="1"/>
  <c r="E177" i="1"/>
  <c r="J45" i="1"/>
  <c r="D23" i="1"/>
  <c r="G528" i="1"/>
  <c r="G519" i="1"/>
  <c r="G513" i="1"/>
  <c r="G493" i="1"/>
  <c r="G487" i="1"/>
  <c r="G479" i="1"/>
  <c r="G472" i="1"/>
  <c r="G463" i="1"/>
  <c r="G457" i="1"/>
  <c r="G448" i="1"/>
  <c r="G437" i="1"/>
  <c r="G420" i="1"/>
  <c r="G403" i="1"/>
  <c r="G396" i="1"/>
  <c r="G389" i="1"/>
  <c r="G381" i="1"/>
  <c r="G374" i="1"/>
  <c r="G365" i="1"/>
  <c r="G350" i="1"/>
  <c r="G345" i="1"/>
  <c r="G325" i="1"/>
  <c r="G291" i="1"/>
  <c r="G281" i="1"/>
  <c r="G267" i="1"/>
  <c r="G253" i="1"/>
  <c r="G220" i="1"/>
  <c r="G206" i="1"/>
  <c r="G197" i="1"/>
  <c r="G182" i="1"/>
  <c r="G177" i="1"/>
  <c r="G163" i="1"/>
  <c r="G154" i="1"/>
  <c r="G149" i="1"/>
  <c r="G140" i="1"/>
  <c r="G135" i="1"/>
  <c r="G129" i="1"/>
  <c r="G123" i="1"/>
  <c r="G115" i="1"/>
  <c r="G109" i="1"/>
  <c r="G101" i="1"/>
  <c r="G95" i="1"/>
  <c r="G85" i="1"/>
  <c r="G80" i="1"/>
  <c r="G71" i="1"/>
  <c r="G66" i="1"/>
  <c r="G57" i="1"/>
  <c r="G52" i="1"/>
  <c r="G43" i="1"/>
  <c r="G29" i="1"/>
  <c r="G24" i="1"/>
  <c r="G15" i="1"/>
  <c r="G10" i="1"/>
  <c r="H361" i="1"/>
  <c r="H317" i="1"/>
  <c r="H304" i="1"/>
  <c r="H295" i="1"/>
  <c r="H237" i="1"/>
  <c r="H233" i="1"/>
  <c r="H224" i="1"/>
  <c r="H210" i="1"/>
  <c r="H196" i="1"/>
  <c r="H108" i="1"/>
  <c r="M544" i="1"/>
  <c r="N544" i="1"/>
  <c r="M540" i="1"/>
  <c r="N540" i="1"/>
  <c r="M536" i="1"/>
  <c r="N536" i="1"/>
  <c r="M532" i="1"/>
  <c r="N532" i="1"/>
  <c r="M528" i="1"/>
  <c r="N528" i="1"/>
  <c r="M524" i="1"/>
  <c r="N524" i="1"/>
  <c r="M520" i="1"/>
  <c r="N520" i="1"/>
  <c r="M516" i="1"/>
  <c r="N516" i="1"/>
  <c r="M512" i="1"/>
  <c r="N512" i="1"/>
  <c r="M508" i="1"/>
  <c r="N508" i="1"/>
  <c r="M504" i="1"/>
  <c r="N504" i="1"/>
  <c r="M500" i="1"/>
  <c r="N500" i="1"/>
  <c r="M496" i="1"/>
  <c r="N496" i="1"/>
  <c r="M492" i="1"/>
  <c r="N492" i="1"/>
  <c r="M488" i="1"/>
  <c r="N488" i="1"/>
  <c r="M484" i="1"/>
  <c r="N484" i="1"/>
  <c r="M480" i="1"/>
  <c r="N480" i="1"/>
  <c r="M476" i="1"/>
  <c r="N476" i="1"/>
  <c r="M472" i="1"/>
  <c r="N472" i="1"/>
  <c r="M468" i="1"/>
  <c r="N468" i="1"/>
  <c r="M464" i="1"/>
  <c r="N464" i="1"/>
  <c r="M460" i="1"/>
  <c r="N460" i="1"/>
  <c r="M456" i="1"/>
  <c r="N456" i="1"/>
  <c r="M452" i="1"/>
  <c r="N452" i="1"/>
  <c r="M448" i="1"/>
  <c r="N448" i="1"/>
  <c r="M444" i="1"/>
  <c r="N444" i="1"/>
  <c r="M440" i="1"/>
  <c r="N440" i="1"/>
  <c r="M436" i="1"/>
  <c r="N436" i="1"/>
  <c r="M432" i="1"/>
  <c r="N432" i="1"/>
  <c r="M428" i="1"/>
  <c r="N428" i="1"/>
  <c r="M424" i="1"/>
  <c r="N424" i="1"/>
  <c r="M420" i="1"/>
  <c r="N420" i="1"/>
  <c r="M414" i="1"/>
  <c r="N414" i="1"/>
  <c r="M405" i="1"/>
  <c r="N405" i="1"/>
  <c r="M398" i="1"/>
  <c r="N398" i="1"/>
  <c r="M389" i="1"/>
  <c r="N389" i="1"/>
  <c r="N382" i="1"/>
  <c r="M382" i="1"/>
  <c r="N371" i="1"/>
  <c r="M371" i="1"/>
  <c r="N368" i="1"/>
  <c r="M368" i="1"/>
  <c r="N362" i="1"/>
  <c r="M362" i="1"/>
  <c r="D93" i="1"/>
  <c r="G333" i="1"/>
  <c r="G209" i="1"/>
  <c r="G185" i="1"/>
  <c r="G165" i="1"/>
  <c r="G157" i="1"/>
  <c r="G137" i="1"/>
  <c r="G93" i="1"/>
  <c r="D108" i="1"/>
  <c r="G533" i="1"/>
  <c r="G527" i="1"/>
  <c r="G508" i="1"/>
  <c r="G501" i="1"/>
  <c r="G486" i="1"/>
  <c r="G477" i="1"/>
  <c r="G471" i="1"/>
  <c r="G445" i="1"/>
  <c r="G409" i="1"/>
  <c r="G395" i="1"/>
  <c r="G379" i="1"/>
  <c r="G349" i="1"/>
  <c r="G290" i="1"/>
  <c r="G219" i="1"/>
  <c r="G205" i="1"/>
  <c r="G191" i="1"/>
  <c r="G172" i="1"/>
  <c r="G167" i="1"/>
  <c r="G153" i="1"/>
  <c r="G144" i="1"/>
  <c r="G139" i="1"/>
  <c r="G127" i="1"/>
  <c r="G122" i="1"/>
  <c r="G113" i="1"/>
  <c r="G99" i="1"/>
  <c r="G94" i="1"/>
  <c r="G84" i="1"/>
  <c r="G79" i="1"/>
  <c r="G70" i="1"/>
  <c r="G56" i="1"/>
  <c r="G51" i="1"/>
  <c r="G37" i="1"/>
  <c r="G28" i="1"/>
  <c r="G23" i="1"/>
  <c r="G14" i="1"/>
  <c r="G9" i="1"/>
  <c r="H516" i="1"/>
  <c r="M547" i="1"/>
  <c r="N547" i="1"/>
  <c r="M543" i="1"/>
  <c r="N543" i="1"/>
  <c r="M539" i="1"/>
  <c r="N539" i="1"/>
  <c r="M535" i="1"/>
  <c r="N535" i="1"/>
  <c r="M531" i="1"/>
  <c r="N531" i="1"/>
  <c r="M527" i="1"/>
  <c r="N527" i="1"/>
  <c r="M523" i="1"/>
  <c r="N523" i="1"/>
  <c r="M519" i="1"/>
  <c r="N519" i="1"/>
  <c r="M515" i="1"/>
  <c r="N515" i="1"/>
  <c r="M511" i="1"/>
  <c r="N511" i="1"/>
  <c r="M507" i="1"/>
  <c r="N507" i="1"/>
  <c r="M503" i="1"/>
  <c r="N503" i="1"/>
  <c r="M499" i="1"/>
  <c r="N499" i="1"/>
  <c r="M495" i="1"/>
  <c r="N495" i="1"/>
  <c r="M491" i="1"/>
  <c r="N491" i="1"/>
  <c r="M487" i="1"/>
  <c r="N487" i="1"/>
  <c r="M483" i="1"/>
  <c r="N483" i="1"/>
  <c r="M479" i="1"/>
  <c r="N479" i="1"/>
  <c r="M475" i="1"/>
  <c r="N475" i="1"/>
  <c r="M471" i="1"/>
  <c r="N471" i="1"/>
  <c r="M467" i="1"/>
  <c r="N467" i="1"/>
  <c r="M463" i="1"/>
  <c r="N463" i="1"/>
  <c r="M459" i="1"/>
  <c r="N459" i="1"/>
  <c r="M455" i="1"/>
  <c r="N455" i="1"/>
  <c r="M451" i="1"/>
  <c r="N451" i="1"/>
  <c r="M447" i="1"/>
  <c r="N447" i="1"/>
  <c r="M443" i="1"/>
  <c r="N443" i="1"/>
  <c r="M439" i="1"/>
  <c r="N439" i="1"/>
  <c r="M435" i="1"/>
  <c r="N435" i="1"/>
  <c r="M431" i="1"/>
  <c r="N431" i="1"/>
  <c r="M427" i="1"/>
  <c r="N427" i="1"/>
  <c r="M423" i="1"/>
  <c r="N423" i="1"/>
  <c r="M419" i="1"/>
  <c r="N419" i="1"/>
  <c r="N411" i="1"/>
  <c r="M409" i="1"/>
  <c r="N409" i="1"/>
  <c r="M402" i="1"/>
  <c r="N402" i="1"/>
  <c r="N395" i="1"/>
  <c r="M393" i="1"/>
  <c r="N393" i="1"/>
  <c r="M386" i="1"/>
  <c r="N386" i="1"/>
  <c r="N379" i="1"/>
  <c r="M379" i="1"/>
  <c r="N376" i="1"/>
  <c r="M376" i="1"/>
  <c r="N367" i="1"/>
  <c r="M367" i="1"/>
  <c r="N364" i="1"/>
  <c r="M364" i="1"/>
  <c r="M75" i="1"/>
  <c r="N75" i="1"/>
  <c r="N416" i="1"/>
  <c r="N412" i="1"/>
  <c r="N408" i="1"/>
  <c r="N404" i="1"/>
  <c r="N400" i="1"/>
  <c r="N396" i="1"/>
  <c r="N392" i="1"/>
  <c r="N388" i="1"/>
  <c r="N384" i="1"/>
  <c r="M381" i="1"/>
  <c r="M378" i="1"/>
  <c r="M373" i="1"/>
  <c r="M370" i="1"/>
  <c r="M365" i="1"/>
  <c r="M361" i="1"/>
  <c r="M248" i="1"/>
  <c r="N248" i="1"/>
  <c r="M240" i="1"/>
  <c r="N240" i="1"/>
  <c r="M232" i="1"/>
  <c r="N232" i="1"/>
  <c r="M224" i="1"/>
  <c r="N224" i="1"/>
  <c r="M216" i="1"/>
  <c r="N216" i="1"/>
  <c r="M208" i="1"/>
  <c r="N208" i="1"/>
  <c r="M191" i="1"/>
  <c r="N191" i="1"/>
  <c r="M167" i="1"/>
  <c r="N167" i="1"/>
  <c r="M143" i="1"/>
  <c r="N143" i="1"/>
  <c r="M119" i="1"/>
  <c r="N119" i="1"/>
  <c r="N100" i="1"/>
  <c r="M100" i="1"/>
  <c r="M98" i="1"/>
  <c r="N98" i="1"/>
  <c r="M77" i="1"/>
  <c r="N77" i="1"/>
  <c r="N363" i="1"/>
  <c r="M363" i="1"/>
  <c r="N196" i="1"/>
  <c r="M196" i="1"/>
  <c r="M194" i="1"/>
  <c r="N194" i="1"/>
  <c r="N172" i="1"/>
  <c r="M172" i="1"/>
  <c r="M170" i="1"/>
  <c r="N170" i="1"/>
  <c r="N148" i="1"/>
  <c r="M148" i="1"/>
  <c r="M146" i="1"/>
  <c r="N146" i="1"/>
  <c r="N124" i="1"/>
  <c r="M124" i="1"/>
  <c r="M122" i="1"/>
  <c r="N122" i="1"/>
  <c r="M252" i="1"/>
  <c r="N252" i="1"/>
  <c r="M244" i="1"/>
  <c r="N244" i="1"/>
  <c r="M236" i="1"/>
  <c r="N236" i="1"/>
  <c r="M228" i="1"/>
  <c r="N228" i="1"/>
  <c r="M220" i="1"/>
  <c r="N220" i="1"/>
  <c r="M212" i="1"/>
  <c r="N212" i="1"/>
  <c r="M93" i="1"/>
  <c r="N93" i="1"/>
  <c r="N71" i="1"/>
  <c r="N69" i="1"/>
  <c r="N64" i="1"/>
  <c r="M64" i="1"/>
  <c r="M62" i="1"/>
  <c r="N62" i="1"/>
  <c r="N250" i="1"/>
  <c r="N246" i="1"/>
  <c r="N242" i="1"/>
  <c r="N238" i="1"/>
  <c r="N234" i="1"/>
  <c r="N230" i="1"/>
  <c r="N226" i="1"/>
  <c r="N222" i="1"/>
  <c r="N218" i="1"/>
  <c r="N214" i="1"/>
  <c r="N210" i="1"/>
  <c r="N206" i="1"/>
  <c r="N203" i="1"/>
  <c r="N201" i="1"/>
  <c r="N190" i="1"/>
  <c r="M190" i="1"/>
  <c r="M188" i="1"/>
  <c r="N188" i="1"/>
  <c r="N179" i="1"/>
  <c r="N177" i="1"/>
  <c r="N166" i="1"/>
  <c r="M166" i="1"/>
  <c r="M164" i="1"/>
  <c r="N164" i="1"/>
  <c r="N155" i="1"/>
  <c r="N153" i="1"/>
  <c r="N142" i="1"/>
  <c r="M142" i="1"/>
  <c r="M140" i="1"/>
  <c r="N140" i="1"/>
  <c r="N131" i="1"/>
  <c r="N129" i="1"/>
  <c r="N118" i="1"/>
  <c r="M118" i="1"/>
  <c r="M116" i="1"/>
  <c r="N116" i="1"/>
  <c r="N107" i="1"/>
  <c r="N105" i="1"/>
  <c r="N94" i="1"/>
  <c r="M94" i="1"/>
  <c r="M92" i="1"/>
  <c r="N92" i="1"/>
  <c r="N83" i="1"/>
  <c r="N76" i="1"/>
  <c r="M76" i="1"/>
  <c r="M74" i="1"/>
  <c r="N74" i="1"/>
  <c r="N58" i="1"/>
  <c r="M58" i="1"/>
  <c r="M360" i="1"/>
  <c r="M358" i="1"/>
  <c r="M356" i="1"/>
  <c r="M354" i="1"/>
  <c r="M352" i="1"/>
  <c r="M350" i="1"/>
  <c r="M348" i="1"/>
  <c r="M346" i="1"/>
  <c r="M344" i="1"/>
  <c r="M342" i="1"/>
  <c r="M340" i="1"/>
  <c r="M338" i="1"/>
  <c r="M336" i="1"/>
  <c r="M334" i="1"/>
  <c r="M332" i="1"/>
  <c r="M330" i="1"/>
  <c r="M328" i="1"/>
  <c r="M326" i="1"/>
  <c r="M324" i="1"/>
  <c r="M322" i="1"/>
  <c r="M320" i="1"/>
  <c r="M318" i="1"/>
  <c r="M316" i="1"/>
  <c r="M314" i="1"/>
  <c r="M312" i="1"/>
  <c r="M310" i="1"/>
  <c r="M308" i="1"/>
  <c r="M306" i="1"/>
  <c r="M304" i="1"/>
  <c r="M302" i="1"/>
  <c r="M300" i="1"/>
  <c r="M298" i="1"/>
  <c r="M296" i="1"/>
  <c r="N184" i="1"/>
  <c r="M184" i="1"/>
  <c r="M182" i="1"/>
  <c r="N182" i="1"/>
  <c r="N160" i="1"/>
  <c r="M160" i="1"/>
  <c r="M158" i="1"/>
  <c r="N158" i="1"/>
  <c r="N136" i="1"/>
  <c r="M136" i="1"/>
  <c r="M134" i="1"/>
  <c r="N134" i="1"/>
  <c r="N112" i="1"/>
  <c r="M112" i="1"/>
  <c r="M110" i="1"/>
  <c r="N110" i="1"/>
  <c r="N101" i="1"/>
  <c r="N88" i="1"/>
  <c r="M88" i="1"/>
  <c r="M86" i="1"/>
  <c r="N86" i="1"/>
  <c r="N70" i="1"/>
  <c r="M70" i="1"/>
  <c r="M68" i="1"/>
  <c r="N68" i="1"/>
  <c r="N65" i="1"/>
  <c r="N63" i="1"/>
  <c r="N202" i="1"/>
  <c r="M202" i="1"/>
  <c r="M200" i="1"/>
  <c r="N200" i="1"/>
  <c r="N178" i="1"/>
  <c r="M178" i="1"/>
  <c r="M176" i="1"/>
  <c r="N176" i="1"/>
  <c r="N154" i="1"/>
  <c r="M154" i="1"/>
  <c r="M152" i="1"/>
  <c r="N152" i="1"/>
  <c r="N130" i="1"/>
  <c r="M130" i="1"/>
  <c r="M128" i="1"/>
  <c r="N128" i="1"/>
  <c r="N106" i="1"/>
  <c r="M106" i="1"/>
  <c r="M104" i="1"/>
  <c r="N104" i="1"/>
  <c r="N82" i="1"/>
  <c r="M82" i="1"/>
  <c r="M80" i="1"/>
  <c r="N80" i="1"/>
  <c r="M57" i="1"/>
  <c r="N57" i="1"/>
  <c r="N54" i="1"/>
  <c r="M52" i="1"/>
  <c r="N50" i="1"/>
  <c r="M50" i="1"/>
  <c r="N48" i="1"/>
  <c r="M46" i="1"/>
  <c r="N44" i="1"/>
  <c r="M44" i="1"/>
  <c r="N42" i="1"/>
  <c r="M55" i="1"/>
  <c r="N53" i="1"/>
  <c r="M53" i="1"/>
  <c r="N51" i="1"/>
  <c r="M49" i="1"/>
  <c r="N47" i="1"/>
  <c r="M47" i="1"/>
  <c r="N45" i="1"/>
  <c r="M41" i="1"/>
  <c r="N41" i="1"/>
  <c r="M38" i="1"/>
  <c r="N38" i="1"/>
  <c r="M39" i="1"/>
  <c r="M36" i="1"/>
  <c r="M24" i="1"/>
  <c r="M21" i="1"/>
  <c r="N21" i="1"/>
  <c r="M14" i="1"/>
  <c r="N14" i="1"/>
  <c r="M12" i="1"/>
  <c r="N12" i="1"/>
  <c r="M3" i="1"/>
  <c r="N3" i="1"/>
  <c r="N31" i="1"/>
  <c r="M31" i="1"/>
  <c r="N28" i="1"/>
  <c r="M28" i="1"/>
  <c r="N25" i="1"/>
  <c r="M25" i="1"/>
  <c r="M20" i="1"/>
  <c r="N20" i="1"/>
  <c r="M18" i="1"/>
  <c r="N18" i="1"/>
  <c r="M11" i="1"/>
  <c r="N11" i="1"/>
  <c r="M9" i="1"/>
  <c r="N9" i="1"/>
  <c r="M6" i="1"/>
  <c r="N6" i="1"/>
  <c r="M40" i="1"/>
  <c r="M37" i="1"/>
  <c r="N35" i="1"/>
  <c r="M34" i="1"/>
  <c r="N32" i="1"/>
  <c r="N29" i="1"/>
  <c r="N26" i="1"/>
  <c r="M17" i="1"/>
  <c r="N17" i="1"/>
  <c r="M15" i="1"/>
  <c r="N15" i="1"/>
  <c r="M8" i="1"/>
  <c r="N8" i="1"/>
  <c r="M22" i="1"/>
  <c r="M19" i="1"/>
  <c r="M16" i="1"/>
  <c r="M13" i="1"/>
  <c r="M10" i="1"/>
  <c r="M7" i="1"/>
  <c r="M4" i="1"/>
  <c r="G544" i="1"/>
  <c r="G530" i="1"/>
  <c r="G526" i="1"/>
  <c r="H520" i="1"/>
  <c r="H517" i="1"/>
  <c r="G510" i="1"/>
  <c r="H506" i="1"/>
  <c r="H503" i="1"/>
  <c r="G494" i="1"/>
  <c r="H484" i="1"/>
  <c r="H475" i="1"/>
  <c r="H469" i="1"/>
  <c r="H462" i="1"/>
  <c r="H453" i="1"/>
  <c r="G439" i="1"/>
  <c r="H433" i="1"/>
  <c r="H419" i="1"/>
  <c r="H410" i="1"/>
  <c r="H405" i="1"/>
  <c r="H399" i="1"/>
  <c r="H377" i="1"/>
  <c r="H546" i="1"/>
  <c r="H532" i="1"/>
  <c r="G525" i="1"/>
  <c r="G522" i="1"/>
  <c r="G509" i="1"/>
  <c r="G502" i="1"/>
  <c r="H490" i="1"/>
  <c r="H483" i="1"/>
  <c r="G474" i="1"/>
  <c r="H468" i="1"/>
  <c r="H461" i="1"/>
  <c r="G455" i="1"/>
  <c r="H452" i="1"/>
  <c r="H447" i="1"/>
  <c r="G438" i="1"/>
  <c r="G432" i="1"/>
  <c r="G425" i="1"/>
  <c r="G418" i="1"/>
  <c r="G404" i="1"/>
  <c r="H398" i="1"/>
  <c r="H372" i="1"/>
  <c r="H363" i="1"/>
  <c r="G357" i="1"/>
  <c r="H354" i="1"/>
  <c r="G348" i="1"/>
  <c r="G342" i="1"/>
  <c r="H330" i="1"/>
  <c r="H327" i="1"/>
  <c r="G306" i="1"/>
  <c r="H270" i="1"/>
  <c r="G245" i="1"/>
  <c r="G236" i="1"/>
  <c r="H230" i="1"/>
  <c r="H215" i="1"/>
  <c r="G194" i="1"/>
  <c r="H161" i="1"/>
  <c r="H158" i="1"/>
  <c r="G152" i="1"/>
  <c r="G146" i="1"/>
  <c r="H134" i="1"/>
  <c r="G110" i="1"/>
  <c r="H74" i="1"/>
  <c r="G68" i="1"/>
  <c r="H50" i="1"/>
  <c r="H35" i="1"/>
  <c r="G26" i="1"/>
  <c r="H20" i="1"/>
  <c r="D532" i="1"/>
  <c r="D500" i="1"/>
  <c r="J407" i="1"/>
  <c r="E334" i="1"/>
  <c r="E155" i="1"/>
  <c r="D91" i="1"/>
  <c r="D79" i="1"/>
  <c r="G390" i="1"/>
  <c r="G362" i="1"/>
  <c r="G356" i="1"/>
  <c r="H344" i="1"/>
  <c r="G341" i="1"/>
  <c r="G329" i="1"/>
  <c r="G320" i="1"/>
  <c r="H314" i="1"/>
  <c r="G299" i="1"/>
  <c r="G284" i="1"/>
  <c r="G278" i="1"/>
  <c r="G250" i="1"/>
  <c r="H232" i="1"/>
  <c r="H229" i="1"/>
  <c r="H214" i="1"/>
  <c r="G208" i="1"/>
  <c r="G190" i="1"/>
  <c r="G175" i="1"/>
  <c r="G166" i="1"/>
  <c r="G160" i="1"/>
  <c r="H148" i="1"/>
  <c r="G145" i="1"/>
  <c r="H133" i="1"/>
  <c r="G124" i="1"/>
  <c r="H118" i="1"/>
  <c r="G103" i="1"/>
  <c r="G88" i="1"/>
  <c r="G82" i="1"/>
  <c r="H49" i="1"/>
  <c r="G40" i="1"/>
  <c r="H34" i="1"/>
  <c r="H19" i="1"/>
  <c r="J357" i="1"/>
  <c r="D209" i="1"/>
  <c r="D148" i="1"/>
  <c r="D136" i="1"/>
  <c r="D133" i="1"/>
  <c r="E105" i="1"/>
  <c r="H545" i="1"/>
  <c r="H537" i="1"/>
  <c r="H534" i="1"/>
  <c r="H531" i="1"/>
  <c r="H518" i="1"/>
  <c r="G511" i="1"/>
  <c r="H504" i="1"/>
  <c r="H492" i="1"/>
  <c r="H489" i="1"/>
  <c r="H476" i="1"/>
  <c r="H470" i="1"/>
  <c r="H467" i="1"/>
  <c r="G460" i="1"/>
  <c r="G454" i="1"/>
  <c r="G446" i="1"/>
  <c r="G440" i="1"/>
  <c r="G424" i="1"/>
  <c r="H414" i="1"/>
  <c r="H391" i="1"/>
  <c r="H382" i="1"/>
  <c r="G358" i="1"/>
  <c r="G343" i="1"/>
  <c r="G334" i="1"/>
  <c r="H328" i="1"/>
  <c r="H313" i="1"/>
  <c r="G292" i="1"/>
  <c r="G264" i="1"/>
  <c r="H246" i="1"/>
  <c r="H231" i="1"/>
  <c r="G222" i="1"/>
  <c r="H216" i="1"/>
  <c r="G186" i="1"/>
  <c r="G180" i="1"/>
  <c r="G162" i="1"/>
  <c r="G147" i="1"/>
  <c r="G138" i="1"/>
  <c r="H132" i="1"/>
  <c r="H117" i="1"/>
  <c r="G96" i="1"/>
  <c r="H60" i="1"/>
  <c r="G54" i="1"/>
  <c r="H36" i="1"/>
  <c r="H33" i="1"/>
  <c r="H18" i="1"/>
  <c r="G12" i="1"/>
  <c r="E526" i="1"/>
  <c r="J471" i="1"/>
  <c r="D465" i="1"/>
  <c r="D414" i="1"/>
  <c r="D378" i="1"/>
  <c r="D329" i="1"/>
  <c r="E308" i="1"/>
  <c r="E281" i="1"/>
  <c r="D262" i="1"/>
  <c r="D235" i="1"/>
  <c r="E205" i="1"/>
  <c r="D175" i="1"/>
  <c r="D35" i="1"/>
  <c r="D42" i="1"/>
  <c r="E27" i="1"/>
  <c r="E493" i="1"/>
  <c r="D493" i="1"/>
  <c r="J493" i="1"/>
  <c r="D422" i="1"/>
  <c r="D388" i="1"/>
  <c r="J336" i="1"/>
  <c r="E316" i="1"/>
  <c r="D316" i="1"/>
  <c r="D150" i="1"/>
  <c r="E150" i="1"/>
  <c r="J150" i="1"/>
  <c r="D94" i="1"/>
  <c r="E66" i="1"/>
  <c r="D66" i="1"/>
  <c r="J52" i="1"/>
  <c r="E39" i="1"/>
  <c r="D39" i="1"/>
  <c r="E29" i="1"/>
  <c r="J29" i="1"/>
  <c r="E25" i="1"/>
  <c r="D25" i="1"/>
  <c r="J25" i="1"/>
  <c r="E16" i="1"/>
  <c r="E13" i="1"/>
  <c r="D13" i="1"/>
  <c r="E9" i="1"/>
  <c r="J9" i="1"/>
  <c r="J422" i="1"/>
  <c r="J396" i="1"/>
  <c r="J256" i="1"/>
  <c r="J131" i="1"/>
  <c r="J116" i="1"/>
  <c r="J89" i="1"/>
  <c r="J512" i="2"/>
  <c r="E512" i="2"/>
  <c r="D512" i="2"/>
  <c r="J510" i="2"/>
  <c r="E510" i="2"/>
  <c r="D510" i="2"/>
  <c r="J509" i="2"/>
  <c r="E509" i="2"/>
  <c r="D509" i="2"/>
  <c r="J508" i="2"/>
  <c r="E508" i="2"/>
  <c r="D508" i="2"/>
  <c r="J507" i="2"/>
  <c r="E507" i="2"/>
  <c r="D507" i="2"/>
  <c r="J506" i="2"/>
  <c r="E506" i="2"/>
  <c r="D506" i="2"/>
  <c r="J505" i="2"/>
  <c r="E505" i="2"/>
  <c r="D505" i="2"/>
  <c r="J504" i="2"/>
  <c r="E504" i="2"/>
  <c r="D504" i="2"/>
  <c r="J503" i="2"/>
  <c r="E503" i="2"/>
  <c r="D503" i="2"/>
  <c r="J502" i="2"/>
  <c r="E502" i="2"/>
  <c r="D502" i="2"/>
  <c r="J501" i="2"/>
  <c r="E501" i="2"/>
  <c r="D501" i="2"/>
  <c r="J500" i="2"/>
  <c r="E500" i="2"/>
  <c r="D500" i="2"/>
  <c r="J499" i="2"/>
  <c r="E499" i="2"/>
  <c r="D499" i="2"/>
  <c r="J498" i="2"/>
  <c r="E498" i="2"/>
  <c r="D498" i="2"/>
  <c r="J497" i="2"/>
  <c r="E497" i="2"/>
  <c r="D497" i="2"/>
  <c r="J496" i="2"/>
  <c r="E496" i="2"/>
  <c r="D496" i="2"/>
  <c r="J495" i="2"/>
  <c r="E495" i="2"/>
  <c r="D495" i="2"/>
  <c r="J494" i="2"/>
  <c r="E494" i="2"/>
  <c r="D494" i="2"/>
  <c r="J493" i="2"/>
  <c r="E493" i="2"/>
  <c r="D493" i="2"/>
  <c r="J492" i="2"/>
  <c r="E492" i="2"/>
  <c r="D492" i="2"/>
  <c r="J491" i="2"/>
  <c r="E491" i="2"/>
  <c r="D491" i="2"/>
  <c r="J490" i="2"/>
  <c r="E490" i="2"/>
  <c r="D490" i="2"/>
  <c r="J489" i="2"/>
  <c r="E489" i="2"/>
  <c r="D489" i="2"/>
  <c r="J488" i="2"/>
  <c r="E488" i="2"/>
  <c r="D488" i="2"/>
  <c r="J487" i="2"/>
  <c r="E487" i="2"/>
  <c r="D487" i="2"/>
  <c r="J486" i="2"/>
  <c r="E486" i="2"/>
  <c r="D486" i="2"/>
  <c r="J485" i="2"/>
  <c r="E485" i="2"/>
  <c r="D485" i="2"/>
  <c r="J484" i="2"/>
  <c r="E484" i="2"/>
  <c r="D484" i="2"/>
  <c r="J483" i="2"/>
  <c r="E483" i="2"/>
  <c r="D483" i="2"/>
  <c r="J482" i="2"/>
  <c r="E482" i="2"/>
  <c r="D482" i="2"/>
  <c r="J481" i="2"/>
  <c r="E481" i="2"/>
  <c r="D481" i="2"/>
  <c r="J480" i="2"/>
  <c r="E480" i="2"/>
  <c r="D480" i="2"/>
  <c r="J479" i="2"/>
  <c r="E479" i="2"/>
  <c r="D479" i="2"/>
  <c r="J478" i="2"/>
  <c r="E478" i="2"/>
  <c r="D478" i="2"/>
  <c r="J477" i="2"/>
  <c r="E477" i="2"/>
  <c r="D477" i="2"/>
  <c r="J476" i="2"/>
  <c r="E476" i="2"/>
  <c r="D476" i="2"/>
  <c r="J475" i="2"/>
  <c r="E475" i="2"/>
  <c r="D475" i="2"/>
  <c r="J474" i="2"/>
  <c r="E474" i="2"/>
  <c r="D474" i="2"/>
  <c r="J473" i="2"/>
  <c r="E473" i="2"/>
  <c r="D473" i="2"/>
  <c r="J472" i="2"/>
  <c r="E472" i="2"/>
  <c r="D472" i="2"/>
  <c r="J471" i="2"/>
  <c r="E471" i="2"/>
  <c r="D471" i="2"/>
  <c r="J470" i="2"/>
  <c r="E470" i="2"/>
  <c r="D470" i="2"/>
  <c r="J469" i="2"/>
  <c r="E469" i="2"/>
  <c r="D469" i="2"/>
  <c r="J468" i="2"/>
  <c r="E468" i="2"/>
  <c r="D468" i="2"/>
  <c r="J467" i="2"/>
  <c r="E467" i="2"/>
  <c r="D467" i="2"/>
  <c r="J466" i="2"/>
  <c r="E466" i="2"/>
  <c r="D466" i="2"/>
  <c r="J465" i="2"/>
  <c r="E465" i="2"/>
  <c r="D465" i="2"/>
  <c r="J464" i="2"/>
  <c r="E464" i="2"/>
  <c r="D464" i="2"/>
  <c r="J463" i="2"/>
  <c r="E463" i="2"/>
  <c r="D463" i="2"/>
  <c r="J462" i="2"/>
  <c r="E462" i="2"/>
  <c r="D462" i="2"/>
  <c r="J461" i="2"/>
  <c r="E461" i="2"/>
  <c r="D461" i="2"/>
  <c r="J460" i="2"/>
  <c r="E460" i="2"/>
  <c r="D460" i="2"/>
  <c r="J459" i="2"/>
  <c r="E459" i="2"/>
  <c r="D459" i="2"/>
  <c r="J458" i="2"/>
  <c r="E458" i="2"/>
  <c r="D458" i="2"/>
  <c r="J457" i="2"/>
  <c r="E457" i="2"/>
  <c r="D457" i="2"/>
  <c r="J456" i="2"/>
  <c r="E456" i="2"/>
  <c r="D456" i="2"/>
  <c r="J455" i="2"/>
  <c r="E455" i="2"/>
  <c r="D455" i="2"/>
  <c r="J454" i="2"/>
  <c r="E454" i="2"/>
  <c r="D454" i="2"/>
  <c r="J453" i="2"/>
  <c r="E453" i="2"/>
  <c r="D453" i="2"/>
  <c r="J452" i="2"/>
  <c r="E452" i="2"/>
  <c r="D452" i="2"/>
  <c r="J451" i="2"/>
  <c r="E451" i="2"/>
  <c r="D451" i="2"/>
  <c r="J450" i="2"/>
  <c r="E450" i="2"/>
  <c r="D450" i="2"/>
  <c r="J449" i="2"/>
  <c r="E449" i="2"/>
  <c r="D449" i="2"/>
  <c r="J448" i="2"/>
  <c r="E448" i="2"/>
  <c r="D448" i="2"/>
  <c r="J447" i="2"/>
  <c r="E447" i="2"/>
  <c r="D447" i="2"/>
  <c r="J446" i="2"/>
  <c r="E446" i="2"/>
  <c r="D446" i="2"/>
  <c r="J445" i="2"/>
  <c r="E445" i="2"/>
  <c r="D445" i="2"/>
  <c r="J444" i="2"/>
  <c r="E444" i="2"/>
  <c r="D444" i="2"/>
  <c r="J443" i="2"/>
  <c r="E443" i="2"/>
  <c r="D443" i="2"/>
  <c r="J442" i="2"/>
  <c r="E442" i="2"/>
  <c r="D442" i="2"/>
  <c r="J441" i="2"/>
  <c r="E441" i="2"/>
  <c r="D441" i="2"/>
  <c r="J440" i="2"/>
  <c r="E440" i="2"/>
  <c r="D440" i="2"/>
  <c r="J439" i="2"/>
  <c r="E439" i="2"/>
  <c r="D439" i="2"/>
  <c r="J438" i="2"/>
  <c r="E438" i="2"/>
  <c r="D438" i="2"/>
  <c r="J437" i="2"/>
  <c r="E437" i="2"/>
  <c r="D437" i="2"/>
  <c r="J436" i="2"/>
  <c r="E436" i="2"/>
  <c r="D436" i="2"/>
  <c r="J435" i="2"/>
  <c r="E435" i="2"/>
  <c r="D435" i="2"/>
  <c r="J434" i="2"/>
  <c r="E434" i="2"/>
  <c r="D434" i="2"/>
  <c r="J433" i="2"/>
  <c r="E433" i="2"/>
  <c r="D433" i="2"/>
  <c r="J432" i="2"/>
  <c r="E432" i="2"/>
  <c r="D432" i="2"/>
  <c r="J431" i="2"/>
  <c r="E431" i="2"/>
  <c r="D431" i="2"/>
  <c r="J430" i="2"/>
  <c r="E430" i="2"/>
  <c r="D430" i="2"/>
  <c r="J429" i="2"/>
  <c r="E429" i="2"/>
  <c r="D429" i="2"/>
  <c r="J428" i="2"/>
  <c r="E428" i="2"/>
  <c r="D428" i="2"/>
  <c r="J427" i="2"/>
  <c r="E427" i="2"/>
  <c r="D427" i="2"/>
  <c r="J426" i="2"/>
  <c r="E426" i="2"/>
  <c r="D426" i="2"/>
  <c r="J425" i="2"/>
  <c r="E425" i="2"/>
  <c r="D425" i="2"/>
  <c r="J424" i="2"/>
  <c r="E424" i="2"/>
  <c r="D424" i="2"/>
  <c r="J423" i="2"/>
  <c r="E423" i="2"/>
  <c r="D423" i="2"/>
  <c r="J421" i="2"/>
  <c r="E421" i="2"/>
  <c r="D421" i="2"/>
  <c r="J420" i="2"/>
  <c r="E420" i="2"/>
  <c r="D420" i="2"/>
  <c r="J419" i="2"/>
  <c r="E419" i="2"/>
  <c r="D419" i="2"/>
  <c r="J417" i="2"/>
  <c r="E417" i="2"/>
  <c r="D417" i="2"/>
  <c r="J416" i="2"/>
  <c r="E416" i="2"/>
  <c r="D416" i="2"/>
  <c r="J415" i="2"/>
  <c r="E415" i="2"/>
  <c r="D415" i="2"/>
  <c r="J414" i="2"/>
  <c r="E414" i="2"/>
  <c r="D414" i="2"/>
  <c r="J413" i="2"/>
  <c r="E413" i="2"/>
  <c r="D413" i="2"/>
  <c r="J412" i="2"/>
  <c r="E412" i="2"/>
  <c r="D412" i="2"/>
  <c r="J411" i="2"/>
  <c r="E411" i="2"/>
  <c r="D411" i="2"/>
  <c r="J409" i="2"/>
  <c r="E409" i="2"/>
  <c r="D409" i="2"/>
  <c r="J408" i="2"/>
  <c r="E408" i="2"/>
  <c r="D408" i="2"/>
  <c r="J407" i="2"/>
  <c r="E407" i="2"/>
  <c r="D407" i="2"/>
  <c r="J406" i="2"/>
  <c r="E406" i="2"/>
  <c r="D406" i="2"/>
  <c r="J405" i="2"/>
  <c r="E405" i="2"/>
  <c r="D405" i="2"/>
  <c r="J404" i="2"/>
  <c r="E404" i="2"/>
  <c r="D404" i="2"/>
  <c r="J403" i="2"/>
  <c r="E403" i="2"/>
  <c r="D403" i="2"/>
  <c r="J402" i="2"/>
  <c r="E402" i="2"/>
  <c r="D402" i="2"/>
  <c r="J401" i="2"/>
  <c r="E401" i="2"/>
  <c r="D401" i="2"/>
  <c r="J400" i="2"/>
  <c r="E400" i="2"/>
  <c r="D400" i="2"/>
  <c r="J399" i="2"/>
  <c r="E399" i="2"/>
  <c r="D399" i="2"/>
  <c r="J398" i="2"/>
  <c r="E398" i="2"/>
  <c r="D398" i="2"/>
  <c r="J397" i="2"/>
  <c r="E397" i="2"/>
  <c r="D397" i="2"/>
  <c r="J396" i="2"/>
  <c r="E396" i="2"/>
  <c r="D396" i="2"/>
  <c r="J395" i="2"/>
  <c r="E395" i="2"/>
  <c r="D395" i="2"/>
  <c r="J394" i="2"/>
  <c r="E394" i="2"/>
  <c r="D394" i="2"/>
  <c r="J393" i="2"/>
  <c r="E393" i="2"/>
  <c r="D393" i="2"/>
  <c r="J392" i="2"/>
  <c r="E392" i="2"/>
  <c r="D392" i="2"/>
  <c r="J391" i="2"/>
  <c r="E391" i="2"/>
  <c r="D391" i="2"/>
  <c r="J390" i="2"/>
  <c r="E390" i="2"/>
  <c r="D390" i="2"/>
  <c r="J389" i="2"/>
  <c r="E389" i="2"/>
  <c r="D389" i="2"/>
  <c r="J388" i="2"/>
  <c r="E388" i="2"/>
  <c r="D388" i="2"/>
  <c r="J387" i="2"/>
  <c r="E387" i="2"/>
  <c r="D387" i="2"/>
  <c r="J386" i="2"/>
  <c r="E386" i="2"/>
  <c r="D386" i="2"/>
  <c r="J385" i="2"/>
  <c r="E385" i="2"/>
  <c r="D385" i="2"/>
  <c r="J384" i="2"/>
  <c r="E384" i="2"/>
  <c r="D384" i="2"/>
  <c r="J383" i="2"/>
  <c r="E383" i="2"/>
  <c r="D383" i="2"/>
  <c r="J382" i="2"/>
  <c r="E382" i="2"/>
  <c r="D382" i="2"/>
  <c r="J381" i="2"/>
  <c r="E381" i="2"/>
  <c r="D381" i="2"/>
  <c r="J380" i="2"/>
  <c r="E380" i="2"/>
  <c r="D380" i="2"/>
  <c r="J379" i="2"/>
  <c r="E379" i="2"/>
  <c r="D379" i="2"/>
  <c r="J378" i="2"/>
  <c r="E378" i="2"/>
  <c r="D378" i="2"/>
  <c r="J377" i="2"/>
  <c r="E377" i="2"/>
  <c r="D377" i="2"/>
  <c r="J376" i="2"/>
  <c r="E376" i="2"/>
  <c r="D376" i="2"/>
  <c r="J375" i="2"/>
  <c r="E375" i="2"/>
  <c r="D375" i="2"/>
  <c r="J374" i="2"/>
  <c r="E374" i="2"/>
  <c r="D374" i="2"/>
  <c r="J373" i="2"/>
  <c r="E373" i="2"/>
  <c r="D373" i="2"/>
  <c r="J372" i="2"/>
  <c r="E372" i="2"/>
  <c r="D372" i="2"/>
  <c r="J371" i="2"/>
  <c r="E371" i="2"/>
  <c r="D371" i="2"/>
  <c r="J370" i="2"/>
  <c r="E370" i="2"/>
  <c r="D370" i="2"/>
  <c r="J369" i="2"/>
  <c r="E369" i="2"/>
  <c r="D369" i="2"/>
  <c r="J368" i="2"/>
  <c r="E368" i="2"/>
  <c r="D368" i="2"/>
  <c r="J367" i="2"/>
  <c r="E367" i="2"/>
  <c r="D367" i="2"/>
  <c r="J366" i="2"/>
  <c r="E366" i="2"/>
  <c r="D366" i="2"/>
  <c r="J365" i="2"/>
  <c r="E365" i="2"/>
  <c r="D365" i="2"/>
  <c r="J364" i="2"/>
  <c r="E364" i="2"/>
  <c r="D364" i="2"/>
  <c r="J363" i="2"/>
  <c r="E363" i="2"/>
  <c r="D363" i="2"/>
  <c r="J362" i="2"/>
  <c r="E362" i="2"/>
  <c r="D362" i="2"/>
  <c r="J361" i="2"/>
  <c r="E361" i="2"/>
  <c r="D361" i="2"/>
  <c r="J360" i="2"/>
  <c r="E360" i="2"/>
  <c r="D360" i="2"/>
  <c r="J359" i="2"/>
  <c r="E359" i="2"/>
  <c r="D359" i="2"/>
  <c r="J358" i="2"/>
  <c r="E358" i="2"/>
  <c r="D358" i="2"/>
  <c r="J357" i="2"/>
  <c r="E357" i="2"/>
  <c r="D357" i="2"/>
  <c r="J356" i="2"/>
  <c r="E356" i="2"/>
  <c r="D356" i="2"/>
  <c r="J355" i="2"/>
  <c r="E355" i="2"/>
  <c r="D355" i="2"/>
  <c r="J354" i="2"/>
  <c r="E354" i="2"/>
  <c r="D354" i="2"/>
  <c r="J353" i="2"/>
  <c r="E353" i="2"/>
  <c r="D353" i="2"/>
  <c r="J352" i="2"/>
  <c r="E352" i="2"/>
  <c r="D352" i="2"/>
  <c r="J351" i="2"/>
  <c r="E351" i="2"/>
  <c r="D351" i="2"/>
  <c r="J350" i="2"/>
  <c r="E350" i="2"/>
  <c r="D350" i="2"/>
  <c r="J349" i="2"/>
  <c r="E349" i="2"/>
  <c r="D349" i="2"/>
  <c r="J348" i="2"/>
  <c r="E348" i="2"/>
  <c r="D348" i="2"/>
  <c r="J347" i="2"/>
  <c r="E347" i="2"/>
  <c r="D347" i="2"/>
  <c r="J346" i="2"/>
  <c r="E346" i="2"/>
  <c r="D346" i="2"/>
  <c r="J345" i="2"/>
  <c r="E345" i="2"/>
  <c r="D345" i="2"/>
  <c r="J344" i="2"/>
  <c r="E344" i="2"/>
  <c r="D344" i="2"/>
  <c r="J343" i="2"/>
  <c r="E343" i="2"/>
  <c r="D343" i="2"/>
  <c r="J342" i="2"/>
  <c r="E342" i="2"/>
  <c r="D342" i="2"/>
  <c r="J341" i="2"/>
  <c r="E341" i="2"/>
  <c r="D341" i="2"/>
  <c r="J340" i="2"/>
  <c r="E340" i="2"/>
  <c r="D340" i="2"/>
  <c r="J339" i="2"/>
  <c r="E339" i="2"/>
  <c r="D339" i="2"/>
  <c r="J338" i="2"/>
  <c r="E338" i="2"/>
  <c r="D338" i="2"/>
  <c r="J337" i="2"/>
  <c r="E337" i="2"/>
  <c r="D337" i="2"/>
  <c r="J336" i="2"/>
  <c r="E336" i="2"/>
  <c r="D336" i="2"/>
  <c r="J335" i="2"/>
  <c r="E335" i="2"/>
  <c r="D335" i="2"/>
  <c r="J334" i="2"/>
  <c r="E334" i="2"/>
  <c r="D334" i="2"/>
  <c r="J333" i="2"/>
  <c r="E333" i="2"/>
  <c r="D333" i="2"/>
  <c r="J332" i="2"/>
  <c r="E332" i="2"/>
  <c r="D332" i="2"/>
  <c r="J331" i="2"/>
  <c r="E331" i="2"/>
  <c r="D331" i="2"/>
  <c r="J330" i="2"/>
  <c r="E330" i="2"/>
  <c r="D330" i="2"/>
  <c r="J329" i="2"/>
  <c r="E329" i="2"/>
  <c r="D329" i="2"/>
  <c r="J328" i="2"/>
  <c r="E328" i="2"/>
  <c r="D328" i="2"/>
  <c r="J327" i="2"/>
  <c r="E327" i="2"/>
  <c r="D327" i="2"/>
  <c r="J326" i="2"/>
  <c r="E326" i="2"/>
  <c r="D326" i="2"/>
  <c r="J325" i="2"/>
  <c r="E325" i="2"/>
  <c r="D325" i="2"/>
  <c r="J324" i="2"/>
  <c r="E324" i="2"/>
  <c r="D324" i="2"/>
  <c r="J323" i="2"/>
  <c r="E323" i="2"/>
  <c r="D323" i="2"/>
  <c r="J322" i="2"/>
  <c r="E322" i="2"/>
  <c r="D322" i="2"/>
  <c r="J321" i="2"/>
  <c r="E321" i="2"/>
  <c r="D321" i="2"/>
  <c r="J320" i="2"/>
  <c r="E320" i="2"/>
  <c r="D320" i="2"/>
  <c r="J319" i="2"/>
  <c r="E319" i="2"/>
  <c r="D319" i="2"/>
  <c r="J318" i="2"/>
  <c r="E318" i="2"/>
  <c r="D318" i="2"/>
  <c r="J317" i="2"/>
  <c r="E317" i="2"/>
  <c r="D317" i="2"/>
  <c r="J316" i="2"/>
  <c r="E316" i="2"/>
  <c r="D316" i="2"/>
  <c r="J315" i="2"/>
  <c r="E315" i="2"/>
  <c r="D315" i="2"/>
  <c r="J314" i="2"/>
  <c r="E314" i="2"/>
  <c r="D314" i="2"/>
  <c r="J313" i="2"/>
  <c r="E313" i="2"/>
  <c r="D313" i="2"/>
  <c r="J312" i="2"/>
  <c r="E312" i="2"/>
  <c r="D312" i="2"/>
  <c r="J311" i="2"/>
  <c r="E311" i="2"/>
  <c r="D311" i="2"/>
  <c r="J310" i="2"/>
  <c r="E310" i="2"/>
  <c r="D310" i="2"/>
  <c r="J309" i="2"/>
  <c r="E309" i="2"/>
  <c r="D309" i="2"/>
  <c r="J308" i="2"/>
  <c r="E308" i="2"/>
  <c r="D308" i="2"/>
  <c r="J307" i="2"/>
  <c r="E307" i="2"/>
  <c r="D307" i="2"/>
  <c r="J306" i="2"/>
  <c r="E306" i="2"/>
  <c r="D306" i="2"/>
  <c r="J305" i="2"/>
  <c r="E305" i="2"/>
  <c r="D305" i="2"/>
  <c r="J304" i="2"/>
  <c r="E304" i="2"/>
  <c r="D304" i="2"/>
  <c r="J303" i="2"/>
  <c r="E303" i="2"/>
  <c r="D303" i="2"/>
  <c r="J302" i="2"/>
  <c r="E302" i="2"/>
  <c r="D302" i="2"/>
  <c r="J301" i="2"/>
  <c r="E301" i="2"/>
  <c r="D301" i="2"/>
  <c r="J300" i="2"/>
  <c r="E300" i="2"/>
  <c r="D300" i="2"/>
  <c r="J299" i="2"/>
  <c r="E299" i="2"/>
  <c r="D299" i="2"/>
  <c r="J298" i="2"/>
  <c r="E298" i="2"/>
  <c r="D298" i="2"/>
  <c r="J297" i="2"/>
  <c r="E297" i="2"/>
  <c r="D297" i="2"/>
  <c r="J296" i="2"/>
  <c r="E296" i="2"/>
  <c r="D296" i="2"/>
  <c r="J295" i="2"/>
  <c r="E295" i="2"/>
  <c r="D295" i="2"/>
  <c r="J294" i="2"/>
  <c r="E294" i="2"/>
  <c r="D294" i="2"/>
  <c r="J293" i="2"/>
  <c r="E293" i="2"/>
  <c r="D293" i="2"/>
  <c r="J292" i="2"/>
  <c r="E292" i="2"/>
  <c r="D292" i="2"/>
  <c r="J291" i="2"/>
  <c r="E291" i="2"/>
  <c r="D291" i="2"/>
  <c r="J290" i="2"/>
  <c r="E290" i="2"/>
  <c r="D290" i="2"/>
  <c r="J289" i="2"/>
  <c r="E289" i="2"/>
  <c r="D289" i="2"/>
  <c r="J288" i="2"/>
  <c r="E288" i="2"/>
  <c r="D288" i="2"/>
  <c r="J287" i="2"/>
  <c r="E287" i="2"/>
  <c r="D287" i="2"/>
  <c r="J286" i="2"/>
  <c r="E286" i="2"/>
  <c r="D286" i="2"/>
  <c r="J285" i="2"/>
  <c r="E285" i="2"/>
  <c r="D285" i="2"/>
  <c r="J284" i="2"/>
  <c r="E284" i="2"/>
  <c r="D284" i="2"/>
  <c r="J283" i="2"/>
  <c r="E283" i="2"/>
  <c r="D283" i="2"/>
  <c r="J282" i="2"/>
  <c r="E282" i="2"/>
  <c r="D282" i="2"/>
  <c r="J281" i="2"/>
  <c r="E281" i="2"/>
  <c r="D281" i="2"/>
  <c r="J280" i="2"/>
  <c r="E280" i="2"/>
  <c r="D280" i="2"/>
  <c r="J279" i="2"/>
  <c r="E279" i="2"/>
  <c r="D279" i="2"/>
  <c r="J277" i="2"/>
  <c r="E277" i="2"/>
  <c r="D277" i="2"/>
  <c r="J276" i="2"/>
  <c r="E276" i="2"/>
  <c r="D276" i="2"/>
  <c r="J275" i="2"/>
  <c r="E275" i="2"/>
  <c r="D275" i="2"/>
  <c r="J274" i="2"/>
  <c r="E274" i="2"/>
  <c r="D274" i="2"/>
  <c r="J273" i="2"/>
  <c r="E273" i="2"/>
  <c r="D273" i="2"/>
  <c r="J272" i="2"/>
  <c r="E272" i="2"/>
  <c r="D272" i="2"/>
  <c r="J271" i="2"/>
  <c r="E271" i="2"/>
  <c r="D271" i="2"/>
  <c r="J270" i="2"/>
  <c r="E270" i="2"/>
  <c r="D270" i="2"/>
  <c r="J269" i="2"/>
  <c r="E269" i="2"/>
  <c r="D269" i="2"/>
  <c r="J267" i="2"/>
  <c r="E267" i="2"/>
  <c r="D267" i="2"/>
  <c r="J266" i="2"/>
  <c r="E266" i="2"/>
  <c r="D266" i="2"/>
  <c r="J265" i="2"/>
  <c r="E265" i="2"/>
  <c r="D265" i="2"/>
  <c r="J264" i="2"/>
  <c r="E264" i="2"/>
  <c r="D264" i="2"/>
  <c r="J263" i="2"/>
  <c r="E263" i="2"/>
  <c r="D263" i="2"/>
  <c r="J262" i="2"/>
  <c r="E262" i="2"/>
  <c r="D262" i="2"/>
  <c r="J261" i="2"/>
  <c r="E261" i="2"/>
  <c r="D261" i="2"/>
  <c r="J260" i="2"/>
  <c r="E260" i="2"/>
  <c r="D260" i="2"/>
  <c r="J259" i="2"/>
  <c r="E259" i="2"/>
  <c r="D259" i="2"/>
  <c r="J258" i="2"/>
  <c r="E258" i="2"/>
  <c r="D258" i="2"/>
  <c r="J257" i="2"/>
  <c r="E257" i="2"/>
  <c r="D257" i="2"/>
  <c r="J256" i="2"/>
  <c r="E256" i="2"/>
  <c r="D256" i="2"/>
  <c r="J255" i="2"/>
  <c r="E255" i="2"/>
  <c r="D255" i="2"/>
  <c r="J254" i="2"/>
  <c r="E254" i="2"/>
  <c r="D254" i="2"/>
  <c r="J253" i="2"/>
  <c r="E253" i="2"/>
  <c r="D253" i="2"/>
  <c r="J252" i="2"/>
  <c r="E252" i="2"/>
  <c r="D252" i="2"/>
  <c r="J251" i="2"/>
  <c r="E251" i="2"/>
  <c r="D251" i="2"/>
  <c r="J250" i="2"/>
  <c r="E250" i="2"/>
  <c r="D250" i="2"/>
  <c r="J249" i="2"/>
  <c r="E249" i="2"/>
  <c r="D249" i="2"/>
  <c r="J248" i="2"/>
  <c r="E248" i="2"/>
  <c r="D248" i="2"/>
  <c r="J247" i="2"/>
  <c r="E247" i="2"/>
  <c r="D247" i="2"/>
  <c r="J246" i="2"/>
  <c r="E246" i="2"/>
  <c r="D246" i="2"/>
  <c r="J245" i="2"/>
  <c r="E245" i="2"/>
  <c r="D245" i="2"/>
  <c r="J244" i="2"/>
  <c r="E244" i="2"/>
  <c r="D244" i="2"/>
  <c r="J243" i="2"/>
  <c r="E243" i="2"/>
  <c r="D243" i="2"/>
  <c r="J242" i="2"/>
  <c r="E242" i="2"/>
  <c r="D242" i="2"/>
  <c r="J241" i="2"/>
  <c r="E241" i="2"/>
  <c r="D241" i="2"/>
  <c r="J240" i="2"/>
  <c r="E240" i="2"/>
  <c r="D240" i="2"/>
  <c r="J239" i="2"/>
  <c r="E239" i="2"/>
  <c r="D239" i="2"/>
  <c r="J238" i="2"/>
  <c r="E238" i="2"/>
  <c r="D238" i="2"/>
  <c r="J237" i="2"/>
  <c r="E237" i="2"/>
  <c r="D237" i="2"/>
  <c r="J236" i="2"/>
  <c r="E236" i="2"/>
  <c r="D236" i="2"/>
  <c r="J235" i="2"/>
  <c r="E235" i="2"/>
  <c r="D235" i="2"/>
  <c r="J234" i="2"/>
  <c r="E234" i="2"/>
  <c r="D234" i="2"/>
  <c r="J233" i="2"/>
  <c r="E233" i="2"/>
  <c r="D233" i="2"/>
  <c r="J232" i="2"/>
  <c r="E232" i="2"/>
  <c r="D232" i="2"/>
  <c r="J231" i="2"/>
  <c r="E231" i="2"/>
  <c r="D231" i="2"/>
  <c r="J230" i="2"/>
  <c r="E230" i="2"/>
  <c r="D230" i="2"/>
  <c r="J229" i="2"/>
  <c r="E229" i="2"/>
  <c r="D229" i="2"/>
  <c r="J228" i="2"/>
  <c r="E228" i="2"/>
  <c r="D228" i="2"/>
  <c r="J227" i="2"/>
  <c r="E227" i="2"/>
  <c r="D227" i="2"/>
  <c r="J226" i="2"/>
  <c r="E226" i="2"/>
  <c r="D226" i="2"/>
  <c r="J225" i="2"/>
  <c r="E225" i="2"/>
  <c r="D225" i="2"/>
  <c r="J224" i="2"/>
  <c r="E224" i="2"/>
  <c r="D224" i="2"/>
  <c r="J223" i="2"/>
  <c r="E223" i="2"/>
  <c r="D223" i="2"/>
  <c r="J222" i="2"/>
  <c r="E222" i="2"/>
  <c r="D222" i="2"/>
  <c r="J221" i="2"/>
  <c r="E221" i="2"/>
  <c r="D221" i="2"/>
  <c r="J220" i="2"/>
  <c r="E220" i="2"/>
  <c r="D220" i="2"/>
  <c r="J219" i="2"/>
  <c r="E219" i="2"/>
  <c r="D219" i="2"/>
  <c r="J218" i="2"/>
  <c r="E218" i="2"/>
  <c r="D218" i="2"/>
  <c r="J217" i="2"/>
  <c r="E217" i="2"/>
  <c r="D217" i="2"/>
  <c r="J216" i="2"/>
  <c r="E216" i="2"/>
  <c r="D216" i="2"/>
  <c r="J215" i="2"/>
  <c r="E215" i="2"/>
  <c r="D215" i="2"/>
  <c r="J214" i="2"/>
  <c r="E214" i="2"/>
  <c r="D214" i="2"/>
  <c r="J213" i="2"/>
  <c r="E213" i="2"/>
  <c r="D213" i="2"/>
  <c r="J212" i="2"/>
  <c r="E212" i="2"/>
  <c r="D212" i="2"/>
  <c r="J211" i="2"/>
  <c r="E211" i="2"/>
  <c r="D211" i="2"/>
  <c r="J210" i="2"/>
  <c r="E210" i="2"/>
  <c r="D210" i="2"/>
  <c r="J209" i="2"/>
  <c r="E209" i="2"/>
  <c r="D209" i="2"/>
  <c r="J208" i="2"/>
  <c r="E208" i="2"/>
  <c r="D208" i="2"/>
  <c r="J207" i="2"/>
  <c r="E207" i="2"/>
  <c r="D207" i="2"/>
  <c r="J206" i="2"/>
  <c r="E206" i="2"/>
  <c r="D206" i="2"/>
  <c r="J205" i="2"/>
  <c r="E205" i="2"/>
  <c r="D205" i="2"/>
  <c r="J204" i="2"/>
  <c r="E204" i="2"/>
  <c r="D204" i="2"/>
  <c r="J203" i="2"/>
  <c r="E203" i="2"/>
  <c r="D203" i="2"/>
  <c r="J202" i="2"/>
  <c r="E202" i="2"/>
  <c r="D202" i="2"/>
  <c r="J201" i="2"/>
  <c r="E201" i="2"/>
  <c r="D201" i="2"/>
  <c r="J200" i="2"/>
  <c r="E200" i="2"/>
  <c r="D200" i="2"/>
  <c r="J199" i="2"/>
  <c r="E199" i="2"/>
  <c r="D199" i="2"/>
  <c r="J198" i="2"/>
  <c r="E198" i="2"/>
  <c r="D198" i="2"/>
  <c r="J197" i="2"/>
  <c r="E197" i="2"/>
  <c r="D197" i="2"/>
  <c r="J196" i="2"/>
  <c r="E196" i="2"/>
  <c r="D196" i="2"/>
  <c r="J195" i="2"/>
  <c r="E195" i="2"/>
  <c r="D195" i="2"/>
  <c r="J194" i="2"/>
  <c r="E194" i="2"/>
  <c r="D194" i="2"/>
  <c r="J193" i="2"/>
  <c r="E193" i="2"/>
  <c r="D193" i="2"/>
  <c r="J192" i="2"/>
  <c r="E192" i="2"/>
  <c r="D192" i="2"/>
  <c r="J191" i="2"/>
  <c r="E191" i="2"/>
  <c r="D191" i="2"/>
  <c r="J190" i="2"/>
  <c r="E190" i="2"/>
  <c r="D190" i="2"/>
  <c r="J189" i="2"/>
  <c r="E189" i="2"/>
  <c r="D189" i="2"/>
  <c r="J187" i="2"/>
  <c r="E187" i="2"/>
  <c r="D187" i="2"/>
  <c r="J186" i="2"/>
  <c r="E186" i="2"/>
  <c r="D186" i="2"/>
  <c r="J185" i="2"/>
  <c r="E185" i="2"/>
  <c r="D185" i="2"/>
  <c r="J184" i="2"/>
  <c r="E184" i="2"/>
  <c r="D184" i="2"/>
  <c r="J183" i="2"/>
  <c r="E183" i="2"/>
  <c r="D183" i="2"/>
  <c r="J182" i="2"/>
  <c r="E182" i="2"/>
  <c r="D182" i="2"/>
  <c r="J181" i="2"/>
  <c r="E181" i="2"/>
  <c r="D181" i="2"/>
  <c r="J180" i="2"/>
  <c r="E180" i="2"/>
  <c r="D180" i="2"/>
  <c r="J179" i="2"/>
  <c r="E179" i="2"/>
  <c r="D179" i="2"/>
  <c r="J178" i="2"/>
  <c r="E178" i="2"/>
  <c r="D178" i="2"/>
  <c r="J177" i="2"/>
  <c r="E177" i="2"/>
  <c r="D177" i="2"/>
  <c r="J175" i="2"/>
  <c r="E175" i="2"/>
  <c r="D175" i="2"/>
  <c r="J174" i="2"/>
  <c r="E174" i="2"/>
  <c r="D174" i="2"/>
  <c r="J173" i="2"/>
  <c r="E173" i="2"/>
  <c r="D173" i="2"/>
  <c r="J172" i="2"/>
  <c r="E172" i="2"/>
  <c r="D172" i="2"/>
  <c r="J171" i="2"/>
  <c r="E171" i="2"/>
  <c r="D171" i="2"/>
  <c r="J170" i="2"/>
  <c r="E170" i="2"/>
  <c r="D170" i="2"/>
  <c r="J169" i="2"/>
  <c r="E169" i="2"/>
  <c r="D169" i="2"/>
  <c r="J168" i="2"/>
  <c r="E168" i="2"/>
  <c r="D168" i="2"/>
  <c r="J167" i="2"/>
  <c r="E167" i="2"/>
  <c r="D167" i="2"/>
  <c r="J166" i="2"/>
  <c r="E166" i="2"/>
  <c r="D166" i="2"/>
  <c r="J165" i="2"/>
  <c r="E165" i="2"/>
  <c r="D165" i="2"/>
  <c r="J164" i="2"/>
  <c r="E164" i="2"/>
  <c r="D164" i="2"/>
  <c r="J163" i="2"/>
  <c r="E163" i="2"/>
  <c r="D163" i="2"/>
  <c r="J162" i="2"/>
  <c r="E162" i="2"/>
  <c r="D162" i="2"/>
  <c r="J161" i="2"/>
  <c r="E161" i="2"/>
  <c r="D161" i="2"/>
  <c r="J160" i="2"/>
  <c r="E160" i="2"/>
  <c r="D160" i="2"/>
  <c r="J159" i="2"/>
  <c r="E159" i="2"/>
  <c r="D159" i="2"/>
  <c r="J158" i="2"/>
  <c r="E158" i="2"/>
  <c r="D158" i="2"/>
  <c r="J157" i="2"/>
  <c r="E157" i="2"/>
  <c r="D157" i="2"/>
  <c r="J156" i="2"/>
  <c r="E156" i="2"/>
  <c r="D156" i="2"/>
  <c r="J155" i="2"/>
  <c r="E155" i="2"/>
  <c r="D155" i="2"/>
  <c r="J154" i="2"/>
  <c r="E154" i="2"/>
  <c r="D154" i="2"/>
  <c r="J153" i="2"/>
  <c r="E153" i="2"/>
  <c r="D153" i="2"/>
  <c r="J152" i="2"/>
  <c r="E152" i="2"/>
  <c r="D152" i="2"/>
  <c r="J151" i="2"/>
  <c r="E151" i="2"/>
  <c r="D151" i="2"/>
  <c r="J150" i="2"/>
  <c r="E150" i="2"/>
  <c r="D150" i="2"/>
  <c r="J149" i="2"/>
  <c r="E149" i="2"/>
  <c r="D149" i="2"/>
  <c r="J148" i="2"/>
  <c r="E148" i="2"/>
  <c r="D148" i="2"/>
  <c r="J146" i="2"/>
  <c r="E146" i="2"/>
  <c r="D146" i="2"/>
  <c r="J145" i="2"/>
  <c r="E145" i="2"/>
  <c r="D145" i="2"/>
  <c r="J144" i="2"/>
  <c r="E144" i="2"/>
  <c r="D144" i="2"/>
  <c r="J143" i="2"/>
  <c r="E143" i="2"/>
  <c r="D143" i="2"/>
  <c r="J142" i="2"/>
  <c r="E142" i="2"/>
  <c r="D142" i="2"/>
  <c r="J141" i="2"/>
  <c r="E141" i="2"/>
  <c r="D141" i="2"/>
  <c r="J140" i="2"/>
  <c r="E140" i="2"/>
  <c r="D140" i="2"/>
  <c r="J139" i="2"/>
  <c r="E139" i="2"/>
  <c r="D139" i="2"/>
  <c r="J138" i="2"/>
  <c r="E138" i="2"/>
  <c r="D138" i="2"/>
  <c r="J137" i="2"/>
  <c r="E137" i="2"/>
  <c r="D137" i="2"/>
  <c r="J136" i="2"/>
  <c r="E136" i="2"/>
  <c r="D136" i="2"/>
  <c r="J135" i="2"/>
  <c r="E135" i="2"/>
  <c r="D135" i="2"/>
  <c r="J134" i="2"/>
  <c r="E134" i="2"/>
  <c r="D134" i="2"/>
  <c r="J133" i="2"/>
  <c r="E133" i="2"/>
  <c r="D133" i="2"/>
  <c r="J131" i="2"/>
  <c r="E131" i="2"/>
  <c r="D131" i="2"/>
  <c r="J130" i="2"/>
  <c r="E130" i="2"/>
  <c r="D130" i="2"/>
  <c r="J129" i="2"/>
  <c r="E129" i="2"/>
  <c r="D129" i="2"/>
  <c r="J128" i="2"/>
  <c r="E128" i="2"/>
  <c r="D128" i="2"/>
  <c r="J127" i="2"/>
  <c r="E127" i="2"/>
  <c r="D127" i="2"/>
  <c r="J126" i="2"/>
  <c r="E126" i="2"/>
  <c r="D126" i="2"/>
  <c r="J125" i="2"/>
  <c r="E125" i="2"/>
  <c r="D125" i="2"/>
  <c r="J34" i="2"/>
  <c r="E34" i="2"/>
  <c r="D34" i="2"/>
  <c r="J33" i="2"/>
  <c r="E33" i="2"/>
  <c r="D33" i="2"/>
  <c r="J32" i="2"/>
  <c r="E32" i="2"/>
  <c r="D32" i="2"/>
  <c r="J31" i="2"/>
  <c r="E31" i="2"/>
  <c r="D31" i="2"/>
  <c r="J30" i="2"/>
  <c r="E30" i="2"/>
  <c r="D30" i="2"/>
  <c r="J29" i="2"/>
  <c r="E29" i="2"/>
  <c r="D29" i="2"/>
  <c r="J28" i="2"/>
  <c r="E28" i="2"/>
  <c r="D28" i="2"/>
  <c r="J27" i="2"/>
  <c r="E27" i="2"/>
  <c r="D27" i="2"/>
  <c r="J26" i="2"/>
  <c r="E26" i="2"/>
  <c r="D26" i="2"/>
  <c r="J25" i="2"/>
  <c r="E25" i="2"/>
  <c r="D25" i="2"/>
  <c r="J24" i="2"/>
  <c r="E24" i="2"/>
  <c r="D24" i="2"/>
  <c r="J23" i="2"/>
  <c r="E23" i="2"/>
  <c r="D23" i="2"/>
  <c r="J22" i="2"/>
  <c r="E22" i="2"/>
  <c r="D22" i="2"/>
  <c r="J21" i="2"/>
  <c r="E21" i="2"/>
  <c r="D21" i="2"/>
  <c r="J20" i="2"/>
  <c r="E20" i="2"/>
  <c r="D20" i="2"/>
  <c r="J19" i="2"/>
  <c r="E19" i="2"/>
  <c r="D19" i="2"/>
  <c r="J18" i="2"/>
  <c r="E18" i="2"/>
  <c r="D18" i="2"/>
  <c r="J17" i="2"/>
  <c r="E17" i="2"/>
  <c r="D17" i="2"/>
  <c r="J16" i="2"/>
  <c r="E16" i="2"/>
  <c r="D16" i="2"/>
  <c r="J15" i="2"/>
  <c r="E15" i="2"/>
  <c r="D15" i="2"/>
  <c r="J14" i="2"/>
  <c r="E14" i="2"/>
  <c r="D14" i="2"/>
  <c r="J13" i="2"/>
  <c r="E13" i="2"/>
  <c r="D13" i="2"/>
  <c r="J12" i="2"/>
  <c r="E12" i="2"/>
  <c r="D12" i="2"/>
  <c r="J11" i="2"/>
  <c r="E11" i="2"/>
  <c r="D11" i="2"/>
  <c r="J10" i="2"/>
  <c r="E10" i="2"/>
  <c r="D10" i="2"/>
  <c r="J9" i="2"/>
  <c r="E9" i="2"/>
  <c r="D9" i="2"/>
  <c r="J8" i="2"/>
  <c r="E8" i="2"/>
  <c r="D8" i="2"/>
  <c r="J7" i="2"/>
  <c r="E7" i="2"/>
  <c r="D7" i="2"/>
  <c r="J6" i="2"/>
  <c r="E6" i="2"/>
  <c r="D6" i="2"/>
  <c r="J5" i="2"/>
  <c r="E5" i="2"/>
  <c r="D5" i="2"/>
  <c r="J4" i="2"/>
  <c r="E4" i="2"/>
  <c r="D4" i="2"/>
  <c r="J3" i="2"/>
  <c r="E3" i="2"/>
  <c r="D3" i="2"/>
  <c r="H512" i="2"/>
  <c r="G512" i="2"/>
  <c r="H510" i="2"/>
  <c r="G510" i="2"/>
  <c r="H509" i="2"/>
  <c r="G509" i="2"/>
  <c r="H508" i="2"/>
  <c r="G508" i="2"/>
  <c r="H507" i="2"/>
  <c r="G507" i="2"/>
  <c r="H506" i="2"/>
  <c r="G506" i="2"/>
  <c r="H505" i="2"/>
  <c r="G505" i="2"/>
  <c r="H504" i="2"/>
  <c r="G504" i="2"/>
  <c r="H503" i="2"/>
  <c r="G503" i="2"/>
  <c r="H502" i="2"/>
  <c r="G502" i="2"/>
  <c r="H501" i="2"/>
  <c r="G501" i="2"/>
  <c r="H500" i="2"/>
  <c r="G500" i="2"/>
  <c r="H499" i="2"/>
  <c r="G499" i="2"/>
  <c r="H498" i="2"/>
  <c r="G498" i="2"/>
  <c r="H497" i="2"/>
  <c r="G497" i="2"/>
  <c r="H496" i="2"/>
  <c r="G496" i="2"/>
  <c r="H495" i="2"/>
  <c r="G495" i="2"/>
  <c r="H494" i="2"/>
  <c r="G494" i="2"/>
  <c r="H493" i="2"/>
  <c r="G493" i="2"/>
  <c r="H492" i="2"/>
  <c r="G492" i="2"/>
  <c r="H491" i="2"/>
  <c r="G491" i="2"/>
  <c r="H490" i="2"/>
  <c r="G490" i="2"/>
  <c r="H489" i="2"/>
  <c r="G489" i="2"/>
  <c r="H488" i="2"/>
  <c r="G488" i="2"/>
  <c r="H487" i="2"/>
  <c r="G487" i="2"/>
  <c r="H486" i="2"/>
  <c r="G486" i="2"/>
  <c r="H485" i="2"/>
  <c r="G485" i="2"/>
  <c r="H484" i="2"/>
  <c r="G484" i="2"/>
  <c r="H483" i="2"/>
  <c r="G483" i="2"/>
  <c r="H482" i="2"/>
  <c r="G482" i="2"/>
  <c r="H481" i="2"/>
  <c r="G481" i="2"/>
  <c r="H480" i="2"/>
  <c r="G480" i="2"/>
  <c r="H479" i="2"/>
  <c r="G479" i="2"/>
  <c r="H478" i="2"/>
  <c r="G478" i="2"/>
  <c r="H477" i="2"/>
  <c r="G477" i="2"/>
  <c r="H476" i="2"/>
  <c r="G476" i="2"/>
  <c r="H475" i="2"/>
  <c r="G475" i="2"/>
  <c r="H474" i="2"/>
  <c r="G474" i="2"/>
  <c r="H473" i="2"/>
  <c r="G473" i="2"/>
  <c r="H472" i="2"/>
  <c r="G472" i="2"/>
  <c r="H471" i="2"/>
  <c r="G471" i="2"/>
  <c r="H470" i="2"/>
  <c r="G470" i="2"/>
  <c r="H469" i="2"/>
  <c r="G469" i="2"/>
  <c r="H468" i="2"/>
  <c r="G468" i="2"/>
  <c r="H467" i="2"/>
  <c r="G467" i="2"/>
  <c r="H466" i="2"/>
  <c r="G466" i="2"/>
  <c r="H465" i="2"/>
  <c r="G465" i="2"/>
  <c r="H464" i="2"/>
  <c r="G464" i="2"/>
  <c r="H463" i="2"/>
  <c r="G463" i="2"/>
  <c r="H462" i="2"/>
  <c r="G462" i="2"/>
  <c r="H461" i="2"/>
  <c r="G461" i="2"/>
  <c r="H460" i="2"/>
  <c r="G460" i="2"/>
  <c r="H459" i="2"/>
  <c r="G459" i="2"/>
  <c r="H458" i="2"/>
  <c r="G458" i="2"/>
  <c r="H457" i="2"/>
  <c r="G457" i="2"/>
  <c r="H456" i="2"/>
  <c r="G456" i="2"/>
  <c r="H455" i="2"/>
  <c r="G455" i="2"/>
  <c r="H454" i="2"/>
  <c r="G454" i="2"/>
  <c r="H453" i="2"/>
  <c r="G453" i="2"/>
  <c r="H452" i="2"/>
  <c r="G452" i="2"/>
  <c r="H451" i="2"/>
  <c r="G451" i="2"/>
  <c r="H450" i="2"/>
  <c r="G450" i="2"/>
  <c r="H449" i="2"/>
  <c r="G449" i="2"/>
  <c r="H448" i="2"/>
  <c r="G448" i="2"/>
  <c r="H447" i="2"/>
  <c r="G447" i="2"/>
  <c r="H446" i="2"/>
  <c r="G446" i="2"/>
  <c r="H445" i="2"/>
  <c r="G445" i="2"/>
  <c r="H444" i="2"/>
  <c r="G444" i="2"/>
  <c r="H443" i="2"/>
  <c r="G443" i="2"/>
  <c r="H442" i="2"/>
  <c r="G442" i="2"/>
  <c r="H441" i="2"/>
  <c r="G441" i="2"/>
  <c r="H440" i="2"/>
  <c r="G440" i="2"/>
  <c r="H439" i="2"/>
  <c r="G439" i="2"/>
  <c r="H438" i="2"/>
  <c r="G438" i="2"/>
  <c r="H437" i="2"/>
  <c r="G437" i="2"/>
  <c r="H436" i="2"/>
  <c r="G436" i="2"/>
  <c r="H435" i="2"/>
  <c r="G435" i="2"/>
  <c r="H434" i="2"/>
  <c r="G434" i="2"/>
  <c r="H433" i="2"/>
  <c r="G433" i="2"/>
  <c r="H432" i="2"/>
  <c r="G432" i="2"/>
  <c r="H431" i="2"/>
  <c r="G431" i="2"/>
  <c r="H430" i="2"/>
  <c r="G430" i="2"/>
  <c r="H429" i="2"/>
  <c r="G429" i="2"/>
  <c r="H428" i="2"/>
  <c r="G428" i="2"/>
  <c r="H427" i="2"/>
  <c r="G427" i="2"/>
  <c r="H426" i="2"/>
  <c r="G426" i="2"/>
  <c r="H425" i="2"/>
  <c r="G425" i="2"/>
  <c r="H424" i="2"/>
  <c r="G424" i="2"/>
  <c r="H423" i="2"/>
  <c r="G423" i="2"/>
  <c r="H421" i="2"/>
  <c r="G421" i="2"/>
  <c r="H420" i="2"/>
  <c r="G420" i="2"/>
  <c r="H419" i="2"/>
  <c r="G419" i="2"/>
  <c r="H417" i="2"/>
  <c r="G417" i="2"/>
  <c r="H416" i="2"/>
  <c r="G416" i="2"/>
  <c r="H415" i="2"/>
  <c r="G415" i="2"/>
  <c r="H414" i="2"/>
  <c r="G414" i="2"/>
  <c r="H413" i="2"/>
  <c r="G413" i="2"/>
  <c r="H412" i="2"/>
  <c r="G412" i="2"/>
  <c r="H411" i="2"/>
  <c r="G411" i="2"/>
  <c r="H409" i="2"/>
  <c r="G409" i="2"/>
  <c r="H408" i="2"/>
  <c r="G408" i="2"/>
  <c r="H407" i="2"/>
  <c r="G407" i="2"/>
  <c r="H406" i="2"/>
  <c r="G406" i="2"/>
  <c r="H405" i="2"/>
  <c r="G405" i="2"/>
  <c r="H404" i="2"/>
  <c r="G404" i="2"/>
  <c r="H403" i="2"/>
  <c r="G403" i="2"/>
  <c r="H402" i="2"/>
  <c r="G402" i="2"/>
  <c r="H401" i="2"/>
  <c r="G401" i="2"/>
  <c r="H400" i="2"/>
  <c r="G400" i="2"/>
  <c r="H399" i="2"/>
  <c r="G399" i="2"/>
  <c r="H398" i="2"/>
  <c r="G398" i="2"/>
  <c r="H397" i="2"/>
  <c r="G397" i="2"/>
  <c r="H396" i="2"/>
  <c r="G396" i="2"/>
  <c r="H395" i="2"/>
  <c r="G395" i="2"/>
  <c r="H394" i="2"/>
  <c r="G394" i="2"/>
  <c r="H393" i="2"/>
  <c r="G393" i="2"/>
  <c r="H392" i="2"/>
  <c r="G392" i="2"/>
  <c r="H391" i="2"/>
  <c r="G391" i="2"/>
  <c r="H390" i="2"/>
  <c r="G390" i="2"/>
  <c r="H389" i="2"/>
  <c r="G389" i="2"/>
  <c r="H388" i="2"/>
  <c r="G388" i="2"/>
  <c r="H387" i="2"/>
  <c r="G387" i="2"/>
  <c r="H386" i="2"/>
  <c r="G386" i="2"/>
  <c r="H385" i="2"/>
  <c r="G385" i="2"/>
  <c r="H384" i="2"/>
  <c r="G384" i="2"/>
  <c r="H383" i="2"/>
  <c r="G383" i="2"/>
  <c r="H382" i="2"/>
  <c r="G382" i="2"/>
  <c r="H381" i="2"/>
  <c r="G381" i="2"/>
  <c r="H380" i="2"/>
  <c r="G380" i="2"/>
  <c r="H379" i="2"/>
  <c r="G379" i="2"/>
  <c r="H378" i="2"/>
  <c r="G378" i="2"/>
  <c r="H377" i="2"/>
  <c r="G377" i="2"/>
  <c r="H376" i="2"/>
  <c r="G376" i="2"/>
  <c r="H375" i="2"/>
  <c r="G375" i="2"/>
  <c r="H374" i="2"/>
  <c r="G374" i="2"/>
  <c r="H373" i="2"/>
  <c r="G373" i="2"/>
  <c r="H372" i="2"/>
  <c r="G372" i="2"/>
  <c r="H371" i="2"/>
  <c r="G371" i="2"/>
  <c r="H370" i="2"/>
  <c r="G370" i="2"/>
  <c r="H369" i="2"/>
  <c r="G369" i="2"/>
  <c r="H368" i="2"/>
  <c r="G368" i="2"/>
  <c r="H367" i="2"/>
  <c r="G367" i="2"/>
  <c r="H366" i="2"/>
  <c r="G366" i="2"/>
  <c r="H365" i="2"/>
  <c r="G365" i="2"/>
  <c r="H364" i="2"/>
  <c r="G364" i="2"/>
  <c r="H363" i="2"/>
  <c r="G363" i="2"/>
  <c r="H362" i="2"/>
  <c r="G362" i="2"/>
  <c r="H361" i="2"/>
  <c r="G361" i="2"/>
  <c r="H360" i="2"/>
  <c r="G360" i="2"/>
  <c r="H359" i="2"/>
  <c r="G359" i="2"/>
  <c r="H358" i="2"/>
  <c r="G358" i="2"/>
  <c r="H357" i="2"/>
  <c r="G357" i="2"/>
  <c r="H356" i="2"/>
  <c r="G356" i="2"/>
  <c r="H355" i="2"/>
  <c r="G355" i="2"/>
  <c r="H354" i="2"/>
  <c r="G354" i="2"/>
  <c r="H353" i="2"/>
  <c r="G353" i="2"/>
  <c r="H352" i="2"/>
  <c r="G352" i="2"/>
  <c r="H351" i="2"/>
  <c r="G351" i="2"/>
  <c r="H350" i="2"/>
  <c r="G350" i="2"/>
  <c r="H349" i="2"/>
  <c r="G349" i="2"/>
  <c r="H348" i="2"/>
  <c r="G348" i="2"/>
  <c r="H347" i="2"/>
  <c r="G347" i="2"/>
  <c r="H346" i="2"/>
  <c r="G346" i="2"/>
  <c r="H345" i="2"/>
  <c r="G345" i="2"/>
  <c r="H344" i="2"/>
  <c r="G344" i="2"/>
  <c r="H343" i="2"/>
  <c r="G343" i="2"/>
  <c r="H342" i="2"/>
  <c r="G342" i="2"/>
  <c r="H341" i="2"/>
  <c r="G341" i="2"/>
  <c r="H340" i="2"/>
  <c r="G340" i="2"/>
  <c r="H339" i="2"/>
  <c r="G339" i="2"/>
  <c r="H338" i="2"/>
  <c r="G338" i="2"/>
  <c r="H337" i="2"/>
  <c r="G337" i="2"/>
  <c r="H336" i="2"/>
  <c r="G336" i="2"/>
  <c r="H335" i="2"/>
  <c r="G335" i="2"/>
  <c r="H334" i="2"/>
  <c r="G334" i="2"/>
  <c r="H333" i="2"/>
  <c r="G333" i="2"/>
  <c r="H332" i="2"/>
  <c r="G332" i="2"/>
  <c r="H331" i="2"/>
  <c r="G331" i="2"/>
  <c r="H330" i="2"/>
  <c r="G330" i="2"/>
  <c r="H329" i="2"/>
  <c r="G329" i="2"/>
  <c r="H328" i="2"/>
  <c r="G328" i="2"/>
  <c r="H327" i="2"/>
  <c r="G327" i="2"/>
  <c r="H326" i="2"/>
  <c r="G326" i="2"/>
  <c r="H325" i="2"/>
  <c r="G325" i="2"/>
  <c r="H324" i="2"/>
  <c r="G324" i="2"/>
  <c r="H323" i="2"/>
  <c r="G323" i="2"/>
  <c r="H322" i="2"/>
  <c r="G322" i="2"/>
  <c r="H321" i="2"/>
  <c r="G321" i="2"/>
  <c r="H320" i="2"/>
  <c r="G320" i="2"/>
  <c r="H319" i="2"/>
  <c r="G319" i="2"/>
  <c r="H318" i="2"/>
  <c r="G318" i="2"/>
  <c r="H317" i="2"/>
  <c r="G317" i="2"/>
  <c r="H316" i="2"/>
  <c r="G316" i="2"/>
  <c r="H315" i="2"/>
  <c r="G315" i="2"/>
  <c r="H314" i="2"/>
  <c r="G314" i="2"/>
  <c r="H313" i="2"/>
  <c r="G313" i="2"/>
  <c r="H312" i="2"/>
  <c r="G312" i="2"/>
  <c r="H311" i="2"/>
  <c r="G311" i="2"/>
  <c r="H310" i="2"/>
  <c r="G310" i="2"/>
  <c r="H309" i="2"/>
  <c r="G309" i="2"/>
  <c r="H308" i="2"/>
  <c r="G308" i="2"/>
  <c r="H307" i="2"/>
  <c r="G307" i="2"/>
  <c r="H306" i="2"/>
  <c r="G306" i="2"/>
  <c r="H305" i="2"/>
  <c r="G305" i="2"/>
  <c r="H304" i="2"/>
  <c r="G304" i="2"/>
  <c r="H303" i="2"/>
  <c r="G303" i="2"/>
  <c r="H302" i="2"/>
  <c r="G302" i="2"/>
  <c r="H301" i="2"/>
  <c r="G301" i="2"/>
  <c r="H300" i="2"/>
  <c r="G300" i="2"/>
  <c r="H299" i="2"/>
  <c r="G299" i="2"/>
  <c r="H298" i="2"/>
  <c r="G298" i="2"/>
  <c r="H297" i="2"/>
  <c r="G297" i="2"/>
  <c r="H296" i="2"/>
  <c r="G296" i="2"/>
  <c r="H295" i="2"/>
  <c r="G295" i="2"/>
  <c r="H294" i="2"/>
  <c r="G294" i="2"/>
  <c r="H293" i="2"/>
  <c r="G293" i="2"/>
  <c r="H292" i="2"/>
  <c r="G292" i="2"/>
  <c r="H291" i="2"/>
  <c r="G291" i="2"/>
  <c r="H290" i="2"/>
  <c r="G290" i="2"/>
  <c r="H289" i="2"/>
  <c r="G289" i="2"/>
  <c r="H288" i="2"/>
  <c r="G288" i="2"/>
  <c r="H287" i="2"/>
  <c r="G287" i="2"/>
  <c r="H286" i="2"/>
  <c r="G286" i="2"/>
  <c r="H285" i="2"/>
  <c r="G285" i="2"/>
  <c r="H284" i="2"/>
  <c r="G284" i="2"/>
  <c r="H283" i="2"/>
  <c r="G283" i="2"/>
  <c r="H282" i="2"/>
  <c r="G282" i="2"/>
  <c r="H281" i="2"/>
  <c r="G281" i="2"/>
  <c r="H280" i="2"/>
  <c r="G280" i="2"/>
  <c r="H279" i="2"/>
  <c r="G279" i="2"/>
  <c r="H277" i="2"/>
  <c r="G277" i="2"/>
  <c r="H276" i="2"/>
  <c r="G276" i="2"/>
  <c r="H275" i="2"/>
  <c r="G275" i="2"/>
  <c r="H274" i="2"/>
  <c r="G274" i="2"/>
  <c r="H273" i="2"/>
  <c r="G273" i="2"/>
  <c r="H272" i="2"/>
  <c r="G272" i="2"/>
  <c r="H271" i="2"/>
  <c r="G271" i="2"/>
  <c r="H270" i="2"/>
  <c r="G270" i="2"/>
  <c r="H269" i="2"/>
  <c r="G269" i="2"/>
  <c r="H267" i="2"/>
  <c r="G267" i="2"/>
  <c r="H266" i="2"/>
  <c r="G266" i="2"/>
  <c r="H265" i="2"/>
  <c r="G265" i="2"/>
  <c r="H264" i="2"/>
  <c r="G264" i="2"/>
  <c r="H263" i="2"/>
  <c r="G263" i="2"/>
  <c r="H262" i="2"/>
  <c r="G262" i="2"/>
  <c r="H261" i="2"/>
  <c r="G261" i="2"/>
  <c r="H260" i="2"/>
  <c r="G260" i="2"/>
  <c r="H259" i="2"/>
  <c r="G259" i="2"/>
  <c r="H258" i="2"/>
  <c r="G258" i="2"/>
  <c r="H257" i="2"/>
  <c r="G257" i="2"/>
  <c r="H256" i="2"/>
  <c r="G256" i="2"/>
  <c r="H255" i="2"/>
  <c r="G255" i="2"/>
  <c r="H254" i="2"/>
  <c r="G254" i="2"/>
  <c r="H253" i="2"/>
  <c r="G253" i="2"/>
  <c r="H252" i="2"/>
  <c r="G252" i="2"/>
  <c r="H251" i="2"/>
  <c r="G251" i="2"/>
  <c r="H250" i="2"/>
  <c r="G250" i="2"/>
  <c r="H249" i="2"/>
  <c r="G249" i="2"/>
  <c r="H248" i="2"/>
  <c r="G248" i="2"/>
  <c r="H247" i="2"/>
  <c r="G247" i="2"/>
  <c r="H246" i="2"/>
  <c r="G246" i="2"/>
  <c r="H245" i="2"/>
  <c r="G245" i="2"/>
  <c r="H244" i="2"/>
  <c r="G244" i="2"/>
  <c r="H243" i="2"/>
  <c r="G243" i="2"/>
  <c r="H242" i="2"/>
  <c r="G242" i="2"/>
  <c r="H241" i="2"/>
  <c r="G241" i="2"/>
  <c r="H240" i="2"/>
  <c r="G240" i="2"/>
  <c r="H239" i="2"/>
  <c r="G239" i="2"/>
  <c r="H238" i="2"/>
  <c r="G238" i="2"/>
  <c r="H237" i="2"/>
  <c r="G237" i="2"/>
  <c r="H236" i="2"/>
  <c r="G236" i="2"/>
  <c r="H235" i="2"/>
  <c r="G235" i="2"/>
  <c r="H234" i="2"/>
  <c r="G234" i="2"/>
  <c r="H233" i="2"/>
  <c r="G233" i="2"/>
  <c r="H232" i="2"/>
  <c r="G232" i="2"/>
  <c r="H231" i="2"/>
  <c r="G231" i="2"/>
  <c r="H230" i="2"/>
  <c r="G230" i="2"/>
  <c r="H229" i="2"/>
  <c r="G229" i="2"/>
  <c r="H228" i="2"/>
  <c r="G228" i="2"/>
  <c r="H227" i="2"/>
  <c r="G227" i="2"/>
  <c r="H226" i="2"/>
  <c r="G226" i="2"/>
  <c r="H225" i="2"/>
  <c r="G225" i="2"/>
  <c r="H224" i="2"/>
  <c r="G224" i="2"/>
  <c r="H223" i="2"/>
  <c r="G223" i="2"/>
  <c r="H222" i="2"/>
  <c r="G222" i="2"/>
  <c r="H221" i="2"/>
  <c r="G221" i="2"/>
  <c r="H220" i="2"/>
  <c r="G220" i="2"/>
  <c r="H219" i="2"/>
  <c r="G219" i="2"/>
  <c r="H218" i="2"/>
  <c r="G218" i="2"/>
  <c r="H217" i="2"/>
  <c r="G217" i="2"/>
  <c r="H216" i="2"/>
  <c r="G216" i="2"/>
  <c r="H215" i="2"/>
  <c r="G215" i="2"/>
  <c r="H214" i="2"/>
  <c r="G214" i="2"/>
  <c r="H213" i="2"/>
  <c r="G213" i="2"/>
  <c r="H212" i="2"/>
  <c r="G212" i="2"/>
  <c r="H211" i="2"/>
  <c r="G211" i="2"/>
  <c r="H210" i="2"/>
  <c r="G210" i="2"/>
  <c r="H209" i="2"/>
  <c r="G209" i="2"/>
  <c r="H208" i="2"/>
  <c r="G208" i="2"/>
  <c r="H207" i="2"/>
  <c r="G207" i="2"/>
  <c r="H206" i="2"/>
  <c r="G206" i="2"/>
  <c r="H205" i="2"/>
  <c r="G205" i="2"/>
  <c r="H204" i="2"/>
  <c r="G204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7" i="2"/>
  <c r="G187" i="2"/>
  <c r="H186" i="2"/>
  <c r="G186" i="2"/>
  <c r="H185" i="2"/>
  <c r="G185" i="2"/>
  <c r="H184" i="2"/>
  <c r="G184" i="2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M479" i="2"/>
  <c r="N479" i="2"/>
  <c r="M203" i="2"/>
  <c r="N203" i="2"/>
  <c r="M364" i="2"/>
  <c r="N364" i="2"/>
  <c r="M242" i="2"/>
  <c r="N242" i="2"/>
  <c r="N206" i="2"/>
  <c r="M206" i="2"/>
  <c r="N382" i="2"/>
  <c r="M382" i="2"/>
  <c r="M266" i="2"/>
  <c r="N266" i="2"/>
  <c r="M218" i="2"/>
  <c r="N218" i="2"/>
  <c r="M505" i="2"/>
  <c r="N505" i="2"/>
  <c r="M388" i="2"/>
  <c r="N388" i="2"/>
  <c r="M269" i="2"/>
  <c r="N269" i="2"/>
  <c r="N148" i="2"/>
  <c r="M148" i="2"/>
  <c r="M510" i="2"/>
  <c r="N510" i="2"/>
  <c r="N281" i="2"/>
  <c r="M281" i="2"/>
  <c r="N289" i="2"/>
  <c r="M289" i="2"/>
  <c r="M379" i="2"/>
  <c r="N379" i="2"/>
  <c r="M209" i="2"/>
  <c r="N209" i="2"/>
  <c r="N316" i="2"/>
  <c r="M316" i="2"/>
  <c r="N142" i="2"/>
  <c r="M142" i="2"/>
  <c r="M476" i="2"/>
  <c r="N476" i="2"/>
  <c r="M391" i="2"/>
  <c r="N391" i="2"/>
  <c r="M224" i="2"/>
  <c r="N224" i="2"/>
  <c r="N277" i="2"/>
  <c r="M277" i="2"/>
  <c r="M229" i="2"/>
  <c r="M162" i="2"/>
  <c r="N162" i="2"/>
  <c r="M27" i="2"/>
  <c r="N27" i="2"/>
  <c r="M137" i="2"/>
  <c r="N137" i="2"/>
  <c r="M7" i="2"/>
  <c r="N7" i="2"/>
  <c r="M377" i="2"/>
  <c r="N377" i="2"/>
  <c r="M368" i="2"/>
  <c r="N368" i="2"/>
  <c r="M347" i="2"/>
  <c r="N347" i="2"/>
  <c r="M252" i="2"/>
  <c r="N252" i="2"/>
  <c r="M207" i="2"/>
  <c r="N207" i="2"/>
  <c r="M482" i="2"/>
  <c r="N482" i="2"/>
  <c r="M337" i="2"/>
  <c r="N337" i="2"/>
  <c r="M287" i="2"/>
  <c r="N287" i="2"/>
  <c r="M237" i="2"/>
  <c r="N237" i="2"/>
  <c r="M204" i="2"/>
  <c r="N204" i="2"/>
  <c r="N136" i="2"/>
  <c r="M136" i="2"/>
  <c r="N485" i="2"/>
  <c r="M485" i="2"/>
  <c r="M467" i="2"/>
  <c r="N467" i="2"/>
  <c r="M408" i="2"/>
  <c r="N408" i="2"/>
  <c r="M402" i="2"/>
  <c r="N402" i="2"/>
  <c r="M367" i="2"/>
  <c r="N367" i="2"/>
  <c r="M245" i="2"/>
  <c r="N245" i="2"/>
  <c r="M22" i="2"/>
  <c r="N22" i="2"/>
  <c r="M399" i="2"/>
  <c r="N399" i="2"/>
  <c r="M307" i="2"/>
  <c r="N307" i="2"/>
  <c r="M284" i="2"/>
  <c r="N284" i="2"/>
  <c r="M164" i="2"/>
  <c r="N164" i="2"/>
  <c r="M25" i="2"/>
  <c r="N25" i="2"/>
  <c r="M3" i="2"/>
  <c r="N3" i="2"/>
  <c r="N496" i="2"/>
  <c r="N454" i="2"/>
  <c r="M416" i="2"/>
  <c r="N416" i="2"/>
  <c r="N413" i="2"/>
  <c r="N358" i="2"/>
  <c r="M325" i="2"/>
  <c r="N325" i="2"/>
  <c r="M322" i="2"/>
  <c r="N322" i="2"/>
  <c r="N319" i="2"/>
  <c r="M301" i="2"/>
  <c r="N301" i="2"/>
  <c r="N263" i="2"/>
  <c r="M248" i="2"/>
  <c r="N248" i="2"/>
  <c r="N236" i="2"/>
  <c r="N221" i="2"/>
  <c r="N215" i="2"/>
  <c r="M487" i="2"/>
  <c r="N487" i="2"/>
  <c r="M457" i="2"/>
  <c r="N457" i="2"/>
  <c r="N375" i="2"/>
  <c r="M375" i="2"/>
  <c r="M372" i="2"/>
  <c r="N372" i="2"/>
  <c r="M126" i="2"/>
  <c r="N126" i="2"/>
  <c r="M472" i="2"/>
  <c r="N472" i="2"/>
  <c r="M259" i="2"/>
  <c r="N259" i="2"/>
  <c r="M28" i="2"/>
  <c r="N28" i="2"/>
  <c r="N387" i="2"/>
  <c r="M387" i="2"/>
  <c r="M381" i="2"/>
  <c r="N381" i="2"/>
  <c r="M315" i="2"/>
  <c r="N315" i="2"/>
  <c r="M247" i="2"/>
  <c r="N247" i="2"/>
  <c r="M202" i="2"/>
  <c r="N202" i="2"/>
  <c r="M175" i="2"/>
  <c r="N175" i="2"/>
  <c r="M172" i="2"/>
  <c r="N172" i="2"/>
  <c r="M509" i="2"/>
  <c r="N509" i="2"/>
  <c r="M354" i="2"/>
  <c r="N354" i="2"/>
  <c r="M262" i="2"/>
  <c r="N262" i="2"/>
  <c r="M220" i="2"/>
  <c r="N220" i="2"/>
  <c r="M447" i="2"/>
  <c r="N447" i="2"/>
  <c r="M357" i="2"/>
  <c r="N357" i="2"/>
  <c r="N332" i="2"/>
  <c r="M332" i="2"/>
  <c r="M232" i="2"/>
  <c r="N232" i="2"/>
  <c r="M181" i="2"/>
  <c r="N181" i="2"/>
  <c r="N344" i="2"/>
  <c r="M344" i="2"/>
  <c r="M184" i="2"/>
  <c r="N184" i="2"/>
  <c r="M462" i="2"/>
  <c r="N462" i="2"/>
  <c r="M450" i="2"/>
  <c r="N450" i="2"/>
  <c r="M311" i="2"/>
  <c r="N311" i="2"/>
  <c r="M362" i="2"/>
  <c r="N362" i="2"/>
  <c r="M350" i="2"/>
  <c r="N350" i="2"/>
  <c r="M231" i="2"/>
  <c r="N231" i="2"/>
  <c r="N477" i="2"/>
  <c r="M477" i="2"/>
  <c r="M497" i="2"/>
  <c r="N497" i="2"/>
  <c r="M189" i="2"/>
  <c r="N189" i="2"/>
  <c r="M437" i="2"/>
  <c r="N437" i="2"/>
  <c r="M420" i="2"/>
  <c r="N420" i="2"/>
  <c r="M157" i="2"/>
  <c r="N157" i="2"/>
  <c r="M352" i="2"/>
  <c r="N352" i="2"/>
  <c r="M499" i="2"/>
  <c r="N466" i="2"/>
  <c r="M428" i="2"/>
  <c r="M336" i="2"/>
  <c r="N336" i="2"/>
  <c r="N330" i="2"/>
  <c r="N239" i="2"/>
  <c r="M197" i="2"/>
  <c r="N197" i="2"/>
  <c r="M191" i="2"/>
  <c r="M179" i="2"/>
  <c r="N21" i="2"/>
  <c r="M272" i="2"/>
  <c r="N272" i="2"/>
  <c r="M227" i="2"/>
  <c r="N227" i="2"/>
  <c r="M32" i="2"/>
  <c r="N32" i="2"/>
  <c r="N167" i="2"/>
  <c r="M167" i="2"/>
  <c r="M141" i="2"/>
  <c r="N141" i="2"/>
  <c r="M392" i="2"/>
  <c r="N392" i="2"/>
  <c r="N442" i="2"/>
  <c r="M442" i="2"/>
  <c r="M397" i="2"/>
  <c r="N397" i="2"/>
  <c r="M152" i="2"/>
  <c r="N152" i="2"/>
  <c r="M127" i="2"/>
  <c r="N127" i="2"/>
  <c r="H2" i="2"/>
  <c r="J2" i="2"/>
  <c r="H78" i="1"/>
  <c r="G78" i="1"/>
  <c r="G91" i="1"/>
  <c r="H91" i="1"/>
  <c r="G495" i="1"/>
  <c r="H495" i="1"/>
  <c r="G257" i="1"/>
  <c r="H257" i="1"/>
  <c r="J215" i="1"/>
  <c r="G314" i="1"/>
  <c r="G118" i="1"/>
  <c r="G49" i="1"/>
  <c r="H455" i="1"/>
  <c r="H329" i="1"/>
  <c r="H147" i="1"/>
  <c r="H131" i="1"/>
  <c r="G344" i="1"/>
  <c r="G62" i="1"/>
  <c r="H62" i="1"/>
  <c r="H383" i="1"/>
  <c r="G383" i="1"/>
  <c r="H89" i="1"/>
  <c r="G89" i="1"/>
  <c r="G453" i="1"/>
  <c r="G313" i="1"/>
  <c r="G117" i="1"/>
  <c r="H526" i="1"/>
  <c r="H454" i="1"/>
  <c r="H146" i="1"/>
  <c r="H63" i="1"/>
  <c r="G63" i="1"/>
  <c r="H524" i="1"/>
  <c r="G524" i="1"/>
  <c r="H48" i="1"/>
  <c r="G48" i="1"/>
  <c r="H523" i="1"/>
  <c r="G523" i="1"/>
  <c r="G481" i="1"/>
  <c r="H481" i="1"/>
  <c r="G411" i="1"/>
  <c r="H411" i="1"/>
  <c r="H369" i="1"/>
  <c r="G369" i="1"/>
  <c r="G47" i="1"/>
  <c r="H47" i="1"/>
  <c r="G399" i="1"/>
  <c r="G330" i="1"/>
  <c r="G134" i="1"/>
  <c r="H525" i="1"/>
  <c r="H343" i="1"/>
  <c r="H162" i="1"/>
  <c r="H145" i="1"/>
  <c r="G442" i="1"/>
  <c r="H442" i="1"/>
  <c r="G92" i="1"/>
  <c r="H92" i="1"/>
  <c r="H355" i="1"/>
  <c r="G355" i="1"/>
  <c r="G243" i="1"/>
  <c r="H243" i="1"/>
  <c r="G61" i="1"/>
  <c r="J61" i="1"/>
  <c r="H61" i="1"/>
  <c r="G398" i="1"/>
  <c r="G133" i="1"/>
  <c r="H342" i="1"/>
  <c r="G512" i="1"/>
  <c r="H512" i="1"/>
  <c r="G456" i="1"/>
  <c r="J456" i="1"/>
  <c r="G428" i="1"/>
  <c r="H428" i="1"/>
  <c r="H400" i="1"/>
  <c r="G400" i="1"/>
  <c r="J316" i="1"/>
  <c r="H316" i="1"/>
  <c r="G316" i="1"/>
  <c r="G288" i="1"/>
  <c r="H288" i="1"/>
  <c r="J260" i="1"/>
  <c r="H260" i="1"/>
  <c r="G260" i="1"/>
  <c r="H218" i="1"/>
  <c r="G218" i="1"/>
  <c r="H204" i="1"/>
  <c r="G204" i="1"/>
  <c r="J120" i="1"/>
  <c r="H120" i="1"/>
  <c r="G120" i="1"/>
  <c r="H106" i="1"/>
  <c r="G106" i="1"/>
  <c r="H8" i="1"/>
  <c r="G8" i="1"/>
  <c r="J497" i="1"/>
  <c r="H497" i="1"/>
  <c r="G497" i="1"/>
  <c r="G441" i="1"/>
  <c r="J441" i="1"/>
  <c r="H385" i="1"/>
  <c r="G385" i="1"/>
  <c r="G371" i="1"/>
  <c r="H371" i="1"/>
  <c r="H315" i="1"/>
  <c r="G315" i="1"/>
  <c r="G287" i="1"/>
  <c r="H287" i="1"/>
  <c r="H203" i="1"/>
  <c r="G203" i="1"/>
  <c r="G189" i="1"/>
  <c r="H189" i="1"/>
  <c r="J161" i="1"/>
  <c r="G161" i="1"/>
  <c r="G105" i="1"/>
  <c r="H105" i="1"/>
  <c r="H7" i="1"/>
  <c r="G7" i="1"/>
  <c r="H482" i="1"/>
  <c r="G482" i="1"/>
  <c r="G426" i="1"/>
  <c r="H426" i="1"/>
  <c r="H384" i="1"/>
  <c r="G384" i="1"/>
  <c r="G370" i="1"/>
  <c r="H370" i="1"/>
  <c r="H300" i="1"/>
  <c r="G300" i="1"/>
  <c r="G272" i="1"/>
  <c r="H272" i="1"/>
  <c r="H244" i="1"/>
  <c r="G244" i="1"/>
  <c r="G202" i="1"/>
  <c r="H202" i="1"/>
  <c r="G174" i="1"/>
  <c r="H174" i="1"/>
  <c r="H104" i="1"/>
  <c r="G104" i="1"/>
  <c r="H90" i="1"/>
  <c r="G90" i="1"/>
  <c r="G76" i="1"/>
  <c r="H76" i="1"/>
  <c r="H6" i="1"/>
  <c r="G6" i="1"/>
  <c r="G414" i="1"/>
  <c r="G216" i="1"/>
  <c r="G20" i="1"/>
  <c r="H285" i="1"/>
  <c r="G285" i="1"/>
  <c r="G271" i="1"/>
  <c r="H271" i="1"/>
  <c r="H201" i="1"/>
  <c r="G201" i="1"/>
  <c r="H187" i="1"/>
  <c r="G187" i="1"/>
  <c r="G173" i="1"/>
  <c r="H173" i="1"/>
  <c r="G159" i="1"/>
  <c r="H159" i="1"/>
  <c r="H5" i="1"/>
  <c r="G5" i="1"/>
  <c r="G413" i="1"/>
  <c r="G215" i="1"/>
  <c r="G19" i="1"/>
  <c r="G484" i="1"/>
  <c r="G36" i="1"/>
  <c r="H441" i="1"/>
  <c r="H299" i="1"/>
  <c r="H190" i="1"/>
  <c r="G483" i="1"/>
  <c r="G231" i="1"/>
  <c r="G35" i="1"/>
  <c r="H511" i="1"/>
  <c r="H440" i="1"/>
  <c r="H64" i="1"/>
  <c r="G64" i="1"/>
  <c r="G77" i="1"/>
  <c r="H77" i="1"/>
  <c r="G232" i="1"/>
  <c r="G230" i="1"/>
  <c r="G34" i="1"/>
  <c r="H510" i="1"/>
  <c r="H439" i="1"/>
  <c r="G75" i="1"/>
  <c r="H75" i="1"/>
  <c r="G229" i="1"/>
  <c r="G540" i="1"/>
  <c r="H540" i="1"/>
  <c r="G498" i="1"/>
  <c r="H498" i="1"/>
  <c r="H386" i="1"/>
  <c r="G386" i="1"/>
  <c r="J372" i="1"/>
  <c r="G372" i="1"/>
  <c r="H302" i="1"/>
  <c r="G302" i="1"/>
  <c r="H274" i="1"/>
  <c r="G274" i="1"/>
  <c r="J176" i="1"/>
  <c r="G176" i="1"/>
  <c r="H22" i="1"/>
  <c r="G22" i="1"/>
  <c r="H176" i="1"/>
  <c r="H539" i="1"/>
  <c r="G539" i="1"/>
  <c r="G427" i="1"/>
  <c r="H427" i="1"/>
  <c r="J301" i="1"/>
  <c r="G301" i="1"/>
  <c r="H301" i="1"/>
  <c r="G273" i="1"/>
  <c r="H273" i="1"/>
  <c r="H259" i="1"/>
  <c r="G259" i="1"/>
  <c r="J245" i="1"/>
  <c r="H245" i="1"/>
  <c r="H217" i="1"/>
  <c r="G217" i="1"/>
  <c r="H119" i="1"/>
  <c r="G119" i="1"/>
  <c r="H21" i="1"/>
  <c r="G21" i="1"/>
  <c r="G148" i="1"/>
  <c r="H175" i="1"/>
  <c r="H538" i="1"/>
  <c r="G538" i="1"/>
  <c r="G496" i="1"/>
  <c r="H496" i="1"/>
  <c r="G412" i="1"/>
  <c r="H412" i="1"/>
  <c r="H286" i="1"/>
  <c r="G286" i="1"/>
  <c r="G258" i="1"/>
  <c r="H258" i="1"/>
  <c r="H188" i="1"/>
  <c r="G188" i="1"/>
  <c r="J105" i="1"/>
  <c r="G33" i="1"/>
  <c r="H509" i="1"/>
  <c r="G246" i="1"/>
  <c r="G50" i="1"/>
  <c r="H456" i="1"/>
  <c r="H2" i="1"/>
  <c r="G2" i="1"/>
  <c r="H256" i="1"/>
  <c r="G506" i="1"/>
  <c r="H478" i="1"/>
  <c r="G478" i="1"/>
  <c r="H464" i="1"/>
  <c r="G464" i="1"/>
  <c r="H450" i="1"/>
  <c r="G450" i="1"/>
  <c r="H436" i="1"/>
  <c r="G436" i="1"/>
  <c r="H422" i="1"/>
  <c r="G422" i="1"/>
  <c r="H408" i="1"/>
  <c r="G408" i="1"/>
  <c r="H394" i="1"/>
  <c r="G394" i="1"/>
  <c r="H380" i="1"/>
  <c r="G380" i="1"/>
  <c r="H366" i="1"/>
  <c r="G366" i="1"/>
  <c r="H352" i="1"/>
  <c r="G352" i="1"/>
  <c r="H338" i="1"/>
  <c r="G338" i="1"/>
  <c r="H324" i="1"/>
  <c r="G324" i="1"/>
  <c r="H310" i="1"/>
  <c r="G310" i="1"/>
  <c r="H296" i="1"/>
  <c r="G296" i="1"/>
  <c r="H282" i="1"/>
  <c r="G282" i="1"/>
  <c r="H268" i="1"/>
  <c r="G268" i="1"/>
  <c r="H254" i="1"/>
  <c r="G254" i="1"/>
  <c r="H240" i="1"/>
  <c r="G240" i="1"/>
  <c r="H226" i="1"/>
  <c r="G226" i="1"/>
  <c r="H212" i="1"/>
  <c r="G212" i="1"/>
  <c r="H198" i="1"/>
  <c r="G198" i="1"/>
  <c r="H184" i="1"/>
  <c r="G184" i="1"/>
  <c r="H170" i="1"/>
  <c r="G170" i="1"/>
  <c r="H156" i="1"/>
  <c r="G156" i="1"/>
  <c r="H142" i="1"/>
  <c r="G142" i="1"/>
  <c r="H128" i="1"/>
  <c r="G128" i="1"/>
  <c r="H114" i="1"/>
  <c r="G114" i="1"/>
  <c r="H100" i="1"/>
  <c r="G100" i="1"/>
  <c r="H86" i="1"/>
  <c r="G86" i="1"/>
  <c r="H72" i="1"/>
  <c r="G72" i="1"/>
  <c r="H58" i="1"/>
  <c r="G58" i="1"/>
  <c r="H44" i="1"/>
  <c r="G44" i="1"/>
  <c r="H30" i="1"/>
  <c r="G30" i="1"/>
  <c r="H16" i="1"/>
  <c r="G16" i="1"/>
  <c r="J540" i="1"/>
  <c r="J512" i="1"/>
  <c r="J442" i="1"/>
  <c r="G547" i="1"/>
  <c r="G546" i="1"/>
  <c r="G545" i="1"/>
  <c r="G531" i="1"/>
  <c r="G517" i="1"/>
  <c r="G503" i="1"/>
  <c r="G489" i="1"/>
  <c r="G475" i="1"/>
  <c r="G461" i="1"/>
  <c r="G447" i="1"/>
  <c r="G433" i="1"/>
  <c r="G419" i="1"/>
  <c r="G405" i="1"/>
  <c r="G391" i="1"/>
  <c r="G377" i="1"/>
  <c r="G363" i="1"/>
  <c r="J103" i="1"/>
  <c r="J75" i="1"/>
  <c r="D524" i="1"/>
  <c r="J524" i="1"/>
  <c r="E510" i="1"/>
  <c r="D510" i="1"/>
  <c r="J510" i="1"/>
  <c r="E496" i="1"/>
  <c r="D496" i="1"/>
  <c r="J496" i="1"/>
  <c r="E482" i="1"/>
  <c r="D482" i="1"/>
  <c r="E468" i="1"/>
  <c r="D468" i="1"/>
  <c r="J468" i="1"/>
  <c r="E454" i="1"/>
  <c r="D454" i="1"/>
  <c r="J454" i="1"/>
  <c r="E440" i="1"/>
  <c r="D440" i="1"/>
  <c r="J440" i="1"/>
  <c r="E426" i="1"/>
  <c r="D426" i="1"/>
  <c r="E412" i="1"/>
  <c r="D412" i="1"/>
  <c r="E398" i="1"/>
  <c r="D398" i="1"/>
  <c r="J398" i="1"/>
  <c r="E384" i="1"/>
  <c r="D384" i="1"/>
  <c r="J384" i="1"/>
  <c r="E370" i="1"/>
  <c r="D370" i="1"/>
  <c r="J370" i="1"/>
  <c r="E356" i="1"/>
  <c r="D356" i="1"/>
  <c r="J356" i="1"/>
  <c r="E342" i="1"/>
  <c r="D342" i="1"/>
  <c r="E328" i="1"/>
  <c r="D328" i="1"/>
  <c r="J328" i="1"/>
  <c r="E314" i="1"/>
  <c r="D314" i="1"/>
  <c r="J314" i="1"/>
  <c r="E300" i="1"/>
  <c r="D300" i="1"/>
  <c r="J300" i="1"/>
  <c r="E286" i="1"/>
  <c r="D286" i="1"/>
  <c r="E272" i="1"/>
  <c r="D272" i="1"/>
  <c r="J272" i="1"/>
  <c r="E258" i="1"/>
  <c r="D258" i="1"/>
  <c r="J258" i="1"/>
  <c r="D244" i="1"/>
  <c r="E230" i="1"/>
  <c r="D230" i="1"/>
  <c r="E216" i="1"/>
  <c r="J216" i="1"/>
  <c r="E202" i="1"/>
  <c r="D202" i="1"/>
  <c r="J202" i="1"/>
  <c r="E188" i="1"/>
  <c r="D188" i="1"/>
  <c r="J188" i="1"/>
  <c r="E174" i="1"/>
  <c r="D174" i="1"/>
  <c r="J174" i="1"/>
  <c r="E160" i="1"/>
  <c r="D160" i="1"/>
  <c r="J160" i="1"/>
  <c r="E146" i="1"/>
  <c r="D146" i="1"/>
  <c r="E132" i="1"/>
  <c r="D132" i="1"/>
  <c r="J132" i="1"/>
  <c r="E118" i="1"/>
  <c r="D118" i="1"/>
  <c r="J118" i="1"/>
  <c r="E104" i="1"/>
  <c r="D104" i="1"/>
  <c r="J104" i="1"/>
  <c r="E90" i="1"/>
  <c r="E76" i="1"/>
  <c r="D76" i="1"/>
  <c r="J76" i="1"/>
  <c r="E62" i="1"/>
  <c r="D62" i="1"/>
  <c r="E48" i="1"/>
  <c r="D48" i="1"/>
  <c r="J48" i="1"/>
  <c r="J34" i="1"/>
  <c r="E20" i="1"/>
  <c r="D20" i="1"/>
  <c r="J426" i="1"/>
  <c r="J286" i="1"/>
  <c r="J146" i="1"/>
  <c r="E523" i="1"/>
  <c r="J523" i="1"/>
  <c r="D523" i="1"/>
  <c r="E509" i="1"/>
  <c r="J509" i="1"/>
  <c r="E495" i="1"/>
  <c r="D495" i="1"/>
  <c r="J495" i="1"/>
  <c r="E481" i="1"/>
  <c r="D481" i="1"/>
  <c r="J481" i="1"/>
  <c r="E467" i="1"/>
  <c r="D467" i="1"/>
  <c r="E453" i="1"/>
  <c r="D453" i="1"/>
  <c r="J453" i="1"/>
  <c r="E439" i="1"/>
  <c r="D439" i="1"/>
  <c r="J439" i="1"/>
  <c r="E425" i="1"/>
  <c r="D425" i="1"/>
  <c r="E411" i="1"/>
  <c r="D411" i="1"/>
  <c r="E397" i="1"/>
  <c r="D397" i="1"/>
  <c r="J397" i="1"/>
  <c r="E383" i="1"/>
  <c r="D383" i="1"/>
  <c r="J383" i="1"/>
  <c r="E369" i="1"/>
  <c r="D369" i="1"/>
  <c r="J369" i="1"/>
  <c r="E355" i="1"/>
  <c r="D355" i="1"/>
  <c r="J355" i="1"/>
  <c r="E341" i="1"/>
  <c r="D341" i="1"/>
  <c r="J341" i="1"/>
  <c r="E327" i="1"/>
  <c r="D327" i="1"/>
  <c r="D313" i="1"/>
  <c r="E299" i="1"/>
  <c r="D299" i="1"/>
  <c r="J299" i="1"/>
  <c r="E285" i="1"/>
  <c r="D285" i="1"/>
  <c r="J285" i="1"/>
  <c r="E271" i="1"/>
  <c r="D271" i="1"/>
  <c r="E257" i="1"/>
  <c r="D257" i="1"/>
  <c r="J257" i="1"/>
  <c r="E243" i="1"/>
  <c r="D243" i="1"/>
  <c r="J243" i="1"/>
  <c r="E229" i="1"/>
  <c r="D229" i="1"/>
  <c r="J229" i="1"/>
  <c r="E215" i="1"/>
  <c r="D215" i="1"/>
  <c r="E201" i="1"/>
  <c r="D201" i="1"/>
  <c r="J201" i="1"/>
  <c r="E187" i="1"/>
  <c r="D187" i="1"/>
  <c r="J187" i="1"/>
  <c r="E173" i="1"/>
  <c r="D173" i="1"/>
  <c r="J173" i="1"/>
  <c r="E159" i="1"/>
  <c r="J159" i="1"/>
  <c r="E522" i="1"/>
  <c r="D522" i="1"/>
  <c r="E508" i="1"/>
  <c r="D508" i="1"/>
  <c r="E494" i="1"/>
  <c r="D494" i="1"/>
  <c r="J494" i="1"/>
  <c r="E480" i="1"/>
  <c r="D480" i="1"/>
  <c r="E466" i="1"/>
  <c r="D466" i="1"/>
  <c r="J466" i="1"/>
  <c r="E452" i="1"/>
  <c r="D452" i="1"/>
  <c r="E438" i="1"/>
  <c r="J438" i="1"/>
  <c r="E424" i="1"/>
  <c r="D424" i="1"/>
  <c r="J424" i="1"/>
  <c r="E410" i="1"/>
  <c r="D410" i="1"/>
  <c r="J410" i="1"/>
  <c r="E396" i="1"/>
  <c r="D396" i="1"/>
  <c r="E382" i="1"/>
  <c r="J382" i="1"/>
  <c r="D382" i="1"/>
  <c r="E368" i="1"/>
  <c r="D368" i="1"/>
  <c r="J368" i="1"/>
  <c r="E354" i="1"/>
  <c r="D354" i="1"/>
  <c r="J354" i="1"/>
  <c r="E340" i="1"/>
  <c r="D340" i="1"/>
  <c r="J340" i="1"/>
  <c r="E326" i="1"/>
  <c r="D326" i="1"/>
  <c r="J326" i="1"/>
  <c r="E312" i="1"/>
  <c r="D312" i="1"/>
  <c r="E298" i="1"/>
  <c r="D298" i="1"/>
  <c r="J298" i="1"/>
  <c r="E284" i="1"/>
  <c r="D284" i="1"/>
  <c r="J284" i="1"/>
  <c r="E270" i="1"/>
  <c r="D270" i="1"/>
  <c r="J270" i="1"/>
  <c r="E256" i="1"/>
  <c r="E242" i="1"/>
  <c r="D242" i="1"/>
  <c r="J242" i="1"/>
  <c r="E228" i="1"/>
  <c r="D228" i="1"/>
  <c r="J228" i="1"/>
  <c r="E214" i="1"/>
  <c r="D214" i="1"/>
  <c r="J214" i="1"/>
  <c r="E200" i="1"/>
  <c r="D200" i="1"/>
  <c r="E186" i="1"/>
  <c r="D186" i="1"/>
  <c r="J186" i="1"/>
  <c r="E172" i="1"/>
  <c r="E158" i="1"/>
  <c r="D158" i="1"/>
  <c r="J158" i="1"/>
  <c r="E144" i="1"/>
  <c r="D144" i="1"/>
  <c r="J144" i="1"/>
  <c r="E130" i="1"/>
  <c r="D130" i="1"/>
  <c r="J130" i="1"/>
  <c r="E116" i="1"/>
  <c r="D116" i="1"/>
  <c r="E102" i="1"/>
  <c r="D102" i="1"/>
  <c r="J102" i="1"/>
  <c r="E88" i="1"/>
  <c r="E74" i="1"/>
  <c r="D74" i="1"/>
  <c r="E60" i="1"/>
  <c r="J60" i="1"/>
  <c r="E46" i="1"/>
  <c r="D46" i="1"/>
  <c r="J46" i="1"/>
  <c r="E32" i="1"/>
  <c r="D32" i="1"/>
  <c r="J32" i="1"/>
  <c r="E18" i="1"/>
  <c r="D18" i="1"/>
  <c r="J18" i="1"/>
  <c r="E4" i="1"/>
  <c r="D4" i="1"/>
  <c r="J4" i="1"/>
  <c r="D526" i="1"/>
  <c r="E521" i="1"/>
  <c r="J521" i="1"/>
  <c r="D521" i="1"/>
  <c r="E507" i="1"/>
  <c r="J507" i="1"/>
  <c r="D507" i="1"/>
  <c r="E479" i="1"/>
  <c r="D479" i="1"/>
  <c r="J479" i="1"/>
  <c r="E465" i="1"/>
  <c r="J465" i="1"/>
  <c r="D451" i="1"/>
  <c r="J451" i="1"/>
  <c r="E437" i="1"/>
  <c r="D437" i="1"/>
  <c r="E423" i="1"/>
  <c r="D423" i="1"/>
  <c r="E409" i="1"/>
  <c r="D409" i="1"/>
  <c r="J409" i="1"/>
  <c r="E395" i="1"/>
  <c r="J395" i="1"/>
  <c r="E381" i="1"/>
  <c r="D381" i="1"/>
  <c r="J367" i="1"/>
  <c r="E353" i="1"/>
  <c r="D353" i="1"/>
  <c r="J353" i="1"/>
  <c r="E339" i="1"/>
  <c r="D339" i="1"/>
  <c r="J339" i="1"/>
  <c r="D325" i="1"/>
  <c r="J325" i="1"/>
  <c r="E311" i="1"/>
  <c r="D311" i="1"/>
  <c r="J311" i="1"/>
  <c r="E297" i="1"/>
  <c r="D297" i="1"/>
  <c r="E283" i="1"/>
  <c r="D283" i="1"/>
  <c r="J283" i="1"/>
  <c r="E269" i="1"/>
  <c r="D269" i="1"/>
  <c r="J269" i="1"/>
  <c r="E255" i="1"/>
  <c r="D255" i="1"/>
  <c r="J255" i="1"/>
  <c r="E241" i="1"/>
  <c r="D241" i="1"/>
  <c r="E227" i="1"/>
  <c r="D227" i="1"/>
  <c r="J227" i="1"/>
  <c r="E213" i="1"/>
  <c r="D213" i="1"/>
  <c r="J213" i="1"/>
  <c r="E199" i="1"/>
  <c r="D199" i="1"/>
  <c r="J199" i="1"/>
  <c r="E185" i="1"/>
  <c r="D185" i="1"/>
  <c r="E171" i="1"/>
  <c r="D171" i="1"/>
  <c r="J171" i="1"/>
  <c r="E157" i="1"/>
  <c r="D157" i="1"/>
  <c r="J157" i="1"/>
  <c r="D143" i="1"/>
  <c r="E129" i="1"/>
  <c r="D129" i="1"/>
  <c r="J129" i="1"/>
  <c r="E115" i="1"/>
  <c r="D115" i="1"/>
  <c r="J115" i="1"/>
  <c r="E101" i="1"/>
  <c r="D101" i="1"/>
  <c r="E87" i="1"/>
  <c r="J87" i="1"/>
  <c r="E73" i="1"/>
  <c r="D73" i="1"/>
  <c r="E59" i="1"/>
  <c r="D59" i="1"/>
  <c r="J59" i="1"/>
  <c r="E45" i="1"/>
  <c r="D45" i="1"/>
  <c r="J482" i="1"/>
  <c r="J411" i="1"/>
  <c r="J342" i="1"/>
  <c r="J200" i="1"/>
  <c r="D516" i="1"/>
  <c r="D395" i="1"/>
  <c r="E545" i="1"/>
  <c r="J545" i="1"/>
  <c r="D545" i="1"/>
  <c r="E539" i="1"/>
  <c r="J539" i="1"/>
  <c r="D539" i="1"/>
  <c r="E538" i="1"/>
  <c r="D538" i="1"/>
  <c r="J538" i="1"/>
  <c r="E537" i="1"/>
  <c r="J537" i="1"/>
  <c r="D537" i="1"/>
  <c r="E536" i="1"/>
  <c r="D536" i="1"/>
  <c r="E535" i="1"/>
  <c r="J535" i="1"/>
  <c r="D535" i="1"/>
  <c r="D2" i="1"/>
  <c r="E2" i="1"/>
  <c r="D534" i="1"/>
  <c r="E534" i="1"/>
  <c r="J534" i="1"/>
  <c r="J520" i="1"/>
  <c r="E520" i="1"/>
  <c r="D520" i="1"/>
  <c r="J506" i="1"/>
  <c r="D506" i="1"/>
  <c r="E506" i="1"/>
  <c r="J492" i="1"/>
  <c r="E492" i="1"/>
  <c r="D492" i="1"/>
  <c r="E478" i="1"/>
  <c r="D464" i="1"/>
  <c r="J464" i="1"/>
  <c r="D450" i="1"/>
  <c r="J450" i="1"/>
  <c r="E450" i="1"/>
  <c r="E436" i="1"/>
  <c r="J436" i="1"/>
  <c r="D436" i="1"/>
  <c r="D408" i="1"/>
  <c r="E408" i="1"/>
  <c r="J408" i="1"/>
  <c r="D394" i="1"/>
  <c r="E394" i="1"/>
  <c r="J394" i="1"/>
  <c r="D380" i="1"/>
  <c r="J380" i="1"/>
  <c r="E366" i="1"/>
  <c r="D366" i="1"/>
  <c r="J352" i="1"/>
  <c r="E352" i="1"/>
  <c r="D352" i="1"/>
  <c r="J338" i="1"/>
  <c r="D338" i="1"/>
  <c r="E338" i="1"/>
  <c r="E324" i="1"/>
  <c r="J324" i="1"/>
  <c r="D324" i="1"/>
  <c r="D310" i="1"/>
  <c r="J310" i="1"/>
  <c r="E310" i="1"/>
  <c r="D296" i="1"/>
  <c r="E296" i="1"/>
  <c r="J296" i="1"/>
  <c r="D282" i="1"/>
  <c r="E282" i="1"/>
  <c r="D268" i="1"/>
  <c r="J268" i="1"/>
  <c r="E268" i="1"/>
  <c r="D254" i="1"/>
  <c r="J254" i="1"/>
  <c r="D240" i="1"/>
  <c r="J240" i="1"/>
  <c r="E240" i="1"/>
  <c r="D226" i="1"/>
  <c r="E226" i="1"/>
  <c r="D212" i="1"/>
  <c r="J212" i="1"/>
  <c r="E212" i="1"/>
  <c r="D198" i="1"/>
  <c r="J198" i="1"/>
  <c r="D184" i="1"/>
  <c r="D170" i="1"/>
  <c r="E170" i="1"/>
  <c r="D156" i="1"/>
  <c r="J156" i="1"/>
  <c r="E156" i="1"/>
  <c r="D142" i="1"/>
  <c r="J142" i="1"/>
  <c r="D128" i="1"/>
  <c r="J128" i="1"/>
  <c r="E128" i="1"/>
  <c r="E114" i="1"/>
  <c r="D100" i="1"/>
  <c r="J100" i="1"/>
  <c r="E100" i="1"/>
  <c r="E86" i="1"/>
  <c r="D72" i="1"/>
  <c r="E72" i="1"/>
  <c r="J72" i="1"/>
  <c r="J58" i="1"/>
  <c r="E58" i="1"/>
  <c r="D44" i="1"/>
  <c r="E44" i="1"/>
  <c r="J44" i="1"/>
  <c r="J478" i="1"/>
  <c r="D509" i="1"/>
  <c r="E254" i="1"/>
  <c r="E519" i="1"/>
  <c r="D519" i="1"/>
  <c r="J519" i="1"/>
  <c r="J505" i="1"/>
  <c r="D505" i="1"/>
  <c r="E505" i="1"/>
  <c r="J491" i="1"/>
  <c r="D477" i="1"/>
  <c r="J477" i="1"/>
  <c r="E477" i="1"/>
  <c r="E463" i="1"/>
  <c r="D449" i="1"/>
  <c r="J449" i="1"/>
  <c r="E449" i="1"/>
  <c r="E435" i="1"/>
  <c r="J435" i="1"/>
  <c r="D435" i="1"/>
  <c r="J421" i="1"/>
  <c r="D421" i="1"/>
  <c r="D407" i="1"/>
  <c r="E407" i="1"/>
  <c r="D393" i="1"/>
  <c r="E393" i="1"/>
  <c r="J393" i="1"/>
  <c r="E379" i="1"/>
  <c r="D379" i="1"/>
  <c r="J379" i="1"/>
  <c r="E365" i="1"/>
  <c r="D365" i="1"/>
  <c r="J365" i="1"/>
  <c r="E351" i="1"/>
  <c r="J337" i="1"/>
  <c r="D337" i="1"/>
  <c r="E337" i="1"/>
  <c r="E323" i="1"/>
  <c r="J323" i="1"/>
  <c r="D323" i="1"/>
  <c r="J309" i="1"/>
  <c r="D309" i="1"/>
  <c r="E309" i="1"/>
  <c r="J295" i="1"/>
  <c r="D295" i="1"/>
  <c r="D281" i="1"/>
  <c r="J281" i="1"/>
  <c r="D267" i="1"/>
  <c r="E267" i="1"/>
  <c r="D253" i="1"/>
  <c r="E253" i="1"/>
  <c r="J253" i="1"/>
  <c r="J239" i="1"/>
  <c r="D239" i="1"/>
  <c r="E239" i="1"/>
  <c r="E225" i="1"/>
  <c r="D225" i="1"/>
  <c r="J225" i="1"/>
  <c r="D211" i="1"/>
  <c r="E211" i="1"/>
  <c r="D183" i="1"/>
  <c r="E183" i="1"/>
  <c r="J183" i="1"/>
  <c r="E169" i="1"/>
  <c r="D169" i="1"/>
  <c r="J169" i="1"/>
  <c r="J141" i="1"/>
  <c r="E141" i="1"/>
  <c r="D141" i="1"/>
  <c r="E127" i="1"/>
  <c r="J127" i="1"/>
  <c r="D127" i="1"/>
  <c r="E113" i="1"/>
  <c r="J113" i="1"/>
  <c r="D113" i="1"/>
  <c r="D99" i="1"/>
  <c r="J99" i="1"/>
  <c r="E99" i="1"/>
  <c r="D85" i="1"/>
  <c r="D71" i="1"/>
  <c r="E71" i="1"/>
  <c r="J71" i="1"/>
  <c r="D57" i="1"/>
  <c r="E57" i="1"/>
  <c r="D43" i="1"/>
  <c r="J43" i="1"/>
  <c r="J547" i="1"/>
  <c r="D547" i="1"/>
  <c r="E547" i="1"/>
  <c r="J533" i="1"/>
  <c r="E533" i="1"/>
  <c r="D546" i="1"/>
  <c r="J532" i="1"/>
  <c r="E532" i="1"/>
  <c r="D518" i="1"/>
  <c r="D504" i="1"/>
  <c r="J504" i="1"/>
  <c r="E504" i="1"/>
  <c r="J490" i="1"/>
  <c r="E490" i="1"/>
  <c r="D490" i="1"/>
  <c r="E476" i="1"/>
  <c r="D462" i="1"/>
  <c r="E462" i="1"/>
  <c r="J462" i="1"/>
  <c r="E434" i="1"/>
  <c r="J434" i="1"/>
  <c r="D434" i="1"/>
  <c r="J420" i="1"/>
  <c r="E420" i="1"/>
  <c r="D420" i="1"/>
  <c r="D406" i="1"/>
  <c r="E406" i="1"/>
  <c r="J406" i="1"/>
  <c r="D392" i="1"/>
  <c r="E392" i="1"/>
  <c r="E378" i="1"/>
  <c r="J378" i="1"/>
  <c r="E364" i="1"/>
  <c r="D364" i="1"/>
  <c r="J364" i="1"/>
  <c r="D350" i="1"/>
  <c r="J350" i="1"/>
  <c r="E350" i="1"/>
  <c r="J322" i="1"/>
  <c r="D322" i="1"/>
  <c r="E322" i="1"/>
  <c r="J308" i="1"/>
  <c r="D308" i="1"/>
  <c r="J294" i="1"/>
  <c r="D294" i="1"/>
  <c r="E294" i="1"/>
  <c r="D280" i="1"/>
  <c r="J280" i="1"/>
  <c r="E280" i="1"/>
  <c r="D266" i="1"/>
  <c r="E266" i="1"/>
  <c r="E252" i="1"/>
  <c r="J238" i="1"/>
  <c r="D238" i="1"/>
  <c r="E238" i="1"/>
  <c r="E224" i="1"/>
  <c r="J224" i="1"/>
  <c r="D210" i="1"/>
  <c r="J210" i="1"/>
  <c r="E210" i="1"/>
  <c r="E196" i="1"/>
  <c r="E182" i="1"/>
  <c r="J182" i="1"/>
  <c r="D168" i="1"/>
  <c r="E168" i="1"/>
  <c r="D154" i="1"/>
  <c r="E154" i="1"/>
  <c r="J154" i="1"/>
  <c r="D140" i="1"/>
  <c r="J126" i="1"/>
  <c r="D126" i="1"/>
  <c r="E126" i="1"/>
  <c r="J112" i="1"/>
  <c r="D112" i="1"/>
  <c r="E112" i="1"/>
  <c r="J98" i="1"/>
  <c r="J84" i="1"/>
  <c r="D84" i="1"/>
  <c r="E84" i="1"/>
  <c r="J70" i="1"/>
  <c r="D56" i="1"/>
  <c r="J56" i="1"/>
  <c r="E56" i="1"/>
  <c r="J536" i="1"/>
  <c r="J467" i="1"/>
  <c r="J327" i="1"/>
  <c r="E517" i="1"/>
  <c r="J517" i="1"/>
  <c r="D517" i="1"/>
  <c r="J503" i="1"/>
  <c r="E489" i="1"/>
  <c r="D489" i="1"/>
  <c r="J489" i="1"/>
  <c r="E475" i="1"/>
  <c r="J475" i="1"/>
  <c r="D475" i="1"/>
  <c r="J461" i="1"/>
  <c r="E447" i="1"/>
  <c r="D447" i="1"/>
  <c r="J447" i="1"/>
  <c r="E433" i="1"/>
  <c r="D433" i="1"/>
  <c r="E419" i="1"/>
  <c r="J419" i="1"/>
  <c r="D419" i="1"/>
  <c r="E405" i="1"/>
  <c r="J405" i="1"/>
  <c r="E391" i="1"/>
  <c r="D391" i="1"/>
  <c r="J391" i="1"/>
  <c r="E377" i="1"/>
  <c r="D377" i="1"/>
  <c r="E363" i="1"/>
  <c r="D363" i="1"/>
  <c r="J363" i="1"/>
  <c r="J349" i="1"/>
  <c r="E335" i="1"/>
  <c r="D335" i="1"/>
  <c r="J335" i="1"/>
  <c r="E321" i="1"/>
  <c r="D321" i="1"/>
  <c r="J307" i="1"/>
  <c r="D307" i="1"/>
  <c r="E293" i="1"/>
  <c r="J293" i="1"/>
  <c r="D293" i="1"/>
  <c r="D279" i="1"/>
  <c r="E265" i="1"/>
  <c r="J265" i="1"/>
  <c r="D265" i="1"/>
  <c r="J251" i="1"/>
  <c r="E237" i="1"/>
  <c r="D237" i="1"/>
  <c r="E223" i="1"/>
  <c r="J223" i="1"/>
  <c r="D223" i="1"/>
  <c r="E209" i="1"/>
  <c r="J209" i="1"/>
  <c r="E195" i="1"/>
  <c r="J195" i="1"/>
  <c r="D195" i="1"/>
  <c r="E181" i="1"/>
  <c r="D181" i="1"/>
  <c r="E167" i="1"/>
  <c r="J167" i="1"/>
  <c r="D167" i="1"/>
  <c r="E153" i="1"/>
  <c r="D153" i="1"/>
  <c r="J153" i="1"/>
  <c r="E139" i="1"/>
  <c r="D139" i="1"/>
  <c r="J139" i="1"/>
  <c r="E125" i="1"/>
  <c r="D125" i="1"/>
  <c r="E111" i="1"/>
  <c r="J111" i="1"/>
  <c r="D111" i="1"/>
  <c r="E97" i="1"/>
  <c r="D97" i="1"/>
  <c r="J97" i="1"/>
  <c r="E83" i="1"/>
  <c r="J83" i="1"/>
  <c r="D83" i="1"/>
  <c r="E69" i="1"/>
  <c r="D69" i="1"/>
  <c r="E55" i="1"/>
  <c r="D55" i="1"/>
  <c r="J55" i="1"/>
  <c r="E41" i="1"/>
  <c r="D41" i="1"/>
  <c r="J463" i="1"/>
  <c r="J392" i="1"/>
  <c r="J321" i="1"/>
  <c r="J181" i="1"/>
  <c r="D182" i="1"/>
  <c r="E546" i="1"/>
  <c r="D502" i="1"/>
  <c r="E502" i="1"/>
  <c r="J488" i="1"/>
  <c r="E488" i="1"/>
  <c r="D488" i="1"/>
  <c r="J474" i="1"/>
  <c r="E474" i="1"/>
  <c r="D474" i="1"/>
  <c r="D460" i="1"/>
  <c r="E460" i="1"/>
  <c r="J460" i="1"/>
  <c r="E446" i="1"/>
  <c r="D446" i="1"/>
  <c r="J446" i="1"/>
  <c r="E432" i="1"/>
  <c r="J432" i="1"/>
  <c r="D432" i="1"/>
  <c r="E418" i="1"/>
  <c r="D418" i="1"/>
  <c r="E404" i="1"/>
  <c r="D404" i="1"/>
  <c r="D390" i="1"/>
  <c r="E390" i="1"/>
  <c r="J390" i="1"/>
  <c r="D376" i="1"/>
  <c r="J376" i="1"/>
  <c r="E376" i="1"/>
  <c r="E362" i="1"/>
  <c r="D362" i="1"/>
  <c r="E348" i="1"/>
  <c r="J348" i="1"/>
  <c r="D334" i="1"/>
  <c r="J334" i="1"/>
  <c r="D320" i="1"/>
  <c r="E320" i="1"/>
  <c r="J320" i="1"/>
  <c r="D306" i="1"/>
  <c r="E306" i="1"/>
  <c r="D292" i="1"/>
  <c r="J292" i="1"/>
  <c r="E292" i="1"/>
  <c r="D278" i="1"/>
  <c r="J278" i="1"/>
  <c r="E278" i="1"/>
  <c r="D264" i="1"/>
  <c r="J264" i="1"/>
  <c r="E264" i="1"/>
  <c r="D250" i="1"/>
  <c r="E250" i="1"/>
  <c r="J250" i="1"/>
  <c r="D236" i="1"/>
  <c r="J236" i="1"/>
  <c r="E236" i="1"/>
  <c r="D222" i="1"/>
  <c r="E222" i="1"/>
  <c r="J208" i="1"/>
  <c r="E208" i="1"/>
  <c r="D194" i="1"/>
  <c r="E194" i="1"/>
  <c r="J194" i="1"/>
  <c r="D180" i="1"/>
  <c r="D166" i="1"/>
  <c r="E166" i="1"/>
  <c r="D152" i="1"/>
  <c r="E152" i="1"/>
  <c r="J152" i="1"/>
  <c r="D138" i="1"/>
  <c r="J138" i="1"/>
  <c r="E138" i="1"/>
  <c r="D124" i="1"/>
  <c r="E124" i="1"/>
  <c r="J124" i="1"/>
  <c r="D96" i="1"/>
  <c r="J96" i="1"/>
  <c r="D82" i="1"/>
  <c r="J82" i="1"/>
  <c r="E82" i="1"/>
  <c r="D68" i="1"/>
  <c r="E68" i="1"/>
  <c r="J68" i="1"/>
  <c r="D54" i="1"/>
  <c r="E54" i="1"/>
  <c r="J54" i="1"/>
  <c r="D40" i="1"/>
  <c r="E40" i="1"/>
  <c r="J40" i="1"/>
  <c r="E26" i="1"/>
  <c r="J26" i="1"/>
  <c r="D12" i="1"/>
  <c r="E12" i="1"/>
  <c r="J12" i="1"/>
  <c r="J526" i="1"/>
  <c r="D476" i="1"/>
  <c r="D348" i="1"/>
  <c r="E518" i="1"/>
  <c r="E515" i="1"/>
  <c r="D515" i="1"/>
  <c r="J515" i="1"/>
  <c r="J501" i="1"/>
  <c r="E501" i="1"/>
  <c r="J487" i="1"/>
  <c r="E487" i="1"/>
  <c r="D487" i="1"/>
  <c r="D473" i="1"/>
  <c r="J473" i="1"/>
  <c r="E473" i="1"/>
  <c r="J459" i="1"/>
  <c r="E459" i="1"/>
  <c r="J445" i="1"/>
  <c r="D445" i="1"/>
  <c r="E445" i="1"/>
  <c r="J431" i="1"/>
  <c r="E431" i="1"/>
  <c r="J417" i="1"/>
  <c r="E417" i="1"/>
  <c r="D417" i="1"/>
  <c r="J403" i="1"/>
  <c r="D403" i="1"/>
  <c r="E403" i="1"/>
  <c r="J389" i="1"/>
  <c r="D389" i="1"/>
  <c r="E389" i="1"/>
  <c r="J375" i="1"/>
  <c r="J361" i="1"/>
  <c r="D361" i="1"/>
  <c r="J347" i="1"/>
  <c r="E347" i="1"/>
  <c r="D347" i="1"/>
  <c r="J333" i="1"/>
  <c r="D333" i="1"/>
  <c r="E333" i="1"/>
  <c r="J319" i="1"/>
  <c r="D319" i="1"/>
  <c r="E319" i="1"/>
  <c r="J305" i="1"/>
  <c r="D305" i="1"/>
  <c r="E305" i="1"/>
  <c r="E291" i="1"/>
  <c r="J277" i="1"/>
  <c r="E277" i="1"/>
  <c r="J263" i="1"/>
  <c r="D263" i="1"/>
  <c r="E263" i="1"/>
  <c r="J249" i="1"/>
  <c r="D249" i="1"/>
  <c r="J235" i="1"/>
  <c r="E235" i="1"/>
  <c r="J221" i="1"/>
  <c r="E221" i="1"/>
  <c r="D221" i="1"/>
  <c r="J207" i="1"/>
  <c r="D207" i="1"/>
  <c r="E207" i="1"/>
  <c r="D193" i="1"/>
  <c r="J193" i="1"/>
  <c r="E193" i="1"/>
  <c r="J179" i="1"/>
  <c r="D179" i="1"/>
  <c r="E179" i="1"/>
  <c r="J165" i="1"/>
  <c r="D165" i="1"/>
  <c r="E165" i="1"/>
  <c r="J151" i="1"/>
  <c r="E151" i="1"/>
  <c r="J137" i="1"/>
  <c r="D137" i="1"/>
  <c r="E137" i="1"/>
  <c r="J123" i="1"/>
  <c r="D123" i="1"/>
  <c r="J109" i="1"/>
  <c r="D109" i="1"/>
  <c r="E109" i="1"/>
  <c r="D95" i="1"/>
  <c r="J95" i="1"/>
  <c r="E95" i="1"/>
  <c r="J81" i="1"/>
  <c r="D81" i="1"/>
  <c r="E81" i="1"/>
  <c r="D67" i="1"/>
  <c r="E67" i="1"/>
  <c r="J67" i="1"/>
  <c r="D53" i="1"/>
  <c r="E53" i="1"/>
  <c r="J522" i="1"/>
  <c r="J452" i="1"/>
  <c r="J312" i="1"/>
  <c r="D336" i="1"/>
  <c r="D155" i="1"/>
  <c r="E514" i="1"/>
  <c r="D514" i="1"/>
  <c r="J514" i="1"/>
  <c r="E500" i="1"/>
  <c r="J500" i="1"/>
  <c r="E486" i="1"/>
  <c r="D486" i="1"/>
  <c r="E472" i="1"/>
  <c r="J472" i="1"/>
  <c r="D472" i="1"/>
  <c r="E458" i="1"/>
  <c r="J458" i="1"/>
  <c r="D458" i="1"/>
  <c r="D444" i="1"/>
  <c r="J444" i="1"/>
  <c r="E444" i="1"/>
  <c r="J430" i="1"/>
  <c r="D430" i="1"/>
  <c r="E430" i="1"/>
  <c r="J416" i="1"/>
  <c r="E416" i="1"/>
  <c r="D416" i="1"/>
  <c r="D402" i="1"/>
  <c r="E402" i="1"/>
  <c r="E374" i="1"/>
  <c r="D374" i="1"/>
  <c r="J374" i="1"/>
  <c r="E360" i="1"/>
  <c r="D360" i="1"/>
  <c r="J360" i="1"/>
  <c r="E346" i="1"/>
  <c r="D346" i="1"/>
  <c r="D332" i="1"/>
  <c r="E332" i="1"/>
  <c r="J332" i="1"/>
  <c r="D318" i="1"/>
  <c r="E318" i="1"/>
  <c r="J318" i="1"/>
  <c r="E304" i="1"/>
  <c r="J304" i="1"/>
  <c r="D290" i="1"/>
  <c r="E290" i="1"/>
  <c r="E276" i="1"/>
  <c r="J276" i="1"/>
  <c r="D276" i="1"/>
  <c r="J262" i="1"/>
  <c r="E262" i="1"/>
  <c r="E248" i="1"/>
  <c r="J248" i="1"/>
  <c r="D248" i="1"/>
  <c r="J234" i="1"/>
  <c r="E220" i="1"/>
  <c r="J220" i="1"/>
  <c r="D206" i="1"/>
  <c r="E206" i="1"/>
  <c r="J192" i="1"/>
  <c r="D192" i="1"/>
  <c r="E192" i="1"/>
  <c r="E178" i="1"/>
  <c r="D178" i="1"/>
  <c r="J178" i="1"/>
  <c r="J164" i="1"/>
  <c r="D164" i="1"/>
  <c r="E164" i="1"/>
  <c r="J516" i="1"/>
  <c r="J448" i="1"/>
  <c r="J377" i="1"/>
  <c r="J306" i="1"/>
  <c r="J237" i="1"/>
  <c r="J166" i="1"/>
  <c r="J20" i="1"/>
  <c r="D459" i="1"/>
  <c r="E464" i="1"/>
  <c r="E96" i="1"/>
  <c r="E513" i="1"/>
  <c r="D513" i="1"/>
  <c r="J513" i="1"/>
  <c r="D499" i="1"/>
  <c r="E499" i="1"/>
  <c r="J499" i="1"/>
  <c r="E485" i="1"/>
  <c r="D485" i="1"/>
  <c r="J485" i="1"/>
  <c r="E471" i="1"/>
  <c r="D471" i="1"/>
  <c r="D457" i="1"/>
  <c r="J457" i="1"/>
  <c r="E457" i="1"/>
  <c r="D443" i="1"/>
  <c r="J443" i="1"/>
  <c r="E443" i="1"/>
  <c r="J429" i="1"/>
  <c r="D429" i="1"/>
  <c r="E429" i="1"/>
  <c r="J415" i="1"/>
  <c r="D415" i="1"/>
  <c r="J401" i="1"/>
  <c r="D401" i="1"/>
  <c r="E401" i="1"/>
  <c r="E387" i="1"/>
  <c r="D387" i="1"/>
  <c r="D373" i="1"/>
  <c r="J373" i="1"/>
  <c r="E373" i="1"/>
  <c r="E359" i="1"/>
  <c r="J359" i="1"/>
  <c r="J345" i="1"/>
  <c r="E345" i="1"/>
  <c r="D345" i="1"/>
  <c r="D331" i="1"/>
  <c r="D317" i="1"/>
  <c r="E317" i="1"/>
  <c r="J317" i="1"/>
  <c r="J303" i="1"/>
  <c r="E289" i="1"/>
  <c r="J289" i="1"/>
  <c r="E275" i="1"/>
  <c r="D275" i="1"/>
  <c r="J261" i="1"/>
  <c r="D261" i="1"/>
  <c r="E261" i="1"/>
  <c r="E247" i="1"/>
  <c r="J247" i="1"/>
  <c r="D247" i="1"/>
  <c r="J233" i="1"/>
  <c r="D233" i="1"/>
  <c r="E233" i="1"/>
  <c r="D219" i="1"/>
  <c r="J219" i="1"/>
  <c r="E219" i="1"/>
  <c r="D205" i="1"/>
  <c r="J205" i="1"/>
  <c r="D191" i="1"/>
  <c r="E191" i="1"/>
  <c r="D177" i="1"/>
  <c r="J177" i="1"/>
  <c r="J163" i="1"/>
  <c r="D163" i="1"/>
  <c r="E163" i="1"/>
  <c r="D149" i="1"/>
  <c r="E149" i="1"/>
  <c r="J149" i="1"/>
  <c r="D135" i="1"/>
  <c r="E135" i="1"/>
  <c r="D121" i="1"/>
  <c r="E121" i="1"/>
  <c r="J121" i="1"/>
  <c r="D107" i="1"/>
  <c r="E107" i="1"/>
  <c r="J107" i="1"/>
  <c r="E93" i="1"/>
  <c r="J93" i="1"/>
  <c r="J79" i="1"/>
  <c r="E79" i="1"/>
  <c r="J65" i="1"/>
  <c r="E65" i="1"/>
  <c r="D65" i="1"/>
  <c r="J51" i="1"/>
  <c r="D51" i="1"/>
  <c r="E51" i="1"/>
  <c r="E37" i="1"/>
  <c r="D37" i="1"/>
  <c r="J230" i="1"/>
  <c r="D448" i="1"/>
  <c r="E531" i="1"/>
  <c r="J531" i="1"/>
  <c r="D531" i="1"/>
  <c r="E544" i="1"/>
  <c r="D530" i="1"/>
  <c r="E530" i="1"/>
  <c r="D543" i="1"/>
  <c r="E543" i="1"/>
  <c r="J543" i="1"/>
  <c r="D529" i="1"/>
  <c r="E529" i="1"/>
  <c r="J529" i="1"/>
  <c r="E542" i="1"/>
  <c r="J542" i="1"/>
  <c r="D528" i="1"/>
  <c r="E528" i="1"/>
  <c r="J528" i="1"/>
  <c r="E541" i="1"/>
  <c r="J541" i="1"/>
  <c r="D541" i="1"/>
  <c r="D527" i="1"/>
  <c r="E527" i="1"/>
  <c r="J527" i="1"/>
  <c r="E540" i="1"/>
  <c r="D540" i="1"/>
  <c r="E512" i="1"/>
  <c r="D512" i="1"/>
  <c r="E498" i="1"/>
  <c r="D498" i="1"/>
  <c r="J498" i="1"/>
  <c r="J484" i="1"/>
  <c r="E484" i="1"/>
  <c r="E470" i="1"/>
  <c r="D470" i="1"/>
  <c r="J470" i="1"/>
  <c r="D456" i="1"/>
  <c r="E456" i="1"/>
  <c r="J428" i="1"/>
  <c r="D428" i="1"/>
  <c r="E428" i="1"/>
  <c r="J414" i="1"/>
  <c r="E414" i="1"/>
  <c r="E400" i="1"/>
  <c r="E386" i="1"/>
  <c r="J386" i="1"/>
  <c r="D372" i="1"/>
  <c r="E372" i="1"/>
  <c r="E358" i="1"/>
  <c r="D358" i="1"/>
  <c r="J358" i="1"/>
  <c r="J344" i="1"/>
  <c r="E344" i="1"/>
  <c r="D344" i="1"/>
  <c r="D330" i="1"/>
  <c r="E330" i="1"/>
  <c r="J330" i="1"/>
  <c r="E302" i="1"/>
  <c r="J302" i="1"/>
  <c r="D302" i="1"/>
  <c r="D288" i="1"/>
  <c r="E288" i="1"/>
  <c r="J288" i="1"/>
  <c r="E274" i="1"/>
  <c r="D274" i="1"/>
  <c r="J274" i="1"/>
  <c r="D260" i="1"/>
  <c r="E260" i="1"/>
  <c r="J246" i="1"/>
  <c r="D246" i="1"/>
  <c r="E246" i="1"/>
  <c r="D232" i="1"/>
  <c r="J218" i="1"/>
  <c r="D218" i="1"/>
  <c r="E218" i="1"/>
  <c r="E204" i="1"/>
  <c r="D204" i="1"/>
  <c r="J204" i="1"/>
  <c r="J190" i="1"/>
  <c r="D190" i="1"/>
  <c r="E190" i="1"/>
  <c r="D176" i="1"/>
  <c r="E176" i="1"/>
  <c r="J162" i="1"/>
  <c r="D162" i="1"/>
  <c r="E162" i="1"/>
  <c r="E148" i="1"/>
  <c r="J148" i="1"/>
  <c r="D134" i="1"/>
  <c r="J134" i="1"/>
  <c r="E134" i="1"/>
  <c r="E106" i="1"/>
  <c r="E92" i="1"/>
  <c r="J92" i="1"/>
  <c r="D92" i="1"/>
  <c r="D78" i="1"/>
  <c r="E78" i="1"/>
  <c r="E64" i="1"/>
  <c r="J64" i="1"/>
  <c r="D64" i="1"/>
  <c r="J50" i="1"/>
  <c r="D50" i="1"/>
  <c r="D36" i="1"/>
  <c r="E36" i="1"/>
  <c r="D22" i="1"/>
  <c r="E22" i="1"/>
  <c r="J22" i="1"/>
  <c r="E8" i="1"/>
  <c r="J8" i="1"/>
  <c r="D8" i="1"/>
  <c r="J508" i="1"/>
  <c r="J437" i="1"/>
  <c r="J366" i="1"/>
  <c r="J297" i="1"/>
  <c r="J226" i="1"/>
  <c r="J155" i="1"/>
  <c r="J85" i="1"/>
  <c r="D304" i="1"/>
  <c r="D120" i="1"/>
  <c r="E415" i="1"/>
  <c r="E43" i="1"/>
  <c r="E525" i="1"/>
  <c r="J525" i="1"/>
  <c r="D525" i="1"/>
  <c r="E511" i="1"/>
  <c r="D511" i="1"/>
  <c r="J511" i="1"/>
  <c r="E497" i="1"/>
  <c r="D497" i="1"/>
  <c r="E483" i="1"/>
  <c r="D483" i="1"/>
  <c r="J483" i="1"/>
  <c r="E469" i="1"/>
  <c r="D469" i="1"/>
  <c r="J469" i="1"/>
  <c r="E455" i="1"/>
  <c r="D455" i="1"/>
  <c r="J455" i="1"/>
  <c r="E441" i="1"/>
  <c r="D441" i="1"/>
  <c r="E427" i="1"/>
  <c r="J427" i="1"/>
  <c r="D427" i="1"/>
  <c r="E413" i="1"/>
  <c r="J413" i="1"/>
  <c r="D413" i="1"/>
  <c r="E399" i="1"/>
  <c r="J399" i="1"/>
  <c r="D399" i="1"/>
  <c r="E385" i="1"/>
  <c r="J385" i="1"/>
  <c r="D385" i="1"/>
  <c r="E371" i="1"/>
  <c r="J371" i="1"/>
  <c r="E357" i="1"/>
  <c r="D357" i="1"/>
  <c r="E343" i="1"/>
  <c r="J343" i="1"/>
  <c r="D343" i="1"/>
  <c r="E329" i="1"/>
  <c r="J329" i="1"/>
  <c r="D315" i="1"/>
  <c r="J315" i="1"/>
  <c r="E301" i="1"/>
  <c r="D301" i="1"/>
  <c r="E287" i="1"/>
  <c r="D287" i="1"/>
  <c r="J287" i="1"/>
  <c r="E273" i="1"/>
  <c r="D273" i="1"/>
  <c r="J273" i="1"/>
  <c r="E259" i="1"/>
  <c r="D259" i="1"/>
  <c r="J259" i="1"/>
  <c r="E245" i="1"/>
  <c r="D245" i="1"/>
  <c r="E231" i="1"/>
  <c r="J231" i="1"/>
  <c r="D231" i="1"/>
  <c r="E217" i="1"/>
  <c r="J217" i="1"/>
  <c r="D217" i="1"/>
  <c r="E203" i="1"/>
  <c r="D203" i="1"/>
  <c r="J203" i="1"/>
  <c r="E189" i="1"/>
  <c r="J189" i="1"/>
  <c r="D189" i="1"/>
  <c r="E175" i="1"/>
  <c r="J175" i="1"/>
  <c r="E161" i="1"/>
  <c r="D161" i="1"/>
  <c r="D147" i="1"/>
  <c r="J147" i="1"/>
  <c r="E133" i="1"/>
  <c r="J133" i="1"/>
  <c r="E119" i="1"/>
  <c r="J119" i="1"/>
  <c r="D119" i="1"/>
  <c r="J502" i="1"/>
  <c r="J433" i="1"/>
  <c r="J362" i="1"/>
  <c r="J290" i="1"/>
  <c r="J222" i="1"/>
  <c r="J78" i="1"/>
  <c r="D431" i="1"/>
  <c r="D289" i="1"/>
  <c r="E388" i="1"/>
  <c r="J108" i="1"/>
  <c r="J28" i="1"/>
  <c r="D11" i="1"/>
  <c r="E30" i="1"/>
  <c r="E80" i="1"/>
  <c r="J80" i="1"/>
  <c r="J122" i="1"/>
  <c r="J27" i="1"/>
  <c r="J11" i="1"/>
  <c r="D10" i="1"/>
  <c r="E136" i="1"/>
  <c r="E28" i="1"/>
  <c r="J136" i="1"/>
  <c r="J42" i="1"/>
  <c r="J10" i="1"/>
  <c r="D9" i="1"/>
  <c r="E108" i="1"/>
  <c r="E91" i="1"/>
  <c r="J91" i="1"/>
  <c r="E77" i="1"/>
  <c r="J77" i="1"/>
  <c r="E63" i="1"/>
  <c r="J63" i="1"/>
  <c r="E49" i="1"/>
  <c r="J49" i="1"/>
  <c r="D49" i="1"/>
  <c r="E35" i="1"/>
  <c r="J35" i="1"/>
  <c r="E21" i="1"/>
  <c r="J21" i="1"/>
  <c r="E7" i="1"/>
  <c r="J7" i="1"/>
  <c r="J24" i="1"/>
  <c r="D29" i="1"/>
  <c r="D7" i="1"/>
  <c r="E24" i="1"/>
  <c r="D6" i="1"/>
  <c r="J39" i="1"/>
  <c r="J23" i="1"/>
  <c r="E23" i="1"/>
  <c r="E145" i="1"/>
  <c r="D145" i="1"/>
  <c r="E131" i="1"/>
  <c r="D131" i="1"/>
  <c r="E117" i="1"/>
  <c r="D117" i="1"/>
  <c r="E103" i="1"/>
  <c r="D103" i="1"/>
  <c r="E89" i="1"/>
  <c r="D89" i="1"/>
  <c r="E75" i="1"/>
  <c r="D75" i="1"/>
  <c r="E61" i="1"/>
  <c r="D61" i="1"/>
  <c r="E47" i="1"/>
  <c r="D47" i="1"/>
  <c r="E33" i="1"/>
  <c r="D33" i="1"/>
  <c r="E19" i="1"/>
  <c r="D19" i="1"/>
  <c r="J19" i="1"/>
  <c r="E5" i="1"/>
  <c r="D5" i="1"/>
  <c r="J117" i="1"/>
  <c r="J38" i="1"/>
  <c r="J5" i="1"/>
  <c r="D80" i="1"/>
  <c r="D27" i="1"/>
  <c r="E31" i="1"/>
  <c r="D31" i="1"/>
  <c r="E17" i="1"/>
  <c r="D17" i="1"/>
  <c r="E3" i="1"/>
  <c r="D3" i="1"/>
  <c r="J145" i="1"/>
  <c r="D105" i="1"/>
  <c r="E122" i="1"/>
  <c r="E42" i="1"/>
  <c r="E15" i="1"/>
  <c r="J33" i="1"/>
  <c r="J17" i="1"/>
  <c r="D77" i="1"/>
  <c r="E94" i="1"/>
  <c r="E14" i="1"/>
  <c r="J66" i="1"/>
  <c r="J16" i="1"/>
  <c r="D21" i="1"/>
  <c r="J47" i="1"/>
  <c r="J31" i="1"/>
  <c r="J15" i="1"/>
  <c r="J30" i="1"/>
  <c r="J14" i="1"/>
  <c r="N2" i="2"/>
  <c r="M2" i="2"/>
  <c r="D2" i="2"/>
  <c r="E2" i="2"/>
  <c r="G2" i="2"/>
  <c r="N2" i="1"/>
  <c r="M2" i="1"/>
  <c r="J90" i="1" l="1"/>
  <c r="D90" i="1"/>
  <c r="D251" i="1"/>
  <c r="E251" i="1"/>
  <c r="E442" i="1"/>
  <c r="D442" i="1"/>
  <c r="D252" i="1"/>
  <c r="J252" i="1"/>
  <c r="J110" i="1"/>
  <c r="D110" i="1"/>
  <c r="J6" i="1"/>
  <c r="E52" i="1"/>
  <c r="D38" i="1"/>
  <c r="D106" i="1"/>
  <c r="J232" i="1"/>
  <c r="D400" i="1"/>
  <c r="E70" i="1"/>
  <c r="E303" i="1"/>
  <c r="E331" i="1"/>
  <c r="E234" i="1"/>
  <c r="E491" i="1"/>
  <c r="D291" i="1"/>
  <c r="D375" i="1"/>
  <c r="E110" i="1"/>
  <c r="E180" i="1"/>
  <c r="E279" i="1"/>
  <c r="D349" i="1"/>
  <c r="E461" i="1"/>
  <c r="E503" i="1"/>
  <c r="D197" i="1"/>
  <c r="E98" i="1"/>
  <c r="D196" i="1"/>
  <c r="E197" i="1"/>
  <c r="D351" i="1"/>
  <c r="D86" i="1"/>
  <c r="J114" i="1"/>
  <c r="E184" i="1"/>
  <c r="J143" i="1"/>
  <c r="E367" i="1"/>
  <c r="J88" i="1"/>
  <c r="D172" i="1"/>
  <c r="J313" i="1"/>
  <c r="E34" i="1"/>
  <c r="J244" i="1"/>
  <c r="J140" i="1"/>
  <c r="E140" i="1"/>
  <c r="D544" i="1"/>
  <c r="J544" i="1"/>
</calcChain>
</file>

<file path=xl/sharedStrings.xml><?xml version="1.0" encoding="utf-8"?>
<sst xmlns="http://schemas.openxmlformats.org/spreadsheetml/2006/main" count="5630" uniqueCount="66">
  <si>
    <t>AP Reserva</t>
  </si>
  <si>
    <t>AP Moneda</t>
  </si>
  <si>
    <t>total_proveedor</t>
  </si>
  <si>
    <t>Total  prov en eur</t>
  </si>
  <si>
    <t>Total  prov en usd</t>
  </si>
  <si>
    <t>Pago prov (monto)</t>
  </si>
  <si>
    <t>Pago prov en eur</t>
  </si>
  <si>
    <t>Pago prov en usd</t>
  </si>
  <si>
    <t>Restante por pagar prov</t>
  </si>
  <si>
    <t>Restante por pagar prov USD</t>
  </si>
  <si>
    <t>AP fecha_inicio</t>
  </si>
  <si>
    <t>AP fecha salida 30 dias antes</t>
  </si>
  <si>
    <t>AP mes 30 dias antes</t>
  </si>
  <si>
    <t>AP año 30 dias antes</t>
  </si>
  <si>
    <t xml:space="preserve"> </t>
  </si>
  <si>
    <t>reserva</t>
  </si>
  <si>
    <t>Suma monto_pagado</t>
  </si>
  <si>
    <t>moneda</t>
  </si>
  <si>
    <t>monto_pagado USD</t>
  </si>
  <si>
    <t>forma_pago</t>
  </si>
  <si>
    <t>folio</t>
  </si>
  <si>
    <t>total_proveedor USD</t>
  </si>
  <si>
    <t>fecha_inicio</t>
  </si>
  <si>
    <t>DIVISA</t>
  </si>
  <si>
    <t>Fx EUR</t>
  </si>
  <si>
    <t>Fx USD</t>
  </si>
  <si>
    <t>00B</t>
  </si>
  <si>
    <t>EUR</t>
  </si>
  <si>
    <t>MXN</t>
  </si>
  <si>
    <t>USD</t>
  </si>
  <si>
    <t>CHF</t>
  </si>
  <si>
    <t>GBP</t>
  </si>
  <si>
    <t>GPB</t>
  </si>
  <si>
    <t>JPY</t>
  </si>
  <si>
    <t>0000-00-00</t>
  </si>
  <si>
    <t>Reserva AR</t>
  </si>
  <si>
    <t>AR Moneda</t>
  </si>
  <si>
    <t>monto cliente</t>
  </si>
  <si>
    <t>Tot en eur</t>
  </si>
  <si>
    <t>Tot en usd</t>
  </si>
  <si>
    <t>Pago cliente (monto)</t>
  </si>
  <si>
    <t>Pago cliente eur</t>
  </si>
  <si>
    <t>Pago cliente usd</t>
  </si>
  <si>
    <t>Restante por pagar cliente</t>
  </si>
  <si>
    <t>Restante por pagar cliente USD</t>
  </si>
  <si>
    <t>AR fecha_inicio</t>
  </si>
  <si>
    <t>AR fecha salida 30 dias antes</t>
  </si>
  <si>
    <t>AR mes 30 dias antes</t>
  </si>
  <si>
    <t>AR año 30 dias antes</t>
  </si>
  <si>
    <t>Suma de monto</t>
  </si>
  <si>
    <t>monto USD</t>
  </si>
  <si>
    <t>monto</t>
  </si>
  <si>
    <t>total_cliente</t>
  </si>
  <si>
    <t>4ZP</t>
  </si>
  <si>
    <t>estos son pagos de monedero que se restan en el "restante por pagar"</t>
  </si>
  <si>
    <t>2024 Total</t>
  </si>
  <si>
    <t>2025 Total</t>
  </si>
  <si>
    <t>2026 Total</t>
  </si>
  <si>
    <t>2027 Total</t>
  </si>
  <si>
    <t>Total general</t>
  </si>
  <si>
    <t>Suma de Restante por pagar prov USD</t>
  </si>
  <si>
    <t>(en blanco)</t>
  </si>
  <si>
    <t>Suma de Restante por pagar cliente USD</t>
  </si>
  <si>
    <t>*Se filtraron fuera de la data que forman el total neto de monedero</t>
  </si>
  <si>
    <t>Suma de monto_pagado</t>
  </si>
  <si>
    <t>Suma de 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</si>
</sst>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yyyy\-mm\-dd;@"/>
    <numFmt numFmtId="165" formatCode="_-[$$-80A]* #,##0.00_-;\-[$$-80A]* #,##0.00_-;_-[$$-80A]* &quot;-&quot;??_-;_-@_-"/>
    <numFmt numFmtId="170" formatCode="_-* #,##0\ [$MXN]_-;\-* #,##0\ [$MXN]_-;_-* &quot;-&quot;??\ [$MXN]_-;_-@_-"/>
    <numFmt numFmtId="172" formatCode="_-* #,##0\ [$USD]_-;\-* #,##0\ [$USD]_-;_-* &quot;-&quot;??\ [$USD]_-;_-@_-"/>
  </numFmts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9D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3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2" fillId="0" borderId="0" xfId="0" applyFont="1"/>
    <xf numFmtId="0" fontId="3" fillId="5" borderId="0" xfId="0" applyFont="1" applyFill="1"/>
    <xf numFmtId="0" fontId="0" fillId="5" borderId="0" xfId="0" applyFill="1"/>
    <xf numFmtId="164" fontId="0" fillId="0" borderId="0" xfId="0" applyNumberFormat="1"/>
    <xf numFmtId="0" fontId="4" fillId="0" borderId="1" xfId="0" applyFont="1" applyBorder="1" applyAlignment="1">
      <alignment readingOrder="1"/>
    </xf>
    <xf numFmtId="0" fontId="5" fillId="0" borderId="2" xfId="0" applyFont="1" applyBorder="1" applyAlignment="1">
      <alignment readingOrder="1"/>
    </xf>
    <xf numFmtId="0" fontId="5" fillId="0" borderId="3" xfId="0" applyFont="1" applyBorder="1" applyAlignment="1">
      <alignment readingOrder="1"/>
    </xf>
    <xf numFmtId="0" fontId="0" fillId="0" borderId="0" xfId="0" pivotButton="1"/>
    <xf numFmtId="165" fontId="0" fillId="6" borderId="0" xfId="0" applyNumberFormat="1" applyFill="1"/>
    <xf numFmtId="165" fontId="0" fillId="0" borderId="0" xfId="0" applyNumberFormat="1"/>
    <xf numFmtId="0" fontId="0" fillId="0" borderId="0" xfId="0" applyAlignment="1">
      <alignment horizontal="center"/>
    </xf>
    <xf numFmtId="0" fontId="6" fillId="7" borderId="0" xfId="0" applyFont="1" applyFill="1"/>
    <xf numFmtId="0" fontId="6" fillId="3" borderId="0" xfId="0" applyFont="1" applyFill="1"/>
    <xf numFmtId="0" fontId="6" fillId="8" borderId="0" xfId="0" applyFont="1" applyFill="1"/>
    <xf numFmtId="0" fontId="6" fillId="0" borderId="0" xfId="0" applyFont="1"/>
    <xf numFmtId="0" fontId="6" fillId="9" borderId="0" xfId="0" applyFont="1" applyFill="1"/>
    <xf numFmtId="14" fontId="0" fillId="0" borderId="0" xfId="0" applyNumberFormat="1"/>
    <xf numFmtId="0" fontId="7" fillId="10" borderId="0" xfId="0" applyFont="1" applyFill="1"/>
    <xf numFmtId="0" fontId="0" fillId="10" borderId="0" xfId="0" applyFill="1"/>
    <xf numFmtId="2" fontId="0" fillId="0" borderId="0" xfId="0" applyNumberFormat="1"/>
    <xf numFmtId="0" fontId="1" fillId="0" borderId="0" xfId="0" applyFont="1"/>
    <xf numFmtId="0" fontId="1" fillId="7" borderId="0" xfId="0" applyFont="1" applyFill="1"/>
    <xf numFmtId="0" fontId="8" fillId="0" borderId="0" xfId="0" applyFont="1"/>
    <xf numFmtId="164" fontId="8" fillId="0" borderId="0" xfId="0" applyNumberFormat="1" applyFont="1"/>
    <xf numFmtId="11" fontId="0" fillId="10" borderId="0" xfId="0" applyNumberFormat="1" applyFill="1"/>
    <xf numFmtId="11" fontId="7" fillId="10" borderId="0" xfId="0" applyNumberFormat="1" applyFont="1" applyFill="1"/>
    <xf numFmtId="0" fontId="0" fillId="11" borderId="0" xfId="0" applyFill="1"/>
    <xf numFmtId="0" fontId="7" fillId="11" borderId="0" xfId="0" applyFont="1" applyFill="1"/>
    <xf numFmtId="0" fontId="10" fillId="0" borderId="0" xfId="0" applyFont="1"/>
    <xf numFmtId="172" fontId="10" fillId="0" borderId="0" xfId="1" applyNumberFormat="1" applyFont="1"/>
    <xf numFmtId="170" fontId="10" fillId="0" borderId="0" xfId="1" applyNumberFormat="1" applyFont="1"/>
  </cellXfs>
  <cellStyles count="2">
    <cellStyle name="Moneda" xfId="1" builtinId="4"/>
    <cellStyle name="Normal" xfId="0" builtinId="0"/>
  </cellStyles>
  <dxfs count="17">
    <dxf>
      <numFmt numFmtId="165" formatCode="_-[$$-80A]* #,##0.00_-;\-[$$-80A]* #,##0.00_-;_-[$$-80A]* &quot;-&quot;??_-;_-@_-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7" tint="0.79998168889431442"/>
        </patternFill>
      </fill>
    </dxf>
    <dxf>
      <numFmt numFmtId="166" formatCode="0\$;\-0\$;&quot;&quot;"/>
    </dxf>
    <dxf>
      <numFmt numFmtId="165" formatCode="_-[$$-80A]* #,##0.00_-;\-[$$-80A]* #,##0.00_-;_-[$$-80A]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</dxfs>
  <tableStyles count="0" defaultTableStyle="TableStyleMedium2" defaultPivotStyle="PivotStyleLight16"/>
  <colors>
    <mruColors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8.494229166667" createdVersion="8" refreshedVersion="8" minRefreshableVersion="3" recordCount="1236" xr:uid="{BF0312E5-F439-4CEC-895D-9A389E9B9E68}">
  <cacheSource type="worksheet">
    <worksheetSource ref="Q1:U1048576" sheet="AP DATA"/>
  </cacheSource>
  <cacheFields count="5">
    <cacheField name="reserva" numFmtId="0">
      <sharedItems containsString="0" containsBlank="1" containsNumber="1" containsInteger="1" minValue="3" maxValue="1111" count="630">
        <n v="3"/>
        <n v="4"/>
        <n v="6"/>
        <n v="7"/>
        <n v="9"/>
        <n v="12"/>
        <n v="15"/>
        <n v="16"/>
        <n v="17"/>
        <n v="20"/>
        <n v="22"/>
        <n v="26"/>
        <n v="28"/>
        <n v="29"/>
        <n v="30"/>
        <n v="33"/>
        <n v="34"/>
        <n v="35"/>
        <n v="40"/>
        <n v="41"/>
        <n v="45"/>
        <n v="46"/>
        <n v="47"/>
        <n v="48"/>
        <n v="49"/>
        <n v="54"/>
        <n v="58"/>
        <n v="59"/>
        <n v="60"/>
        <n v="61"/>
        <n v="62"/>
        <n v="69"/>
        <n v="71"/>
        <n v="73"/>
        <n v="76"/>
        <n v="78"/>
        <n v="79"/>
        <n v="81"/>
        <n v="83"/>
        <n v="84"/>
        <n v="85"/>
        <n v="88"/>
        <n v="89"/>
        <n v="91"/>
        <n v="93"/>
        <n v="94"/>
        <n v="95"/>
        <n v="97"/>
        <n v="98"/>
        <n v="99"/>
        <n v="100"/>
        <n v="102"/>
        <n v="104"/>
        <n v="105"/>
        <n v="106"/>
        <n v="107"/>
        <n v="108"/>
        <n v="109"/>
        <n v="110"/>
        <n v="111"/>
        <n v="113"/>
        <n v="114"/>
        <n v="117"/>
        <n v="119"/>
        <n v="120"/>
        <n v="121"/>
        <n v="122"/>
        <n v="124"/>
        <n v="126"/>
        <n v="127"/>
        <n v="128"/>
        <n v="129"/>
        <n v="130"/>
        <n v="132"/>
        <n v="133"/>
        <n v="134"/>
        <n v="136"/>
        <n v="137"/>
        <n v="139"/>
        <n v="140"/>
        <n v="141"/>
        <n v="142"/>
        <n v="143"/>
        <n v="144"/>
        <n v="145"/>
        <n v="148"/>
        <n v="149"/>
        <n v="150"/>
        <n v="151"/>
        <n v="153"/>
        <n v="161"/>
        <n v="162"/>
        <n v="163"/>
        <n v="164"/>
        <n v="165"/>
        <n v="167"/>
        <n v="168"/>
        <n v="170"/>
        <n v="171"/>
        <n v="172"/>
        <n v="173"/>
        <n v="176"/>
        <n v="179"/>
        <n v="180"/>
        <n v="181"/>
        <n v="185"/>
        <n v="187"/>
        <n v="188"/>
        <n v="192"/>
        <n v="193"/>
        <n v="195"/>
        <n v="196"/>
        <n v="198"/>
        <n v="199"/>
        <n v="200"/>
        <n v="201"/>
        <n v="203"/>
        <n v="204"/>
        <n v="205"/>
        <n v="206"/>
        <n v="207"/>
        <n v="208"/>
        <n v="213"/>
        <n v="214"/>
        <n v="215"/>
        <n v="216"/>
        <n v="217"/>
        <n v="218"/>
        <n v="219"/>
        <n v="220"/>
        <n v="222"/>
        <n v="226"/>
        <n v="227"/>
        <n v="228"/>
        <n v="229"/>
        <n v="232"/>
        <n v="235"/>
        <n v="236"/>
        <n v="237"/>
        <n v="238"/>
        <n v="239"/>
        <n v="241"/>
        <n v="243"/>
        <n v="244"/>
        <n v="245"/>
        <n v="246"/>
        <n v="248"/>
        <n v="249"/>
        <n v="251"/>
        <n v="252"/>
        <n v="253"/>
        <n v="258"/>
        <n v="259"/>
        <n v="260"/>
        <n v="263"/>
        <n v="264"/>
        <n v="266"/>
        <n v="267"/>
        <n v="268"/>
        <n v="269"/>
        <n v="270"/>
        <n v="271"/>
        <n v="273"/>
        <n v="274"/>
        <n v="275"/>
        <n v="276"/>
        <n v="278"/>
        <n v="279"/>
        <n v="281"/>
        <n v="282"/>
        <n v="283"/>
        <n v="284"/>
        <n v="285"/>
        <n v="286"/>
        <n v="287"/>
        <n v="288"/>
        <n v="292"/>
        <n v="295"/>
        <n v="297"/>
        <n v="298"/>
        <n v="299"/>
        <n v="300"/>
        <n v="305"/>
        <n v="306"/>
        <n v="307"/>
        <n v="308"/>
        <n v="309"/>
        <n v="314"/>
        <n v="315"/>
        <n v="317"/>
        <n v="318"/>
        <n v="319"/>
        <n v="321"/>
        <n v="322"/>
        <n v="323"/>
        <n v="324"/>
        <n v="325"/>
        <n v="326"/>
        <n v="327"/>
        <n v="329"/>
        <n v="337"/>
        <n v="340"/>
        <n v="342"/>
        <n v="345"/>
        <n v="346"/>
        <n v="348"/>
        <n v="350"/>
        <n v="352"/>
        <n v="355"/>
        <n v="363"/>
        <n v="364"/>
        <n v="368"/>
        <n v="369"/>
        <n v="370"/>
        <n v="371"/>
        <n v="374"/>
        <n v="375"/>
        <n v="376"/>
        <n v="377"/>
        <n v="378"/>
        <n v="379"/>
        <n v="380"/>
        <n v="382"/>
        <n v="384"/>
        <n v="385"/>
        <n v="386"/>
        <n v="387"/>
        <n v="388"/>
        <n v="389"/>
        <n v="390"/>
        <n v="391"/>
        <n v="392"/>
        <n v="394"/>
        <n v="395"/>
        <n v="396"/>
        <n v="398"/>
        <n v="399"/>
        <n v="400"/>
        <n v="401"/>
        <n v="402"/>
        <n v="406"/>
        <n v="409"/>
        <n v="412"/>
        <n v="414"/>
        <n v="416"/>
        <n v="419"/>
        <n v="420"/>
        <n v="422"/>
        <n v="424"/>
        <n v="427"/>
        <n v="428"/>
        <n v="429"/>
        <n v="431"/>
        <n v="433"/>
        <n v="434"/>
        <n v="435"/>
        <n v="436"/>
        <n v="437"/>
        <n v="440"/>
        <n v="443"/>
        <n v="445"/>
        <n v="446"/>
        <n v="447"/>
        <n v="448"/>
        <n v="454"/>
        <n v="455"/>
        <n v="456"/>
        <n v="457"/>
        <n v="458"/>
        <n v="459"/>
        <n v="460"/>
        <n v="461"/>
        <n v="462"/>
        <n v="463"/>
        <n v="464"/>
        <n v="465"/>
        <n v="467"/>
        <n v="468"/>
        <n v="469"/>
        <n v="470"/>
        <n v="471"/>
        <n v="472"/>
        <n v="473"/>
        <n v="474"/>
        <n v="478"/>
        <n v="479"/>
        <n v="480"/>
        <n v="482"/>
        <n v="483"/>
        <n v="484"/>
        <n v="486"/>
        <n v="487"/>
        <n v="489"/>
        <n v="490"/>
        <n v="491"/>
        <n v="492"/>
        <n v="496"/>
        <n v="497"/>
        <n v="498"/>
        <n v="499"/>
        <n v="500"/>
        <n v="501"/>
        <n v="505"/>
        <n v="506"/>
        <n v="507"/>
        <n v="508"/>
        <n v="509"/>
        <n v="510"/>
        <n v="511"/>
        <n v="513"/>
        <n v="514"/>
        <n v="515"/>
        <n v="516"/>
        <n v="518"/>
        <n v="521"/>
        <n v="522"/>
        <n v="523"/>
        <n v="524"/>
        <n v="525"/>
        <n v="526"/>
        <n v="528"/>
        <n v="529"/>
        <n v="530"/>
        <n v="531"/>
        <n v="533"/>
        <n v="535"/>
        <n v="536"/>
        <n v="537"/>
        <n v="539"/>
        <n v="540"/>
        <n v="541"/>
        <n v="542"/>
        <n v="545"/>
        <n v="546"/>
        <n v="547"/>
        <n v="548"/>
        <n v="549"/>
        <n v="550"/>
        <n v="551"/>
        <n v="552"/>
        <n v="553"/>
        <n v="554"/>
        <n v="555"/>
        <n v="557"/>
        <n v="558"/>
        <n v="560"/>
        <n v="561"/>
        <n v="562"/>
        <n v="563"/>
        <n v="567"/>
        <n v="568"/>
        <n v="570"/>
        <n v="571"/>
        <n v="572"/>
        <n v="573"/>
        <n v="575"/>
        <n v="576"/>
        <n v="577"/>
        <n v="581"/>
        <n v="583"/>
        <n v="585"/>
        <n v="587"/>
        <n v="588"/>
        <n v="589"/>
        <n v="590"/>
        <n v="591"/>
        <n v="592"/>
        <n v="593"/>
        <n v="594"/>
        <n v="598"/>
        <n v="600"/>
        <n v="601"/>
        <n v="602"/>
        <n v="603"/>
        <n v="604"/>
        <n v="605"/>
        <n v="607"/>
        <n v="608"/>
        <n v="609"/>
        <n v="610"/>
        <n v="613"/>
        <n v="615"/>
        <n v="616"/>
        <n v="617"/>
        <n v="618"/>
        <n v="622"/>
        <n v="624"/>
        <n v="625"/>
        <n v="626"/>
        <n v="627"/>
        <n v="628"/>
        <n v="629"/>
        <n v="633"/>
        <n v="634"/>
        <n v="635"/>
        <n v="636"/>
        <n v="637"/>
        <n v="638"/>
        <n v="640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7"/>
        <n v="658"/>
        <n v="660"/>
        <n v="661"/>
        <n v="662"/>
        <n v="664"/>
        <n v="665"/>
        <n v="667"/>
        <n v="668"/>
        <n v="669"/>
        <n v="670"/>
        <n v="671"/>
        <n v="672"/>
        <n v="673"/>
        <n v="674"/>
        <n v="676"/>
        <n v="678"/>
        <n v="679"/>
        <n v="680"/>
        <n v="683"/>
        <n v="684"/>
        <n v="686"/>
        <n v="692"/>
        <n v="693"/>
        <n v="694"/>
        <n v="696"/>
        <n v="699"/>
        <n v="700"/>
        <n v="701"/>
        <n v="702"/>
        <n v="704"/>
        <n v="706"/>
        <n v="707"/>
        <n v="709"/>
        <n v="710"/>
        <n v="711"/>
        <n v="712"/>
        <n v="714"/>
        <n v="715"/>
        <n v="716"/>
        <n v="722"/>
        <n v="727"/>
        <n v="728"/>
        <n v="729"/>
        <n v="730"/>
        <n v="731"/>
        <n v="734"/>
        <n v="737"/>
        <n v="738"/>
        <n v="739"/>
        <n v="740"/>
        <n v="742"/>
        <n v="743"/>
        <n v="744"/>
        <n v="745"/>
        <n v="749"/>
        <n v="750"/>
        <n v="751"/>
        <n v="752"/>
        <n v="753"/>
        <n v="757"/>
        <n v="758"/>
        <n v="765"/>
        <n v="766"/>
        <n v="767"/>
        <n v="769"/>
        <n v="770"/>
        <n v="774"/>
        <n v="775"/>
        <n v="776"/>
        <n v="780"/>
        <n v="781"/>
        <n v="782"/>
        <n v="783"/>
        <n v="787"/>
        <n v="789"/>
        <n v="790"/>
        <n v="791"/>
        <n v="792"/>
        <n v="793"/>
        <n v="795"/>
        <n v="798"/>
        <n v="799"/>
        <n v="802"/>
        <n v="803"/>
        <n v="805"/>
        <n v="806"/>
        <n v="819"/>
        <n v="820"/>
        <n v="821"/>
        <n v="824"/>
        <n v="827"/>
        <n v="828"/>
        <n v="829"/>
        <n v="830"/>
        <n v="836"/>
        <n v="837"/>
        <n v="838"/>
        <n v="839"/>
        <n v="841"/>
        <n v="843"/>
        <n v="844"/>
        <n v="845"/>
        <n v="848"/>
        <n v="849"/>
        <n v="850"/>
        <n v="856"/>
        <n v="857"/>
        <n v="858"/>
        <n v="859"/>
        <n v="860"/>
        <n v="861"/>
        <n v="862"/>
        <n v="875"/>
        <n v="876"/>
        <n v="877"/>
        <n v="879"/>
        <n v="880"/>
        <n v="882"/>
        <n v="884"/>
        <n v="891"/>
        <n v="892"/>
        <n v="896"/>
        <n v="899"/>
        <n v="901"/>
        <n v="902"/>
        <n v="904"/>
        <n v="908"/>
        <n v="909"/>
        <n v="910"/>
        <n v="911"/>
        <n v="912"/>
        <n v="913"/>
        <n v="919"/>
        <n v="920"/>
        <n v="921"/>
        <n v="922"/>
        <n v="923"/>
        <n v="925"/>
        <n v="930"/>
        <n v="937"/>
        <n v="938"/>
        <n v="941"/>
        <n v="942"/>
        <n v="943"/>
        <n v="944"/>
        <n v="945"/>
        <n v="946"/>
        <n v="947"/>
        <n v="948"/>
        <n v="949"/>
        <n v="952"/>
        <n v="953"/>
        <n v="956"/>
        <n v="961"/>
        <n v="962"/>
        <n v="963"/>
        <n v="964"/>
        <n v="965"/>
        <n v="966"/>
        <n v="968"/>
        <n v="970"/>
        <n v="971"/>
        <n v="972"/>
        <n v="975"/>
        <n v="979"/>
        <n v="980"/>
        <n v="984"/>
        <n v="985"/>
        <n v="986"/>
        <n v="987"/>
        <n v="988"/>
        <n v="997"/>
        <n v="998"/>
        <n v="1000"/>
        <n v="1005"/>
        <n v="1006"/>
        <n v="1007"/>
        <n v="1008"/>
        <n v="1009"/>
        <n v="1010"/>
        <n v="1014"/>
        <n v="1016"/>
        <n v="1018"/>
        <n v="1024"/>
        <n v="1030"/>
        <n v="1033"/>
        <n v="1036"/>
        <n v="1037"/>
        <n v="1045"/>
        <n v="1055"/>
        <n v="1059"/>
        <n v="1060"/>
        <n v="1061"/>
        <n v="1062"/>
        <n v="1063"/>
        <n v="1065"/>
        <n v="1067"/>
        <n v="1068"/>
        <n v="1069"/>
        <n v="1071"/>
        <n v="1072"/>
        <n v="1073"/>
        <n v="1082"/>
        <n v="1083"/>
        <n v="1084"/>
        <n v="1091"/>
        <n v="1095"/>
        <n v="1100"/>
        <n v="1102"/>
        <n v="1103"/>
        <n v="1104"/>
        <n v="1105"/>
        <n v="1109"/>
        <n v="1110"/>
        <n v="1111"/>
        <m/>
      </sharedItems>
    </cacheField>
    <cacheField name="monto_pagado" numFmtId="0">
      <sharedItems containsString="0" containsBlank="1" containsNumber="1" minValue="-4784.32" maxValue="20359625" count="1148">
        <n v="3400"/>
        <n v="354545.26"/>
        <n v="10800"/>
        <n v="131952"/>
        <n v="4890.32"/>
        <n v="26496.89"/>
        <n v="2327"/>
        <n v="3735"/>
        <n v="1590"/>
        <n v="803"/>
        <n v="15077.2"/>
        <n v="6384.58"/>
        <n v="4124.09"/>
        <n v="4785.04"/>
        <n v="8563.26"/>
        <n v="1501.68"/>
        <n v="1133.56"/>
        <n v="1359.36"/>
        <n v="600"/>
        <n v="2716.1"/>
        <n v="40"/>
        <n v="1475.78"/>
        <n v="99000"/>
        <n v="4997.26"/>
        <n v="3567"/>
        <n v="5621.32"/>
        <n v="3093.09"/>
        <n v="981.77"/>
        <n v="206.9"/>
        <n v="4265.6099999999997"/>
        <n v="328.29"/>
        <n v="930"/>
        <n v="2310"/>
        <n v="759"/>
        <n v="6449.42"/>
        <n v="1430.04"/>
        <n v="1366"/>
        <n v="4335.6000000000004"/>
        <n v="11485.71"/>
        <n v="339"/>
        <n v="2265"/>
        <n v="1305.3599999999999"/>
        <n v="379.61"/>
        <n v="688"/>
        <n v="1030.4000000000001"/>
        <n v="229"/>
        <n v="1369"/>
        <n v="339.68"/>
        <n v="323.25"/>
        <n v="2155"/>
        <n v="115823.8"/>
        <n v="800"/>
        <n v="9904"/>
        <n v="4440"/>
        <n v="135027"/>
        <n v="23614.400000000001"/>
        <n v="494.4"/>
        <n v="21.34"/>
        <n v="20650"/>
        <n v="9312"/>
        <n v="2664"/>
        <n v="1250.1500000000001"/>
        <n v="26938.799999999999"/>
        <n v="2997"/>
        <n v="1586"/>
        <n v="8979.2000000000007"/>
        <n v="14042.21"/>
        <n v="1171"/>
        <n v="268"/>
        <n v="494"/>
        <n v="76619.67"/>
        <n v="95573"/>
        <n v="302.2"/>
        <n v="13774"/>
        <n v="35132"/>
        <n v="27935"/>
        <n v="5578"/>
        <n v="20030.39"/>
        <n v="747"/>
        <n v="113312.48"/>
        <n v="43.68"/>
        <n v="562.5"/>
        <n v="1432.1"/>
        <n v="1066.08"/>
        <n v="1317.6"/>
        <n v="1791.72"/>
        <n v="5000"/>
        <n v="375.1"/>
        <n v="5883.2"/>
        <n v="242.36"/>
        <n v="13732"/>
        <n v="43992"/>
        <n v="3048"/>
        <n v="17010"/>
        <n v="1093.96"/>
        <n v="265"/>
        <n v="493.54"/>
        <n v="4594.46"/>
        <n v="1389.53"/>
        <n v="166662"/>
        <n v="4389"/>
        <n v="3601.68"/>
        <n v="777.2"/>
        <n v="8696.25"/>
        <n v="60"/>
        <n v="310"/>
        <n v="305"/>
        <n v="590"/>
        <n v="83.09"/>
        <n v="30431.56"/>
        <n v="26940"/>
        <n v="4574.1099999999997"/>
        <n v="2232"/>
        <n v="22916.66"/>
        <n v="994.18"/>
        <n v="784"/>
        <n v="257.97000000000003"/>
        <n v="951.5"/>
        <n v="394.9"/>
        <n v="770"/>
        <n v="2390"/>
        <n v="2238.7199999999998"/>
        <n v="1000"/>
        <n v="1635.7"/>
        <n v="3993.6"/>
        <n v="1315.6"/>
        <n v="2786"/>
        <n v="7786"/>
        <n v="1353"/>
        <n v="7923.4"/>
        <n v="738.63"/>
        <n v="2647.06"/>
        <n v="3570"/>
        <n v="2898.5"/>
        <n v="17459"/>
        <n v="11673.64"/>
        <n v="355.5"/>
        <n v="1137"/>
        <n v="4450"/>
        <n v="5106.96"/>
        <n v="728.82"/>
        <n v="1365"/>
        <n v="1519.55"/>
        <n v="2130"/>
        <n v="15970"/>
        <n v="5290.9"/>
        <n v="2190"/>
        <n v="6459"/>
        <n v="2609.65"/>
        <n v="836"/>
        <n v="2277.39"/>
        <n v="2611.4299999999998"/>
        <n v="2500"/>
        <n v="980"/>
        <n v="65"/>
        <n v="46.54"/>
        <n v="2062"/>
        <n v="829.5"/>
        <n v="2295"/>
        <n v="3851.12"/>
        <n v="3834"/>
        <n v="11530"/>
        <n v="315"/>
        <n v="2580"/>
        <n v="3667.6"/>
        <n v="1879.45"/>
        <n v="1705.5"/>
        <n v="1418.46"/>
        <n v="1450"/>
        <n v="3123.98"/>
        <n v="9077.4"/>
        <n v="2523.46"/>
        <n v="5655.35"/>
        <n v="2775.18"/>
        <n v="615.66"/>
        <n v="4041.44"/>
        <n v="2907.16"/>
        <n v="1612.8"/>
        <n v="4998.51"/>
        <n v="2598.7600000000002"/>
        <n v="2458.9"/>
        <n v="19706"/>
        <n v="1196"/>
        <n v="1544.2"/>
        <n v="1838.6"/>
        <n v="1019.21"/>
        <n v="9000"/>
        <n v="5250"/>
        <n v="758.58"/>
        <n v="6966.92"/>
        <n v="11080"/>
        <n v="513.05999999999995"/>
        <n v="2038"/>
        <n v="6851"/>
        <n v="7732.08"/>
        <n v="18798"/>
        <n v="1289"/>
        <n v="306.60000000000002"/>
        <n v="24618.41"/>
        <n v="4395"/>
        <n v="3998.77"/>
        <n v="1612.44"/>
        <n v="2433.1999999999998"/>
        <n v="6615"/>
        <n v="868193.33"/>
        <n v="8120"/>
        <n v="90"/>
        <n v="4370.66"/>
        <n v="3214.8"/>
        <n v="1983.4"/>
        <n v="13000"/>
        <n v="1705"/>
        <n v="2074.1999999999998"/>
        <n v="4726.3999999999996"/>
        <n v="5982"/>
        <n v="5898"/>
        <n v="4710"/>
        <n v="5832.86"/>
        <n v="52495.74"/>
        <n v="3574"/>
        <n v="7247.7"/>
        <n v="4132"/>
        <n v="1622"/>
        <n v="370.6"/>
        <n v="454.72"/>
        <n v="3605.88"/>
        <n v="830"/>
        <n v="8343.7000000000007"/>
        <n v="44800"/>
        <n v="4695.7700000000004"/>
        <n v="18694.400000000001"/>
        <n v="4489.26"/>
        <n v="10226.629999999999"/>
        <n v="344.32"/>
        <n v="919.17"/>
        <n v="1822.35"/>
        <n v="6942"/>
        <n v="1390.22"/>
        <n v="3369.8"/>
        <n v="1758.57"/>
        <n v="4396.4399999999996"/>
        <n v="1855.16"/>
        <n v="2792"/>
        <n v="4884"/>
        <n v="51558.95"/>
        <n v="192.8"/>
        <n v="1928"/>
        <n v="279"/>
        <n v="931.8"/>
        <n v="12108"/>
        <n v="4100"/>
        <n v="102200"/>
        <n v="5811.99"/>
        <n v="2953.41"/>
        <n v="12104.31"/>
        <n v="2932.15"/>
        <n v="2158.65"/>
        <n v="1416"/>
        <n v="638"/>
        <n v="21201"/>
        <n v="22157.15"/>
        <n v="2683.84"/>
        <n v="995.5"/>
        <n v="14"/>
        <n v="1790"/>
        <n v="775.88"/>
        <n v="6874"/>
        <n v="15562"/>
        <n v="3702.76"/>
        <n v="5800"/>
        <n v="8683"/>
        <n v="2300"/>
        <n v="9332.16"/>
        <n v="1686"/>
        <n v="2198.4"/>
        <n v="1809.5"/>
        <n v="2462.52"/>
        <n v="1031"/>
        <n v="1124"/>
        <n v="1848.82"/>
        <n v="443.94"/>
        <n v="1842.82"/>
        <n v="733.5"/>
        <n v="2530"/>
        <n v="1215.9000000000001"/>
        <n v="513.4"/>
        <n v="1050.5"/>
        <n v="27100.12"/>
        <n v="1773.8"/>
        <n v="10300.5"/>
        <n v="3304"/>
        <n v="465327.21"/>
        <n v="953.5"/>
        <n v="390"/>
        <n v="926.6"/>
        <n v="417"/>
        <n v="698"/>
        <n v="396.07"/>
        <n v="1019.5"/>
        <n v="3613.5"/>
        <n v="555.49"/>
        <n v="9244.7999999999993"/>
        <n v="480"/>
        <n v="10197.129999999999"/>
        <n v="176917.03"/>
        <n v="3268"/>
        <n v="1551"/>
        <n v="6485"/>
        <n v="2398"/>
        <n v="17370"/>
        <n v="14657.62"/>
        <n v="990"/>
        <n v="7965.87"/>
        <n v="-4784.32"/>
        <n v="4403.08"/>
        <n v="3206.5"/>
        <n v="3108"/>
        <n v="19328.54"/>
        <n v="4276.47"/>
        <n v="2297.91"/>
        <n v="750.08"/>
        <n v="724.96"/>
        <n v="2010.5"/>
        <n v="320.69"/>
        <n v="12319.72"/>
        <n v="5100.66"/>
        <n v="3541.6"/>
        <n v="2819.3"/>
        <n v="7500"/>
        <n v="67521.03"/>
        <n v="64298.49"/>
        <n v="15876.38"/>
        <n v="27284.7"/>
        <n v="6000"/>
        <n v="2266"/>
        <n v="1631.34"/>
        <n v="8244"/>
        <n v="8185"/>
        <n v="4198.3999999999996"/>
        <n v="7534.79"/>
        <n v="9056.2000000000007"/>
        <n v="5517"/>
        <n v="6725.4"/>
        <n v="269.60000000000002"/>
        <n v="14860.26"/>
        <n v="15516.39"/>
        <n v="1176"/>
        <n v="575"/>
        <n v="8076"/>
        <n v="1495.76"/>
        <n v="373.39"/>
        <n v="3427.19"/>
        <n v="1179.5999999999999"/>
        <n v="3518.96"/>
        <n v="1029.26"/>
        <n v="769.8"/>
        <n v="695.8"/>
        <n v="379"/>
        <n v="866.4"/>
        <n v="261.60000000000002"/>
        <n v="1401"/>
        <n v="54129"/>
        <n v="5401"/>
        <n v="54735"/>
        <n v="127330"/>
        <n v="525"/>
        <n v="10449.41"/>
        <n v="36910"/>
        <n v="127.5"/>
        <n v="5178.7700000000004"/>
        <n v="8213.2999999999993"/>
        <n v="10718"/>
        <n v="4997.41"/>
        <n v="900"/>
        <n v="7100"/>
        <n v="3045"/>
        <n v="4269.2700000000004"/>
        <n v="3740"/>
        <n v="3904"/>
        <n v="50000"/>
        <n v="17515"/>
        <n v="20818"/>
        <n v="2873.94"/>
        <n v="8013.26"/>
        <n v="341.94"/>
        <n v="2452.91"/>
        <n v="6749.34"/>
        <n v="1680"/>
        <n v="924.1"/>
        <n v="1858.4"/>
        <n v="2547"/>
        <n v="2894.4"/>
        <n v="3146.33"/>
        <n v="1096.81"/>
        <n v="41.38"/>
        <n v="2706"/>
        <n v="6765"/>
        <n v="1043.3800000000001"/>
        <n v="2476.1"/>
        <n v="2731.39"/>
        <n v="20615.82"/>
        <n v="2936.16"/>
        <n v="2236.8000000000002"/>
        <n v="91338"/>
        <n v="47232"/>
        <n v="25529"/>
        <n v="1750"/>
        <n v="28779.599999999999"/>
        <n v="6500"/>
        <n v="13705.44"/>
        <n v="23758.799999999999"/>
        <n v="10700"/>
        <n v="7136.4"/>
        <n v="636.16"/>
        <n v="1807.68"/>
        <n v="4324.59"/>
        <n v="3000"/>
        <n v="740"/>
        <n v="25787.64"/>
        <n v="23223.5"/>
        <n v="5587.39"/>
        <n v="2247.41"/>
        <n v="2695.57"/>
        <n v="8071.6"/>
        <n v="1734"/>
        <n v="19095.8"/>
        <n v="55019"/>
        <n v="18307.18"/>
        <n v="9153.59"/>
        <n v="0.17"/>
        <n v="5891.25"/>
        <n v="993.02"/>
        <n v="1336.87"/>
        <n v="7188.58"/>
        <n v="243.94"/>
        <n v="10743.4"/>
        <n v="4152.8999999999996"/>
        <n v="8078.1"/>
        <n v="1211.96"/>
        <n v="3618.4"/>
        <n v="2101.3000000000002"/>
        <n v="9040"/>
        <n v="3432.63"/>
        <n v="4833.34"/>
        <n v="2120"/>
        <n v="3368.52"/>
        <n v="816.26"/>
        <n v="4948"/>
        <n v="5235"/>
        <n v="1740"/>
        <n v="4326"/>
        <n v="46687"/>
        <n v="7436"/>
        <n v="1620"/>
        <n v="10372"/>
        <n v="1890"/>
        <n v="1975"/>
        <n v="1829"/>
        <n v="2286.5"/>
        <n v="7331"/>
        <n v="493.29"/>
        <n v="192065.42"/>
        <n v="138523.5"/>
        <n v="5426"/>
        <n v="3600"/>
        <n v="540"/>
        <n v="1248.96"/>
        <n v="53209.5"/>
        <n v="25326"/>
        <n v="50800"/>
        <n v="1060"/>
        <n v="4382.76"/>
        <n v="413.7"/>
        <n v="152.84"/>
        <n v="225"/>
        <n v="100"/>
        <n v="167.36"/>
        <n v="425.79"/>
        <n v="55.55"/>
        <n v="423.2"/>
        <n v="286.24"/>
        <n v="282.98"/>
        <n v="284.2"/>
        <n v="1056.68"/>
        <n v="16780"/>
        <n v="328"/>
        <n v="209.34"/>
        <n v="247.03"/>
        <n v="209.04"/>
        <n v="217.16"/>
        <n v="101.57"/>
        <n v="314.08"/>
        <n v="159.32"/>
        <n v="489.68"/>
        <n v="637.96"/>
        <n v="18950.68"/>
        <n v="2293.11"/>
        <n v="283.97000000000003"/>
        <n v="13748.48"/>
        <n v="1170"/>
        <n v="2160"/>
        <n v="2397"/>
        <n v="2754"/>
        <n v="2346"/>
        <n v="1445"/>
        <n v="6532"/>
        <n v="8000"/>
        <n v="33265.94"/>
        <n v="192.58"/>
        <n v="207344"/>
        <n v="46990"/>
        <n v="137.51"/>
        <n v="15536"/>
        <n v="12788"/>
        <n v="6449"/>
        <n v="102900"/>
        <n v="11332"/>
        <n v="3581"/>
        <n v="7947"/>
        <n v="16122"/>
        <n v="14922.3"/>
        <n v="2028"/>
        <n v="5836"/>
        <n v="6175"/>
        <n v="2945.51"/>
        <n v="5203"/>
        <n v="345"/>
        <n v="2023"/>
        <n v="1466"/>
        <n v="1410"/>
        <n v="5983.71"/>
        <n v="4922.1899999999996"/>
        <n v="2444.4499999999998"/>
        <n v="4390.3"/>
        <n v="22865.4"/>
        <n v="4346"/>
        <n v="9915.2000000000007"/>
        <n v="34210"/>
        <n v="2000"/>
        <n v="1665"/>
        <n v="205"/>
        <n v="780"/>
        <n v="1465"/>
        <n v="2832"/>
        <n v="4198"/>
        <n v="6024"/>
        <n v="2817"/>
        <n v="1846"/>
        <n v="2272"/>
        <n v="1361"/>
        <n v="1929"/>
        <n v="561"/>
        <n v="34866"/>
        <n v="2267.5"/>
        <n v="2266.25"/>
        <n v="6798.75"/>
        <n v="80360.45"/>
        <n v="12895.96"/>
        <n v="2993.11"/>
        <n v="10186.1"/>
        <n v="3000.65"/>
        <n v="2187.2199999999998"/>
        <n v="670.22"/>
        <n v="2999.44"/>
        <n v="2185.04"/>
        <n v="461.84"/>
        <n v="14769"/>
        <n v="8280"/>
        <n v="21500"/>
        <n v="18072"/>
        <n v="3214"/>
        <n v="2106.7199999999998"/>
        <n v="570"/>
        <n v="5334.66"/>
        <n v="8311"/>
        <n v="3878"/>
        <n v="4998"/>
        <n v="7646"/>
        <n v="2968"/>
        <n v="2504.4"/>
        <n v="11170"/>
        <n v="1091.01"/>
        <n v="3002.79"/>
        <n v="2807.25"/>
        <n v="10000"/>
        <n v="3087"/>
        <n v="3750"/>
        <n v="2824"/>
        <n v="2113"/>
        <n v="854"/>
        <n v="370"/>
        <n v="4351"/>
        <n v="6712.26"/>
        <n v="10460.450000000001"/>
        <n v="25348.6"/>
        <n v="3337.72"/>
        <n v="6167.13"/>
        <n v="492.58"/>
        <n v="4077.2"/>
        <n v="2648"/>
        <n v="5691"/>
        <n v="84307"/>
        <n v="6947.73"/>
        <n v="4438"/>
        <n v="2135"/>
        <n v="23749.35"/>
        <n v="827"/>
        <n v="1630"/>
        <n v="1642"/>
        <n v="1017"/>
        <n v="12493.6"/>
        <n v="708"/>
        <n v="1292.4000000000001"/>
        <n v="3242.76"/>
        <n v="2390.3200000000002"/>
        <n v="670"/>
        <n v="2679"/>
        <n v="295"/>
        <n v="485.39"/>
        <n v="11490"/>
        <n v="8300"/>
        <n v="206.96"/>
        <n v="125"/>
        <n v="2820"/>
        <n v="1091.0999999999999"/>
        <n v="2563"/>
        <n v="2122.14"/>
        <n v="1426.9"/>
        <n v="6512"/>
        <n v="737"/>
        <n v="7119"/>
        <n v="2389.02"/>
        <n v="400"/>
        <n v="1923"/>
        <n v="4865.3"/>
        <n v="3900.54"/>
        <n v="3485.35"/>
        <n v="5792.94"/>
        <n v="16815"/>
        <n v="5814"/>
        <n v="2340"/>
        <n v="283.01"/>
        <n v="37029.67"/>
        <n v="1388"/>
        <n v="60840"/>
        <n v="11020.8"/>
        <n v="7872"/>
        <n v="1497.6"/>
        <n v="194772"/>
        <n v="23340"/>
        <n v="2100"/>
        <n v="7688.5"/>
        <n v="263175"/>
        <n v="0.15"/>
        <n v="15719.2"/>
        <n v="1647.08"/>
        <n v="5342.27"/>
        <n v="6169"/>
        <n v="18424"/>
        <n v="6395"/>
        <n v="2802"/>
        <n v="7285.88"/>
        <n v="4000"/>
        <n v="2663.98"/>
        <n v="3404.36"/>
        <n v="23513.54"/>
        <n v="2716.8"/>
        <n v="6.05"/>
        <n v="2861.4"/>
        <n v="1711.99"/>
        <n v="2969.92"/>
        <n v="41832.050000000003"/>
        <n v="4034.1"/>
        <n v="338.2"/>
        <n v="871.6"/>
        <n v="15079.74"/>
        <n v="14868.99"/>
        <n v="2616.21"/>
        <n v="280.44"/>
        <n v="515.28"/>
        <n v="380"/>
        <n v="1593.72"/>
        <n v="521.84"/>
        <n v="354.94"/>
        <n v="7198.65"/>
        <n v="8889.07"/>
        <n v="5697.7"/>
        <n v="6764.5"/>
        <n v="2069.3000000000002"/>
        <n v="18598.099999999999"/>
        <n v="9477"/>
        <n v="324.38"/>
        <n v="346"/>
        <n v="440"/>
        <n v="955"/>
        <n v="28919"/>
        <n v="3982"/>
        <n v="325.14999999999998"/>
        <n v="13708"/>
        <n v="48427"/>
        <n v="32910"/>
        <n v="43995.07"/>
        <n v="50478"/>
        <n v="16159.86"/>
        <n v="669.8"/>
        <n v="2910"/>
        <n v="2.2799999999999998"/>
        <n v="11480"/>
        <n v="1613.45"/>
        <n v="5682"/>
        <n v="3058"/>
        <n v="1044.31"/>
        <n v="4226.88"/>
        <n v="5767.27"/>
        <n v="2432.35"/>
        <n v="2508.54"/>
        <n v="5326.01"/>
        <n v="1725"/>
        <n v="12739.3"/>
        <n v="4584.8"/>
        <n v="3101.4"/>
        <n v="36860.5"/>
        <n v="1468.39"/>
        <n v="1368.85"/>
        <n v="3654"/>
        <n v="398.46"/>
        <n v="4786.1000000000004"/>
        <n v="713.63"/>
        <n v="2700"/>
        <n v="2504"/>
        <n v="11858"/>
        <n v="10105.09"/>
        <n v="6668"/>
        <n v="5357.86"/>
        <n v="14107"/>
        <n v="1568"/>
        <n v="8793.75"/>
        <n v="967.52"/>
        <n v="205.79"/>
        <n v="238.98"/>
        <n v="477.96"/>
        <n v="9578.58"/>
        <n v="1299"/>
        <n v="1039.2"/>
        <n v="1917.44"/>
        <n v="13550"/>
        <n v="11198"/>
        <n v="85840"/>
        <n v="1971.8"/>
        <n v="283.3"/>
        <n v="870"/>
        <n v="145.69999999999999"/>
        <n v="1500"/>
        <n v="3097.62"/>
        <n v="4711.78"/>
        <n v="2528.67"/>
        <n v="1877"/>
        <n v="4140"/>
        <n v="2856"/>
        <n v="1560.56"/>
        <n v="2050"/>
        <n v="4020"/>
        <n v="5322"/>
        <n v="2020.5"/>
        <n v="4226"/>
        <n v="9570"/>
        <n v="7395"/>
        <n v="23716"/>
        <n v="3534"/>
        <n v="2527"/>
        <n v="548"/>
        <n v="18638.25"/>
        <n v="7230"/>
        <n v="476"/>
        <n v="4276"/>
        <n v="2915.89"/>
        <n v="2255.5"/>
        <n v="1920"/>
        <n v="3010"/>
        <n v="4360.8"/>
        <n v="379735"/>
        <n v="234825"/>
        <n v="114250"/>
        <n v="1230.3"/>
        <n v="16066"/>
        <n v="749.21"/>
        <n v="134.24"/>
        <n v="959.68"/>
        <n v="4639"/>
        <n v="4220"/>
        <n v="22030"/>
        <n v="10759"/>
        <n v="27693"/>
        <n v="3630"/>
        <n v="3528"/>
        <n v="1221"/>
        <n v="1158.04"/>
        <n v="200"/>
        <n v="1320000"/>
        <n v="3017.44"/>
        <n v="2566.4"/>
        <n v="1515.02"/>
        <n v="1200"/>
        <n v="519550"/>
        <n v="949950"/>
        <n v="761205"/>
        <n v="277264"/>
        <n v="612174"/>
        <n v="1815"/>
        <n v="2880"/>
        <n v="2670.08"/>
        <n v="861.84"/>
        <n v="1191.21"/>
        <n v="1180"/>
        <n v="1928.28"/>
        <n v="4760"/>
        <n v="1990"/>
        <n v="260"/>
        <n v="1980"/>
        <n v="145.9"/>
        <n v="2724.75"/>
        <n v="7808"/>
        <n v="16124"/>
        <n v="3724"/>
        <n v="4317"/>
        <n v="7976"/>
        <n v="3449"/>
        <n v="20000"/>
        <n v="10104"/>
        <n v="12606"/>
        <n v="940"/>
        <n v="2016.88"/>
        <n v="3716.82"/>
        <n v="8228"/>
        <n v="4700"/>
        <n v="2004.02"/>
        <n v="4956.01"/>
        <n v="5985"/>
        <n v="3216.56"/>
        <n v="1320"/>
        <n v="2775.92"/>
        <n v="2308.48"/>
        <n v="5050.07"/>
        <n v="546"/>
        <n v="2693.94"/>
        <n v="1157.2"/>
        <n v="434.8"/>
        <n v="571"/>
        <n v="1876.62"/>
        <n v="937.27"/>
        <n v="2171.46"/>
        <n v="13900"/>
        <n v="1536.89"/>
        <n v="2313.5"/>
        <n v="11383"/>
        <n v="2878"/>
        <n v="2552"/>
        <n v="1292.04"/>
        <n v="2888"/>
        <n v="5441"/>
        <n v="4133"/>
        <n v="3081"/>
        <n v="194.6"/>
        <n v="825"/>
        <n v="497.65"/>
        <n v="683"/>
        <n v="412"/>
        <n v="3288.3"/>
        <n v="6460"/>
        <n v="4070"/>
        <n v="2750"/>
        <n v="155"/>
        <n v="10314.799999999999"/>
        <n v="2234.15"/>
        <n v="2886.66"/>
        <n v="1040"/>
        <n v="785"/>
        <n v="3915"/>
        <n v="796.16"/>
        <n v="9630.94"/>
        <n v="195"/>
        <n v="10334.1"/>
        <n v="13614"/>
        <n v="3539.89"/>
        <n v="10773.58"/>
        <n v="1859.83"/>
        <n v="3780"/>
        <n v="5625"/>
        <n v="4805.45"/>
        <n v="480.55"/>
        <n v="12080"/>
        <n v="10013"/>
        <n v="25800"/>
        <n v="30166.35"/>
        <n v="384.51"/>
        <n v="1349"/>
        <n v="25262.06"/>
        <n v="30159.07"/>
        <n v="2394"/>
        <n v="690"/>
        <n v="350"/>
        <n v="6075"/>
        <n v="17512"/>
        <n v="9701.2199999999993"/>
        <n v="16650"/>
        <n v="5283.88"/>
        <n v="1896.15"/>
        <n v="2436.2800000000002"/>
        <n v="3828"/>
        <n v="1242"/>
        <n v="1664"/>
        <n v="589.04999999999995"/>
        <n v="2080"/>
        <n v="1560"/>
        <n v="8635.7000000000007"/>
        <n v="12070.1"/>
        <n v="6200"/>
        <n v="6100"/>
        <n v="5283"/>
        <n v="4070.77"/>
        <n v="8485.1200000000008"/>
        <n v="937.34"/>
        <n v="7188.4"/>
        <n v="2690.76"/>
        <n v="2835"/>
        <n v="1915.02"/>
        <n v="11714.05"/>
        <n v="13873.49"/>
        <n v="5199"/>
        <n v="3499"/>
        <n v="27327"/>
        <n v="19620"/>
        <n v="6053.6"/>
        <n v="1067.6400000000001"/>
        <n v="1002.1"/>
        <n v="319329"/>
        <n v="39015"/>
        <n v="59961.1"/>
        <n v="17247.439999999999"/>
        <n v="65660.42"/>
        <n v="1823"/>
        <n v="5943.6"/>
        <n v="266050"/>
        <n v="427120"/>
        <n v="937000"/>
        <n v="1072341"/>
        <n v="1007350"/>
        <n v="152200"/>
        <n v="255000"/>
        <n v="241900"/>
        <n v="1674101"/>
        <n v="591428.6"/>
        <n v="20359625"/>
        <n v="617540"/>
        <n v="5088.07"/>
        <n v="1770"/>
        <n v="1954"/>
        <n v="6262.4"/>
        <n v="445"/>
        <n v="3352.14"/>
        <n v="3628.85"/>
        <n v="6176.87"/>
        <n v="11710.78"/>
        <n v="3925"/>
        <n v="2740"/>
        <n v="6484.88"/>
        <n v="1383.89"/>
        <n v="-3403"/>
        <n v="90932"/>
        <n v="720"/>
        <n v="1474"/>
        <n v="11980.26"/>
        <n v="5300"/>
        <n v="181749"/>
        <n v="426520"/>
        <n v="107925"/>
        <n v="356665"/>
        <n v="61120"/>
        <n v="162390"/>
        <n v="858.4"/>
        <n v="10075"/>
        <n v="1238.3"/>
        <n v="14262"/>
        <n v="2119.0500000000002"/>
        <n v="1400"/>
        <n v="5411"/>
        <n v="11108"/>
        <n v="442"/>
        <n v="45086"/>
        <n v="17405"/>
        <n v="5500"/>
        <n v="119992"/>
        <n v="4400"/>
        <n v="6388.26"/>
        <n v="22902"/>
        <n v="4591.37"/>
        <n v="1156.29"/>
        <n v="1662.46"/>
        <n v="40532"/>
        <n v="532932"/>
        <n v="3350.45"/>
        <n v="531.29"/>
        <n v="12165.93"/>
        <n v="2954"/>
        <n v="30677"/>
        <n v="1900"/>
        <n v="2115"/>
        <n v="2918.4"/>
        <n v="2206.02"/>
        <n v="719677"/>
        <n v="8775"/>
        <n v="9081"/>
        <n v="6523.9"/>
        <n v="36400"/>
        <n v="10493"/>
        <n v="275.92"/>
        <n v="263.72000000000003"/>
        <n v="19321"/>
        <n v="2844.22"/>
        <n v="508.64"/>
        <n v="5281.02"/>
        <n v="7141.22"/>
        <n v="759.07"/>
        <n v="5550906"/>
        <n v="4772.49"/>
        <n v="11918"/>
        <n v="653.5"/>
        <n v="6429.5"/>
        <n v="1795.38"/>
        <n v="2282.35"/>
        <n v="690.12"/>
        <n v="11582.56"/>
        <n v="4310"/>
        <n v="2508"/>
        <n v="1489.2"/>
        <n v="4792.03"/>
        <n v="30224"/>
        <n v="1368"/>
        <n v="767.06"/>
        <n v="13252"/>
        <n v="2058"/>
        <n v="299292.08"/>
        <n v="16765"/>
        <n v="2533.7600000000002"/>
        <n v="2403.5"/>
        <n v="1039.5"/>
        <n v="136"/>
        <n v="3485"/>
        <n v="8443.83"/>
        <n v="21430"/>
        <n v="29184"/>
        <n v="14763"/>
        <n v="5437"/>
        <n v="1155.8900000000001"/>
        <n v="1080"/>
        <n v="84200"/>
        <n v="2308"/>
        <n v="2464"/>
        <n v="142.08000000000001"/>
        <n v="3052"/>
        <n v="1685.86"/>
        <n v="928.2"/>
        <n v="2635.8"/>
        <n v="3100"/>
        <n v="27124"/>
        <n v="3702.8"/>
        <n v="6770"/>
        <n v="15485"/>
        <n v="18076"/>
        <n v="29511"/>
        <n v="12047.2"/>
        <n v="1707"/>
        <n v="2595"/>
        <n v="75618"/>
        <n v="2685"/>
        <n v="4363"/>
        <n v="33286.720000000001"/>
        <n v="2320"/>
        <n v="90124.479999999996"/>
        <n v="2040"/>
        <n v="11920.39"/>
        <n v="2523"/>
        <n v="6766"/>
        <n v="6240"/>
        <n v="380.04"/>
        <n v="15134"/>
        <n v="6842"/>
        <n v="5224"/>
        <n v="5251"/>
        <n v="1201.26"/>
        <n v="8610"/>
        <n v="494.88"/>
        <n v="6174.13"/>
        <n v="973.36"/>
        <n v="3727"/>
        <n v="6776"/>
        <n v="3663"/>
        <n v="5840.44"/>
        <n v="12022.15"/>
        <n v="219"/>
        <n v="76952"/>
        <n v="9639"/>
        <n v="3300.7"/>
        <n v="2644"/>
        <n v="5312"/>
        <n v="12996"/>
        <n v="568.5"/>
        <n v="3000.27"/>
        <n v="521.29999999999995"/>
        <n v="30"/>
        <n v="5589"/>
        <n v="2065"/>
        <n v="447.48"/>
        <n v="873"/>
        <n v="3420"/>
        <n v="9817"/>
        <n v="74200"/>
        <n v="1845.54"/>
        <n v="3014.1"/>
        <n v="8760"/>
        <n v="857.32"/>
        <n v="1897.2"/>
        <n v="394.37"/>
        <n v="708.8"/>
        <n v="6956"/>
        <n v="5557"/>
        <n v="6156"/>
        <n v="2801"/>
        <n v="22948"/>
        <n v="15946"/>
        <n v="21042.880000000001"/>
        <n v="11627"/>
        <n v="1551.89"/>
        <n v="59189"/>
        <n v="37192"/>
        <n v="33078"/>
        <n v="18738"/>
        <n v="12974"/>
        <n v="202464"/>
        <n v="5038.09"/>
        <n v="445455"/>
        <n v="126560"/>
        <n v="103373"/>
        <n v="4147.5"/>
        <n v="61600"/>
        <n v="14916"/>
        <n v="75072"/>
        <m/>
      </sharedItems>
    </cacheField>
    <cacheField name="moneda" numFmtId="0">
      <sharedItems containsBlank="1" count="8">
        <s v="EUR"/>
        <s v="MXN"/>
        <s v="USD"/>
        <s v="GPB"/>
        <s v="CHF"/>
        <s v="GBP"/>
        <s v="JPY"/>
        <m/>
      </sharedItems>
    </cacheField>
    <cacheField name="monto_pagado USD" numFmtId="0">
      <sharedItems containsString="0" containsBlank="1" containsNumber="1" minValue="-4784.32" maxValue="319329"/>
    </cacheField>
    <cacheField name="forma_pag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8.522450578705" createdVersion="8" refreshedVersion="8" minRefreshableVersion="3" recordCount="1024" xr:uid="{B9B2FDD4-9978-46C3-9352-CB182A8617D9}">
  <cacheSource type="worksheet">
    <worksheetSource ref="A1:N1048576" sheet="AP DATA"/>
  </cacheSource>
  <cacheFields count="14">
    <cacheField name="AP Reserva" numFmtId="0">
      <sharedItems containsString="0" containsBlank="1" containsNumber="1" containsInteger="1" minValue="1" maxValue="1111"/>
    </cacheField>
    <cacheField name="AP Moneda" numFmtId="0">
      <sharedItems containsBlank="1"/>
    </cacheField>
    <cacheField name="total_proveedor" numFmtId="0">
      <sharedItems containsString="0" containsBlank="1" containsNumber="1" minValue="-560094.23" maxValue="19834659.010000002"/>
    </cacheField>
    <cacheField name="Total  prov en eur" numFmtId="0">
      <sharedItems containsString="0" containsBlank="1" containsNumber="1" minValue="-481681.03779999999" maxValue="363636"/>
    </cacheField>
    <cacheField name="Total  prov en usd" numFmtId="0">
      <sharedItems containsString="0" containsBlank="1" containsNumber="1" minValue="-560094.23" maxValue="421817.75999999995"/>
    </cacheField>
    <cacheField name="Pago prov (monto)" numFmtId="0">
      <sharedItems containsString="0" containsBlank="1" containsNumber="1" minValue="50" maxValue="24337648.5"/>
    </cacheField>
    <cacheField name="Pago prov en eur" numFmtId="0">
      <sharedItems containsString="0" containsBlank="1" containsNumber="1" minValue="43" maxValue="363636"/>
    </cacheField>
    <cacheField name="Pago prov en usd" numFmtId="0">
      <sharedItems containsString="0" containsBlank="1" containsNumber="1" minValue="50" maxValue="421817.75999999995"/>
    </cacheField>
    <cacheField name="Restante por pagar prov" numFmtId="0">
      <sharedItems containsString="0" containsBlank="1" containsNumber="1" minValue="-6859.7999999999993" maxValue="245897"/>
    </cacheField>
    <cacheField name="Restante por pagar prov USD" numFmtId="0">
      <sharedItems containsString="0" containsBlank="1" containsNumber="1" minValue="-3070" maxValue="245897"/>
    </cacheField>
    <cacheField name="AP fecha_inicio" numFmtId="0">
      <sharedItems containsDate="1" containsBlank="1" containsMixedTypes="1" minDate="2024-07-02T00:00:00" maxDate="2027-06-26T00:00:00"/>
    </cacheField>
    <cacheField name="AP fecha salida 30 dias antes" numFmtId="0">
      <sharedItems containsDate="1" containsBlank="1" containsMixedTypes="1" minDate="2024-06-02T00:00:00" maxDate="2027-05-27T00:00:00"/>
    </cacheField>
    <cacheField name="AP mes 30 dias antes" numFmtId="0">
      <sharedItems containsBlank="1" containsMixedTypes="1" containsNumber="1" containsInteger="1" minValue="1" maxValue="12" count="14">
        <n v="9"/>
        <n v="11"/>
        <n v="10"/>
        <n v="6"/>
        <n v="4"/>
        <n v="2"/>
        <n v="8"/>
        <n v="12"/>
        <n v="1"/>
        <n v="3"/>
        <n v="5"/>
        <n v="7"/>
        <e v="#VALUE!"/>
        <m/>
      </sharedItems>
    </cacheField>
    <cacheField name="AP año 30 dias antes" numFmtId="0">
      <sharedItems containsBlank="1" containsMixedTypes="1" containsNumber="1" containsInteger="1" minValue="2024" maxValue="2027" count="6">
        <n v="2024"/>
        <n v="2025"/>
        <n v="2026"/>
        <e v="#VALUE!"/>
        <n v="202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8.555220023147" createdVersion="8" refreshedVersion="8" minRefreshableVersion="3" recordCount="1487" xr:uid="{2E42F8A4-311B-4095-B0D1-93AB23542E86}">
  <cacheSource type="worksheet">
    <worksheetSource ref="Q1:U1048576" sheet="AR DATA"/>
  </cacheSource>
  <cacheFields count="5">
    <cacheField name="reserva" numFmtId="0">
      <sharedItems containsString="0" containsBlank="1" containsNumber="1" containsInteger="1" minValue="3" maxValue="1111" count="724">
        <n v="3"/>
        <n v="4"/>
        <n v="6"/>
        <n v="7"/>
        <n v="9"/>
        <n v="11"/>
        <n v="12"/>
        <n v="15"/>
        <n v="16"/>
        <n v="17"/>
        <n v="19"/>
        <n v="20"/>
        <n v="22"/>
        <n v="24"/>
        <n v="26"/>
        <n v="28"/>
        <n v="29"/>
        <n v="30"/>
        <n v="33"/>
        <n v="36"/>
        <n v="38"/>
        <n v="39"/>
        <n v="40"/>
        <n v="41"/>
        <n v="44"/>
        <n v="45"/>
        <n v="46"/>
        <n v="48"/>
        <n v="49"/>
        <n v="54"/>
        <n v="57"/>
        <n v="58"/>
        <n v="59"/>
        <n v="60"/>
        <n v="61"/>
        <n v="62"/>
        <n v="63"/>
        <n v="64"/>
        <n v="69"/>
        <n v="71"/>
        <n v="72"/>
        <n v="73"/>
        <n v="74"/>
        <n v="75"/>
        <n v="76"/>
        <n v="78"/>
        <n v="79"/>
        <n v="81"/>
        <n v="82"/>
        <n v="83"/>
        <n v="84"/>
        <n v="85"/>
        <n v="88"/>
        <n v="89"/>
        <n v="91"/>
        <n v="93"/>
        <n v="94"/>
        <n v="95"/>
        <n v="97"/>
        <n v="98"/>
        <n v="99"/>
        <n v="100"/>
        <n v="102"/>
        <n v="104"/>
        <n v="105"/>
        <n v="106"/>
        <n v="107"/>
        <n v="108"/>
        <n v="109"/>
        <n v="110"/>
        <n v="111"/>
        <n v="112"/>
        <n v="113"/>
        <n v="114"/>
        <n v="117"/>
        <n v="119"/>
        <n v="120"/>
        <n v="121"/>
        <n v="122"/>
        <n v="124"/>
        <n v="126"/>
        <n v="127"/>
        <n v="128"/>
        <n v="129"/>
        <n v="130"/>
        <n v="132"/>
        <n v="133"/>
        <n v="134"/>
        <n v="136"/>
        <n v="137"/>
        <n v="139"/>
        <n v="140"/>
        <n v="141"/>
        <n v="142"/>
        <n v="143"/>
        <n v="144"/>
        <n v="145"/>
        <n v="148"/>
        <n v="149"/>
        <n v="150"/>
        <n v="151"/>
        <n v="152"/>
        <n v="153"/>
        <n v="157"/>
        <n v="161"/>
        <n v="162"/>
        <n v="163"/>
        <n v="164"/>
        <n v="165"/>
        <n v="167"/>
        <n v="168"/>
        <n v="170"/>
        <n v="171"/>
        <n v="172"/>
        <n v="173"/>
        <n v="176"/>
        <n v="179"/>
        <n v="180"/>
        <n v="181"/>
        <n v="185"/>
        <n v="187"/>
        <n v="188"/>
        <n v="190"/>
        <n v="192"/>
        <n v="193"/>
        <n v="195"/>
        <n v="196"/>
        <n v="198"/>
        <n v="199"/>
        <n v="200"/>
        <n v="201"/>
        <n v="202"/>
        <n v="203"/>
        <n v="204"/>
        <n v="205"/>
        <n v="206"/>
        <n v="207"/>
        <n v="208"/>
        <n v="213"/>
        <n v="214"/>
        <n v="215"/>
        <n v="216"/>
        <n v="217"/>
        <n v="218"/>
        <n v="219"/>
        <n v="220"/>
        <n v="222"/>
        <n v="223"/>
        <n v="226"/>
        <n v="227"/>
        <n v="228"/>
        <n v="229"/>
        <n v="232"/>
        <n v="235"/>
        <n v="236"/>
        <n v="237"/>
        <n v="238"/>
        <n v="239"/>
        <n v="241"/>
        <n v="243"/>
        <n v="244"/>
        <n v="245"/>
        <n v="246"/>
        <n v="248"/>
        <n v="249"/>
        <n v="251"/>
        <n v="252"/>
        <n v="253"/>
        <n v="258"/>
        <n v="259"/>
        <n v="260"/>
        <n v="263"/>
        <n v="264"/>
        <n v="265"/>
        <n v="266"/>
        <n v="267"/>
        <n v="268"/>
        <n v="269"/>
        <n v="270"/>
        <n v="271"/>
        <n v="273"/>
        <n v="274"/>
        <n v="275"/>
        <n v="276"/>
        <n v="278"/>
        <n v="279"/>
        <n v="281"/>
        <n v="282"/>
        <n v="283"/>
        <n v="284"/>
        <n v="285"/>
        <n v="286"/>
        <n v="287"/>
        <n v="288"/>
        <n v="292"/>
        <n v="295"/>
        <n v="296"/>
        <n v="297"/>
        <n v="298"/>
        <n v="299"/>
        <n v="300"/>
        <n v="302"/>
        <n v="305"/>
        <n v="306"/>
        <n v="307"/>
        <n v="308"/>
        <n v="309"/>
        <n v="312"/>
        <n v="313"/>
        <n v="314"/>
        <n v="315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1"/>
        <n v="333"/>
        <n v="334"/>
        <n v="335"/>
        <n v="336"/>
        <n v="337"/>
        <n v="340"/>
        <n v="342"/>
        <n v="343"/>
        <n v="345"/>
        <n v="346"/>
        <n v="348"/>
        <n v="350"/>
        <n v="351"/>
        <n v="352"/>
        <n v="353"/>
        <n v="354"/>
        <n v="355"/>
        <n v="356"/>
        <n v="360"/>
        <n v="361"/>
        <n v="362"/>
        <n v="363"/>
        <n v="364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2"/>
        <n v="384"/>
        <n v="385"/>
        <n v="386"/>
        <n v="387"/>
        <n v="388"/>
        <n v="389"/>
        <n v="390"/>
        <n v="391"/>
        <n v="392"/>
        <n v="394"/>
        <n v="395"/>
        <n v="396"/>
        <n v="398"/>
        <n v="399"/>
        <n v="400"/>
        <n v="401"/>
        <n v="402"/>
        <n v="403"/>
        <n v="406"/>
        <n v="407"/>
        <n v="409"/>
        <n v="412"/>
        <n v="414"/>
        <n v="416"/>
        <n v="419"/>
        <n v="420"/>
        <n v="422"/>
        <n v="424"/>
        <n v="427"/>
        <n v="428"/>
        <n v="429"/>
        <n v="430"/>
        <n v="431"/>
        <n v="432"/>
        <n v="433"/>
        <n v="434"/>
        <n v="435"/>
        <n v="436"/>
        <n v="437"/>
        <n v="440"/>
        <n v="443"/>
        <n v="445"/>
        <n v="446"/>
        <n v="447"/>
        <n v="448"/>
        <n v="451"/>
        <n v="454"/>
        <n v="455"/>
        <n v="456"/>
        <n v="457"/>
        <n v="458"/>
        <n v="459"/>
        <n v="460"/>
        <n v="461"/>
        <n v="462"/>
        <n v="463"/>
        <n v="464"/>
        <n v="465"/>
        <n v="467"/>
        <n v="468"/>
        <n v="469"/>
        <n v="470"/>
        <n v="471"/>
        <n v="472"/>
        <n v="473"/>
        <n v="474"/>
        <n v="478"/>
        <n v="479"/>
        <n v="480"/>
        <n v="481"/>
        <n v="482"/>
        <n v="483"/>
        <n v="484"/>
        <n v="486"/>
        <n v="487"/>
        <n v="489"/>
        <n v="490"/>
        <n v="491"/>
        <n v="492"/>
        <n v="493"/>
        <n v="495"/>
        <n v="496"/>
        <n v="497"/>
        <n v="498"/>
        <n v="499"/>
        <n v="500"/>
        <n v="501"/>
        <n v="503"/>
        <n v="505"/>
        <n v="506"/>
        <n v="507"/>
        <n v="508"/>
        <n v="509"/>
        <n v="510"/>
        <n v="511"/>
        <n v="513"/>
        <n v="514"/>
        <n v="515"/>
        <n v="516"/>
        <n v="518"/>
        <n v="519"/>
        <n v="521"/>
        <n v="522"/>
        <n v="523"/>
        <n v="524"/>
        <n v="525"/>
        <n v="526"/>
        <n v="527"/>
        <n v="528"/>
        <n v="529"/>
        <n v="530"/>
        <n v="531"/>
        <n v="533"/>
        <n v="535"/>
        <n v="536"/>
        <n v="537"/>
        <n v="539"/>
        <n v="540"/>
        <n v="541"/>
        <n v="542"/>
        <n v="545"/>
        <n v="546"/>
        <n v="547"/>
        <n v="548"/>
        <n v="549"/>
        <n v="550"/>
        <n v="551"/>
        <n v="552"/>
        <n v="553"/>
        <n v="554"/>
        <n v="555"/>
        <n v="557"/>
        <n v="558"/>
        <n v="559"/>
        <n v="560"/>
        <n v="561"/>
        <n v="562"/>
        <n v="563"/>
        <n v="564"/>
        <n v="566"/>
        <n v="567"/>
        <n v="568"/>
        <n v="570"/>
        <n v="571"/>
        <n v="572"/>
        <n v="573"/>
        <n v="575"/>
        <n v="576"/>
        <n v="577"/>
        <n v="578"/>
        <n v="579"/>
        <n v="580"/>
        <n v="581"/>
        <n v="583"/>
        <n v="585"/>
        <n v="587"/>
        <n v="588"/>
        <n v="589"/>
        <n v="590"/>
        <n v="591"/>
        <n v="592"/>
        <n v="593"/>
        <n v="594"/>
        <n v="597"/>
        <n v="598"/>
        <n v="600"/>
        <n v="601"/>
        <n v="602"/>
        <n v="603"/>
        <n v="604"/>
        <n v="605"/>
        <n v="607"/>
        <n v="608"/>
        <n v="609"/>
        <n v="610"/>
        <n v="613"/>
        <n v="615"/>
        <n v="616"/>
        <n v="617"/>
        <n v="618"/>
        <n v="622"/>
        <n v="624"/>
        <n v="625"/>
        <n v="626"/>
        <n v="627"/>
        <n v="628"/>
        <n v="629"/>
        <n v="630"/>
        <n v="633"/>
        <n v="634"/>
        <n v="635"/>
        <n v="636"/>
        <n v="637"/>
        <n v="638"/>
        <n v="640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60"/>
        <n v="661"/>
        <n v="662"/>
        <n v="664"/>
        <n v="665"/>
        <n v="667"/>
        <n v="668"/>
        <n v="669"/>
        <n v="670"/>
        <n v="671"/>
        <n v="672"/>
        <n v="673"/>
        <n v="674"/>
        <n v="675"/>
        <n v="676"/>
        <n v="678"/>
        <n v="679"/>
        <n v="680"/>
        <n v="683"/>
        <n v="684"/>
        <n v="686"/>
        <n v="687"/>
        <n v="691"/>
        <n v="692"/>
        <n v="693"/>
        <n v="694"/>
        <n v="695"/>
        <n v="696"/>
        <n v="697"/>
        <n v="699"/>
        <n v="700"/>
        <n v="701"/>
        <n v="702"/>
        <n v="704"/>
        <n v="706"/>
        <n v="707"/>
        <n v="709"/>
        <n v="710"/>
        <n v="711"/>
        <n v="712"/>
        <n v="714"/>
        <n v="715"/>
        <n v="716"/>
        <n v="722"/>
        <n v="724"/>
        <n v="725"/>
        <n v="727"/>
        <n v="728"/>
        <n v="729"/>
        <n v="730"/>
        <n v="731"/>
        <n v="732"/>
        <n v="733"/>
        <n v="734"/>
        <n v="735"/>
        <n v="737"/>
        <n v="738"/>
        <n v="739"/>
        <n v="740"/>
        <n v="742"/>
        <n v="743"/>
        <n v="744"/>
        <n v="745"/>
        <n v="749"/>
        <n v="750"/>
        <n v="751"/>
        <n v="752"/>
        <n v="753"/>
        <n v="754"/>
        <n v="755"/>
        <n v="757"/>
        <n v="758"/>
        <n v="761"/>
        <n v="765"/>
        <n v="766"/>
        <n v="767"/>
        <n v="769"/>
        <n v="770"/>
        <n v="774"/>
        <n v="775"/>
        <n v="776"/>
        <n v="778"/>
        <n v="779"/>
        <n v="780"/>
        <n v="781"/>
        <n v="782"/>
        <n v="783"/>
        <n v="784"/>
        <n v="787"/>
        <n v="789"/>
        <n v="790"/>
        <n v="791"/>
        <n v="792"/>
        <n v="793"/>
        <n v="795"/>
        <n v="797"/>
        <n v="798"/>
        <n v="799"/>
        <n v="802"/>
        <n v="803"/>
        <n v="805"/>
        <n v="806"/>
        <n v="811"/>
        <n v="819"/>
        <n v="820"/>
        <n v="821"/>
        <n v="824"/>
        <n v="828"/>
        <n v="829"/>
        <n v="830"/>
        <n v="836"/>
        <n v="837"/>
        <n v="838"/>
        <n v="839"/>
        <n v="840"/>
        <n v="841"/>
        <n v="842"/>
        <n v="843"/>
        <n v="844"/>
        <n v="845"/>
        <n v="847"/>
        <n v="848"/>
        <n v="849"/>
        <n v="850"/>
        <n v="856"/>
        <n v="857"/>
        <n v="858"/>
        <n v="859"/>
        <n v="860"/>
        <n v="861"/>
        <n v="862"/>
        <n v="864"/>
        <n v="875"/>
        <n v="876"/>
        <n v="877"/>
        <n v="879"/>
        <n v="880"/>
        <n v="882"/>
        <n v="884"/>
        <n v="891"/>
        <n v="892"/>
        <n v="896"/>
        <n v="899"/>
        <n v="901"/>
        <n v="902"/>
        <n v="904"/>
        <n v="908"/>
        <n v="909"/>
        <n v="910"/>
        <n v="911"/>
        <n v="912"/>
        <n v="913"/>
        <n v="914"/>
        <n v="919"/>
        <n v="920"/>
        <n v="921"/>
        <n v="922"/>
        <n v="923"/>
        <n v="925"/>
        <n v="930"/>
        <n v="937"/>
        <n v="938"/>
        <n v="941"/>
        <n v="942"/>
        <n v="943"/>
        <n v="944"/>
        <n v="945"/>
        <n v="946"/>
        <n v="947"/>
        <n v="948"/>
        <n v="949"/>
        <n v="950"/>
        <n v="952"/>
        <n v="953"/>
        <n v="956"/>
        <n v="957"/>
        <n v="961"/>
        <n v="962"/>
        <n v="963"/>
        <n v="964"/>
        <n v="965"/>
        <n v="966"/>
        <n v="968"/>
        <n v="970"/>
        <n v="971"/>
        <n v="972"/>
        <n v="975"/>
        <n v="979"/>
        <n v="980"/>
        <n v="982"/>
        <n v="984"/>
        <n v="985"/>
        <n v="986"/>
        <n v="987"/>
        <n v="988"/>
        <n v="991"/>
        <n v="993"/>
        <n v="997"/>
        <n v="998"/>
        <n v="1000"/>
        <n v="1005"/>
        <n v="1006"/>
        <n v="1007"/>
        <n v="1008"/>
        <n v="1009"/>
        <n v="1010"/>
        <n v="1014"/>
        <n v="1016"/>
        <n v="1017"/>
        <n v="1018"/>
        <n v="1020"/>
        <n v="1024"/>
        <n v="1030"/>
        <n v="1033"/>
        <n v="1036"/>
        <n v="1037"/>
        <n v="1039"/>
        <n v="1045"/>
        <n v="1055"/>
        <n v="1058"/>
        <n v="1059"/>
        <n v="1060"/>
        <n v="1061"/>
        <n v="1062"/>
        <n v="1063"/>
        <n v="1065"/>
        <n v="1067"/>
        <n v="1068"/>
        <n v="1069"/>
        <n v="1071"/>
        <n v="1072"/>
        <n v="1073"/>
        <n v="1078"/>
        <n v="1080"/>
        <n v="1081"/>
        <n v="1082"/>
        <n v="1083"/>
        <n v="1084"/>
        <n v="1091"/>
        <n v="1095"/>
        <n v="1096"/>
        <n v="1100"/>
        <n v="1102"/>
        <n v="1103"/>
        <n v="1104"/>
        <n v="1105"/>
        <n v="1109"/>
        <n v="1110"/>
        <n v="1111"/>
        <m/>
      </sharedItems>
    </cacheField>
    <cacheField name="monto" numFmtId="0">
      <sharedItems containsString="0" containsBlank="1" containsNumber="1" minValue="-3403" maxValue="20359625"/>
    </cacheField>
    <cacheField name="moneda" numFmtId="0">
      <sharedItems containsBlank="1"/>
    </cacheField>
    <cacheField name="monto USD" numFmtId="0">
      <sharedItems containsString="0" containsBlank="1" containsNumber="1" minValue="-3947.4799999999996" maxValue="310850.73600000003"/>
    </cacheField>
    <cacheField name="forma_pago" numFmtId="0">
      <sharedItems containsString="0" containsBlank="1" containsNumber="1" containsInteger="1" minValue="400" maxValue="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8.58145474537" createdVersion="8" refreshedVersion="8" minRefreshableVersion="3" recordCount="1072" xr:uid="{A05BD1E3-C542-44E2-BBA9-AE2BCA22AB86}">
  <cacheSource type="worksheet">
    <worksheetSource ref="A1:N1048576" sheet="AR DATA"/>
  </cacheSource>
  <cacheFields count="14">
    <cacheField name="Reserva AR" numFmtId="0">
      <sharedItems containsString="0" containsBlank="1" containsNumber="1" containsInteger="1" minValue="2" maxValue="1111"/>
    </cacheField>
    <cacheField name="AR Moneda" numFmtId="0">
      <sharedItems containsBlank="1"/>
    </cacheField>
    <cacheField name="monto cliente" numFmtId="0">
      <sharedItems containsString="0" containsBlank="1" containsNumber="1" minValue="0" maxValue="22353043.399999999"/>
    </cacheField>
    <cacheField name="Tot en eur" numFmtId="0">
      <sharedItems containsString="0" containsBlank="1" containsNumber="1" minValue="0" maxValue="400000"/>
    </cacheField>
    <cacheField name="Tot en usd" numFmtId="0">
      <sharedItems containsString="0" containsBlank="1" containsNumber="1" minValue="0" maxValue="463999.99999999994"/>
    </cacheField>
    <cacheField name="Pago cliente (monto)" numFmtId="0">
      <sharedItems containsString="0" containsBlank="1" containsNumber="1" minValue="50" maxValue="24401740"/>
    </cacheField>
    <cacheField name="Pago cliente eur" numFmtId="0">
      <sharedItems containsString="0" containsBlank="1" containsNumber="1" minValue="43" maxValue="400000"/>
    </cacheField>
    <cacheField name="Pago cliente usd" numFmtId="0">
      <sharedItems containsString="0" containsBlank="1" containsNumber="1" minValue="50" maxValue="463999.99999999994"/>
    </cacheField>
    <cacheField name="Restante por pagar cliente" numFmtId="0">
      <sharedItems containsString="0" containsBlank="1" containsNumber="1" minValue="-219916.7" maxValue="263708"/>
    </cacheField>
    <cacheField name="Restante por pagar cliente USD" numFmtId="0">
      <sharedItems containsString="0" containsBlank="1" containsNumber="1" minValue="-12315.335200000001" maxValue="263708"/>
    </cacheField>
    <cacheField name="AR fecha_inicio" numFmtId="0">
      <sharedItems containsDate="1" containsBlank="1" containsMixedTypes="1" minDate="2024-07-02T00:00:00" maxDate="2027-06-26T00:00:00"/>
    </cacheField>
    <cacheField name="AR fecha salida 30 dias antes" numFmtId="0">
      <sharedItems containsDate="1" containsBlank="1" containsMixedTypes="1" minDate="2024-06-02T00:00:00" maxDate="2027-05-27T00:00:00"/>
    </cacheField>
    <cacheField name="AR mes 30 dias antes" numFmtId="0">
      <sharedItems containsBlank="1" containsMixedTypes="1" containsNumber="1" containsInteger="1" minValue="1" maxValue="12" count="14">
        <n v="11"/>
        <n v="9"/>
        <n v="10"/>
        <n v="6"/>
        <n v="4"/>
        <n v="2"/>
        <n v="8"/>
        <n v="12"/>
        <n v="1"/>
        <n v="3"/>
        <n v="5"/>
        <n v="7"/>
        <e v="#VALUE!"/>
        <m/>
      </sharedItems>
    </cacheField>
    <cacheField name="AR año 30 dias antes" numFmtId="0">
      <sharedItems containsBlank="1" containsMixedTypes="1" containsNumber="1" containsInteger="1" minValue="2024" maxValue="2027" count="6">
        <n v="2024"/>
        <n v="2025"/>
        <n v="2026"/>
        <e v="#VALUE!"/>
        <n v="202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6">
  <r>
    <x v="0"/>
    <x v="0"/>
    <x v="0"/>
    <n v="3943.9999999999995"/>
    <s v="00B"/>
  </r>
  <r>
    <x v="1"/>
    <x v="1"/>
    <x v="1"/>
    <n v="19854.53456"/>
    <s v="00B"/>
  </r>
  <r>
    <x v="2"/>
    <x v="2"/>
    <x v="0"/>
    <n v="12528"/>
    <s v="00B"/>
  </r>
  <r>
    <x v="3"/>
    <x v="3"/>
    <x v="0"/>
    <n v="153064.31999999998"/>
    <s v="00B"/>
  </r>
  <r>
    <x v="4"/>
    <x v="4"/>
    <x v="2"/>
    <n v="4890.32"/>
    <s v="00B"/>
  </r>
  <r>
    <x v="5"/>
    <x v="5"/>
    <x v="0"/>
    <n v="30736.392399999997"/>
    <s v="00B"/>
  </r>
  <r>
    <x v="6"/>
    <x v="6"/>
    <x v="2"/>
    <n v="2327"/>
    <s v="00B"/>
  </r>
  <r>
    <x v="7"/>
    <x v="7"/>
    <x v="2"/>
    <n v="3735"/>
    <s v="00B"/>
  </r>
  <r>
    <x v="8"/>
    <x v="8"/>
    <x v="0"/>
    <n v="1844.3999999999999"/>
    <s v="00B"/>
  </r>
  <r>
    <x v="9"/>
    <x v="9"/>
    <x v="2"/>
    <n v="803"/>
    <s v="00B"/>
  </r>
  <r>
    <x v="10"/>
    <x v="10"/>
    <x v="0"/>
    <n v="17489.552"/>
    <s v="00B"/>
  </r>
  <r>
    <x v="11"/>
    <x v="11"/>
    <x v="2"/>
    <n v="6384.58"/>
    <s v="00B"/>
  </r>
  <r>
    <x v="12"/>
    <x v="12"/>
    <x v="2"/>
    <n v="4124.09"/>
    <s v="00B"/>
  </r>
  <r>
    <x v="13"/>
    <x v="13"/>
    <x v="2"/>
    <n v="4785.04"/>
    <s v="00B"/>
  </r>
  <r>
    <x v="14"/>
    <x v="14"/>
    <x v="0"/>
    <n v="9933.3815999999988"/>
    <s v="00B"/>
  </r>
  <r>
    <x v="15"/>
    <x v="15"/>
    <x v="2"/>
    <n v="1501.68"/>
    <s v="00B"/>
  </r>
  <r>
    <x v="16"/>
    <x v="16"/>
    <x v="2"/>
    <n v="1133.56"/>
    <s v="00B"/>
  </r>
  <r>
    <x v="17"/>
    <x v="17"/>
    <x v="2"/>
    <n v="1359.36"/>
    <s v="00B"/>
  </r>
  <r>
    <x v="18"/>
    <x v="18"/>
    <x v="0"/>
    <n v="696"/>
    <s v="00B"/>
  </r>
  <r>
    <x v="19"/>
    <x v="19"/>
    <x v="0"/>
    <n v="3150.6759999999995"/>
    <s v="00B"/>
  </r>
  <r>
    <x v="20"/>
    <x v="20"/>
    <x v="2"/>
    <n v="40"/>
    <s v="00B"/>
  </r>
  <r>
    <x v="21"/>
    <x v="0"/>
    <x v="0"/>
    <n v="3943.9999999999995"/>
    <s v="00B"/>
  </r>
  <r>
    <x v="22"/>
    <x v="21"/>
    <x v="1"/>
    <n v="82.643680000000003"/>
    <s v="00B"/>
  </r>
  <r>
    <x v="23"/>
    <x v="22"/>
    <x v="2"/>
    <n v="99000"/>
    <s v="00B"/>
  </r>
  <r>
    <x v="24"/>
    <x v="23"/>
    <x v="2"/>
    <n v="4997.26"/>
    <s v="00B"/>
  </r>
  <r>
    <x v="25"/>
    <x v="24"/>
    <x v="1"/>
    <n v="199.75200000000001"/>
    <s v="00B"/>
  </r>
  <r>
    <x v="26"/>
    <x v="25"/>
    <x v="2"/>
    <n v="5621.32"/>
    <s v="00B"/>
  </r>
  <r>
    <x v="26"/>
    <x v="26"/>
    <x v="2"/>
    <n v="3093.09"/>
    <s v="00B"/>
  </r>
  <r>
    <x v="27"/>
    <x v="27"/>
    <x v="2"/>
    <n v="981.77"/>
    <s v="00B"/>
  </r>
  <r>
    <x v="28"/>
    <x v="28"/>
    <x v="2"/>
    <n v="206.9"/>
    <s v="00B"/>
  </r>
  <r>
    <x v="29"/>
    <x v="29"/>
    <x v="2"/>
    <n v="4265.6099999999997"/>
    <s v="00B"/>
  </r>
  <r>
    <x v="30"/>
    <x v="30"/>
    <x v="2"/>
    <n v="328.29"/>
    <s v="00B"/>
  </r>
  <r>
    <x v="30"/>
    <x v="31"/>
    <x v="2"/>
    <n v="930"/>
    <s v="00B"/>
  </r>
  <r>
    <x v="30"/>
    <x v="32"/>
    <x v="2"/>
    <n v="2310"/>
    <s v="00B"/>
  </r>
  <r>
    <x v="30"/>
    <x v="33"/>
    <x v="2"/>
    <n v="759"/>
    <s v="00B"/>
  </r>
  <r>
    <x v="30"/>
    <x v="34"/>
    <x v="2"/>
    <n v="6449.42"/>
    <s v="00B"/>
  </r>
  <r>
    <x v="30"/>
    <x v="35"/>
    <x v="2"/>
    <n v="1430.04"/>
    <s v="00B"/>
  </r>
  <r>
    <x v="31"/>
    <x v="36"/>
    <x v="2"/>
    <n v="1366"/>
    <s v="00B"/>
  </r>
  <r>
    <x v="32"/>
    <x v="37"/>
    <x v="2"/>
    <n v="4335.6000000000004"/>
    <s v="00B"/>
  </r>
  <r>
    <x v="33"/>
    <x v="38"/>
    <x v="2"/>
    <n v="11485.71"/>
    <s v="00B"/>
  </r>
  <r>
    <x v="34"/>
    <x v="39"/>
    <x v="2"/>
    <n v="339"/>
    <s v="00B"/>
  </r>
  <r>
    <x v="34"/>
    <x v="40"/>
    <x v="2"/>
    <n v="2265"/>
    <s v="00B"/>
  </r>
  <r>
    <x v="34"/>
    <x v="41"/>
    <x v="2"/>
    <n v="1305.3599999999999"/>
    <s v="00B"/>
  </r>
  <r>
    <x v="34"/>
    <x v="42"/>
    <x v="2"/>
    <n v="379.61"/>
    <s v="00B"/>
  </r>
  <r>
    <x v="35"/>
    <x v="43"/>
    <x v="2"/>
    <n v="688"/>
    <s v="00B"/>
  </r>
  <r>
    <x v="36"/>
    <x v="44"/>
    <x v="2"/>
    <n v="1030.4000000000001"/>
    <s v="00B"/>
  </r>
  <r>
    <x v="36"/>
    <x v="40"/>
    <x v="2"/>
    <n v="2265"/>
    <s v="00B"/>
  </r>
  <r>
    <x v="37"/>
    <x v="40"/>
    <x v="2"/>
    <n v="2265"/>
    <s v="00B"/>
  </r>
  <r>
    <x v="38"/>
    <x v="45"/>
    <x v="2"/>
    <n v="229"/>
    <s v="00B"/>
  </r>
  <r>
    <x v="39"/>
    <x v="46"/>
    <x v="2"/>
    <n v="1369"/>
    <s v="00B"/>
  </r>
  <r>
    <x v="39"/>
    <x v="47"/>
    <x v="2"/>
    <n v="339.68"/>
    <s v="00B"/>
  </r>
  <r>
    <x v="40"/>
    <x v="48"/>
    <x v="2"/>
    <n v="323.25"/>
    <s v="00B"/>
  </r>
  <r>
    <x v="40"/>
    <x v="49"/>
    <x v="2"/>
    <n v="2155"/>
    <s v="00B"/>
  </r>
  <r>
    <x v="40"/>
    <x v="50"/>
    <x v="2"/>
    <n v="115823.8"/>
    <s v="00B"/>
  </r>
  <r>
    <x v="41"/>
    <x v="51"/>
    <x v="2"/>
    <n v="800"/>
    <s v="00B"/>
  </r>
  <r>
    <x v="42"/>
    <x v="51"/>
    <x v="2"/>
    <n v="800"/>
    <s v="00B"/>
  </r>
  <r>
    <x v="43"/>
    <x v="52"/>
    <x v="1"/>
    <n v="554.62400000000002"/>
    <s v="00B"/>
  </r>
  <r>
    <x v="44"/>
    <x v="53"/>
    <x v="0"/>
    <n v="5150.3999999999996"/>
    <s v="00B"/>
  </r>
  <r>
    <x v="45"/>
    <x v="54"/>
    <x v="1"/>
    <n v="7561.5119999999997"/>
    <s v="00B"/>
  </r>
  <r>
    <x v="46"/>
    <x v="55"/>
    <x v="1"/>
    <n v="1322.4064000000001"/>
    <s v="00B"/>
  </r>
  <r>
    <x v="47"/>
    <x v="56"/>
    <x v="0"/>
    <n v="573.50399999999991"/>
    <s v="00B"/>
  </r>
  <r>
    <x v="48"/>
    <x v="57"/>
    <x v="0"/>
    <n v="24.754399999999997"/>
    <s v="00B"/>
  </r>
  <r>
    <x v="48"/>
    <x v="58"/>
    <x v="0"/>
    <n v="23954"/>
    <s v="00B"/>
  </r>
  <r>
    <x v="48"/>
    <x v="59"/>
    <x v="0"/>
    <n v="10801.92"/>
    <s v="00B"/>
  </r>
  <r>
    <x v="48"/>
    <x v="60"/>
    <x v="0"/>
    <n v="3090.24"/>
    <s v="00B"/>
  </r>
  <r>
    <x v="48"/>
    <x v="61"/>
    <x v="0"/>
    <n v="1450.174"/>
    <s v="00B"/>
  </r>
  <r>
    <x v="49"/>
    <x v="62"/>
    <x v="0"/>
    <n v="31249.007999999998"/>
    <s v="00B"/>
  </r>
  <r>
    <x v="50"/>
    <x v="63"/>
    <x v="2"/>
    <n v="2997"/>
    <s v="00B"/>
  </r>
  <r>
    <x v="50"/>
    <x v="64"/>
    <x v="2"/>
    <n v="1586"/>
    <s v="00B"/>
  </r>
  <r>
    <x v="51"/>
    <x v="65"/>
    <x v="2"/>
    <n v="8979.2000000000007"/>
    <s v="00B"/>
  </r>
  <r>
    <x v="52"/>
    <x v="66"/>
    <x v="2"/>
    <n v="14042.21"/>
    <s v="00B"/>
  </r>
  <r>
    <x v="52"/>
    <x v="67"/>
    <x v="2"/>
    <n v="1171"/>
    <s v="00B"/>
  </r>
  <r>
    <x v="53"/>
    <x v="68"/>
    <x v="2"/>
    <n v="268"/>
    <s v="00B"/>
  </r>
  <r>
    <x v="54"/>
    <x v="68"/>
    <x v="2"/>
    <n v="268"/>
    <s v="00B"/>
  </r>
  <r>
    <x v="55"/>
    <x v="69"/>
    <x v="2"/>
    <n v="494"/>
    <s v="00B"/>
  </r>
  <r>
    <x v="56"/>
    <x v="70"/>
    <x v="2"/>
    <n v="76619.67"/>
    <s v="00B"/>
  </r>
  <r>
    <x v="57"/>
    <x v="71"/>
    <x v="1"/>
    <n v="5352.0879999999997"/>
    <s v="00B"/>
  </r>
  <r>
    <x v="58"/>
    <x v="72"/>
    <x v="2"/>
    <n v="302.2"/>
    <s v="00B"/>
  </r>
  <r>
    <x v="59"/>
    <x v="73"/>
    <x v="3"/>
    <n v="18457.16"/>
    <s v="00B"/>
  </r>
  <r>
    <x v="59"/>
    <x v="74"/>
    <x v="3"/>
    <n v="47076.880000000005"/>
    <s v="00B"/>
  </r>
  <r>
    <x v="59"/>
    <x v="75"/>
    <x v="3"/>
    <n v="37432.9"/>
    <s v="00B"/>
  </r>
  <r>
    <x v="59"/>
    <x v="76"/>
    <x v="3"/>
    <n v="7474.52"/>
    <s v="00B"/>
  </r>
  <r>
    <x v="60"/>
    <x v="77"/>
    <x v="2"/>
    <n v="20030.39"/>
    <s v="00B"/>
  </r>
  <r>
    <x v="60"/>
    <x v="78"/>
    <x v="2"/>
    <n v="747"/>
    <s v="00B"/>
  </r>
  <r>
    <x v="61"/>
    <x v="79"/>
    <x v="1"/>
    <n v="6345.4988800000001"/>
    <s v="00B"/>
  </r>
  <r>
    <x v="62"/>
    <x v="80"/>
    <x v="0"/>
    <n v="50.668799999999997"/>
    <s v="00B"/>
  </r>
  <r>
    <x v="62"/>
    <x v="81"/>
    <x v="0"/>
    <n v="652.5"/>
    <s v="00B"/>
  </r>
  <r>
    <x v="63"/>
    <x v="82"/>
    <x v="0"/>
    <n v="1661.2359999999999"/>
    <s v="00B"/>
  </r>
  <r>
    <x v="64"/>
    <x v="83"/>
    <x v="2"/>
    <n v="1066.08"/>
    <s v="00B"/>
  </r>
  <r>
    <x v="64"/>
    <x v="84"/>
    <x v="2"/>
    <n v="1317.6"/>
    <s v="00B"/>
  </r>
  <r>
    <x v="65"/>
    <x v="85"/>
    <x v="2"/>
    <n v="1791.72"/>
    <s v="00B"/>
  </r>
  <r>
    <x v="66"/>
    <x v="86"/>
    <x v="0"/>
    <n v="5800"/>
    <s v="00B"/>
  </r>
  <r>
    <x v="66"/>
    <x v="87"/>
    <x v="0"/>
    <n v="435.11599999999999"/>
    <s v="00B"/>
  </r>
  <r>
    <x v="66"/>
    <x v="88"/>
    <x v="0"/>
    <n v="6824.5119999999997"/>
    <s v="00B"/>
  </r>
  <r>
    <x v="66"/>
    <x v="89"/>
    <x v="0"/>
    <n v="281.13760000000002"/>
    <s v="00B"/>
  </r>
  <r>
    <x v="67"/>
    <x v="90"/>
    <x v="2"/>
    <n v="13732"/>
    <s v="00B"/>
  </r>
  <r>
    <x v="67"/>
    <x v="91"/>
    <x v="2"/>
    <n v="43992"/>
    <s v="00B"/>
  </r>
  <r>
    <x v="68"/>
    <x v="92"/>
    <x v="0"/>
    <n v="3535.68"/>
    <s v="00B"/>
  </r>
  <r>
    <x v="68"/>
    <x v="93"/>
    <x v="0"/>
    <n v="19731.599999999999"/>
    <s v="00B"/>
  </r>
  <r>
    <x v="68"/>
    <x v="94"/>
    <x v="0"/>
    <n v="1268.9936"/>
    <s v="00B"/>
  </r>
  <r>
    <x v="68"/>
    <x v="95"/>
    <x v="0"/>
    <n v="307.39999999999998"/>
    <s v="00B"/>
  </r>
  <r>
    <x v="69"/>
    <x v="96"/>
    <x v="2"/>
    <n v="493.54"/>
    <s v="00B"/>
  </r>
  <r>
    <x v="69"/>
    <x v="97"/>
    <x v="2"/>
    <n v="4594.46"/>
    <s v="00B"/>
  </r>
  <r>
    <x v="70"/>
    <x v="98"/>
    <x v="2"/>
    <n v="1389.53"/>
    <s v="00B"/>
  </r>
  <r>
    <x v="71"/>
    <x v="99"/>
    <x v="2"/>
    <n v="166662"/>
    <s v="00B"/>
  </r>
  <r>
    <x v="72"/>
    <x v="100"/>
    <x v="2"/>
    <n v="4389"/>
    <s v="00B"/>
  </r>
  <r>
    <x v="73"/>
    <x v="101"/>
    <x v="2"/>
    <n v="3601.68"/>
    <s v="00B"/>
  </r>
  <r>
    <x v="73"/>
    <x v="102"/>
    <x v="2"/>
    <n v="777.2"/>
    <s v="00B"/>
  </r>
  <r>
    <x v="74"/>
    <x v="103"/>
    <x v="2"/>
    <n v="8696.25"/>
    <s v="00B"/>
  </r>
  <r>
    <x v="74"/>
    <x v="104"/>
    <x v="2"/>
    <n v="60"/>
    <s v="00B"/>
  </r>
  <r>
    <x v="75"/>
    <x v="105"/>
    <x v="2"/>
    <n v="310"/>
    <s v="00B"/>
  </r>
  <r>
    <x v="75"/>
    <x v="106"/>
    <x v="2"/>
    <n v="305"/>
    <s v="00B"/>
  </r>
  <r>
    <x v="75"/>
    <x v="107"/>
    <x v="2"/>
    <n v="590"/>
    <s v="00B"/>
  </r>
  <r>
    <x v="76"/>
    <x v="108"/>
    <x v="2"/>
    <n v="83.09"/>
    <s v="00B"/>
  </r>
  <r>
    <x v="76"/>
    <x v="109"/>
    <x v="2"/>
    <n v="30431.56"/>
    <s v="00B"/>
  </r>
  <r>
    <x v="76"/>
    <x v="110"/>
    <x v="2"/>
    <n v="26940"/>
    <s v="00B"/>
  </r>
  <r>
    <x v="77"/>
    <x v="111"/>
    <x v="2"/>
    <n v="4574.1099999999997"/>
    <s v="00B"/>
  </r>
  <r>
    <x v="78"/>
    <x v="112"/>
    <x v="2"/>
    <n v="2232"/>
    <s v="00B"/>
  </r>
  <r>
    <x v="79"/>
    <x v="113"/>
    <x v="2"/>
    <n v="22916.66"/>
    <s v="00B"/>
  </r>
  <r>
    <x v="79"/>
    <x v="114"/>
    <x v="2"/>
    <n v="994.18"/>
    <s v="00B"/>
  </r>
  <r>
    <x v="80"/>
    <x v="115"/>
    <x v="0"/>
    <n v="909.43999999999994"/>
    <s v="00B"/>
  </r>
  <r>
    <x v="80"/>
    <x v="116"/>
    <x v="0"/>
    <n v="299.24520000000001"/>
    <s v="00B"/>
  </r>
  <r>
    <x v="80"/>
    <x v="117"/>
    <x v="0"/>
    <n v="1103.74"/>
    <s v="00B"/>
  </r>
  <r>
    <x v="80"/>
    <x v="118"/>
    <x v="0"/>
    <n v="458.08399999999995"/>
    <s v="00B"/>
  </r>
  <r>
    <x v="80"/>
    <x v="119"/>
    <x v="0"/>
    <n v="893.19999999999993"/>
    <s v="00B"/>
  </r>
  <r>
    <x v="81"/>
    <x v="120"/>
    <x v="2"/>
    <n v="2390"/>
    <s v="00B"/>
  </r>
  <r>
    <x v="82"/>
    <x v="121"/>
    <x v="0"/>
    <n v="2596.9151999999995"/>
    <s v="00B"/>
  </r>
  <r>
    <x v="82"/>
    <x v="122"/>
    <x v="0"/>
    <n v="1160"/>
    <s v="00B"/>
  </r>
  <r>
    <x v="82"/>
    <x v="123"/>
    <x v="0"/>
    <n v="1897.412"/>
    <s v="00B"/>
  </r>
  <r>
    <x v="83"/>
    <x v="124"/>
    <x v="2"/>
    <n v="3993.6"/>
    <s v="00B"/>
  </r>
  <r>
    <x v="84"/>
    <x v="125"/>
    <x v="0"/>
    <n v="1526.0959999999998"/>
    <s v="00B"/>
  </r>
  <r>
    <x v="84"/>
    <x v="126"/>
    <x v="0"/>
    <n v="3231.7599999999998"/>
    <s v="00B"/>
  </r>
  <r>
    <x v="85"/>
    <x v="127"/>
    <x v="2"/>
    <n v="7786"/>
    <s v="00B"/>
  </r>
  <r>
    <x v="86"/>
    <x v="128"/>
    <x v="2"/>
    <n v="1353"/>
    <s v="00B"/>
  </r>
  <r>
    <x v="86"/>
    <x v="129"/>
    <x v="2"/>
    <n v="7923.4"/>
    <s v="00B"/>
  </r>
  <r>
    <x v="86"/>
    <x v="130"/>
    <x v="2"/>
    <n v="738.63"/>
    <s v="00B"/>
  </r>
  <r>
    <x v="86"/>
    <x v="131"/>
    <x v="2"/>
    <n v="2647.06"/>
    <s v="00B"/>
  </r>
  <r>
    <x v="86"/>
    <x v="132"/>
    <x v="2"/>
    <n v="3570"/>
    <s v="00B"/>
  </r>
  <r>
    <x v="87"/>
    <x v="133"/>
    <x v="2"/>
    <n v="2898.5"/>
    <s v="00B"/>
  </r>
  <r>
    <x v="88"/>
    <x v="134"/>
    <x v="0"/>
    <n v="20252.439999999999"/>
    <s v="00B"/>
  </r>
  <r>
    <x v="88"/>
    <x v="135"/>
    <x v="0"/>
    <n v="13541.422399999998"/>
    <s v="00B"/>
  </r>
  <r>
    <x v="89"/>
    <x v="136"/>
    <x v="2"/>
    <n v="355.5"/>
    <s v="00B"/>
  </r>
  <r>
    <x v="90"/>
    <x v="137"/>
    <x v="2"/>
    <n v="1137"/>
    <s v="00B"/>
  </r>
  <r>
    <x v="90"/>
    <x v="138"/>
    <x v="2"/>
    <n v="4450"/>
    <s v="00B"/>
  </r>
  <r>
    <x v="90"/>
    <x v="137"/>
    <x v="2"/>
    <n v="1137"/>
    <s v="00B"/>
  </r>
  <r>
    <x v="91"/>
    <x v="139"/>
    <x v="2"/>
    <n v="5106.96"/>
    <s v="00B"/>
  </r>
  <r>
    <x v="92"/>
    <x v="140"/>
    <x v="0"/>
    <n v="845.43119999999999"/>
    <s v="00B"/>
  </r>
  <r>
    <x v="92"/>
    <x v="141"/>
    <x v="0"/>
    <n v="1583.3999999999999"/>
    <s v="00B"/>
  </r>
  <r>
    <x v="92"/>
    <x v="142"/>
    <x v="0"/>
    <n v="1762.6779999999999"/>
    <s v="00B"/>
  </r>
  <r>
    <x v="92"/>
    <x v="143"/>
    <x v="0"/>
    <n v="2470.7999999999997"/>
    <s v="00B"/>
  </r>
  <r>
    <x v="92"/>
    <x v="144"/>
    <x v="0"/>
    <n v="18525.199999999997"/>
    <s v="00B"/>
  </r>
  <r>
    <x v="92"/>
    <x v="145"/>
    <x v="0"/>
    <n v="6137.4439999999995"/>
    <s v="00B"/>
  </r>
  <r>
    <x v="92"/>
    <x v="146"/>
    <x v="0"/>
    <n v="2540.3999999999996"/>
    <s v="00B"/>
  </r>
  <r>
    <x v="92"/>
    <x v="147"/>
    <x v="0"/>
    <n v="7492.44"/>
    <s v="00B"/>
  </r>
  <r>
    <x v="93"/>
    <x v="148"/>
    <x v="0"/>
    <n v="3027.194"/>
    <s v="00B"/>
  </r>
  <r>
    <x v="93"/>
    <x v="149"/>
    <x v="0"/>
    <n v="969.75999999999988"/>
    <s v="00B"/>
  </r>
  <r>
    <x v="94"/>
    <x v="150"/>
    <x v="2"/>
    <n v="2277.39"/>
    <s v="00B"/>
  </r>
  <r>
    <x v="95"/>
    <x v="151"/>
    <x v="2"/>
    <n v="2611.4299999999998"/>
    <s v="00B"/>
  </r>
  <r>
    <x v="96"/>
    <x v="152"/>
    <x v="2"/>
    <n v="2500"/>
    <s v="00B"/>
  </r>
  <r>
    <x v="96"/>
    <x v="153"/>
    <x v="2"/>
    <n v="980"/>
    <s v="00B"/>
  </r>
  <r>
    <x v="96"/>
    <x v="154"/>
    <x v="2"/>
    <n v="65"/>
    <s v="00B"/>
  </r>
  <r>
    <x v="96"/>
    <x v="155"/>
    <x v="2"/>
    <n v="46.54"/>
    <s v="00B"/>
  </r>
  <r>
    <x v="96"/>
    <x v="156"/>
    <x v="2"/>
    <n v="2062"/>
    <s v="00B"/>
  </r>
  <r>
    <x v="96"/>
    <x v="157"/>
    <x v="2"/>
    <n v="829.5"/>
    <s v="00B"/>
  </r>
  <r>
    <x v="96"/>
    <x v="157"/>
    <x v="2"/>
    <n v="829.5"/>
    <s v="00B"/>
  </r>
  <r>
    <x v="97"/>
    <x v="158"/>
    <x v="0"/>
    <n v="2662.2"/>
    <s v="00B"/>
  </r>
  <r>
    <x v="97"/>
    <x v="159"/>
    <x v="0"/>
    <n v="4467.2991999999995"/>
    <s v="00B"/>
  </r>
  <r>
    <x v="97"/>
    <x v="160"/>
    <x v="0"/>
    <n v="4447.4399999999996"/>
    <s v="00B"/>
  </r>
  <r>
    <x v="97"/>
    <x v="161"/>
    <x v="0"/>
    <n v="13374.8"/>
    <s v="00B"/>
  </r>
  <r>
    <x v="97"/>
    <x v="162"/>
    <x v="0"/>
    <n v="365.4"/>
    <s v="00B"/>
  </r>
  <r>
    <x v="97"/>
    <x v="163"/>
    <x v="0"/>
    <n v="2992.7999999999997"/>
    <s v="00B"/>
  </r>
  <r>
    <x v="97"/>
    <x v="164"/>
    <x v="0"/>
    <n v="4254.4159999999993"/>
    <s v="00B"/>
  </r>
  <r>
    <x v="97"/>
    <x v="165"/>
    <x v="0"/>
    <n v="2180.1619999999998"/>
    <s v="00B"/>
  </r>
  <r>
    <x v="97"/>
    <x v="166"/>
    <x v="0"/>
    <n v="1978.3799999999999"/>
    <s v="00B"/>
  </r>
  <r>
    <x v="98"/>
    <x v="167"/>
    <x v="2"/>
    <n v="1418.46"/>
    <s v="00B"/>
  </r>
  <r>
    <x v="98"/>
    <x v="168"/>
    <x v="2"/>
    <n v="1450"/>
    <s v="00B"/>
  </r>
  <r>
    <x v="98"/>
    <x v="169"/>
    <x v="2"/>
    <n v="3123.98"/>
    <s v="00B"/>
  </r>
  <r>
    <x v="99"/>
    <x v="170"/>
    <x v="2"/>
    <n v="9077.4"/>
    <s v="00B"/>
  </r>
  <r>
    <x v="99"/>
    <x v="171"/>
    <x v="2"/>
    <n v="2523.46"/>
    <s v="00B"/>
  </r>
  <r>
    <x v="99"/>
    <x v="172"/>
    <x v="2"/>
    <n v="5655.35"/>
    <s v="00B"/>
  </r>
  <r>
    <x v="100"/>
    <x v="173"/>
    <x v="2"/>
    <n v="2775.18"/>
    <s v="00B"/>
  </r>
  <r>
    <x v="100"/>
    <x v="174"/>
    <x v="2"/>
    <n v="615.66"/>
    <s v="00B"/>
  </r>
  <r>
    <x v="100"/>
    <x v="175"/>
    <x v="2"/>
    <n v="4041.44"/>
    <s v="00B"/>
  </r>
  <r>
    <x v="100"/>
    <x v="176"/>
    <x v="2"/>
    <n v="2907.16"/>
    <s v="00B"/>
  </r>
  <r>
    <x v="100"/>
    <x v="177"/>
    <x v="2"/>
    <n v="1612.8"/>
    <s v="00B"/>
  </r>
  <r>
    <x v="101"/>
    <x v="178"/>
    <x v="2"/>
    <n v="4998.51"/>
    <s v="00B"/>
  </r>
  <r>
    <x v="102"/>
    <x v="179"/>
    <x v="2"/>
    <n v="2598.7600000000002"/>
    <s v="00B"/>
  </r>
  <r>
    <x v="103"/>
    <x v="180"/>
    <x v="2"/>
    <n v="2458.9"/>
    <s v="00B"/>
  </r>
  <r>
    <x v="104"/>
    <x v="181"/>
    <x v="2"/>
    <n v="19706"/>
    <s v="00B"/>
  </r>
  <r>
    <x v="105"/>
    <x v="182"/>
    <x v="2"/>
    <n v="1196"/>
    <s v="00B"/>
  </r>
  <r>
    <x v="106"/>
    <x v="183"/>
    <x v="2"/>
    <n v="1544.2"/>
    <s v="00B"/>
  </r>
  <r>
    <x v="106"/>
    <x v="184"/>
    <x v="2"/>
    <n v="1838.6"/>
    <s v="00B"/>
  </r>
  <r>
    <x v="107"/>
    <x v="185"/>
    <x v="2"/>
    <n v="1019.21"/>
    <s v="00B"/>
  </r>
  <r>
    <x v="107"/>
    <x v="186"/>
    <x v="2"/>
    <n v="9000"/>
    <s v="00B"/>
  </r>
  <r>
    <x v="108"/>
    <x v="187"/>
    <x v="2"/>
    <n v="5250"/>
    <s v="00B"/>
  </r>
  <r>
    <x v="109"/>
    <x v="188"/>
    <x v="2"/>
    <n v="758.58"/>
    <s v="00B"/>
  </r>
  <r>
    <x v="109"/>
    <x v="189"/>
    <x v="2"/>
    <n v="6966.92"/>
    <s v="00B"/>
  </r>
  <r>
    <x v="110"/>
    <x v="190"/>
    <x v="0"/>
    <n v="12852.8"/>
    <s v="00B"/>
  </r>
  <r>
    <x v="111"/>
    <x v="191"/>
    <x v="2"/>
    <n v="513.05999999999995"/>
    <s v="00B"/>
  </r>
  <r>
    <x v="111"/>
    <x v="192"/>
    <x v="2"/>
    <n v="2038"/>
    <s v="00B"/>
  </r>
  <r>
    <x v="111"/>
    <x v="193"/>
    <x v="2"/>
    <n v="6851"/>
    <s v="00B"/>
  </r>
  <r>
    <x v="112"/>
    <x v="194"/>
    <x v="2"/>
    <n v="7732.08"/>
    <s v="00B"/>
  </r>
  <r>
    <x v="112"/>
    <x v="195"/>
    <x v="2"/>
    <n v="18798"/>
    <s v="00B"/>
  </r>
  <r>
    <x v="112"/>
    <x v="196"/>
    <x v="2"/>
    <n v="1289"/>
    <s v="00B"/>
  </r>
  <r>
    <x v="112"/>
    <x v="197"/>
    <x v="2"/>
    <n v="306.60000000000002"/>
    <s v="00B"/>
  </r>
  <r>
    <x v="112"/>
    <x v="198"/>
    <x v="2"/>
    <n v="24618.41"/>
    <s v="00B"/>
  </r>
  <r>
    <x v="113"/>
    <x v="199"/>
    <x v="2"/>
    <n v="4395"/>
    <s v="00B"/>
  </r>
  <r>
    <x v="114"/>
    <x v="200"/>
    <x v="2"/>
    <n v="3998.77"/>
    <s v="00B"/>
  </r>
  <r>
    <x v="115"/>
    <x v="200"/>
    <x v="2"/>
    <n v="3998.77"/>
    <s v="00B"/>
  </r>
  <r>
    <x v="116"/>
    <x v="201"/>
    <x v="2"/>
    <n v="1612.44"/>
    <s v="00B"/>
  </r>
  <r>
    <x v="116"/>
    <x v="202"/>
    <x v="2"/>
    <n v="2433.1999999999998"/>
    <s v="00B"/>
  </r>
  <r>
    <x v="117"/>
    <x v="203"/>
    <x v="0"/>
    <n v="7673.4"/>
    <s v="00B"/>
  </r>
  <r>
    <x v="118"/>
    <x v="204"/>
    <x v="1"/>
    <n v="48618.826479999996"/>
    <s v="00B"/>
  </r>
  <r>
    <x v="119"/>
    <x v="205"/>
    <x v="2"/>
    <n v="8120"/>
    <s v="00B"/>
  </r>
  <r>
    <x v="119"/>
    <x v="206"/>
    <x v="2"/>
    <n v="90"/>
    <s v="00B"/>
  </r>
  <r>
    <x v="120"/>
    <x v="207"/>
    <x v="2"/>
    <n v="4370.66"/>
    <s v="00B"/>
  </r>
  <r>
    <x v="121"/>
    <x v="207"/>
    <x v="2"/>
    <n v="4370.66"/>
    <s v="00B"/>
  </r>
  <r>
    <x v="122"/>
    <x v="208"/>
    <x v="2"/>
    <n v="3214.8"/>
    <s v="00B"/>
  </r>
  <r>
    <x v="122"/>
    <x v="209"/>
    <x v="2"/>
    <n v="1983.4"/>
    <s v="00B"/>
  </r>
  <r>
    <x v="122"/>
    <x v="210"/>
    <x v="2"/>
    <n v="13000"/>
    <s v="00B"/>
  </r>
  <r>
    <x v="122"/>
    <x v="211"/>
    <x v="2"/>
    <n v="1705"/>
    <s v="00B"/>
  </r>
  <r>
    <x v="123"/>
    <x v="212"/>
    <x v="2"/>
    <n v="2074.1999999999998"/>
    <s v="00B"/>
  </r>
  <r>
    <x v="124"/>
    <x v="213"/>
    <x v="0"/>
    <n v="5482.6239999999989"/>
    <s v="00B"/>
  </r>
  <r>
    <x v="124"/>
    <x v="214"/>
    <x v="0"/>
    <n v="6939.12"/>
    <s v="00B"/>
  </r>
  <r>
    <x v="124"/>
    <x v="215"/>
    <x v="0"/>
    <n v="6841.6799999999994"/>
    <s v="00B"/>
  </r>
  <r>
    <x v="124"/>
    <x v="216"/>
    <x v="0"/>
    <n v="5463.5999999999995"/>
    <s v="00B"/>
  </r>
  <r>
    <x v="125"/>
    <x v="217"/>
    <x v="2"/>
    <n v="5832.86"/>
    <s v="00B"/>
  </r>
  <r>
    <x v="125"/>
    <x v="218"/>
    <x v="2"/>
    <n v="52495.74"/>
    <s v="00B"/>
  </r>
  <r>
    <x v="126"/>
    <x v="219"/>
    <x v="2"/>
    <n v="3574"/>
    <s v="00B"/>
  </r>
  <r>
    <x v="127"/>
    <x v="220"/>
    <x v="2"/>
    <n v="7247.7"/>
    <s v="00B"/>
  </r>
  <r>
    <x v="128"/>
    <x v="221"/>
    <x v="0"/>
    <n v="4793.12"/>
    <s v="00B"/>
  </r>
  <r>
    <x v="128"/>
    <x v="222"/>
    <x v="0"/>
    <n v="1881.52"/>
    <s v="00B"/>
  </r>
  <r>
    <x v="128"/>
    <x v="223"/>
    <x v="0"/>
    <n v="429.89600000000002"/>
    <s v="00B"/>
  </r>
  <r>
    <x v="128"/>
    <x v="224"/>
    <x v="0"/>
    <n v="527.47519999999997"/>
    <s v="00B"/>
  </r>
  <r>
    <x v="128"/>
    <x v="225"/>
    <x v="0"/>
    <n v="4182.8207999999995"/>
    <s v="00B"/>
  </r>
  <r>
    <x v="129"/>
    <x v="226"/>
    <x v="0"/>
    <n v="962.8"/>
    <s v="00B"/>
  </r>
  <r>
    <x v="129"/>
    <x v="227"/>
    <x v="0"/>
    <n v="9678.6920000000009"/>
    <s v="00B"/>
  </r>
  <r>
    <x v="130"/>
    <x v="228"/>
    <x v="2"/>
    <n v="44800"/>
    <s v="00B"/>
  </r>
  <r>
    <x v="130"/>
    <x v="229"/>
    <x v="2"/>
    <n v="4695.7700000000004"/>
    <s v="00B"/>
  </r>
  <r>
    <x v="130"/>
    <x v="230"/>
    <x v="2"/>
    <n v="18694.400000000001"/>
    <s v="00B"/>
  </r>
  <r>
    <x v="130"/>
    <x v="231"/>
    <x v="2"/>
    <n v="4489.26"/>
    <s v="00B"/>
  </r>
  <r>
    <x v="130"/>
    <x v="232"/>
    <x v="2"/>
    <n v="10226.629999999999"/>
    <s v="00B"/>
  </r>
  <r>
    <x v="130"/>
    <x v="233"/>
    <x v="2"/>
    <n v="344.32"/>
    <s v="00B"/>
  </r>
  <r>
    <x v="130"/>
    <x v="234"/>
    <x v="2"/>
    <n v="919.17"/>
    <s v="00B"/>
  </r>
  <r>
    <x v="131"/>
    <x v="122"/>
    <x v="2"/>
    <n v="1000"/>
    <s v="00B"/>
  </r>
  <r>
    <x v="132"/>
    <x v="235"/>
    <x v="2"/>
    <n v="1822.35"/>
    <s v="00B"/>
  </r>
  <r>
    <x v="133"/>
    <x v="236"/>
    <x v="2"/>
    <n v="6942"/>
    <s v="00B"/>
  </r>
  <r>
    <x v="134"/>
    <x v="237"/>
    <x v="2"/>
    <n v="1390.22"/>
    <s v="00B"/>
  </r>
  <r>
    <x v="134"/>
    <x v="238"/>
    <x v="2"/>
    <n v="3369.8"/>
    <s v="00B"/>
  </r>
  <r>
    <x v="134"/>
    <x v="239"/>
    <x v="2"/>
    <n v="1758.57"/>
    <s v="00B"/>
  </r>
  <r>
    <x v="134"/>
    <x v="240"/>
    <x v="2"/>
    <n v="4396.4399999999996"/>
    <s v="00B"/>
  </r>
  <r>
    <x v="134"/>
    <x v="241"/>
    <x v="2"/>
    <n v="1855.16"/>
    <s v="00B"/>
  </r>
  <r>
    <x v="134"/>
    <x v="242"/>
    <x v="2"/>
    <n v="2792"/>
    <s v="00B"/>
  </r>
  <r>
    <x v="134"/>
    <x v="243"/>
    <x v="2"/>
    <n v="4884"/>
    <s v="00B"/>
  </r>
  <r>
    <x v="135"/>
    <x v="244"/>
    <x v="1"/>
    <n v="2887.3011999999999"/>
    <s v="00B"/>
  </r>
  <r>
    <x v="136"/>
    <x v="245"/>
    <x v="2"/>
    <n v="192.8"/>
    <s v="00B"/>
  </r>
  <r>
    <x v="136"/>
    <x v="246"/>
    <x v="2"/>
    <n v="1928"/>
    <s v="00B"/>
  </r>
  <r>
    <x v="137"/>
    <x v="247"/>
    <x v="2"/>
    <n v="279"/>
    <s v="00B"/>
  </r>
  <r>
    <x v="137"/>
    <x v="248"/>
    <x v="2"/>
    <n v="931.8"/>
    <s v="00B"/>
  </r>
  <r>
    <x v="137"/>
    <x v="249"/>
    <x v="2"/>
    <n v="12108"/>
    <s v="00B"/>
  </r>
  <r>
    <x v="138"/>
    <x v="250"/>
    <x v="0"/>
    <n v="4756"/>
    <s v="00B"/>
  </r>
  <r>
    <x v="139"/>
    <x v="251"/>
    <x v="2"/>
    <n v="102200"/>
    <s v="00B"/>
  </r>
  <r>
    <x v="139"/>
    <x v="252"/>
    <x v="2"/>
    <n v="5811.99"/>
    <s v="00B"/>
  </r>
  <r>
    <x v="139"/>
    <x v="253"/>
    <x v="2"/>
    <n v="2953.41"/>
    <s v="00B"/>
  </r>
  <r>
    <x v="139"/>
    <x v="254"/>
    <x v="2"/>
    <n v="12104.31"/>
    <s v="00B"/>
  </r>
  <r>
    <x v="139"/>
    <x v="255"/>
    <x v="2"/>
    <n v="2932.15"/>
    <s v="00B"/>
  </r>
  <r>
    <x v="139"/>
    <x v="252"/>
    <x v="2"/>
    <n v="5811.99"/>
    <s v="00B"/>
  </r>
  <r>
    <x v="140"/>
    <x v="256"/>
    <x v="2"/>
    <n v="2158.65"/>
    <s v="00B"/>
  </r>
  <r>
    <x v="140"/>
    <x v="257"/>
    <x v="0"/>
    <n v="1642.56"/>
    <s v="00B"/>
  </r>
  <r>
    <x v="140"/>
    <x v="258"/>
    <x v="2"/>
    <n v="638"/>
    <s v="00B"/>
  </r>
  <r>
    <x v="141"/>
    <x v="259"/>
    <x v="2"/>
    <n v="21201"/>
    <s v="00B"/>
  </r>
  <r>
    <x v="141"/>
    <x v="260"/>
    <x v="2"/>
    <n v="22157.15"/>
    <s v="00B"/>
  </r>
  <r>
    <x v="142"/>
    <x v="261"/>
    <x v="0"/>
    <n v="3113.2543999999998"/>
    <s v="00B"/>
  </r>
  <r>
    <x v="142"/>
    <x v="262"/>
    <x v="0"/>
    <n v="1154.78"/>
    <s v="00B"/>
  </r>
  <r>
    <x v="142"/>
    <x v="263"/>
    <x v="0"/>
    <n v="16.239999999999998"/>
    <s v="00B"/>
  </r>
  <r>
    <x v="143"/>
    <x v="264"/>
    <x v="0"/>
    <n v="2076.3999999999996"/>
    <s v="00B"/>
  </r>
  <r>
    <x v="143"/>
    <x v="265"/>
    <x v="0"/>
    <n v="900.02079999999989"/>
    <s v="00B"/>
  </r>
  <r>
    <x v="144"/>
    <x v="266"/>
    <x v="0"/>
    <n v="7973.8399999999992"/>
    <s v="00B"/>
  </r>
  <r>
    <x v="144"/>
    <x v="267"/>
    <x v="0"/>
    <n v="18051.919999999998"/>
    <s v="00B"/>
  </r>
  <r>
    <x v="144"/>
    <x v="268"/>
    <x v="0"/>
    <n v="4295.2016000000003"/>
    <s v="00B"/>
  </r>
  <r>
    <x v="144"/>
    <x v="269"/>
    <x v="0"/>
    <n v="6727.9999999999991"/>
    <s v="00B"/>
  </r>
  <r>
    <x v="145"/>
    <x v="270"/>
    <x v="2"/>
    <n v="8683"/>
    <s v="00B"/>
  </r>
  <r>
    <x v="146"/>
    <x v="271"/>
    <x v="2"/>
    <n v="2300"/>
    <s v="00B"/>
  </r>
  <r>
    <x v="147"/>
    <x v="272"/>
    <x v="2"/>
    <n v="9332.16"/>
    <s v="00B"/>
  </r>
  <r>
    <x v="148"/>
    <x v="273"/>
    <x v="0"/>
    <n v="1955.7599999999998"/>
    <s v="00B"/>
  </r>
  <r>
    <x v="148"/>
    <x v="274"/>
    <x v="0"/>
    <n v="2550.1439999999998"/>
    <s v="00B"/>
  </r>
  <r>
    <x v="148"/>
    <x v="275"/>
    <x v="0"/>
    <n v="2099.02"/>
    <s v="00B"/>
  </r>
  <r>
    <x v="148"/>
    <x v="276"/>
    <x v="0"/>
    <n v="2856.5231999999996"/>
    <s v="00B"/>
  </r>
  <r>
    <x v="148"/>
    <x v="277"/>
    <x v="0"/>
    <n v="1195.9599999999998"/>
    <s v="00B"/>
  </r>
  <r>
    <x v="149"/>
    <x v="278"/>
    <x v="2"/>
    <n v="1124"/>
    <s v="00B"/>
  </r>
  <r>
    <x v="149"/>
    <x v="279"/>
    <x v="2"/>
    <n v="1848.82"/>
    <s v="00B"/>
  </r>
  <r>
    <x v="149"/>
    <x v="280"/>
    <x v="2"/>
    <n v="443.94"/>
    <s v="00B"/>
  </r>
  <r>
    <x v="149"/>
    <x v="281"/>
    <x v="2"/>
    <n v="1842.82"/>
    <s v="00B"/>
  </r>
  <r>
    <x v="150"/>
    <x v="282"/>
    <x v="2"/>
    <n v="733.5"/>
    <s v="00B"/>
  </r>
  <r>
    <x v="151"/>
    <x v="283"/>
    <x v="0"/>
    <n v="2934.7999999999997"/>
    <s v="00B"/>
  </r>
  <r>
    <x v="152"/>
    <x v="284"/>
    <x v="2"/>
    <n v="1215.9000000000001"/>
    <s v="00B"/>
  </r>
  <r>
    <x v="152"/>
    <x v="285"/>
    <x v="2"/>
    <n v="513.4"/>
    <s v="00B"/>
  </r>
  <r>
    <x v="152"/>
    <x v="286"/>
    <x v="2"/>
    <n v="1050.5"/>
    <s v="00B"/>
  </r>
  <r>
    <x v="153"/>
    <x v="287"/>
    <x v="2"/>
    <n v="27100.12"/>
    <s v="00B"/>
  </r>
  <r>
    <x v="153"/>
    <x v="288"/>
    <x v="2"/>
    <n v="1773.8"/>
    <s v="00B"/>
  </r>
  <r>
    <x v="153"/>
    <x v="289"/>
    <x v="2"/>
    <n v="10300.5"/>
    <s v="00B"/>
  </r>
  <r>
    <x v="153"/>
    <x v="290"/>
    <x v="2"/>
    <n v="3304"/>
    <s v="00B"/>
  </r>
  <r>
    <x v="154"/>
    <x v="291"/>
    <x v="1"/>
    <n v="26058.323760000003"/>
    <s v="00B"/>
  </r>
  <r>
    <x v="155"/>
    <x v="292"/>
    <x v="4"/>
    <n v="1191.875"/>
    <s v="00B"/>
  </r>
  <r>
    <x v="156"/>
    <x v="293"/>
    <x v="2"/>
    <n v="390"/>
    <s v="00B"/>
  </r>
  <r>
    <x v="157"/>
    <x v="294"/>
    <x v="2"/>
    <n v="926.6"/>
    <s v="00B"/>
  </r>
  <r>
    <x v="158"/>
    <x v="295"/>
    <x v="2"/>
    <n v="417"/>
    <s v="00B"/>
  </r>
  <r>
    <x v="159"/>
    <x v="296"/>
    <x v="2"/>
    <n v="698"/>
    <s v="00B"/>
  </r>
  <r>
    <x v="160"/>
    <x v="297"/>
    <x v="2"/>
    <n v="396.07"/>
    <s v="00B"/>
  </r>
  <r>
    <x v="161"/>
    <x v="298"/>
    <x v="2"/>
    <n v="1019.5"/>
    <s v="00B"/>
  </r>
  <r>
    <x v="162"/>
    <x v="299"/>
    <x v="0"/>
    <n v="4191.66"/>
    <s v="00B"/>
  </r>
  <r>
    <x v="163"/>
    <x v="300"/>
    <x v="2"/>
    <n v="555.49"/>
    <s v="00B"/>
  </r>
  <r>
    <x v="164"/>
    <x v="301"/>
    <x v="0"/>
    <n v="10723.967999999999"/>
    <s v="00B"/>
  </r>
  <r>
    <x v="164"/>
    <x v="302"/>
    <x v="0"/>
    <n v="556.79999999999995"/>
    <s v="00B"/>
  </r>
  <r>
    <x v="165"/>
    <x v="303"/>
    <x v="1"/>
    <n v="571.03927999999996"/>
    <s v="00B"/>
  </r>
  <r>
    <x v="165"/>
    <x v="304"/>
    <x v="1"/>
    <n v="9907.3536800000002"/>
    <s v="00B"/>
  </r>
  <r>
    <x v="166"/>
    <x v="305"/>
    <x v="2"/>
    <n v="3268"/>
    <s v="00B"/>
  </r>
  <r>
    <x v="166"/>
    <x v="306"/>
    <x v="2"/>
    <n v="1551"/>
    <s v="00B"/>
  </r>
  <r>
    <x v="166"/>
    <x v="307"/>
    <x v="2"/>
    <n v="6485"/>
    <s v="00B"/>
  </r>
  <r>
    <x v="166"/>
    <x v="308"/>
    <x v="2"/>
    <n v="2398"/>
    <s v="00B"/>
  </r>
  <r>
    <x v="167"/>
    <x v="309"/>
    <x v="2"/>
    <n v="17370"/>
    <s v="00B"/>
  </r>
  <r>
    <x v="167"/>
    <x v="310"/>
    <x v="2"/>
    <n v="14657.62"/>
    <s v="00B"/>
  </r>
  <r>
    <x v="167"/>
    <x v="311"/>
    <x v="2"/>
    <n v="990"/>
    <s v="00B"/>
  </r>
  <r>
    <x v="167"/>
    <x v="312"/>
    <x v="2"/>
    <n v="7965.87"/>
    <s v="00B"/>
  </r>
  <r>
    <x v="167"/>
    <x v="313"/>
    <x v="2"/>
    <n v="-4784.32"/>
    <s v="00B"/>
  </r>
  <r>
    <x v="168"/>
    <x v="314"/>
    <x v="2"/>
    <n v="4403.08"/>
    <s v="00B"/>
  </r>
  <r>
    <x v="169"/>
    <x v="315"/>
    <x v="2"/>
    <n v="3206.5"/>
    <s v="00B"/>
  </r>
  <r>
    <x v="170"/>
    <x v="316"/>
    <x v="2"/>
    <n v="3108"/>
    <s v="00B"/>
  </r>
  <r>
    <x v="171"/>
    <x v="317"/>
    <x v="2"/>
    <n v="19328.54"/>
    <s v="00B"/>
  </r>
  <r>
    <x v="172"/>
    <x v="318"/>
    <x v="2"/>
    <n v="4276.47"/>
    <s v="00B"/>
  </r>
  <r>
    <x v="173"/>
    <x v="319"/>
    <x v="2"/>
    <n v="2297.91"/>
    <s v="00B"/>
  </r>
  <r>
    <x v="174"/>
    <x v="320"/>
    <x v="0"/>
    <n v="870.09280000000001"/>
    <s v="00B"/>
  </r>
  <r>
    <x v="174"/>
    <x v="321"/>
    <x v="0"/>
    <n v="840.95359999999994"/>
    <s v="00B"/>
  </r>
  <r>
    <x v="174"/>
    <x v="322"/>
    <x v="0"/>
    <n v="2332.1799999999998"/>
    <s v="00B"/>
  </r>
  <r>
    <x v="174"/>
    <x v="323"/>
    <x v="0"/>
    <n v="372.00039999999996"/>
    <s v="00B"/>
  </r>
  <r>
    <x v="175"/>
    <x v="324"/>
    <x v="2"/>
    <n v="12319.72"/>
    <s v="00B"/>
  </r>
  <r>
    <x v="175"/>
    <x v="325"/>
    <x v="2"/>
    <n v="5100.66"/>
    <s v="00B"/>
  </r>
  <r>
    <x v="175"/>
    <x v="326"/>
    <x v="2"/>
    <n v="3541.6"/>
    <s v="00B"/>
  </r>
  <r>
    <x v="175"/>
    <x v="327"/>
    <x v="2"/>
    <n v="2819.3"/>
    <s v="00B"/>
  </r>
  <r>
    <x v="176"/>
    <x v="328"/>
    <x v="0"/>
    <n v="8700"/>
    <s v="00B"/>
  </r>
  <r>
    <x v="177"/>
    <x v="329"/>
    <x v="2"/>
    <n v="67521.03"/>
    <s v="00B"/>
  </r>
  <r>
    <x v="177"/>
    <x v="330"/>
    <x v="2"/>
    <n v="64298.49"/>
    <s v="00B"/>
  </r>
  <r>
    <x v="177"/>
    <x v="331"/>
    <x v="2"/>
    <n v="15876.38"/>
    <s v="00B"/>
  </r>
  <r>
    <x v="177"/>
    <x v="332"/>
    <x v="2"/>
    <n v="27284.7"/>
    <s v="00B"/>
  </r>
  <r>
    <x v="177"/>
    <x v="333"/>
    <x v="2"/>
    <n v="6000"/>
    <s v="00B"/>
  </r>
  <r>
    <x v="178"/>
    <x v="334"/>
    <x v="2"/>
    <n v="2266"/>
    <s v="00B"/>
  </r>
  <r>
    <x v="178"/>
    <x v="335"/>
    <x v="2"/>
    <n v="1631.34"/>
    <s v="00B"/>
  </r>
  <r>
    <x v="179"/>
    <x v="336"/>
    <x v="2"/>
    <n v="8244"/>
    <s v="00B"/>
  </r>
  <r>
    <x v="180"/>
    <x v="337"/>
    <x v="0"/>
    <n v="9494.5999999999985"/>
    <s v="00B"/>
  </r>
  <r>
    <x v="181"/>
    <x v="338"/>
    <x v="2"/>
    <n v="4198.3999999999996"/>
    <s v="00B"/>
  </r>
  <r>
    <x v="181"/>
    <x v="339"/>
    <x v="2"/>
    <n v="7534.79"/>
    <s v="00B"/>
  </r>
  <r>
    <x v="181"/>
    <x v="340"/>
    <x v="2"/>
    <n v="9056.2000000000007"/>
    <s v="00B"/>
  </r>
  <r>
    <x v="181"/>
    <x v="341"/>
    <x v="2"/>
    <n v="5517"/>
    <s v="00B"/>
  </r>
  <r>
    <x v="181"/>
    <x v="342"/>
    <x v="2"/>
    <n v="6725.4"/>
    <s v="00B"/>
  </r>
  <r>
    <x v="181"/>
    <x v="343"/>
    <x v="2"/>
    <n v="269.60000000000002"/>
    <s v="00B"/>
  </r>
  <r>
    <x v="181"/>
    <x v="344"/>
    <x v="2"/>
    <n v="14860.26"/>
    <s v="00B"/>
  </r>
  <r>
    <x v="182"/>
    <x v="345"/>
    <x v="2"/>
    <n v="15516.39"/>
    <s v="00B"/>
  </r>
  <r>
    <x v="182"/>
    <x v="346"/>
    <x v="2"/>
    <n v="1176"/>
    <s v="00B"/>
  </r>
  <r>
    <x v="183"/>
    <x v="347"/>
    <x v="2"/>
    <n v="575"/>
    <s v="00B"/>
  </r>
  <r>
    <x v="184"/>
    <x v="348"/>
    <x v="2"/>
    <n v="8076"/>
    <s v="00B"/>
  </r>
  <r>
    <x v="185"/>
    <x v="349"/>
    <x v="2"/>
    <n v="1495.76"/>
    <s v="00B"/>
  </r>
  <r>
    <x v="185"/>
    <x v="350"/>
    <x v="2"/>
    <n v="373.39"/>
    <s v="00B"/>
  </r>
  <r>
    <x v="186"/>
    <x v="351"/>
    <x v="2"/>
    <n v="3427.19"/>
    <s v="00B"/>
  </r>
  <r>
    <x v="186"/>
    <x v="352"/>
    <x v="2"/>
    <n v="1179.5999999999999"/>
    <s v="00B"/>
  </r>
  <r>
    <x v="186"/>
    <x v="353"/>
    <x v="2"/>
    <n v="3518.96"/>
    <s v="00B"/>
  </r>
  <r>
    <x v="187"/>
    <x v="354"/>
    <x v="2"/>
    <n v="1029.26"/>
    <s v="00B"/>
  </r>
  <r>
    <x v="188"/>
    <x v="355"/>
    <x v="2"/>
    <n v="769.8"/>
    <s v="00B"/>
  </r>
  <r>
    <x v="189"/>
    <x v="356"/>
    <x v="2"/>
    <n v="695.8"/>
    <s v="00B"/>
  </r>
  <r>
    <x v="190"/>
    <x v="357"/>
    <x v="2"/>
    <n v="379"/>
    <s v="00B"/>
  </r>
  <r>
    <x v="191"/>
    <x v="358"/>
    <x v="2"/>
    <n v="866.4"/>
    <s v="00B"/>
  </r>
  <r>
    <x v="192"/>
    <x v="359"/>
    <x v="2"/>
    <n v="261.60000000000002"/>
    <s v="00B"/>
  </r>
  <r>
    <x v="193"/>
    <x v="360"/>
    <x v="2"/>
    <n v="1401"/>
    <s v="00B"/>
  </r>
  <r>
    <x v="194"/>
    <x v="361"/>
    <x v="1"/>
    <n v="3031.2240000000002"/>
    <s v="00B"/>
  </r>
  <r>
    <x v="194"/>
    <x v="362"/>
    <x v="1"/>
    <n v="302.45600000000002"/>
    <s v="00B"/>
  </r>
  <r>
    <x v="195"/>
    <x v="363"/>
    <x v="1"/>
    <n v="3065.16"/>
    <s v="00B"/>
  </r>
  <r>
    <x v="196"/>
    <x v="364"/>
    <x v="1"/>
    <n v="7130.4800000000005"/>
    <s v="00B"/>
  </r>
  <r>
    <x v="197"/>
    <x v="365"/>
    <x v="0"/>
    <n v="609"/>
    <s v="00B"/>
  </r>
  <r>
    <x v="198"/>
    <x v="366"/>
    <x v="2"/>
    <n v="10449.41"/>
    <s v="00B"/>
  </r>
  <r>
    <x v="199"/>
    <x v="367"/>
    <x v="1"/>
    <n v="2066.96"/>
    <s v="00B"/>
  </r>
  <r>
    <x v="200"/>
    <x v="368"/>
    <x v="2"/>
    <n v="127.5"/>
    <s v="00B"/>
  </r>
  <r>
    <x v="201"/>
    <x v="369"/>
    <x v="2"/>
    <n v="5178.7700000000004"/>
    <s v="00B"/>
  </r>
  <r>
    <x v="201"/>
    <x v="370"/>
    <x v="2"/>
    <n v="8213.2999999999993"/>
    <s v="00B"/>
  </r>
  <r>
    <x v="202"/>
    <x v="371"/>
    <x v="1"/>
    <n v="600.20799999999997"/>
    <s v="00B"/>
  </r>
  <r>
    <x v="202"/>
    <x v="372"/>
    <x v="1"/>
    <n v="279.85496000000001"/>
    <s v="00B"/>
  </r>
  <r>
    <x v="203"/>
    <x v="373"/>
    <x v="0"/>
    <n v="1044"/>
    <s v="00B"/>
  </r>
  <r>
    <x v="204"/>
    <x v="374"/>
    <x v="2"/>
    <n v="7100"/>
    <s v="00B"/>
  </r>
  <r>
    <x v="205"/>
    <x v="375"/>
    <x v="2"/>
    <n v="3045"/>
    <s v="00B"/>
  </r>
  <r>
    <x v="206"/>
    <x v="376"/>
    <x v="2"/>
    <n v="4269.2700000000004"/>
    <s v="00B"/>
  </r>
  <r>
    <x v="206"/>
    <x v="377"/>
    <x v="2"/>
    <n v="3740"/>
    <s v="00B"/>
  </r>
  <r>
    <x v="207"/>
    <x v="378"/>
    <x v="2"/>
    <n v="3904"/>
    <s v="00B"/>
  </r>
  <r>
    <x v="208"/>
    <x v="379"/>
    <x v="2"/>
    <n v="50000"/>
    <s v="00B"/>
  </r>
  <r>
    <x v="208"/>
    <x v="380"/>
    <x v="2"/>
    <n v="17515"/>
    <s v="00B"/>
  </r>
  <r>
    <x v="209"/>
    <x v="381"/>
    <x v="1"/>
    <n v="1165.808"/>
    <s v="00B"/>
  </r>
  <r>
    <x v="210"/>
    <x v="382"/>
    <x v="2"/>
    <n v="2873.94"/>
    <s v="00B"/>
  </r>
  <r>
    <x v="210"/>
    <x v="383"/>
    <x v="2"/>
    <n v="8013.26"/>
    <s v="00B"/>
  </r>
  <r>
    <x v="210"/>
    <x v="384"/>
    <x v="2"/>
    <n v="341.94"/>
    <s v="00B"/>
  </r>
  <r>
    <x v="210"/>
    <x v="385"/>
    <x v="2"/>
    <n v="2452.91"/>
    <s v="00B"/>
  </r>
  <r>
    <x v="210"/>
    <x v="386"/>
    <x v="2"/>
    <n v="6749.34"/>
    <s v="00B"/>
  </r>
  <r>
    <x v="211"/>
    <x v="387"/>
    <x v="2"/>
    <n v="1680"/>
    <s v="00B"/>
  </r>
  <r>
    <x v="212"/>
    <x v="388"/>
    <x v="2"/>
    <n v="924.1"/>
    <s v="00B"/>
  </r>
  <r>
    <x v="212"/>
    <x v="389"/>
    <x v="2"/>
    <n v="1858.4"/>
    <s v="00B"/>
  </r>
  <r>
    <x v="212"/>
    <x v="390"/>
    <x v="2"/>
    <n v="2547"/>
    <s v="00B"/>
  </r>
  <r>
    <x v="212"/>
    <x v="391"/>
    <x v="2"/>
    <n v="2894.4"/>
    <s v="00B"/>
  </r>
  <r>
    <x v="213"/>
    <x v="392"/>
    <x v="2"/>
    <n v="3146.33"/>
    <s v="00B"/>
  </r>
  <r>
    <x v="213"/>
    <x v="393"/>
    <x v="2"/>
    <n v="1096.81"/>
    <s v="00B"/>
  </r>
  <r>
    <x v="213"/>
    <x v="394"/>
    <x v="2"/>
    <n v="41.38"/>
    <s v="00B"/>
  </r>
  <r>
    <x v="213"/>
    <x v="395"/>
    <x v="1"/>
    <n v="151.536"/>
    <s v="00B"/>
  </r>
  <r>
    <x v="213"/>
    <x v="396"/>
    <x v="1"/>
    <n v="378.84000000000003"/>
    <s v="00B"/>
  </r>
  <r>
    <x v="214"/>
    <x v="397"/>
    <x v="2"/>
    <n v="1043.3800000000001"/>
    <s v="00B"/>
  </r>
  <r>
    <x v="214"/>
    <x v="398"/>
    <x v="2"/>
    <n v="2476.1"/>
    <s v="00B"/>
  </r>
  <r>
    <x v="214"/>
    <x v="399"/>
    <x v="2"/>
    <n v="2731.39"/>
    <s v="00B"/>
  </r>
  <r>
    <x v="214"/>
    <x v="400"/>
    <x v="2"/>
    <n v="20615.82"/>
    <s v="00B"/>
  </r>
  <r>
    <x v="214"/>
    <x v="401"/>
    <x v="2"/>
    <n v="2936.16"/>
    <s v="00B"/>
  </r>
  <r>
    <x v="214"/>
    <x v="402"/>
    <x v="2"/>
    <n v="2236.8000000000002"/>
    <s v="00B"/>
  </r>
  <r>
    <x v="215"/>
    <x v="403"/>
    <x v="1"/>
    <n v="5114.9279999999999"/>
    <s v="00B"/>
  </r>
  <r>
    <x v="215"/>
    <x v="404"/>
    <x v="1"/>
    <n v="2644.9920000000002"/>
    <s v="00B"/>
  </r>
  <r>
    <x v="216"/>
    <x v="405"/>
    <x v="1"/>
    <n v="1429.624"/>
    <s v="00B"/>
  </r>
  <r>
    <x v="217"/>
    <x v="406"/>
    <x v="2"/>
    <n v="1750"/>
    <s v="00B"/>
  </r>
  <r>
    <x v="218"/>
    <x v="407"/>
    <x v="2"/>
    <n v="28779.599999999999"/>
    <s v="00B"/>
  </r>
  <r>
    <x v="219"/>
    <x v="408"/>
    <x v="2"/>
    <n v="6500"/>
    <s v="00B"/>
  </r>
  <r>
    <x v="220"/>
    <x v="409"/>
    <x v="2"/>
    <n v="13705.44"/>
    <s v="00B"/>
  </r>
  <r>
    <x v="220"/>
    <x v="410"/>
    <x v="2"/>
    <n v="23758.799999999999"/>
    <s v="00B"/>
  </r>
  <r>
    <x v="220"/>
    <x v="411"/>
    <x v="2"/>
    <n v="10700"/>
    <s v="00B"/>
  </r>
  <r>
    <x v="221"/>
    <x v="412"/>
    <x v="2"/>
    <n v="7136.4"/>
    <s v="00B"/>
  </r>
  <r>
    <x v="222"/>
    <x v="413"/>
    <x v="2"/>
    <n v="636.16"/>
    <s v="00B"/>
  </r>
  <r>
    <x v="222"/>
    <x v="414"/>
    <x v="2"/>
    <n v="1807.68"/>
    <s v="00B"/>
  </r>
  <r>
    <x v="223"/>
    <x v="415"/>
    <x v="2"/>
    <n v="4324.59"/>
    <s v="00B"/>
  </r>
  <r>
    <x v="224"/>
    <x v="416"/>
    <x v="2"/>
    <n v="3000"/>
    <s v="00B"/>
  </r>
  <r>
    <x v="225"/>
    <x v="417"/>
    <x v="2"/>
    <n v="740"/>
    <s v="00B"/>
  </r>
  <r>
    <x v="226"/>
    <x v="418"/>
    <x v="2"/>
    <n v="25787.64"/>
    <s v="00B"/>
  </r>
  <r>
    <x v="227"/>
    <x v="419"/>
    <x v="2"/>
    <n v="23223.5"/>
    <s v="00B"/>
  </r>
  <r>
    <x v="227"/>
    <x v="420"/>
    <x v="2"/>
    <n v="5587.39"/>
    <s v="00B"/>
  </r>
  <r>
    <x v="227"/>
    <x v="421"/>
    <x v="2"/>
    <n v="2247.41"/>
    <s v="00B"/>
  </r>
  <r>
    <x v="227"/>
    <x v="422"/>
    <x v="2"/>
    <n v="2695.57"/>
    <s v="00B"/>
  </r>
  <r>
    <x v="227"/>
    <x v="423"/>
    <x v="2"/>
    <n v="8071.6"/>
    <s v="00B"/>
  </r>
  <r>
    <x v="227"/>
    <x v="424"/>
    <x v="2"/>
    <n v="1734"/>
    <s v="00B"/>
  </r>
  <r>
    <x v="228"/>
    <x v="423"/>
    <x v="2"/>
    <n v="8071.6"/>
    <s v="00B"/>
  </r>
  <r>
    <x v="228"/>
    <x v="420"/>
    <x v="2"/>
    <n v="5587.39"/>
    <s v="00B"/>
  </r>
  <r>
    <x v="228"/>
    <x v="422"/>
    <x v="2"/>
    <n v="2695.57"/>
    <s v="00B"/>
  </r>
  <r>
    <x v="228"/>
    <x v="421"/>
    <x v="2"/>
    <n v="2247.41"/>
    <s v="00B"/>
  </r>
  <r>
    <x v="228"/>
    <x v="425"/>
    <x v="2"/>
    <n v="19095.8"/>
    <s v="00B"/>
  </r>
  <r>
    <x v="228"/>
    <x v="424"/>
    <x v="2"/>
    <n v="1734"/>
    <s v="00B"/>
  </r>
  <r>
    <x v="229"/>
    <x v="426"/>
    <x v="1"/>
    <n v="3081.0639999999999"/>
    <s v="00B"/>
  </r>
  <r>
    <x v="229"/>
    <x v="427"/>
    <x v="1"/>
    <n v="1025.20208"/>
    <s v="00B"/>
  </r>
  <r>
    <x v="229"/>
    <x v="428"/>
    <x v="1"/>
    <n v="512.60104000000001"/>
    <s v="00B"/>
  </r>
  <r>
    <x v="229"/>
    <x v="429"/>
    <x v="1"/>
    <n v="9.5200000000000007E-3"/>
    <s v="00B"/>
  </r>
  <r>
    <x v="230"/>
    <x v="419"/>
    <x v="2"/>
    <n v="23223.5"/>
    <s v="00B"/>
  </r>
  <r>
    <x v="230"/>
    <x v="420"/>
    <x v="2"/>
    <n v="5587.39"/>
    <s v="00B"/>
  </r>
  <r>
    <x v="230"/>
    <x v="421"/>
    <x v="2"/>
    <n v="2247.41"/>
    <s v="00B"/>
  </r>
  <r>
    <x v="230"/>
    <x v="422"/>
    <x v="2"/>
    <n v="2695.57"/>
    <s v="00B"/>
  </r>
  <r>
    <x v="230"/>
    <x v="423"/>
    <x v="2"/>
    <n v="8071.6"/>
    <s v="00B"/>
  </r>
  <r>
    <x v="230"/>
    <x v="424"/>
    <x v="2"/>
    <n v="1734"/>
    <s v="00B"/>
  </r>
  <r>
    <x v="231"/>
    <x v="430"/>
    <x v="2"/>
    <n v="5891.25"/>
    <s v="00B"/>
  </r>
  <r>
    <x v="231"/>
    <x v="206"/>
    <x v="2"/>
    <n v="90"/>
    <s v="00B"/>
  </r>
  <r>
    <x v="231"/>
    <x v="431"/>
    <x v="2"/>
    <n v="993.02"/>
    <s v="00B"/>
  </r>
  <r>
    <x v="231"/>
    <x v="432"/>
    <x v="2"/>
    <n v="1336.87"/>
    <s v="00B"/>
  </r>
  <r>
    <x v="232"/>
    <x v="433"/>
    <x v="2"/>
    <n v="7188.58"/>
    <s v="00B"/>
  </r>
  <r>
    <x v="232"/>
    <x v="434"/>
    <x v="2"/>
    <n v="243.94"/>
    <s v="00B"/>
  </r>
  <r>
    <x v="232"/>
    <x v="435"/>
    <x v="2"/>
    <n v="10743.4"/>
    <s v="00B"/>
  </r>
  <r>
    <x v="232"/>
    <x v="365"/>
    <x v="2"/>
    <n v="525"/>
    <s v="00B"/>
  </r>
  <r>
    <x v="232"/>
    <x v="436"/>
    <x v="2"/>
    <n v="4152.8999999999996"/>
    <s v="00B"/>
  </r>
  <r>
    <x v="232"/>
    <x v="437"/>
    <x v="2"/>
    <n v="8078.1"/>
    <s v="00B"/>
  </r>
  <r>
    <x v="233"/>
    <x v="438"/>
    <x v="2"/>
    <n v="1211.96"/>
    <s v="00B"/>
  </r>
  <r>
    <x v="233"/>
    <x v="439"/>
    <x v="2"/>
    <n v="3618.4"/>
    <s v="00B"/>
  </r>
  <r>
    <x v="233"/>
    <x v="440"/>
    <x v="2"/>
    <n v="2101.3000000000002"/>
    <s v="00B"/>
  </r>
  <r>
    <x v="233"/>
    <x v="441"/>
    <x v="2"/>
    <n v="9040"/>
    <s v="00B"/>
  </r>
  <r>
    <x v="234"/>
    <x v="442"/>
    <x v="2"/>
    <n v="3432.63"/>
    <s v="00B"/>
  </r>
  <r>
    <x v="234"/>
    <x v="443"/>
    <x v="2"/>
    <n v="4833.34"/>
    <s v="00B"/>
  </r>
  <r>
    <x v="235"/>
    <x v="444"/>
    <x v="0"/>
    <n v="2459.1999999999998"/>
    <s v="00B"/>
  </r>
  <r>
    <x v="235"/>
    <x v="445"/>
    <x v="0"/>
    <n v="3907.4831999999997"/>
    <s v="00B"/>
  </r>
  <r>
    <x v="235"/>
    <x v="446"/>
    <x v="0"/>
    <n v="946.86159999999995"/>
    <s v="00B"/>
  </r>
  <r>
    <x v="235"/>
    <x v="446"/>
    <x v="0"/>
    <n v="946.86159999999995"/>
    <s v="00B"/>
  </r>
  <r>
    <x v="235"/>
    <x v="18"/>
    <x v="0"/>
    <n v="696"/>
    <s v="00B"/>
  </r>
  <r>
    <x v="235"/>
    <x v="447"/>
    <x v="0"/>
    <n v="5739.6799999999994"/>
    <s v="00B"/>
  </r>
  <r>
    <x v="236"/>
    <x v="448"/>
    <x v="2"/>
    <n v="5235"/>
    <s v="00B"/>
  </r>
  <r>
    <x v="237"/>
    <x v="449"/>
    <x v="2"/>
    <n v="1740"/>
    <s v="00B"/>
  </r>
  <r>
    <x v="238"/>
    <x v="450"/>
    <x v="2"/>
    <n v="4326"/>
    <s v="00B"/>
  </r>
  <r>
    <x v="239"/>
    <x v="451"/>
    <x v="1"/>
    <n v="2614.4720000000002"/>
    <s v="00B"/>
  </r>
  <r>
    <x v="240"/>
    <x v="452"/>
    <x v="2"/>
    <n v="7436"/>
    <s v="00B"/>
  </r>
  <r>
    <x v="240"/>
    <x v="453"/>
    <x v="2"/>
    <n v="1620"/>
    <s v="00B"/>
  </r>
  <r>
    <x v="240"/>
    <x v="454"/>
    <x v="2"/>
    <n v="10372"/>
    <s v="00B"/>
  </r>
  <r>
    <x v="241"/>
    <x v="455"/>
    <x v="4"/>
    <n v="2362.5"/>
    <s v="00B"/>
  </r>
  <r>
    <x v="241"/>
    <x v="456"/>
    <x v="2"/>
    <n v="1975"/>
    <s v="00B"/>
  </r>
  <r>
    <x v="241"/>
    <x v="457"/>
    <x v="2"/>
    <n v="1829"/>
    <s v="00B"/>
  </r>
  <r>
    <x v="242"/>
    <x v="458"/>
    <x v="2"/>
    <n v="2286.5"/>
    <s v="00B"/>
  </r>
  <r>
    <x v="243"/>
    <x v="459"/>
    <x v="2"/>
    <n v="7331"/>
    <s v="00B"/>
  </r>
  <r>
    <x v="243"/>
    <x v="460"/>
    <x v="2"/>
    <n v="493.29"/>
    <s v="00B"/>
  </r>
  <r>
    <x v="244"/>
    <x v="461"/>
    <x v="1"/>
    <n v="10755.66352"/>
    <s v="00B"/>
  </r>
  <r>
    <x v="244"/>
    <x v="462"/>
    <x v="1"/>
    <n v="7757.3159999999998"/>
    <s v="00B"/>
  </r>
  <r>
    <x v="245"/>
    <x v="463"/>
    <x v="2"/>
    <n v="5426"/>
    <s v="00B"/>
  </r>
  <r>
    <x v="246"/>
    <x v="464"/>
    <x v="2"/>
    <n v="3600"/>
    <s v="00B"/>
  </r>
  <r>
    <x v="247"/>
    <x v="465"/>
    <x v="0"/>
    <n v="626.4"/>
    <s v="00B"/>
  </r>
  <r>
    <x v="247"/>
    <x v="466"/>
    <x v="0"/>
    <n v="1448.7936"/>
    <s v="00B"/>
  </r>
  <r>
    <x v="248"/>
    <x v="467"/>
    <x v="0"/>
    <n v="61723.02"/>
    <s v="00B"/>
  </r>
  <r>
    <x v="248"/>
    <x v="468"/>
    <x v="0"/>
    <n v="29378.159999999996"/>
    <s v="00B"/>
  </r>
  <r>
    <x v="248"/>
    <x v="469"/>
    <x v="0"/>
    <n v="58927.999999999993"/>
    <s v="00B"/>
  </r>
  <r>
    <x v="248"/>
    <x v="470"/>
    <x v="0"/>
    <n v="1229.5999999999999"/>
    <s v="00B"/>
  </r>
  <r>
    <x v="249"/>
    <x v="471"/>
    <x v="2"/>
    <n v="4382.76"/>
    <s v="00B"/>
  </r>
  <r>
    <x v="249"/>
    <x v="472"/>
    <x v="2"/>
    <n v="413.7"/>
    <s v="00B"/>
  </r>
  <r>
    <x v="249"/>
    <x v="473"/>
    <x v="2"/>
    <n v="152.84"/>
    <s v="00B"/>
  </r>
  <r>
    <x v="249"/>
    <x v="474"/>
    <x v="2"/>
    <n v="225"/>
    <s v="00B"/>
  </r>
  <r>
    <x v="249"/>
    <x v="475"/>
    <x v="2"/>
    <n v="100"/>
    <s v="00B"/>
  </r>
  <r>
    <x v="249"/>
    <x v="476"/>
    <x v="2"/>
    <n v="167.36"/>
    <s v="00B"/>
  </r>
  <r>
    <x v="249"/>
    <x v="477"/>
    <x v="2"/>
    <n v="425.79"/>
    <s v="00B"/>
  </r>
  <r>
    <x v="249"/>
    <x v="478"/>
    <x v="2"/>
    <n v="55.55"/>
    <s v="00B"/>
  </r>
  <r>
    <x v="249"/>
    <x v="479"/>
    <x v="2"/>
    <n v="423.2"/>
    <s v="00B"/>
  </r>
  <r>
    <x v="249"/>
    <x v="480"/>
    <x v="2"/>
    <n v="286.24"/>
    <s v="00B"/>
  </r>
  <r>
    <x v="249"/>
    <x v="481"/>
    <x v="2"/>
    <n v="282.98"/>
    <s v="00B"/>
  </r>
  <r>
    <x v="249"/>
    <x v="482"/>
    <x v="2"/>
    <n v="284.2"/>
    <s v="00B"/>
  </r>
  <r>
    <x v="249"/>
    <x v="483"/>
    <x v="2"/>
    <n v="1056.68"/>
    <s v="00B"/>
  </r>
  <r>
    <x v="249"/>
    <x v="484"/>
    <x v="1"/>
    <n v="939.68000000000006"/>
    <s v="00B"/>
  </r>
  <r>
    <x v="249"/>
    <x v="485"/>
    <x v="2"/>
    <n v="328"/>
    <s v="00B"/>
  </r>
  <r>
    <x v="249"/>
    <x v="486"/>
    <x v="2"/>
    <n v="209.34"/>
    <s v="00B"/>
  </r>
  <r>
    <x v="249"/>
    <x v="487"/>
    <x v="2"/>
    <n v="247.03"/>
    <s v="00B"/>
  </r>
  <r>
    <x v="249"/>
    <x v="488"/>
    <x v="2"/>
    <n v="209.04"/>
    <s v="00B"/>
  </r>
  <r>
    <x v="249"/>
    <x v="489"/>
    <x v="2"/>
    <n v="217.16"/>
    <s v="00B"/>
  </r>
  <r>
    <x v="249"/>
    <x v="490"/>
    <x v="2"/>
    <n v="101.57"/>
    <s v="00B"/>
  </r>
  <r>
    <x v="249"/>
    <x v="491"/>
    <x v="2"/>
    <n v="314.08"/>
    <s v="00B"/>
  </r>
  <r>
    <x v="249"/>
    <x v="492"/>
    <x v="2"/>
    <n v="159.32"/>
    <s v="00B"/>
  </r>
  <r>
    <x v="249"/>
    <x v="493"/>
    <x v="2"/>
    <n v="489.68"/>
    <s v="00B"/>
  </r>
  <r>
    <x v="250"/>
    <x v="494"/>
    <x v="0"/>
    <n v="740.03359999999998"/>
    <s v="00B"/>
  </r>
  <r>
    <x v="251"/>
    <x v="495"/>
    <x v="2"/>
    <n v="18950.68"/>
    <s v="00B"/>
  </r>
  <r>
    <x v="252"/>
    <x v="496"/>
    <x v="2"/>
    <n v="2293.11"/>
    <s v="00B"/>
  </r>
  <r>
    <x v="252"/>
    <x v="497"/>
    <x v="2"/>
    <n v="283.97000000000003"/>
    <s v="00B"/>
  </r>
  <r>
    <x v="252"/>
    <x v="498"/>
    <x v="2"/>
    <n v="13748.48"/>
    <s v="00B"/>
  </r>
  <r>
    <x v="253"/>
    <x v="499"/>
    <x v="0"/>
    <n v="1357.1999999999998"/>
    <s v="00B"/>
  </r>
  <r>
    <x v="253"/>
    <x v="500"/>
    <x v="0"/>
    <n v="2505.6"/>
    <s v="00B"/>
  </r>
  <r>
    <x v="253"/>
    <x v="501"/>
    <x v="0"/>
    <n v="2780.52"/>
    <s v="00B"/>
  </r>
  <r>
    <x v="253"/>
    <x v="502"/>
    <x v="0"/>
    <n v="3194.64"/>
    <s v="00B"/>
  </r>
  <r>
    <x v="253"/>
    <x v="503"/>
    <x v="0"/>
    <n v="2721.3599999999997"/>
    <s v="00B"/>
  </r>
  <r>
    <x v="254"/>
    <x v="504"/>
    <x v="3"/>
    <n v="1936.3000000000002"/>
    <s v="00B"/>
  </r>
  <r>
    <x v="255"/>
    <x v="505"/>
    <x v="2"/>
    <n v="6532"/>
    <s v="00B"/>
  </r>
  <r>
    <x v="255"/>
    <x v="506"/>
    <x v="2"/>
    <n v="8000"/>
    <s v="00B"/>
  </r>
  <r>
    <x v="255"/>
    <x v="507"/>
    <x v="2"/>
    <n v="33265.94"/>
    <s v="00B"/>
  </r>
  <r>
    <x v="255"/>
    <x v="508"/>
    <x v="2"/>
    <n v="192.58"/>
    <s v="00B"/>
  </r>
  <r>
    <x v="256"/>
    <x v="509"/>
    <x v="1"/>
    <n v="11611.264000000001"/>
    <s v="00B"/>
  </r>
  <r>
    <x v="256"/>
    <x v="510"/>
    <x v="1"/>
    <n v="2631.44"/>
    <s v="00B"/>
  </r>
  <r>
    <x v="257"/>
    <x v="511"/>
    <x v="0"/>
    <n v="159.51159999999999"/>
    <s v="00B"/>
  </r>
  <r>
    <x v="258"/>
    <x v="512"/>
    <x v="1"/>
    <n v="870.01599999999996"/>
    <s v="00B"/>
  </r>
  <r>
    <x v="258"/>
    <x v="513"/>
    <x v="1"/>
    <n v="716.12800000000004"/>
    <s v="00B"/>
  </r>
  <r>
    <x v="258"/>
    <x v="514"/>
    <x v="1"/>
    <n v="361.14400000000001"/>
    <s v="00B"/>
  </r>
  <r>
    <x v="258"/>
    <x v="515"/>
    <x v="1"/>
    <n v="5762.4000000000005"/>
    <s v="00B"/>
  </r>
  <r>
    <x v="259"/>
    <x v="516"/>
    <x v="1"/>
    <n v="634.59199999999998"/>
    <s v="00B"/>
  </r>
  <r>
    <x v="259"/>
    <x v="517"/>
    <x v="1"/>
    <n v="200.536"/>
    <s v="00B"/>
  </r>
  <r>
    <x v="259"/>
    <x v="518"/>
    <x v="1"/>
    <n v="445.03199999999998"/>
    <s v="00B"/>
  </r>
  <r>
    <x v="259"/>
    <x v="519"/>
    <x v="1"/>
    <n v="902.83199999999999"/>
    <s v="00B"/>
  </r>
  <r>
    <x v="260"/>
    <x v="520"/>
    <x v="2"/>
    <n v="14922.3"/>
    <s v="00B"/>
  </r>
  <r>
    <x v="260"/>
    <x v="521"/>
    <x v="2"/>
    <n v="2028"/>
    <s v="00B"/>
  </r>
  <r>
    <x v="261"/>
    <x v="522"/>
    <x v="2"/>
    <n v="5836"/>
    <s v="00B"/>
  </r>
  <r>
    <x v="261"/>
    <x v="523"/>
    <x v="2"/>
    <n v="6175"/>
    <s v="00B"/>
  </r>
  <r>
    <x v="261"/>
    <x v="524"/>
    <x v="2"/>
    <n v="2945.51"/>
    <s v="00B"/>
  </r>
  <r>
    <x v="261"/>
    <x v="525"/>
    <x v="2"/>
    <n v="5203"/>
    <s v="00B"/>
  </r>
  <r>
    <x v="262"/>
    <x v="526"/>
    <x v="2"/>
    <n v="345"/>
    <s v="00B"/>
  </r>
  <r>
    <x v="262"/>
    <x v="527"/>
    <x v="2"/>
    <n v="2023"/>
    <s v="00B"/>
  </r>
  <r>
    <x v="262"/>
    <x v="528"/>
    <x v="2"/>
    <n v="1466"/>
    <s v="00B"/>
  </r>
  <r>
    <x v="262"/>
    <x v="529"/>
    <x v="2"/>
    <n v="1410"/>
    <s v="00B"/>
  </r>
  <r>
    <x v="263"/>
    <x v="530"/>
    <x v="2"/>
    <n v="5983.71"/>
    <s v="00B"/>
  </r>
  <r>
    <x v="263"/>
    <x v="531"/>
    <x v="2"/>
    <n v="4922.1899999999996"/>
    <s v="00B"/>
  </r>
  <r>
    <x v="263"/>
    <x v="532"/>
    <x v="2"/>
    <n v="2444.4499999999998"/>
    <s v="00B"/>
  </r>
  <r>
    <x v="263"/>
    <x v="533"/>
    <x v="2"/>
    <n v="4390.3"/>
    <s v="00B"/>
  </r>
  <r>
    <x v="263"/>
    <x v="534"/>
    <x v="2"/>
    <n v="22865.4"/>
    <s v="00B"/>
  </r>
  <r>
    <x v="263"/>
    <x v="535"/>
    <x v="1"/>
    <n v="243.376"/>
    <s v="00B"/>
  </r>
  <r>
    <x v="263"/>
    <x v="536"/>
    <x v="2"/>
    <n v="9915.2000000000007"/>
    <s v="00B"/>
  </r>
  <r>
    <x v="264"/>
    <x v="537"/>
    <x v="2"/>
    <n v="34210"/>
    <s v="00B"/>
  </r>
  <r>
    <x v="264"/>
    <x v="538"/>
    <x v="2"/>
    <n v="2000"/>
    <s v="00B"/>
  </r>
  <r>
    <x v="265"/>
    <x v="539"/>
    <x v="2"/>
    <n v="1665"/>
    <s v="00B"/>
  </r>
  <r>
    <x v="266"/>
    <x v="540"/>
    <x v="2"/>
    <n v="205"/>
    <s v="00B"/>
  </r>
  <r>
    <x v="266"/>
    <x v="122"/>
    <x v="2"/>
    <n v="1000"/>
    <s v="00B"/>
  </r>
  <r>
    <x v="267"/>
    <x v="541"/>
    <x v="2"/>
    <n v="780"/>
    <s v="00B"/>
  </r>
  <r>
    <x v="268"/>
    <x v="542"/>
    <x v="2"/>
    <n v="1465"/>
    <s v="00B"/>
  </r>
  <r>
    <x v="269"/>
    <x v="106"/>
    <x v="2"/>
    <n v="305"/>
    <s v="00B"/>
  </r>
  <r>
    <x v="270"/>
    <x v="543"/>
    <x v="2"/>
    <n v="2832"/>
    <s v="00B"/>
  </r>
  <r>
    <x v="271"/>
    <x v="544"/>
    <x v="1"/>
    <n v="235.08799999999999"/>
    <s v="00B"/>
  </r>
  <r>
    <x v="271"/>
    <x v="545"/>
    <x v="1"/>
    <n v="337.34399999999999"/>
    <s v="00B"/>
  </r>
  <r>
    <x v="272"/>
    <x v="546"/>
    <x v="2"/>
    <n v="2817"/>
    <s v="00B"/>
  </r>
  <r>
    <x v="272"/>
    <x v="547"/>
    <x v="2"/>
    <n v="1846"/>
    <s v="00B"/>
  </r>
  <r>
    <x v="272"/>
    <x v="548"/>
    <x v="2"/>
    <n v="2272"/>
    <s v="00B"/>
  </r>
  <r>
    <x v="272"/>
    <x v="549"/>
    <x v="2"/>
    <n v="1361"/>
    <s v="00B"/>
  </r>
  <r>
    <x v="272"/>
    <x v="550"/>
    <x v="2"/>
    <n v="1929"/>
    <s v="00B"/>
  </r>
  <r>
    <x v="272"/>
    <x v="551"/>
    <x v="2"/>
    <n v="561"/>
    <s v="00B"/>
  </r>
  <r>
    <x v="273"/>
    <x v="552"/>
    <x v="1"/>
    <n v="1952.4960000000001"/>
    <s v="00B"/>
  </r>
  <r>
    <x v="274"/>
    <x v="553"/>
    <x v="2"/>
    <n v="2267.5"/>
    <s v="00B"/>
  </r>
  <r>
    <x v="275"/>
    <x v="554"/>
    <x v="0"/>
    <n v="2628.85"/>
    <s v="00B"/>
  </r>
  <r>
    <x v="275"/>
    <x v="555"/>
    <x v="0"/>
    <n v="7886.5499999999993"/>
    <s v="00B"/>
  </r>
  <r>
    <x v="276"/>
    <x v="556"/>
    <x v="1"/>
    <n v="4500.1851999999999"/>
    <s v="00B"/>
  </r>
  <r>
    <x v="277"/>
    <x v="557"/>
    <x v="2"/>
    <n v="12895.96"/>
    <s v="00B"/>
  </r>
  <r>
    <x v="277"/>
    <x v="558"/>
    <x v="2"/>
    <n v="2993.11"/>
    <s v="00B"/>
  </r>
  <r>
    <x v="277"/>
    <x v="559"/>
    <x v="2"/>
    <n v="10186.1"/>
    <s v="00B"/>
  </r>
  <r>
    <x v="277"/>
    <x v="560"/>
    <x v="2"/>
    <n v="3000.65"/>
    <s v="00B"/>
  </r>
  <r>
    <x v="277"/>
    <x v="561"/>
    <x v="2"/>
    <n v="2187.2199999999998"/>
    <s v="00B"/>
  </r>
  <r>
    <x v="278"/>
    <x v="562"/>
    <x v="2"/>
    <n v="670.22"/>
    <s v="00B"/>
  </r>
  <r>
    <x v="279"/>
    <x v="563"/>
    <x v="2"/>
    <n v="2999.44"/>
    <s v="00B"/>
  </r>
  <r>
    <x v="279"/>
    <x v="564"/>
    <x v="2"/>
    <n v="2185.04"/>
    <s v="00B"/>
  </r>
  <r>
    <x v="279"/>
    <x v="565"/>
    <x v="2"/>
    <n v="461.84"/>
    <s v="00B"/>
  </r>
  <r>
    <x v="280"/>
    <x v="566"/>
    <x v="2"/>
    <n v="14769"/>
    <s v="00B"/>
  </r>
  <r>
    <x v="280"/>
    <x v="567"/>
    <x v="2"/>
    <n v="8280"/>
    <s v="00B"/>
  </r>
  <r>
    <x v="280"/>
    <x v="568"/>
    <x v="2"/>
    <n v="21500"/>
    <s v="00B"/>
  </r>
  <r>
    <x v="280"/>
    <x v="569"/>
    <x v="2"/>
    <n v="18072"/>
    <s v="00B"/>
  </r>
  <r>
    <x v="281"/>
    <x v="570"/>
    <x v="2"/>
    <n v="3214"/>
    <s v="00B"/>
  </r>
  <r>
    <x v="281"/>
    <x v="571"/>
    <x v="2"/>
    <n v="2106.7199999999998"/>
    <s v="00B"/>
  </r>
  <r>
    <x v="282"/>
    <x v="572"/>
    <x v="0"/>
    <n v="661.19999999999993"/>
    <s v="00B"/>
  </r>
  <r>
    <x v="283"/>
    <x v="573"/>
    <x v="2"/>
    <n v="5334.66"/>
    <s v="00B"/>
  </r>
  <r>
    <x v="284"/>
    <x v="574"/>
    <x v="2"/>
    <n v="8311"/>
    <s v="00B"/>
  </r>
  <r>
    <x v="285"/>
    <x v="575"/>
    <x v="2"/>
    <n v="3878"/>
    <s v="00B"/>
  </r>
  <r>
    <x v="286"/>
    <x v="576"/>
    <x v="2"/>
    <n v="4998"/>
    <s v="00B"/>
  </r>
  <r>
    <x v="287"/>
    <x v="577"/>
    <x v="0"/>
    <n v="8869.3599999999988"/>
    <s v="00B"/>
  </r>
  <r>
    <x v="287"/>
    <x v="578"/>
    <x v="0"/>
    <n v="3442.8799999999997"/>
    <s v="00B"/>
  </r>
  <r>
    <x v="287"/>
    <x v="579"/>
    <x v="0"/>
    <n v="2905.1039999999998"/>
    <s v="00B"/>
  </r>
  <r>
    <x v="288"/>
    <x v="580"/>
    <x v="3"/>
    <n v="14967.800000000001"/>
    <s v="00B"/>
  </r>
  <r>
    <x v="289"/>
    <x v="581"/>
    <x v="2"/>
    <n v="1091.01"/>
    <s v="00B"/>
  </r>
  <r>
    <x v="289"/>
    <x v="582"/>
    <x v="2"/>
    <n v="3002.79"/>
    <s v="00B"/>
  </r>
  <r>
    <x v="289"/>
    <x v="583"/>
    <x v="2"/>
    <n v="2807.25"/>
    <s v="00B"/>
  </r>
  <r>
    <x v="290"/>
    <x v="584"/>
    <x v="0"/>
    <n v="11600"/>
    <s v="00B"/>
  </r>
  <r>
    <x v="290"/>
    <x v="585"/>
    <x v="0"/>
    <n v="3580.9199999999996"/>
    <s v="00B"/>
  </r>
  <r>
    <x v="290"/>
    <x v="586"/>
    <x v="0"/>
    <n v="4350"/>
    <s v="00B"/>
  </r>
  <r>
    <x v="290"/>
    <x v="586"/>
    <x v="0"/>
    <n v="4350"/>
    <s v="00B"/>
  </r>
  <r>
    <x v="290"/>
    <x v="587"/>
    <x v="0"/>
    <n v="3275.8399999999997"/>
    <s v="00B"/>
  </r>
  <r>
    <x v="290"/>
    <x v="588"/>
    <x v="0"/>
    <n v="2451.08"/>
    <s v="00B"/>
  </r>
  <r>
    <x v="290"/>
    <x v="589"/>
    <x v="0"/>
    <n v="990.64"/>
    <s v="00B"/>
  </r>
  <r>
    <x v="290"/>
    <x v="590"/>
    <x v="0"/>
    <n v="429.2"/>
    <s v="00B"/>
  </r>
  <r>
    <x v="291"/>
    <x v="591"/>
    <x v="2"/>
    <n v="4351"/>
    <s v="00B"/>
  </r>
  <r>
    <x v="292"/>
    <x v="592"/>
    <x v="2"/>
    <n v="6712.26"/>
    <s v="00B"/>
  </r>
  <r>
    <x v="292"/>
    <x v="593"/>
    <x v="2"/>
    <n v="10460.450000000001"/>
    <s v="00B"/>
  </r>
  <r>
    <x v="292"/>
    <x v="594"/>
    <x v="2"/>
    <n v="25348.6"/>
    <s v="00B"/>
  </r>
  <r>
    <x v="292"/>
    <x v="595"/>
    <x v="2"/>
    <n v="3337.72"/>
    <s v="00B"/>
  </r>
  <r>
    <x v="292"/>
    <x v="595"/>
    <x v="2"/>
    <n v="3337.72"/>
    <s v="00B"/>
  </r>
  <r>
    <x v="292"/>
    <x v="596"/>
    <x v="2"/>
    <n v="6167.13"/>
    <s v="00B"/>
  </r>
  <r>
    <x v="292"/>
    <x v="597"/>
    <x v="2"/>
    <n v="492.58"/>
    <s v="00B"/>
  </r>
  <r>
    <x v="292"/>
    <x v="598"/>
    <x v="2"/>
    <n v="4077.2"/>
    <s v="00B"/>
  </r>
  <r>
    <x v="293"/>
    <x v="599"/>
    <x v="2"/>
    <n v="2648"/>
    <s v="00B"/>
  </r>
  <r>
    <x v="294"/>
    <x v="600"/>
    <x v="2"/>
    <n v="5691"/>
    <s v="00B"/>
  </r>
  <r>
    <x v="295"/>
    <x v="601"/>
    <x v="1"/>
    <n v="4721.192"/>
    <s v="00B"/>
  </r>
  <r>
    <x v="296"/>
    <x v="602"/>
    <x v="2"/>
    <n v="6947.73"/>
    <s v="00B"/>
  </r>
  <r>
    <x v="297"/>
    <x v="603"/>
    <x v="1"/>
    <n v="248.52799999999999"/>
    <s v="00B"/>
  </r>
  <r>
    <x v="298"/>
    <x v="604"/>
    <x v="3"/>
    <n v="2860.9"/>
    <s v="00B"/>
  </r>
  <r>
    <x v="298"/>
    <x v="605"/>
    <x v="3"/>
    <n v="31824.129000000001"/>
    <s v="00B"/>
  </r>
  <r>
    <x v="299"/>
    <x v="606"/>
    <x v="2"/>
    <n v="827"/>
    <s v="00B"/>
  </r>
  <r>
    <x v="299"/>
    <x v="607"/>
    <x v="2"/>
    <n v="1630"/>
    <s v="00B"/>
  </r>
  <r>
    <x v="299"/>
    <x v="608"/>
    <x v="2"/>
    <n v="1642"/>
    <s v="00B"/>
  </r>
  <r>
    <x v="299"/>
    <x v="609"/>
    <x v="2"/>
    <n v="1017"/>
    <s v="00B"/>
  </r>
  <r>
    <x v="299"/>
    <x v="141"/>
    <x v="2"/>
    <n v="1365"/>
    <s v="00B"/>
  </r>
  <r>
    <x v="299"/>
    <x v="610"/>
    <x v="2"/>
    <n v="12493.6"/>
    <s v="00B"/>
  </r>
  <r>
    <x v="299"/>
    <x v="611"/>
    <x v="2"/>
    <n v="708"/>
    <s v="00B"/>
  </r>
  <r>
    <x v="300"/>
    <x v="612"/>
    <x v="0"/>
    <n v="1499.184"/>
    <s v="00B"/>
  </r>
  <r>
    <x v="300"/>
    <x v="613"/>
    <x v="0"/>
    <n v="3761.6016"/>
    <s v="00B"/>
  </r>
  <r>
    <x v="300"/>
    <x v="614"/>
    <x v="0"/>
    <n v="2772.7712000000001"/>
    <s v="00B"/>
  </r>
  <r>
    <x v="300"/>
    <x v="615"/>
    <x v="0"/>
    <n v="777.19999999999993"/>
    <s v="00B"/>
  </r>
  <r>
    <x v="300"/>
    <x v="616"/>
    <x v="0"/>
    <n v="3107.64"/>
    <s v="00B"/>
  </r>
  <r>
    <x v="300"/>
    <x v="617"/>
    <x v="0"/>
    <n v="342.2"/>
    <s v="00B"/>
  </r>
  <r>
    <x v="300"/>
    <x v="618"/>
    <x v="0"/>
    <n v="563.05239999999992"/>
    <s v="00B"/>
  </r>
  <r>
    <x v="301"/>
    <x v="619"/>
    <x v="2"/>
    <n v="11490"/>
    <s v="00B"/>
  </r>
  <r>
    <x v="302"/>
    <x v="620"/>
    <x v="0"/>
    <n v="9628"/>
    <s v="00B"/>
  </r>
  <r>
    <x v="302"/>
    <x v="621"/>
    <x v="0"/>
    <n v="240.0736"/>
    <s v="00B"/>
  </r>
  <r>
    <x v="302"/>
    <x v="622"/>
    <x v="0"/>
    <n v="145"/>
    <s v="00B"/>
  </r>
  <r>
    <x v="303"/>
    <x v="623"/>
    <x v="0"/>
    <n v="3271.2"/>
    <s v="00B"/>
  </r>
  <r>
    <x v="303"/>
    <x v="624"/>
    <x v="2"/>
    <n v="1091.0999999999999"/>
    <s v="00B"/>
  </r>
  <r>
    <x v="303"/>
    <x v="625"/>
    <x v="2"/>
    <n v="2563"/>
    <s v="00B"/>
  </r>
  <r>
    <x v="304"/>
    <x v="626"/>
    <x v="2"/>
    <n v="2122.14"/>
    <s v="00B"/>
  </r>
  <r>
    <x v="304"/>
    <x v="627"/>
    <x v="2"/>
    <n v="1426.9"/>
    <s v="00B"/>
  </r>
  <r>
    <x v="304"/>
    <x v="628"/>
    <x v="2"/>
    <n v="6512"/>
    <s v="00B"/>
  </r>
  <r>
    <x v="304"/>
    <x v="629"/>
    <x v="2"/>
    <n v="737"/>
    <s v="00B"/>
  </r>
  <r>
    <x v="305"/>
    <x v="630"/>
    <x v="3"/>
    <n v="9539.4600000000009"/>
    <s v="00B"/>
  </r>
  <r>
    <x v="306"/>
    <x v="631"/>
    <x v="2"/>
    <n v="2389.02"/>
    <s v="00B"/>
  </r>
  <r>
    <x v="306"/>
    <x v="632"/>
    <x v="2"/>
    <n v="400"/>
    <s v="00B"/>
  </r>
  <r>
    <x v="307"/>
    <x v="633"/>
    <x v="2"/>
    <n v="1923"/>
    <s v="00B"/>
  </r>
  <r>
    <x v="307"/>
    <x v="634"/>
    <x v="2"/>
    <n v="4865.3"/>
    <s v="00B"/>
  </r>
  <r>
    <x v="307"/>
    <x v="635"/>
    <x v="2"/>
    <n v="3900.54"/>
    <s v="00B"/>
  </r>
  <r>
    <x v="307"/>
    <x v="636"/>
    <x v="2"/>
    <n v="3485.35"/>
    <s v="00B"/>
  </r>
  <r>
    <x v="307"/>
    <x v="637"/>
    <x v="2"/>
    <n v="5792.94"/>
    <s v="00B"/>
  </r>
  <r>
    <x v="308"/>
    <x v="638"/>
    <x v="4"/>
    <n v="21018.75"/>
    <s v="00B"/>
  </r>
  <r>
    <x v="308"/>
    <x v="639"/>
    <x v="4"/>
    <n v="7267.5"/>
    <s v="00B"/>
  </r>
  <r>
    <x v="308"/>
    <x v="640"/>
    <x v="4"/>
    <n v="2925"/>
    <s v="00B"/>
  </r>
  <r>
    <x v="308"/>
    <x v="641"/>
    <x v="4"/>
    <n v="353.76249999999999"/>
    <s v="00B"/>
  </r>
  <r>
    <x v="309"/>
    <x v="642"/>
    <x v="2"/>
    <n v="37029.67"/>
    <s v="00B"/>
  </r>
  <r>
    <x v="309"/>
    <x v="643"/>
    <x v="2"/>
    <n v="1388"/>
    <s v="00B"/>
  </r>
  <r>
    <x v="310"/>
    <x v="644"/>
    <x v="1"/>
    <n v="3407.04"/>
    <s v="00B"/>
  </r>
  <r>
    <x v="311"/>
    <x v="645"/>
    <x v="0"/>
    <n v="12784.127999999999"/>
    <s v="00B"/>
  </r>
  <r>
    <x v="312"/>
    <x v="646"/>
    <x v="0"/>
    <n v="9131.5199999999986"/>
    <s v="00B"/>
  </r>
  <r>
    <x v="313"/>
    <x v="647"/>
    <x v="2"/>
    <n v="1497.6"/>
    <s v="00B"/>
  </r>
  <r>
    <x v="314"/>
    <x v="648"/>
    <x v="1"/>
    <n v="10907.232"/>
    <s v="00B"/>
  </r>
  <r>
    <x v="315"/>
    <x v="649"/>
    <x v="0"/>
    <n v="27074.399999999998"/>
    <s v="00B"/>
  </r>
  <r>
    <x v="316"/>
    <x v="650"/>
    <x v="0"/>
    <n v="2436"/>
    <s v="00B"/>
  </r>
  <r>
    <x v="317"/>
    <x v="651"/>
    <x v="2"/>
    <n v="7688.5"/>
    <s v="00B"/>
  </r>
  <r>
    <x v="317"/>
    <x v="652"/>
    <x v="2"/>
    <n v="263175"/>
    <s v="00B"/>
  </r>
  <r>
    <x v="317"/>
    <x v="653"/>
    <x v="2"/>
    <n v="0.15"/>
    <s v="00B"/>
  </r>
  <r>
    <x v="318"/>
    <x v="654"/>
    <x v="2"/>
    <n v="15719.2"/>
    <s v="00B"/>
  </r>
  <r>
    <x v="318"/>
    <x v="655"/>
    <x v="2"/>
    <n v="1647.08"/>
    <s v="00B"/>
  </r>
  <r>
    <x v="318"/>
    <x v="656"/>
    <x v="2"/>
    <n v="5342.27"/>
    <s v="00B"/>
  </r>
  <r>
    <x v="319"/>
    <x v="657"/>
    <x v="1"/>
    <n v="345.464"/>
    <s v="00B"/>
  </r>
  <r>
    <x v="319"/>
    <x v="658"/>
    <x v="1"/>
    <n v="1031.7439999999999"/>
    <s v="00B"/>
  </r>
  <r>
    <x v="320"/>
    <x v="659"/>
    <x v="2"/>
    <n v="6395"/>
    <s v="00B"/>
  </r>
  <r>
    <x v="321"/>
    <x v="660"/>
    <x v="4"/>
    <n v="3502.5"/>
    <s v="00B"/>
  </r>
  <r>
    <x v="322"/>
    <x v="661"/>
    <x v="2"/>
    <n v="7285.88"/>
    <s v="00B"/>
  </r>
  <r>
    <x v="323"/>
    <x v="662"/>
    <x v="2"/>
    <n v="4000"/>
    <s v="00B"/>
  </r>
  <r>
    <x v="323"/>
    <x v="663"/>
    <x v="2"/>
    <n v="2663.98"/>
    <s v="00B"/>
  </r>
  <r>
    <x v="323"/>
    <x v="664"/>
    <x v="2"/>
    <n v="3404.36"/>
    <s v="00B"/>
  </r>
  <r>
    <x v="323"/>
    <x v="665"/>
    <x v="2"/>
    <n v="23513.54"/>
    <s v="00B"/>
  </r>
  <r>
    <x v="324"/>
    <x v="666"/>
    <x v="2"/>
    <n v="2716.8"/>
    <s v="00B"/>
  </r>
  <r>
    <x v="324"/>
    <x v="667"/>
    <x v="2"/>
    <n v="6.05"/>
    <s v="00B"/>
  </r>
  <r>
    <x v="325"/>
    <x v="668"/>
    <x v="2"/>
    <n v="2861.4"/>
    <s v="00B"/>
  </r>
  <r>
    <x v="326"/>
    <x v="669"/>
    <x v="2"/>
    <n v="1711.99"/>
    <s v="00B"/>
  </r>
  <r>
    <x v="326"/>
    <x v="670"/>
    <x v="2"/>
    <n v="2969.92"/>
    <s v="00B"/>
  </r>
  <r>
    <x v="326"/>
    <x v="671"/>
    <x v="2"/>
    <n v="41832.050000000003"/>
    <s v="00B"/>
  </r>
  <r>
    <x v="326"/>
    <x v="672"/>
    <x v="2"/>
    <n v="4034.1"/>
    <s v="00B"/>
  </r>
  <r>
    <x v="326"/>
    <x v="673"/>
    <x v="2"/>
    <n v="338.2"/>
    <s v="00B"/>
  </r>
  <r>
    <x v="326"/>
    <x v="674"/>
    <x v="2"/>
    <n v="871.6"/>
    <s v="00B"/>
  </r>
  <r>
    <x v="326"/>
    <x v="675"/>
    <x v="2"/>
    <n v="15079.74"/>
    <s v="00B"/>
  </r>
  <r>
    <x v="326"/>
    <x v="676"/>
    <x v="2"/>
    <n v="14868.99"/>
    <s v="00B"/>
  </r>
  <r>
    <x v="327"/>
    <x v="677"/>
    <x v="0"/>
    <n v="3034.8035999999997"/>
    <s v="00B"/>
  </r>
  <r>
    <x v="327"/>
    <x v="678"/>
    <x v="0"/>
    <n v="325.31039999999996"/>
    <s v="00B"/>
  </r>
  <r>
    <x v="327"/>
    <x v="679"/>
    <x v="0"/>
    <n v="597.72479999999996"/>
    <s v="00B"/>
  </r>
  <r>
    <x v="327"/>
    <x v="680"/>
    <x v="0"/>
    <n v="440.79999999999995"/>
    <s v="00B"/>
  </r>
  <r>
    <x v="327"/>
    <x v="681"/>
    <x v="0"/>
    <n v="1848.7151999999999"/>
    <s v="00B"/>
  </r>
  <r>
    <x v="327"/>
    <x v="682"/>
    <x v="0"/>
    <n v="605.33439999999996"/>
    <s v="00B"/>
  </r>
  <r>
    <x v="327"/>
    <x v="683"/>
    <x v="0"/>
    <n v="411.73039999999997"/>
    <s v="00B"/>
  </r>
  <r>
    <x v="328"/>
    <x v="684"/>
    <x v="2"/>
    <n v="7198.65"/>
    <s v="00B"/>
  </r>
  <r>
    <x v="329"/>
    <x v="685"/>
    <x v="2"/>
    <n v="8889.07"/>
    <s v="00B"/>
  </r>
  <r>
    <x v="329"/>
    <x v="686"/>
    <x v="2"/>
    <n v="5697.7"/>
    <s v="00B"/>
  </r>
  <r>
    <x v="329"/>
    <x v="687"/>
    <x v="2"/>
    <n v="6764.5"/>
    <s v="00B"/>
  </r>
  <r>
    <x v="329"/>
    <x v="688"/>
    <x v="2"/>
    <n v="2069.3000000000002"/>
    <s v="00B"/>
  </r>
  <r>
    <x v="329"/>
    <x v="689"/>
    <x v="2"/>
    <n v="18598.099999999999"/>
    <s v="00B"/>
  </r>
  <r>
    <x v="330"/>
    <x v="690"/>
    <x v="2"/>
    <n v="9477"/>
    <s v="00B"/>
  </r>
  <r>
    <x v="331"/>
    <x v="691"/>
    <x v="2"/>
    <n v="324.38"/>
    <s v="00B"/>
  </r>
  <r>
    <x v="331"/>
    <x v="692"/>
    <x v="2"/>
    <n v="346"/>
    <s v="00B"/>
  </r>
  <r>
    <x v="331"/>
    <x v="693"/>
    <x v="2"/>
    <n v="440"/>
    <s v="00B"/>
  </r>
  <r>
    <x v="332"/>
    <x v="694"/>
    <x v="2"/>
    <n v="955"/>
    <s v="00B"/>
  </r>
  <r>
    <x v="333"/>
    <x v="451"/>
    <x v="1"/>
    <n v="2614.4720000000002"/>
    <s v="00B"/>
  </r>
  <r>
    <x v="333"/>
    <x v="695"/>
    <x v="1"/>
    <n v="1619.4639999999999"/>
    <s v="00B"/>
  </r>
  <r>
    <x v="334"/>
    <x v="696"/>
    <x v="2"/>
    <n v="3982"/>
    <s v="00B"/>
  </r>
  <r>
    <x v="334"/>
    <x v="697"/>
    <x v="2"/>
    <n v="325.14999999999998"/>
    <s v="00B"/>
  </r>
  <r>
    <x v="335"/>
    <x v="698"/>
    <x v="0"/>
    <n v="15901.279999999999"/>
    <s v="00B"/>
  </r>
  <r>
    <x v="335"/>
    <x v="699"/>
    <x v="0"/>
    <n v="56175.32"/>
    <s v="00B"/>
  </r>
  <r>
    <x v="336"/>
    <x v="700"/>
    <x v="4"/>
    <n v="41137.5"/>
    <s v="00B"/>
  </r>
  <r>
    <x v="337"/>
    <x v="701"/>
    <x v="2"/>
    <n v="43995.07"/>
    <s v="00B"/>
  </r>
  <r>
    <x v="338"/>
    <x v="702"/>
    <x v="1"/>
    <n v="2826.768"/>
    <s v="00B"/>
  </r>
  <r>
    <x v="339"/>
    <x v="703"/>
    <x v="2"/>
    <n v="16159.86"/>
    <s v="00B"/>
  </r>
  <r>
    <x v="339"/>
    <x v="704"/>
    <x v="2"/>
    <n v="669.8"/>
    <s v="00B"/>
  </r>
  <r>
    <x v="339"/>
    <x v="705"/>
    <x v="0"/>
    <n v="3375.6"/>
    <s v="00B"/>
  </r>
  <r>
    <x v="339"/>
    <x v="706"/>
    <x v="2"/>
    <n v="2.2799999999999998"/>
    <s v="00B"/>
  </r>
  <r>
    <x v="340"/>
    <x v="707"/>
    <x v="0"/>
    <n v="13316.8"/>
    <s v="00B"/>
  </r>
  <r>
    <x v="340"/>
    <x v="328"/>
    <x v="0"/>
    <n v="8700"/>
    <s v="00B"/>
  </r>
  <r>
    <x v="341"/>
    <x v="708"/>
    <x v="2"/>
    <n v="1613.45"/>
    <s v="00B"/>
  </r>
  <r>
    <x v="342"/>
    <x v="709"/>
    <x v="2"/>
    <n v="5682"/>
    <s v="00B"/>
  </r>
  <r>
    <x v="343"/>
    <x v="710"/>
    <x v="2"/>
    <n v="3058"/>
    <s v="00B"/>
  </r>
  <r>
    <x v="343"/>
    <x v="711"/>
    <x v="2"/>
    <n v="1044.31"/>
    <s v="00B"/>
  </r>
  <r>
    <x v="343"/>
    <x v="712"/>
    <x v="2"/>
    <n v="4226.88"/>
    <s v="00B"/>
  </r>
  <r>
    <x v="344"/>
    <x v="713"/>
    <x v="2"/>
    <n v="5767.27"/>
    <s v="00B"/>
  </r>
  <r>
    <x v="344"/>
    <x v="714"/>
    <x v="2"/>
    <n v="2432.35"/>
    <s v="00B"/>
  </r>
  <r>
    <x v="344"/>
    <x v="715"/>
    <x v="2"/>
    <n v="2508.54"/>
    <s v="00B"/>
  </r>
  <r>
    <x v="344"/>
    <x v="716"/>
    <x v="2"/>
    <n v="5326.01"/>
    <s v="00B"/>
  </r>
  <r>
    <x v="345"/>
    <x v="717"/>
    <x v="3"/>
    <n v="2311.5"/>
    <s v="00B"/>
  </r>
  <r>
    <x v="346"/>
    <x v="718"/>
    <x v="1"/>
    <n v="713.4008"/>
    <s v="00B"/>
  </r>
  <r>
    <x v="346"/>
    <x v="719"/>
    <x v="1"/>
    <n v="256.74880000000002"/>
    <s v="00B"/>
  </r>
  <r>
    <x v="346"/>
    <x v="720"/>
    <x v="1"/>
    <n v="173.67840000000001"/>
    <s v="00B"/>
  </r>
  <r>
    <x v="346"/>
    <x v="721"/>
    <x v="1"/>
    <n v="2064.1880000000001"/>
    <s v="00B"/>
  </r>
  <r>
    <x v="347"/>
    <x v="722"/>
    <x v="2"/>
    <n v="1468.39"/>
    <s v="00B"/>
  </r>
  <r>
    <x v="347"/>
    <x v="723"/>
    <x v="2"/>
    <n v="1368.85"/>
    <s v="00B"/>
  </r>
  <r>
    <x v="348"/>
    <x v="724"/>
    <x v="2"/>
    <n v="3654"/>
    <s v="00B"/>
  </r>
  <r>
    <x v="348"/>
    <x v="725"/>
    <x v="2"/>
    <n v="398.46"/>
    <s v="00B"/>
  </r>
  <r>
    <x v="348"/>
    <x v="726"/>
    <x v="2"/>
    <n v="4786.1000000000004"/>
    <s v="00B"/>
  </r>
  <r>
    <x v="349"/>
    <x v="727"/>
    <x v="2"/>
    <n v="713.63"/>
    <s v="00B"/>
  </r>
  <r>
    <x v="350"/>
    <x v="728"/>
    <x v="3"/>
    <n v="3618"/>
    <s v="00B"/>
  </r>
  <r>
    <x v="351"/>
    <x v="729"/>
    <x v="5"/>
    <n v="3355.36"/>
    <s v="00B"/>
  </r>
  <r>
    <x v="352"/>
    <x v="730"/>
    <x v="1"/>
    <n v="664.048"/>
    <s v="00B"/>
  </r>
  <r>
    <x v="353"/>
    <x v="731"/>
    <x v="2"/>
    <n v="10105.09"/>
    <s v="00B"/>
  </r>
  <r>
    <x v="354"/>
    <x v="732"/>
    <x v="2"/>
    <n v="6668"/>
    <s v="00B"/>
  </r>
  <r>
    <x v="355"/>
    <x v="733"/>
    <x v="2"/>
    <n v="5357.86"/>
    <s v="00B"/>
  </r>
  <r>
    <x v="355"/>
    <x v="734"/>
    <x v="2"/>
    <n v="14107"/>
    <s v="00B"/>
  </r>
  <r>
    <x v="355"/>
    <x v="735"/>
    <x v="2"/>
    <n v="1568"/>
    <s v="00B"/>
  </r>
  <r>
    <x v="356"/>
    <x v="736"/>
    <x v="2"/>
    <n v="8793.75"/>
    <s v="00B"/>
  </r>
  <r>
    <x v="356"/>
    <x v="737"/>
    <x v="2"/>
    <n v="967.52"/>
    <s v="00B"/>
  </r>
  <r>
    <x v="356"/>
    <x v="738"/>
    <x v="2"/>
    <n v="205.79"/>
    <s v="00B"/>
  </r>
  <r>
    <x v="356"/>
    <x v="739"/>
    <x v="2"/>
    <n v="238.98"/>
    <s v="00B"/>
  </r>
  <r>
    <x v="356"/>
    <x v="740"/>
    <x v="2"/>
    <n v="477.96"/>
    <s v="00B"/>
  </r>
  <r>
    <x v="357"/>
    <x v="741"/>
    <x v="2"/>
    <n v="9578.58"/>
    <s v="00B"/>
  </r>
  <r>
    <x v="357"/>
    <x v="742"/>
    <x v="2"/>
    <n v="1299"/>
    <s v="00B"/>
  </r>
  <r>
    <x v="357"/>
    <x v="742"/>
    <x v="2"/>
    <n v="1299"/>
    <s v="00B"/>
  </r>
  <r>
    <x v="357"/>
    <x v="743"/>
    <x v="2"/>
    <n v="1039.2"/>
    <s v="00B"/>
  </r>
  <r>
    <x v="358"/>
    <x v="744"/>
    <x v="2"/>
    <n v="1917.44"/>
    <s v="00B"/>
  </r>
  <r>
    <x v="359"/>
    <x v="745"/>
    <x v="0"/>
    <n v="15717.999999999998"/>
    <s v="00B"/>
  </r>
  <r>
    <x v="360"/>
    <x v="484"/>
    <x v="1"/>
    <n v="939.68000000000006"/>
    <s v="00B"/>
  </r>
  <r>
    <x v="360"/>
    <x v="484"/>
    <x v="1"/>
    <n v="939.68000000000006"/>
    <s v="00B"/>
  </r>
  <r>
    <x v="360"/>
    <x v="746"/>
    <x v="1"/>
    <n v="627.08799999999997"/>
    <s v="00B"/>
  </r>
  <r>
    <x v="360"/>
    <x v="747"/>
    <x v="1"/>
    <n v="4807.04"/>
    <s v="00B"/>
  </r>
  <r>
    <x v="361"/>
    <x v="748"/>
    <x v="2"/>
    <n v="1971.8"/>
    <s v="00B"/>
  </r>
  <r>
    <x v="362"/>
    <x v="749"/>
    <x v="0"/>
    <n v="328.62799999999999"/>
    <s v="00B"/>
  </r>
  <r>
    <x v="362"/>
    <x v="750"/>
    <x v="0"/>
    <n v="1009.1999999999999"/>
    <s v="00B"/>
  </r>
  <r>
    <x v="362"/>
    <x v="751"/>
    <x v="0"/>
    <n v="169.01199999999997"/>
    <s v="00B"/>
  </r>
  <r>
    <x v="363"/>
    <x v="752"/>
    <x v="3"/>
    <n v="2010.0000000000002"/>
    <s v="00B"/>
  </r>
  <r>
    <x v="364"/>
    <x v="753"/>
    <x v="2"/>
    <n v="3097.62"/>
    <s v="00B"/>
  </r>
  <r>
    <x v="365"/>
    <x v="754"/>
    <x v="2"/>
    <n v="4711.78"/>
    <s v="00B"/>
  </r>
  <r>
    <x v="366"/>
    <x v="755"/>
    <x v="2"/>
    <n v="2528.67"/>
    <s v="00B"/>
  </r>
  <r>
    <x v="367"/>
    <x v="756"/>
    <x v="2"/>
    <n v="1877"/>
    <s v="00B"/>
  </r>
  <r>
    <x v="368"/>
    <x v="757"/>
    <x v="3"/>
    <n v="5547.6"/>
    <s v="00B"/>
  </r>
  <r>
    <x v="368"/>
    <x v="623"/>
    <x v="5"/>
    <n v="3778.8"/>
    <s v="00B"/>
  </r>
  <r>
    <x v="369"/>
    <x v="758"/>
    <x v="0"/>
    <n v="3312.9599999999996"/>
    <s v="00B"/>
  </r>
  <r>
    <x v="370"/>
    <x v="759"/>
    <x v="2"/>
    <n v="1560.56"/>
    <s v="00B"/>
  </r>
  <r>
    <x v="371"/>
    <x v="760"/>
    <x v="4"/>
    <n v="2562.5"/>
    <s v="00B"/>
  </r>
  <r>
    <x v="371"/>
    <x v="250"/>
    <x v="4"/>
    <n v="5125"/>
    <s v="00B"/>
  </r>
  <r>
    <x v="372"/>
    <x v="761"/>
    <x v="0"/>
    <n v="4663.2"/>
    <s v="00B"/>
  </r>
  <r>
    <x v="373"/>
    <x v="762"/>
    <x v="2"/>
    <n v="5322"/>
    <s v="00B"/>
  </r>
  <r>
    <x v="374"/>
    <x v="763"/>
    <x v="0"/>
    <n v="2343.7799999999997"/>
    <s v="00B"/>
  </r>
  <r>
    <x v="375"/>
    <x v="764"/>
    <x v="2"/>
    <n v="4226"/>
    <s v="00B"/>
  </r>
  <r>
    <x v="376"/>
    <x v="765"/>
    <x v="0"/>
    <n v="11101.199999999999"/>
    <s v="00B"/>
  </r>
  <r>
    <x v="377"/>
    <x v="766"/>
    <x v="0"/>
    <n v="8578.1999999999989"/>
    <s v="00B"/>
  </r>
  <r>
    <x v="378"/>
    <x v="767"/>
    <x v="2"/>
    <n v="23716"/>
    <s v="00B"/>
  </r>
  <r>
    <x v="379"/>
    <x v="768"/>
    <x v="2"/>
    <n v="3534"/>
    <s v="00B"/>
  </r>
  <r>
    <x v="379"/>
    <x v="769"/>
    <x v="2"/>
    <n v="2527"/>
    <s v="00B"/>
  </r>
  <r>
    <x v="379"/>
    <x v="770"/>
    <x v="2"/>
    <n v="548"/>
    <s v="00B"/>
  </r>
  <r>
    <x v="380"/>
    <x v="771"/>
    <x v="2"/>
    <n v="18638.25"/>
    <s v="00B"/>
  </r>
  <r>
    <x v="381"/>
    <x v="772"/>
    <x v="0"/>
    <n v="8386.7999999999993"/>
    <s v="00B"/>
  </r>
  <r>
    <x v="382"/>
    <x v="773"/>
    <x v="4"/>
    <n v="595"/>
    <s v="00B"/>
  </r>
  <r>
    <x v="382"/>
    <x v="774"/>
    <x v="4"/>
    <n v="5345"/>
    <s v="00B"/>
  </r>
  <r>
    <x v="383"/>
    <x v="775"/>
    <x v="2"/>
    <n v="2915.89"/>
    <s v="00B"/>
  </r>
  <r>
    <x v="383"/>
    <x v="776"/>
    <x v="2"/>
    <n v="2255.5"/>
    <s v="00B"/>
  </r>
  <r>
    <x v="384"/>
    <x v="777"/>
    <x v="0"/>
    <n v="2227.1999999999998"/>
    <s v="00B"/>
  </r>
  <r>
    <x v="385"/>
    <x v="778"/>
    <x v="0"/>
    <n v="3491.6"/>
    <s v="00B"/>
  </r>
  <r>
    <x v="386"/>
    <x v="416"/>
    <x v="2"/>
    <n v="3000"/>
    <s v="00B"/>
  </r>
  <r>
    <x v="386"/>
    <x v="779"/>
    <x v="2"/>
    <n v="4360.8"/>
    <s v="00B"/>
  </r>
  <r>
    <x v="387"/>
    <x v="780"/>
    <x v="6"/>
    <n v="2430.3040000000001"/>
    <s v="00B"/>
  </r>
  <r>
    <x v="388"/>
    <x v="781"/>
    <x v="6"/>
    <n v="1502.88"/>
    <s v="00B"/>
  </r>
  <r>
    <x v="388"/>
    <x v="782"/>
    <x v="6"/>
    <n v="731.2"/>
    <s v="00B"/>
  </r>
  <r>
    <x v="389"/>
    <x v="783"/>
    <x v="3"/>
    <n v="1648.6020000000001"/>
    <s v="00B"/>
  </r>
  <r>
    <x v="390"/>
    <x v="749"/>
    <x v="2"/>
    <n v="283.3"/>
    <s v="00B"/>
  </r>
  <r>
    <x v="390"/>
    <x v="751"/>
    <x v="2"/>
    <n v="145.69999999999999"/>
    <s v="00B"/>
  </r>
  <r>
    <x v="391"/>
    <x v="784"/>
    <x v="1"/>
    <n v="899.69600000000003"/>
    <s v="00B"/>
  </r>
  <r>
    <x v="391"/>
    <x v="785"/>
    <x v="2"/>
    <n v="749.21"/>
    <s v="00B"/>
  </r>
  <r>
    <x v="391"/>
    <x v="786"/>
    <x v="2"/>
    <n v="134.24"/>
    <s v="00B"/>
  </r>
  <r>
    <x v="391"/>
    <x v="787"/>
    <x v="2"/>
    <n v="959.68"/>
    <s v="00B"/>
  </r>
  <r>
    <x v="391"/>
    <x v="788"/>
    <x v="1"/>
    <n v="259.78399999999999"/>
    <s v="00B"/>
  </r>
  <r>
    <x v="391"/>
    <x v="789"/>
    <x v="1"/>
    <n v="236.32"/>
    <s v="00B"/>
  </r>
  <r>
    <x v="391"/>
    <x v="790"/>
    <x v="1"/>
    <n v="1233.68"/>
    <s v="00B"/>
  </r>
  <r>
    <x v="391"/>
    <x v="791"/>
    <x v="1"/>
    <n v="602.50400000000002"/>
    <s v="00B"/>
  </r>
  <r>
    <x v="391"/>
    <x v="792"/>
    <x v="1"/>
    <n v="1550.808"/>
    <s v="00B"/>
  </r>
  <r>
    <x v="392"/>
    <x v="793"/>
    <x v="0"/>
    <n v="4210.7999999999993"/>
    <s v="00B"/>
  </r>
  <r>
    <x v="393"/>
    <x v="794"/>
    <x v="0"/>
    <n v="4092.4799999999996"/>
    <s v="00B"/>
  </r>
  <r>
    <x v="394"/>
    <x v="86"/>
    <x v="3"/>
    <n v="6700"/>
    <s v="00B"/>
  </r>
  <r>
    <x v="395"/>
    <x v="795"/>
    <x v="0"/>
    <n v="1416.36"/>
    <s v="00B"/>
  </r>
  <r>
    <x v="396"/>
    <x v="796"/>
    <x v="0"/>
    <n v="1343.3263999999999"/>
    <s v="00B"/>
  </r>
  <r>
    <x v="397"/>
    <x v="765"/>
    <x v="0"/>
    <n v="11101.199999999999"/>
    <s v="00B"/>
  </r>
  <r>
    <x v="398"/>
    <x v="797"/>
    <x v="0"/>
    <n v="231.99999999999997"/>
    <s v="00B"/>
  </r>
  <r>
    <x v="399"/>
    <x v="766"/>
    <x v="0"/>
    <n v="8578.1999999999989"/>
    <s v="00B"/>
  </r>
  <r>
    <x v="400"/>
    <x v="798"/>
    <x v="6"/>
    <n v="8448"/>
    <s v="00B"/>
  </r>
  <r>
    <x v="401"/>
    <x v="799"/>
    <x v="2"/>
    <n v="3017.44"/>
    <s v="00B"/>
  </r>
  <r>
    <x v="402"/>
    <x v="800"/>
    <x v="2"/>
    <n v="2566.4"/>
    <s v="00B"/>
  </r>
  <r>
    <x v="403"/>
    <x v="801"/>
    <x v="2"/>
    <n v="1515.02"/>
    <s v="00B"/>
  </r>
  <r>
    <x v="404"/>
    <x v="802"/>
    <x v="2"/>
    <n v="1200"/>
    <s v="00B"/>
  </r>
  <r>
    <x v="405"/>
    <x v="803"/>
    <x v="6"/>
    <n v="3325.1200000000003"/>
    <s v="00B"/>
  </r>
  <r>
    <x v="405"/>
    <x v="804"/>
    <x v="6"/>
    <n v="6079.68"/>
    <s v="00B"/>
  </r>
  <r>
    <x v="405"/>
    <x v="805"/>
    <x v="6"/>
    <n v="4871.7120000000004"/>
    <s v="00B"/>
  </r>
  <r>
    <x v="405"/>
    <x v="806"/>
    <x v="6"/>
    <n v="1774.4896000000001"/>
    <s v="00B"/>
  </r>
  <r>
    <x v="405"/>
    <x v="807"/>
    <x v="6"/>
    <n v="3917.9136000000003"/>
    <s v="00B"/>
  </r>
  <r>
    <x v="406"/>
    <x v="808"/>
    <x v="2"/>
    <n v="1815"/>
    <s v="00B"/>
  </r>
  <r>
    <x v="406"/>
    <x v="809"/>
    <x v="2"/>
    <n v="2880"/>
    <s v="00B"/>
  </r>
  <r>
    <x v="406"/>
    <x v="810"/>
    <x v="2"/>
    <n v="2670.08"/>
    <s v="00B"/>
  </r>
  <r>
    <x v="406"/>
    <x v="808"/>
    <x v="2"/>
    <n v="1815"/>
    <s v="00B"/>
  </r>
  <r>
    <x v="406"/>
    <x v="811"/>
    <x v="2"/>
    <n v="861.84"/>
    <s v="00B"/>
  </r>
  <r>
    <x v="406"/>
    <x v="812"/>
    <x v="2"/>
    <n v="1191.21"/>
    <s v="00B"/>
  </r>
  <r>
    <x v="406"/>
    <x v="813"/>
    <x v="2"/>
    <n v="1180"/>
    <s v="00B"/>
  </r>
  <r>
    <x v="406"/>
    <x v="811"/>
    <x v="2"/>
    <n v="861.84"/>
    <s v="00B"/>
  </r>
  <r>
    <x v="407"/>
    <x v="814"/>
    <x v="0"/>
    <n v="2236.8047999999999"/>
    <s v="00B"/>
  </r>
  <r>
    <x v="408"/>
    <x v="815"/>
    <x v="2"/>
    <n v="4760"/>
    <s v="00B"/>
  </r>
  <r>
    <x v="409"/>
    <x v="816"/>
    <x v="0"/>
    <n v="2308.3999999999996"/>
    <s v="00B"/>
  </r>
  <r>
    <x v="410"/>
    <x v="817"/>
    <x v="2"/>
    <n v="260"/>
    <s v="00B"/>
  </r>
  <r>
    <x v="411"/>
    <x v="818"/>
    <x v="2"/>
    <n v="1980"/>
    <s v="00B"/>
  </r>
  <r>
    <x v="412"/>
    <x v="819"/>
    <x v="2"/>
    <n v="145.9"/>
    <s v="00B"/>
  </r>
  <r>
    <x v="413"/>
    <x v="820"/>
    <x v="2"/>
    <n v="2724.75"/>
    <s v="00B"/>
  </r>
  <r>
    <x v="414"/>
    <x v="821"/>
    <x v="1"/>
    <n v="437.24799999999999"/>
    <s v="00B"/>
  </r>
  <r>
    <x v="414"/>
    <x v="822"/>
    <x v="1"/>
    <n v="902.94400000000007"/>
    <s v="00B"/>
  </r>
  <r>
    <x v="414"/>
    <x v="823"/>
    <x v="1"/>
    <n v="208.54400000000001"/>
    <s v="00B"/>
  </r>
  <r>
    <x v="414"/>
    <x v="824"/>
    <x v="1"/>
    <n v="241.75200000000001"/>
    <s v="00B"/>
  </r>
  <r>
    <x v="414"/>
    <x v="825"/>
    <x v="1"/>
    <n v="446.65600000000001"/>
    <s v="00B"/>
  </r>
  <r>
    <x v="414"/>
    <x v="826"/>
    <x v="1"/>
    <n v="193.14400000000001"/>
    <s v="00B"/>
  </r>
  <r>
    <x v="415"/>
    <x v="827"/>
    <x v="2"/>
    <n v="20000"/>
    <s v="00B"/>
  </r>
  <r>
    <x v="416"/>
    <x v="828"/>
    <x v="1"/>
    <n v="565.82399999999996"/>
    <s v="00B"/>
  </r>
  <r>
    <x v="417"/>
    <x v="829"/>
    <x v="1"/>
    <n v="705.93600000000004"/>
    <s v="00B"/>
  </r>
  <r>
    <x v="418"/>
    <x v="830"/>
    <x v="2"/>
    <n v="940"/>
    <s v="00B"/>
  </r>
  <r>
    <x v="419"/>
    <x v="831"/>
    <x v="2"/>
    <n v="2016.88"/>
    <s v="00B"/>
  </r>
  <r>
    <x v="419"/>
    <x v="832"/>
    <x v="2"/>
    <n v="3716.82"/>
    <s v="00B"/>
  </r>
  <r>
    <x v="420"/>
    <x v="833"/>
    <x v="2"/>
    <n v="8228"/>
    <s v="00B"/>
  </r>
  <r>
    <x v="421"/>
    <x v="834"/>
    <x v="0"/>
    <n v="5452"/>
    <s v="00B"/>
  </r>
  <r>
    <x v="422"/>
    <x v="835"/>
    <x v="2"/>
    <n v="2004.02"/>
    <s v="00B"/>
  </r>
  <r>
    <x v="423"/>
    <x v="836"/>
    <x v="2"/>
    <n v="4956.01"/>
    <s v="00B"/>
  </r>
  <r>
    <x v="424"/>
    <x v="837"/>
    <x v="2"/>
    <n v="5985"/>
    <s v="00B"/>
  </r>
  <r>
    <x v="425"/>
    <x v="838"/>
    <x v="0"/>
    <n v="3731.2095999999997"/>
    <s v="00B"/>
  </r>
  <r>
    <x v="425"/>
    <x v="839"/>
    <x v="0"/>
    <n v="1531.1999999999998"/>
    <s v="00B"/>
  </r>
  <r>
    <x v="425"/>
    <x v="840"/>
    <x v="0"/>
    <n v="3220.0672"/>
    <s v="00B"/>
  </r>
  <r>
    <x v="425"/>
    <x v="841"/>
    <x v="0"/>
    <n v="2677.8368"/>
    <s v="00B"/>
  </r>
  <r>
    <x v="425"/>
    <x v="842"/>
    <x v="0"/>
    <n v="5858.0811999999996"/>
    <s v="00B"/>
  </r>
  <r>
    <x v="425"/>
    <x v="843"/>
    <x v="0"/>
    <n v="633.3599999999999"/>
    <s v="00B"/>
  </r>
  <r>
    <x v="425"/>
    <x v="844"/>
    <x v="0"/>
    <n v="3124.9703999999997"/>
    <s v="00B"/>
  </r>
  <r>
    <x v="425"/>
    <x v="845"/>
    <x v="0"/>
    <n v="1342.3519999999999"/>
    <s v="00B"/>
  </r>
  <r>
    <x v="425"/>
    <x v="846"/>
    <x v="0"/>
    <n v="504.36799999999999"/>
    <s v="00B"/>
  </r>
  <r>
    <x v="425"/>
    <x v="847"/>
    <x v="0"/>
    <n v="662.3599999999999"/>
    <s v="00B"/>
  </r>
  <r>
    <x v="426"/>
    <x v="848"/>
    <x v="2"/>
    <n v="1876.62"/>
    <s v="00B"/>
  </r>
  <r>
    <x v="427"/>
    <x v="849"/>
    <x v="2"/>
    <n v="937.27"/>
    <s v="00B"/>
  </r>
  <r>
    <x v="427"/>
    <x v="850"/>
    <x v="2"/>
    <n v="2171.46"/>
    <s v="00B"/>
  </r>
  <r>
    <x v="428"/>
    <x v="464"/>
    <x v="0"/>
    <n v="4176"/>
    <s v="00B"/>
  </r>
  <r>
    <x v="428"/>
    <x v="851"/>
    <x v="0"/>
    <n v="16123.999999999998"/>
    <s v="00B"/>
  </r>
  <r>
    <x v="428"/>
    <x v="852"/>
    <x v="0"/>
    <n v="1782.7924"/>
    <s v="00B"/>
  </r>
  <r>
    <x v="429"/>
    <x v="853"/>
    <x v="2"/>
    <n v="2313.5"/>
    <s v="00B"/>
  </r>
  <r>
    <x v="430"/>
    <x v="854"/>
    <x v="2"/>
    <n v="11383"/>
    <s v="00B"/>
  </r>
  <r>
    <x v="431"/>
    <x v="855"/>
    <x v="2"/>
    <n v="2878"/>
    <s v="00B"/>
  </r>
  <r>
    <x v="431"/>
    <x v="856"/>
    <x v="2"/>
    <n v="2552"/>
    <s v="00B"/>
  </r>
  <r>
    <x v="431"/>
    <x v="857"/>
    <x v="2"/>
    <n v="1292.04"/>
    <s v="00B"/>
  </r>
  <r>
    <x v="431"/>
    <x v="858"/>
    <x v="2"/>
    <n v="2888"/>
    <s v="00B"/>
  </r>
  <r>
    <x v="431"/>
    <x v="859"/>
    <x v="1"/>
    <n v="304.69600000000003"/>
    <s v="00B"/>
  </r>
  <r>
    <x v="431"/>
    <x v="860"/>
    <x v="1"/>
    <n v="231.44800000000001"/>
    <s v="00B"/>
  </r>
  <r>
    <x v="432"/>
    <x v="861"/>
    <x v="3"/>
    <n v="4128.54"/>
    <s v="00B"/>
  </r>
  <r>
    <x v="433"/>
    <x v="862"/>
    <x v="2"/>
    <n v="194.6"/>
    <s v="00B"/>
  </r>
  <r>
    <x v="434"/>
    <x v="863"/>
    <x v="0"/>
    <n v="956.99999999999989"/>
    <s v="00B"/>
  </r>
  <r>
    <x v="434"/>
    <x v="864"/>
    <x v="0"/>
    <n v="577.27399999999989"/>
    <s v="00B"/>
  </r>
  <r>
    <x v="434"/>
    <x v="865"/>
    <x v="0"/>
    <n v="792.28"/>
    <s v="00B"/>
  </r>
  <r>
    <x v="434"/>
    <x v="866"/>
    <x v="0"/>
    <n v="477.91999999999996"/>
    <s v="00B"/>
  </r>
  <r>
    <x v="435"/>
    <x v="867"/>
    <x v="2"/>
    <n v="3288.3"/>
    <s v="00B"/>
  </r>
  <r>
    <x v="436"/>
    <x v="868"/>
    <x v="0"/>
    <n v="7493.5999999999995"/>
    <s v="00B"/>
  </r>
  <r>
    <x v="437"/>
    <x v="869"/>
    <x v="0"/>
    <n v="4721.2"/>
    <s v="00B"/>
  </r>
  <r>
    <x v="437"/>
    <x v="870"/>
    <x v="0"/>
    <n v="3190"/>
    <s v="00B"/>
  </r>
  <r>
    <x v="437"/>
    <x v="871"/>
    <x v="0"/>
    <n v="179.79999999999998"/>
    <s v="00B"/>
  </r>
  <r>
    <x v="438"/>
    <x v="872"/>
    <x v="2"/>
    <n v="10314.799999999999"/>
    <s v="00B"/>
  </r>
  <r>
    <x v="438"/>
    <x v="423"/>
    <x v="2"/>
    <n v="8071.6"/>
    <s v="00B"/>
  </r>
  <r>
    <x v="438"/>
    <x v="873"/>
    <x v="2"/>
    <n v="2234.15"/>
    <s v="00B"/>
  </r>
  <r>
    <x v="438"/>
    <x v="874"/>
    <x v="2"/>
    <n v="2886.66"/>
    <s v="00B"/>
  </r>
  <r>
    <x v="439"/>
    <x v="875"/>
    <x v="2"/>
    <n v="1040"/>
    <s v="00B"/>
  </r>
  <r>
    <x v="439"/>
    <x v="876"/>
    <x v="2"/>
    <n v="785"/>
    <s v="00B"/>
  </r>
  <r>
    <x v="440"/>
    <x v="817"/>
    <x v="2"/>
    <n v="260"/>
    <s v="00B"/>
  </r>
  <r>
    <x v="441"/>
    <x v="877"/>
    <x v="2"/>
    <n v="3915"/>
    <s v="00B"/>
  </r>
  <r>
    <x v="442"/>
    <x v="878"/>
    <x v="2"/>
    <n v="796.16"/>
    <s v="00B"/>
  </r>
  <r>
    <x v="443"/>
    <x v="879"/>
    <x v="2"/>
    <n v="9630.94"/>
    <s v="00B"/>
  </r>
  <r>
    <x v="443"/>
    <x v="880"/>
    <x v="2"/>
    <n v="195"/>
    <s v="00B"/>
  </r>
  <r>
    <x v="444"/>
    <x v="881"/>
    <x v="2"/>
    <n v="10334.1"/>
    <s v="00B"/>
  </r>
  <r>
    <x v="445"/>
    <x v="882"/>
    <x v="2"/>
    <n v="13614"/>
    <s v="00B"/>
  </r>
  <r>
    <x v="445"/>
    <x v="883"/>
    <x v="2"/>
    <n v="3539.89"/>
    <s v="00B"/>
  </r>
  <r>
    <x v="445"/>
    <x v="884"/>
    <x v="2"/>
    <n v="10773.58"/>
    <s v="00B"/>
  </r>
  <r>
    <x v="445"/>
    <x v="885"/>
    <x v="2"/>
    <n v="1859.83"/>
    <s v="00B"/>
  </r>
  <r>
    <x v="446"/>
    <x v="886"/>
    <x v="4"/>
    <n v="4725"/>
    <s v="00B"/>
  </r>
  <r>
    <x v="447"/>
    <x v="887"/>
    <x v="0"/>
    <n v="6525"/>
    <s v="00B"/>
  </r>
  <r>
    <x v="447"/>
    <x v="797"/>
    <x v="0"/>
    <n v="231.99999999999997"/>
    <s v="00B"/>
  </r>
  <r>
    <x v="447"/>
    <x v="797"/>
    <x v="0"/>
    <n v="231.99999999999997"/>
    <s v="00B"/>
  </r>
  <r>
    <x v="448"/>
    <x v="888"/>
    <x v="0"/>
    <n v="5574.3219999999992"/>
    <s v="00B"/>
  </r>
  <r>
    <x v="448"/>
    <x v="889"/>
    <x v="0"/>
    <n v="557.43799999999999"/>
    <s v="00B"/>
  </r>
  <r>
    <x v="449"/>
    <x v="890"/>
    <x v="0"/>
    <n v="14012.8"/>
    <s v="00B"/>
  </r>
  <r>
    <x v="450"/>
    <x v="891"/>
    <x v="2"/>
    <n v="10013"/>
    <s v="00B"/>
  </r>
  <r>
    <x v="450"/>
    <x v="892"/>
    <x v="2"/>
    <n v="25800"/>
    <s v="00B"/>
  </r>
  <r>
    <x v="451"/>
    <x v="893"/>
    <x v="1"/>
    <n v="1689.3155999999999"/>
    <s v="00B"/>
  </r>
  <r>
    <x v="452"/>
    <x v="894"/>
    <x v="2"/>
    <n v="384.51"/>
    <s v="00B"/>
  </r>
  <r>
    <x v="453"/>
    <x v="895"/>
    <x v="2"/>
    <n v="1349"/>
    <s v="00B"/>
  </r>
  <r>
    <x v="454"/>
    <x v="896"/>
    <x v="2"/>
    <n v="25262.06"/>
    <s v="00B"/>
  </r>
  <r>
    <x v="454"/>
    <x v="897"/>
    <x v="2"/>
    <n v="30159.07"/>
    <s v="00B"/>
  </r>
  <r>
    <x v="454"/>
    <x v="263"/>
    <x v="2"/>
    <n v="14"/>
    <s v="00B"/>
  </r>
  <r>
    <x v="454"/>
    <x v="898"/>
    <x v="2"/>
    <n v="2394"/>
    <s v="00B"/>
  </r>
  <r>
    <x v="454"/>
    <x v="899"/>
    <x v="2"/>
    <n v="690"/>
    <s v="00B"/>
  </r>
  <r>
    <x v="454"/>
    <x v="900"/>
    <x v="2"/>
    <n v="350"/>
    <s v="00B"/>
  </r>
  <r>
    <x v="455"/>
    <x v="901"/>
    <x v="2"/>
    <n v="6075"/>
    <s v="00B"/>
  </r>
  <r>
    <x v="456"/>
    <x v="902"/>
    <x v="2"/>
    <n v="17512"/>
    <s v="00B"/>
  </r>
  <r>
    <x v="457"/>
    <x v="903"/>
    <x v="2"/>
    <n v="9701.2199999999993"/>
    <s v="00B"/>
  </r>
  <r>
    <x v="458"/>
    <x v="904"/>
    <x v="2"/>
    <n v="16650"/>
    <s v="00B"/>
  </r>
  <r>
    <x v="459"/>
    <x v="905"/>
    <x v="2"/>
    <n v="5283.88"/>
    <s v="00B"/>
  </r>
  <r>
    <x v="459"/>
    <x v="906"/>
    <x v="2"/>
    <n v="1896.15"/>
    <s v="00B"/>
  </r>
  <r>
    <x v="459"/>
    <x v="907"/>
    <x v="2"/>
    <n v="2436.2800000000002"/>
    <s v="00B"/>
  </r>
  <r>
    <x v="460"/>
    <x v="908"/>
    <x v="0"/>
    <n v="4440.4799999999996"/>
    <s v="00B"/>
  </r>
  <r>
    <x v="460"/>
    <x v="909"/>
    <x v="0"/>
    <n v="1440.7199999999998"/>
    <s v="00B"/>
  </r>
  <r>
    <x v="461"/>
    <x v="910"/>
    <x v="0"/>
    <n v="1930.2399999999998"/>
    <s v="00B"/>
  </r>
  <r>
    <x v="461"/>
    <x v="911"/>
    <x v="0"/>
    <n v="683.29799999999989"/>
    <s v="00B"/>
  </r>
  <r>
    <x v="462"/>
    <x v="623"/>
    <x v="0"/>
    <n v="3271.2"/>
    <s v="00B"/>
  </r>
  <r>
    <x v="462"/>
    <x v="912"/>
    <x v="0"/>
    <n v="2412.7999999999997"/>
    <s v="00B"/>
  </r>
  <r>
    <x v="462"/>
    <x v="913"/>
    <x v="0"/>
    <n v="1809.6"/>
    <s v="00B"/>
  </r>
  <r>
    <x v="463"/>
    <x v="914"/>
    <x v="2"/>
    <n v="8635.7000000000007"/>
    <s v="00B"/>
  </r>
  <r>
    <x v="463"/>
    <x v="915"/>
    <x v="2"/>
    <n v="12070.1"/>
    <s v="00B"/>
  </r>
  <r>
    <x v="464"/>
    <x v="916"/>
    <x v="0"/>
    <n v="7191.9999999999991"/>
    <s v="00B"/>
  </r>
  <r>
    <x v="464"/>
    <x v="917"/>
    <x v="0"/>
    <n v="7075.9999999999991"/>
    <s v="00B"/>
  </r>
  <r>
    <x v="465"/>
    <x v="918"/>
    <x v="2"/>
    <n v="5283"/>
    <s v="00B"/>
  </r>
  <r>
    <x v="465"/>
    <x v="919"/>
    <x v="2"/>
    <n v="4070.77"/>
    <s v="00B"/>
  </r>
  <r>
    <x v="465"/>
    <x v="920"/>
    <x v="2"/>
    <n v="8485.1200000000008"/>
    <s v="00B"/>
  </r>
  <r>
    <x v="465"/>
    <x v="921"/>
    <x v="2"/>
    <n v="937.34"/>
    <s v="00B"/>
  </r>
  <r>
    <x v="465"/>
    <x v="922"/>
    <x v="2"/>
    <n v="7188.4"/>
    <s v="00B"/>
  </r>
  <r>
    <x v="465"/>
    <x v="923"/>
    <x v="2"/>
    <n v="2690.76"/>
    <s v="00B"/>
  </r>
  <r>
    <x v="465"/>
    <x v="924"/>
    <x v="2"/>
    <n v="2835"/>
    <s v="00B"/>
  </r>
  <r>
    <x v="466"/>
    <x v="925"/>
    <x v="2"/>
    <n v="1915.02"/>
    <s v="00B"/>
  </r>
  <r>
    <x v="467"/>
    <x v="926"/>
    <x v="2"/>
    <n v="11714.05"/>
    <s v="00B"/>
  </r>
  <r>
    <x v="468"/>
    <x v="927"/>
    <x v="2"/>
    <n v="13873.49"/>
    <s v="00B"/>
  </r>
  <r>
    <x v="469"/>
    <x v="928"/>
    <x v="2"/>
    <n v="5199"/>
    <s v="00B"/>
  </r>
  <r>
    <x v="469"/>
    <x v="929"/>
    <x v="2"/>
    <n v="3499"/>
    <s v="00B"/>
  </r>
  <r>
    <x v="469"/>
    <x v="406"/>
    <x v="2"/>
    <n v="1750"/>
    <s v="00B"/>
  </r>
  <r>
    <x v="470"/>
    <x v="930"/>
    <x v="0"/>
    <n v="31699.319999999996"/>
    <s v="00B"/>
  </r>
  <r>
    <x v="471"/>
    <x v="931"/>
    <x v="1"/>
    <n v="1098.72"/>
    <s v="00B"/>
  </r>
  <r>
    <x v="472"/>
    <x v="932"/>
    <x v="2"/>
    <n v="6053.6"/>
    <s v="00B"/>
  </r>
  <r>
    <x v="473"/>
    <x v="933"/>
    <x v="2"/>
    <n v="1067.6400000000001"/>
    <s v="00B"/>
  </r>
  <r>
    <x v="474"/>
    <x v="934"/>
    <x v="0"/>
    <n v="1162.4359999999999"/>
    <s v="00B"/>
  </r>
  <r>
    <x v="475"/>
    <x v="935"/>
    <x v="2"/>
    <n v="319329"/>
    <s v="00B"/>
  </r>
  <r>
    <x v="475"/>
    <x v="936"/>
    <x v="2"/>
    <n v="39015"/>
    <s v="00B"/>
  </r>
  <r>
    <x v="475"/>
    <x v="937"/>
    <x v="2"/>
    <n v="59961.1"/>
    <s v="00B"/>
  </r>
  <r>
    <x v="476"/>
    <x v="938"/>
    <x v="2"/>
    <n v="17247.439999999999"/>
    <s v="00B"/>
  </r>
  <r>
    <x v="477"/>
    <x v="939"/>
    <x v="2"/>
    <n v="65660.42"/>
    <s v="00B"/>
  </r>
  <r>
    <x v="478"/>
    <x v="940"/>
    <x v="0"/>
    <n v="2114.6799999999998"/>
    <s v="00B"/>
  </r>
  <r>
    <x v="479"/>
    <x v="941"/>
    <x v="0"/>
    <n v="6894.576"/>
    <s v="00B"/>
  </r>
  <r>
    <x v="480"/>
    <x v="942"/>
    <x v="6"/>
    <n v="1702.72"/>
    <s v="00B"/>
  </r>
  <r>
    <x v="480"/>
    <x v="942"/>
    <x v="6"/>
    <n v="1702.72"/>
    <s v="00B"/>
  </r>
  <r>
    <x v="480"/>
    <x v="943"/>
    <x v="6"/>
    <n v="2733.5680000000002"/>
    <s v="00B"/>
  </r>
  <r>
    <x v="481"/>
    <x v="942"/>
    <x v="6"/>
    <n v="1702.72"/>
    <s v="00B"/>
  </r>
  <r>
    <x v="481"/>
    <x v="944"/>
    <x v="6"/>
    <n v="5996.8"/>
    <s v="00B"/>
  </r>
  <r>
    <x v="481"/>
    <x v="945"/>
    <x v="6"/>
    <n v="6862.9824000000008"/>
    <s v="00B"/>
  </r>
  <r>
    <x v="481"/>
    <x v="946"/>
    <x v="6"/>
    <n v="6447.04"/>
    <s v="00B"/>
  </r>
  <r>
    <x v="481"/>
    <x v="947"/>
    <x v="6"/>
    <n v="974.08"/>
    <s v="00B"/>
  </r>
  <r>
    <x v="481"/>
    <x v="948"/>
    <x v="6"/>
    <n v="1632"/>
    <s v="00B"/>
  </r>
  <r>
    <x v="482"/>
    <x v="949"/>
    <x v="6"/>
    <n v="1548.16"/>
    <s v="00B"/>
  </r>
  <r>
    <x v="482"/>
    <x v="950"/>
    <x v="6"/>
    <n v="10714.2464"/>
    <s v="00B"/>
  </r>
  <r>
    <x v="482"/>
    <x v="951"/>
    <x v="6"/>
    <n v="3785.1430399999999"/>
    <s v="00B"/>
  </r>
  <r>
    <x v="482"/>
    <x v="952"/>
    <x v="6"/>
    <n v="130301.6"/>
    <s v="00B"/>
  </r>
  <r>
    <x v="482"/>
    <x v="953"/>
    <x v="6"/>
    <n v="3952.2560000000003"/>
    <s v="00B"/>
  </r>
  <r>
    <x v="483"/>
    <x v="954"/>
    <x v="2"/>
    <n v="5088.07"/>
    <s v="00B"/>
  </r>
  <r>
    <x v="484"/>
    <x v="834"/>
    <x v="2"/>
    <n v="4700"/>
    <s v="00B"/>
  </r>
  <r>
    <x v="484"/>
    <x v="955"/>
    <x v="2"/>
    <n v="1770"/>
    <s v="00B"/>
  </r>
  <r>
    <x v="484"/>
    <x v="956"/>
    <x v="2"/>
    <n v="1954"/>
    <s v="00B"/>
  </r>
  <r>
    <x v="485"/>
    <x v="957"/>
    <x v="2"/>
    <n v="6262.4"/>
    <s v="00B"/>
  </r>
  <r>
    <x v="485"/>
    <x v="958"/>
    <x v="2"/>
    <n v="445"/>
    <s v="00B"/>
  </r>
  <r>
    <x v="485"/>
    <x v="959"/>
    <x v="2"/>
    <n v="3352.14"/>
    <s v="00B"/>
  </r>
  <r>
    <x v="485"/>
    <x v="960"/>
    <x v="2"/>
    <n v="3628.85"/>
    <s v="00B"/>
  </r>
  <r>
    <x v="485"/>
    <x v="961"/>
    <x v="2"/>
    <n v="6176.87"/>
    <s v="00B"/>
  </r>
  <r>
    <x v="485"/>
    <x v="962"/>
    <x v="2"/>
    <n v="11710.78"/>
    <s v="00B"/>
  </r>
  <r>
    <x v="486"/>
    <x v="963"/>
    <x v="5"/>
    <n v="5259.5"/>
    <s v="00B"/>
  </r>
  <r>
    <x v="487"/>
    <x v="964"/>
    <x v="2"/>
    <n v="2740"/>
    <s v="00B"/>
  </r>
  <r>
    <x v="487"/>
    <x v="965"/>
    <x v="2"/>
    <n v="6484.88"/>
    <s v="00B"/>
  </r>
  <r>
    <x v="488"/>
    <x v="966"/>
    <x v="0"/>
    <n v="1605.3124"/>
    <s v="00B"/>
  </r>
  <r>
    <x v="488"/>
    <x v="967"/>
    <x v="0"/>
    <n v="-3947.4799999999996"/>
    <s v="00B"/>
  </r>
  <r>
    <x v="489"/>
    <x v="968"/>
    <x v="1"/>
    <n v="5092.192"/>
    <s v="00B"/>
  </r>
  <r>
    <x v="490"/>
    <x v="969"/>
    <x v="0"/>
    <n v="835.19999999999993"/>
    <s v="00B"/>
  </r>
  <r>
    <x v="490"/>
    <x v="847"/>
    <x v="0"/>
    <n v="662.3599999999999"/>
    <s v="00B"/>
  </r>
  <r>
    <x v="491"/>
    <x v="31"/>
    <x v="5"/>
    <n v="1246.2"/>
    <s v="00B"/>
  </r>
  <r>
    <x v="492"/>
    <x v="970"/>
    <x v="0"/>
    <n v="1709.84"/>
    <s v="00B"/>
  </r>
  <r>
    <x v="492"/>
    <x v="416"/>
    <x v="0"/>
    <n v="3479.9999999999995"/>
    <s v="00B"/>
  </r>
  <r>
    <x v="493"/>
    <x v="971"/>
    <x v="2"/>
    <n v="11980.26"/>
    <s v="00B"/>
  </r>
  <r>
    <x v="494"/>
    <x v="972"/>
    <x v="2"/>
    <n v="5300"/>
    <s v="00B"/>
  </r>
  <r>
    <x v="495"/>
    <x v="944"/>
    <x v="6"/>
    <n v="5996.8"/>
    <s v="00B"/>
  </r>
  <r>
    <x v="495"/>
    <x v="973"/>
    <x v="6"/>
    <n v="1163.1936000000001"/>
    <s v="00B"/>
  </r>
  <r>
    <x v="495"/>
    <x v="974"/>
    <x v="6"/>
    <n v="2729.7280000000001"/>
    <s v="00B"/>
  </r>
  <r>
    <x v="495"/>
    <x v="975"/>
    <x v="6"/>
    <n v="690.72"/>
    <s v="00B"/>
  </r>
  <r>
    <x v="495"/>
    <x v="976"/>
    <x v="6"/>
    <n v="2282.6559999999999"/>
    <s v="00B"/>
  </r>
  <r>
    <x v="495"/>
    <x v="977"/>
    <x v="6"/>
    <n v="391.16800000000001"/>
    <s v="00B"/>
  </r>
  <r>
    <x v="495"/>
    <x v="978"/>
    <x v="6"/>
    <n v="1039.296"/>
    <s v="00B"/>
  </r>
  <r>
    <x v="496"/>
    <x v="979"/>
    <x v="2"/>
    <n v="858.4"/>
    <s v="00B"/>
  </r>
  <r>
    <x v="497"/>
    <x v="980"/>
    <x v="1"/>
    <n v="564.20000000000005"/>
    <s v="00B"/>
  </r>
  <r>
    <x v="498"/>
    <x v="981"/>
    <x v="2"/>
    <n v="1238.3"/>
    <s v="00B"/>
  </r>
  <r>
    <x v="499"/>
    <x v="982"/>
    <x v="2"/>
    <n v="14262"/>
    <s v="00B"/>
  </r>
  <r>
    <x v="500"/>
    <x v="983"/>
    <x v="2"/>
    <n v="2119.0500000000002"/>
    <s v="00B"/>
  </r>
  <r>
    <x v="501"/>
    <x v="984"/>
    <x v="1"/>
    <n v="78.400000000000006"/>
    <s v="00B"/>
  </r>
  <r>
    <x v="501"/>
    <x v="985"/>
    <x v="1"/>
    <n v="303.01600000000002"/>
    <s v="00B"/>
  </r>
  <r>
    <x v="501"/>
    <x v="986"/>
    <x v="1"/>
    <n v="622.048"/>
    <s v="00B"/>
  </r>
  <r>
    <x v="502"/>
    <x v="987"/>
    <x v="0"/>
    <n v="512.71999999999991"/>
    <s v="00B"/>
  </r>
  <r>
    <x v="503"/>
    <x v="988"/>
    <x v="1"/>
    <n v="2524.8160000000003"/>
    <s v="00B"/>
  </r>
  <r>
    <x v="503"/>
    <x v="989"/>
    <x v="1"/>
    <n v="974.68000000000006"/>
    <s v="00B"/>
  </r>
  <r>
    <x v="503"/>
    <x v="988"/>
    <x v="1"/>
    <n v="2524.8160000000003"/>
    <s v="00B"/>
  </r>
  <r>
    <x v="504"/>
    <x v="990"/>
    <x v="2"/>
    <n v="5500"/>
    <s v="00B"/>
  </r>
  <r>
    <x v="505"/>
    <x v="991"/>
    <x v="1"/>
    <n v="6719.5520000000006"/>
    <s v="00B"/>
  </r>
  <r>
    <x v="505"/>
    <x v="992"/>
    <x v="1"/>
    <n v="246.4"/>
    <s v="00B"/>
  </r>
  <r>
    <x v="506"/>
    <x v="993"/>
    <x v="2"/>
    <n v="6388.26"/>
    <s v="00B"/>
  </r>
  <r>
    <x v="507"/>
    <x v="994"/>
    <x v="2"/>
    <n v="22902"/>
    <s v="00B"/>
  </r>
  <r>
    <x v="508"/>
    <x v="162"/>
    <x v="2"/>
    <n v="315"/>
    <s v="00B"/>
  </r>
  <r>
    <x v="509"/>
    <x v="995"/>
    <x v="2"/>
    <n v="4591.37"/>
    <s v="00B"/>
  </r>
  <r>
    <x v="510"/>
    <x v="996"/>
    <x v="2"/>
    <n v="1156.29"/>
    <s v="00B"/>
  </r>
  <r>
    <x v="510"/>
    <x v="997"/>
    <x v="2"/>
    <n v="1662.46"/>
    <s v="00B"/>
  </r>
  <r>
    <x v="511"/>
    <x v="998"/>
    <x v="1"/>
    <n v="2269.7919999999999"/>
    <s v="00B"/>
  </r>
  <r>
    <x v="512"/>
    <x v="999"/>
    <x v="1"/>
    <n v="29844.191999999999"/>
    <s v="00B"/>
  </r>
  <r>
    <x v="513"/>
    <x v="1000"/>
    <x v="2"/>
    <n v="3350.45"/>
    <s v="00B"/>
  </r>
  <r>
    <x v="513"/>
    <x v="1001"/>
    <x v="2"/>
    <n v="531.29"/>
    <s v="00B"/>
  </r>
  <r>
    <x v="514"/>
    <x v="1002"/>
    <x v="0"/>
    <n v="14112.478799999999"/>
    <s v="00B"/>
  </r>
  <r>
    <x v="515"/>
    <x v="1003"/>
    <x v="2"/>
    <n v="2954"/>
    <s v="00B"/>
  </r>
  <r>
    <x v="516"/>
    <x v="1004"/>
    <x v="2"/>
    <n v="30677"/>
    <s v="00B"/>
  </r>
  <r>
    <x v="516"/>
    <x v="1005"/>
    <x v="2"/>
    <n v="1900"/>
    <s v="00B"/>
  </r>
  <r>
    <x v="516"/>
    <x v="1006"/>
    <x v="2"/>
    <n v="2115"/>
    <s v="00B"/>
  </r>
  <r>
    <x v="516"/>
    <x v="1007"/>
    <x v="2"/>
    <n v="2918.4"/>
    <s v="00B"/>
  </r>
  <r>
    <x v="517"/>
    <x v="1008"/>
    <x v="2"/>
    <n v="2206.02"/>
    <s v="00B"/>
  </r>
  <r>
    <x v="518"/>
    <x v="1009"/>
    <x v="1"/>
    <n v="40301.912000000004"/>
    <s v="00B"/>
  </r>
  <r>
    <x v="519"/>
    <x v="1010"/>
    <x v="0"/>
    <n v="10179"/>
    <s v="00B"/>
  </r>
  <r>
    <x v="520"/>
    <x v="1011"/>
    <x v="0"/>
    <n v="10533.96"/>
    <s v="00B"/>
  </r>
  <r>
    <x v="521"/>
    <x v="1012"/>
    <x v="2"/>
    <n v="6523.9"/>
    <s v="00B"/>
  </r>
  <r>
    <x v="522"/>
    <x v="1013"/>
    <x v="2"/>
    <n v="36400"/>
    <s v="00B"/>
  </r>
  <r>
    <x v="523"/>
    <x v="1014"/>
    <x v="5"/>
    <n v="14060.62"/>
    <s v="00B"/>
  </r>
  <r>
    <x v="524"/>
    <x v="1015"/>
    <x v="0"/>
    <n v="320.06720000000001"/>
    <s v="00B"/>
  </r>
  <r>
    <x v="525"/>
    <x v="1016"/>
    <x v="2"/>
    <n v="263.72000000000003"/>
    <s v="00B"/>
  </r>
  <r>
    <x v="526"/>
    <x v="1017"/>
    <x v="1"/>
    <n v="1081.9760000000001"/>
    <s v="00B"/>
  </r>
  <r>
    <x v="526"/>
    <x v="1018"/>
    <x v="2"/>
    <n v="2844.22"/>
    <s v="00B"/>
  </r>
  <r>
    <x v="527"/>
    <x v="1019"/>
    <x v="2"/>
    <n v="508.64"/>
    <s v="00B"/>
  </r>
  <r>
    <x v="528"/>
    <x v="584"/>
    <x v="2"/>
    <n v="10000"/>
    <s v="00B"/>
  </r>
  <r>
    <x v="529"/>
    <x v="1020"/>
    <x v="2"/>
    <n v="5281.02"/>
    <s v="00B"/>
  </r>
  <r>
    <x v="530"/>
    <x v="1021"/>
    <x v="2"/>
    <n v="7141.22"/>
    <s v="00B"/>
  </r>
  <r>
    <x v="531"/>
    <x v="943"/>
    <x v="6"/>
    <n v="2733.5680000000002"/>
    <s v="00B"/>
  </r>
  <r>
    <x v="532"/>
    <x v="1022"/>
    <x v="2"/>
    <n v="759.07"/>
    <s v="00B"/>
  </r>
  <r>
    <x v="533"/>
    <x v="1023"/>
    <x v="1"/>
    <n v="310850.73600000003"/>
    <s v="00B"/>
  </r>
  <r>
    <x v="534"/>
    <x v="1024"/>
    <x v="2"/>
    <n v="4772.49"/>
    <s v="00B"/>
  </r>
  <r>
    <x v="535"/>
    <x v="1025"/>
    <x v="2"/>
    <n v="11918"/>
    <s v="00B"/>
  </r>
  <r>
    <x v="536"/>
    <x v="1026"/>
    <x v="2"/>
    <n v="653.5"/>
    <s v="00B"/>
  </r>
  <r>
    <x v="537"/>
    <x v="1027"/>
    <x v="0"/>
    <n v="7458.2199999999993"/>
    <s v="00B"/>
  </r>
  <r>
    <x v="538"/>
    <x v="1028"/>
    <x v="2"/>
    <n v="1795.38"/>
    <s v="00B"/>
  </r>
  <r>
    <x v="538"/>
    <x v="1029"/>
    <x v="2"/>
    <n v="2282.35"/>
    <s v="00B"/>
  </r>
  <r>
    <x v="538"/>
    <x v="1030"/>
    <x v="2"/>
    <n v="690.12"/>
    <s v="00B"/>
  </r>
  <r>
    <x v="538"/>
    <x v="1031"/>
    <x v="2"/>
    <n v="11582.56"/>
    <s v="00B"/>
  </r>
  <r>
    <x v="539"/>
    <x v="1032"/>
    <x v="2"/>
    <n v="4310"/>
    <s v="00B"/>
  </r>
  <r>
    <x v="539"/>
    <x v="1033"/>
    <x v="2"/>
    <n v="2508"/>
    <s v="00B"/>
  </r>
  <r>
    <x v="540"/>
    <x v="1034"/>
    <x v="2"/>
    <n v="1489.2"/>
    <s v="00B"/>
  </r>
  <r>
    <x v="540"/>
    <x v="1035"/>
    <x v="2"/>
    <n v="4792.03"/>
    <s v="00B"/>
  </r>
  <r>
    <x v="541"/>
    <x v="1036"/>
    <x v="1"/>
    <n v="1692.5440000000001"/>
    <s v="00B"/>
  </r>
  <r>
    <x v="541"/>
    <x v="1037"/>
    <x v="1"/>
    <n v="76.608000000000004"/>
    <s v="00B"/>
  </r>
  <r>
    <x v="542"/>
    <x v="1038"/>
    <x v="2"/>
    <n v="767.06"/>
    <s v="00B"/>
  </r>
  <r>
    <x v="543"/>
    <x v="1039"/>
    <x v="2"/>
    <n v="13252"/>
    <s v="00B"/>
  </r>
  <r>
    <x v="544"/>
    <x v="1040"/>
    <x v="2"/>
    <n v="2058"/>
    <s v="00B"/>
  </r>
  <r>
    <x v="545"/>
    <x v="1041"/>
    <x v="1"/>
    <n v="16760.356480000002"/>
    <s v="00B"/>
  </r>
  <r>
    <x v="546"/>
    <x v="1042"/>
    <x v="2"/>
    <n v="16765"/>
    <s v="00B"/>
  </r>
  <r>
    <x v="547"/>
    <x v="1043"/>
    <x v="2"/>
    <n v="2533.7600000000002"/>
    <s v="00B"/>
  </r>
  <r>
    <x v="547"/>
    <x v="1043"/>
    <x v="2"/>
    <n v="2533.7600000000002"/>
    <s v="00B"/>
  </r>
  <r>
    <x v="548"/>
    <x v="1043"/>
    <x v="2"/>
    <n v="2533.7600000000002"/>
    <s v="00B"/>
  </r>
  <r>
    <x v="549"/>
    <x v="1044"/>
    <x v="0"/>
    <n v="2788.06"/>
    <s v="00B"/>
  </r>
  <r>
    <x v="550"/>
    <x v="1045"/>
    <x v="0"/>
    <n v="1205.82"/>
    <s v="00B"/>
  </r>
  <r>
    <x v="551"/>
    <x v="1046"/>
    <x v="0"/>
    <n v="157.76"/>
    <s v="00B"/>
  </r>
  <r>
    <x v="552"/>
    <x v="1047"/>
    <x v="2"/>
    <n v="3485"/>
    <s v="00B"/>
  </r>
  <r>
    <x v="553"/>
    <x v="1048"/>
    <x v="2"/>
    <n v="8443.83"/>
    <s v="00B"/>
  </r>
  <r>
    <x v="554"/>
    <x v="1049"/>
    <x v="2"/>
    <n v="21430"/>
    <s v="00B"/>
  </r>
  <r>
    <x v="554"/>
    <x v="1050"/>
    <x v="2"/>
    <n v="29184"/>
    <s v="00B"/>
  </r>
  <r>
    <x v="555"/>
    <x v="1051"/>
    <x v="2"/>
    <n v="14763"/>
    <s v="00B"/>
  </r>
  <r>
    <x v="555"/>
    <x v="1052"/>
    <x v="2"/>
    <n v="5437"/>
    <s v="00B"/>
  </r>
  <r>
    <x v="556"/>
    <x v="1053"/>
    <x v="2"/>
    <n v="1155.8900000000001"/>
    <s v="00B"/>
  </r>
  <r>
    <x v="557"/>
    <x v="1054"/>
    <x v="2"/>
    <n v="1080"/>
    <s v="00B"/>
  </r>
  <r>
    <x v="558"/>
    <x v="1055"/>
    <x v="1"/>
    <n v="4715.2"/>
    <s v="00B"/>
  </r>
  <r>
    <x v="559"/>
    <x v="1056"/>
    <x v="5"/>
    <n v="3092.7200000000003"/>
    <s v="00B"/>
  </r>
  <r>
    <x v="560"/>
    <x v="1057"/>
    <x v="5"/>
    <n v="3301.76"/>
    <s v="00B"/>
  </r>
  <r>
    <x v="561"/>
    <x v="1058"/>
    <x v="2"/>
    <n v="142.08000000000001"/>
    <s v="00B"/>
  </r>
  <r>
    <x v="562"/>
    <x v="1059"/>
    <x v="2"/>
    <n v="3052"/>
    <s v="00B"/>
  </r>
  <r>
    <x v="563"/>
    <x v="1060"/>
    <x v="2"/>
    <n v="1685.86"/>
    <s v="00B"/>
  </r>
  <r>
    <x v="564"/>
    <x v="1061"/>
    <x v="2"/>
    <n v="928.2"/>
    <s v="00B"/>
  </r>
  <r>
    <x v="564"/>
    <x v="1062"/>
    <x v="2"/>
    <n v="2635.8"/>
    <s v="00B"/>
  </r>
  <r>
    <x v="564"/>
    <x v="1063"/>
    <x v="2"/>
    <n v="3100"/>
    <s v="00B"/>
  </r>
  <r>
    <x v="564"/>
    <x v="1064"/>
    <x v="1"/>
    <n v="1518.944"/>
    <s v="00B"/>
  </r>
  <r>
    <x v="565"/>
    <x v="1065"/>
    <x v="2"/>
    <n v="3702.8"/>
    <s v="00B"/>
  </r>
  <r>
    <x v="565"/>
    <x v="1066"/>
    <x v="2"/>
    <n v="6770"/>
    <s v="00B"/>
  </r>
  <r>
    <x v="566"/>
    <x v="1067"/>
    <x v="2"/>
    <n v="15485"/>
    <s v="00B"/>
  </r>
  <r>
    <x v="566"/>
    <x v="1068"/>
    <x v="2"/>
    <n v="18076"/>
    <s v="00B"/>
  </r>
  <r>
    <x v="566"/>
    <x v="1069"/>
    <x v="2"/>
    <n v="29511"/>
    <s v="00B"/>
  </r>
  <r>
    <x v="567"/>
    <x v="1070"/>
    <x v="2"/>
    <n v="12047.2"/>
    <s v="00B"/>
  </r>
  <r>
    <x v="568"/>
    <x v="1071"/>
    <x v="2"/>
    <n v="1707"/>
    <s v="00B"/>
  </r>
  <r>
    <x v="569"/>
    <x v="1072"/>
    <x v="2"/>
    <n v="2595"/>
    <s v="00B"/>
  </r>
  <r>
    <x v="570"/>
    <x v="1073"/>
    <x v="2"/>
    <n v="75618"/>
    <s v="00B"/>
  </r>
  <r>
    <x v="571"/>
    <x v="1074"/>
    <x v="2"/>
    <n v="2685"/>
    <s v="00B"/>
  </r>
  <r>
    <x v="572"/>
    <x v="1075"/>
    <x v="2"/>
    <n v="4363"/>
    <s v="00B"/>
  </r>
  <r>
    <x v="573"/>
    <x v="1076"/>
    <x v="2"/>
    <n v="33286.720000000001"/>
    <s v="00B"/>
  </r>
  <r>
    <x v="574"/>
    <x v="1077"/>
    <x v="0"/>
    <n v="2691.2"/>
    <s v="00B"/>
  </r>
  <r>
    <x v="575"/>
    <x v="1078"/>
    <x v="1"/>
    <n v="5046.9708799999999"/>
    <s v="00B"/>
  </r>
  <r>
    <x v="576"/>
    <x v="1079"/>
    <x v="5"/>
    <n v="2733.6000000000004"/>
    <s v="00B"/>
  </r>
  <r>
    <x v="577"/>
    <x v="1080"/>
    <x v="1"/>
    <n v="667.54183999999998"/>
    <s v="00B"/>
  </r>
  <r>
    <x v="578"/>
    <x v="1081"/>
    <x v="2"/>
    <n v="2523"/>
    <s v="00B"/>
  </r>
  <r>
    <x v="579"/>
    <x v="1082"/>
    <x v="2"/>
    <n v="6766"/>
    <s v="00B"/>
  </r>
  <r>
    <x v="580"/>
    <x v="1083"/>
    <x v="0"/>
    <n v="7238.4"/>
    <s v="00B"/>
  </r>
  <r>
    <x v="580"/>
    <x v="1084"/>
    <x v="0"/>
    <n v="440.84640000000002"/>
    <s v="00B"/>
  </r>
  <r>
    <x v="581"/>
    <x v="1085"/>
    <x v="1"/>
    <n v="847.50400000000002"/>
    <s v="00B"/>
  </r>
  <r>
    <x v="581"/>
    <x v="1086"/>
    <x v="1"/>
    <n v="383.15199999999999"/>
    <s v="00B"/>
  </r>
  <r>
    <x v="582"/>
    <x v="1087"/>
    <x v="0"/>
    <n v="6059.8399999999992"/>
    <s v="00B"/>
  </r>
  <r>
    <x v="583"/>
    <x v="1088"/>
    <x v="2"/>
    <n v="5251"/>
    <s v="00B"/>
  </r>
  <r>
    <x v="584"/>
    <x v="1089"/>
    <x v="2"/>
    <n v="1201.26"/>
    <s v="00B"/>
  </r>
  <r>
    <x v="585"/>
    <x v="1090"/>
    <x v="2"/>
    <n v="8610"/>
    <s v="00B"/>
  </r>
  <r>
    <x v="586"/>
    <x v="1091"/>
    <x v="2"/>
    <n v="494.88"/>
    <s v="00B"/>
  </r>
  <r>
    <x v="587"/>
    <x v="1092"/>
    <x v="2"/>
    <n v="6174.13"/>
    <s v="00B"/>
  </r>
  <r>
    <x v="587"/>
    <x v="1093"/>
    <x v="2"/>
    <n v="973.36"/>
    <s v="00B"/>
  </r>
  <r>
    <x v="588"/>
    <x v="1094"/>
    <x v="0"/>
    <n v="4323.32"/>
    <s v="00B"/>
  </r>
  <r>
    <x v="588"/>
    <x v="1095"/>
    <x v="0"/>
    <n v="7860.16"/>
    <s v="00B"/>
  </r>
  <r>
    <x v="588"/>
    <x v="1096"/>
    <x v="0"/>
    <n v="4249.08"/>
    <s v="00B"/>
  </r>
  <r>
    <x v="588"/>
    <x v="1097"/>
    <x v="0"/>
    <n v="6774.9103999999988"/>
    <s v="00B"/>
  </r>
  <r>
    <x v="589"/>
    <x v="1098"/>
    <x v="2"/>
    <n v="12022.15"/>
    <s v="00B"/>
  </r>
  <r>
    <x v="590"/>
    <x v="1099"/>
    <x v="2"/>
    <n v="219"/>
    <s v="00B"/>
  </r>
  <r>
    <x v="591"/>
    <x v="1099"/>
    <x v="2"/>
    <n v="219"/>
    <s v="00B"/>
  </r>
  <r>
    <x v="592"/>
    <x v="1100"/>
    <x v="1"/>
    <n v="4309.3119999999999"/>
    <s v="00B"/>
  </r>
  <r>
    <x v="593"/>
    <x v="1101"/>
    <x v="2"/>
    <n v="9639"/>
    <s v="00B"/>
  </r>
  <r>
    <x v="594"/>
    <x v="1102"/>
    <x v="2"/>
    <n v="3300.7"/>
    <s v="00B"/>
  </r>
  <r>
    <x v="595"/>
    <x v="1103"/>
    <x v="2"/>
    <n v="2644"/>
    <s v="00B"/>
  </r>
  <r>
    <x v="596"/>
    <x v="1104"/>
    <x v="2"/>
    <n v="5312"/>
    <s v="00B"/>
  </r>
  <r>
    <x v="597"/>
    <x v="1105"/>
    <x v="2"/>
    <n v="12996"/>
    <s v="00B"/>
  </r>
  <r>
    <x v="598"/>
    <x v="1106"/>
    <x v="4"/>
    <n v="710.625"/>
    <s v="00B"/>
  </r>
  <r>
    <x v="599"/>
    <x v="1107"/>
    <x v="2"/>
    <n v="3000.27"/>
    <s v="00B"/>
  </r>
  <r>
    <x v="600"/>
    <x v="1108"/>
    <x v="2"/>
    <n v="521.29999999999995"/>
    <s v="00B"/>
  </r>
  <r>
    <x v="600"/>
    <x v="1109"/>
    <x v="2"/>
    <n v="30"/>
    <s v="00B"/>
  </r>
  <r>
    <x v="601"/>
    <x v="1110"/>
    <x v="2"/>
    <n v="5589"/>
    <s v="00B"/>
  </r>
  <r>
    <x v="602"/>
    <x v="1111"/>
    <x v="2"/>
    <n v="2065"/>
    <s v="00B"/>
  </r>
  <r>
    <x v="603"/>
    <x v="1112"/>
    <x v="2"/>
    <n v="447.48"/>
    <s v="00B"/>
  </r>
  <r>
    <x v="604"/>
    <x v="1113"/>
    <x v="5"/>
    <n v="1169.8200000000002"/>
    <s v="00B"/>
  </r>
  <r>
    <x v="605"/>
    <x v="1114"/>
    <x v="0"/>
    <n v="3967.2"/>
    <s v="00B"/>
  </r>
  <r>
    <x v="606"/>
    <x v="1115"/>
    <x v="0"/>
    <n v="11387.72"/>
    <s v="00B"/>
  </r>
  <r>
    <x v="607"/>
    <x v="1116"/>
    <x v="0"/>
    <n v="86072"/>
    <s v="00B"/>
  </r>
  <r>
    <x v="608"/>
    <x v="1117"/>
    <x v="2"/>
    <n v="1845.54"/>
    <s v="00B"/>
  </r>
  <r>
    <x v="609"/>
    <x v="1118"/>
    <x v="2"/>
    <n v="3014.1"/>
    <s v="00B"/>
  </r>
  <r>
    <x v="610"/>
    <x v="1119"/>
    <x v="2"/>
    <n v="8760"/>
    <s v="00B"/>
  </r>
  <r>
    <x v="611"/>
    <x v="1120"/>
    <x v="0"/>
    <n v="994.49119999999994"/>
    <s v="00B"/>
  </r>
  <r>
    <x v="612"/>
    <x v="1121"/>
    <x v="2"/>
    <n v="1897.2"/>
    <s v="00B"/>
  </r>
  <r>
    <x v="613"/>
    <x v="1122"/>
    <x v="2"/>
    <n v="394.37"/>
    <s v="00B"/>
  </r>
  <r>
    <x v="613"/>
    <x v="1122"/>
    <x v="2"/>
    <n v="394.37"/>
    <s v="00B"/>
  </r>
  <r>
    <x v="614"/>
    <x v="1123"/>
    <x v="2"/>
    <n v="708.8"/>
    <s v="00B"/>
  </r>
  <r>
    <x v="615"/>
    <x v="1124"/>
    <x v="1"/>
    <n v="389.536"/>
    <s v="00B"/>
  </r>
  <r>
    <x v="615"/>
    <x v="1125"/>
    <x v="1"/>
    <n v="311.19200000000001"/>
    <s v="00B"/>
  </r>
  <r>
    <x v="615"/>
    <x v="1126"/>
    <x v="1"/>
    <n v="344.73599999999999"/>
    <s v="00B"/>
  </r>
  <r>
    <x v="615"/>
    <x v="122"/>
    <x v="1"/>
    <n v="56"/>
    <s v="00B"/>
  </r>
  <r>
    <x v="615"/>
    <x v="1127"/>
    <x v="1"/>
    <n v="156.85599999999999"/>
    <s v="00B"/>
  </r>
  <r>
    <x v="615"/>
    <x v="1128"/>
    <x v="1"/>
    <n v="1285.088"/>
    <s v="00B"/>
  </r>
  <r>
    <x v="615"/>
    <x v="1129"/>
    <x v="1"/>
    <n v="892.976"/>
    <s v="00B"/>
  </r>
  <r>
    <x v="616"/>
    <x v="1130"/>
    <x v="2"/>
    <n v="21042.880000000001"/>
    <s v="00B"/>
  </r>
  <r>
    <x v="617"/>
    <x v="1131"/>
    <x v="2"/>
    <n v="11627"/>
    <s v="00B"/>
  </r>
  <r>
    <x v="618"/>
    <x v="1132"/>
    <x v="2"/>
    <n v="1551.89"/>
    <s v="00B"/>
  </r>
  <r>
    <x v="618"/>
    <x v="1132"/>
    <x v="2"/>
    <n v="1551.89"/>
    <s v="00B"/>
  </r>
  <r>
    <x v="618"/>
    <x v="1132"/>
    <x v="2"/>
    <n v="1551.89"/>
    <s v="00B"/>
  </r>
  <r>
    <x v="619"/>
    <x v="1133"/>
    <x v="2"/>
    <n v="59189"/>
    <s v="00B"/>
  </r>
  <r>
    <x v="620"/>
    <x v="1134"/>
    <x v="2"/>
    <n v="37192"/>
    <s v="00B"/>
  </r>
  <r>
    <x v="621"/>
    <x v="1135"/>
    <x v="1"/>
    <n v="1852.3679999999999"/>
    <s v="00B"/>
  </r>
  <r>
    <x v="621"/>
    <x v="1136"/>
    <x v="1"/>
    <n v="1049.328"/>
    <s v="00B"/>
  </r>
  <r>
    <x v="622"/>
    <x v="1137"/>
    <x v="0"/>
    <n v="15049.839999999998"/>
    <s v="00B"/>
  </r>
  <r>
    <x v="623"/>
    <x v="1138"/>
    <x v="1"/>
    <n v="11337.984"/>
    <s v="00B"/>
  </r>
  <r>
    <x v="624"/>
    <x v="1139"/>
    <x v="0"/>
    <n v="5844.1844000000001"/>
    <s v="00B"/>
  </r>
  <r>
    <x v="625"/>
    <x v="1140"/>
    <x v="1"/>
    <n v="24945.48"/>
    <s v="00B"/>
  </r>
  <r>
    <x v="625"/>
    <x v="1141"/>
    <x v="1"/>
    <n v="7087.3600000000006"/>
    <s v="00B"/>
  </r>
  <r>
    <x v="625"/>
    <x v="1142"/>
    <x v="1"/>
    <n v="5788.8879999999999"/>
    <s v="00B"/>
  </r>
  <r>
    <x v="626"/>
    <x v="1143"/>
    <x v="2"/>
    <n v="4147.5"/>
    <s v="00B"/>
  </r>
  <r>
    <x v="627"/>
    <x v="1144"/>
    <x v="2"/>
    <n v="61600"/>
    <s v="00B"/>
  </r>
  <r>
    <x v="627"/>
    <x v="1145"/>
    <x v="2"/>
    <n v="14916"/>
    <s v="00B"/>
  </r>
  <r>
    <x v="628"/>
    <x v="1146"/>
    <x v="1"/>
    <n v="4204.0320000000002"/>
    <s v="00B"/>
  </r>
  <r>
    <x v="629"/>
    <x v="1147"/>
    <x v="7"/>
    <m/>
    <m/>
  </r>
  <r>
    <x v="629"/>
    <x v="1147"/>
    <x v="7"/>
    <m/>
    <m/>
  </r>
  <r>
    <x v="629"/>
    <x v="1147"/>
    <x v="7"/>
    <m/>
    <m/>
  </r>
  <r>
    <x v="629"/>
    <x v="1147"/>
    <x v="7"/>
    <m/>
    <m/>
  </r>
  <r>
    <x v="629"/>
    <x v="1147"/>
    <x v="7"/>
    <m/>
    <m/>
  </r>
  <r>
    <x v="629"/>
    <x v="1147"/>
    <x v="7"/>
    <m/>
    <m/>
  </r>
  <r>
    <x v="629"/>
    <x v="1147"/>
    <x v="7"/>
    <m/>
    <m/>
  </r>
  <r>
    <x v="629"/>
    <x v="1147"/>
    <x v="7"/>
    <m/>
    <m/>
  </r>
  <r>
    <x v="629"/>
    <x v="1147"/>
    <x v="7"/>
    <m/>
    <m/>
  </r>
  <r>
    <x v="629"/>
    <x v="1147"/>
    <x v="7"/>
    <m/>
    <m/>
  </r>
  <r>
    <x v="629"/>
    <x v="1147"/>
    <x v="7"/>
    <m/>
    <m/>
  </r>
  <r>
    <x v="629"/>
    <x v="1147"/>
    <x v="7"/>
    <m/>
    <m/>
  </r>
  <r>
    <x v="629"/>
    <x v="1147"/>
    <x v="7"/>
    <m/>
    <m/>
  </r>
  <r>
    <x v="629"/>
    <x v="1147"/>
    <x v="7"/>
    <m/>
    <m/>
  </r>
  <r>
    <x v="629"/>
    <x v="1147"/>
    <x v="7"/>
    <m/>
    <m/>
  </r>
  <r>
    <x v="629"/>
    <x v="1147"/>
    <x v="7"/>
    <m/>
    <m/>
  </r>
  <r>
    <x v="629"/>
    <x v="1147"/>
    <x v="7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4">
  <r>
    <n v="1"/>
    <s v="EUR"/>
    <n v="250"/>
    <n v="250"/>
    <n v="290"/>
    <n v="250"/>
    <n v="250"/>
    <n v="290"/>
    <n v="0"/>
    <n v="0"/>
    <d v="2024-10-03T00:00:00"/>
    <d v="2024-09-03T00:00:00"/>
    <x v="0"/>
    <x v="0"/>
  </r>
  <r>
    <n v="2"/>
    <s v="USD"/>
    <n v="10530.02"/>
    <n v="9055.8171999999995"/>
    <n v="10530.02"/>
    <n v="10530.02"/>
    <n v="9055.8171999999995"/>
    <n v="10530.02"/>
    <n v="0"/>
    <n v="0"/>
    <d v="2024-12-20T00:00:00"/>
    <d v="2024-11-20T00:00:00"/>
    <x v="1"/>
    <x v="0"/>
  </r>
  <r>
    <n v="3"/>
    <s v="EUR"/>
    <n v="0"/>
    <n v="0"/>
    <n v="0"/>
    <n v="3400"/>
    <n v="3400"/>
    <n v="3943.9999999999995"/>
    <n v="0"/>
    <n v="0"/>
    <d v="2024-10-03T00:00:00"/>
    <d v="2024-09-03T00:00:00"/>
    <x v="0"/>
    <x v="0"/>
  </r>
  <r>
    <n v="4"/>
    <s v="MXN"/>
    <n v="0"/>
    <n v="0"/>
    <n v="0"/>
    <n v="354545.26"/>
    <n v="17018.172480000001"/>
    <n v="19854.53456"/>
    <n v="0"/>
    <n v="0"/>
    <d v="2024-12-15T00:00:00"/>
    <d v="2024-11-15T00:00:00"/>
    <x v="1"/>
    <x v="0"/>
  </r>
  <r>
    <n v="6"/>
    <s v="EUR"/>
    <n v="5540"/>
    <n v="5540"/>
    <n v="6426.4"/>
    <n v="16340"/>
    <n v="16340"/>
    <n v="18954.399999999998"/>
    <n v="0"/>
    <n v="0"/>
    <d v="2024-10-02T00:00:00"/>
    <d v="2024-09-02T00:00:00"/>
    <x v="0"/>
    <x v="0"/>
  </r>
  <r>
    <n v="7"/>
    <s v="EUR"/>
    <n v="39746.709999999992"/>
    <n v="39746.709999999992"/>
    <n v="46106.183599999989"/>
    <n v="171698.76"/>
    <n v="171698.76"/>
    <n v="199170.56159999999"/>
    <n v="-5.0000000017462298E-2"/>
    <n v="-5.8000000020256265E-2"/>
    <d v="2024-11-05T00:00:00"/>
    <d v="2024-10-06T00:00:00"/>
    <x v="2"/>
    <x v="0"/>
  </r>
  <r>
    <n v="8"/>
    <s v="EUR"/>
    <n v="4900"/>
    <n v="4900"/>
    <n v="5684"/>
    <n v="4900"/>
    <n v="4900"/>
    <n v="5684"/>
    <n v="0"/>
    <n v="0"/>
    <d v="2024-10-14T00:00:00"/>
    <d v="2024-09-14T00:00:00"/>
    <x v="0"/>
    <x v="0"/>
  </r>
  <r>
    <n v="9"/>
    <s v="USD"/>
    <n v="30570.480000000003"/>
    <n v="26290.612800000003"/>
    <n v="30570.480000000003"/>
    <n v="35460.800000000003"/>
    <n v="30496.288"/>
    <n v="35460.800000000003"/>
    <n v="0"/>
    <n v="0"/>
    <d v="2024-12-27T00:00:00"/>
    <d v="2024-11-27T00:00:00"/>
    <x v="1"/>
    <x v="0"/>
  </r>
  <r>
    <n v="10"/>
    <s v="USD"/>
    <n v="1385.62"/>
    <n v="1191.6332"/>
    <n v="1385.62"/>
    <n v="1385.62"/>
    <n v="1191.6332"/>
    <n v="1385.62"/>
    <n v="0"/>
    <n v="0"/>
    <d v="2024-12-27T00:00:00"/>
    <d v="2024-11-27T00:00:00"/>
    <x v="1"/>
    <x v="0"/>
  </r>
  <r>
    <n v="11"/>
    <s v="USD"/>
    <n v="1609.66"/>
    <n v="1384.3076000000001"/>
    <n v="1609.66"/>
    <n v="1609.66"/>
    <n v="1384.3076000000001"/>
    <n v="1609.66"/>
    <n v="0"/>
    <n v="0"/>
    <d v="2024-12-29T00:00:00"/>
    <d v="2024-11-29T00:00:00"/>
    <x v="1"/>
    <x v="0"/>
  </r>
  <r>
    <n v="12"/>
    <s v="EUR"/>
    <n v="5293.0299999999988"/>
    <n v="5293.0299999999988"/>
    <n v="6139.9147999999986"/>
    <n v="31789.919999999998"/>
    <n v="31789.919999999998"/>
    <n v="36876.307199999996"/>
    <n v="0"/>
    <n v="0"/>
    <d v="2024-12-18T00:00:00"/>
    <d v="2024-11-18T00:00:00"/>
    <x v="1"/>
    <x v="0"/>
  </r>
  <r>
    <n v="13"/>
    <s v="USD"/>
    <n v="5245.16"/>
    <n v="4510.8375999999998"/>
    <n v="5245.16"/>
    <n v="5245.16"/>
    <n v="4510.8375999999998"/>
    <n v="5245.16"/>
    <n v="0"/>
    <n v="0"/>
    <d v="2024-11-22T00:00:00"/>
    <d v="2024-10-23T00:00:00"/>
    <x v="2"/>
    <x v="0"/>
  </r>
  <r>
    <n v="14"/>
    <s v="USD"/>
    <n v="46393.48"/>
    <n v="39898.392800000001"/>
    <n v="46393.48"/>
    <n v="46393.48"/>
    <n v="39898.392800000001"/>
    <n v="46393.48"/>
    <n v="0"/>
    <n v="0"/>
    <d v="2025-11-03T00:00:00"/>
    <d v="2025-10-04T00:00:00"/>
    <x v="2"/>
    <x v="1"/>
  </r>
  <r>
    <n v="15"/>
    <s v="USD"/>
    <n v="0"/>
    <n v="0"/>
    <n v="0"/>
    <n v="2327"/>
    <n v="2001.22"/>
    <n v="2327"/>
    <n v="0"/>
    <n v="0"/>
    <d v="2024-10-24T00:00:00"/>
    <d v="2024-09-24T00:00:00"/>
    <x v="0"/>
    <x v="0"/>
  </r>
  <r>
    <n v="16"/>
    <s v="USD"/>
    <n v="2391.88"/>
    <n v="2057.0167999999999"/>
    <n v="2391.88"/>
    <n v="6126.88"/>
    <n v="5269.1167999999998"/>
    <n v="6126.88"/>
    <n v="0"/>
    <n v="0"/>
    <d v="2024-11-26T00:00:00"/>
    <d v="2024-10-27T00:00:00"/>
    <x v="2"/>
    <x v="0"/>
  </r>
  <r>
    <n v="17"/>
    <s v="EUR"/>
    <n v="0"/>
    <n v="0"/>
    <n v="0"/>
    <n v="1590"/>
    <n v="1590"/>
    <n v="1844.3999999999999"/>
    <n v="0"/>
    <n v="0"/>
    <d v="2024-10-24T00:00:00"/>
    <d v="2024-09-24T00:00:00"/>
    <x v="0"/>
    <x v="0"/>
  </r>
  <r>
    <n v="18"/>
    <s v="USD"/>
    <n v="12437"/>
    <n v="10695.82"/>
    <n v="12437"/>
    <n v="12437"/>
    <n v="10695.82"/>
    <n v="12437"/>
    <n v="0"/>
    <n v="0"/>
    <d v="2024-10-26T00:00:00"/>
    <d v="2024-09-26T00:00:00"/>
    <x v="0"/>
    <x v="0"/>
  </r>
  <r>
    <n v="19"/>
    <s v="USD"/>
    <n v="1560"/>
    <n v="1341.6"/>
    <n v="1560"/>
    <n v="1560"/>
    <n v="1341.6"/>
    <n v="1560"/>
    <n v="0"/>
    <n v="0"/>
    <d v="2024-11-02T00:00:00"/>
    <d v="2024-10-03T00:00:00"/>
    <x v="2"/>
    <x v="0"/>
  </r>
  <r>
    <n v="20"/>
    <s v="USD"/>
    <n v="0"/>
    <n v="0"/>
    <n v="0"/>
    <n v="803"/>
    <n v="690.58"/>
    <n v="803"/>
    <n v="0"/>
    <n v="0"/>
    <d v="2024-11-01T00:00:00"/>
    <d v="2024-10-02T00:00:00"/>
    <x v="2"/>
    <x v="0"/>
  </r>
  <r>
    <n v="21"/>
    <s v="USD"/>
    <n v="8397.94"/>
    <n v="7222.2284"/>
    <n v="8397.94"/>
    <n v="8397.93"/>
    <n v="7222.2197999999999"/>
    <n v="8397.93"/>
    <n v="1.0000000000218279E-2"/>
    <n v="1.0000000000218279E-2"/>
    <d v="2024-10-31T00:00:00"/>
    <d v="2024-10-01T00:00:00"/>
    <x v="2"/>
    <x v="0"/>
  </r>
  <r>
    <n v="22"/>
    <s v="EUR"/>
    <n v="0"/>
    <n v="0"/>
    <n v="0"/>
    <n v="15077.2"/>
    <n v="15077.2"/>
    <n v="17489.552"/>
    <n v="0"/>
    <n v="0"/>
    <d v="2024-07-02T00:00:00"/>
    <d v="2024-06-02T00:00:00"/>
    <x v="3"/>
    <x v="0"/>
  </r>
  <r>
    <n v="23"/>
    <s v="EUR"/>
    <n v="5910"/>
    <n v="5910"/>
    <n v="6855.5999999999995"/>
    <n v="5910"/>
    <n v="5910"/>
    <n v="6855.5999999999995"/>
    <n v="0"/>
    <n v="0"/>
    <d v="2024-12-26T00:00:00"/>
    <d v="2024-11-26T00:00:00"/>
    <x v="1"/>
    <x v="0"/>
  </r>
  <r>
    <n v="24"/>
    <s v="USD"/>
    <n v="618.86"/>
    <n v="532.21960000000001"/>
    <n v="618.86"/>
    <n v="618.86"/>
    <n v="532.21960000000001"/>
    <n v="618.86"/>
    <n v="0"/>
    <n v="0"/>
    <d v="2024-12-04T00:00:00"/>
    <d v="2024-11-04T00:00:00"/>
    <x v="1"/>
    <x v="0"/>
  </r>
  <r>
    <n v="25"/>
    <s v="EUR"/>
    <n v="5370"/>
    <n v="5370"/>
    <n v="6229.2"/>
    <n v="5370"/>
    <n v="5370"/>
    <n v="6229.2"/>
    <n v="0"/>
    <n v="0"/>
    <d v="2024-12-25T00:00:00"/>
    <d v="2024-11-25T00:00:00"/>
    <x v="1"/>
    <x v="0"/>
  </r>
  <r>
    <n v="26"/>
    <s v="USD"/>
    <n v="2894.91"/>
    <n v="2489.6225999999997"/>
    <n v="2894.91"/>
    <n v="9279.49"/>
    <n v="7980.3613999999998"/>
    <n v="9279.49"/>
    <n v="0"/>
    <n v="0"/>
    <d v="2024-11-27T00:00:00"/>
    <d v="2024-10-28T00:00:00"/>
    <x v="2"/>
    <x v="0"/>
  </r>
  <r>
    <n v="27"/>
    <s v="USD"/>
    <n v="8150.2"/>
    <n v="7009.1719999999996"/>
    <n v="8150.2"/>
    <n v="8150.2"/>
    <n v="7009.1719999999996"/>
    <n v="8150.2"/>
    <n v="0"/>
    <n v="0"/>
    <d v="2024-11-30T00:00:00"/>
    <d v="2024-10-31T00:00:00"/>
    <x v="2"/>
    <x v="0"/>
  </r>
  <r>
    <n v="28"/>
    <s v="USD"/>
    <n v="12739.84"/>
    <n v="10956.2624"/>
    <n v="12739.84"/>
    <n v="16863.93"/>
    <n v="14502.979799999999"/>
    <n v="16863.93"/>
    <n v="0"/>
    <n v="0"/>
    <d v="2025-05-15T00:00:00"/>
    <d v="2025-04-15T00:00:00"/>
    <x v="4"/>
    <x v="1"/>
  </r>
  <r>
    <n v="29"/>
    <s v="USD"/>
    <n v="0"/>
    <n v="0"/>
    <n v="0"/>
    <n v="4785.04"/>
    <n v="4115.1343999999999"/>
    <n v="4785.04"/>
    <n v="0"/>
    <n v="0"/>
    <d v="2024-11-20T00:00:00"/>
    <d v="2024-10-21T00:00:00"/>
    <x v="2"/>
    <x v="0"/>
  </r>
  <r>
    <n v="30"/>
    <s v="EUR"/>
    <n v="0"/>
    <n v="0"/>
    <n v="0"/>
    <n v="8563.26"/>
    <n v="8563.26"/>
    <n v="9933.3815999999988"/>
    <n v="0"/>
    <n v="0"/>
    <d v="2024-10-12T00:00:00"/>
    <d v="2024-09-12T00:00:00"/>
    <x v="0"/>
    <x v="0"/>
  </r>
  <r>
    <n v="31"/>
    <s v="EUR"/>
    <n v="19938.64"/>
    <n v="19938.64"/>
    <n v="23128.822399999997"/>
    <n v="19938.64"/>
    <n v="19938.64"/>
    <n v="23128.822399999997"/>
    <n v="0"/>
    <n v="0"/>
    <d v="2024-11-12T00:00:00"/>
    <d v="2024-10-13T00:00:00"/>
    <x v="2"/>
    <x v="0"/>
  </r>
  <r>
    <n v="32"/>
    <s v="USD"/>
    <n v="14529.13"/>
    <n v="12495.051799999999"/>
    <n v="14529.13"/>
    <n v="14529.13"/>
    <n v="12495.051799999999"/>
    <n v="14529.13"/>
    <n v="0"/>
    <n v="0"/>
    <d v="2024-12-26T00:00:00"/>
    <d v="2024-11-26T00:00:00"/>
    <x v="1"/>
    <x v="0"/>
  </r>
  <r>
    <n v="33"/>
    <s v="USD"/>
    <n v="53800.67"/>
    <n v="46268.576199999996"/>
    <n v="53800.67"/>
    <n v="55302.35"/>
    <n v="47560.021000000001"/>
    <n v="55302.35"/>
    <n v="0"/>
    <n v="0"/>
    <d v="2025-03-06T00:00:00"/>
    <d v="2025-02-04T00:00:00"/>
    <x v="5"/>
    <x v="1"/>
  </r>
  <r>
    <n v="34"/>
    <s v="USD"/>
    <n v="9261.33"/>
    <n v="7964.7438000000002"/>
    <n v="9261.33"/>
    <n v="10394.89"/>
    <n v="8939.6053999999986"/>
    <n v="10394.89"/>
    <n v="0"/>
    <n v="0"/>
    <d v="2024-11-12T00:00:00"/>
    <d v="2024-10-13T00:00:00"/>
    <x v="2"/>
    <x v="0"/>
  </r>
  <r>
    <n v="35"/>
    <s v="USD"/>
    <n v="14200.83"/>
    <n v="12212.7138"/>
    <n v="14200.83"/>
    <n v="15560.19"/>
    <n v="13381.7634"/>
    <n v="15560.19"/>
    <n v="0"/>
    <n v="0"/>
    <d v="2024-11-14T00:00:00"/>
    <d v="2024-10-15T00:00:00"/>
    <x v="2"/>
    <x v="0"/>
  </r>
  <r>
    <n v="36"/>
    <s v="USD"/>
    <n v="3516.4"/>
    <n v="3024.1039999999998"/>
    <n v="3516.4"/>
    <n v="3516.4"/>
    <n v="3024.1039999999998"/>
    <n v="3516.4"/>
    <n v="0"/>
    <n v="0"/>
    <d v="2024-11-28T00:00:00"/>
    <d v="2024-10-29T00:00:00"/>
    <x v="2"/>
    <x v="0"/>
  </r>
  <r>
    <n v="37"/>
    <s v="USD"/>
    <n v="8954.92"/>
    <n v="7701.2312000000002"/>
    <n v="8954.92"/>
    <n v="8954.92"/>
    <n v="7701.2312000000002"/>
    <n v="8954.92"/>
    <n v="0"/>
    <n v="0"/>
    <d v="2024-11-15T00:00:00"/>
    <d v="2024-10-16T00:00:00"/>
    <x v="2"/>
    <x v="0"/>
  </r>
  <r>
    <n v="38"/>
    <s v="MXN"/>
    <n v="60452.52"/>
    <n v="2901.7209600000001"/>
    <n v="3385.34112"/>
    <n v="60452.52"/>
    <n v="2901.7209600000001"/>
    <n v="3385.34112"/>
    <n v="0"/>
    <n v="0"/>
    <d v="2024-12-22T00:00:00"/>
    <d v="2024-11-22T00:00:00"/>
    <x v="1"/>
    <x v="0"/>
  </r>
  <r>
    <n v="39"/>
    <s v="MXN"/>
    <n v="40255.75"/>
    <n v="1932.2760000000001"/>
    <n v="2254.3220000000001"/>
    <n v="40255.75"/>
    <n v="1932.2760000000001"/>
    <n v="2254.3220000000001"/>
    <n v="0"/>
    <n v="0"/>
    <d v="2024-11-24T00:00:00"/>
    <d v="2024-10-25T00:00:00"/>
    <x v="2"/>
    <x v="0"/>
  </r>
  <r>
    <n v="40"/>
    <s v="EUR"/>
    <n v="0"/>
    <n v="0"/>
    <n v="0"/>
    <n v="600"/>
    <n v="600"/>
    <n v="696"/>
    <n v="0"/>
    <n v="0"/>
    <d v="2024-09-28T00:00:00"/>
    <d v="2024-08-29T00:00:00"/>
    <x v="6"/>
    <x v="0"/>
  </r>
  <r>
    <n v="41"/>
    <s v="EUR"/>
    <n v="0"/>
    <n v="0"/>
    <n v="0"/>
    <n v="2716.1"/>
    <n v="2716.1"/>
    <n v="3150.6759999999995"/>
    <n v="0"/>
    <n v="0"/>
    <d v="2024-10-09T00:00:00"/>
    <d v="2024-09-09T00:00:00"/>
    <x v="0"/>
    <x v="0"/>
  </r>
  <r>
    <n v="43"/>
    <s v="USD"/>
    <n v="24986.880000000001"/>
    <n v="21488.716800000002"/>
    <n v="24986.880000000001"/>
    <n v="24986.880000000001"/>
    <n v="21488.716800000002"/>
    <n v="24986.880000000001"/>
    <n v="0"/>
    <n v="0"/>
    <d v="2025-01-06T00:00:00"/>
    <d v="2024-12-07T00:00:00"/>
    <x v="7"/>
    <x v="0"/>
  </r>
  <r>
    <n v="44"/>
    <s v="USD"/>
    <n v="32389.06"/>
    <n v="27854.5916"/>
    <n v="32389.06"/>
    <n v="32389.06"/>
    <n v="27854.5916"/>
    <n v="32389.06"/>
    <n v="0"/>
    <n v="0"/>
    <d v="2024-12-25T00:00:00"/>
    <d v="2024-11-25T00:00:00"/>
    <x v="1"/>
    <x v="0"/>
  </r>
  <r>
    <n v="45"/>
    <s v="USD"/>
    <n v="15659.59"/>
    <n v="13467.2474"/>
    <n v="15659.59"/>
    <n v="15699.59"/>
    <n v="13501.6474"/>
    <n v="15699.59"/>
    <n v="0"/>
    <n v="0"/>
    <d v="2025-02-28T00:00:00"/>
    <d v="2025-01-29T00:00:00"/>
    <x v="8"/>
    <x v="1"/>
  </r>
  <r>
    <n v="46"/>
    <s v="EUR"/>
    <n v="0"/>
    <n v="0"/>
    <n v="0"/>
    <n v="3400"/>
    <n v="3400"/>
    <n v="3943.9999999999995"/>
    <n v="0"/>
    <n v="0"/>
    <d v="2024-10-03T00:00:00"/>
    <d v="2024-09-03T00:00:00"/>
    <x v="0"/>
    <x v="0"/>
  </r>
  <r>
    <n v="47"/>
    <s v="MXN"/>
    <n v="449936.00999999995"/>
    <n v="21596.928479999999"/>
    <n v="25196.416559999998"/>
    <n v="451411.78"/>
    <n v="21667.765440000003"/>
    <n v="25279.059680000002"/>
    <n v="9.9999999231386028E-3"/>
    <n v="5.5999999569576178E-4"/>
    <d v="2025-02-09T00:00:00"/>
    <d v="2025-01-10T00:00:00"/>
    <x v="8"/>
    <x v="1"/>
  </r>
  <r>
    <n v="48"/>
    <s v="USD"/>
    <n v="0"/>
    <n v="0"/>
    <n v="0"/>
    <n v="99000"/>
    <n v="85140"/>
    <n v="99000"/>
    <n v="0"/>
    <n v="0"/>
    <d v="2024-11-24T00:00:00"/>
    <d v="2024-10-25T00:00:00"/>
    <x v="2"/>
    <x v="0"/>
  </r>
  <r>
    <n v="49"/>
    <s v="USD"/>
    <n v="0"/>
    <n v="0"/>
    <n v="0"/>
    <n v="4997.26"/>
    <n v="4297.6436000000003"/>
    <n v="4997.26"/>
    <n v="0"/>
    <n v="0"/>
    <d v="2025-01-19T00:00:00"/>
    <d v="2024-12-20T00:00:00"/>
    <x v="7"/>
    <x v="0"/>
  </r>
  <r>
    <n v="50"/>
    <s v="USD"/>
    <n v="7875.75"/>
    <n v="6773.1449999999995"/>
    <n v="7875.75"/>
    <n v="7875.75"/>
    <n v="6773.1449999999995"/>
    <n v="7875.75"/>
    <n v="0"/>
    <n v="0"/>
    <d v="2025-01-12T00:00:00"/>
    <d v="2024-12-13T00:00:00"/>
    <x v="7"/>
    <x v="0"/>
  </r>
  <r>
    <n v="51"/>
    <s v="USD"/>
    <n v="28820.799999999999"/>
    <n v="24785.887999999999"/>
    <n v="28820.799999999999"/>
    <n v="28820.799999999999"/>
    <n v="24785.887999999999"/>
    <n v="28820.799999999999"/>
    <n v="0"/>
    <n v="0"/>
    <d v="2025-01-19T00:00:00"/>
    <d v="2024-12-20T00:00:00"/>
    <x v="7"/>
    <x v="0"/>
  </r>
  <r>
    <n v="52"/>
    <s v="USD"/>
    <n v="12860.97"/>
    <n v="11060.4342"/>
    <n v="12860.97"/>
    <n v="12860.97"/>
    <n v="11060.4342"/>
    <n v="12860.97"/>
    <n v="0"/>
    <n v="0"/>
    <d v="2024-12-04T00:00:00"/>
    <d v="2024-11-04T00:00:00"/>
    <x v="1"/>
    <x v="0"/>
  </r>
  <r>
    <n v="53"/>
    <s v="USD"/>
    <n v="677.63"/>
    <n v="582.76179999999999"/>
    <n v="677.63"/>
    <n v="677.63"/>
    <n v="582.76179999999999"/>
    <n v="677.63"/>
    <n v="0"/>
    <n v="0"/>
    <d v="2024-12-02T00:00:00"/>
    <d v="2024-11-02T00:00:00"/>
    <x v="1"/>
    <x v="0"/>
  </r>
  <r>
    <n v="54"/>
    <s v="MXN"/>
    <n v="0"/>
    <n v="0"/>
    <n v="0"/>
    <n v="3567"/>
    <n v="171.21600000000001"/>
    <n v="199.75200000000001"/>
    <n v="0"/>
    <n v="0"/>
    <d v="2024-12-25T00:00:00"/>
    <d v="2024-11-25T00:00:00"/>
    <x v="1"/>
    <x v="0"/>
  </r>
  <r>
    <n v="55"/>
    <s v="USD"/>
    <n v="5154.6899999999996"/>
    <n v="4433.0333999999993"/>
    <n v="5154.6899999999996"/>
    <n v="5154.6899999999996"/>
    <n v="4433.0333999999993"/>
    <n v="5154.6899999999996"/>
    <n v="0"/>
    <n v="0"/>
    <d v="2025-05-25T00:00:00"/>
    <d v="2025-04-25T00:00:00"/>
    <x v="4"/>
    <x v="1"/>
  </r>
  <r>
    <n v="56"/>
    <s v="USD"/>
    <n v="102799.99"/>
    <n v="88407.991399999999"/>
    <n v="102799.99"/>
    <n v="102799.99"/>
    <n v="88407.991399999999"/>
    <n v="102799.99"/>
    <n v="0"/>
    <n v="0"/>
    <d v="2024-12-17T00:00:00"/>
    <d v="2024-11-17T00:00:00"/>
    <x v="1"/>
    <x v="0"/>
  </r>
  <r>
    <n v="57"/>
    <s v="USD"/>
    <n v="151085.92000000001"/>
    <n v="129933.89120000001"/>
    <n v="151085.92000000001"/>
    <n v="151085.92000000001"/>
    <n v="129933.89120000001"/>
    <n v="151085.92000000001"/>
    <n v="0"/>
    <n v="0"/>
    <d v="2025-12-03T00:00:00"/>
    <d v="2025-11-03T00:00:00"/>
    <x v="1"/>
    <x v="1"/>
  </r>
  <r>
    <n v="58"/>
    <s v="USD"/>
    <n v="20154.78"/>
    <n v="17333.110799999999"/>
    <n v="20154.78"/>
    <n v="28869.19"/>
    <n v="24827.503399999998"/>
    <n v="28869.19"/>
    <n v="0"/>
    <n v="0"/>
    <d v="2024-12-25T00:00:00"/>
    <d v="2024-11-25T00:00:00"/>
    <x v="1"/>
    <x v="0"/>
  </r>
  <r>
    <n v="59"/>
    <s v="USD"/>
    <n v="0"/>
    <n v="0"/>
    <n v="0"/>
    <n v="981.77"/>
    <n v="844.32219999999995"/>
    <n v="981.77"/>
    <n v="0"/>
    <n v="0"/>
    <d v="2024-12-22T00:00:00"/>
    <d v="2024-11-22T00:00:00"/>
    <x v="1"/>
    <x v="0"/>
  </r>
  <r>
    <n v="60"/>
    <s v="USD"/>
    <n v="0"/>
    <n v="0"/>
    <n v="0"/>
    <n v="206.9"/>
    <n v="177.934"/>
    <n v="206.9"/>
    <n v="0"/>
    <n v="0"/>
    <d v="2024-12-05T00:00:00"/>
    <d v="2024-11-05T00:00:00"/>
    <x v="1"/>
    <x v="0"/>
  </r>
  <r>
    <n v="61"/>
    <s v="USD"/>
    <n v="0"/>
    <n v="0"/>
    <n v="0"/>
    <n v="4265.6099999999997"/>
    <n v="3668.4245999999998"/>
    <n v="4265.6099999999997"/>
    <n v="0"/>
    <n v="0"/>
    <d v="2025-03-14T00:00:00"/>
    <d v="2025-02-12T00:00:00"/>
    <x v="5"/>
    <x v="1"/>
  </r>
  <r>
    <n v="62"/>
    <s v="USD"/>
    <n v="1070"/>
    <n v="920.19999999999993"/>
    <n v="1070"/>
    <n v="13276.75"/>
    <n v="11418.004999999999"/>
    <n v="13276.75"/>
    <n v="0"/>
    <n v="0"/>
    <d v="2025-03-21T00:00:00"/>
    <d v="2025-02-19T00:00:00"/>
    <x v="5"/>
    <x v="1"/>
  </r>
  <r>
    <n v="63"/>
    <s v="EUR"/>
    <n v="2268"/>
    <n v="2268"/>
    <n v="2630.8799999999997"/>
    <n v="2268"/>
    <n v="2268"/>
    <n v="2630.8799999999997"/>
    <n v="0"/>
    <n v="0"/>
    <d v="2025-01-25T00:00:00"/>
    <d v="2024-12-26T00:00:00"/>
    <x v="7"/>
    <x v="0"/>
  </r>
  <r>
    <n v="64"/>
    <s v="USD"/>
    <n v="1062"/>
    <n v="913.31999999999994"/>
    <n v="1062"/>
    <n v="1062"/>
    <n v="913.31999999999994"/>
    <n v="1062"/>
    <n v="0"/>
    <n v="0"/>
    <d v="2024-12-13T00:00:00"/>
    <d v="2024-11-13T00:00:00"/>
    <x v="1"/>
    <x v="0"/>
  </r>
  <r>
    <n v="65"/>
    <s v="USD"/>
    <n v="2952.07"/>
    <n v="2538.7802000000001"/>
    <n v="2952.07"/>
    <n v="2952.07"/>
    <n v="2538.7802000000001"/>
    <n v="2952.07"/>
    <n v="0"/>
    <n v="0"/>
    <d v="2025-01-31T00:00:00"/>
    <d v="2025-01-01T00:00:00"/>
    <x v="8"/>
    <x v="1"/>
  </r>
  <r>
    <n v="66"/>
    <s v="USD"/>
    <n v="2776.97"/>
    <n v="2388.1941999999999"/>
    <n v="2776.97"/>
    <n v="2776.97"/>
    <n v="2388.1941999999999"/>
    <n v="2776.97"/>
    <n v="0"/>
    <n v="0"/>
    <d v="2025-01-30T00:00:00"/>
    <d v="2024-12-31T00:00:00"/>
    <x v="7"/>
    <x v="0"/>
  </r>
  <r>
    <n v="67"/>
    <s v="USD"/>
    <n v="2776.97"/>
    <n v="2388.1941999999999"/>
    <n v="2776.97"/>
    <n v="2776.97"/>
    <n v="2388.1941999999999"/>
    <n v="2776.97"/>
    <n v="0"/>
    <n v="0"/>
    <d v="2025-01-30T00:00:00"/>
    <d v="2024-12-31T00:00:00"/>
    <x v="7"/>
    <x v="0"/>
  </r>
  <r>
    <n v="68"/>
    <s v="USD"/>
    <n v="2818.86"/>
    <n v="2424.2195999999999"/>
    <n v="2818.86"/>
    <n v="2818.86"/>
    <n v="2424.2195999999999"/>
    <n v="2818.86"/>
    <n v="0"/>
    <n v="0"/>
    <d v="2025-01-30T00:00:00"/>
    <d v="2024-12-31T00:00:00"/>
    <x v="7"/>
    <x v="0"/>
  </r>
  <r>
    <n v="69"/>
    <s v="USD"/>
    <n v="0"/>
    <n v="0"/>
    <n v="0"/>
    <n v="1366"/>
    <n v="1174.76"/>
    <n v="1366"/>
    <n v="0"/>
    <n v="0"/>
    <d v="2024-12-27T00:00:00"/>
    <d v="2024-11-27T00:00:00"/>
    <x v="1"/>
    <x v="0"/>
  </r>
  <r>
    <n v="70"/>
    <s v="USD"/>
    <n v="9091.1"/>
    <n v="7818.3460000000005"/>
    <n v="9091.1"/>
    <n v="9091.1"/>
    <n v="7818.3460000000005"/>
    <n v="9091.1"/>
    <n v="0"/>
    <n v="0"/>
    <d v="2025-03-22T00:00:00"/>
    <d v="2025-02-20T00:00:00"/>
    <x v="5"/>
    <x v="1"/>
  </r>
  <r>
    <n v="71"/>
    <s v="USD"/>
    <n v="107596.07999999999"/>
    <n v="92532.628799999991"/>
    <n v="107596.07999999999"/>
    <n v="111931.7"/>
    <n v="96261.262000000002"/>
    <n v="111931.7"/>
    <n v="-2.0000000009531504E-2"/>
    <n v="-2.0000000009531504E-2"/>
    <d v="2025-09-17T00:00:00"/>
    <d v="2025-08-18T00:00:00"/>
    <x v="6"/>
    <x v="1"/>
  </r>
  <r>
    <n v="72"/>
    <s v="USD"/>
    <n v="201"/>
    <n v="172.85999999999999"/>
    <n v="201"/>
    <n v="201"/>
    <n v="172.85999999999999"/>
    <n v="201"/>
    <n v="0"/>
    <n v="0"/>
    <d v="2024-12-06T00:00:00"/>
    <d v="2024-11-06T00:00:00"/>
    <x v="1"/>
    <x v="0"/>
  </r>
  <r>
    <n v="73"/>
    <s v="USD"/>
    <n v="0"/>
    <n v="0"/>
    <n v="0"/>
    <n v="11485.71"/>
    <n v="9877.7105999999985"/>
    <n v="11485.71"/>
    <n v="0"/>
    <n v="0"/>
    <d v="2025-04-16T00:00:00"/>
    <d v="2025-03-17T00:00:00"/>
    <x v="9"/>
    <x v="1"/>
  </r>
  <r>
    <n v="74"/>
    <s v="USD"/>
    <n v="260"/>
    <n v="223.6"/>
    <n v="260"/>
    <n v="260"/>
    <n v="223.6"/>
    <n v="260"/>
    <n v="0"/>
    <n v="0"/>
    <d v="2024-12-22T00:00:00"/>
    <d v="2024-11-22T00:00:00"/>
    <x v="1"/>
    <x v="0"/>
  </r>
  <r>
    <n v="75"/>
    <s v="USD"/>
    <n v="2250"/>
    <n v="1935"/>
    <n v="2250"/>
    <n v="2250"/>
    <n v="1935"/>
    <n v="2250"/>
    <n v="0"/>
    <n v="0"/>
    <d v="2025-03-22T00:00:00"/>
    <d v="2025-02-20T00:00:00"/>
    <x v="5"/>
    <x v="1"/>
  </r>
  <r>
    <n v="76"/>
    <s v="USD"/>
    <n v="0"/>
    <n v="0"/>
    <n v="0"/>
    <n v="4288.97"/>
    <n v="3688.5142000000001"/>
    <n v="4288.97"/>
    <n v="0"/>
    <n v="0"/>
    <d v="2025-01-31T00:00:00"/>
    <d v="2025-01-01T00:00:00"/>
    <x v="8"/>
    <x v="1"/>
  </r>
  <r>
    <n v="77"/>
    <s v="USD"/>
    <n v="688"/>
    <n v="591.67999999999995"/>
    <n v="688"/>
    <n v="688"/>
    <n v="591.67999999999995"/>
    <n v="688"/>
    <n v="0"/>
    <n v="0"/>
    <d v="2025-01-31T00:00:00"/>
    <d v="2025-01-01T00:00:00"/>
    <x v="8"/>
    <x v="1"/>
  </r>
  <r>
    <n v="78"/>
    <s v="USD"/>
    <n v="0"/>
    <n v="0"/>
    <n v="0"/>
    <n v="688"/>
    <n v="591.67999999999995"/>
    <n v="688"/>
    <n v="0"/>
    <n v="0"/>
    <d v="2025-01-31T00:00:00"/>
    <d v="2025-01-01T00:00:00"/>
    <x v="8"/>
    <x v="1"/>
  </r>
  <r>
    <n v="79"/>
    <s v="USD"/>
    <n v="0"/>
    <n v="0"/>
    <n v="0"/>
    <n v="3295.4"/>
    <n v="2834.0439999999999"/>
    <n v="3295.4"/>
    <n v="0"/>
    <n v="0"/>
    <d v="2025-02-02T00:00:00"/>
    <d v="2025-01-03T00:00:00"/>
    <x v="8"/>
    <x v="1"/>
  </r>
  <r>
    <n v="81"/>
    <s v="USD"/>
    <n v="2723"/>
    <n v="2341.7799999999997"/>
    <n v="2723"/>
    <n v="4988"/>
    <n v="4289.68"/>
    <n v="4988"/>
    <n v="0"/>
    <n v="0"/>
    <d v="2025-02-02T00:00:00"/>
    <d v="2025-01-03T00:00:00"/>
    <x v="8"/>
    <x v="1"/>
  </r>
  <r>
    <n v="82"/>
    <s v="USD"/>
    <n v="343174.85"/>
    <n v="295130.37099999998"/>
    <n v="343174.85"/>
    <n v="343174.85"/>
    <n v="295130.37099999998"/>
    <n v="343174.85"/>
    <n v="0"/>
    <n v="0"/>
    <d v="2025-03-04T00:00:00"/>
    <d v="2025-02-02T00:00:00"/>
    <x v="5"/>
    <x v="1"/>
  </r>
  <r>
    <n v="83"/>
    <s v="USD"/>
    <n v="0"/>
    <n v="0"/>
    <n v="0"/>
    <n v="229"/>
    <n v="196.94"/>
    <n v="229"/>
    <n v="0"/>
    <n v="0"/>
    <d v="2024-12-19T00:00:00"/>
    <d v="2024-11-19T00:00:00"/>
    <x v="1"/>
    <x v="0"/>
  </r>
  <r>
    <n v="84"/>
    <s v="USD"/>
    <n v="0"/>
    <n v="0"/>
    <n v="0"/>
    <n v="1708.68"/>
    <n v="1469.4648"/>
    <n v="1708.68"/>
    <n v="0"/>
    <n v="0"/>
    <d v="2025-01-28T00:00:00"/>
    <d v="2024-12-29T00:00:00"/>
    <x v="7"/>
    <x v="0"/>
  </r>
  <r>
    <n v="85"/>
    <s v="USD"/>
    <n v="6785.9700000000012"/>
    <n v="5835.9342000000006"/>
    <n v="6785.9700000000012"/>
    <n v="125088.02"/>
    <n v="107575.6972"/>
    <n v="125088.02"/>
    <n v="0"/>
    <n v="0"/>
    <d v="2024-12-29T00:00:00"/>
    <d v="2024-11-29T00:00:00"/>
    <x v="1"/>
    <x v="0"/>
  </r>
  <r>
    <n v="86"/>
    <s v="USD"/>
    <n v="281219.98"/>
    <n v="241849.18279999998"/>
    <n v="281219.98"/>
    <n v="281219.98"/>
    <n v="241849.18279999998"/>
    <n v="281219.98"/>
    <n v="0"/>
    <n v="0"/>
    <d v="2025-09-22T00:00:00"/>
    <d v="2025-08-23T00:00:00"/>
    <x v="6"/>
    <x v="1"/>
  </r>
  <r>
    <n v="87"/>
    <s v="USD"/>
    <n v="3630"/>
    <n v="3121.7999999999997"/>
    <n v="3630"/>
    <n v="3630"/>
    <n v="3121.7999999999997"/>
    <n v="3630"/>
    <n v="0"/>
    <n v="0"/>
    <d v="2025-01-20T00:00:00"/>
    <d v="2024-12-21T00:00:00"/>
    <x v="7"/>
    <x v="0"/>
  </r>
  <r>
    <n v="88"/>
    <s v="USD"/>
    <n v="0"/>
    <n v="0"/>
    <n v="0"/>
    <n v="800"/>
    <n v="688"/>
    <n v="800"/>
    <n v="0"/>
    <n v="0"/>
    <d v="2025-01-10T00:00:00"/>
    <d v="2024-12-11T00:00:00"/>
    <x v="7"/>
    <x v="0"/>
  </r>
  <r>
    <n v="89"/>
    <s v="USD"/>
    <n v="0"/>
    <n v="0"/>
    <n v="0"/>
    <n v="800"/>
    <n v="688"/>
    <n v="800"/>
    <n v="0"/>
    <n v="0"/>
    <d v="2025-01-13T00:00:00"/>
    <d v="2024-12-14T00:00:00"/>
    <x v="7"/>
    <x v="0"/>
  </r>
  <r>
    <n v="90"/>
    <s v="MXN"/>
    <n v="87954"/>
    <n v="4221.7920000000004"/>
    <n v="4925.424"/>
    <n v="87954"/>
    <n v="4221.7920000000004"/>
    <n v="4925.424"/>
    <n v="0"/>
    <n v="0"/>
    <d v="2025-01-11T00:00:00"/>
    <d v="2024-12-12T00:00:00"/>
    <x v="7"/>
    <x v="0"/>
  </r>
  <r>
    <n v="91"/>
    <s v="MXN"/>
    <n v="0"/>
    <n v="0"/>
    <n v="0"/>
    <n v="9904"/>
    <n v="475.392"/>
    <n v="554.62400000000002"/>
    <n v="0"/>
    <n v="0"/>
    <d v="2025-01-19T00:00:00"/>
    <d v="2024-12-20T00:00:00"/>
    <x v="7"/>
    <x v="0"/>
  </r>
  <r>
    <n v="93"/>
    <s v="EUR"/>
    <n v="0"/>
    <n v="0"/>
    <n v="0"/>
    <n v="4440"/>
    <n v="4440"/>
    <n v="5150.3999999999996"/>
    <n v="0"/>
    <n v="0"/>
    <d v="2025-01-17T00:00:00"/>
    <d v="2024-12-18T00:00:00"/>
    <x v="7"/>
    <x v="0"/>
  </r>
  <r>
    <n v="94"/>
    <s v="MXN"/>
    <n v="0"/>
    <n v="0"/>
    <n v="0"/>
    <n v="135027"/>
    <n v="6481.2960000000003"/>
    <n v="7561.5119999999997"/>
    <n v="0"/>
    <n v="0"/>
    <d v="2025-02-02T00:00:00"/>
    <d v="2025-01-03T00:00:00"/>
    <x v="8"/>
    <x v="1"/>
  </r>
  <r>
    <n v="95"/>
    <s v="MXN"/>
    <n v="0"/>
    <n v="0"/>
    <n v="0"/>
    <n v="23614.400000000001"/>
    <n v="1133.4912000000002"/>
    <n v="1322.4064000000001"/>
    <n v="0"/>
    <n v="0"/>
    <d v="2025-02-01T00:00:00"/>
    <d v="2025-01-02T00:00:00"/>
    <x v="8"/>
    <x v="1"/>
  </r>
  <r>
    <n v="96"/>
    <s v="EUR"/>
    <n v="17010"/>
    <n v="17010"/>
    <n v="19731.599999999999"/>
    <n v="17010"/>
    <n v="17010"/>
    <n v="19731.599999999999"/>
    <n v="0"/>
    <n v="0"/>
    <d v="2025-06-26T00:00:00"/>
    <d v="2025-05-27T00:00:00"/>
    <x v="10"/>
    <x v="1"/>
  </r>
  <r>
    <n v="97"/>
    <s v="EUR"/>
    <n v="0"/>
    <n v="0"/>
    <n v="0"/>
    <n v="494.4"/>
    <n v="494.4"/>
    <n v="573.50399999999991"/>
    <n v="0"/>
    <n v="0"/>
    <d v="2025-02-15T00:00:00"/>
    <d v="2025-01-16T00:00:00"/>
    <x v="8"/>
    <x v="1"/>
  </r>
  <r>
    <n v="98"/>
    <s v="EUR"/>
    <n v="23592.950000000004"/>
    <n v="23592.950000000004"/>
    <n v="27367.822000000004"/>
    <n v="57490.44"/>
    <n v="57490.44"/>
    <n v="66688.910399999993"/>
    <n v="0"/>
    <n v="0"/>
    <d v="2025-04-12T00:00:00"/>
    <d v="2025-03-13T00:00:00"/>
    <x v="9"/>
    <x v="1"/>
  </r>
  <r>
    <n v="99"/>
    <s v="EUR"/>
    <n v="0"/>
    <n v="0"/>
    <n v="0"/>
    <n v="26938.799999999999"/>
    <n v="26938.799999999999"/>
    <n v="31249.007999999998"/>
    <n v="0"/>
    <n v="0"/>
    <d v="2025-01-04T00:00:00"/>
    <d v="2024-12-05T00:00:00"/>
    <x v="7"/>
    <x v="0"/>
  </r>
  <r>
    <n v="100"/>
    <s v="USD"/>
    <n v="8991"/>
    <n v="7732.26"/>
    <n v="8991"/>
    <n v="13574"/>
    <n v="11673.64"/>
    <n v="13574"/>
    <n v="0"/>
    <n v="0"/>
    <d v="2025-06-21T00:00:00"/>
    <d v="2025-05-22T00:00:00"/>
    <x v="10"/>
    <x v="1"/>
  </r>
  <r>
    <n v="101"/>
    <s v="USD"/>
    <n v="43259.77"/>
    <n v="37203.402199999997"/>
    <n v="43259.77"/>
    <n v="43259.77"/>
    <n v="37203.402199999997"/>
    <n v="43259.77"/>
    <n v="0"/>
    <n v="0"/>
    <d v="2025-05-10T00:00:00"/>
    <d v="2025-04-10T00:00:00"/>
    <x v="4"/>
    <x v="1"/>
  </r>
  <r>
    <n v="102"/>
    <s v="USD"/>
    <n v="54070.2"/>
    <n v="46500.371999999996"/>
    <n v="54070.2"/>
    <n v="63049.4"/>
    <n v="54222.484000000004"/>
    <n v="63049.4"/>
    <n v="0"/>
    <n v="0"/>
    <d v="2025-01-21T00:00:00"/>
    <d v="2024-12-22T00:00:00"/>
    <x v="7"/>
    <x v="0"/>
  </r>
  <r>
    <n v="103"/>
    <s v="USD"/>
    <n v="9011.2000000000007"/>
    <n v="7749.6320000000005"/>
    <n v="9011.2000000000007"/>
    <n v="9011.2000000000007"/>
    <n v="7749.6320000000005"/>
    <n v="9011.2000000000007"/>
    <n v="0"/>
    <n v="0"/>
    <d v="2025-02-11T00:00:00"/>
    <d v="2025-01-12T00:00:00"/>
    <x v="8"/>
    <x v="1"/>
  </r>
  <r>
    <n v="104"/>
    <s v="USD"/>
    <n v="0"/>
    <n v="0"/>
    <n v="0"/>
    <n v="15213.21"/>
    <n v="13083.360599999998"/>
    <n v="15213.21"/>
    <n v="0"/>
    <n v="0"/>
    <d v="2025-02-12T00:00:00"/>
    <d v="2025-01-13T00:00:00"/>
    <x v="8"/>
    <x v="1"/>
  </r>
  <r>
    <n v="105"/>
    <s v="USD"/>
    <n v="0"/>
    <n v="0"/>
    <n v="0"/>
    <n v="268"/>
    <n v="230.48"/>
    <n v="268"/>
    <n v="0"/>
    <n v="0"/>
    <d v="2025-01-17T00:00:00"/>
    <d v="2024-12-18T00:00:00"/>
    <x v="7"/>
    <x v="0"/>
  </r>
  <r>
    <n v="106"/>
    <s v="USD"/>
    <n v="0"/>
    <n v="0"/>
    <n v="0"/>
    <n v="268"/>
    <n v="230.48"/>
    <n v="268"/>
    <n v="0"/>
    <n v="0"/>
    <d v="2025-01-17T00:00:00"/>
    <d v="2024-12-18T00:00:00"/>
    <x v="7"/>
    <x v="0"/>
  </r>
  <r>
    <n v="107"/>
    <s v="USD"/>
    <n v="0"/>
    <n v="0"/>
    <n v="0"/>
    <n v="494"/>
    <n v="424.84"/>
    <n v="494"/>
    <n v="0"/>
    <n v="0"/>
    <d v="2025-01-17T00:00:00"/>
    <d v="2024-12-18T00:00:00"/>
    <x v="7"/>
    <x v="0"/>
  </r>
  <r>
    <n v="108"/>
    <s v="USD"/>
    <n v="0"/>
    <n v="0"/>
    <n v="0"/>
    <n v="76619.67"/>
    <n v="65892.916199999992"/>
    <n v="76619.67"/>
    <n v="0"/>
    <n v="0"/>
    <d v="2024-12-21T00:00:00"/>
    <d v="2024-11-21T00:00:00"/>
    <x v="1"/>
    <x v="0"/>
  </r>
  <r>
    <n v="109"/>
    <s v="MXN"/>
    <n v="0"/>
    <n v="0"/>
    <n v="0"/>
    <n v="95573"/>
    <n v="4587.5039999999999"/>
    <n v="5352.0879999999997"/>
    <n v="0"/>
    <n v="0"/>
    <d v="2025-02-13T00:00:00"/>
    <d v="2025-01-14T00:00:00"/>
    <x v="8"/>
    <x v="1"/>
  </r>
  <r>
    <n v="110"/>
    <s v="USD"/>
    <n v="0"/>
    <n v="0"/>
    <n v="0"/>
    <n v="302.2"/>
    <n v="259.892"/>
    <n v="302.2"/>
    <n v="0"/>
    <n v="0"/>
    <d v="2025-02-01T00:00:00"/>
    <d v="2025-01-02T00:00:00"/>
    <x v="8"/>
    <x v="1"/>
  </r>
  <r>
    <n v="111"/>
    <s v="GPB"/>
    <n v="0"/>
    <n v="0"/>
    <n v="0"/>
    <n v="82419"/>
    <n v="94781.849999999991"/>
    <n v="110441.46"/>
    <n v="0"/>
    <n v="0"/>
    <d v="2024-12-21T00:00:00"/>
    <d v="2024-11-21T00:00:00"/>
    <x v="1"/>
    <x v="0"/>
  </r>
  <r>
    <n v="112"/>
    <s v="USD"/>
    <n v="3820"/>
    <n v="3285.2"/>
    <n v="3820"/>
    <n v="3820"/>
    <n v="3285.2"/>
    <n v="3820"/>
    <n v="0"/>
    <n v="0"/>
    <d v="2025-01-21T00:00:00"/>
    <d v="2024-12-22T00:00:00"/>
    <x v="7"/>
    <x v="0"/>
  </r>
  <r>
    <n v="113"/>
    <s v="USD"/>
    <n v="0"/>
    <n v="0"/>
    <n v="0"/>
    <n v="20777.39"/>
    <n v="17868.555399999997"/>
    <n v="20777.39"/>
    <n v="0"/>
    <n v="0"/>
    <d v="2024-12-26T00:00:00"/>
    <d v="2024-11-26T00:00:00"/>
    <x v="1"/>
    <x v="0"/>
  </r>
  <r>
    <n v="114"/>
    <s v="MXN"/>
    <n v="0"/>
    <n v="0"/>
    <n v="0"/>
    <n v="113312.48"/>
    <n v="5438.9990399999997"/>
    <n v="6345.4988800000001"/>
    <n v="0"/>
    <n v="0"/>
    <d v="2025-05-19T00:00:00"/>
    <d v="2025-04-19T00:00:00"/>
    <x v="4"/>
    <x v="1"/>
  </r>
  <r>
    <n v="115"/>
    <s v="USD"/>
    <n v="202730.82"/>
    <n v="174348.50520000001"/>
    <n v="202730.82"/>
    <n v="202730.82"/>
    <n v="174348.50520000001"/>
    <n v="202730.82"/>
    <n v="0"/>
    <n v="0"/>
    <d v="2025-10-04T00:00:00"/>
    <d v="2025-09-04T00:00:00"/>
    <x v="0"/>
    <x v="1"/>
  </r>
  <r>
    <n v="116"/>
    <s v="USD"/>
    <n v="14720"/>
    <n v="12659.199999999999"/>
    <n v="14720"/>
    <n v="14720"/>
    <n v="12659.199999999999"/>
    <n v="14720"/>
    <n v="0"/>
    <n v="0"/>
    <d v="2024-11-11T00:00:00"/>
    <d v="2024-10-12T00:00:00"/>
    <x v="2"/>
    <x v="0"/>
  </r>
  <r>
    <n v="117"/>
    <s v="EUR"/>
    <n v="0"/>
    <n v="0"/>
    <n v="0"/>
    <n v="606.17999999999995"/>
    <n v="606.17999999999995"/>
    <n v="703.16879999999992"/>
    <n v="0"/>
    <n v="0"/>
    <d v="2025-01-05T00:00:00"/>
    <d v="2024-12-06T00:00:00"/>
    <x v="7"/>
    <x v="0"/>
  </r>
  <r>
    <n v="118"/>
    <s v="USD"/>
    <n v="179120.49"/>
    <n v="154043.6214"/>
    <n v="179120.49"/>
    <n v="179120.49"/>
    <n v="154043.6214"/>
    <n v="179120.49"/>
    <n v="0"/>
    <n v="0"/>
    <d v="2025-04-09T00:00:00"/>
    <d v="2025-03-10T00:00:00"/>
    <x v="9"/>
    <x v="1"/>
  </r>
  <r>
    <n v="119"/>
    <s v="EUR"/>
    <n v="35970"/>
    <n v="35970"/>
    <n v="41725.199999999997"/>
    <n v="37402.1"/>
    <n v="37402.1"/>
    <n v="43386.435999999994"/>
    <n v="0"/>
    <n v="0"/>
    <d v="2025-02-26T00:00:00"/>
    <d v="2025-01-27T00:00:00"/>
    <x v="8"/>
    <x v="1"/>
  </r>
  <r>
    <n v="120"/>
    <s v="USD"/>
    <n v="0"/>
    <n v="0"/>
    <n v="0"/>
    <n v="2383.6799999999998"/>
    <n v="2049.9647999999997"/>
    <n v="2383.6799999999998"/>
    <n v="0"/>
    <n v="0"/>
    <d v="2025-04-15T00:00:00"/>
    <d v="2025-03-16T00:00:00"/>
    <x v="9"/>
    <x v="1"/>
  </r>
  <r>
    <n v="121"/>
    <s v="USD"/>
    <n v="0"/>
    <n v="0"/>
    <n v="0"/>
    <n v="1791.72"/>
    <n v="1540.8792000000001"/>
    <n v="1791.72"/>
    <n v="0"/>
    <n v="0"/>
    <d v="2025-06-05T00:00:00"/>
    <d v="2025-05-06T00:00:00"/>
    <x v="10"/>
    <x v="1"/>
  </r>
  <r>
    <n v="122"/>
    <s v="EUR"/>
    <n v="0"/>
    <n v="0"/>
    <n v="0"/>
    <n v="11500.66"/>
    <n v="11500.66"/>
    <n v="13340.765599999999"/>
    <n v="0"/>
    <n v="0"/>
    <d v="2025-01-20T00:00:00"/>
    <d v="2024-12-21T00:00:00"/>
    <x v="7"/>
    <x v="0"/>
  </r>
  <r>
    <n v="123"/>
    <s v="MXN"/>
    <n v="6934.95"/>
    <n v="332.87759999999997"/>
    <n v="388.35719999999998"/>
    <n v="6630.75"/>
    <n v="318.27600000000001"/>
    <n v="371.322"/>
    <n v="304.19999999999982"/>
    <n v="17.035199999999989"/>
    <d v="2025-02-12T00:00:00"/>
    <d v="2025-01-13T00:00:00"/>
    <x v="8"/>
    <x v="1"/>
  </r>
  <r>
    <n v="124"/>
    <s v="USD"/>
    <n v="0"/>
    <n v="0"/>
    <n v="0"/>
    <n v="57724"/>
    <n v="49642.64"/>
    <n v="57724"/>
    <n v="0"/>
    <n v="0"/>
    <d v="2025-06-24T00:00:00"/>
    <d v="2025-05-25T00:00:00"/>
    <x v="10"/>
    <x v="1"/>
  </r>
  <r>
    <n v="126"/>
    <s v="EUR"/>
    <n v="122352.09"/>
    <n v="122352.09"/>
    <n v="141928.42439999999"/>
    <n v="143769.04999999999"/>
    <n v="143769.04999999999"/>
    <n v="166772.09799999997"/>
    <n v="0"/>
    <n v="0"/>
    <d v="2025-06-01T00:00:00"/>
    <d v="2025-05-02T00:00:00"/>
    <x v="10"/>
    <x v="1"/>
  </r>
  <r>
    <n v="127"/>
    <s v="USD"/>
    <n v="0"/>
    <n v="0"/>
    <n v="0"/>
    <n v="5088"/>
    <n v="4375.68"/>
    <n v="5088"/>
    <n v="0"/>
    <n v="0"/>
    <d v="2024-12-22T00:00:00"/>
    <d v="2024-11-22T00:00:00"/>
    <x v="1"/>
    <x v="0"/>
  </r>
  <r>
    <n v="128"/>
    <s v="USD"/>
    <n v="0"/>
    <n v="0"/>
    <n v="0"/>
    <n v="1389.53"/>
    <n v="1194.9957999999999"/>
    <n v="1389.53"/>
    <n v="0"/>
    <n v="0"/>
    <d v="2025-01-31T00:00:00"/>
    <d v="2025-01-01T00:00:00"/>
    <x v="8"/>
    <x v="1"/>
  </r>
  <r>
    <n v="129"/>
    <s v="USD"/>
    <n v="0"/>
    <n v="0"/>
    <n v="0"/>
    <n v="166662"/>
    <n v="143329.32"/>
    <n v="166662"/>
    <n v="0"/>
    <n v="0"/>
    <d v="2025-03-19T00:00:00"/>
    <d v="2025-02-17T00:00:00"/>
    <x v="5"/>
    <x v="1"/>
  </r>
  <r>
    <n v="130"/>
    <s v="USD"/>
    <n v="0"/>
    <n v="0"/>
    <n v="0"/>
    <n v="4389"/>
    <n v="3774.54"/>
    <n v="4389"/>
    <n v="0"/>
    <n v="0"/>
    <d v="2025-03-19T00:00:00"/>
    <d v="2025-02-17T00:00:00"/>
    <x v="5"/>
    <x v="1"/>
  </r>
  <r>
    <n v="131"/>
    <s v="USD"/>
    <n v="11343.61"/>
    <n v="9755.5046000000002"/>
    <n v="11343.61"/>
    <n v="11343.61"/>
    <n v="9755.5046000000002"/>
    <n v="11343.61"/>
    <n v="0"/>
    <n v="0"/>
    <d v="2025-03-26T00:00:00"/>
    <d v="2025-02-24T00:00:00"/>
    <x v="5"/>
    <x v="1"/>
  </r>
  <r>
    <n v="132"/>
    <s v="USD"/>
    <n v="0"/>
    <n v="0"/>
    <n v="0"/>
    <n v="4378.88"/>
    <n v="3765.8368"/>
    <n v="4378.88"/>
    <n v="0"/>
    <n v="0"/>
    <d v="2025-02-12T00:00:00"/>
    <d v="2025-01-13T00:00:00"/>
    <x v="8"/>
    <x v="1"/>
  </r>
  <r>
    <n v="133"/>
    <s v="USD"/>
    <n v="0"/>
    <n v="0"/>
    <n v="0"/>
    <n v="8756.25"/>
    <n v="7530.375"/>
    <n v="8756.25"/>
    <n v="0"/>
    <n v="0"/>
    <d v="2025-01-18T00:00:00"/>
    <d v="2024-12-19T00:00:00"/>
    <x v="7"/>
    <x v="0"/>
  </r>
  <r>
    <n v="134"/>
    <s v="USD"/>
    <n v="27450.52"/>
    <n v="23607.447199999999"/>
    <n v="27450.52"/>
    <n v="28655.52"/>
    <n v="24643.747200000002"/>
    <n v="28655.52"/>
    <n v="0"/>
    <n v="0"/>
    <d v="2025-05-15T00:00:00"/>
    <d v="2025-04-15T00:00:00"/>
    <x v="4"/>
    <x v="1"/>
  </r>
  <r>
    <n v="135"/>
    <s v="USD"/>
    <n v="87186.8"/>
    <n v="74980.648000000001"/>
    <n v="87186.8"/>
    <n v="87186.8"/>
    <n v="74980.648000000001"/>
    <n v="87186.8"/>
    <n v="0"/>
    <n v="0"/>
    <d v="2025-05-02T00:00:00"/>
    <d v="2025-04-02T00:00:00"/>
    <x v="4"/>
    <x v="1"/>
  </r>
  <r>
    <n v="136"/>
    <s v="USD"/>
    <n v="155010.57"/>
    <n v="133309.09020000001"/>
    <n v="155010.57"/>
    <n v="212465.22"/>
    <n v="182720.08919999999"/>
    <n v="212465.22"/>
    <n v="0"/>
    <n v="0"/>
    <d v="2025-04-10T00:00:00"/>
    <d v="2025-03-11T00:00:00"/>
    <x v="9"/>
    <x v="1"/>
  </r>
  <r>
    <n v="137"/>
    <s v="USD"/>
    <n v="28228.14"/>
    <n v="24276.200399999998"/>
    <n v="28228.14"/>
    <n v="32802.25"/>
    <n v="28209.935000000001"/>
    <n v="32802.25"/>
    <n v="0"/>
    <n v="0"/>
    <d v="2025-02-14T00:00:00"/>
    <d v="2025-01-15T00:00:00"/>
    <x v="8"/>
    <x v="1"/>
  </r>
  <r>
    <n v="138"/>
    <s v="MXN"/>
    <n v="100439.4"/>
    <n v="4821.0911999999998"/>
    <n v="5624.6063999999997"/>
    <n v="100439.4"/>
    <n v="4821.0911999999998"/>
    <n v="5624.6063999999997"/>
    <n v="0"/>
    <n v="0"/>
    <d v="2025-11-14T00:00:00"/>
    <d v="2025-10-15T00:00:00"/>
    <x v="2"/>
    <x v="1"/>
  </r>
  <r>
    <n v="139"/>
    <s v="USD"/>
    <n v="0"/>
    <n v="0"/>
    <n v="0"/>
    <n v="2232"/>
    <n v="1919.52"/>
    <n v="2232"/>
    <n v="0"/>
    <n v="0"/>
    <d v="2025-02-16T00:00:00"/>
    <d v="2025-01-17T00:00:00"/>
    <x v="8"/>
    <x v="1"/>
  </r>
  <r>
    <n v="140"/>
    <s v="USD"/>
    <n v="0"/>
    <n v="0"/>
    <n v="0"/>
    <n v="23910.84"/>
    <n v="20563.322400000001"/>
    <n v="23910.84"/>
    <n v="0"/>
    <n v="0"/>
    <d v="2024-12-24T00:00:00"/>
    <d v="2024-11-24T00:00:00"/>
    <x v="1"/>
    <x v="0"/>
  </r>
  <r>
    <n v="141"/>
    <s v="EUR"/>
    <n v="0"/>
    <n v="0"/>
    <n v="0"/>
    <n v="3158.37"/>
    <n v="3158.37"/>
    <n v="3663.7091999999998"/>
    <n v="0"/>
    <n v="0"/>
    <d v="2025-02-01T00:00:00"/>
    <d v="2025-01-02T00:00:00"/>
    <x v="8"/>
    <x v="1"/>
  </r>
  <r>
    <n v="142"/>
    <s v="USD"/>
    <n v="0"/>
    <n v="0"/>
    <n v="0"/>
    <n v="2390"/>
    <n v="2055.4"/>
    <n v="2390"/>
    <n v="0"/>
    <n v="0"/>
    <d v="2025-05-04T00:00:00"/>
    <d v="2025-04-04T00:00:00"/>
    <x v="4"/>
    <x v="1"/>
  </r>
  <r>
    <n v="143"/>
    <s v="EUR"/>
    <n v="0"/>
    <n v="0"/>
    <n v="0"/>
    <n v="4874.42"/>
    <n v="4874.42"/>
    <n v="5654.3271999999997"/>
    <n v="0"/>
    <n v="0"/>
    <d v="2025-01-26T00:00:00"/>
    <d v="2024-12-27T00:00:00"/>
    <x v="7"/>
    <x v="0"/>
  </r>
  <r>
    <n v="144"/>
    <s v="USD"/>
    <n v="0"/>
    <n v="0"/>
    <n v="0"/>
    <n v="3993.6"/>
    <n v="3434.4960000000001"/>
    <n v="3993.6"/>
    <n v="0"/>
    <n v="0"/>
    <d v="2024-12-28T00:00:00"/>
    <d v="2024-11-28T00:00:00"/>
    <x v="1"/>
    <x v="0"/>
  </r>
  <r>
    <n v="145"/>
    <s v="EUR"/>
    <n v="0"/>
    <n v="0"/>
    <n v="0"/>
    <n v="4101.6000000000004"/>
    <n v="4101.6000000000004"/>
    <n v="4757.8559999999998"/>
    <n v="0"/>
    <n v="0"/>
    <d v="2024-12-10T00:00:00"/>
    <d v="2024-11-10T00:00:00"/>
    <x v="1"/>
    <x v="0"/>
  </r>
  <r>
    <n v="146"/>
    <s v="USD"/>
    <n v="10481.040000000001"/>
    <n v="9013.6944000000003"/>
    <n v="10481.040000000001"/>
    <n v="10481.040000000001"/>
    <n v="9013.6944000000003"/>
    <n v="10481.040000000001"/>
    <n v="0"/>
    <n v="0"/>
    <d v="2025-01-28T00:00:00"/>
    <d v="2024-12-29T00:00:00"/>
    <x v="7"/>
    <x v="0"/>
  </r>
  <r>
    <n v="147"/>
    <s v="USD"/>
    <n v="10481.040000000001"/>
    <n v="9013.6944000000003"/>
    <n v="10481.040000000001"/>
    <n v="10481.040000000001"/>
    <n v="9013.6944000000003"/>
    <n v="10481.040000000001"/>
    <n v="0"/>
    <n v="0"/>
    <d v="2025-01-28T00:00:00"/>
    <d v="2024-12-29T00:00:00"/>
    <x v="7"/>
    <x v="0"/>
  </r>
  <r>
    <n v="148"/>
    <s v="USD"/>
    <n v="0"/>
    <n v="0"/>
    <n v="0"/>
    <n v="7786"/>
    <n v="6695.96"/>
    <n v="7786"/>
    <n v="0"/>
    <n v="0"/>
    <d v="2025-01-28T00:00:00"/>
    <d v="2024-12-29T00:00:00"/>
    <x v="7"/>
    <x v="0"/>
  </r>
  <r>
    <n v="149"/>
    <s v="USD"/>
    <n v="25292.780000000006"/>
    <n v="21751.790800000006"/>
    <n v="25292.780000000006"/>
    <n v="41524.870000000003"/>
    <n v="35711.388200000001"/>
    <n v="41524.870000000003"/>
    <n v="0"/>
    <n v="0"/>
    <d v="2025-06-08T00:00:00"/>
    <d v="2025-05-09T00:00:00"/>
    <x v="10"/>
    <x v="1"/>
  </r>
  <r>
    <n v="150"/>
    <s v="USD"/>
    <n v="65712.02"/>
    <n v="56512.337200000002"/>
    <n v="65712.02"/>
    <n v="68610.52"/>
    <n v="59005.047200000001"/>
    <n v="68610.52"/>
    <n v="0"/>
    <n v="0"/>
    <d v="2025-04-08T00:00:00"/>
    <d v="2025-03-09T00:00:00"/>
    <x v="9"/>
    <x v="1"/>
  </r>
  <r>
    <n v="151"/>
    <s v="EUR"/>
    <n v="1301"/>
    <n v="1301"/>
    <n v="1509.1599999999999"/>
    <n v="30433.64"/>
    <n v="30433.64"/>
    <n v="35303.022399999994"/>
    <n v="0"/>
    <n v="0"/>
    <d v="2025-06-06T00:00:00"/>
    <d v="2025-05-07T00:00:00"/>
    <x v="10"/>
    <x v="1"/>
  </r>
  <r>
    <n v="152"/>
    <s v="USD"/>
    <n v="2949"/>
    <n v="2536.14"/>
    <n v="2949"/>
    <n v="2949"/>
    <n v="2536.14"/>
    <n v="2949"/>
    <n v="0"/>
    <n v="0"/>
    <d v="2025-02-13T00:00:00"/>
    <d v="2025-01-14T00:00:00"/>
    <x v="8"/>
    <x v="1"/>
  </r>
  <r>
    <n v="153"/>
    <s v="USD"/>
    <n v="46041.29"/>
    <n v="39595.509400000003"/>
    <n v="46041.29"/>
    <n v="46396.79"/>
    <n v="39901.239399999999"/>
    <n v="46396.79"/>
    <n v="0"/>
    <n v="0"/>
    <d v="2025-12-19T00:00:00"/>
    <d v="2025-11-19T00:00:00"/>
    <x v="1"/>
    <x v="1"/>
  </r>
  <r>
    <n v="154"/>
    <s v="USD"/>
    <n v="37573.33"/>
    <n v="32313.0638"/>
    <n v="37573.33"/>
    <n v="37573.33"/>
    <n v="32313.0638"/>
    <n v="37573.33"/>
    <n v="0"/>
    <n v="0"/>
    <d v="2025-04-11T00:00:00"/>
    <d v="2025-03-12T00:00:00"/>
    <x v="9"/>
    <x v="1"/>
  </r>
  <r>
    <n v="155"/>
    <s v="USD"/>
    <n v="13174.26"/>
    <n v="11329.863600000001"/>
    <n v="13174.26"/>
    <n v="10503.76"/>
    <n v="9033.2335999999996"/>
    <n v="10503.76"/>
    <n v="2670.5"/>
    <n v="2670.5"/>
    <d v="2025-03-22T00:00:00"/>
    <d v="2025-02-20T00:00:00"/>
    <x v="5"/>
    <x v="1"/>
  </r>
  <r>
    <n v="156"/>
    <s v="MXN"/>
    <n v="1472492.45"/>
    <n v="70679.637600000002"/>
    <n v="82459.5772"/>
    <n v="1472492.44"/>
    <n v="70679.637119999999"/>
    <n v="82459.576639999999"/>
    <n v="1.0000000009313226E-2"/>
    <n v="5.6000000052154066E-4"/>
    <d v="2025-05-29T00:00:00"/>
    <d v="2025-04-29T00:00:00"/>
    <x v="4"/>
    <x v="1"/>
  </r>
  <r>
    <n v="157"/>
    <s v="USD"/>
    <n v="86266.240000000005"/>
    <n v="74188.966400000005"/>
    <n v="86266.240000000005"/>
    <n v="86266.240000000005"/>
    <n v="74188.966400000005"/>
    <n v="86266.240000000005"/>
    <n v="0"/>
    <n v="0"/>
    <d v="2025-12-19T00:00:00"/>
    <d v="2025-11-19T00:00:00"/>
    <x v="1"/>
    <x v="1"/>
  </r>
  <r>
    <n v="158"/>
    <s v="EUR"/>
    <n v="30201.200000000001"/>
    <n v="30201.200000000001"/>
    <n v="35033.392"/>
    <n v="30201.200000000001"/>
    <n v="30201.200000000001"/>
    <n v="35033.392"/>
    <n v="0"/>
    <n v="0"/>
    <d v="2025-06-01T00:00:00"/>
    <d v="2025-05-02T00:00:00"/>
    <x v="10"/>
    <x v="1"/>
  </r>
  <r>
    <n v="159"/>
    <s v="EUR"/>
    <n v="3190"/>
    <n v="3190"/>
    <n v="3700.3999999999996"/>
    <n v="3190"/>
    <n v="3190"/>
    <n v="3700.3999999999996"/>
    <n v="0"/>
    <n v="0"/>
    <d v="2025-02-21T00:00:00"/>
    <d v="2025-01-22T00:00:00"/>
    <x v="8"/>
    <x v="1"/>
  </r>
  <r>
    <n v="160"/>
    <s v="USD"/>
    <n v="3366.84"/>
    <n v="2895.4823999999999"/>
    <n v="3366.84"/>
    <n v="3366.84"/>
    <n v="2895.4823999999999"/>
    <n v="3366.84"/>
    <n v="0"/>
    <n v="0"/>
    <d v="2025-04-11T00:00:00"/>
    <d v="2025-03-12T00:00:00"/>
    <x v="9"/>
    <x v="1"/>
  </r>
  <r>
    <n v="161"/>
    <s v="USD"/>
    <n v="0"/>
    <n v="0"/>
    <n v="0"/>
    <n v="6724"/>
    <n v="5782.64"/>
    <n v="6724"/>
    <n v="0"/>
    <n v="0"/>
    <d v="2025-07-15T00:00:00"/>
    <d v="2025-06-15T00:00:00"/>
    <x v="3"/>
    <x v="1"/>
  </r>
  <r>
    <n v="162"/>
    <s v="USD"/>
    <n v="0"/>
    <n v="0"/>
    <n v="0"/>
    <n v="5106.96"/>
    <n v="4391.9856"/>
    <n v="5106.96"/>
    <n v="0"/>
    <n v="0"/>
    <d v="2025-05-21T00:00:00"/>
    <d v="2025-04-21T00:00:00"/>
    <x v="4"/>
    <x v="1"/>
  </r>
  <r>
    <n v="163"/>
    <s v="EUR"/>
    <n v="15254.960000000006"/>
    <n v="15254.960000000006"/>
    <n v="17695.753600000007"/>
    <n v="50908.23"/>
    <n v="50908.23"/>
    <n v="59053.546799999996"/>
    <n v="0"/>
    <n v="0"/>
    <d v="2025-06-24T00:00:00"/>
    <d v="2025-05-25T00:00:00"/>
    <x v="10"/>
    <x v="1"/>
  </r>
  <r>
    <n v="164"/>
    <s v="EUR"/>
    <n v="0"/>
    <n v="0"/>
    <n v="0"/>
    <n v="3445.65"/>
    <n v="3445.65"/>
    <n v="3996.9539999999997"/>
    <n v="0"/>
    <n v="0"/>
    <d v="2025-04-12T00:00:00"/>
    <d v="2025-03-13T00:00:00"/>
    <x v="9"/>
    <x v="1"/>
  </r>
  <r>
    <n v="165"/>
    <s v="USD"/>
    <n v="0"/>
    <n v="0"/>
    <n v="0"/>
    <n v="2277.39"/>
    <n v="1958.5554"/>
    <n v="2277.39"/>
    <n v="0"/>
    <n v="0"/>
    <d v="2025-03-14T00:00:00"/>
    <d v="2025-02-12T00:00:00"/>
    <x v="5"/>
    <x v="1"/>
  </r>
  <r>
    <n v="166"/>
    <s v="MXN"/>
    <n v="6814"/>
    <n v="327.072"/>
    <n v="381.584"/>
    <n v="13673.8"/>
    <n v="656.3424"/>
    <n v="765.7328"/>
    <n v="-6859.7999999999993"/>
    <n v="-384.14879999999999"/>
    <d v="2025-02-28T00:00:00"/>
    <d v="2025-01-29T00:00:00"/>
    <x v="8"/>
    <x v="1"/>
  </r>
  <r>
    <n v="167"/>
    <s v="USD"/>
    <n v="0"/>
    <n v="0"/>
    <n v="0"/>
    <n v="2611.4299999999998"/>
    <n v="2245.8298"/>
    <n v="2611.4299999999998"/>
    <n v="0"/>
    <n v="0"/>
    <d v="2025-03-06T00:00:00"/>
    <d v="2025-02-04T00:00:00"/>
    <x v="5"/>
    <x v="1"/>
  </r>
  <r>
    <n v="168"/>
    <s v="USD"/>
    <n v="483.0600000000004"/>
    <n v="415.43160000000034"/>
    <n v="483.0600000000004"/>
    <n v="7795.6"/>
    <n v="6704.2160000000003"/>
    <n v="7795.6"/>
    <n v="0"/>
    <n v="0"/>
    <d v="2025-03-14T00:00:00"/>
    <d v="2025-02-12T00:00:00"/>
    <x v="5"/>
    <x v="1"/>
  </r>
  <r>
    <n v="169"/>
    <s v="USD"/>
    <n v="22670"/>
    <n v="19496.2"/>
    <n v="22670"/>
    <n v="22670"/>
    <n v="19496.2"/>
    <n v="22670"/>
    <n v="0"/>
    <n v="0"/>
    <d v="2025-05-18T00:00:00"/>
    <d v="2025-04-18T00:00:00"/>
    <x v="4"/>
    <x v="1"/>
  </r>
  <r>
    <n v="170"/>
    <s v="EUR"/>
    <n v="21109"/>
    <n v="21109"/>
    <n v="24486.44"/>
    <n v="52766.67"/>
    <n v="52766.67"/>
    <n v="61209.337199999994"/>
    <n v="0"/>
    <n v="0"/>
    <d v="2025-06-10T00:00:00"/>
    <d v="2025-05-11T00:00:00"/>
    <x v="10"/>
    <x v="1"/>
  </r>
  <r>
    <n v="171"/>
    <s v="USD"/>
    <n v="158651.49"/>
    <n v="136440.28139999998"/>
    <n v="158651.49"/>
    <n v="164643.53"/>
    <n v="141593.43580000001"/>
    <n v="164643.53"/>
    <n v="0.39999999999236024"/>
    <n v="0.39999999999236024"/>
    <d v="2025-04-03T00:00:00"/>
    <d v="2025-03-04T00:00:00"/>
    <x v="9"/>
    <x v="1"/>
  </r>
  <r>
    <n v="172"/>
    <s v="USD"/>
    <n v="15414.64"/>
    <n v="13256.590399999999"/>
    <n v="15414.64"/>
    <n v="32670.880000000001"/>
    <n v="28096.9568"/>
    <n v="32670.880000000001"/>
    <n v="-3.0000000002473826E-2"/>
    <n v="-3.0000000002473826E-2"/>
    <d v="2025-10-07T00:00:00"/>
    <d v="2025-09-07T00:00:00"/>
    <x v="0"/>
    <x v="1"/>
  </r>
  <r>
    <n v="173"/>
    <s v="USD"/>
    <n v="16888.230000000003"/>
    <n v="14523.877800000002"/>
    <n v="16888.230000000003"/>
    <n v="28840.47"/>
    <n v="24802.804200000002"/>
    <n v="28840.47"/>
    <n v="0"/>
    <n v="0"/>
    <d v="2025-07-17T00:00:00"/>
    <d v="2025-06-17T00:00:00"/>
    <x v="3"/>
    <x v="1"/>
  </r>
  <r>
    <n v="174"/>
    <s v="USD"/>
    <n v="24997.71"/>
    <n v="21498.030599999998"/>
    <n v="24997.71"/>
    <n v="24997.71"/>
    <n v="21498.030599999998"/>
    <n v="24997.71"/>
    <n v="0"/>
    <n v="0"/>
    <d v="2025-02-20T00:00:00"/>
    <d v="2025-01-21T00:00:00"/>
    <x v="8"/>
    <x v="1"/>
  </r>
  <r>
    <n v="175"/>
    <s v="USD"/>
    <n v="63907"/>
    <n v="54960.02"/>
    <n v="63907"/>
    <n v="63907"/>
    <n v="54960.02"/>
    <n v="63907"/>
    <n v="0"/>
    <n v="0"/>
    <d v="2025-05-22T00:00:00"/>
    <d v="2025-04-22T00:00:00"/>
    <x v="4"/>
    <x v="1"/>
  </r>
  <r>
    <n v="176"/>
    <s v="USD"/>
    <n v="0"/>
    <n v="0"/>
    <n v="0"/>
    <n v="4998.51"/>
    <n v="4298.7186000000002"/>
    <n v="4998.51"/>
    <n v="0"/>
    <n v="0"/>
    <d v="2025-04-17T00:00:00"/>
    <d v="2025-03-18T00:00:00"/>
    <x v="9"/>
    <x v="1"/>
  </r>
  <r>
    <n v="177"/>
    <s v="USD"/>
    <n v="16919.28"/>
    <n v="14550.580799999998"/>
    <n v="16919.28"/>
    <n v="16919.28"/>
    <n v="14550.580799999998"/>
    <n v="16919.28"/>
    <n v="0"/>
    <n v="0"/>
    <d v="2025-04-12T00:00:00"/>
    <d v="2025-03-13T00:00:00"/>
    <x v="9"/>
    <x v="1"/>
  </r>
  <r>
    <n v="178"/>
    <s v="USD"/>
    <n v="10859.41"/>
    <n v="9339.0925999999999"/>
    <n v="10859.41"/>
    <n v="10859.41"/>
    <n v="9339.0925999999999"/>
    <n v="10859.41"/>
    <n v="0"/>
    <n v="0"/>
    <d v="2025-03-17T00:00:00"/>
    <d v="2025-02-15T00:00:00"/>
    <x v="5"/>
    <x v="1"/>
  </r>
  <r>
    <n v="179"/>
    <s v="USD"/>
    <n v="0"/>
    <n v="0"/>
    <n v="0"/>
    <n v="2598.7600000000002"/>
    <n v="2234.9336000000003"/>
    <n v="2598.7600000000002"/>
    <n v="0"/>
    <n v="0"/>
    <d v="2025-05-02T00:00:00"/>
    <d v="2025-04-02T00:00:00"/>
    <x v="4"/>
    <x v="1"/>
  </r>
  <r>
    <n v="180"/>
    <s v="USD"/>
    <n v="0"/>
    <n v="0"/>
    <n v="0"/>
    <n v="2458.9"/>
    <n v="2114.654"/>
    <n v="2458.9"/>
    <n v="0"/>
    <n v="0"/>
    <d v="2025-04-04T00:00:00"/>
    <d v="2025-03-05T00:00:00"/>
    <x v="9"/>
    <x v="1"/>
  </r>
  <r>
    <n v="181"/>
    <s v="USD"/>
    <n v="0"/>
    <n v="0"/>
    <n v="0"/>
    <n v="19706"/>
    <n v="16947.16"/>
    <n v="19706"/>
    <n v="0"/>
    <n v="0"/>
    <d v="2025-07-21T00:00:00"/>
    <d v="2025-06-21T00:00:00"/>
    <x v="3"/>
    <x v="1"/>
  </r>
  <r>
    <n v="183"/>
    <s v="USD"/>
    <n v="36475.160000000003"/>
    <n v="31368.637600000002"/>
    <n v="36475.160000000003"/>
    <n v="36475.160000000003"/>
    <n v="31368.637600000002"/>
    <n v="36475.160000000003"/>
    <n v="0"/>
    <n v="0"/>
    <d v="2025-07-09T00:00:00"/>
    <d v="2025-06-09T00:00:00"/>
    <x v="3"/>
    <x v="1"/>
  </r>
  <r>
    <n v="185"/>
    <s v="USD"/>
    <n v="0"/>
    <n v="0"/>
    <n v="0"/>
    <n v="1196"/>
    <n v="1028.56"/>
    <n v="1196"/>
    <n v="0"/>
    <n v="0"/>
    <d v="2025-01-25T00:00:00"/>
    <d v="2024-12-26T00:00:00"/>
    <x v="7"/>
    <x v="0"/>
  </r>
  <r>
    <n v="186"/>
    <s v="MXN"/>
    <n v="108783.48"/>
    <n v="5221.6070399999999"/>
    <n v="6091.8748800000003"/>
    <n v="108783.48"/>
    <n v="5221.6070399999999"/>
    <n v="6091.8748800000003"/>
    <n v="0"/>
    <n v="0"/>
    <d v="2025-02-04T00:00:00"/>
    <d v="2025-01-05T00:00:00"/>
    <x v="8"/>
    <x v="1"/>
  </r>
  <r>
    <n v="187"/>
    <s v="USD"/>
    <n v="0"/>
    <n v="0"/>
    <n v="0"/>
    <n v="3382.8"/>
    <n v="2909.2080000000001"/>
    <n v="3382.8"/>
    <n v="0"/>
    <n v="0"/>
    <d v="2025-03-06T00:00:00"/>
    <d v="2025-02-04T00:00:00"/>
    <x v="5"/>
    <x v="1"/>
  </r>
  <r>
    <n v="188"/>
    <s v="USD"/>
    <n v="0"/>
    <n v="0"/>
    <n v="0"/>
    <n v="10019.209999999999"/>
    <n v="8616.5205999999998"/>
    <n v="10019.209999999999"/>
    <n v="0"/>
    <n v="0"/>
    <d v="2025-02-01T00:00:00"/>
    <d v="2025-01-02T00:00:00"/>
    <x v="8"/>
    <x v="1"/>
  </r>
  <r>
    <n v="189"/>
    <s v="USD"/>
    <n v="33001.120000000003"/>
    <n v="28380.963200000002"/>
    <n v="33001.120000000003"/>
    <n v="33001.120000000003"/>
    <n v="28380.963200000002"/>
    <n v="33001.120000000003"/>
    <n v="0"/>
    <n v="0"/>
    <d v="2025-04-13T00:00:00"/>
    <d v="2025-03-14T00:00:00"/>
    <x v="9"/>
    <x v="1"/>
  </r>
  <r>
    <n v="190"/>
    <s v="USD"/>
    <n v="5626.99"/>
    <n v="4839.2114000000001"/>
    <n v="5626.99"/>
    <n v="5626.99"/>
    <n v="4839.2114000000001"/>
    <n v="5626.99"/>
    <n v="0"/>
    <n v="0"/>
    <d v="2025-04-10T00:00:00"/>
    <d v="2025-03-11T00:00:00"/>
    <x v="9"/>
    <x v="1"/>
  </r>
  <r>
    <n v="191"/>
    <s v="EUR"/>
    <n v="720"/>
    <n v="720"/>
    <n v="835.19999999999993"/>
    <n v="720"/>
    <n v="720"/>
    <n v="835.19999999999993"/>
    <n v="0"/>
    <n v="0"/>
    <d v="2025-03-14T00:00:00"/>
    <d v="2025-02-12T00:00:00"/>
    <x v="5"/>
    <x v="1"/>
  </r>
  <r>
    <n v="192"/>
    <s v="USD"/>
    <n v="0"/>
    <n v="0"/>
    <n v="0"/>
    <n v="5250"/>
    <n v="4515"/>
    <n v="5250"/>
    <n v="0"/>
    <n v="0"/>
    <d v="2024-12-06T00:00:00"/>
    <d v="2024-11-06T00:00:00"/>
    <x v="1"/>
    <x v="0"/>
  </r>
  <r>
    <n v="193"/>
    <s v="USD"/>
    <n v="49937.919999999998"/>
    <n v="42946.611199999999"/>
    <n v="49937.919999999998"/>
    <n v="57663.42"/>
    <n v="49590.5412"/>
    <n v="57663.42"/>
    <n v="0"/>
    <n v="0"/>
    <d v="2025-04-04T00:00:00"/>
    <d v="2025-03-05T00:00:00"/>
    <x v="9"/>
    <x v="1"/>
  </r>
  <r>
    <n v="194"/>
    <s v="USD"/>
    <n v="8470.11"/>
    <n v="7284.2946000000002"/>
    <n v="8470.11"/>
    <n v="8470.11"/>
    <n v="7284.2946000000002"/>
    <n v="8470.11"/>
    <n v="0"/>
    <n v="0"/>
    <d v="2025-05-22T00:00:00"/>
    <d v="2025-04-22T00:00:00"/>
    <x v="4"/>
    <x v="1"/>
  </r>
  <r>
    <n v="195"/>
    <s v="EUR"/>
    <n v="4920"/>
    <n v="4920"/>
    <n v="5707.2"/>
    <n v="16000"/>
    <n v="16000"/>
    <n v="18560"/>
    <n v="0"/>
    <n v="0"/>
    <d v="2025-07-12T00:00:00"/>
    <d v="2025-06-12T00:00:00"/>
    <x v="3"/>
    <x v="1"/>
  </r>
  <r>
    <n v="196"/>
    <s v="USD"/>
    <n v="5480.2800000000007"/>
    <n v="4713.0408000000007"/>
    <n v="5480.2800000000007"/>
    <n v="14882.34"/>
    <n v="12798.812400000001"/>
    <n v="14882.34"/>
    <n v="0"/>
    <n v="0"/>
    <d v="2025-05-14T00:00:00"/>
    <d v="2025-04-14T00:00:00"/>
    <x v="4"/>
    <x v="1"/>
  </r>
  <r>
    <n v="197"/>
    <s v="USD"/>
    <n v="8116.89"/>
    <n v="6980.5254000000004"/>
    <n v="8116.89"/>
    <n v="8116.89"/>
    <n v="6980.5254000000004"/>
    <n v="8116.89"/>
    <n v="0"/>
    <n v="0"/>
    <d v="2025-03-15T00:00:00"/>
    <d v="2025-02-13T00:00:00"/>
    <x v="5"/>
    <x v="1"/>
  </r>
  <r>
    <n v="198"/>
    <s v="USD"/>
    <n v="28055.360000000001"/>
    <n v="24127.6096"/>
    <n v="28055.360000000001"/>
    <n v="80799.45"/>
    <n v="69487.527000000002"/>
    <n v="80799.45"/>
    <n v="0"/>
    <n v="0"/>
    <d v="2025-10-22T00:00:00"/>
    <d v="2025-09-22T00:00:00"/>
    <x v="0"/>
    <x v="1"/>
  </r>
  <r>
    <n v="199"/>
    <s v="USD"/>
    <n v="0"/>
    <n v="0"/>
    <n v="0"/>
    <n v="4395"/>
    <n v="3779.7"/>
    <n v="4395"/>
    <n v="0"/>
    <n v="0"/>
    <d v="2025-02-09T00:00:00"/>
    <d v="2025-01-10T00:00:00"/>
    <x v="8"/>
    <x v="1"/>
  </r>
  <r>
    <n v="200"/>
    <s v="USD"/>
    <n v="0"/>
    <n v="0"/>
    <n v="0"/>
    <n v="3998.77"/>
    <n v="3438.9422"/>
    <n v="3998.77"/>
    <n v="0"/>
    <n v="0"/>
    <d v="2025-03-19T00:00:00"/>
    <d v="2025-02-17T00:00:00"/>
    <x v="5"/>
    <x v="1"/>
  </r>
  <r>
    <n v="201"/>
    <s v="USD"/>
    <n v="0"/>
    <n v="0"/>
    <n v="0"/>
    <n v="3998.77"/>
    <n v="3438.9422"/>
    <n v="3998.77"/>
    <n v="0"/>
    <n v="0"/>
    <d v="2025-03-19T00:00:00"/>
    <d v="2025-02-17T00:00:00"/>
    <x v="5"/>
    <x v="1"/>
  </r>
  <r>
    <n v="202"/>
    <s v="USD"/>
    <n v="27535.31"/>
    <n v="23680.366600000001"/>
    <n v="27535.31"/>
    <n v="27535.31"/>
    <n v="23680.366600000001"/>
    <n v="27535.31"/>
    <n v="0"/>
    <n v="0"/>
    <d v="2025-10-10T00:00:00"/>
    <d v="2025-09-10T00:00:00"/>
    <x v="0"/>
    <x v="1"/>
  </r>
  <r>
    <n v="203"/>
    <s v="USD"/>
    <n v="0"/>
    <n v="0"/>
    <n v="0"/>
    <n v="4045.64"/>
    <n v="3479.2503999999999"/>
    <n v="4045.64"/>
    <n v="0"/>
    <n v="0"/>
    <d v="2025-05-21T00:00:00"/>
    <d v="2025-04-21T00:00:00"/>
    <x v="4"/>
    <x v="1"/>
  </r>
  <r>
    <n v="204"/>
    <s v="EUR"/>
    <n v="113650.44"/>
    <n v="113650.44"/>
    <n v="131834.5104"/>
    <n v="120265.44"/>
    <n v="120265.44"/>
    <n v="139507.91039999999"/>
    <n v="0"/>
    <n v="0"/>
    <d v="2025-06-14T00:00:00"/>
    <d v="2025-05-15T00:00:00"/>
    <x v="10"/>
    <x v="1"/>
  </r>
  <r>
    <n v="205"/>
    <s v="MXN"/>
    <n v="0"/>
    <n v="0"/>
    <n v="0"/>
    <n v="868193.33"/>
    <n v="41673.279839999996"/>
    <n v="48618.826479999996"/>
    <n v="0"/>
    <n v="0"/>
    <d v="2025-04-17T00:00:00"/>
    <d v="2025-03-18T00:00:00"/>
    <x v="9"/>
    <x v="1"/>
  </r>
  <r>
    <n v="206"/>
    <s v="USD"/>
    <n v="0"/>
    <n v="0"/>
    <n v="0"/>
    <n v="8210"/>
    <n v="7060.5999999999995"/>
    <n v="8210"/>
    <n v="0"/>
    <n v="0"/>
    <d v="2025-03-19T00:00:00"/>
    <d v="2025-02-17T00:00:00"/>
    <x v="5"/>
    <x v="1"/>
  </r>
  <r>
    <n v="207"/>
    <s v="USD"/>
    <n v="0"/>
    <n v="0"/>
    <n v="0"/>
    <n v="4370.66"/>
    <n v="3758.7675999999997"/>
    <n v="4370.66"/>
    <n v="0"/>
    <n v="0"/>
    <d v="2025-06-24T00:00:00"/>
    <d v="2025-05-25T00:00:00"/>
    <x v="10"/>
    <x v="1"/>
  </r>
  <r>
    <n v="208"/>
    <s v="USD"/>
    <n v="0"/>
    <n v="0"/>
    <n v="0"/>
    <n v="4370.66"/>
    <n v="3758.7675999999997"/>
    <n v="4370.66"/>
    <n v="0"/>
    <n v="0"/>
    <d v="2025-06-24T00:00:00"/>
    <d v="2025-05-25T00:00:00"/>
    <x v="10"/>
    <x v="1"/>
  </r>
  <r>
    <n v="209"/>
    <s v="EUR"/>
    <n v="1673"/>
    <n v="1673"/>
    <n v="1940.6799999999998"/>
    <n v="1673"/>
    <n v="1673"/>
    <n v="1940.6799999999998"/>
    <n v="0"/>
    <n v="0"/>
    <d v="2025-04-24T00:00:00"/>
    <d v="2025-03-25T00:00:00"/>
    <x v="9"/>
    <x v="1"/>
  </r>
  <r>
    <n v="210"/>
    <s v="USD"/>
    <n v="20882.560000000001"/>
    <n v="17959.0016"/>
    <n v="20882.560000000001"/>
    <n v="20882.560000000001"/>
    <n v="17959.0016"/>
    <n v="20882.560000000001"/>
    <n v="0"/>
    <n v="0"/>
    <d v="2025-04-11T00:00:00"/>
    <d v="2025-03-12T00:00:00"/>
    <x v="9"/>
    <x v="1"/>
  </r>
  <r>
    <n v="211"/>
    <s v="USD"/>
    <n v="3020"/>
    <n v="2597.1999999999998"/>
    <n v="3020"/>
    <n v="3020.17"/>
    <n v="2597.3462"/>
    <n v="3020.17"/>
    <n v="-0.17000000000007276"/>
    <n v="-0.17000000000007276"/>
    <d v="2025-03-03T00:00:00"/>
    <d v="2025-02-01T00:00:00"/>
    <x v="5"/>
    <x v="1"/>
  </r>
  <r>
    <n v="212"/>
    <s v="USD"/>
    <n v="17186.09"/>
    <n v="14780.037399999999"/>
    <n v="17186.09"/>
    <n v="17186.09"/>
    <n v="14780.037399999999"/>
    <n v="17186.09"/>
    <n v="0"/>
    <n v="0"/>
    <d v="2025-04-12T00:00:00"/>
    <d v="2025-03-13T00:00:00"/>
    <x v="9"/>
    <x v="1"/>
  </r>
  <r>
    <n v="213"/>
    <s v="USD"/>
    <n v="0"/>
    <n v="0"/>
    <n v="0"/>
    <n v="19903.2"/>
    <n v="17116.752"/>
    <n v="19903.2"/>
    <n v="0"/>
    <n v="0"/>
    <d v="2025-04-18T00:00:00"/>
    <d v="2025-03-19T00:00:00"/>
    <x v="9"/>
    <x v="1"/>
  </r>
  <r>
    <n v="214"/>
    <s v="USD"/>
    <n v="20010.809999999998"/>
    <n v="17209.296599999998"/>
    <n v="20010.809999999998"/>
    <n v="22085.01"/>
    <n v="18993.1086"/>
    <n v="22085.01"/>
    <n v="0"/>
    <n v="0"/>
    <d v="2025-04-20T00:00:00"/>
    <d v="2025-03-21T00:00:00"/>
    <x v="9"/>
    <x v="1"/>
  </r>
  <r>
    <n v="215"/>
    <s v="EUR"/>
    <n v="10007.039999999997"/>
    <n v="10007.039999999997"/>
    <n v="11608.166399999996"/>
    <n v="31323.439999999999"/>
    <n v="31323.439999999999"/>
    <n v="36335.190399999999"/>
    <n v="0"/>
    <n v="0"/>
    <d v="2025-02-20T00:00:00"/>
    <d v="2025-01-21T00:00:00"/>
    <x v="8"/>
    <x v="1"/>
  </r>
  <r>
    <n v="216"/>
    <s v="USD"/>
    <n v="0"/>
    <n v="0"/>
    <n v="0"/>
    <n v="58328.6"/>
    <n v="50162.595999999998"/>
    <n v="58328.6"/>
    <n v="0"/>
    <n v="0"/>
    <d v="2025-03-17T00:00:00"/>
    <d v="2025-02-15T00:00:00"/>
    <x v="5"/>
    <x v="1"/>
  </r>
  <r>
    <n v="217"/>
    <s v="USD"/>
    <n v="0"/>
    <n v="0"/>
    <n v="0"/>
    <n v="3574"/>
    <n v="3073.64"/>
    <n v="3574"/>
    <n v="0"/>
    <n v="0"/>
    <d v="2025-03-27T00:00:00"/>
    <d v="2025-02-25T00:00:00"/>
    <x v="5"/>
    <x v="1"/>
  </r>
  <r>
    <n v="218"/>
    <s v="USD"/>
    <n v="77361.81"/>
    <n v="66531.156600000002"/>
    <n v="77361.81"/>
    <n v="84609.51"/>
    <n v="72764.178599999999"/>
    <n v="84609.51"/>
    <n v="0"/>
    <n v="0"/>
    <d v="2025-07-27T00:00:00"/>
    <d v="2025-06-27T00:00:00"/>
    <x v="3"/>
    <x v="1"/>
  </r>
  <r>
    <n v="219"/>
    <s v="EUR"/>
    <n v="0"/>
    <n v="0"/>
    <n v="0"/>
    <n v="10185.200000000001"/>
    <n v="10185.200000000001"/>
    <n v="11814.832"/>
    <n v="0"/>
    <n v="0"/>
    <d v="2025-06-05T00:00:00"/>
    <d v="2025-05-06T00:00:00"/>
    <x v="10"/>
    <x v="1"/>
  </r>
  <r>
    <n v="220"/>
    <s v="EUR"/>
    <n v="0"/>
    <n v="0"/>
    <n v="0"/>
    <n v="9173.7000000000007"/>
    <n v="9173.7000000000007"/>
    <n v="10641.492"/>
    <n v="0"/>
    <n v="0"/>
    <d v="2025-04-30T00:00:00"/>
    <d v="2025-03-31T00:00:00"/>
    <x v="9"/>
    <x v="1"/>
  </r>
  <r>
    <n v="221"/>
    <s v="USD"/>
    <n v="20982.84"/>
    <n v="18045.242399999999"/>
    <n v="20982.84"/>
    <n v="20982.84"/>
    <n v="18045.242399999999"/>
    <n v="20982.84"/>
    <n v="0"/>
    <n v="0"/>
    <d v="2025-06-29T00:00:00"/>
    <d v="2025-05-30T00:00:00"/>
    <x v="10"/>
    <x v="1"/>
  </r>
  <r>
    <n v="222"/>
    <s v="USD"/>
    <n v="0"/>
    <n v="0"/>
    <n v="0"/>
    <n v="84169.55"/>
    <n v="72385.812999999995"/>
    <n v="84169.55"/>
    <n v="0"/>
    <n v="0"/>
    <d v="2025-07-15T00:00:00"/>
    <d v="2025-06-15T00:00:00"/>
    <x v="3"/>
    <x v="1"/>
  </r>
  <r>
    <n v="223"/>
    <s v="USD"/>
    <n v="12539.51"/>
    <n v="10783.9786"/>
    <n v="12539.51"/>
    <n v="12539.51"/>
    <n v="10783.9786"/>
    <n v="12539.51"/>
    <n v="0"/>
    <n v="0"/>
    <d v="2025-04-21T00:00:00"/>
    <d v="2025-03-22T00:00:00"/>
    <x v="9"/>
    <x v="1"/>
  </r>
  <r>
    <n v="225"/>
    <s v="EUR"/>
    <n v="1752.12"/>
    <n v="1752.12"/>
    <n v="2032.4591999999998"/>
    <n v="1679.92"/>
    <n v="1679.92"/>
    <n v="1948.7072000000001"/>
    <n v="72.199999999999818"/>
    <n v="83.751999999999782"/>
    <d v="2025-04-17T00:00:00"/>
    <d v="2025-03-18T00:00:00"/>
    <x v="9"/>
    <x v="1"/>
  </r>
  <r>
    <n v="226"/>
    <s v="USD"/>
    <n v="27601.040000000001"/>
    <n v="23736.894400000001"/>
    <n v="27601.040000000001"/>
    <n v="28601.040000000001"/>
    <n v="24596.894400000001"/>
    <n v="28601.040000000001"/>
    <n v="0"/>
    <n v="0"/>
    <d v="2025-06-17T00:00:00"/>
    <d v="2025-05-18T00:00:00"/>
    <x v="10"/>
    <x v="1"/>
  </r>
  <r>
    <n v="227"/>
    <s v="USD"/>
    <n v="0"/>
    <n v="0"/>
    <n v="0"/>
    <n v="1822.35"/>
    <n v="1567.221"/>
    <n v="1822.35"/>
    <n v="0"/>
    <n v="0"/>
    <d v="2025-06-16T00:00:00"/>
    <d v="2025-05-17T00:00:00"/>
    <x v="10"/>
    <x v="1"/>
  </r>
  <r>
    <n v="228"/>
    <s v="USD"/>
    <n v="20207"/>
    <n v="17378.02"/>
    <n v="20207"/>
    <n v="27149"/>
    <n v="23348.14"/>
    <n v="27149"/>
    <n v="0"/>
    <n v="0"/>
    <d v="2025-04-14T00:00:00"/>
    <d v="2025-03-15T00:00:00"/>
    <x v="9"/>
    <x v="1"/>
  </r>
  <r>
    <n v="229"/>
    <s v="USD"/>
    <n v="0"/>
    <n v="0"/>
    <n v="0"/>
    <n v="20446.189999999999"/>
    <n v="17583.723399999999"/>
    <n v="20446.189999999999"/>
    <n v="0"/>
    <n v="0"/>
    <d v="2025-09-03T00:00:00"/>
    <d v="2025-08-04T00:00:00"/>
    <x v="6"/>
    <x v="1"/>
  </r>
  <r>
    <n v="230"/>
    <s v="USD"/>
    <n v="643.16"/>
    <n v="553.11759999999992"/>
    <n v="643.16"/>
    <n v="643.16"/>
    <n v="553.11759999999992"/>
    <n v="643.16"/>
    <n v="0"/>
    <n v="0"/>
    <d v="2025-04-04T00:00:00"/>
    <d v="2025-03-05T00:00:00"/>
    <x v="9"/>
    <x v="1"/>
  </r>
  <r>
    <n v="232"/>
    <s v="MXN"/>
    <n v="0"/>
    <n v="0"/>
    <n v="0"/>
    <n v="51558.95"/>
    <n v="2474.8296"/>
    <n v="2887.3011999999999"/>
    <n v="0"/>
    <n v="0"/>
    <d v="2025-02-25T00:00:00"/>
    <d v="2025-01-26T00:00:00"/>
    <x v="8"/>
    <x v="1"/>
  </r>
  <r>
    <n v="235"/>
    <s v="USD"/>
    <n v="0"/>
    <n v="0"/>
    <n v="0"/>
    <n v="2120.8000000000002"/>
    <n v="1823.8880000000001"/>
    <n v="2120.8000000000002"/>
    <n v="0"/>
    <n v="0"/>
    <d v="2025-02-20T00:00:00"/>
    <d v="2025-01-21T00:00:00"/>
    <x v="8"/>
    <x v="1"/>
  </r>
  <r>
    <n v="236"/>
    <s v="USD"/>
    <n v="0"/>
    <n v="0"/>
    <n v="0"/>
    <n v="13318.8"/>
    <n v="11454.168"/>
    <n v="13318.8"/>
    <n v="0"/>
    <n v="0"/>
    <d v="2025-01-02T00:00:00"/>
    <d v="2024-12-03T00:00:00"/>
    <x v="7"/>
    <x v="0"/>
  </r>
  <r>
    <n v="237"/>
    <s v="EUR"/>
    <n v="0"/>
    <n v="0"/>
    <n v="0"/>
    <n v="4100"/>
    <n v="4100"/>
    <n v="4756"/>
    <n v="0"/>
    <n v="0"/>
    <d v="2025-02-09T00:00:00"/>
    <d v="2025-01-10T00:00:00"/>
    <x v="8"/>
    <x v="1"/>
  </r>
  <r>
    <n v="238"/>
    <s v="USD"/>
    <n v="1569.1999999999825"/>
    <n v="1349.5119999999849"/>
    <n v="1569.1999999999825"/>
    <n v="133383.04999999999"/>
    <n v="114709.423"/>
    <n v="133383.04999999999"/>
    <n v="0"/>
    <n v="0"/>
    <d v="2025-07-18T00:00:00"/>
    <d v="2025-06-18T00:00:00"/>
    <x v="3"/>
    <x v="1"/>
  </r>
  <r>
    <n v="239"/>
    <s v="USD"/>
    <n v="96181.62000000001"/>
    <n v="82716.193200000009"/>
    <n v="96181.62000000001"/>
    <n v="97253.48"/>
    <n v="83637.992799999993"/>
    <n v="97253.48"/>
    <n v="3140.7900000000136"/>
    <n v="3140.7900000000136"/>
    <d v="2025-04-02T00:00:00"/>
    <d v="2025-03-03T00:00:00"/>
    <x v="9"/>
    <x v="1"/>
  </r>
  <r>
    <n v="241"/>
    <s v="USD"/>
    <n v="6360"/>
    <n v="5469.6"/>
    <n v="6360"/>
    <n v="49718.15"/>
    <n v="42757.609000000004"/>
    <n v="49718.15"/>
    <n v="0"/>
    <n v="0"/>
    <d v="2025-04-29T00:00:00"/>
    <d v="2025-03-30T00:00:00"/>
    <x v="9"/>
    <x v="1"/>
  </r>
  <r>
    <n v="243"/>
    <s v="EUR"/>
    <n v="0"/>
    <n v="0"/>
    <n v="0"/>
    <n v="3693.34"/>
    <n v="3693.34"/>
    <n v="4284.2744000000002"/>
    <n v="0"/>
    <n v="0"/>
    <d v="2025-05-13T00:00:00"/>
    <d v="2025-04-13T00:00:00"/>
    <x v="4"/>
    <x v="1"/>
  </r>
  <r>
    <n v="244"/>
    <s v="EUR"/>
    <n v="4418.8900000000003"/>
    <n v="4418.8900000000003"/>
    <n v="5125.9124000000002"/>
    <n v="6984.77"/>
    <n v="6984.77"/>
    <n v="8102.3332"/>
    <n v="0"/>
    <n v="0"/>
    <d v="2025-06-06T00:00:00"/>
    <d v="2025-05-07T00:00:00"/>
    <x v="10"/>
    <x v="1"/>
  </r>
  <r>
    <n v="245"/>
    <s v="EUR"/>
    <n v="2195.5"/>
    <n v="2195.5"/>
    <n v="2546.7799999999997"/>
    <n v="34134.26"/>
    <n v="34134.26"/>
    <n v="39595.741600000001"/>
    <n v="0"/>
    <n v="0"/>
    <d v="2025-04-14T00:00:00"/>
    <d v="2025-03-15T00:00:00"/>
    <x v="9"/>
    <x v="1"/>
  </r>
  <r>
    <n v="246"/>
    <s v="USD"/>
    <n v="0"/>
    <n v="0"/>
    <n v="0"/>
    <n v="8683"/>
    <n v="7467.38"/>
    <n v="8683"/>
    <n v="0"/>
    <n v="0"/>
    <d v="2025-01-21T00:00:00"/>
    <d v="2024-12-22T00:00:00"/>
    <x v="7"/>
    <x v="0"/>
  </r>
  <r>
    <n v="248"/>
    <s v="USD"/>
    <n v="0"/>
    <n v="0"/>
    <n v="0"/>
    <n v="2300"/>
    <n v="1978"/>
    <n v="2300"/>
    <n v="0"/>
    <n v="0"/>
    <d v="2025-05-26T00:00:00"/>
    <d v="2025-04-26T00:00:00"/>
    <x v="4"/>
    <x v="1"/>
  </r>
  <r>
    <n v="249"/>
    <s v="USD"/>
    <n v="0"/>
    <n v="0"/>
    <n v="0"/>
    <n v="9332.16"/>
    <n v="8025.6575999999995"/>
    <n v="9332.16"/>
    <n v="0"/>
    <n v="0"/>
    <d v="2025-05-09T00:00:00"/>
    <d v="2025-04-09T00:00:00"/>
    <x v="4"/>
    <x v="1"/>
  </r>
  <r>
    <n v="250"/>
    <s v="EUR"/>
    <n v="16207.9"/>
    <n v="16207.9"/>
    <n v="18801.163999999997"/>
    <n v="16207.9"/>
    <n v="16207.9"/>
    <n v="18801.163999999997"/>
    <n v="0"/>
    <n v="0"/>
    <d v="2025-05-15T00:00:00"/>
    <d v="2025-04-15T00:00:00"/>
    <x v="4"/>
    <x v="1"/>
  </r>
  <r>
    <n v="251"/>
    <s v="EUR"/>
    <n v="0"/>
    <n v="0"/>
    <n v="0"/>
    <n v="9187.42"/>
    <n v="9187.42"/>
    <n v="10657.4072"/>
    <n v="0"/>
    <n v="0"/>
    <d v="2025-05-14T00:00:00"/>
    <d v="2025-04-14T00:00:00"/>
    <x v="4"/>
    <x v="1"/>
  </r>
  <r>
    <n v="252"/>
    <s v="USD"/>
    <n v="1210"/>
    <n v="1040.5999999999999"/>
    <n v="1210"/>
    <n v="6469.58"/>
    <n v="5563.8387999999995"/>
    <n v="6469.58"/>
    <n v="0"/>
    <n v="0"/>
    <d v="2025-05-10T00:00:00"/>
    <d v="2025-04-10T00:00:00"/>
    <x v="4"/>
    <x v="1"/>
  </r>
  <r>
    <n v="253"/>
    <s v="USD"/>
    <n v="0"/>
    <n v="0"/>
    <n v="0"/>
    <n v="733.5"/>
    <n v="630.80999999999995"/>
    <n v="733.5"/>
    <n v="0"/>
    <n v="0"/>
    <d v="2025-04-19T00:00:00"/>
    <d v="2025-03-20T00:00:00"/>
    <x v="9"/>
    <x v="1"/>
  </r>
  <r>
    <n v="254"/>
    <s v="USD"/>
    <n v="41437.379999999997"/>
    <n v="35636.146799999995"/>
    <n v="41437.379999999997"/>
    <n v="41437.379999999997"/>
    <n v="35636.146799999995"/>
    <n v="41437.379999999997"/>
    <n v="0"/>
    <n v="0"/>
    <d v="2025-04-12T00:00:00"/>
    <d v="2025-03-13T00:00:00"/>
    <x v="9"/>
    <x v="1"/>
  </r>
  <r>
    <n v="255"/>
    <s v="EUR"/>
    <n v="122920"/>
    <n v="122920"/>
    <n v="142587.19999999998"/>
    <n v="122920"/>
    <n v="122920"/>
    <n v="142587.19999999998"/>
    <n v="0"/>
    <n v="0"/>
    <d v="2025-04-12T00:00:00"/>
    <d v="2025-03-13T00:00:00"/>
    <x v="9"/>
    <x v="1"/>
  </r>
  <r>
    <n v="256"/>
    <s v="USD"/>
    <n v="734.63"/>
    <n v="631.78179999999998"/>
    <n v="734.63"/>
    <n v="734.63"/>
    <n v="631.78179999999998"/>
    <n v="734.63"/>
    <n v="0"/>
    <n v="0"/>
    <d v="2025-04-12T00:00:00"/>
    <d v="2025-03-13T00:00:00"/>
    <x v="9"/>
    <x v="1"/>
  </r>
  <r>
    <n v="257"/>
    <s v="USD"/>
    <n v="22879.21"/>
    <n v="19676.120599999998"/>
    <n v="22879.21"/>
    <n v="22879.21"/>
    <n v="19676.120599999998"/>
    <n v="22879.21"/>
    <n v="0"/>
    <n v="0"/>
    <d v="2026-02-03T00:00:00"/>
    <d v="2026-01-04T00:00:00"/>
    <x v="8"/>
    <x v="2"/>
  </r>
  <r>
    <n v="258"/>
    <s v="EUR"/>
    <n v="0"/>
    <n v="0"/>
    <n v="0"/>
    <n v="2530"/>
    <n v="2530"/>
    <n v="2934.7999999999997"/>
    <n v="0"/>
    <n v="0"/>
    <d v="2025-04-22T00:00:00"/>
    <d v="2025-03-23T00:00:00"/>
    <x v="9"/>
    <x v="1"/>
  </r>
  <r>
    <n v="259"/>
    <s v="USD"/>
    <n v="-1215.9000000000001"/>
    <n v="-1045.674"/>
    <n v="-1215.9000000000001"/>
    <n v="1563.9"/>
    <n v="1344.954"/>
    <n v="1563.9"/>
    <n v="0"/>
    <n v="0"/>
    <d v="2025-06-16T00:00:00"/>
    <d v="2025-05-17T00:00:00"/>
    <x v="10"/>
    <x v="1"/>
  </r>
  <r>
    <n v="260"/>
    <s v="USD"/>
    <n v="0"/>
    <n v="0"/>
    <n v="0"/>
    <n v="42478.42"/>
    <n v="36531.441200000001"/>
    <n v="42478.42"/>
    <n v="0"/>
    <n v="0"/>
    <d v="2025-04-14T00:00:00"/>
    <d v="2025-03-15T00:00:00"/>
    <x v="9"/>
    <x v="1"/>
  </r>
  <r>
    <n v="261"/>
    <s v="EUR"/>
    <n v="218286.84"/>
    <n v="218286.84"/>
    <n v="253212.73439999999"/>
    <n v="217667.86"/>
    <n v="217667.86"/>
    <n v="252494.71759999997"/>
    <n v="618.98000000001048"/>
    <n v="718.01680000001215"/>
    <d v="2025-10-25T00:00:00"/>
    <d v="2025-09-25T00:00:00"/>
    <x v="0"/>
    <x v="1"/>
  </r>
  <r>
    <n v="262"/>
    <s v="USD"/>
    <n v="256188.56"/>
    <n v="220322.16159999999"/>
    <n v="256188.56"/>
    <n v="256188.56"/>
    <n v="220322.16159999999"/>
    <n v="256188.56"/>
    <n v="0"/>
    <n v="0"/>
    <d v="2025-11-05T00:00:00"/>
    <d v="2025-10-06T00:00:00"/>
    <x v="2"/>
    <x v="1"/>
  </r>
  <r>
    <n v="263"/>
    <s v="MXN"/>
    <n v="0"/>
    <n v="0"/>
    <n v="0"/>
    <n v="465327.21"/>
    <n v="22335.70608"/>
    <n v="26058.323760000003"/>
    <n v="0"/>
    <n v="0"/>
    <d v="2025-03-15T00:00:00"/>
    <d v="2025-02-13T00:00:00"/>
    <x v="5"/>
    <x v="1"/>
  </r>
  <r>
    <n v="264"/>
    <s v="CHF"/>
    <n v="0"/>
    <n v="0"/>
    <n v="0"/>
    <n v="953.5"/>
    <n v="1020.245"/>
    <n v="1191.875"/>
    <n v="0"/>
    <n v="0"/>
    <d v="2025-06-15T00:00:00"/>
    <d v="2025-05-16T00:00:00"/>
    <x v="10"/>
    <x v="1"/>
  </r>
  <r>
    <n v="265"/>
    <s v="EUR"/>
    <n v="256.52999999999997"/>
    <n v="256.52999999999997"/>
    <n v="297.57479999999993"/>
    <n v="256.52999999999997"/>
    <n v="256.52999999999997"/>
    <n v="297.57479999999993"/>
    <n v="0"/>
    <n v="0"/>
    <d v="2025-01-22T00:00:00"/>
    <d v="2024-12-23T00:00:00"/>
    <x v="7"/>
    <x v="0"/>
  </r>
  <r>
    <n v="266"/>
    <s v="USD"/>
    <n v="0"/>
    <n v="0"/>
    <n v="0"/>
    <n v="390"/>
    <n v="335.4"/>
    <n v="390"/>
    <n v="0"/>
    <n v="0"/>
    <d v="2025-01-20T00:00:00"/>
    <d v="2024-12-21T00:00:00"/>
    <x v="7"/>
    <x v="0"/>
  </r>
  <r>
    <n v="267"/>
    <s v="USD"/>
    <n v="0"/>
    <n v="0"/>
    <n v="0"/>
    <n v="926.6"/>
    <n v="796.87599999999998"/>
    <n v="926.6"/>
    <n v="0"/>
    <n v="0"/>
    <d v="2025-03-26T00:00:00"/>
    <d v="2025-02-24T00:00:00"/>
    <x v="5"/>
    <x v="1"/>
  </r>
  <r>
    <n v="268"/>
    <s v="USD"/>
    <n v="0"/>
    <n v="0"/>
    <n v="0"/>
    <n v="417"/>
    <n v="358.62"/>
    <n v="417"/>
    <n v="0"/>
    <n v="0"/>
    <d v="2025-03-31T00:00:00"/>
    <d v="2025-03-01T00:00:00"/>
    <x v="9"/>
    <x v="1"/>
  </r>
  <r>
    <n v="269"/>
    <s v="USD"/>
    <n v="0"/>
    <n v="0"/>
    <n v="0"/>
    <n v="698"/>
    <n v="600.28"/>
    <n v="698"/>
    <n v="0"/>
    <n v="0"/>
    <d v="2025-04-06T00:00:00"/>
    <d v="2025-03-07T00:00:00"/>
    <x v="9"/>
    <x v="1"/>
  </r>
  <r>
    <n v="270"/>
    <s v="USD"/>
    <n v="0"/>
    <n v="0"/>
    <n v="0"/>
    <n v="396.07"/>
    <n v="340.62020000000001"/>
    <n v="396.07"/>
    <n v="0"/>
    <n v="0"/>
    <d v="2025-03-10T00:00:00"/>
    <d v="2025-02-08T00:00:00"/>
    <x v="5"/>
    <x v="1"/>
  </r>
  <r>
    <n v="271"/>
    <s v="USD"/>
    <n v="0"/>
    <n v="0"/>
    <n v="0"/>
    <n v="1019.5"/>
    <n v="876.77"/>
    <n v="1019.5"/>
    <n v="0"/>
    <n v="0"/>
    <d v="2025-04-14T00:00:00"/>
    <d v="2025-03-15T00:00:00"/>
    <x v="9"/>
    <x v="1"/>
  </r>
  <r>
    <n v="273"/>
    <s v="EUR"/>
    <n v="0"/>
    <n v="0"/>
    <n v="0"/>
    <n v="3613.5"/>
    <n v="3613.5"/>
    <n v="4191.66"/>
    <n v="0"/>
    <n v="0"/>
    <d v="2025-04-30T00:00:00"/>
    <d v="2025-03-31T00:00:00"/>
    <x v="9"/>
    <x v="1"/>
  </r>
  <r>
    <n v="274"/>
    <s v="USD"/>
    <n v="0"/>
    <n v="0"/>
    <n v="0"/>
    <n v="555.49"/>
    <n v="477.72140000000002"/>
    <n v="555.49"/>
    <n v="0"/>
    <n v="0"/>
    <d v="2025-03-21T00:00:00"/>
    <d v="2025-02-19T00:00:00"/>
    <x v="5"/>
    <x v="1"/>
  </r>
  <r>
    <n v="275"/>
    <s v="EUR"/>
    <n v="0"/>
    <n v="0"/>
    <n v="0"/>
    <n v="9724.7999999999993"/>
    <n v="9724.7999999999993"/>
    <n v="11280.767999999998"/>
    <n v="0"/>
    <n v="0"/>
    <d v="2025-06-02T00:00:00"/>
    <d v="2025-05-03T00:00:00"/>
    <x v="10"/>
    <x v="1"/>
  </r>
  <r>
    <n v="276"/>
    <s v="MXN"/>
    <n v="0"/>
    <n v="0"/>
    <n v="0"/>
    <n v="187114.16"/>
    <n v="8981.4796800000004"/>
    <n v="10478.392960000001"/>
    <n v="0"/>
    <n v="0"/>
    <d v="2025-05-01T00:00:00"/>
    <d v="2025-04-01T00:00:00"/>
    <x v="4"/>
    <x v="1"/>
  </r>
  <r>
    <n v="278"/>
    <s v="USD"/>
    <n v="13269.21"/>
    <n v="11411.5206"/>
    <n v="13269.21"/>
    <n v="26971.21"/>
    <n v="23195.240599999997"/>
    <n v="26971.21"/>
    <n v="0"/>
    <n v="0"/>
    <d v="2025-11-12T00:00:00"/>
    <d v="2025-10-13T00:00:00"/>
    <x v="2"/>
    <x v="1"/>
  </r>
  <r>
    <n v="279"/>
    <s v="USD"/>
    <n v="13354.829999999994"/>
    <n v="11485.153799999995"/>
    <n v="13354.829999999994"/>
    <n v="49554"/>
    <n v="42616.44"/>
    <n v="49554"/>
    <n v="0"/>
    <n v="0"/>
    <d v="2025-05-22T00:00:00"/>
    <d v="2025-04-22T00:00:00"/>
    <x v="4"/>
    <x v="1"/>
  </r>
  <r>
    <n v="280"/>
    <s v="USD"/>
    <n v="1049.83"/>
    <n v="902.85379999999998"/>
    <n v="1049.83"/>
    <n v="1049.83"/>
    <n v="902.85379999999998"/>
    <n v="1049.83"/>
    <n v="0"/>
    <n v="0"/>
    <d v="2025-05-05T00:00:00"/>
    <d v="2025-04-05T00:00:00"/>
    <x v="4"/>
    <x v="1"/>
  </r>
  <r>
    <n v="281"/>
    <s v="USD"/>
    <n v="0"/>
    <n v="0"/>
    <n v="0"/>
    <n v="4403.08"/>
    <n v="3786.6487999999999"/>
    <n v="4403.08"/>
    <n v="0"/>
    <n v="0"/>
    <d v="2024-12-28T00:00:00"/>
    <d v="2024-11-28T00:00:00"/>
    <x v="1"/>
    <x v="0"/>
  </r>
  <r>
    <n v="282"/>
    <s v="USD"/>
    <n v="22787.200000000001"/>
    <n v="19596.992000000002"/>
    <n v="22787.200000000001"/>
    <n v="25993.7"/>
    <n v="22354.581999999999"/>
    <n v="25993.7"/>
    <n v="0"/>
    <n v="0"/>
    <d v="2025-07-24T00:00:00"/>
    <d v="2025-06-24T00:00:00"/>
    <x v="3"/>
    <x v="1"/>
  </r>
  <r>
    <n v="283"/>
    <s v="USD"/>
    <n v="0"/>
    <n v="0"/>
    <n v="0"/>
    <n v="3108"/>
    <n v="2672.88"/>
    <n v="3108"/>
    <n v="0"/>
    <n v="0"/>
    <d v="2024-12-19T00:00:00"/>
    <d v="2024-11-19T00:00:00"/>
    <x v="1"/>
    <x v="0"/>
  </r>
  <r>
    <n v="284"/>
    <s v="USD"/>
    <n v="0"/>
    <n v="0"/>
    <n v="0"/>
    <n v="19328.54"/>
    <n v="16622.544399999999"/>
    <n v="19328.54"/>
    <n v="0"/>
    <n v="0"/>
    <d v="2024-12-28T00:00:00"/>
    <d v="2024-11-28T00:00:00"/>
    <x v="1"/>
    <x v="0"/>
  </r>
  <r>
    <n v="285"/>
    <s v="USD"/>
    <n v="0"/>
    <n v="0"/>
    <n v="0"/>
    <n v="4276.47"/>
    <n v="3677.7642000000001"/>
    <n v="4276.47"/>
    <n v="0"/>
    <n v="0"/>
    <d v="2024-12-28T00:00:00"/>
    <d v="2024-11-28T00:00:00"/>
    <x v="1"/>
    <x v="0"/>
  </r>
  <r>
    <n v="286"/>
    <s v="USD"/>
    <n v="0"/>
    <n v="0"/>
    <n v="0"/>
    <n v="2297.91"/>
    <n v="1976.2025999999998"/>
    <n v="2297.91"/>
    <n v="0"/>
    <n v="0"/>
    <d v="2025-01-11T00:00:00"/>
    <d v="2024-12-12T00:00:00"/>
    <x v="7"/>
    <x v="0"/>
  </r>
  <r>
    <n v="287"/>
    <s v="EUR"/>
    <n v="0"/>
    <n v="0"/>
    <n v="0"/>
    <n v="3806.23"/>
    <n v="3806.23"/>
    <n v="4415.2267999999995"/>
    <n v="0"/>
    <n v="0"/>
    <d v="2025-06-25T00:00:00"/>
    <d v="2025-05-26T00:00:00"/>
    <x v="10"/>
    <x v="1"/>
  </r>
  <r>
    <n v="288"/>
    <s v="USD"/>
    <n v="12504.560000000001"/>
    <n v="10753.921600000001"/>
    <n v="12504.560000000001"/>
    <n v="36285.839999999997"/>
    <n v="31205.822399999997"/>
    <n v="36285.839999999997"/>
    <n v="0"/>
    <n v="0"/>
    <d v="2025-06-29T00:00:00"/>
    <d v="2025-05-30T00:00:00"/>
    <x v="10"/>
    <x v="1"/>
  </r>
  <r>
    <n v="289"/>
    <s v="USD"/>
    <n v="2084.27"/>
    <n v="1792.4721999999999"/>
    <n v="2084.27"/>
    <n v="2084.27"/>
    <n v="1792.4721999999999"/>
    <n v="2084.27"/>
    <n v="0"/>
    <n v="0"/>
    <d v="2025-05-14T00:00:00"/>
    <d v="2025-04-14T00:00:00"/>
    <x v="4"/>
    <x v="1"/>
  </r>
  <r>
    <n v="290"/>
    <s v="USD"/>
    <n v="2670"/>
    <n v="2296.1999999999998"/>
    <n v="2670"/>
    <n v="2670"/>
    <n v="2296.1999999999998"/>
    <n v="2670"/>
    <n v="0"/>
    <n v="0"/>
    <d v="2025-05-16T00:00:00"/>
    <d v="2025-04-16T00:00:00"/>
    <x v="4"/>
    <x v="1"/>
  </r>
  <r>
    <n v="291"/>
    <s v="MXN"/>
    <n v="43519"/>
    <n v="2088.9120000000003"/>
    <n v="2437.0639999999999"/>
    <n v="43519"/>
    <n v="2088.9120000000003"/>
    <n v="2437.0639999999999"/>
    <n v="0"/>
    <n v="0"/>
    <d v="2025-06-03T00:00:00"/>
    <d v="2025-05-04T00:00:00"/>
    <x v="10"/>
    <x v="1"/>
  </r>
  <r>
    <n v="292"/>
    <s v="EUR"/>
    <n v="4613.6000000000004"/>
    <n v="4613.6000000000004"/>
    <n v="5351.7759999999998"/>
    <n v="12113.6"/>
    <n v="12113.6"/>
    <n v="14051.776"/>
    <n v="0"/>
    <n v="0"/>
    <d v="2025-04-22T00:00:00"/>
    <d v="2025-03-23T00:00:00"/>
    <x v="9"/>
    <x v="1"/>
  </r>
  <r>
    <n v="293"/>
    <s v="USD"/>
    <n v="1365.96"/>
    <n v="1174.7256"/>
    <n v="1365.96"/>
    <n v="1365.96"/>
    <n v="1174.7256"/>
    <n v="1365.96"/>
    <n v="0"/>
    <n v="0"/>
    <d v="2025-07-14T00:00:00"/>
    <d v="2025-06-14T00:00:00"/>
    <x v="3"/>
    <x v="1"/>
  </r>
  <r>
    <n v="294"/>
    <s v="EUR"/>
    <n v="1080"/>
    <n v="1080"/>
    <n v="1252.8"/>
    <n v="1080"/>
    <n v="1080"/>
    <n v="1252.8"/>
    <n v="0"/>
    <n v="0"/>
    <d v="2025-06-18T00:00:00"/>
    <d v="2025-05-19T00:00:00"/>
    <x v="10"/>
    <x v="1"/>
  </r>
  <r>
    <n v="295"/>
    <s v="USD"/>
    <n v="0"/>
    <n v="0"/>
    <n v="0"/>
    <n v="180980.6"/>
    <n v="155643.31599999999"/>
    <n v="180980.6"/>
    <n v="0"/>
    <n v="0"/>
    <d v="2025-07-16T00:00:00"/>
    <d v="2025-06-16T00:00:00"/>
    <x v="3"/>
    <x v="1"/>
  </r>
  <r>
    <n v="296"/>
    <s v="USD"/>
    <n v="8544.02"/>
    <n v="7347.8572000000004"/>
    <n v="8544.02"/>
    <n v="8544.02"/>
    <n v="7347.8572000000004"/>
    <n v="8544.02"/>
    <n v="0"/>
    <n v="0"/>
    <d v="2025-10-28T00:00:00"/>
    <d v="2025-09-28T00:00:00"/>
    <x v="0"/>
    <x v="1"/>
  </r>
  <r>
    <n v="297"/>
    <s v="USD"/>
    <n v="0"/>
    <n v="0"/>
    <n v="0"/>
    <n v="3897.34"/>
    <n v="3351.7123999999999"/>
    <n v="3897.34"/>
    <n v="0"/>
    <n v="0"/>
    <d v="2025-05-02T00:00:00"/>
    <d v="2025-04-02T00:00:00"/>
    <x v="4"/>
    <x v="1"/>
  </r>
  <r>
    <n v="298"/>
    <s v="USD"/>
    <n v="0"/>
    <n v="0"/>
    <n v="0"/>
    <n v="8244"/>
    <n v="7089.84"/>
    <n v="8244"/>
    <n v="0"/>
    <n v="0"/>
    <d v="2025-05-14T00:00:00"/>
    <d v="2025-04-14T00:00:00"/>
    <x v="4"/>
    <x v="1"/>
  </r>
  <r>
    <n v="299"/>
    <s v="EUR"/>
    <n v="0"/>
    <n v="0"/>
    <n v="0"/>
    <n v="8185"/>
    <n v="8185"/>
    <n v="9494.5999999999985"/>
    <n v="0"/>
    <n v="0"/>
    <d v="2025-07-03T00:00:00"/>
    <d v="2025-06-03T00:00:00"/>
    <x v="3"/>
    <x v="1"/>
  </r>
  <r>
    <n v="300"/>
    <s v="USD"/>
    <n v="0"/>
    <n v="0"/>
    <n v="0"/>
    <n v="48161.65"/>
    <n v="41419.019"/>
    <n v="48161.65"/>
    <n v="0"/>
    <n v="0"/>
    <d v="2025-03-31T00:00:00"/>
    <d v="2025-03-01T00:00:00"/>
    <x v="9"/>
    <x v="1"/>
  </r>
  <r>
    <n v="301"/>
    <s v="USD"/>
    <n v="2140"/>
    <n v="1840.3999999999999"/>
    <n v="2140"/>
    <n v="2140"/>
    <n v="1840.3999999999999"/>
    <n v="2140"/>
    <n v="0"/>
    <n v="0"/>
    <d v="2025-05-03T00:00:00"/>
    <d v="2025-04-03T00:00:00"/>
    <x v="4"/>
    <x v="1"/>
  </r>
  <r>
    <n v="302"/>
    <s v="USD"/>
    <n v="195595.61"/>
    <n v="168212.22459999999"/>
    <n v="195595.61"/>
    <n v="195595.61"/>
    <n v="168212.22459999999"/>
    <n v="195595.61"/>
    <n v="0"/>
    <n v="0"/>
    <d v="2025-01-04T00:00:00"/>
    <d v="2024-12-05T00:00:00"/>
    <x v="7"/>
    <x v="0"/>
  </r>
  <r>
    <n v="303"/>
    <s v="USD"/>
    <n v="16724.88"/>
    <n v="14383.3968"/>
    <n v="16724.88"/>
    <n v="16724.88"/>
    <n v="14383.3968"/>
    <n v="16724.88"/>
    <n v="0"/>
    <n v="0"/>
    <d v="2025-12-20T00:00:00"/>
    <d v="2025-11-20T00:00:00"/>
    <x v="1"/>
    <x v="1"/>
  </r>
  <r>
    <n v="304"/>
    <s v="EUR"/>
    <n v="23027.33"/>
    <n v="23027.33"/>
    <n v="26711.702799999999"/>
    <n v="23027.33"/>
    <n v="23027.33"/>
    <n v="26711.702799999999"/>
    <n v="0"/>
    <n v="0"/>
    <d v="2025-08-06T00:00:00"/>
    <d v="2025-07-07T00:00:00"/>
    <x v="11"/>
    <x v="1"/>
  </r>
  <r>
    <n v="305"/>
    <s v="USD"/>
    <n v="0"/>
    <n v="0"/>
    <n v="0"/>
    <n v="16692.39"/>
    <n v="14355.455399999999"/>
    <n v="16692.39"/>
    <n v="0"/>
    <n v="0"/>
    <d v="2025-05-15T00:00:00"/>
    <d v="2025-04-15T00:00:00"/>
    <x v="4"/>
    <x v="1"/>
  </r>
  <r>
    <n v="306"/>
    <s v="USD"/>
    <n v="28742.43"/>
    <n v="24718.489799999999"/>
    <n v="28742.43"/>
    <n v="29317.43"/>
    <n v="25212.989799999999"/>
    <n v="29317.43"/>
    <n v="0"/>
    <n v="0"/>
    <d v="2025-07-22T00:00:00"/>
    <d v="2025-06-22T00:00:00"/>
    <x v="3"/>
    <x v="1"/>
  </r>
  <r>
    <n v="307"/>
    <s v="USD"/>
    <n v="0"/>
    <n v="0"/>
    <n v="0"/>
    <n v="8076"/>
    <n v="6945.36"/>
    <n v="8076"/>
    <n v="0"/>
    <n v="0"/>
    <d v="2025-04-23T00:00:00"/>
    <d v="2025-03-24T00:00:00"/>
    <x v="9"/>
    <x v="1"/>
  </r>
  <r>
    <n v="308"/>
    <s v="USD"/>
    <n v="0"/>
    <n v="0"/>
    <n v="0"/>
    <n v="1869.15"/>
    <n v="1607.4690000000001"/>
    <n v="1869.15"/>
    <n v="0"/>
    <n v="0"/>
    <d v="2025-04-10T00:00:00"/>
    <d v="2025-03-11T00:00:00"/>
    <x v="9"/>
    <x v="1"/>
  </r>
  <r>
    <n v="309"/>
    <s v="USD"/>
    <n v="2155.3799999999992"/>
    <n v="1853.6267999999993"/>
    <n v="2155.3799999999992"/>
    <n v="10168.82"/>
    <n v="8745.1851999999999"/>
    <n v="10168.82"/>
    <n v="112.30999999999949"/>
    <n v="112.30999999999949"/>
    <d v="2025-07-19T00:00:00"/>
    <d v="2025-06-19T00:00:00"/>
    <x v="3"/>
    <x v="1"/>
  </r>
  <r>
    <n v="310"/>
    <s v="MXN"/>
    <n v="1337228.1200000001"/>
    <n v="64186.949760000003"/>
    <n v="74884.774720000001"/>
    <n v="1337228.1200000001"/>
    <n v="64186.949760000003"/>
    <n v="74884.774720000001"/>
    <n v="0"/>
    <n v="0"/>
    <d v="2025-06-12T00:00:00"/>
    <d v="2025-05-13T00:00:00"/>
    <x v="10"/>
    <x v="1"/>
  </r>
  <r>
    <n v="311"/>
    <s v="USD"/>
    <n v="1947.12"/>
    <n v="1674.5231999999999"/>
    <n v="1947.12"/>
    <n v="1947.12"/>
    <n v="1674.5231999999999"/>
    <n v="1947.12"/>
    <n v="0"/>
    <n v="0"/>
    <d v="2025-05-20T00:00:00"/>
    <d v="2025-04-20T00:00:00"/>
    <x v="4"/>
    <x v="1"/>
  </r>
  <r>
    <n v="312"/>
    <s v="USD"/>
    <n v="1196"/>
    <n v="1028.56"/>
    <n v="1196"/>
    <n v="1196"/>
    <n v="1028.56"/>
    <n v="1196"/>
    <n v="0"/>
    <n v="0"/>
    <d v="2025-01-25T00:00:00"/>
    <d v="2024-12-26T00:00:00"/>
    <x v="7"/>
    <x v="0"/>
  </r>
  <r>
    <n v="313"/>
    <s v="USD"/>
    <n v="259.64999999999998"/>
    <n v="223.29899999999998"/>
    <n v="259.64999999999998"/>
    <n v="259.64999999999998"/>
    <n v="223.29899999999998"/>
    <n v="259.64999999999998"/>
    <n v="0"/>
    <n v="0"/>
    <d v="2025-01-18T00:00:00"/>
    <d v="2024-12-19T00:00:00"/>
    <x v="7"/>
    <x v="0"/>
  </r>
  <r>
    <n v="314"/>
    <s v="USD"/>
    <n v="0"/>
    <n v="0"/>
    <n v="0"/>
    <n v="1029.26"/>
    <n v="885.16359999999997"/>
    <n v="1029.26"/>
    <n v="0"/>
    <n v="0"/>
    <d v="2025-02-27T00:00:00"/>
    <d v="2025-01-28T00:00:00"/>
    <x v="8"/>
    <x v="1"/>
  </r>
  <r>
    <n v="315"/>
    <s v="USD"/>
    <n v="0"/>
    <n v="0"/>
    <n v="0"/>
    <n v="769.8"/>
    <n v="662.02799999999991"/>
    <n v="769.8"/>
    <n v="0"/>
    <n v="0"/>
    <d v="2025-03-23T00:00:00"/>
    <d v="2025-02-21T00:00:00"/>
    <x v="5"/>
    <x v="1"/>
  </r>
  <r>
    <n v="316"/>
    <s v="USD"/>
    <n v="886.6"/>
    <n v="762.476"/>
    <n v="886.6"/>
    <n v="886.6"/>
    <n v="762.476"/>
    <n v="886.6"/>
    <n v="0"/>
    <n v="0"/>
    <d v="2025-03-26T00:00:00"/>
    <d v="2025-02-24T00:00:00"/>
    <x v="5"/>
    <x v="1"/>
  </r>
  <r>
    <n v="317"/>
    <s v="USD"/>
    <n v="0"/>
    <n v="0"/>
    <n v="0"/>
    <n v="695.8"/>
    <n v="598.38799999999992"/>
    <n v="695.8"/>
    <n v="0"/>
    <n v="0"/>
    <d v="2025-04-06T00:00:00"/>
    <d v="2025-03-07T00:00:00"/>
    <x v="9"/>
    <x v="1"/>
  </r>
  <r>
    <n v="318"/>
    <s v="USD"/>
    <n v="0"/>
    <n v="0"/>
    <n v="0"/>
    <n v="379"/>
    <n v="325.94"/>
    <n v="379"/>
    <n v="0"/>
    <n v="0"/>
    <d v="2025-04-03T00:00:00"/>
    <d v="2025-03-04T00:00:00"/>
    <x v="9"/>
    <x v="1"/>
  </r>
  <r>
    <n v="319"/>
    <s v="USD"/>
    <n v="0"/>
    <n v="0"/>
    <n v="0"/>
    <n v="866.4"/>
    <n v="745.10399999999993"/>
    <n v="866.4"/>
    <n v="0"/>
    <n v="0"/>
    <d v="2025-04-11T00:00:00"/>
    <d v="2025-03-12T00:00:00"/>
    <x v="9"/>
    <x v="1"/>
  </r>
  <r>
    <n v="320"/>
    <s v="USD"/>
    <n v="1916"/>
    <n v="1647.76"/>
    <n v="1916"/>
    <n v="1916"/>
    <n v="1647.76"/>
    <n v="1916"/>
    <n v="0"/>
    <n v="0"/>
    <d v="2025-04-03T00:00:00"/>
    <d v="2025-03-04T00:00:00"/>
    <x v="9"/>
    <x v="1"/>
  </r>
  <r>
    <n v="321"/>
    <s v="USD"/>
    <n v="0"/>
    <n v="0"/>
    <n v="0"/>
    <n v="261.60000000000002"/>
    <n v="224.97600000000003"/>
    <n v="261.60000000000002"/>
    <n v="0"/>
    <n v="0"/>
    <d v="2025-04-08T00:00:00"/>
    <d v="2025-03-09T00:00:00"/>
    <x v="9"/>
    <x v="1"/>
  </r>
  <r>
    <n v="322"/>
    <s v="USD"/>
    <n v="0"/>
    <n v="0"/>
    <n v="0"/>
    <n v="1401"/>
    <n v="1204.8599999999999"/>
    <n v="1401"/>
    <n v="0"/>
    <n v="0"/>
    <d v="2025-07-06T00:00:00"/>
    <d v="2025-06-06T00:00:00"/>
    <x v="3"/>
    <x v="1"/>
  </r>
  <r>
    <n v="323"/>
    <s v="MXN"/>
    <n v="0"/>
    <n v="0"/>
    <n v="0"/>
    <n v="59530"/>
    <n v="2857.44"/>
    <n v="3333.6800000000003"/>
    <n v="0"/>
    <n v="0"/>
    <d v="2025-06-09T00:00:00"/>
    <d v="2025-05-10T00:00:00"/>
    <x v="10"/>
    <x v="1"/>
  </r>
  <r>
    <n v="324"/>
    <s v="MXN"/>
    <n v="0"/>
    <n v="0"/>
    <n v="0"/>
    <n v="54735"/>
    <n v="2627.28"/>
    <n v="3065.16"/>
    <n v="0"/>
    <n v="0"/>
    <d v="2025-06-23T00:00:00"/>
    <d v="2025-05-24T00:00:00"/>
    <x v="10"/>
    <x v="1"/>
  </r>
  <r>
    <n v="325"/>
    <s v="MXN"/>
    <n v="0"/>
    <n v="0"/>
    <n v="0"/>
    <n v="127330"/>
    <n v="6111.84"/>
    <n v="7130.4800000000005"/>
    <n v="0"/>
    <n v="0"/>
    <d v="2025-08-12T00:00:00"/>
    <d v="2025-07-13T00:00:00"/>
    <x v="11"/>
    <x v="1"/>
  </r>
  <r>
    <n v="326"/>
    <s v="EUR"/>
    <n v="0"/>
    <n v="0"/>
    <n v="0"/>
    <n v="525"/>
    <n v="525"/>
    <n v="609"/>
    <n v="0"/>
    <n v="0"/>
    <d v="2025-02-05T00:00:00"/>
    <d v="2025-01-06T00:00:00"/>
    <x v="8"/>
    <x v="1"/>
  </r>
  <r>
    <n v="327"/>
    <s v="USD"/>
    <n v="0"/>
    <n v="0"/>
    <n v="0"/>
    <n v="10449.41"/>
    <n v="8986.4925999999996"/>
    <n v="10449.41"/>
    <n v="0"/>
    <n v="0"/>
    <d v="2025-04-08T00:00:00"/>
    <d v="2025-03-09T00:00:00"/>
    <x v="9"/>
    <x v="1"/>
  </r>
  <r>
    <n v="328"/>
    <s v="USD"/>
    <n v="8757.1"/>
    <n v="7531.1059999999998"/>
    <n v="8757.1"/>
    <n v="8757.1"/>
    <n v="7531.1059999999998"/>
    <n v="8757.1"/>
    <n v="0"/>
    <n v="0"/>
    <d v="2025-05-14T00:00:00"/>
    <d v="2025-04-14T00:00:00"/>
    <x v="4"/>
    <x v="1"/>
  </r>
  <r>
    <n v="329"/>
    <s v="USD"/>
    <n v="-1838.0199999999968"/>
    <n v="-1580.6971999999971"/>
    <n v="-1838.0199999999968"/>
    <n v="35071.980000000003"/>
    <n v="30161.902800000003"/>
    <n v="35071.980000000003"/>
    <n v="0"/>
    <n v="0"/>
    <d v="2025-04-01T00:00:00"/>
    <d v="2025-03-02T00:00:00"/>
    <x v="9"/>
    <x v="1"/>
  </r>
  <r>
    <n v="330"/>
    <s v="USD"/>
    <n v="15861.94"/>
    <n v="13641.268400000001"/>
    <n v="15861.94"/>
    <n v="15861.94"/>
    <n v="13641.268400000001"/>
    <n v="15861.94"/>
    <n v="0"/>
    <n v="0"/>
    <d v="2025-05-17T00:00:00"/>
    <d v="2025-04-17T00:00:00"/>
    <x v="4"/>
    <x v="1"/>
  </r>
  <r>
    <n v="331"/>
    <s v="USD"/>
    <n v="704.8"/>
    <n v="606.12799999999993"/>
    <n v="704.8"/>
    <n v="704.8"/>
    <n v="606.12799999999993"/>
    <n v="704.8"/>
    <n v="0"/>
    <n v="0"/>
    <d v="2025-05-22T00:00:00"/>
    <d v="2025-04-22T00:00:00"/>
    <x v="4"/>
    <x v="1"/>
  </r>
  <r>
    <n v="332"/>
    <s v="MXN"/>
    <n v="421136.96"/>
    <n v="20214.574080000002"/>
    <n v="23583.669760000001"/>
    <n v="421136.96"/>
    <n v="20214.574080000002"/>
    <n v="23583.669760000001"/>
    <n v="0"/>
    <n v="0"/>
    <d v="2025-05-29T00:00:00"/>
    <d v="2025-04-29T00:00:00"/>
    <x v="4"/>
    <x v="1"/>
  </r>
  <r>
    <n v="333"/>
    <s v="USD"/>
    <n v="1221"/>
    <n v="1050.06"/>
    <n v="1221"/>
    <n v="1221"/>
    <n v="1050.06"/>
    <n v="1221"/>
    <n v="0"/>
    <n v="0"/>
    <d v="2025-05-03T00:00:00"/>
    <d v="2025-04-03T00:00:00"/>
    <x v="4"/>
    <x v="1"/>
  </r>
  <r>
    <n v="334"/>
    <s v="USD"/>
    <n v="1630.2"/>
    <n v="1401.972"/>
    <n v="1630.2"/>
    <n v="1630.2"/>
    <n v="1401.972"/>
    <n v="1630.2"/>
    <n v="0"/>
    <n v="0"/>
    <d v="2025-05-10T00:00:00"/>
    <d v="2025-04-10T00:00:00"/>
    <x v="4"/>
    <x v="1"/>
  </r>
  <r>
    <n v="335"/>
    <s v="USD"/>
    <n v="98"/>
    <n v="84.28"/>
    <n v="98"/>
    <n v="98"/>
    <n v="84.28"/>
    <n v="98"/>
    <n v="0"/>
    <n v="0"/>
    <d v="2025-05-05T00:00:00"/>
    <d v="2025-04-05T00:00:00"/>
    <x v="4"/>
    <x v="1"/>
  </r>
  <r>
    <n v="336"/>
    <s v="USD"/>
    <n v="428.8"/>
    <n v="368.76800000000003"/>
    <n v="428.8"/>
    <n v="428.8"/>
    <n v="368.76800000000003"/>
    <n v="428.8"/>
    <n v="0"/>
    <n v="0"/>
    <d v="2025-05-01T00:00:00"/>
    <d v="2025-04-01T00:00:00"/>
    <x v="4"/>
    <x v="1"/>
  </r>
  <r>
    <n v="337"/>
    <s v="USD"/>
    <n v="884.8"/>
    <n v="760.928"/>
    <n v="884.8"/>
    <n v="1012.3"/>
    <n v="870.57799999999997"/>
    <n v="1012.3"/>
    <n v="0"/>
    <n v="0"/>
    <d v="2025-07-01T00:00:00"/>
    <d v="2025-06-01T00:00:00"/>
    <x v="3"/>
    <x v="1"/>
  </r>
  <r>
    <n v="338"/>
    <s v="USD"/>
    <n v="296.3"/>
    <n v="254.81800000000001"/>
    <n v="296.3"/>
    <n v="296.3"/>
    <n v="254.81800000000001"/>
    <n v="296.3"/>
    <n v="0"/>
    <n v="0"/>
    <d v="2025-05-08T00:00:00"/>
    <d v="2025-04-08T00:00:00"/>
    <x v="4"/>
    <x v="1"/>
  </r>
  <r>
    <n v="339"/>
    <s v="USD"/>
    <n v="981.6"/>
    <n v="844.17600000000004"/>
    <n v="981.6"/>
    <n v="981.6"/>
    <n v="844.17600000000004"/>
    <n v="981.6"/>
    <n v="0"/>
    <n v="0"/>
    <d v="2025-05-09T00:00:00"/>
    <d v="2025-04-09T00:00:00"/>
    <x v="4"/>
    <x v="1"/>
  </r>
  <r>
    <n v="340"/>
    <s v="USD"/>
    <n v="147392.79999999999"/>
    <n v="126757.80799999999"/>
    <n v="147392.79999999999"/>
    <n v="160784.87"/>
    <n v="138274.98819999999"/>
    <n v="160784.87"/>
    <n v="0"/>
    <n v="0"/>
    <d v="2025-08-04T00:00:00"/>
    <d v="2025-07-05T00:00:00"/>
    <x v="11"/>
    <x v="1"/>
  </r>
  <r>
    <n v="341"/>
    <s v="USD"/>
    <n v="43477.15"/>
    <n v="37390.349000000002"/>
    <n v="43477.15"/>
    <n v="43477.15"/>
    <n v="37390.349000000002"/>
    <n v="43477.15"/>
    <n v="0"/>
    <n v="0"/>
    <d v="2025-08-01T00:00:00"/>
    <d v="2025-07-02T00:00:00"/>
    <x v="11"/>
    <x v="1"/>
  </r>
  <r>
    <n v="342"/>
    <s v="MXN"/>
    <n v="0"/>
    <n v="0"/>
    <n v="0"/>
    <n v="15715.41"/>
    <n v="754.33968000000004"/>
    <n v="880.06295999999998"/>
    <n v="0"/>
    <n v="0"/>
    <d v="2025-07-01T00:00:00"/>
    <d v="2025-06-01T00:00:00"/>
    <x v="3"/>
    <x v="1"/>
  </r>
  <r>
    <n v="343"/>
    <s v="USD"/>
    <n v="198.6"/>
    <n v="170.79599999999999"/>
    <n v="198.6"/>
    <n v="198.6"/>
    <n v="170.79599999999999"/>
    <n v="198.6"/>
    <n v="0"/>
    <n v="0"/>
    <d v="2025-06-10T00:00:00"/>
    <d v="2025-05-11T00:00:00"/>
    <x v="10"/>
    <x v="1"/>
  </r>
  <r>
    <n v="345"/>
    <s v="EUR"/>
    <n v="0"/>
    <n v="0"/>
    <n v="0"/>
    <n v="900"/>
    <n v="900"/>
    <n v="1044"/>
    <n v="0"/>
    <n v="0"/>
    <d v="2025-02-16T00:00:00"/>
    <d v="2025-01-17T00:00:00"/>
    <x v="8"/>
    <x v="1"/>
  </r>
  <r>
    <n v="346"/>
    <s v="USD"/>
    <n v="0"/>
    <n v="0"/>
    <n v="0"/>
    <n v="7100"/>
    <n v="6106"/>
    <n v="7100"/>
    <n v="0"/>
    <n v="0"/>
    <d v="2025-05-22T00:00:00"/>
    <d v="2025-04-22T00:00:00"/>
    <x v="4"/>
    <x v="1"/>
  </r>
  <r>
    <n v="347"/>
    <s v="USD"/>
    <n v="8961.26"/>
    <n v="7706.6836000000003"/>
    <n v="8961.26"/>
    <n v="8962.26"/>
    <n v="7707.5436"/>
    <n v="8962.26"/>
    <n v="-1"/>
    <n v="-1"/>
    <d v="2025-05-17T00:00:00"/>
    <d v="2025-04-17T00:00:00"/>
    <x v="4"/>
    <x v="1"/>
  </r>
  <r>
    <n v="348"/>
    <s v="USD"/>
    <n v="0"/>
    <n v="0"/>
    <n v="0"/>
    <n v="3045"/>
    <n v="2618.6999999999998"/>
    <n v="3045"/>
    <n v="0"/>
    <n v="0"/>
    <d v="2025-05-22T00:00:00"/>
    <d v="2025-04-22T00:00:00"/>
    <x v="4"/>
    <x v="1"/>
  </r>
  <r>
    <n v="349"/>
    <s v="USD"/>
    <n v="2456"/>
    <n v="2112.16"/>
    <n v="2456"/>
    <n v="2456"/>
    <n v="2112.16"/>
    <n v="2456"/>
    <n v="0"/>
    <n v="0"/>
    <d v="2025-05-17T00:00:00"/>
    <d v="2025-04-17T00:00:00"/>
    <x v="4"/>
    <x v="1"/>
  </r>
  <r>
    <n v="350"/>
    <s v="USD"/>
    <n v="6608.32"/>
    <n v="5683.1551999999992"/>
    <n v="6608.32"/>
    <n v="14617.59"/>
    <n v="12571.127399999999"/>
    <n v="14617.59"/>
    <n v="0"/>
    <n v="0"/>
    <d v="2025-05-16T00:00:00"/>
    <d v="2025-04-16T00:00:00"/>
    <x v="4"/>
    <x v="1"/>
  </r>
  <r>
    <n v="351"/>
    <s v="USD"/>
    <n v="2576.75"/>
    <n v="2216.0050000000001"/>
    <n v="2576.75"/>
    <n v="2576.75"/>
    <n v="2216.0050000000001"/>
    <n v="2576.75"/>
    <n v="0"/>
    <n v="0"/>
    <d v="2025-05-16T00:00:00"/>
    <d v="2025-04-16T00:00:00"/>
    <x v="4"/>
    <x v="1"/>
  </r>
  <r>
    <n v="352"/>
    <s v="USD"/>
    <n v="5170.8600000000006"/>
    <n v="4446.9396000000006"/>
    <n v="5170.8600000000006"/>
    <n v="9074.86"/>
    <n v="7804.3796000000002"/>
    <n v="9074.86"/>
    <n v="0"/>
    <n v="0"/>
    <d v="2025-06-13T00:00:00"/>
    <d v="2025-05-14T00:00:00"/>
    <x v="10"/>
    <x v="1"/>
  </r>
  <r>
    <n v="353"/>
    <s v="USD"/>
    <n v="7278.61"/>
    <n v="6259.6045999999997"/>
    <n v="7278.61"/>
    <n v="7278.61"/>
    <n v="6259.6045999999997"/>
    <n v="7278.61"/>
    <n v="0"/>
    <n v="0"/>
    <d v="2025-05-27T00:00:00"/>
    <d v="2025-04-27T00:00:00"/>
    <x v="4"/>
    <x v="1"/>
  </r>
  <r>
    <n v="354"/>
    <s v="USD"/>
    <n v="3084.96"/>
    <n v="2653.0655999999999"/>
    <n v="3084.96"/>
    <n v="3084.96"/>
    <n v="2653.0655999999999"/>
    <n v="3084.96"/>
    <n v="0"/>
    <n v="0"/>
    <d v="2025-05-22T00:00:00"/>
    <d v="2025-04-22T00:00:00"/>
    <x v="4"/>
    <x v="1"/>
  </r>
  <r>
    <n v="355"/>
    <s v="USD"/>
    <n v="92813.18"/>
    <n v="79819.334799999997"/>
    <n v="92813.18"/>
    <n v="160328.18"/>
    <n v="137882.23480000001"/>
    <n v="160328.18"/>
    <n v="0"/>
    <n v="0"/>
    <d v="2025-06-15T00:00:00"/>
    <d v="2025-05-16T00:00:00"/>
    <x v="10"/>
    <x v="1"/>
  </r>
  <r>
    <n v="356"/>
    <s v="USD"/>
    <n v="6851.08"/>
    <n v="5891.9287999999997"/>
    <n v="6851.08"/>
    <n v="6851.08"/>
    <n v="5891.9287999999997"/>
    <n v="6851.08"/>
    <n v="0"/>
    <n v="0"/>
    <d v="2025-05-14T00:00:00"/>
    <d v="2025-04-14T00:00:00"/>
    <x v="4"/>
    <x v="1"/>
  </r>
  <r>
    <n v="357"/>
    <s v="USD"/>
    <n v="2597.52"/>
    <n v="2233.8672000000001"/>
    <n v="2597.52"/>
    <n v="2597.52"/>
    <n v="2233.8672000000001"/>
    <n v="2597.52"/>
    <n v="0"/>
    <n v="0"/>
    <d v="2025-05-26T00:00:00"/>
    <d v="2025-04-26T00:00:00"/>
    <x v="4"/>
    <x v="1"/>
  </r>
  <r>
    <n v="358"/>
    <s v="USD"/>
    <n v="353.7"/>
    <n v="304.18199999999996"/>
    <n v="353.7"/>
    <n v="353.7"/>
    <n v="304.18199999999996"/>
    <n v="353.7"/>
    <n v="0"/>
    <n v="0"/>
    <d v="2025-05-10T00:00:00"/>
    <d v="2025-04-10T00:00:00"/>
    <x v="4"/>
    <x v="1"/>
  </r>
  <r>
    <n v="359"/>
    <s v="EUR"/>
    <n v="21583.16"/>
    <n v="21583.16"/>
    <n v="25036.4656"/>
    <n v="21583.16"/>
    <n v="21583.16"/>
    <n v="25036.4656"/>
    <n v="0"/>
    <n v="0"/>
    <d v="2025-07-12T00:00:00"/>
    <d v="2025-06-12T00:00:00"/>
    <x v="3"/>
    <x v="1"/>
  </r>
  <r>
    <n v="360"/>
    <s v="USD"/>
    <n v="2292.54"/>
    <n v="1971.5844"/>
    <n v="2292.54"/>
    <n v="2292.54"/>
    <n v="1971.5844"/>
    <n v="2292.54"/>
    <n v="0"/>
    <n v="0"/>
    <d v="2025-08-08T00:00:00"/>
    <d v="2025-07-09T00:00:00"/>
    <x v="11"/>
    <x v="1"/>
  </r>
  <r>
    <n v="361"/>
    <s v="USD"/>
    <n v="6906.67"/>
    <n v="5939.7362000000003"/>
    <n v="6906.67"/>
    <n v="6906.67"/>
    <n v="5939.7362000000003"/>
    <n v="6906.67"/>
    <n v="0"/>
    <n v="0"/>
    <d v="2025-06-17T00:00:00"/>
    <d v="2025-05-18T00:00:00"/>
    <x v="10"/>
    <x v="1"/>
  </r>
  <r>
    <n v="362"/>
    <s v="USD"/>
    <n v="50"/>
    <n v="43"/>
    <n v="50"/>
    <n v="50"/>
    <n v="43"/>
    <n v="50"/>
    <n v="0"/>
    <n v="0"/>
    <d v="2025-07-20T00:00:00"/>
    <d v="2025-06-20T00:00:00"/>
    <x v="3"/>
    <x v="1"/>
  </r>
  <r>
    <n v="363"/>
    <s v="MXN"/>
    <n v="0"/>
    <n v="0"/>
    <n v="0"/>
    <n v="20818"/>
    <n v="999.26400000000001"/>
    <n v="1165.808"/>
    <n v="0"/>
    <n v="0"/>
    <d v="2025-06-10T00:00:00"/>
    <d v="2025-05-11T00:00:00"/>
    <x v="10"/>
    <x v="1"/>
  </r>
  <r>
    <n v="364"/>
    <s v="USD"/>
    <n v="18262.370000000003"/>
    <n v="15705.638200000001"/>
    <n v="18262.370000000003"/>
    <n v="38693.760000000002"/>
    <n v="33276.633600000001"/>
    <n v="38693.760000000002"/>
    <n v="0"/>
    <n v="0"/>
    <d v="2025-05-26T00:00:00"/>
    <d v="2025-04-26T00:00:00"/>
    <x v="4"/>
    <x v="1"/>
  </r>
  <r>
    <n v="366"/>
    <s v="USD"/>
    <n v="4008.67"/>
    <n v="3447.4562000000001"/>
    <n v="4008.67"/>
    <n v="4008.67"/>
    <n v="3447.4562000000001"/>
    <n v="4008.67"/>
    <n v="0"/>
    <n v="0"/>
    <d v="2025-06-18T00:00:00"/>
    <d v="2025-05-19T00:00:00"/>
    <x v="10"/>
    <x v="1"/>
  </r>
  <r>
    <n v="368"/>
    <s v="USD"/>
    <n v="0"/>
    <n v="0"/>
    <n v="0"/>
    <n v="1680"/>
    <n v="1444.8"/>
    <n v="1680"/>
    <n v="0"/>
    <n v="0"/>
    <d v="2025-03-23T00:00:00"/>
    <d v="2025-02-21T00:00:00"/>
    <x v="5"/>
    <x v="1"/>
  </r>
  <r>
    <n v="369"/>
    <s v="USD"/>
    <n v="8281.7300000000014"/>
    <n v="7122.287800000001"/>
    <n v="8281.7300000000014"/>
    <n v="16505.63"/>
    <n v="14194.8418"/>
    <n v="16505.63"/>
    <n v="0"/>
    <n v="0"/>
    <d v="2025-07-07T00:00:00"/>
    <d v="2025-06-07T00:00:00"/>
    <x v="3"/>
    <x v="1"/>
  </r>
  <r>
    <n v="370"/>
    <s v="USD"/>
    <n v="-8957.5499999999993"/>
    <n v="-7703.4929999999995"/>
    <n v="-8957.5499999999993"/>
    <n v="4797.97"/>
    <n v="4126.2542000000003"/>
    <n v="4797.97"/>
    <n v="0"/>
    <n v="0"/>
    <d v="2025-06-24T00:00:00"/>
    <d v="2025-05-25T00:00:00"/>
    <x v="10"/>
    <x v="1"/>
  </r>
  <r>
    <n v="371"/>
    <s v="USD"/>
    <n v="8538.880000000001"/>
    <n v="7343.4368000000004"/>
    <n v="8538.880000000001"/>
    <n v="40578.53"/>
    <n v="34897.535799999998"/>
    <n v="40578.53"/>
    <n v="0"/>
    <n v="0"/>
    <d v="2025-07-17T00:00:00"/>
    <d v="2025-06-17T00:00:00"/>
    <x v="3"/>
    <x v="1"/>
  </r>
  <r>
    <n v="372"/>
    <s v="USD"/>
    <n v="3133.96"/>
    <n v="2695.2055999999998"/>
    <n v="3133.96"/>
    <n v="3133.96"/>
    <n v="2695.2055999999998"/>
    <n v="3133.96"/>
    <n v="0"/>
    <n v="0"/>
    <d v="2025-03-12T00:00:00"/>
    <d v="2025-02-10T00:00:00"/>
    <x v="5"/>
    <x v="1"/>
  </r>
  <r>
    <n v="373"/>
    <s v="USD"/>
    <n v="5229.63"/>
    <n v="4497.4818000000005"/>
    <n v="5229.63"/>
    <n v="5229.63"/>
    <n v="4497.4818000000005"/>
    <n v="5229.63"/>
    <n v="0"/>
    <n v="0"/>
    <d v="2025-01-21T00:00:00"/>
    <d v="2024-12-22T00:00:00"/>
    <x v="7"/>
    <x v="0"/>
  </r>
  <r>
    <n v="374"/>
    <s v="MXN"/>
    <n v="0"/>
    <n v="0"/>
    <n v="0"/>
    <n v="138570"/>
    <n v="6651.3600000000006"/>
    <n v="7759.92"/>
    <n v="0"/>
    <n v="0"/>
    <d v="2025-03-15T00:00:00"/>
    <d v="2025-02-13T00:00:00"/>
    <x v="5"/>
    <x v="1"/>
  </r>
  <r>
    <n v="375"/>
    <s v="MXN"/>
    <n v="0"/>
    <n v="0"/>
    <n v="0"/>
    <n v="25529"/>
    <n v="1225.3920000000001"/>
    <n v="1429.624"/>
    <n v="0"/>
    <n v="0"/>
    <d v="2025-03-20T00:00:00"/>
    <d v="2025-02-18T00:00:00"/>
    <x v="5"/>
    <x v="1"/>
  </r>
  <r>
    <n v="376"/>
    <s v="USD"/>
    <n v="0"/>
    <n v="0"/>
    <n v="0"/>
    <n v="1750"/>
    <n v="1505"/>
    <n v="1750"/>
    <n v="0"/>
    <n v="0"/>
    <d v="2025-02-21T00:00:00"/>
    <d v="2025-01-22T00:00:00"/>
    <x v="8"/>
    <x v="1"/>
  </r>
  <r>
    <n v="377"/>
    <s v="USD"/>
    <n v="0"/>
    <n v="0"/>
    <n v="0"/>
    <n v="28779.599999999999"/>
    <n v="24750.455999999998"/>
    <n v="28779.599999999999"/>
    <n v="0"/>
    <n v="0"/>
    <d v="2025-05-29T00:00:00"/>
    <d v="2025-04-29T00:00:00"/>
    <x v="4"/>
    <x v="1"/>
  </r>
  <r>
    <n v="378"/>
    <s v="USD"/>
    <n v="2722.59"/>
    <n v="2341.4274"/>
    <n v="2722.59"/>
    <n v="9222.59"/>
    <n v="7931.4273999999996"/>
    <n v="9222.59"/>
    <n v="0"/>
    <n v="0"/>
    <d v="2025-09-01T00:00:00"/>
    <d v="2025-08-02T00:00:00"/>
    <x v="6"/>
    <x v="1"/>
  </r>
  <r>
    <n v="379"/>
    <s v="USD"/>
    <n v="0"/>
    <n v="0"/>
    <n v="0"/>
    <n v="48164.24"/>
    <n v="41421.246399999996"/>
    <n v="48164.24"/>
    <n v="0"/>
    <n v="0"/>
    <d v="2025-06-19T00:00:00"/>
    <d v="2025-05-20T00:00:00"/>
    <x v="10"/>
    <x v="1"/>
  </r>
  <r>
    <n v="380"/>
    <s v="USD"/>
    <n v="0"/>
    <n v="0"/>
    <n v="0"/>
    <n v="7136.4"/>
    <n v="6137.3039999999992"/>
    <n v="7136.4"/>
    <n v="0"/>
    <n v="0"/>
    <d v="2025-05-28T00:00:00"/>
    <d v="2025-04-28T00:00:00"/>
    <x v="4"/>
    <x v="1"/>
  </r>
  <r>
    <n v="381"/>
    <s v="USD"/>
    <n v="13589.71"/>
    <n v="11687.150599999999"/>
    <n v="13589.71"/>
    <n v="13589.71"/>
    <n v="11687.150599999999"/>
    <n v="13589.71"/>
    <n v="0"/>
    <n v="0"/>
    <d v="2025-06-06T00:00:00"/>
    <d v="2025-05-07T00:00:00"/>
    <x v="10"/>
    <x v="1"/>
  </r>
  <r>
    <n v="382"/>
    <s v="USD"/>
    <n v="16000"/>
    <n v="13760"/>
    <n v="16000"/>
    <n v="18443.84"/>
    <n v="15861.7024"/>
    <n v="18443.84"/>
    <n v="0"/>
    <n v="0"/>
    <d v="2025-05-31T00:00:00"/>
    <d v="2025-05-01T00:00:00"/>
    <x v="10"/>
    <x v="1"/>
  </r>
  <r>
    <n v="383"/>
    <s v="USD"/>
    <n v="1576.17"/>
    <n v="1355.5062"/>
    <n v="1576.17"/>
    <n v="1576.17"/>
    <n v="1355.5062"/>
    <n v="1576.17"/>
    <n v="0"/>
    <n v="0"/>
    <d v="2025-07-27T00:00:00"/>
    <d v="2025-06-27T00:00:00"/>
    <x v="3"/>
    <x v="1"/>
  </r>
  <r>
    <n v="384"/>
    <s v="USD"/>
    <n v="0"/>
    <n v="0"/>
    <n v="0"/>
    <n v="4324.59"/>
    <n v="3719.1474000000003"/>
    <n v="4324.59"/>
    <n v="0"/>
    <n v="0"/>
    <d v="2025-06-26T00:00:00"/>
    <d v="2025-05-27T00:00:00"/>
    <x v="10"/>
    <x v="1"/>
  </r>
  <r>
    <n v="385"/>
    <s v="USD"/>
    <n v="0"/>
    <n v="0"/>
    <n v="0"/>
    <n v="3000"/>
    <n v="2580"/>
    <n v="3000"/>
    <n v="0"/>
    <n v="0"/>
    <d v="2025-05-07T00:00:00"/>
    <d v="2025-04-07T00:00:00"/>
    <x v="4"/>
    <x v="1"/>
  </r>
  <r>
    <n v="386"/>
    <s v="USD"/>
    <n v="0"/>
    <n v="0"/>
    <n v="0"/>
    <n v="740"/>
    <n v="636.4"/>
    <n v="740"/>
    <n v="0"/>
    <n v="0"/>
    <d v="2025-03-12T00:00:00"/>
    <d v="2025-02-10T00:00:00"/>
    <x v="5"/>
    <x v="1"/>
  </r>
  <r>
    <n v="387"/>
    <s v="USD"/>
    <n v="0"/>
    <n v="0"/>
    <n v="0"/>
    <n v="25787.64"/>
    <n v="22177.3704"/>
    <n v="25787.64"/>
    <n v="0"/>
    <n v="0"/>
    <d v="2025-06-19T00:00:00"/>
    <d v="2025-05-20T00:00:00"/>
    <x v="10"/>
    <x v="1"/>
  </r>
  <r>
    <n v="388"/>
    <s v="USD"/>
    <n v="30745.149999999994"/>
    <n v="26440.828999999994"/>
    <n v="30745.149999999994"/>
    <n v="74304.62"/>
    <n v="63901.973199999993"/>
    <n v="74304.62"/>
    <n v="0"/>
    <n v="0"/>
    <d v="2025-10-19T00:00:00"/>
    <d v="2025-09-19T00:00:00"/>
    <x v="0"/>
    <x v="1"/>
  </r>
  <r>
    <n v="389"/>
    <s v="USD"/>
    <n v="32307.979999999996"/>
    <n v="27784.862799999995"/>
    <n v="32307.979999999996"/>
    <n v="71739.75"/>
    <n v="61696.184999999998"/>
    <n v="71739.75"/>
    <n v="0"/>
    <n v="0"/>
    <d v="2025-10-19T00:00:00"/>
    <d v="2025-09-19T00:00:00"/>
    <x v="0"/>
    <x v="1"/>
  </r>
  <r>
    <n v="390"/>
    <s v="MXN"/>
    <n v="805637.58000000007"/>
    <n v="38670.603840000003"/>
    <n v="45115.704480000008"/>
    <n v="888117.52"/>
    <n v="42629.640960000004"/>
    <n v="49734.581120000003"/>
    <n v="0"/>
    <n v="0"/>
    <d v="2025-09-24T00:00:00"/>
    <d v="2025-08-25T00:00:00"/>
    <x v="6"/>
    <x v="1"/>
  </r>
  <r>
    <n v="391"/>
    <s v="USD"/>
    <n v="30823.53"/>
    <n v="26508.235799999999"/>
    <n v="30823.53"/>
    <n v="74383"/>
    <n v="63969.38"/>
    <n v="74383"/>
    <n v="0"/>
    <n v="0"/>
    <d v="2025-10-18T00:00:00"/>
    <d v="2025-09-18T00:00:00"/>
    <x v="0"/>
    <x v="1"/>
  </r>
  <r>
    <n v="392"/>
    <s v="USD"/>
    <n v="44530.51"/>
    <n v="38296.238600000004"/>
    <n v="44530.51"/>
    <n v="52841.65"/>
    <n v="45443.819000000003"/>
    <n v="52841.65"/>
    <n v="0"/>
    <n v="0"/>
    <d v="2025-12-26T00:00:00"/>
    <d v="2025-11-26T00:00:00"/>
    <x v="1"/>
    <x v="1"/>
  </r>
  <r>
    <n v="393"/>
    <s v="EUR"/>
    <n v="26052.66"/>
    <n v="26052.66"/>
    <n v="30221.085599999999"/>
    <n v="26052.66"/>
    <n v="26052.66"/>
    <n v="30221.085599999999"/>
    <n v="0"/>
    <n v="0"/>
    <d v="2025-07-19T00:00:00"/>
    <d v="2025-06-19T00:00:00"/>
    <x v="3"/>
    <x v="1"/>
  </r>
  <r>
    <n v="394"/>
    <s v="USD"/>
    <n v="2026.4000000000015"/>
    <n v="1742.7040000000013"/>
    <n v="2026.4000000000015"/>
    <n v="32958.32"/>
    <n v="28344.155200000001"/>
    <n v="32958.32"/>
    <n v="0"/>
    <n v="0"/>
    <d v="2025-06-11T00:00:00"/>
    <d v="2025-05-12T00:00:00"/>
    <x v="10"/>
    <x v="1"/>
  </r>
  <r>
    <n v="395"/>
    <s v="USD"/>
    <n v="0"/>
    <n v="0"/>
    <n v="0"/>
    <n v="15971.66"/>
    <n v="13735.6276"/>
    <n v="15971.66"/>
    <n v="0"/>
    <n v="0"/>
    <d v="2025-04-01T00:00:00"/>
    <d v="2025-03-02T00:00:00"/>
    <x v="9"/>
    <x v="1"/>
  </r>
  <r>
    <n v="396"/>
    <s v="USD"/>
    <n v="0"/>
    <n v="0"/>
    <n v="0"/>
    <n v="8265.9699999999993"/>
    <n v="7108.734199999999"/>
    <n v="8265.9699999999993"/>
    <n v="0"/>
    <n v="0"/>
    <d v="2025-07-21T00:00:00"/>
    <d v="2025-06-21T00:00:00"/>
    <x v="3"/>
    <x v="1"/>
  </r>
  <r>
    <n v="397"/>
    <s v="USD"/>
    <n v="39767.93"/>
    <n v="34200.419800000003"/>
    <n v="39767.93"/>
    <n v="39767.93"/>
    <n v="34200.419800000003"/>
    <n v="39767.93"/>
    <n v="0"/>
    <n v="0"/>
    <d v="2025-07-05T00:00:00"/>
    <d v="2025-06-05T00:00:00"/>
    <x v="3"/>
    <x v="1"/>
  </r>
  <r>
    <n v="398"/>
    <s v="EUR"/>
    <n v="0"/>
    <n v="0"/>
    <n v="0"/>
    <n v="12669.04"/>
    <n v="12669.04"/>
    <n v="14696.0864"/>
    <n v="0"/>
    <n v="0"/>
    <d v="2025-07-20T00:00:00"/>
    <d v="2025-06-20T00:00:00"/>
    <x v="3"/>
    <x v="1"/>
  </r>
  <r>
    <n v="399"/>
    <s v="USD"/>
    <n v="0"/>
    <n v="0"/>
    <n v="0"/>
    <n v="5235"/>
    <n v="4502.1000000000004"/>
    <n v="5235"/>
    <n v="0"/>
    <n v="0"/>
    <d v="2025-02-26T00:00:00"/>
    <d v="2025-01-27T00:00:00"/>
    <x v="8"/>
    <x v="1"/>
  </r>
  <r>
    <n v="400"/>
    <s v="USD"/>
    <n v="0"/>
    <n v="0"/>
    <n v="0"/>
    <n v="1740"/>
    <n v="1496.3999999999999"/>
    <n v="1740"/>
    <n v="0"/>
    <n v="0"/>
    <d v="2025-03-14T00:00:00"/>
    <d v="2025-02-12T00:00:00"/>
    <x v="5"/>
    <x v="1"/>
  </r>
  <r>
    <n v="401"/>
    <s v="USD"/>
    <n v="0"/>
    <n v="0"/>
    <n v="0"/>
    <n v="4326"/>
    <n v="3720.36"/>
    <n v="4326"/>
    <n v="0"/>
    <n v="0"/>
    <d v="2025-03-12T00:00:00"/>
    <d v="2025-02-10T00:00:00"/>
    <x v="5"/>
    <x v="1"/>
  </r>
  <r>
    <n v="402"/>
    <s v="MXN"/>
    <n v="0"/>
    <n v="0"/>
    <n v="0"/>
    <n v="46687"/>
    <n v="2240.9760000000001"/>
    <n v="2614.4720000000002"/>
    <n v="0"/>
    <n v="0"/>
    <d v="2025-06-26T00:00:00"/>
    <d v="2025-05-27T00:00:00"/>
    <x v="10"/>
    <x v="1"/>
  </r>
  <r>
    <n v="403"/>
    <s v="USD"/>
    <n v="7861.74"/>
    <n v="6761.0963999999994"/>
    <n v="7861.74"/>
    <n v="7861.74"/>
    <n v="6761.0963999999994"/>
    <n v="7861.74"/>
    <n v="0"/>
    <n v="0"/>
    <d v="2025-01-13T00:00:00"/>
    <d v="2024-12-14T00:00:00"/>
    <x v="7"/>
    <x v="0"/>
  </r>
  <r>
    <n v="404"/>
    <s v="MXN"/>
    <n v="8800"/>
    <n v="422.40000000000003"/>
    <n v="492.8"/>
    <n v="8800"/>
    <n v="422.40000000000003"/>
    <n v="492.8"/>
    <n v="0"/>
    <n v="0"/>
    <d v="2025-06-06T00:00:00"/>
    <d v="2025-05-07T00:00:00"/>
    <x v="10"/>
    <x v="1"/>
  </r>
  <r>
    <n v="405"/>
    <s v="MXN"/>
    <n v="10883"/>
    <n v="522.38400000000001"/>
    <n v="609.44799999999998"/>
    <n v="10883"/>
    <n v="522.38400000000001"/>
    <n v="609.44799999999998"/>
    <n v="0"/>
    <n v="0"/>
    <d v="2025-08-04T00:00:00"/>
    <d v="2025-07-05T00:00:00"/>
    <x v="11"/>
    <x v="1"/>
  </r>
  <r>
    <n v="406"/>
    <s v="USD"/>
    <n v="9631.27"/>
    <n v="8282.8922000000002"/>
    <n v="9631.27"/>
    <n v="29059.27"/>
    <n v="24990.9722"/>
    <n v="29059.27"/>
    <n v="0"/>
    <n v="0"/>
    <d v="2025-06-17T00:00:00"/>
    <d v="2025-05-18T00:00:00"/>
    <x v="10"/>
    <x v="1"/>
  </r>
  <r>
    <n v="407"/>
    <s v="USD"/>
    <n v="13249.42"/>
    <n v="11394.501200000001"/>
    <n v="13249.42"/>
    <n v="13249.42"/>
    <n v="11394.501200000001"/>
    <n v="13249.42"/>
    <n v="0"/>
    <n v="0"/>
    <d v="2025-06-06T00:00:00"/>
    <d v="2025-05-07T00:00:00"/>
    <x v="10"/>
    <x v="1"/>
  </r>
  <r>
    <n v="408"/>
    <s v="MXN"/>
    <n v="156700.79"/>
    <n v="7521.6379200000001"/>
    <n v="8775.24424"/>
    <n v="156704.26999999999"/>
    <n v="7521.8049599999995"/>
    <n v="8775.4391199999991"/>
    <n v="-3.4799999999813735"/>
    <n v="-0.19487999999895692"/>
    <d v="2025-08-04T00:00:00"/>
    <d v="2025-07-05T00:00:00"/>
    <x v="11"/>
    <x v="1"/>
  </r>
  <r>
    <n v="409"/>
    <s v="USD"/>
    <n v="414.88000000000011"/>
    <n v="356.79680000000008"/>
    <n v="414.88000000000011"/>
    <n v="6108.88"/>
    <n v="5253.6368000000002"/>
    <n v="6108.88"/>
    <n v="0"/>
    <n v="0"/>
    <d v="2025-07-16T00:00:00"/>
    <d v="2025-06-16T00:00:00"/>
    <x v="3"/>
    <x v="1"/>
  </r>
  <r>
    <n v="410"/>
    <s v="USD"/>
    <n v="22318.95"/>
    <n v="19194.296999999999"/>
    <n v="22318.95"/>
    <n v="22318.95"/>
    <n v="19194.296999999999"/>
    <n v="22318.95"/>
    <n v="0"/>
    <n v="0"/>
    <d v="2025-07-26T00:00:00"/>
    <d v="2025-06-26T00:00:00"/>
    <x v="3"/>
    <x v="1"/>
  </r>
  <r>
    <n v="412"/>
    <s v="USD"/>
    <n v="0"/>
    <n v="0"/>
    <n v="0"/>
    <n v="2286.5"/>
    <n v="1966.3899999999999"/>
    <n v="2286.5"/>
    <n v="0"/>
    <n v="0"/>
    <d v="2025-05-06T00:00:00"/>
    <d v="2025-04-06T00:00:00"/>
    <x v="4"/>
    <x v="1"/>
  </r>
  <r>
    <n v="413"/>
    <s v="MXN"/>
    <n v="20844"/>
    <n v="1000.5120000000001"/>
    <n v="1167.2640000000001"/>
    <n v="20844"/>
    <n v="1000.5120000000001"/>
    <n v="1167.2640000000001"/>
    <n v="0"/>
    <n v="0"/>
    <d v="2025-07-26T00:00:00"/>
    <d v="2025-06-26T00:00:00"/>
    <x v="3"/>
    <x v="1"/>
  </r>
  <r>
    <n v="414"/>
    <s v="USD"/>
    <n v="1743.1899999999996"/>
    <n v="1499.1433999999997"/>
    <n v="1743.1899999999996"/>
    <n v="9567.48"/>
    <n v="8228.032799999999"/>
    <n v="9567.48"/>
    <n v="0"/>
    <n v="0"/>
    <d v="2025-06-09T00:00:00"/>
    <d v="2025-05-10T00:00:00"/>
    <x v="10"/>
    <x v="1"/>
  </r>
  <r>
    <n v="416"/>
    <s v="MXN"/>
    <n v="141785.25999999995"/>
    <n v="6805.6924799999979"/>
    <n v="7939.9745599999978"/>
    <n v="472374.18"/>
    <n v="22673.960640000001"/>
    <n v="26452.95408"/>
    <n v="0"/>
    <n v="0"/>
    <d v="2025-08-10T00:00:00"/>
    <d v="2025-07-11T00:00:00"/>
    <x v="11"/>
    <x v="1"/>
  </r>
  <r>
    <n v="417"/>
    <s v="USD"/>
    <n v="7962.9"/>
    <n v="6848.0939999999991"/>
    <n v="7962.9"/>
    <n v="7962.9"/>
    <n v="6848.0939999999991"/>
    <n v="7962.9"/>
    <n v="0"/>
    <n v="0"/>
    <d v="2025-08-04T00:00:00"/>
    <d v="2025-07-05T00:00:00"/>
    <x v="11"/>
    <x v="1"/>
  </r>
  <r>
    <n v="418"/>
    <s v="JPY"/>
    <n v="19834659.010000002"/>
    <n v="109090.624555"/>
    <n v="126941.81766400002"/>
    <n v="19834659"/>
    <n v="109090.62449999999"/>
    <n v="126941.81760000001"/>
    <n v="1.0000001639127731E-2"/>
    <n v="6.4000010490417478E-5"/>
    <d v="2025-08-08T00:00:00"/>
    <d v="2025-07-09T00:00:00"/>
    <x v="11"/>
    <x v="1"/>
  </r>
  <r>
    <n v="419"/>
    <s v="USD"/>
    <n v="2994.0200000000004"/>
    <n v="2574.8572000000004"/>
    <n v="2994.0200000000004"/>
    <n v="8420.02"/>
    <n v="7241.2172"/>
    <n v="8420.02"/>
    <n v="0"/>
    <n v="0"/>
    <d v="2025-06-20T00:00:00"/>
    <d v="2025-05-21T00:00:00"/>
    <x v="10"/>
    <x v="1"/>
  </r>
  <r>
    <n v="420"/>
    <s v="USD"/>
    <n v="0"/>
    <n v="0"/>
    <n v="0"/>
    <n v="3600"/>
    <n v="3096"/>
    <n v="3600"/>
    <n v="0"/>
    <n v="0"/>
    <d v="2025-10-08T00:00:00"/>
    <d v="2025-09-08T00:00:00"/>
    <x v="0"/>
    <x v="1"/>
  </r>
  <r>
    <n v="421"/>
    <s v="USD"/>
    <n v="17177.490000000002"/>
    <n v="14772.6414"/>
    <n v="17177.490000000002"/>
    <n v="17177.490000000002"/>
    <n v="14772.6414"/>
    <n v="17177.490000000002"/>
    <n v="0"/>
    <n v="0"/>
    <d v="2025-07-23T00:00:00"/>
    <d v="2025-06-23T00:00:00"/>
    <x v="3"/>
    <x v="1"/>
  </r>
  <r>
    <n v="422"/>
    <s v="EUR"/>
    <n v="0"/>
    <n v="0"/>
    <n v="0"/>
    <n v="1788.96"/>
    <n v="1788.96"/>
    <n v="2075.1936000000001"/>
    <n v="0"/>
    <n v="0"/>
    <d v="2025-07-02T00:00:00"/>
    <d v="2025-06-02T00:00:00"/>
    <x v="3"/>
    <x v="1"/>
  </r>
  <r>
    <n v="423"/>
    <s v="USD"/>
    <n v="3657.6"/>
    <n v="3145.5360000000001"/>
    <n v="3657.6"/>
    <n v="3657.6"/>
    <n v="3145.5360000000001"/>
    <n v="3657.6"/>
    <n v="0"/>
    <n v="0"/>
    <d v="2025-07-09T00:00:00"/>
    <d v="2025-06-09T00:00:00"/>
    <x v="3"/>
    <x v="1"/>
  </r>
  <r>
    <n v="424"/>
    <s v="EUR"/>
    <n v="0"/>
    <n v="0"/>
    <n v="0"/>
    <n v="130395.5"/>
    <n v="130395.5"/>
    <n v="151258.78"/>
    <n v="0"/>
    <n v="0"/>
    <d v="2025-08-28T00:00:00"/>
    <d v="2025-07-29T00:00:00"/>
    <x v="11"/>
    <x v="1"/>
  </r>
  <r>
    <n v="425"/>
    <s v="USD"/>
    <n v="61349.78"/>
    <n v="52760.810799999999"/>
    <n v="61349.78"/>
    <n v="61349.78"/>
    <n v="52760.810799999999"/>
    <n v="61349.78"/>
    <n v="0"/>
    <n v="0"/>
    <d v="2025-10-13T00:00:00"/>
    <d v="2025-09-13T00:00:00"/>
    <x v="0"/>
    <x v="1"/>
  </r>
  <r>
    <n v="426"/>
    <s v="MXN"/>
    <n v="21429.46"/>
    <n v="1028.6140800000001"/>
    <n v="1200.0497599999999"/>
    <n v="21429.46"/>
    <n v="1028.6140800000001"/>
    <n v="1200.0497599999999"/>
    <n v="0"/>
    <n v="0"/>
    <d v="2025-06-20T00:00:00"/>
    <d v="2025-05-21T00:00:00"/>
    <x v="10"/>
    <x v="1"/>
  </r>
  <r>
    <n v="427"/>
    <s v="USD"/>
    <n v="-12686.16"/>
    <n v="-10910.097599999999"/>
    <n v="-12686.16"/>
    <n v="14625.36"/>
    <n v="12577.809600000001"/>
    <n v="14625.36"/>
    <n v="0"/>
    <n v="0"/>
    <d v="2025-01-10T00:00:00"/>
    <d v="2024-12-11T00:00:00"/>
    <x v="7"/>
    <x v="0"/>
  </r>
  <r>
    <n v="428"/>
    <s v="EUR"/>
    <n v="8148.03"/>
    <n v="8148.03"/>
    <n v="9451.7147999999997"/>
    <n v="8785.9699999999993"/>
    <n v="8785.9699999999993"/>
    <n v="10191.725199999999"/>
    <n v="2.0000000000436557E-2"/>
    <n v="2.3200000000506406E-2"/>
    <d v="2025-09-28T00:00:00"/>
    <d v="2025-08-29T00:00:00"/>
    <x v="6"/>
    <x v="1"/>
  </r>
  <r>
    <n v="429"/>
    <s v="USD"/>
    <n v="0"/>
    <n v="0"/>
    <n v="0"/>
    <n v="18950.68"/>
    <n v="16297.584800000001"/>
    <n v="18950.68"/>
    <n v="0"/>
    <n v="0"/>
    <d v="2025-07-17T00:00:00"/>
    <d v="2025-06-17T00:00:00"/>
    <x v="3"/>
    <x v="1"/>
  </r>
  <r>
    <n v="430"/>
    <s v="USD"/>
    <n v="37597"/>
    <n v="32333.42"/>
    <n v="37597"/>
    <n v="37597"/>
    <n v="32333.42"/>
    <n v="37597"/>
    <n v="0"/>
    <n v="0"/>
    <d v="2025-08-06T00:00:00"/>
    <d v="2025-07-07T00:00:00"/>
    <x v="11"/>
    <x v="1"/>
  </r>
  <r>
    <n v="431"/>
    <s v="USD"/>
    <n v="6650.17"/>
    <n v="5719.1462000000001"/>
    <n v="6650.17"/>
    <n v="22975.73"/>
    <n v="19759.127799999998"/>
    <n v="22975.73"/>
    <n v="0"/>
    <n v="0"/>
    <d v="2025-09-03T00:00:00"/>
    <d v="2025-08-04T00:00:00"/>
    <x v="6"/>
    <x v="1"/>
  </r>
  <r>
    <n v="432"/>
    <s v="USD"/>
    <n v="26749.24"/>
    <n v="23004.346400000002"/>
    <n v="26749.24"/>
    <n v="26749.24"/>
    <n v="23004.346400000002"/>
    <n v="26749.24"/>
    <n v="0"/>
    <n v="0"/>
    <d v="2025-07-09T00:00:00"/>
    <d v="2025-06-09T00:00:00"/>
    <x v="3"/>
    <x v="1"/>
  </r>
  <r>
    <n v="433"/>
    <s v="EUR"/>
    <n v="981.54000000000087"/>
    <n v="981.54000000000087"/>
    <n v="1138.5864000000008"/>
    <n v="11808.54"/>
    <n v="11808.54"/>
    <n v="13697.9064"/>
    <n v="0"/>
    <n v="0"/>
    <d v="2025-07-10T00:00:00"/>
    <d v="2025-06-10T00:00:00"/>
    <x v="3"/>
    <x v="1"/>
  </r>
  <r>
    <n v="434"/>
    <s v="GPB"/>
    <n v="0"/>
    <n v="0"/>
    <n v="0"/>
    <n v="1445"/>
    <n v="1661.7499999999998"/>
    <n v="1936.3000000000002"/>
    <n v="0"/>
    <n v="0"/>
    <d v="2025-06-18T00:00:00"/>
    <d v="2025-05-19T00:00:00"/>
    <x v="10"/>
    <x v="1"/>
  </r>
  <r>
    <n v="435"/>
    <s v="USD"/>
    <n v="16837.999999999993"/>
    <n v="14480.679999999993"/>
    <n v="16837.999999999993"/>
    <n v="64828.52"/>
    <n v="55752.527199999997"/>
    <n v="64828.52"/>
    <n v="0"/>
    <n v="0"/>
    <d v="2025-07-10T00:00:00"/>
    <d v="2025-06-10T00:00:00"/>
    <x v="3"/>
    <x v="1"/>
  </r>
  <r>
    <n v="436"/>
    <s v="MXN"/>
    <n v="0"/>
    <n v="0"/>
    <n v="0"/>
    <n v="254334"/>
    <n v="12208.032000000001"/>
    <n v="14242.704"/>
    <n v="0"/>
    <n v="0"/>
    <d v="2025-08-06T00:00:00"/>
    <d v="2025-07-07T00:00:00"/>
    <x v="11"/>
    <x v="1"/>
  </r>
  <r>
    <n v="437"/>
    <s v="EUR"/>
    <n v="34971.1"/>
    <n v="34971.1"/>
    <n v="40566.475999999995"/>
    <n v="35108.61"/>
    <n v="35108.61"/>
    <n v="40725.9876"/>
    <n v="-2.0463630789890885E-12"/>
    <n v="-2.3737811716273426E-12"/>
    <d v="2025-08-07T00:00:00"/>
    <d v="2025-07-08T00:00:00"/>
    <x v="11"/>
    <x v="1"/>
  </r>
  <r>
    <n v="438"/>
    <s v="USD"/>
    <n v="12177.42"/>
    <n v="10472.581200000001"/>
    <n v="12177.42"/>
    <n v="12177.42"/>
    <n v="10472.581200000001"/>
    <n v="12177.42"/>
    <n v="0"/>
    <n v="0"/>
    <d v="2025-07-07T00:00:00"/>
    <d v="2025-06-07T00:00:00"/>
    <x v="3"/>
    <x v="1"/>
  </r>
  <r>
    <n v="439"/>
    <s v="USD"/>
    <n v="8130.05"/>
    <n v="6991.8429999999998"/>
    <n v="8130.05"/>
    <n v="8130.05"/>
    <n v="6991.8429999999998"/>
    <n v="8130.05"/>
    <n v="0"/>
    <n v="0"/>
    <d v="2025-09-08T00:00:00"/>
    <d v="2025-08-09T00:00:00"/>
    <x v="6"/>
    <x v="1"/>
  </r>
  <r>
    <n v="440"/>
    <s v="MXN"/>
    <n v="1820126.45"/>
    <n v="87366.069600000003"/>
    <n v="101927.0812"/>
    <n v="1957799.45"/>
    <n v="93974.373600000006"/>
    <n v="109636.7692"/>
    <n v="0"/>
    <n v="0"/>
    <d v="2025-10-21T00:00:00"/>
    <d v="2025-09-21T00:00:00"/>
    <x v="0"/>
    <x v="1"/>
  </r>
  <r>
    <n v="441"/>
    <s v="USD"/>
    <n v="2119.0700000000002"/>
    <n v="1822.4002"/>
    <n v="2119.0700000000002"/>
    <n v="2119.0700000000002"/>
    <n v="1822.4002"/>
    <n v="2119.0700000000002"/>
    <n v="0"/>
    <n v="0"/>
    <d v="2025-06-20T00:00:00"/>
    <d v="2025-05-21T00:00:00"/>
    <x v="10"/>
    <x v="1"/>
  </r>
  <r>
    <n v="442"/>
    <s v="EUR"/>
    <n v="590"/>
    <n v="590"/>
    <n v="684.4"/>
    <n v="590"/>
    <n v="590"/>
    <n v="684.4"/>
    <n v="0"/>
    <n v="0"/>
    <d v="2025-06-30T00:00:00"/>
    <d v="2025-05-31T00:00:00"/>
    <x v="10"/>
    <x v="1"/>
  </r>
  <r>
    <n v="443"/>
    <s v="MXN"/>
    <n v="0"/>
    <n v="0"/>
    <n v="0"/>
    <n v="38982"/>
    <n v="1871.136"/>
    <n v="2182.9920000000002"/>
    <n v="0"/>
    <n v="0"/>
    <d v="2025-06-23T00:00:00"/>
    <d v="2025-05-24T00:00:00"/>
    <x v="10"/>
    <x v="1"/>
  </r>
  <r>
    <n v="444"/>
    <s v="MXN"/>
    <n v="113199"/>
    <n v="5433.5519999999997"/>
    <n v="6339.1440000000002"/>
    <n v="113199"/>
    <n v="5433.5519999999997"/>
    <n v="6339.1440000000002"/>
    <n v="0"/>
    <n v="0"/>
    <d v="2025-07-02T00:00:00"/>
    <d v="2025-06-02T00:00:00"/>
    <x v="3"/>
    <x v="1"/>
  </r>
  <r>
    <n v="445"/>
    <s v="USD"/>
    <n v="147353.06"/>
    <n v="126723.63159999999"/>
    <n v="147353.06"/>
    <n v="53325.36"/>
    <n v="45859.809600000001"/>
    <n v="53325.36"/>
    <n v="110978"/>
    <n v="110978"/>
    <d v="2025-10-26T00:00:00"/>
    <d v="2025-09-26T00:00:00"/>
    <x v="0"/>
    <x v="1"/>
  </r>
  <r>
    <n v="446"/>
    <s v="USD"/>
    <n v="0"/>
    <n v="0"/>
    <n v="0"/>
    <n v="20159.509999999998"/>
    <n v="17337.178599999999"/>
    <n v="20159.509999999998"/>
    <n v="0"/>
    <n v="0"/>
    <d v="2025-05-13T00:00:00"/>
    <d v="2025-04-13T00:00:00"/>
    <x v="4"/>
    <x v="1"/>
  </r>
  <r>
    <n v="447"/>
    <s v="USD"/>
    <n v="5844.3600000000006"/>
    <n v="5026.1496000000006"/>
    <n v="5844.3600000000006"/>
    <n v="11088.36"/>
    <n v="9535.9896000000008"/>
    <n v="11088.36"/>
    <n v="0"/>
    <n v="0"/>
    <s v="0000-00-00"/>
    <e v="#VALUE!"/>
    <x v="12"/>
    <x v="3"/>
  </r>
  <r>
    <n v="448"/>
    <s v="USD"/>
    <n v="2350.5500000000029"/>
    <n v="2021.4730000000025"/>
    <n v="2350.5500000000029"/>
    <n v="57217.8"/>
    <n v="49207.308000000005"/>
    <n v="57217.8"/>
    <n v="0"/>
    <n v="0"/>
    <d v="2025-07-06T00:00:00"/>
    <d v="2025-06-06T00:00:00"/>
    <x v="3"/>
    <x v="1"/>
  </r>
  <r>
    <n v="449"/>
    <s v="USD"/>
    <n v="150164"/>
    <n v="129141.04"/>
    <n v="150164"/>
    <n v="150164"/>
    <n v="129141.04"/>
    <n v="150164"/>
    <n v="0"/>
    <n v="0"/>
    <d v="2025-11-12T00:00:00"/>
    <d v="2025-10-13T00:00:00"/>
    <x v="2"/>
    <x v="1"/>
  </r>
  <r>
    <n v="451"/>
    <s v="USD"/>
    <n v="1465.04"/>
    <n v="1259.9343999999999"/>
    <n v="1465.04"/>
    <n v="1465.04"/>
    <n v="1259.9343999999999"/>
    <n v="1465.04"/>
    <n v="0"/>
    <n v="0"/>
    <d v="2025-07-13T00:00:00"/>
    <d v="2025-06-13T00:00:00"/>
    <x v="3"/>
    <x v="1"/>
  </r>
  <r>
    <n v="452"/>
    <s v="USD"/>
    <n v="54896.639999999999"/>
    <n v="47211.110399999998"/>
    <n v="54896.639999999999"/>
    <n v="54896.639999999999"/>
    <n v="47211.110399999998"/>
    <n v="54896.639999999999"/>
    <n v="0"/>
    <n v="0"/>
    <d v="2025-12-18T00:00:00"/>
    <d v="2025-11-18T00:00:00"/>
    <x v="1"/>
    <x v="1"/>
  </r>
  <r>
    <n v="453"/>
    <s v="USD"/>
    <n v="62150"/>
    <n v="53449"/>
    <n v="62150"/>
    <n v="62150"/>
    <n v="53449"/>
    <n v="62150"/>
    <n v="0"/>
    <n v="0"/>
    <d v="2025-12-22T00:00:00"/>
    <d v="2025-11-22T00:00:00"/>
    <x v="1"/>
    <x v="1"/>
  </r>
  <r>
    <n v="454"/>
    <s v="USD"/>
    <n v="6243.3700000000026"/>
    <n v="5369.298200000002"/>
    <n v="6243.3700000000026"/>
    <n v="42453.37"/>
    <n v="36509.898200000003"/>
    <n v="42453.37"/>
    <n v="0"/>
    <n v="0"/>
    <d v="2025-08-02T00:00:00"/>
    <d v="2025-07-03T00:00:00"/>
    <x v="11"/>
    <x v="1"/>
  </r>
  <r>
    <n v="455"/>
    <s v="USD"/>
    <n v="10840"/>
    <n v="9322.4"/>
    <n v="10840"/>
    <n v="12505"/>
    <n v="10754.3"/>
    <n v="12505"/>
    <n v="0"/>
    <n v="0"/>
    <d v="2026-04-25T00:00:00"/>
    <d v="2026-03-26T00:00:00"/>
    <x v="9"/>
    <x v="2"/>
  </r>
  <r>
    <n v="456"/>
    <s v="USD"/>
    <n v="0"/>
    <n v="0"/>
    <n v="0"/>
    <n v="1205"/>
    <n v="1036.3"/>
    <n v="1205"/>
    <n v="0"/>
    <n v="0"/>
    <d v="2025-03-05T00:00:00"/>
    <d v="2025-02-03T00:00:00"/>
    <x v="5"/>
    <x v="1"/>
  </r>
  <r>
    <n v="457"/>
    <s v="USD"/>
    <n v="0"/>
    <n v="0"/>
    <n v="0"/>
    <n v="780"/>
    <n v="670.8"/>
    <n v="780"/>
    <n v="0"/>
    <n v="0"/>
    <d v="2025-04-07T00:00:00"/>
    <d v="2025-03-08T00:00:00"/>
    <x v="9"/>
    <x v="1"/>
  </r>
  <r>
    <n v="458"/>
    <s v="USD"/>
    <n v="0"/>
    <n v="0"/>
    <n v="0"/>
    <n v="1465"/>
    <n v="1259.9000000000001"/>
    <n v="1465"/>
    <n v="0"/>
    <n v="0"/>
    <d v="2025-05-18T00:00:00"/>
    <d v="2025-04-18T00:00:00"/>
    <x v="4"/>
    <x v="1"/>
  </r>
  <r>
    <n v="459"/>
    <s v="USD"/>
    <n v="0"/>
    <n v="0"/>
    <n v="0"/>
    <n v="305"/>
    <n v="262.3"/>
    <n v="305"/>
    <n v="0"/>
    <n v="0"/>
    <d v="2025-05-27T00:00:00"/>
    <d v="2025-04-27T00:00:00"/>
    <x v="4"/>
    <x v="1"/>
  </r>
  <r>
    <n v="460"/>
    <s v="USD"/>
    <n v="0"/>
    <n v="0"/>
    <n v="0"/>
    <n v="2832"/>
    <n v="2435.52"/>
    <n v="2832"/>
    <n v="0"/>
    <n v="0"/>
    <d v="2025-07-02T00:00:00"/>
    <d v="2025-06-02T00:00:00"/>
    <x v="3"/>
    <x v="1"/>
  </r>
  <r>
    <n v="461"/>
    <s v="MXN"/>
    <n v="0"/>
    <n v="0"/>
    <n v="0"/>
    <n v="10222"/>
    <n v="490.65600000000001"/>
    <n v="572.43200000000002"/>
    <n v="0"/>
    <n v="0"/>
    <d v="2025-07-24T00:00:00"/>
    <d v="2025-06-24T00:00:00"/>
    <x v="3"/>
    <x v="1"/>
  </r>
  <r>
    <n v="462"/>
    <s v="USD"/>
    <n v="17476.89"/>
    <n v="15030.125399999999"/>
    <n v="17476.89"/>
    <n v="28262.89"/>
    <n v="24306.0854"/>
    <n v="28262.89"/>
    <n v="0"/>
    <n v="0"/>
    <d v="2025-09-02T00:00:00"/>
    <d v="2025-08-03T00:00:00"/>
    <x v="6"/>
    <x v="1"/>
  </r>
  <r>
    <n v="463"/>
    <s v="MXN"/>
    <n v="0"/>
    <n v="0"/>
    <n v="0"/>
    <n v="34866"/>
    <n v="1673.568"/>
    <n v="1952.4960000000001"/>
    <n v="0"/>
    <n v="0"/>
    <d v="2025-07-09T00:00:00"/>
    <d v="2025-06-09T00:00:00"/>
    <x v="3"/>
    <x v="1"/>
  </r>
  <r>
    <n v="464"/>
    <s v="USD"/>
    <n v="0"/>
    <n v="0"/>
    <n v="0"/>
    <n v="2267.5"/>
    <n v="1950.05"/>
    <n v="2267.5"/>
    <n v="0"/>
    <n v="0"/>
    <d v="2025-06-30T00:00:00"/>
    <d v="2025-05-31T00:00:00"/>
    <x v="10"/>
    <x v="1"/>
  </r>
  <r>
    <n v="465"/>
    <s v="EUR"/>
    <n v="0"/>
    <n v="0"/>
    <n v="0"/>
    <n v="9065"/>
    <n v="9065"/>
    <n v="10515.4"/>
    <n v="0"/>
    <n v="0"/>
    <d v="2025-07-31T00:00:00"/>
    <d v="2025-07-01T00:00:00"/>
    <x v="11"/>
    <x v="1"/>
  </r>
  <r>
    <n v="466"/>
    <s v="USD"/>
    <n v="5973.85"/>
    <n v="5137.5110000000004"/>
    <n v="5973.85"/>
    <n v="5973.85"/>
    <n v="5137.5110000000004"/>
    <n v="5973.85"/>
    <n v="0"/>
    <n v="0"/>
    <d v="2025-10-20T00:00:00"/>
    <d v="2025-09-20T00:00:00"/>
    <x v="0"/>
    <x v="1"/>
  </r>
  <r>
    <n v="467"/>
    <s v="MXN"/>
    <n v="0"/>
    <n v="0"/>
    <n v="0"/>
    <n v="80360.45"/>
    <n v="3857.3015999999998"/>
    <n v="4500.1851999999999"/>
    <n v="0"/>
    <n v="0"/>
    <d v="2025-05-28T00:00:00"/>
    <d v="2025-04-28T00:00:00"/>
    <x v="4"/>
    <x v="1"/>
  </r>
  <r>
    <n v="468"/>
    <s v="USD"/>
    <n v="0"/>
    <n v="0"/>
    <n v="0"/>
    <n v="31263.040000000001"/>
    <n v="26886.214400000001"/>
    <n v="31263.040000000001"/>
    <n v="0"/>
    <n v="0"/>
    <d v="2025-10-15T00:00:00"/>
    <d v="2025-09-15T00:00:00"/>
    <x v="0"/>
    <x v="1"/>
  </r>
  <r>
    <n v="469"/>
    <s v="USD"/>
    <n v="0"/>
    <n v="0"/>
    <n v="0"/>
    <n v="670.22"/>
    <n v="576.38919999999996"/>
    <n v="670.22"/>
    <n v="0"/>
    <n v="0"/>
    <d v="2025-04-19T00:00:00"/>
    <d v="2025-03-20T00:00:00"/>
    <x v="9"/>
    <x v="1"/>
  </r>
  <r>
    <n v="470"/>
    <s v="USD"/>
    <n v="9343.93"/>
    <n v="8035.7798000000003"/>
    <n v="9343.93"/>
    <n v="14990.25"/>
    <n v="12891.615"/>
    <n v="14990.25"/>
    <n v="0"/>
    <n v="0"/>
    <d v="2025-07-09T00:00:00"/>
    <d v="2025-06-09T00:00:00"/>
    <x v="3"/>
    <x v="1"/>
  </r>
  <r>
    <n v="471"/>
    <s v="USD"/>
    <n v="0"/>
    <n v="0"/>
    <n v="0"/>
    <n v="62621"/>
    <n v="53854.06"/>
    <n v="62621"/>
    <n v="0"/>
    <n v="0"/>
    <d v="2025-04-20T00:00:00"/>
    <d v="2025-03-21T00:00:00"/>
    <x v="9"/>
    <x v="1"/>
  </r>
  <r>
    <n v="472"/>
    <s v="USD"/>
    <n v="0"/>
    <n v="0"/>
    <n v="0"/>
    <n v="5320.72"/>
    <n v="4575.8191999999999"/>
    <n v="5320.72"/>
    <n v="0"/>
    <n v="0"/>
    <d v="2025-02-24T00:00:00"/>
    <d v="2025-01-25T00:00:00"/>
    <x v="8"/>
    <x v="1"/>
  </r>
  <r>
    <n v="473"/>
    <s v="EUR"/>
    <n v="0"/>
    <n v="0"/>
    <n v="0"/>
    <n v="570"/>
    <n v="570"/>
    <n v="661.19999999999993"/>
    <n v="0"/>
    <n v="0"/>
    <d v="2025-07-01T00:00:00"/>
    <d v="2025-06-01T00:00:00"/>
    <x v="3"/>
    <x v="1"/>
  </r>
  <r>
    <n v="474"/>
    <s v="USD"/>
    <n v="0"/>
    <n v="0"/>
    <n v="0"/>
    <n v="5334.66"/>
    <n v="4587.8076000000001"/>
    <n v="5334.66"/>
    <n v="0"/>
    <n v="0"/>
    <d v="2025-08-27T00:00:00"/>
    <d v="2025-07-28T00:00:00"/>
    <x v="11"/>
    <x v="1"/>
  </r>
  <r>
    <n v="477"/>
    <s v="EUR"/>
    <n v="627"/>
    <n v="627"/>
    <n v="727.31999999999994"/>
    <n v="627"/>
    <n v="627"/>
    <n v="727.31999999999994"/>
    <n v="0"/>
    <n v="0"/>
    <d v="2025-07-16T00:00:00"/>
    <d v="2025-06-16T00:00:00"/>
    <x v="3"/>
    <x v="1"/>
  </r>
  <r>
    <n v="478"/>
    <s v="USD"/>
    <n v="0"/>
    <n v="0"/>
    <n v="0"/>
    <n v="8311"/>
    <n v="7147.46"/>
    <n v="8311"/>
    <n v="0"/>
    <n v="0"/>
    <d v="2025-07-13T00:00:00"/>
    <d v="2025-06-13T00:00:00"/>
    <x v="3"/>
    <x v="1"/>
  </r>
  <r>
    <n v="479"/>
    <s v="USD"/>
    <n v="0"/>
    <n v="0"/>
    <n v="0"/>
    <n v="3878"/>
    <n v="3335.08"/>
    <n v="3878"/>
    <n v="0"/>
    <n v="0"/>
    <d v="2025-07-17T00:00:00"/>
    <d v="2025-06-17T00:00:00"/>
    <x v="3"/>
    <x v="1"/>
  </r>
  <r>
    <n v="480"/>
    <s v="USD"/>
    <n v="0"/>
    <n v="0"/>
    <n v="0"/>
    <n v="4998"/>
    <n v="4298.28"/>
    <n v="4998"/>
    <n v="0"/>
    <n v="0"/>
    <d v="2025-07-25T00:00:00"/>
    <d v="2025-06-25T00:00:00"/>
    <x v="3"/>
    <x v="1"/>
  </r>
  <r>
    <n v="481"/>
    <s v="USD"/>
    <n v="5052.76"/>
    <n v="4345.3735999999999"/>
    <n v="5052.76"/>
    <n v="5052.76"/>
    <n v="4345.3735999999999"/>
    <n v="5052.76"/>
    <n v="0"/>
    <n v="0"/>
    <d v="2025-07-22T00:00:00"/>
    <d v="2025-06-22T00:00:00"/>
    <x v="3"/>
    <x v="1"/>
  </r>
  <r>
    <n v="482"/>
    <s v="EUR"/>
    <n v="0"/>
    <n v="0"/>
    <n v="0"/>
    <n v="13118.4"/>
    <n v="13118.4"/>
    <n v="15217.343999999999"/>
    <n v="0"/>
    <n v="0"/>
    <d v="2025-07-05T00:00:00"/>
    <d v="2025-06-05T00:00:00"/>
    <x v="3"/>
    <x v="1"/>
  </r>
  <r>
    <n v="483"/>
    <s v="GPB"/>
    <n v="0"/>
    <n v="0"/>
    <n v="0"/>
    <n v="11170"/>
    <n v="12845.499999999998"/>
    <n v="14967.800000000001"/>
    <n v="0"/>
    <n v="0"/>
    <d v="2025-07-07T00:00:00"/>
    <d v="2025-06-07T00:00:00"/>
    <x v="3"/>
    <x v="1"/>
  </r>
  <r>
    <n v="484"/>
    <s v="USD"/>
    <n v="0"/>
    <n v="0"/>
    <n v="0"/>
    <n v="6901.05"/>
    <n v="5934.9030000000002"/>
    <n v="6901.05"/>
    <n v="0"/>
    <n v="0"/>
    <d v="2025-06-17T00:00:00"/>
    <d v="2025-05-18T00:00:00"/>
    <x v="10"/>
    <x v="1"/>
  </r>
  <r>
    <n v="485"/>
    <s v="USD"/>
    <n v="11582"/>
    <n v="9960.52"/>
    <n v="11582"/>
    <n v="11582"/>
    <n v="9960.52"/>
    <n v="11582"/>
    <n v="0"/>
    <n v="0"/>
    <d v="2025-08-05T00:00:00"/>
    <d v="2025-07-06T00:00:00"/>
    <x v="11"/>
    <x v="1"/>
  </r>
  <r>
    <n v="486"/>
    <s v="EUR"/>
    <n v="5648.4000000000015"/>
    <n v="5648.4000000000015"/>
    <n v="6552.1440000000011"/>
    <n v="31963"/>
    <n v="31963"/>
    <n v="37077.079999999994"/>
    <n v="433.40000000000146"/>
    <n v="502.74400000000168"/>
    <d v="2025-07-23T00:00:00"/>
    <d v="2025-06-23T00:00:00"/>
    <x v="3"/>
    <x v="1"/>
  </r>
  <r>
    <n v="487"/>
    <s v="USD"/>
    <n v="4639.5300000000007"/>
    <n v="3989.9958000000006"/>
    <n v="4639.5300000000007"/>
    <n v="8990.5300000000007"/>
    <n v="7731.8558000000003"/>
    <n v="8990.5300000000007"/>
    <n v="0"/>
    <n v="0"/>
    <d v="2025-07-07T00:00:00"/>
    <d v="2025-06-07T00:00:00"/>
    <x v="3"/>
    <x v="1"/>
  </r>
  <r>
    <n v="488"/>
    <s v="EUR"/>
    <n v="61079.7"/>
    <n v="61079.7"/>
    <n v="70852.45199999999"/>
    <n v="55730"/>
    <n v="55730"/>
    <n v="64646.799999999996"/>
    <n v="5349.6999999999971"/>
    <n v="6205.6519999999964"/>
    <d v="2025-12-21T00:00:00"/>
    <d v="2025-11-21T00:00:00"/>
    <x v="1"/>
    <x v="1"/>
  </r>
  <r>
    <n v="489"/>
    <s v="USD"/>
    <n v="13189.310000000005"/>
    <n v="11342.806600000004"/>
    <n v="13189.310000000005"/>
    <n v="73122.97"/>
    <n v="62885.754200000003"/>
    <n v="73122.97"/>
    <n v="0"/>
    <n v="0"/>
    <d v="2025-09-01T00:00:00"/>
    <d v="2025-08-02T00:00:00"/>
    <x v="6"/>
    <x v="1"/>
  </r>
  <r>
    <n v="490"/>
    <s v="USD"/>
    <n v="0"/>
    <n v="0"/>
    <n v="0"/>
    <n v="2648"/>
    <n v="2277.2799999999997"/>
    <n v="2648"/>
    <n v="0"/>
    <n v="0"/>
    <d v="2025-07-27T00:00:00"/>
    <d v="2025-06-27T00:00:00"/>
    <x v="3"/>
    <x v="1"/>
  </r>
  <r>
    <n v="491"/>
    <s v="USD"/>
    <n v="0"/>
    <n v="0"/>
    <n v="0"/>
    <n v="5691"/>
    <n v="4894.26"/>
    <n v="5691"/>
    <n v="0"/>
    <n v="0"/>
    <d v="2025-07-29T00:00:00"/>
    <d v="2025-06-29T00:00:00"/>
    <x v="3"/>
    <x v="1"/>
  </r>
  <r>
    <n v="492"/>
    <s v="MXN"/>
    <n v="0"/>
    <n v="0"/>
    <n v="0"/>
    <n v="84307"/>
    <n v="4046.7359999999999"/>
    <n v="4721.192"/>
    <n v="0"/>
    <n v="0"/>
    <d v="2025-07-10T00:00:00"/>
    <d v="2025-06-10T00:00:00"/>
    <x v="3"/>
    <x v="1"/>
  </r>
  <r>
    <n v="493"/>
    <s v="USD"/>
    <n v="610.15"/>
    <n v="524.72899999999993"/>
    <n v="610.15"/>
    <n v="610.15"/>
    <n v="524.72899999999993"/>
    <n v="610.15"/>
    <n v="0"/>
    <n v="0"/>
    <d v="2025-07-12T00:00:00"/>
    <d v="2025-06-12T00:00:00"/>
    <x v="3"/>
    <x v="1"/>
  </r>
  <r>
    <n v="494"/>
    <s v="USD"/>
    <n v="22910"/>
    <n v="19702.599999999999"/>
    <n v="22910"/>
    <n v="22910"/>
    <n v="19702.599999999999"/>
    <n v="22910"/>
    <n v="0"/>
    <n v="0"/>
    <d v="2025-10-05T00:00:00"/>
    <d v="2025-09-05T00:00:00"/>
    <x v="0"/>
    <x v="1"/>
  </r>
  <r>
    <n v="495"/>
    <s v="USD"/>
    <n v="65174.07"/>
    <n v="56049.700199999999"/>
    <n v="65174.07"/>
    <n v="65174.07"/>
    <n v="56049.700199999999"/>
    <n v="65174.07"/>
    <n v="0"/>
    <n v="0"/>
    <d v="2025-12-25T00:00:00"/>
    <d v="2025-11-25T00:00:00"/>
    <x v="1"/>
    <x v="1"/>
  </r>
  <r>
    <n v="496"/>
    <s v="USD"/>
    <n v="4223.6400000000012"/>
    <n v="3632.3304000000012"/>
    <n v="4223.6400000000012"/>
    <n v="11171.37"/>
    <n v="9607.378200000001"/>
    <n v="11171.37"/>
    <n v="0"/>
    <n v="0"/>
    <d v="2025-07-26T00:00:00"/>
    <d v="2025-06-26T00:00:00"/>
    <x v="3"/>
    <x v="1"/>
  </r>
  <r>
    <n v="497"/>
    <s v="MXN"/>
    <n v="0"/>
    <n v="0"/>
    <n v="0"/>
    <n v="4438"/>
    <n v="213.024"/>
    <n v="248.52799999999999"/>
    <n v="0"/>
    <n v="0"/>
    <d v="2025-07-12T00:00:00"/>
    <d v="2025-06-12T00:00:00"/>
    <x v="3"/>
    <x v="1"/>
  </r>
  <r>
    <n v="498"/>
    <s v="GPB"/>
    <n v="0"/>
    <n v="0"/>
    <n v="0"/>
    <n v="25884.35"/>
    <n v="29767.002499999995"/>
    <n v="34685.029000000002"/>
    <n v="0"/>
    <n v="0"/>
    <d v="2025-07-12T00:00:00"/>
    <d v="2025-06-12T00:00:00"/>
    <x v="3"/>
    <x v="1"/>
  </r>
  <r>
    <n v="499"/>
    <s v="USD"/>
    <n v="0"/>
    <n v="0"/>
    <n v="0"/>
    <n v="19682.599999999999"/>
    <n v="16927.036"/>
    <n v="19682.599999999999"/>
    <n v="0"/>
    <n v="0"/>
    <d v="2025-04-06T00:00:00"/>
    <d v="2025-03-07T00:00:00"/>
    <x v="9"/>
    <x v="1"/>
  </r>
  <r>
    <n v="500"/>
    <s v="EUR"/>
    <n v="0"/>
    <n v="0"/>
    <n v="0"/>
    <n v="11054.87"/>
    <n v="11054.87"/>
    <n v="12823.6492"/>
    <n v="0"/>
    <n v="0"/>
    <d v="2025-10-07T00:00:00"/>
    <d v="2025-09-07T00:00:00"/>
    <x v="0"/>
    <x v="1"/>
  </r>
  <r>
    <n v="501"/>
    <s v="USD"/>
    <n v="0"/>
    <n v="0"/>
    <n v="0"/>
    <n v="11490"/>
    <n v="9881.4"/>
    <n v="11490"/>
    <n v="0"/>
    <n v="0"/>
    <d v="2026-03-30T00:00:00"/>
    <d v="2026-02-28T00:00:00"/>
    <x v="5"/>
    <x v="2"/>
  </r>
  <r>
    <n v="502"/>
    <s v="USD"/>
    <n v="14346.47"/>
    <n v="12337.964199999999"/>
    <n v="14346.47"/>
    <n v="14346.47"/>
    <n v="12337.964199999999"/>
    <n v="14346.47"/>
    <n v="0"/>
    <n v="0"/>
    <d v="2025-10-26T00:00:00"/>
    <d v="2025-09-26T00:00:00"/>
    <x v="0"/>
    <x v="1"/>
  </r>
  <r>
    <n v="503"/>
    <s v="USD"/>
    <n v="71356.350000000006"/>
    <n v="61366.461000000003"/>
    <n v="71356.350000000006"/>
    <n v="71356.350000000006"/>
    <n v="61366.461000000003"/>
    <n v="71356.350000000006"/>
    <n v="0"/>
    <n v="0"/>
    <d v="2025-04-09T00:00:00"/>
    <d v="2025-03-10T00:00:00"/>
    <x v="9"/>
    <x v="1"/>
  </r>
  <r>
    <n v="504"/>
    <s v="USD"/>
    <n v="17881.439999999999"/>
    <n v="15378.038399999999"/>
    <n v="17881.439999999999"/>
    <n v="17881.439999999999"/>
    <n v="15378.038399999999"/>
    <n v="17881.439999999999"/>
    <n v="0"/>
    <n v="0"/>
    <d v="2026-01-04T00:00:00"/>
    <d v="2025-12-05T00:00:00"/>
    <x v="7"/>
    <x v="1"/>
  </r>
  <r>
    <n v="505"/>
    <s v="EUR"/>
    <n v="0"/>
    <n v="0"/>
    <n v="0"/>
    <n v="8631.9599999999991"/>
    <n v="8631.9599999999991"/>
    <n v="10013.073599999998"/>
    <n v="0"/>
    <n v="0"/>
    <d v="2025-07-14T00:00:00"/>
    <d v="2025-06-14T00:00:00"/>
    <x v="3"/>
    <x v="1"/>
  </r>
  <r>
    <n v="506"/>
    <s v="USD"/>
    <n v="16602.57"/>
    <n v="14278.2102"/>
    <n v="16602.57"/>
    <n v="23076.67"/>
    <n v="19845.936199999996"/>
    <n v="23076.67"/>
    <n v="0"/>
    <n v="0"/>
    <d v="2025-07-03T00:00:00"/>
    <d v="2025-06-03T00:00:00"/>
    <x v="3"/>
    <x v="1"/>
  </r>
  <r>
    <n v="507"/>
    <s v="USD"/>
    <n v="0"/>
    <n v="0"/>
    <n v="0"/>
    <n v="10798.04"/>
    <n v="9286.3144000000011"/>
    <n v="10798.04"/>
    <n v="0"/>
    <n v="0"/>
    <d v="2025-06-13T00:00:00"/>
    <d v="2025-05-14T00:00:00"/>
    <x v="10"/>
    <x v="1"/>
  </r>
  <r>
    <n v="508"/>
    <s v="GPB"/>
    <n v="0"/>
    <n v="0"/>
    <n v="0"/>
    <n v="7119"/>
    <n v="8186.8499999999995"/>
    <n v="9539.4600000000009"/>
    <n v="0"/>
    <n v="0"/>
    <d v="2025-04-12T00:00:00"/>
    <d v="2025-03-13T00:00:00"/>
    <x v="9"/>
    <x v="1"/>
  </r>
  <r>
    <n v="509"/>
    <s v="USD"/>
    <n v="2970.78"/>
    <n v="2554.8708000000001"/>
    <n v="2970.78"/>
    <n v="5759.8"/>
    <n v="4953.4279999999999"/>
    <n v="5759.8"/>
    <n v="0"/>
    <n v="0"/>
    <d v="2025-08-14T00:00:00"/>
    <d v="2025-07-15T00:00:00"/>
    <x v="11"/>
    <x v="1"/>
  </r>
  <r>
    <n v="510"/>
    <s v="USD"/>
    <n v="0"/>
    <n v="0"/>
    <n v="0"/>
    <n v="19967.13"/>
    <n v="17171.731800000001"/>
    <n v="19967.13"/>
    <n v="0"/>
    <n v="0"/>
    <d v="2025-07-08T00:00:00"/>
    <d v="2025-06-08T00:00:00"/>
    <x v="3"/>
    <x v="1"/>
  </r>
  <r>
    <n v="511"/>
    <s v="CHF"/>
    <n v="0"/>
    <n v="0"/>
    <n v="0"/>
    <n v="25252.01"/>
    <n v="27019.650699999998"/>
    <n v="31565.012499999997"/>
    <n v="0"/>
    <n v="0"/>
    <d v="2025-08-23T00:00:00"/>
    <d v="2025-07-24T00:00:00"/>
    <x v="11"/>
    <x v="1"/>
  </r>
  <r>
    <n v="512"/>
    <s v="USD"/>
    <n v="14380"/>
    <n v="12366.8"/>
    <n v="14380"/>
    <n v="14380"/>
    <n v="12366.8"/>
    <n v="14380"/>
    <n v="0"/>
    <n v="0"/>
    <d v="2025-08-12T00:00:00"/>
    <d v="2025-07-13T00:00:00"/>
    <x v="11"/>
    <x v="1"/>
  </r>
  <r>
    <n v="513"/>
    <s v="USD"/>
    <n v="31504.190000000002"/>
    <n v="27093.6034"/>
    <n v="31504.190000000002"/>
    <n v="69921.86"/>
    <n v="60132.799599999998"/>
    <n v="69921.86"/>
    <n v="0"/>
    <n v="0"/>
    <d v="2025-07-29T00:00:00"/>
    <d v="2025-06-29T00:00:00"/>
    <x v="3"/>
    <x v="1"/>
  </r>
  <r>
    <n v="514"/>
    <s v="MXN"/>
    <n v="0"/>
    <n v="0"/>
    <n v="0"/>
    <n v="60840"/>
    <n v="2920.32"/>
    <n v="3407.04"/>
    <n v="0"/>
    <n v="0"/>
    <d v="2025-06-10T00:00:00"/>
    <d v="2025-05-11T00:00:00"/>
    <x v="10"/>
    <x v="1"/>
  </r>
  <r>
    <n v="515"/>
    <s v="EUR"/>
    <n v="0"/>
    <n v="0"/>
    <n v="0"/>
    <n v="11020.8"/>
    <n v="11020.8"/>
    <n v="12784.127999999999"/>
    <n v="0"/>
    <n v="0"/>
    <d v="2024-12-27T00:00:00"/>
    <d v="2024-11-27T00:00:00"/>
    <x v="1"/>
    <x v="0"/>
  </r>
  <r>
    <n v="516"/>
    <s v="EUR"/>
    <n v="0"/>
    <n v="0"/>
    <n v="0"/>
    <n v="7872"/>
    <n v="7872"/>
    <n v="9131.5199999999986"/>
    <n v="0"/>
    <n v="0"/>
    <d v="2024-12-27T00:00:00"/>
    <d v="2024-11-27T00:00:00"/>
    <x v="1"/>
    <x v="0"/>
  </r>
  <r>
    <n v="518"/>
    <s v="USD"/>
    <n v="0"/>
    <n v="0"/>
    <n v="0"/>
    <n v="1497.6"/>
    <n v="1287.9359999999999"/>
    <n v="1497.6"/>
    <n v="0"/>
    <n v="0"/>
    <d v="2025-07-17T00:00:00"/>
    <d v="2025-06-17T00:00:00"/>
    <x v="3"/>
    <x v="1"/>
  </r>
  <r>
    <n v="519"/>
    <s v="USD"/>
    <n v="1648.65"/>
    <n v="1417.8390000000002"/>
    <n v="1648.65"/>
    <n v="1648.65"/>
    <n v="1417.8390000000002"/>
    <n v="1648.65"/>
    <n v="0"/>
    <n v="0"/>
    <d v="2025-06-13T00:00:00"/>
    <d v="2025-05-14T00:00:00"/>
    <x v="10"/>
    <x v="1"/>
  </r>
  <r>
    <n v="520"/>
    <s v="EUR"/>
    <n v="74679.42"/>
    <n v="74679.42"/>
    <n v="86628.127199999988"/>
    <n v="66759.87"/>
    <n v="66759.87"/>
    <n v="77441.449199999988"/>
    <n v="7919.5500000000029"/>
    <n v="9186.6780000000035"/>
    <d v="2025-10-30T00:00:00"/>
    <d v="2025-09-30T00:00:00"/>
    <x v="0"/>
    <x v="1"/>
  </r>
  <r>
    <n v="521"/>
    <s v="MXN"/>
    <n v="0"/>
    <n v="0"/>
    <n v="0"/>
    <n v="194772"/>
    <n v="9349.0560000000005"/>
    <n v="10907.232"/>
    <n v="0"/>
    <n v="0"/>
    <d v="2025-07-07T00:00:00"/>
    <d v="2025-06-07T00:00:00"/>
    <x v="3"/>
    <x v="1"/>
  </r>
  <r>
    <n v="522"/>
    <s v="EUR"/>
    <n v="0"/>
    <n v="0"/>
    <n v="0"/>
    <n v="23340"/>
    <n v="23340"/>
    <n v="27074.399999999998"/>
    <n v="0"/>
    <n v="0"/>
    <d v="2025-07-22T00:00:00"/>
    <d v="2025-06-22T00:00:00"/>
    <x v="3"/>
    <x v="1"/>
  </r>
  <r>
    <n v="523"/>
    <s v="EUR"/>
    <n v="0"/>
    <n v="0"/>
    <n v="0"/>
    <n v="2100"/>
    <n v="2100"/>
    <n v="2436"/>
    <n v="0"/>
    <n v="0"/>
    <d v="2025-07-04T00:00:00"/>
    <d v="2025-06-04T00:00:00"/>
    <x v="3"/>
    <x v="1"/>
  </r>
  <r>
    <n v="524"/>
    <s v="USD"/>
    <n v="0"/>
    <n v="0"/>
    <n v="0"/>
    <n v="270863.65000000002"/>
    <n v="232942.73900000003"/>
    <n v="270863.65000000002"/>
    <n v="0"/>
    <n v="0"/>
    <d v="2025-07-26T00:00:00"/>
    <d v="2025-06-26T00:00:00"/>
    <x v="3"/>
    <x v="1"/>
  </r>
  <r>
    <n v="525"/>
    <s v="USD"/>
    <n v="1495.25"/>
    <n v="1285.915"/>
    <n v="1495.25"/>
    <n v="24203.8"/>
    <n v="20815.268"/>
    <n v="24203.8"/>
    <n v="0"/>
    <n v="0"/>
    <d v="2025-10-05T00:00:00"/>
    <d v="2025-09-05T00:00:00"/>
    <x v="0"/>
    <x v="1"/>
  </r>
  <r>
    <n v="526"/>
    <s v="USD"/>
    <n v="-23274.02"/>
    <n v="-20015.657200000001"/>
    <n v="-23274.02"/>
    <n v="1318.98"/>
    <n v="1134.3227999999999"/>
    <n v="1318.98"/>
    <n v="0"/>
    <n v="0"/>
    <d v="2025-07-30T00:00:00"/>
    <d v="2025-06-30T00:00:00"/>
    <x v="3"/>
    <x v="1"/>
  </r>
  <r>
    <n v="527"/>
    <s v="USD"/>
    <n v="5066.8500000000004"/>
    <n v="4357.491"/>
    <n v="5066.8500000000004"/>
    <n v="5066.8500000000004"/>
    <n v="4357.491"/>
    <n v="5066.8500000000004"/>
    <n v="0"/>
    <n v="0"/>
    <d v="2025-08-13T00:00:00"/>
    <d v="2025-07-14T00:00:00"/>
    <x v="11"/>
    <x v="1"/>
  </r>
  <r>
    <n v="528"/>
    <s v="USD"/>
    <n v="0"/>
    <n v="0"/>
    <n v="0"/>
    <n v="6395"/>
    <n v="5499.7"/>
    <n v="6395"/>
    <n v="0"/>
    <n v="0"/>
    <d v="2025-12-25T00:00:00"/>
    <d v="2025-11-25T00:00:00"/>
    <x v="1"/>
    <x v="1"/>
  </r>
  <r>
    <n v="529"/>
    <s v="CHF"/>
    <n v="0"/>
    <n v="0"/>
    <n v="0"/>
    <n v="2802"/>
    <n v="2998.1400000000003"/>
    <n v="3502.5"/>
    <n v="0"/>
    <n v="0"/>
    <d v="2025-07-28T00:00:00"/>
    <d v="2025-06-28T00:00:00"/>
    <x v="3"/>
    <x v="1"/>
  </r>
  <r>
    <n v="530"/>
    <s v="USD"/>
    <n v="36980.550000000003"/>
    <n v="31803.273000000001"/>
    <n v="36980.550000000003"/>
    <n v="44266.43"/>
    <n v="38069.129800000002"/>
    <n v="44266.43"/>
    <n v="0"/>
    <n v="0"/>
    <d v="2025-10-05T00:00:00"/>
    <d v="2025-09-05T00:00:00"/>
    <x v="0"/>
    <x v="1"/>
  </r>
  <r>
    <n v="531"/>
    <s v="USD"/>
    <n v="0"/>
    <n v="0"/>
    <n v="0"/>
    <n v="33581.879999999997"/>
    <n v="28880.416799999999"/>
    <n v="33581.879999999997"/>
    <n v="0"/>
    <n v="0"/>
    <d v="2025-07-26T00:00:00"/>
    <d v="2025-06-26T00:00:00"/>
    <x v="3"/>
    <x v="1"/>
  </r>
  <r>
    <n v="532"/>
    <s v="USD"/>
    <n v="2831.43"/>
    <n v="2435.0297999999998"/>
    <n v="2831.43"/>
    <n v="2831.43"/>
    <n v="2435.0297999999998"/>
    <n v="2831.43"/>
    <n v="0"/>
    <n v="0"/>
    <d v="2025-09-03T00:00:00"/>
    <d v="2025-08-04T00:00:00"/>
    <x v="6"/>
    <x v="1"/>
  </r>
  <r>
    <n v="533"/>
    <s v="USD"/>
    <n v="0"/>
    <n v="0"/>
    <n v="0"/>
    <n v="2722.85"/>
    <n v="2341.6509999999998"/>
    <n v="2722.85"/>
    <n v="0"/>
    <n v="0"/>
    <d v="2025-06-22T00:00:00"/>
    <d v="2025-05-23T00:00:00"/>
    <x v="10"/>
    <x v="1"/>
  </r>
  <r>
    <n v="534"/>
    <s v="USD"/>
    <n v="42962.71"/>
    <n v="36947.9306"/>
    <n v="42962.71"/>
    <n v="42962.71"/>
    <n v="36947.9306"/>
    <n v="42962.71"/>
    <n v="0"/>
    <n v="0"/>
    <d v="2025-07-31T00:00:00"/>
    <d v="2025-07-01T00:00:00"/>
    <x v="11"/>
    <x v="1"/>
  </r>
  <r>
    <n v="535"/>
    <s v="USD"/>
    <n v="0"/>
    <n v="0"/>
    <n v="0"/>
    <n v="2861.4"/>
    <n v="2460.8040000000001"/>
    <n v="2861.4"/>
    <n v="0"/>
    <n v="0"/>
    <d v="2025-06-04T00:00:00"/>
    <d v="2025-05-05T00:00:00"/>
    <x v="10"/>
    <x v="1"/>
  </r>
  <r>
    <n v="536"/>
    <s v="USD"/>
    <n v="0"/>
    <n v="0"/>
    <n v="0"/>
    <n v="81706.59"/>
    <n v="70267.667399999991"/>
    <n v="81706.59"/>
    <n v="0"/>
    <n v="0"/>
    <d v="2025-06-14T00:00:00"/>
    <d v="2025-05-15T00:00:00"/>
    <x v="10"/>
    <x v="1"/>
  </r>
  <r>
    <n v="537"/>
    <s v="EUR"/>
    <n v="0"/>
    <n v="0"/>
    <n v="0"/>
    <n v="6262.43"/>
    <n v="6262.43"/>
    <n v="7264.4187999999995"/>
    <n v="0"/>
    <n v="0"/>
    <d v="2025-09-15T00:00:00"/>
    <d v="2025-08-16T00:00:00"/>
    <x v="6"/>
    <x v="1"/>
  </r>
  <r>
    <n v="538"/>
    <s v="USD"/>
    <n v="974.98"/>
    <n v="838.4828"/>
    <n v="974.98"/>
    <n v="974.98"/>
    <n v="838.4828"/>
    <n v="974.98"/>
    <n v="0"/>
    <n v="0"/>
    <d v="2025-11-21T00:00:00"/>
    <d v="2025-10-22T00:00:00"/>
    <x v="2"/>
    <x v="1"/>
  </r>
  <r>
    <n v="539"/>
    <s v="USD"/>
    <n v="0"/>
    <n v="0"/>
    <n v="0"/>
    <n v="7198.65"/>
    <n v="6190.8389999999999"/>
    <n v="7198.65"/>
    <n v="0"/>
    <n v="0"/>
    <d v="2025-05-15T00:00:00"/>
    <d v="2025-04-15T00:00:00"/>
    <x v="4"/>
    <x v="1"/>
  </r>
  <r>
    <n v="540"/>
    <s v="USD"/>
    <n v="800.59999999999854"/>
    <n v="688.51599999999871"/>
    <n v="800.59999999999854"/>
    <n v="42819.27"/>
    <n v="36824.572199999995"/>
    <n v="42819.27"/>
    <n v="0"/>
    <n v="0"/>
    <d v="2025-07-31T00:00:00"/>
    <d v="2025-07-01T00:00:00"/>
    <x v="11"/>
    <x v="1"/>
  </r>
  <r>
    <n v="541"/>
    <s v="USD"/>
    <n v="5342.43"/>
    <n v="4594.4898000000003"/>
    <n v="5342.43"/>
    <n v="14819.43"/>
    <n v="12744.709800000001"/>
    <n v="14819.43"/>
    <n v="0"/>
    <n v="0"/>
    <d v="2025-03-21T00:00:00"/>
    <d v="2025-02-19T00:00:00"/>
    <x v="5"/>
    <x v="1"/>
  </r>
  <r>
    <n v="542"/>
    <s v="USD"/>
    <n v="2074.7599999999998"/>
    <n v="1784.2935999999997"/>
    <n v="2074.7599999999998"/>
    <n v="3185.14"/>
    <n v="2739.2203999999997"/>
    <n v="3185.14"/>
    <n v="0"/>
    <n v="0"/>
    <d v="2025-02-11T00:00:00"/>
    <d v="2025-01-12T00:00:00"/>
    <x v="8"/>
    <x v="1"/>
  </r>
  <r>
    <n v="544"/>
    <s v="MXN"/>
    <n v="28500"/>
    <n v="1368"/>
    <n v="1596"/>
    <n v="28500"/>
    <n v="1368"/>
    <n v="1596"/>
    <n v="0"/>
    <n v="0"/>
    <d v="2025-11-17T00:00:00"/>
    <d v="2025-10-18T00:00:00"/>
    <x v="2"/>
    <x v="1"/>
  </r>
  <r>
    <n v="545"/>
    <s v="USD"/>
    <n v="3567.3100000000004"/>
    <n v="3067.8866000000003"/>
    <n v="3567.3100000000004"/>
    <n v="4522.3100000000004"/>
    <n v="3889.1866000000005"/>
    <n v="4522.3100000000004"/>
    <n v="0"/>
    <n v="0"/>
    <d v="2025-02-07T00:00:00"/>
    <d v="2025-01-08T00:00:00"/>
    <x v="8"/>
    <x v="1"/>
  </r>
  <r>
    <n v="546"/>
    <s v="MXN"/>
    <n v="0"/>
    <n v="0"/>
    <n v="0"/>
    <n v="75606"/>
    <n v="3629.0880000000002"/>
    <n v="4233.9359999999997"/>
    <n v="0"/>
    <n v="0"/>
    <d v="2025-06-27T00:00:00"/>
    <d v="2025-05-28T00:00:00"/>
    <x v="10"/>
    <x v="1"/>
  </r>
  <r>
    <n v="547"/>
    <s v="USD"/>
    <n v="0"/>
    <n v="0"/>
    <n v="0"/>
    <n v="4307.1499999999996"/>
    <n v="3704.1489999999994"/>
    <n v="4307.1499999999996"/>
    <n v="0"/>
    <n v="0"/>
    <d v="2025-06-29T00:00:00"/>
    <d v="2025-05-30T00:00:00"/>
    <x v="10"/>
    <x v="1"/>
  </r>
  <r>
    <n v="548"/>
    <s v="EUR"/>
    <n v="0"/>
    <n v="0"/>
    <n v="0"/>
    <n v="62135"/>
    <n v="62135"/>
    <n v="72076.599999999991"/>
    <n v="0"/>
    <n v="0"/>
    <d v="2025-07-20T00:00:00"/>
    <d v="2025-06-20T00:00:00"/>
    <x v="3"/>
    <x v="1"/>
  </r>
  <r>
    <n v="549"/>
    <s v="CHF"/>
    <n v="0"/>
    <n v="0"/>
    <n v="0"/>
    <n v="32910"/>
    <n v="35213.700000000004"/>
    <n v="41137.5"/>
    <n v="0"/>
    <n v="0"/>
    <d v="2025-07-17T00:00:00"/>
    <d v="2025-06-17T00:00:00"/>
    <x v="3"/>
    <x v="1"/>
  </r>
  <r>
    <n v="550"/>
    <s v="USD"/>
    <n v="0"/>
    <n v="0"/>
    <n v="0"/>
    <n v="43995.07"/>
    <n v="37835.760199999997"/>
    <n v="43995.07"/>
    <n v="0"/>
    <n v="0"/>
    <d v="2025-07-05T00:00:00"/>
    <d v="2025-06-05T00:00:00"/>
    <x v="3"/>
    <x v="1"/>
  </r>
  <r>
    <n v="551"/>
    <s v="MXN"/>
    <n v="0"/>
    <n v="0"/>
    <n v="0"/>
    <n v="50478"/>
    <n v="2422.944"/>
    <n v="2826.768"/>
    <n v="0"/>
    <n v="0"/>
    <d v="2025-08-18T00:00:00"/>
    <d v="2025-07-19T00:00:00"/>
    <x v="11"/>
    <x v="1"/>
  </r>
  <r>
    <n v="552"/>
    <s v="USD"/>
    <n v="15746.939999999999"/>
    <n v="13542.368399999999"/>
    <n v="15746.939999999999"/>
    <n v="35488.879999999997"/>
    <n v="30520.436799999996"/>
    <n v="35488.879999999997"/>
    <n v="0"/>
    <n v="0"/>
    <d v="2025-08-07T00:00:00"/>
    <d v="2025-07-08T00:00:00"/>
    <x v="11"/>
    <x v="1"/>
  </r>
  <r>
    <n v="553"/>
    <s v="EUR"/>
    <n v="52460"/>
    <n v="52460"/>
    <n v="60853.599999999999"/>
    <n v="70905"/>
    <n v="70905"/>
    <n v="82249.799999999988"/>
    <n v="535"/>
    <n v="620.59999999999991"/>
    <d v="2025-09-03T00:00:00"/>
    <d v="2025-08-04T00:00:00"/>
    <x v="6"/>
    <x v="1"/>
  </r>
  <r>
    <n v="554"/>
    <s v="USD"/>
    <n v="0"/>
    <n v="0"/>
    <n v="0"/>
    <n v="1613.45"/>
    <n v="1387.567"/>
    <n v="1613.45"/>
    <n v="0"/>
    <n v="0"/>
    <d v="2025-08-02T00:00:00"/>
    <d v="2025-07-03T00:00:00"/>
    <x v="11"/>
    <x v="1"/>
  </r>
  <r>
    <n v="555"/>
    <s v="USD"/>
    <n v="0"/>
    <n v="0"/>
    <n v="0"/>
    <n v="5682"/>
    <n v="4886.5199999999995"/>
    <n v="5682"/>
    <n v="0"/>
    <n v="0"/>
    <d v="2025-08-09T00:00:00"/>
    <d v="2025-07-10T00:00:00"/>
    <x v="11"/>
    <x v="1"/>
  </r>
  <r>
    <n v="556"/>
    <s v="USD"/>
    <n v="12611.36"/>
    <n v="10845.7696"/>
    <n v="12611.36"/>
    <n v="12611.36"/>
    <n v="10845.7696"/>
    <n v="12611.36"/>
    <n v="0"/>
    <n v="0"/>
    <d v="2025-08-05T00:00:00"/>
    <d v="2025-07-06T00:00:00"/>
    <x v="11"/>
    <x v="1"/>
  </r>
  <r>
    <n v="557"/>
    <s v="USD"/>
    <n v="0"/>
    <n v="0"/>
    <n v="0"/>
    <n v="8329.19"/>
    <n v="7163.1034"/>
    <n v="8329.19"/>
    <n v="0"/>
    <n v="0"/>
    <d v="2025-05-02T00:00:00"/>
    <d v="2025-04-02T00:00:00"/>
    <x v="4"/>
    <x v="1"/>
  </r>
  <r>
    <n v="558"/>
    <s v="USD"/>
    <n v="0"/>
    <n v="0"/>
    <n v="0"/>
    <n v="16034.17"/>
    <n v="13789.386199999999"/>
    <n v="16034.17"/>
    <n v="0"/>
    <n v="0"/>
    <d v="2025-07-23T00:00:00"/>
    <d v="2025-06-23T00:00:00"/>
    <x v="3"/>
    <x v="1"/>
  </r>
  <r>
    <n v="559"/>
    <s v="USD"/>
    <n v="1655.06"/>
    <n v="1423.3516"/>
    <n v="1655.06"/>
    <n v="1655.06"/>
    <n v="1423.3516"/>
    <n v="1655.06"/>
    <n v="0"/>
    <n v="0"/>
    <d v="2025-09-12T00:00:00"/>
    <d v="2025-08-13T00:00:00"/>
    <x v="6"/>
    <x v="1"/>
  </r>
  <r>
    <n v="560"/>
    <s v="GPB"/>
    <n v="0"/>
    <n v="0"/>
    <n v="0"/>
    <n v="1725"/>
    <n v="1983.7499999999998"/>
    <n v="2311.5"/>
    <n v="0"/>
    <n v="0"/>
    <d v="2025-08-16T00:00:00"/>
    <d v="2025-07-17T00:00:00"/>
    <x v="11"/>
    <x v="1"/>
  </r>
  <r>
    <n v="561"/>
    <s v="MXN"/>
    <n v="86780"/>
    <n v="4165.4400000000005"/>
    <n v="4859.68"/>
    <n v="57286"/>
    <n v="2749.7280000000001"/>
    <n v="3208.0160000000001"/>
    <n v="86780"/>
    <n v="4859.68"/>
    <d v="2025-10-01T00:00:00"/>
    <d v="2025-09-01T00:00:00"/>
    <x v="0"/>
    <x v="1"/>
  </r>
  <r>
    <n v="562"/>
    <s v="USD"/>
    <n v="0"/>
    <n v="0"/>
    <n v="0"/>
    <n v="2837.24"/>
    <n v="2440.0263999999997"/>
    <n v="2837.24"/>
    <n v="0"/>
    <n v="0"/>
    <d v="2025-08-22T00:00:00"/>
    <d v="2025-07-23T00:00:00"/>
    <x v="11"/>
    <x v="1"/>
  </r>
  <r>
    <n v="563"/>
    <s v="USD"/>
    <n v="0"/>
    <n v="0"/>
    <n v="0"/>
    <n v="8838.56"/>
    <n v="7601.1615999999995"/>
    <n v="8838.56"/>
    <n v="0"/>
    <n v="0"/>
    <d v="2025-09-26T00:00:00"/>
    <d v="2025-08-27T00:00:00"/>
    <x v="6"/>
    <x v="1"/>
  </r>
  <r>
    <n v="564"/>
    <s v="USD"/>
    <n v="96454.24"/>
    <n v="82950.646399999998"/>
    <n v="96454.24"/>
    <n v="1033.73"/>
    <n v="889.00779999999997"/>
    <n v="1033.73"/>
    <n v="95420.510000000009"/>
    <n v="95420.510000000009"/>
    <d v="2025-10-06T00:00:00"/>
    <d v="2025-09-06T00:00:00"/>
    <x v="0"/>
    <x v="1"/>
  </r>
  <r>
    <n v="565"/>
    <s v="USD"/>
    <n v="1826.82"/>
    <n v="1571.0652"/>
    <n v="1826.82"/>
    <n v="1826.82"/>
    <n v="1571.0652"/>
    <n v="1826.82"/>
    <n v="0"/>
    <n v="0"/>
    <d v="2025-10-24T00:00:00"/>
    <d v="2025-09-24T00:00:00"/>
    <x v="0"/>
    <x v="1"/>
  </r>
  <r>
    <n v="566"/>
    <s v="MXN"/>
    <n v="457189.68"/>
    <n v="21945.104640000001"/>
    <n v="25602.622080000001"/>
    <n v="456365.41"/>
    <n v="21905.539679999998"/>
    <n v="25556.462960000001"/>
    <n v="824.27000000001863"/>
    <n v="46.159120000001046"/>
    <d v="2025-10-07T00:00:00"/>
    <d v="2025-09-07T00:00:00"/>
    <x v="0"/>
    <x v="1"/>
  </r>
  <r>
    <n v="567"/>
    <s v="USD"/>
    <n v="934.13"/>
    <n v="803.35180000000003"/>
    <n v="934.13"/>
    <n v="713.63"/>
    <n v="613.72180000000003"/>
    <n v="713.63"/>
    <n v="934.13"/>
    <n v="934.13"/>
    <d v="2025-08-22T00:00:00"/>
    <d v="2025-07-23T00:00:00"/>
    <x v="11"/>
    <x v="1"/>
  </r>
  <r>
    <n v="568"/>
    <s v="GPB"/>
    <n v="0"/>
    <n v="0"/>
    <n v="0"/>
    <n v="2700"/>
    <n v="3104.9999999999995"/>
    <n v="3618"/>
    <n v="0"/>
    <n v="0"/>
    <d v="2025-04-10T00:00:00"/>
    <d v="2025-03-11T00:00:00"/>
    <x v="9"/>
    <x v="1"/>
  </r>
  <r>
    <n v="569"/>
    <s v="MXN"/>
    <n v="110400"/>
    <n v="5299.2"/>
    <n v="6182.4000000000005"/>
    <n v="110400"/>
    <n v="5299.2"/>
    <n v="6182.4000000000005"/>
    <n v="0"/>
    <n v="0"/>
    <d v="2025-08-31T00:00:00"/>
    <d v="2025-08-01T00:00:00"/>
    <x v="6"/>
    <x v="1"/>
  </r>
  <r>
    <n v="570"/>
    <s v="GPB"/>
    <n v="0"/>
    <n v="0"/>
    <n v="0"/>
    <n v="2504"/>
    <n v="2879.6"/>
    <n v="3355.36"/>
    <n v="0"/>
    <n v="0"/>
    <d v="2025-04-15T00:00:00"/>
    <d v="2025-03-16T00:00:00"/>
    <x v="9"/>
    <x v="1"/>
  </r>
  <r>
    <n v="571"/>
    <s v="MXN"/>
    <n v="0"/>
    <n v="0"/>
    <n v="0"/>
    <n v="11858"/>
    <n v="569.18399999999997"/>
    <n v="664.048"/>
    <n v="0"/>
    <n v="0"/>
    <d v="2025-08-15T00:00:00"/>
    <d v="2025-07-16T00:00:00"/>
    <x v="11"/>
    <x v="1"/>
  </r>
  <r>
    <n v="572"/>
    <s v="USD"/>
    <n v="0"/>
    <n v="0"/>
    <n v="0"/>
    <n v="10105.09"/>
    <n v="8690.3773999999994"/>
    <n v="10105.09"/>
    <n v="0"/>
    <n v="0"/>
    <d v="2025-05-26T00:00:00"/>
    <d v="2025-04-26T00:00:00"/>
    <x v="4"/>
    <x v="1"/>
  </r>
  <r>
    <n v="573"/>
    <s v="USD"/>
    <n v="0"/>
    <n v="0"/>
    <n v="0"/>
    <n v="6668"/>
    <n v="5734.48"/>
    <n v="6668"/>
    <n v="0"/>
    <n v="0"/>
    <d v="2025-05-30T00:00:00"/>
    <d v="2025-04-30T00:00:00"/>
    <x v="4"/>
    <x v="1"/>
  </r>
  <r>
    <n v="574"/>
    <s v="USD"/>
    <n v="3784.09"/>
    <n v="3254.3173999999999"/>
    <n v="3784.09"/>
    <n v="3784.09"/>
    <n v="3254.3173999999999"/>
    <n v="3784.09"/>
    <n v="0"/>
    <n v="0"/>
    <d v="2025-12-05T00:00:00"/>
    <d v="2025-11-05T00:00:00"/>
    <x v="1"/>
    <x v="1"/>
  </r>
  <r>
    <n v="575"/>
    <s v="USD"/>
    <n v="0"/>
    <n v="0"/>
    <n v="0"/>
    <n v="21032.86"/>
    <n v="18088.259600000001"/>
    <n v="21032.86"/>
    <n v="0"/>
    <n v="0"/>
    <d v="2025-07-26T00:00:00"/>
    <d v="2025-06-26T00:00:00"/>
    <x v="3"/>
    <x v="1"/>
  </r>
  <r>
    <n v="576"/>
    <s v="USD"/>
    <n v="0"/>
    <n v="0"/>
    <n v="0"/>
    <n v="10684"/>
    <n v="9188.24"/>
    <n v="10684"/>
    <n v="0"/>
    <n v="0"/>
    <d v="2025-09-02T00:00:00"/>
    <d v="2025-08-03T00:00:00"/>
    <x v="6"/>
    <x v="1"/>
  </r>
  <r>
    <n v="577"/>
    <s v="USD"/>
    <n v="8789.49"/>
    <n v="7558.9614000000001"/>
    <n v="8789.49"/>
    <n v="22005.27"/>
    <n v="18924.532200000001"/>
    <n v="22005.27"/>
    <n v="0"/>
    <n v="0"/>
    <d v="2025-08-01T00:00:00"/>
    <d v="2025-07-02T00:00:00"/>
    <x v="11"/>
    <x v="1"/>
  </r>
  <r>
    <n v="578"/>
    <s v="USD"/>
    <n v="4562.22"/>
    <n v="3923.5092"/>
    <n v="4562.22"/>
    <n v="4562.22"/>
    <n v="3923.5092"/>
    <n v="4562.22"/>
    <n v="0"/>
    <n v="0"/>
    <d v="2025-08-19T00:00:00"/>
    <d v="2025-07-20T00:00:00"/>
    <x v="11"/>
    <x v="1"/>
  </r>
  <r>
    <n v="579"/>
    <s v="USD"/>
    <n v="3204.53"/>
    <n v="2755.8958000000002"/>
    <n v="3204.53"/>
    <n v="3204.53"/>
    <n v="2755.8958000000002"/>
    <n v="3204.53"/>
    <n v="0"/>
    <n v="0"/>
    <d v="2025-09-12T00:00:00"/>
    <d v="2025-08-13T00:00:00"/>
    <x v="6"/>
    <x v="1"/>
  </r>
  <r>
    <n v="580"/>
    <s v="USD"/>
    <n v="729.1"/>
    <n v="627.02599999999995"/>
    <n v="729.1"/>
    <n v="729.1"/>
    <n v="627.02599999999995"/>
    <n v="729.1"/>
    <n v="0"/>
    <n v="0"/>
    <d v="2025-11-09T00:00:00"/>
    <d v="2025-10-10T00:00:00"/>
    <x v="2"/>
    <x v="1"/>
  </r>
  <r>
    <n v="581"/>
    <s v="USD"/>
    <n v="0"/>
    <n v="0"/>
    <n v="0"/>
    <n v="1917.44"/>
    <n v="1648.9983999999999"/>
    <n v="1917.44"/>
    <n v="0"/>
    <n v="0"/>
    <d v="2025-08-15T00:00:00"/>
    <d v="2025-07-16T00:00:00"/>
    <x v="11"/>
    <x v="1"/>
  </r>
  <r>
    <n v="582"/>
    <s v="EUR"/>
    <n v="23760.99"/>
    <n v="23760.99"/>
    <n v="27562.7484"/>
    <n v="23760.99"/>
    <n v="23760.99"/>
    <n v="27562.7484"/>
    <n v="0"/>
    <n v="0"/>
    <d v="2025-09-07T00:00:00"/>
    <d v="2025-08-08T00:00:00"/>
    <x v="6"/>
    <x v="1"/>
  </r>
  <r>
    <n v="583"/>
    <s v="EUR"/>
    <n v="0"/>
    <n v="0"/>
    <n v="0"/>
    <n v="13550"/>
    <n v="13550"/>
    <n v="15717.999999999998"/>
    <n v="0"/>
    <n v="0"/>
    <d v="2025-08-05T00:00:00"/>
    <d v="2025-07-06T00:00:00"/>
    <x v="11"/>
    <x v="1"/>
  </r>
  <r>
    <n v="585"/>
    <s v="MXN"/>
    <n v="32600.850000000006"/>
    <n v="1564.8408000000004"/>
    <n v="1825.6476000000005"/>
    <n v="131611.4"/>
    <n v="6317.3472000000002"/>
    <n v="7370.2384000000002"/>
    <n v="31587.450000000012"/>
    <n v="1768.8972000000008"/>
    <d v="2025-08-30T00:00:00"/>
    <d v="2025-07-31T00:00:00"/>
    <x v="11"/>
    <x v="1"/>
  </r>
  <r>
    <n v="586"/>
    <s v="USD"/>
    <n v="3217.4"/>
    <n v="2766.9639999999999"/>
    <n v="3217.4"/>
    <n v="3217.4"/>
    <n v="2766.9639999999999"/>
    <n v="3217.4"/>
    <n v="0"/>
    <n v="0"/>
    <d v="2025-08-25T00:00:00"/>
    <d v="2025-07-26T00:00:00"/>
    <x v="11"/>
    <x v="1"/>
  </r>
  <r>
    <n v="587"/>
    <s v="USD"/>
    <n v="0"/>
    <n v="0"/>
    <n v="0"/>
    <n v="1971.8"/>
    <n v="1695.748"/>
    <n v="1971.8"/>
    <n v="0"/>
    <n v="0"/>
    <d v="2025-08-22T00:00:00"/>
    <d v="2025-07-23T00:00:00"/>
    <x v="11"/>
    <x v="1"/>
  </r>
  <r>
    <n v="588"/>
    <s v="EUR"/>
    <n v="0"/>
    <n v="0"/>
    <n v="0"/>
    <n v="1299"/>
    <n v="1299"/>
    <n v="1506.84"/>
    <n v="0"/>
    <n v="0"/>
    <d v="2025-09-11T00:00:00"/>
    <d v="2025-08-12T00:00:00"/>
    <x v="6"/>
    <x v="1"/>
  </r>
  <r>
    <n v="589"/>
    <s v="GPB"/>
    <n v="0"/>
    <n v="0"/>
    <n v="0"/>
    <n v="1500"/>
    <n v="1724.9999999999998"/>
    <n v="2010.0000000000002"/>
    <n v="0"/>
    <n v="0"/>
    <d v="2025-08-18T00:00:00"/>
    <d v="2025-07-19T00:00:00"/>
    <x v="11"/>
    <x v="1"/>
  </r>
  <r>
    <n v="590"/>
    <s v="USD"/>
    <n v="0"/>
    <n v="0"/>
    <n v="0"/>
    <n v="3097.62"/>
    <n v="2663.9531999999999"/>
    <n v="3097.62"/>
    <n v="0"/>
    <n v="0"/>
    <d v="2025-07-04T00:00:00"/>
    <d v="2025-06-04T00:00:00"/>
    <x v="3"/>
    <x v="1"/>
  </r>
  <r>
    <n v="591"/>
    <s v="USD"/>
    <n v="0"/>
    <n v="0"/>
    <n v="0"/>
    <n v="4711.78"/>
    <n v="4052.1307999999999"/>
    <n v="4711.78"/>
    <n v="0"/>
    <n v="0"/>
    <d v="2025-07-07T00:00:00"/>
    <d v="2025-06-07T00:00:00"/>
    <x v="3"/>
    <x v="1"/>
  </r>
  <r>
    <n v="592"/>
    <s v="USD"/>
    <n v="0"/>
    <n v="0"/>
    <n v="0"/>
    <n v="2528.67"/>
    <n v="2174.6561999999999"/>
    <n v="2528.67"/>
    <n v="0"/>
    <n v="0"/>
    <d v="2025-08-31T00:00:00"/>
    <d v="2025-08-01T00:00:00"/>
    <x v="6"/>
    <x v="1"/>
  </r>
  <r>
    <n v="593"/>
    <s v="USD"/>
    <n v="0"/>
    <n v="0"/>
    <n v="0"/>
    <n v="1877"/>
    <n v="1614.22"/>
    <n v="1877"/>
    <n v="0"/>
    <n v="0"/>
    <d v="2025-07-30T00:00:00"/>
    <d v="2025-06-30T00:00:00"/>
    <x v="3"/>
    <x v="1"/>
  </r>
  <r>
    <n v="594"/>
    <s v="GPB"/>
    <n v="2046.75"/>
    <n v="2353.7624999999998"/>
    <n v="2742.645"/>
    <n v="9005.92"/>
    <n v="10356.807999999999"/>
    <n v="12067.9328"/>
    <n v="0.82999999999992724"/>
    <n v="1.1121999999999026"/>
    <d v="2025-08-24T00:00:00"/>
    <d v="2025-07-25T00:00:00"/>
    <x v="11"/>
    <x v="1"/>
  </r>
  <r>
    <n v="595"/>
    <s v="EUR"/>
    <n v="15096"/>
    <n v="15096"/>
    <n v="17511.36"/>
    <n v="15096"/>
    <n v="15096"/>
    <n v="17511.36"/>
    <n v="0"/>
    <n v="0"/>
    <d v="2025-09-07T00:00:00"/>
    <d v="2025-08-08T00:00:00"/>
    <x v="6"/>
    <x v="1"/>
  </r>
  <r>
    <n v="596"/>
    <s v="USD"/>
    <n v="196653.69"/>
    <n v="169122.1734"/>
    <n v="196653.69"/>
    <n v="196481.9"/>
    <n v="168974.43399999998"/>
    <n v="196481.9"/>
    <n v="171.79000000000815"/>
    <n v="171.79000000000815"/>
    <d v="2025-09-15T00:00:00"/>
    <d v="2025-08-16T00:00:00"/>
    <x v="6"/>
    <x v="1"/>
  </r>
  <r>
    <n v="597"/>
    <s v="USD"/>
    <n v="371396.93"/>
    <n v="319401.35979999998"/>
    <n v="371396.93"/>
    <n v="274935.01"/>
    <n v="236444.10860000001"/>
    <n v="274935.01"/>
    <n v="96461.919999999984"/>
    <n v="96461.919999999984"/>
    <d v="2026-02-01T00:00:00"/>
    <d v="2026-01-02T00:00:00"/>
    <x v="8"/>
    <x v="2"/>
  </r>
  <r>
    <n v="598"/>
    <s v="EUR"/>
    <n v="0"/>
    <n v="0"/>
    <n v="0"/>
    <n v="2856"/>
    <n v="2856"/>
    <n v="3312.9599999999996"/>
    <n v="0"/>
    <n v="0"/>
    <d v="2025-08-07T00:00:00"/>
    <d v="2025-07-08T00:00:00"/>
    <x v="11"/>
    <x v="1"/>
  </r>
  <r>
    <n v="600"/>
    <s v="USD"/>
    <n v="200.60000000000014"/>
    <n v="172.5160000000001"/>
    <n v="200.60000000000014"/>
    <n v="1761.16"/>
    <n v="1514.5976000000001"/>
    <n v="1761.16"/>
    <n v="0"/>
    <n v="0"/>
    <d v="2025-10-09T00:00:00"/>
    <d v="2025-09-09T00:00:00"/>
    <x v="0"/>
    <x v="1"/>
  </r>
  <r>
    <n v="601"/>
    <s v="CHF"/>
    <n v="0"/>
    <n v="0"/>
    <n v="0"/>
    <n v="6150"/>
    <n v="6580.5"/>
    <n v="7687.5"/>
    <n v="0"/>
    <n v="0"/>
    <d v="2025-08-27T00:00:00"/>
    <d v="2025-07-28T00:00:00"/>
    <x v="11"/>
    <x v="1"/>
  </r>
  <r>
    <n v="602"/>
    <s v="EUR"/>
    <n v="0"/>
    <n v="0"/>
    <n v="0"/>
    <n v="4020"/>
    <n v="4020"/>
    <n v="4663.2"/>
    <n v="0"/>
    <n v="0"/>
    <d v="2025-09-10T00:00:00"/>
    <d v="2025-08-11T00:00:00"/>
    <x v="6"/>
    <x v="1"/>
  </r>
  <r>
    <n v="603"/>
    <s v="USD"/>
    <n v="0"/>
    <n v="0"/>
    <n v="0"/>
    <n v="5322"/>
    <n v="4576.92"/>
    <n v="5322"/>
    <n v="0"/>
    <n v="0"/>
    <d v="2025-08-24T00:00:00"/>
    <d v="2025-07-25T00:00:00"/>
    <x v="11"/>
    <x v="1"/>
  </r>
  <r>
    <n v="604"/>
    <s v="EUR"/>
    <n v="0"/>
    <n v="0"/>
    <n v="0"/>
    <n v="2020.5"/>
    <n v="2020.5"/>
    <n v="2343.7799999999997"/>
    <n v="0"/>
    <n v="0"/>
    <d v="2025-08-09T00:00:00"/>
    <d v="2025-07-10T00:00:00"/>
    <x v="11"/>
    <x v="1"/>
  </r>
  <r>
    <n v="605"/>
    <s v="USD"/>
    <n v="0"/>
    <n v="0"/>
    <n v="0"/>
    <n v="4226"/>
    <n v="3634.36"/>
    <n v="4226"/>
    <n v="0"/>
    <n v="0"/>
    <d v="2025-09-25T00:00:00"/>
    <d v="2025-08-26T00:00:00"/>
    <x v="6"/>
    <x v="1"/>
  </r>
  <r>
    <n v="607"/>
    <s v="EUR"/>
    <n v="0"/>
    <n v="0"/>
    <n v="0"/>
    <n v="9570"/>
    <n v="9570"/>
    <n v="11101.199999999999"/>
    <n v="0"/>
    <n v="0"/>
    <d v="2025-07-31T00:00:00"/>
    <d v="2025-07-01T00:00:00"/>
    <x v="11"/>
    <x v="1"/>
  </r>
  <r>
    <n v="608"/>
    <s v="EUR"/>
    <n v="0"/>
    <n v="0"/>
    <n v="0"/>
    <n v="7395"/>
    <n v="7395"/>
    <n v="8578.1999999999989"/>
    <n v="0"/>
    <n v="0"/>
    <d v="2025-09-07T00:00:00"/>
    <d v="2025-08-08T00:00:00"/>
    <x v="6"/>
    <x v="1"/>
  </r>
  <r>
    <n v="609"/>
    <s v="USD"/>
    <n v="11153.279999999999"/>
    <n v="9591.8207999999995"/>
    <n v="11153.279999999999"/>
    <n v="34869.279999999999"/>
    <n v="29987.5808"/>
    <n v="34869.279999999999"/>
    <n v="0"/>
    <n v="0"/>
    <d v="2025-08-20T00:00:00"/>
    <d v="2025-07-21T00:00:00"/>
    <x v="11"/>
    <x v="1"/>
  </r>
  <r>
    <n v="610"/>
    <s v="USD"/>
    <n v="2279"/>
    <n v="1959.94"/>
    <n v="2279"/>
    <n v="8888"/>
    <n v="7643.68"/>
    <n v="8888"/>
    <n v="0"/>
    <n v="0"/>
    <d v="2025-09-28T00:00:00"/>
    <d v="2025-08-29T00:00:00"/>
    <x v="6"/>
    <x v="1"/>
  </r>
  <r>
    <n v="613"/>
    <s v="USD"/>
    <n v="0"/>
    <n v="0"/>
    <n v="0"/>
    <n v="18638.25"/>
    <n v="16028.895"/>
    <n v="18638.25"/>
    <n v="0"/>
    <n v="0"/>
    <d v="2025-10-22T00:00:00"/>
    <d v="2025-09-22T00:00:00"/>
    <x v="0"/>
    <x v="1"/>
  </r>
  <r>
    <n v="614"/>
    <s v="USD"/>
    <n v="11380.54"/>
    <n v="9787.2644"/>
    <n v="11380.54"/>
    <n v="11380.54"/>
    <n v="9787.2644"/>
    <n v="11380.54"/>
    <n v="0"/>
    <n v="0"/>
    <d v="2025-09-18T00:00:00"/>
    <d v="2025-08-19T00:00:00"/>
    <x v="6"/>
    <x v="1"/>
  </r>
  <r>
    <n v="615"/>
    <s v="EUR"/>
    <n v="0"/>
    <n v="0"/>
    <n v="0"/>
    <n v="7230"/>
    <n v="7230"/>
    <n v="8386.7999999999993"/>
    <n v="0"/>
    <n v="0"/>
    <d v="2025-09-30T00:00:00"/>
    <d v="2025-08-31T00:00:00"/>
    <x v="6"/>
    <x v="1"/>
  </r>
  <r>
    <n v="616"/>
    <s v="CHF"/>
    <n v="0"/>
    <n v="0"/>
    <n v="0"/>
    <n v="4752"/>
    <n v="5084.6400000000003"/>
    <n v="5940"/>
    <n v="0"/>
    <n v="0"/>
    <d v="2025-08-01T00:00:00"/>
    <d v="2025-07-02T00:00:00"/>
    <x v="11"/>
    <x v="1"/>
  </r>
  <r>
    <n v="617"/>
    <s v="USD"/>
    <n v="1639.7300000000005"/>
    <n v="1410.1678000000004"/>
    <n v="1639.7300000000005"/>
    <n v="6811.12"/>
    <n v="5857.5631999999996"/>
    <n v="6811.12"/>
    <n v="0"/>
    <n v="0"/>
    <d v="2025-09-14T00:00:00"/>
    <d v="2025-08-15T00:00:00"/>
    <x v="6"/>
    <x v="1"/>
  </r>
  <r>
    <n v="618"/>
    <s v="EUR"/>
    <n v="0"/>
    <n v="0"/>
    <n v="0"/>
    <n v="1920"/>
    <n v="1920"/>
    <n v="2227.1999999999998"/>
    <n v="0"/>
    <n v="0"/>
    <d v="2025-08-28T00:00:00"/>
    <d v="2025-07-29T00:00:00"/>
    <x v="11"/>
    <x v="1"/>
  </r>
  <r>
    <n v="621"/>
    <s v="MXN"/>
    <n v="68453.58"/>
    <n v="3285.7718400000003"/>
    <n v="3833.4004800000002"/>
    <n v="68453.58"/>
    <n v="3285.7718400000003"/>
    <n v="3833.4004800000002"/>
    <n v="0"/>
    <n v="0"/>
    <d v="2025-08-27T00:00:00"/>
    <d v="2025-07-28T00:00:00"/>
    <x v="11"/>
    <x v="1"/>
  </r>
  <r>
    <n v="622"/>
    <s v="EUR"/>
    <n v="0"/>
    <n v="0"/>
    <n v="0"/>
    <n v="3010"/>
    <n v="3010"/>
    <n v="3491.6"/>
    <n v="0"/>
    <n v="0"/>
    <d v="2025-09-28T00:00:00"/>
    <d v="2025-08-29T00:00:00"/>
    <x v="6"/>
    <x v="1"/>
  </r>
  <r>
    <n v="624"/>
    <s v="USD"/>
    <n v="0"/>
    <n v="0"/>
    <n v="0"/>
    <n v="7360.8"/>
    <n v="6330.2880000000005"/>
    <n v="7360.8"/>
    <n v="0"/>
    <n v="0"/>
    <d v="2025-07-05T00:00:00"/>
    <d v="2025-06-05T00:00:00"/>
    <x v="3"/>
    <x v="1"/>
  </r>
  <r>
    <n v="625"/>
    <s v="JPY"/>
    <n v="0"/>
    <n v="0"/>
    <n v="0"/>
    <n v="379735"/>
    <n v="2088.5425"/>
    <n v="2430.3040000000001"/>
    <n v="0"/>
    <n v="0"/>
    <d v="2025-10-30T00:00:00"/>
    <d v="2025-09-30T00:00:00"/>
    <x v="0"/>
    <x v="1"/>
  </r>
  <r>
    <n v="626"/>
    <s v="JPY"/>
    <n v="3219900.06"/>
    <n v="17709.45033"/>
    <n v="20607.360384"/>
    <n v="3568975"/>
    <n v="19629.362499999999"/>
    <n v="22841.440000000002"/>
    <n v="6.0000000055879354E-2"/>
    <n v="3.8400000035762789E-4"/>
    <d v="2025-10-25T00:00:00"/>
    <d v="2025-09-25T00:00:00"/>
    <x v="0"/>
    <x v="1"/>
  </r>
  <r>
    <n v="627"/>
    <s v="GPB"/>
    <n v="0"/>
    <n v="0"/>
    <n v="0"/>
    <n v="1230.3"/>
    <n v="1414.8449999999998"/>
    <n v="1648.6020000000001"/>
    <n v="0"/>
    <n v="0"/>
    <d v="2025-09-28T00:00:00"/>
    <d v="2025-08-29T00:00:00"/>
    <x v="6"/>
    <x v="1"/>
  </r>
  <r>
    <n v="628"/>
    <s v="USD"/>
    <n v="36702.660000000003"/>
    <n v="31564.287600000003"/>
    <n v="36702.660000000003"/>
    <n v="37131.67"/>
    <n v="31933.236199999999"/>
    <n v="37131.67"/>
    <n v="-9.9999999947613105E-3"/>
    <n v="-9.9999999947613105E-3"/>
    <d v="2025-09-02T00:00:00"/>
    <d v="2025-08-03T00:00:00"/>
    <x v="6"/>
    <x v="1"/>
  </r>
  <r>
    <n v="629"/>
    <s v="USD"/>
    <n v="-78355.460000000006"/>
    <n v="-67385.695600000006"/>
    <n v="-78355.460000000006"/>
    <n v="8894.67"/>
    <n v="7649.4161999999997"/>
    <n v="8894.67"/>
    <n v="0"/>
    <n v="0"/>
    <d v="2025-08-28T00:00:00"/>
    <d v="2025-07-29T00:00:00"/>
    <x v="11"/>
    <x v="1"/>
  </r>
  <r>
    <n v="630"/>
    <s v="USD"/>
    <n v="38855.199999999997"/>
    <n v="33415.471999999994"/>
    <n v="38855.199999999997"/>
    <n v="38855.230000000003"/>
    <n v="33415.497800000005"/>
    <n v="38855.230000000003"/>
    <n v="-3.0000000006111804E-2"/>
    <n v="-3.0000000006111804E-2"/>
    <d v="2025-01-03T00:00:00"/>
    <d v="2024-12-04T00:00:00"/>
    <x v="7"/>
    <x v="0"/>
  </r>
  <r>
    <n v="631"/>
    <s v="USD"/>
    <n v="9100.7000000000007"/>
    <n v="7826.6020000000008"/>
    <n v="9100.7000000000007"/>
    <n v="9100.7000000000007"/>
    <n v="7826.6020000000008"/>
    <n v="9100.7000000000007"/>
    <n v="0"/>
    <n v="0"/>
    <d v="2025-08-28T00:00:00"/>
    <d v="2025-07-29T00:00:00"/>
    <x v="11"/>
    <x v="1"/>
  </r>
  <r>
    <n v="633"/>
    <s v="EUR"/>
    <n v="0"/>
    <n v="0"/>
    <n v="0"/>
    <n v="3630"/>
    <n v="3630"/>
    <n v="4210.7999999999993"/>
    <n v="0"/>
    <n v="0"/>
    <d v="2025-09-30T00:00:00"/>
    <d v="2025-08-31T00:00:00"/>
    <x v="6"/>
    <x v="1"/>
  </r>
  <r>
    <n v="634"/>
    <s v="EUR"/>
    <n v="0"/>
    <n v="0"/>
    <n v="0"/>
    <n v="3528"/>
    <n v="3528"/>
    <n v="4092.4799999999996"/>
    <n v="0"/>
    <n v="0"/>
    <d v="2025-09-30T00:00:00"/>
    <d v="2025-08-31T00:00:00"/>
    <x v="6"/>
    <x v="1"/>
  </r>
  <r>
    <n v="635"/>
    <s v="GPB"/>
    <n v="0"/>
    <n v="0"/>
    <n v="0"/>
    <n v="5000"/>
    <n v="5750"/>
    <n v="6700"/>
    <n v="0"/>
    <n v="0"/>
    <d v="2025-08-30T00:00:00"/>
    <d v="2025-07-31T00:00:00"/>
    <x v="11"/>
    <x v="1"/>
  </r>
  <r>
    <n v="636"/>
    <s v="EUR"/>
    <n v="0"/>
    <n v="0"/>
    <n v="0"/>
    <n v="1221"/>
    <n v="1221"/>
    <n v="1416.36"/>
    <n v="0"/>
    <n v="0"/>
    <d v="2025-09-07T00:00:00"/>
    <d v="2025-08-08T00:00:00"/>
    <x v="6"/>
    <x v="1"/>
  </r>
  <r>
    <n v="637"/>
    <s v="EUR"/>
    <n v="0"/>
    <n v="0"/>
    <n v="0"/>
    <n v="1158.04"/>
    <n v="1158.04"/>
    <n v="1343.3263999999999"/>
    <n v="0"/>
    <n v="0"/>
    <d v="2025-09-14T00:00:00"/>
    <d v="2025-08-15T00:00:00"/>
    <x v="6"/>
    <x v="1"/>
  </r>
  <r>
    <n v="638"/>
    <s v="EUR"/>
    <n v="0"/>
    <n v="0"/>
    <n v="0"/>
    <n v="9570"/>
    <n v="9570"/>
    <n v="11101.199999999999"/>
    <n v="0"/>
    <n v="0"/>
    <d v="2025-07-31T00:00:00"/>
    <d v="2025-07-01T00:00:00"/>
    <x v="11"/>
    <x v="1"/>
  </r>
  <r>
    <n v="640"/>
    <s v="EUR"/>
    <n v="0"/>
    <n v="0"/>
    <n v="0"/>
    <n v="200"/>
    <n v="200"/>
    <n v="231.99999999999997"/>
    <n v="0"/>
    <n v="0"/>
    <d v="2025-09-01T00:00:00"/>
    <d v="2025-08-02T00:00:00"/>
    <x v="6"/>
    <x v="1"/>
  </r>
  <r>
    <n v="641"/>
    <s v="USD"/>
    <n v="49711.93"/>
    <n v="42752.2598"/>
    <n v="49711.93"/>
    <n v="49711.93"/>
    <n v="42752.2598"/>
    <n v="49711.93"/>
    <n v="0"/>
    <n v="0"/>
    <d v="2025-12-15T00:00:00"/>
    <d v="2025-11-15T00:00:00"/>
    <x v="1"/>
    <x v="1"/>
  </r>
  <r>
    <n v="642"/>
    <s v="EUR"/>
    <n v="0"/>
    <n v="0"/>
    <n v="0"/>
    <n v="7395"/>
    <n v="7395"/>
    <n v="8578.1999999999989"/>
    <n v="0"/>
    <n v="0"/>
    <d v="2025-09-07T00:00:00"/>
    <d v="2025-08-08T00:00:00"/>
    <x v="6"/>
    <x v="1"/>
  </r>
  <r>
    <n v="643"/>
    <s v="JPY"/>
    <n v="0"/>
    <n v="0"/>
    <n v="0"/>
    <n v="1320000"/>
    <n v="7260"/>
    <n v="8448"/>
    <n v="0"/>
    <n v="0"/>
    <d v="2025-11-03T00:00:00"/>
    <d v="2025-10-04T00:00:00"/>
    <x v="2"/>
    <x v="1"/>
  </r>
  <r>
    <n v="644"/>
    <s v="USD"/>
    <n v="0"/>
    <n v="0"/>
    <n v="0"/>
    <n v="3017.44"/>
    <n v="2594.9983999999999"/>
    <n v="3017.44"/>
    <n v="0"/>
    <n v="0"/>
    <d v="2025-05-25T00:00:00"/>
    <d v="2025-04-25T00:00:00"/>
    <x v="4"/>
    <x v="1"/>
  </r>
  <r>
    <n v="645"/>
    <s v="USD"/>
    <n v="0"/>
    <n v="0"/>
    <n v="0"/>
    <n v="2566.4"/>
    <n v="2207.1040000000003"/>
    <n v="2566.4"/>
    <n v="0"/>
    <n v="0"/>
    <d v="2025-05-12T00:00:00"/>
    <d v="2025-04-12T00:00:00"/>
    <x v="4"/>
    <x v="1"/>
  </r>
  <r>
    <n v="646"/>
    <s v="USD"/>
    <n v="0"/>
    <n v="0"/>
    <n v="0"/>
    <n v="1515.02"/>
    <n v="1302.9171999999999"/>
    <n v="1515.02"/>
    <n v="0"/>
    <n v="0"/>
    <d v="2025-05-23T00:00:00"/>
    <d v="2025-04-23T00:00:00"/>
    <x v="4"/>
    <x v="1"/>
  </r>
  <r>
    <n v="647"/>
    <s v="USD"/>
    <n v="0"/>
    <n v="0"/>
    <n v="0"/>
    <n v="1200"/>
    <n v="1032"/>
    <n v="1200"/>
    <n v="0"/>
    <n v="0"/>
    <d v="2025-05-19T00:00:00"/>
    <d v="2025-04-19T00:00:00"/>
    <x v="4"/>
    <x v="1"/>
  </r>
  <r>
    <n v="648"/>
    <s v="JPY"/>
    <n v="0"/>
    <n v="0"/>
    <n v="0"/>
    <n v="3120143"/>
    <n v="17160.786499999998"/>
    <n v="19968.915199999999"/>
    <n v="0"/>
    <n v="0"/>
    <d v="2026-03-13T00:00:00"/>
    <d v="2026-02-11T00:00:00"/>
    <x v="5"/>
    <x v="2"/>
  </r>
  <r>
    <n v="649"/>
    <s v="USD"/>
    <n v="0"/>
    <n v="0"/>
    <n v="0"/>
    <n v="13274.97"/>
    <n v="11416.474199999999"/>
    <n v="13274.97"/>
    <n v="0"/>
    <n v="0"/>
    <d v="2025-12-18T00:00:00"/>
    <d v="2025-11-18T00:00:00"/>
    <x v="1"/>
    <x v="1"/>
  </r>
  <r>
    <n v="650"/>
    <s v="EUR"/>
    <n v="0"/>
    <n v="0"/>
    <n v="0"/>
    <n v="1928.28"/>
    <n v="1928.28"/>
    <n v="2236.8047999999999"/>
    <n v="0"/>
    <n v="0"/>
    <d v="2025-08-27T00:00:00"/>
    <d v="2025-07-28T00:00:00"/>
    <x v="11"/>
    <x v="1"/>
  </r>
  <r>
    <n v="651"/>
    <s v="USD"/>
    <n v="0"/>
    <n v="0"/>
    <n v="0"/>
    <n v="4760"/>
    <n v="4093.6"/>
    <n v="4760"/>
    <n v="0"/>
    <n v="0"/>
    <d v="2025-10-23T00:00:00"/>
    <d v="2025-09-23T00:00:00"/>
    <x v="0"/>
    <x v="1"/>
  </r>
  <r>
    <n v="652"/>
    <s v="EUR"/>
    <n v="0"/>
    <n v="0"/>
    <n v="0"/>
    <n v="1990"/>
    <n v="1990"/>
    <n v="2308.3999999999996"/>
    <n v="0"/>
    <n v="0"/>
    <d v="2025-09-21T00:00:00"/>
    <d v="2025-08-22T00:00:00"/>
    <x v="6"/>
    <x v="1"/>
  </r>
  <r>
    <n v="653"/>
    <s v="USD"/>
    <n v="0"/>
    <n v="0"/>
    <n v="0"/>
    <n v="260"/>
    <n v="223.6"/>
    <n v="260"/>
    <n v="0"/>
    <n v="0"/>
    <d v="2026-05-11T00:00:00"/>
    <d v="2026-04-11T00:00:00"/>
    <x v="4"/>
    <x v="2"/>
  </r>
  <r>
    <n v="654"/>
    <s v="USD"/>
    <n v="0"/>
    <n v="0"/>
    <n v="0"/>
    <n v="1980"/>
    <n v="1702.8"/>
    <n v="1980"/>
    <n v="0"/>
    <n v="0"/>
    <d v="2026-05-16T00:00:00"/>
    <d v="2026-04-16T00:00:00"/>
    <x v="4"/>
    <x v="2"/>
  </r>
  <r>
    <n v="655"/>
    <s v="USD"/>
    <n v="5238.88"/>
    <n v="4505.4368000000004"/>
    <n v="5238.88"/>
    <n v="5384.78"/>
    <n v="4630.9107999999997"/>
    <n v="5384.78"/>
    <n v="3.694822225952521E-13"/>
    <n v="3.694822225952521E-13"/>
    <d v="2025-09-21T00:00:00"/>
    <d v="2025-08-22T00:00:00"/>
    <x v="6"/>
    <x v="1"/>
  </r>
  <r>
    <n v="656"/>
    <s v="USD"/>
    <n v="691.98"/>
    <n v="595.1028"/>
    <n v="691.98"/>
    <n v="691.98"/>
    <n v="595.1028"/>
    <n v="691.98"/>
    <n v="0"/>
    <n v="0"/>
    <d v="2025-09-29T00:00:00"/>
    <d v="2025-08-30T00:00:00"/>
    <x v="6"/>
    <x v="1"/>
  </r>
  <r>
    <n v="657"/>
    <s v="USD"/>
    <n v="0"/>
    <n v="0"/>
    <n v="0"/>
    <n v="2724.75"/>
    <n v="2343.2849999999999"/>
    <n v="2724.75"/>
    <n v="0"/>
    <n v="0"/>
    <d v="2025-06-18T00:00:00"/>
    <d v="2025-05-19T00:00:00"/>
    <x v="10"/>
    <x v="1"/>
  </r>
  <r>
    <n v="658"/>
    <s v="USD"/>
    <n v="-41055.35"/>
    <n v="-35307.600999999995"/>
    <n v="-41055.35"/>
    <n v="2342.65"/>
    <n v="2014.6790000000001"/>
    <n v="2342.65"/>
    <n v="0"/>
    <n v="0"/>
    <d v="2025-09-04T00:00:00"/>
    <d v="2025-08-05T00:00:00"/>
    <x v="6"/>
    <x v="1"/>
  </r>
  <r>
    <n v="660"/>
    <s v="USD"/>
    <n v="0"/>
    <n v="0"/>
    <n v="0"/>
    <n v="20000"/>
    <n v="17200"/>
    <n v="20000"/>
    <n v="0"/>
    <n v="0"/>
    <d v="2025-08-09T00:00:00"/>
    <d v="2025-07-10T00:00:00"/>
    <x v="11"/>
    <x v="1"/>
  </r>
  <r>
    <n v="661"/>
    <s v="MXN"/>
    <n v="0"/>
    <n v="0"/>
    <n v="0"/>
    <n v="10104"/>
    <n v="484.99200000000002"/>
    <n v="565.82399999999996"/>
    <n v="0"/>
    <n v="0"/>
    <d v="2025-09-19T00:00:00"/>
    <d v="2025-08-20T00:00:00"/>
    <x v="6"/>
    <x v="1"/>
  </r>
  <r>
    <n v="662"/>
    <s v="MXN"/>
    <n v="0"/>
    <n v="0"/>
    <n v="0"/>
    <n v="12606"/>
    <n v="605.08799999999997"/>
    <n v="705.93600000000004"/>
    <n v="0"/>
    <n v="0"/>
    <d v="2025-09-19T00:00:00"/>
    <d v="2025-08-20T00:00:00"/>
    <x v="6"/>
    <x v="1"/>
  </r>
  <r>
    <n v="663"/>
    <s v="EUR"/>
    <n v="363636"/>
    <n v="363636"/>
    <n v="421817.75999999995"/>
    <n v="363636"/>
    <n v="363636"/>
    <n v="421817.75999999995"/>
    <n v="0"/>
    <n v="0"/>
    <d v="2025-12-20T00:00:00"/>
    <d v="2025-11-20T00:00:00"/>
    <x v="1"/>
    <x v="1"/>
  </r>
  <r>
    <n v="664"/>
    <s v="USD"/>
    <n v="0"/>
    <n v="0"/>
    <n v="0"/>
    <n v="940"/>
    <n v="808.4"/>
    <n v="940"/>
    <n v="0"/>
    <n v="0"/>
    <d v="2025-07-23T00:00:00"/>
    <d v="2025-06-23T00:00:00"/>
    <x v="3"/>
    <x v="1"/>
  </r>
  <r>
    <n v="665"/>
    <s v="USD"/>
    <n v="0"/>
    <n v="0"/>
    <n v="0"/>
    <n v="5733.7"/>
    <n v="4930.982"/>
    <n v="5733.7"/>
    <n v="0"/>
    <n v="0"/>
    <d v="2025-06-07T00:00:00"/>
    <d v="2025-05-08T00:00:00"/>
    <x v="10"/>
    <x v="1"/>
  </r>
  <r>
    <n v="666"/>
    <s v="EUR"/>
    <n v="2365"/>
    <n v="2365"/>
    <n v="2743.3999999999996"/>
    <n v="2365"/>
    <n v="2365"/>
    <n v="2743.3999999999996"/>
    <n v="0"/>
    <n v="0"/>
    <d v="2025-09-10T00:00:00"/>
    <d v="2025-08-11T00:00:00"/>
    <x v="6"/>
    <x v="1"/>
  </r>
  <r>
    <n v="667"/>
    <s v="USD"/>
    <n v="0"/>
    <n v="0"/>
    <n v="0"/>
    <n v="8228"/>
    <n v="7076.08"/>
    <n v="8228"/>
    <n v="0"/>
    <n v="0"/>
    <d v="2025-10-21T00:00:00"/>
    <d v="2025-09-21T00:00:00"/>
    <x v="0"/>
    <x v="1"/>
  </r>
  <r>
    <n v="668"/>
    <s v="EUR"/>
    <n v="0"/>
    <n v="0"/>
    <n v="0"/>
    <n v="4700"/>
    <n v="4700"/>
    <n v="5452"/>
    <n v="0"/>
    <n v="0"/>
    <d v="2025-04-25T00:00:00"/>
    <d v="2025-03-26T00:00:00"/>
    <x v="9"/>
    <x v="1"/>
  </r>
  <r>
    <n v="669"/>
    <s v="USD"/>
    <n v="0"/>
    <n v="0"/>
    <n v="0"/>
    <n v="2004.02"/>
    <n v="1723.4572000000001"/>
    <n v="2004.02"/>
    <n v="0"/>
    <n v="0"/>
    <d v="2025-07-16T00:00:00"/>
    <d v="2025-06-16T00:00:00"/>
    <x v="3"/>
    <x v="1"/>
  </r>
  <r>
    <n v="670"/>
    <s v="USD"/>
    <n v="0"/>
    <n v="0"/>
    <n v="0"/>
    <n v="4956.01"/>
    <n v="4262.1686"/>
    <n v="4956.01"/>
    <n v="0"/>
    <n v="0"/>
    <d v="2025-09-11T00:00:00"/>
    <d v="2025-08-12T00:00:00"/>
    <x v="6"/>
    <x v="1"/>
  </r>
  <r>
    <n v="671"/>
    <s v="USD"/>
    <n v="0"/>
    <n v="0"/>
    <n v="0"/>
    <n v="5985"/>
    <n v="5147.1000000000004"/>
    <n v="5985"/>
    <n v="0"/>
    <n v="0"/>
    <d v="2026-05-01T00:00:00"/>
    <d v="2026-04-01T00:00:00"/>
    <x v="4"/>
    <x v="2"/>
  </r>
  <r>
    <n v="672"/>
    <s v="EUR"/>
    <n v="0"/>
    <n v="0"/>
    <n v="0"/>
    <n v="20073.97"/>
    <n v="20073.97"/>
    <n v="23285.805199999999"/>
    <n v="0"/>
    <n v="0"/>
    <d v="2025-09-04T00:00:00"/>
    <d v="2025-08-05T00:00:00"/>
    <x v="6"/>
    <x v="1"/>
  </r>
  <r>
    <n v="673"/>
    <s v="USD"/>
    <n v="0"/>
    <n v="0"/>
    <n v="0"/>
    <n v="1876.62"/>
    <n v="1613.8932"/>
    <n v="1876.62"/>
    <n v="0"/>
    <n v="0"/>
    <d v="2026-05-30T00:00:00"/>
    <d v="2026-04-30T00:00:00"/>
    <x v="4"/>
    <x v="2"/>
  </r>
  <r>
    <n v="674"/>
    <s v="USD"/>
    <n v="0"/>
    <n v="0"/>
    <n v="0"/>
    <n v="3108.73"/>
    <n v="2673.5077999999999"/>
    <n v="3108.73"/>
    <n v="0"/>
    <n v="0"/>
    <d v="2026-05-29T00:00:00"/>
    <d v="2026-04-29T00:00:00"/>
    <x v="4"/>
    <x v="2"/>
  </r>
  <r>
    <n v="675"/>
    <s v="USD"/>
    <n v="1816.94"/>
    <n v="1562.5684000000001"/>
    <n v="1816.94"/>
    <n v="1816.94"/>
    <n v="1562.5684000000001"/>
    <n v="1816.94"/>
    <n v="0"/>
    <n v="0"/>
    <d v="2025-09-16T00:00:00"/>
    <d v="2025-08-17T00:00:00"/>
    <x v="6"/>
    <x v="1"/>
  </r>
  <r>
    <n v="676"/>
    <s v="EUR"/>
    <n v="0"/>
    <n v="0"/>
    <n v="0"/>
    <n v="19036.89"/>
    <n v="19036.89"/>
    <n v="22082.792399999998"/>
    <n v="0"/>
    <n v="0"/>
    <d v="2025-10-16T00:00:00"/>
    <d v="2025-09-16T00:00:00"/>
    <x v="0"/>
    <x v="1"/>
  </r>
  <r>
    <n v="677"/>
    <s v="EUR"/>
    <n v="8304.42"/>
    <n v="8304.42"/>
    <n v="9633.127199999999"/>
    <n v="8304.42"/>
    <n v="8304.42"/>
    <n v="9633.127199999999"/>
    <n v="0"/>
    <n v="0"/>
    <d v="2025-09-24T00:00:00"/>
    <d v="2025-08-25T00:00:00"/>
    <x v="6"/>
    <x v="1"/>
  </r>
  <r>
    <n v="678"/>
    <s v="USD"/>
    <n v="0"/>
    <n v="0"/>
    <n v="0"/>
    <n v="2313.5"/>
    <n v="1989.61"/>
    <n v="2313.5"/>
    <n v="0"/>
    <n v="0"/>
    <d v="2025-08-16T00:00:00"/>
    <d v="2025-07-17T00:00:00"/>
    <x v="11"/>
    <x v="1"/>
  </r>
  <r>
    <n v="679"/>
    <s v="USD"/>
    <n v="0"/>
    <n v="0"/>
    <n v="0"/>
    <n v="11383"/>
    <n v="9789.3799999999992"/>
    <n v="11383"/>
    <n v="0"/>
    <n v="0"/>
    <d v="2025-09-11T00:00:00"/>
    <d v="2025-08-12T00:00:00"/>
    <x v="6"/>
    <x v="1"/>
  </r>
  <r>
    <n v="680"/>
    <s v="USD"/>
    <n v="-9047.85"/>
    <n v="-7781.1509999999998"/>
    <n v="-9047.85"/>
    <n v="10136.19"/>
    <n v="8717.1234000000004"/>
    <n v="10136.19"/>
    <n v="0"/>
    <n v="0"/>
    <d v="2025-11-12T00:00:00"/>
    <d v="2025-10-13T00:00:00"/>
    <x v="2"/>
    <x v="1"/>
  </r>
  <r>
    <n v="681"/>
    <s v="EUR"/>
    <n v="5436.24"/>
    <n v="5436.24"/>
    <n v="6306.0383999999995"/>
    <n v="5436.24"/>
    <n v="5436.24"/>
    <n v="6306.0383999999995"/>
    <n v="0"/>
    <n v="0"/>
    <d v="2025-10-17T00:00:00"/>
    <d v="2025-09-17T00:00:00"/>
    <x v="0"/>
    <x v="1"/>
  </r>
  <r>
    <n v="683"/>
    <s v="GPB"/>
    <n v="0"/>
    <n v="0"/>
    <n v="0"/>
    <n v="3081"/>
    <n v="3543.1499999999996"/>
    <n v="4128.54"/>
    <n v="0"/>
    <n v="0"/>
    <d v="2025-09-08T00:00:00"/>
    <d v="2025-08-09T00:00:00"/>
    <x v="6"/>
    <x v="1"/>
  </r>
  <r>
    <n v="684"/>
    <s v="USD"/>
    <n v="0"/>
    <n v="0"/>
    <n v="0"/>
    <n v="194.6"/>
    <n v="167.35599999999999"/>
    <n v="194.6"/>
    <n v="0"/>
    <n v="0"/>
    <d v="2025-08-18T00:00:00"/>
    <d v="2025-07-19T00:00:00"/>
    <x v="11"/>
    <x v="1"/>
  </r>
  <r>
    <n v="686"/>
    <s v="EUR"/>
    <n v="0"/>
    <n v="0"/>
    <n v="0"/>
    <n v="2417.65"/>
    <n v="2417.65"/>
    <n v="2804.4739999999997"/>
    <n v="0"/>
    <n v="0"/>
    <d v="2025-09-23T00:00:00"/>
    <d v="2025-08-24T00:00:00"/>
    <x v="6"/>
    <x v="1"/>
  </r>
  <r>
    <n v="687"/>
    <s v="USD"/>
    <n v="1905.2"/>
    <n v="1638.472"/>
    <n v="1905.2"/>
    <n v="645.5"/>
    <n v="555.13"/>
    <n v="645.5"/>
    <n v="1259.7"/>
    <n v="1259.7"/>
    <d v="2025-09-03T00:00:00"/>
    <d v="2025-08-04T00:00:00"/>
    <x v="6"/>
    <x v="1"/>
  </r>
  <r>
    <n v="688"/>
    <s v="EUR"/>
    <n v="8775.9"/>
    <n v="8775.9"/>
    <n v="10180.043999999998"/>
    <n v="8775.9"/>
    <n v="8775.9"/>
    <n v="10180.043999999998"/>
    <n v="0"/>
    <n v="0"/>
    <d v="2025-09-23T00:00:00"/>
    <d v="2025-08-24T00:00:00"/>
    <x v="6"/>
    <x v="1"/>
  </r>
  <r>
    <n v="689"/>
    <s v="USD"/>
    <n v="11224.95"/>
    <n v="9653.4570000000003"/>
    <n v="11224.95"/>
    <n v="11224.95"/>
    <n v="9653.4570000000003"/>
    <n v="11224.95"/>
    <n v="0"/>
    <n v="0"/>
    <d v="2025-09-13T00:00:00"/>
    <d v="2025-08-14T00:00:00"/>
    <x v="6"/>
    <x v="1"/>
  </r>
  <r>
    <n v="690"/>
    <s v="USD"/>
    <n v="24086.01"/>
    <n v="20713.968599999997"/>
    <n v="24086.01"/>
    <n v="24086.01"/>
    <n v="20713.968599999997"/>
    <n v="24086.01"/>
    <n v="0"/>
    <n v="0"/>
    <d v="2025-09-13T00:00:00"/>
    <d v="2025-08-14T00:00:00"/>
    <x v="6"/>
    <x v="1"/>
  </r>
  <r>
    <n v="691"/>
    <s v="USD"/>
    <n v="1016.98"/>
    <n v="874.6028"/>
    <n v="1016.98"/>
    <n v="1016.98"/>
    <n v="874.6028"/>
    <n v="1016.98"/>
    <n v="0"/>
    <n v="0"/>
    <d v="2025-09-23T00:00:00"/>
    <d v="2025-08-24T00:00:00"/>
    <x v="6"/>
    <x v="1"/>
  </r>
  <r>
    <n v="692"/>
    <s v="USD"/>
    <n v="0"/>
    <n v="0"/>
    <n v="0"/>
    <n v="3288.3"/>
    <n v="2827.9380000000001"/>
    <n v="3288.3"/>
    <n v="0"/>
    <n v="0"/>
    <d v="2025-09-12T00:00:00"/>
    <d v="2025-08-13T00:00:00"/>
    <x v="6"/>
    <x v="1"/>
  </r>
  <r>
    <n v="693"/>
    <s v="EUR"/>
    <n v="0"/>
    <n v="0"/>
    <n v="0"/>
    <n v="6460"/>
    <n v="6460"/>
    <n v="7493.5999999999995"/>
    <n v="0"/>
    <n v="0"/>
    <d v="2025-09-18T00:00:00"/>
    <d v="2025-08-19T00:00:00"/>
    <x v="6"/>
    <x v="1"/>
  </r>
  <r>
    <n v="694"/>
    <s v="EUR"/>
    <n v="0"/>
    <n v="0"/>
    <n v="0"/>
    <n v="6975"/>
    <n v="6975"/>
    <n v="8090.9999999999991"/>
    <n v="0"/>
    <n v="0"/>
    <d v="2025-09-07T00:00:00"/>
    <d v="2025-08-08T00:00:00"/>
    <x v="6"/>
    <x v="1"/>
  </r>
  <r>
    <n v="695"/>
    <s v="USD"/>
    <n v="42379.15"/>
    <n v="36446.069000000003"/>
    <n v="42379.15"/>
    <n v="42379.15"/>
    <n v="36446.069000000003"/>
    <n v="42379.15"/>
    <n v="0"/>
    <n v="0"/>
    <d v="2025-10-07T00:00:00"/>
    <d v="2025-09-07T00:00:00"/>
    <x v="0"/>
    <x v="1"/>
  </r>
  <r>
    <n v="696"/>
    <s v="USD"/>
    <n v="1337.9999999999964"/>
    <n v="1150.6799999999969"/>
    <n v="1337.9999999999964"/>
    <n v="24845.21"/>
    <n v="21366.8806"/>
    <n v="24845.21"/>
    <n v="0"/>
    <n v="0"/>
    <d v="2025-10-30T00:00:00"/>
    <d v="2025-09-30T00:00:00"/>
    <x v="0"/>
    <x v="1"/>
  </r>
  <r>
    <n v="697"/>
    <s v="USD"/>
    <n v="4478"/>
    <n v="3851.08"/>
    <n v="4478"/>
    <n v="4478"/>
    <n v="3851.08"/>
    <n v="4478"/>
    <n v="0"/>
    <n v="0"/>
    <d v="2025-09-14T00:00:00"/>
    <d v="2025-08-15T00:00:00"/>
    <x v="6"/>
    <x v="1"/>
  </r>
  <r>
    <n v="698"/>
    <s v="USD"/>
    <n v="1000"/>
    <n v="860"/>
    <n v="1000"/>
    <n v="1000"/>
    <n v="860"/>
    <n v="1000"/>
    <n v="0"/>
    <n v="0"/>
    <d v="2026-07-20T00:00:00"/>
    <d v="2026-06-20T00:00:00"/>
    <x v="3"/>
    <x v="2"/>
  </r>
  <r>
    <n v="699"/>
    <s v="USD"/>
    <n v="0"/>
    <n v="0"/>
    <n v="0"/>
    <n v="1825"/>
    <n v="1569.5"/>
    <n v="1825"/>
    <n v="0"/>
    <n v="0"/>
    <d v="2025-06-11T00:00:00"/>
    <d v="2025-05-12T00:00:00"/>
    <x v="10"/>
    <x v="1"/>
  </r>
  <r>
    <n v="700"/>
    <s v="USD"/>
    <n v="0"/>
    <n v="0"/>
    <n v="0"/>
    <n v="260"/>
    <n v="223.6"/>
    <n v="260"/>
    <n v="0"/>
    <n v="0"/>
    <d v="2025-07-06T00:00:00"/>
    <d v="2025-06-06T00:00:00"/>
    <x v="3"/>
    <x v="1"/>
  </r>
  <r>
    <n v="701"/>
    <s v="USD"/>
    <n v="0"/>
    <n v="0"/>
    <n v="0"/>
    <n v="3915"/>
    <n v="3366.9"/>
    <n v="3915"/>
    <n v="0"/>
    <n v="0"/>
    <d v="2025-08-16T00:00:00"/>
    <d v="2025-07-17T00:00:00"/>
    <x v="11"/>
    <x v="1"/>
  </r>
  <r>
    <n v="702"/>
    <s v="USD"/>
    <n v="0"/>
    <n v="0"/>
    <n v="0"/>
    <n v="796.16"/>
    <n v="684.69759999999997"/>
    <n v="796.16"/>
    <n v="0"/>
    <n v="0"/>
    <d v="2025-11-01T00:00:00"/>
    <d v="2025-10-02T00:00:00"/>
    <x v="2"/>
    <x v="1"/>
  </r>
  <r>
    <n v="703"/>
    <s v="USD"/>
    <n v="113794.98"/>
    <n v="97863.682799999995"/>
    <n v="113794.98"/>
    <n v="23855.18"/>
    <n v="20515.4548"/>
    <n v="23855.18"/>
    <n v="89939.799999999988"/>
    <n v="89939.799999999988"/>
    <d v="2026-05-19T00:00:00"/>
    <d v="2026-04-19T00:00:00"/>
    <x v="4"/>
    <x v="2"/>
  </r>
  <r>
    <n v="704"/>
    <s v="USD"/>
    <n v="0"/>
    <n v="0"/>
    <n v="0"/>
    <n v="9825.94"/>
    <n v="8450.3083999999999"/>
    <n v="9825.94"/>
    <n v="0"/>
    <n v="0"/>
    <d v="2025-08-07T00:00:00"/>
    <d v="2025-07-08T00:00:00"/>
    <x v="11"/>
    <x v="1"/>
  </r>
  <r>
    <n v="706"/>
    <s v="USD"/>
    <n v="21309.989999999998"/>
    <n v="18326.591399999998"/>
    <n v="21309.989999999998"/>
    <n v="31644.09"/>
    <n v="27213.917399999998"/>
    <n v="31644.09"/>
    <n v="0"/>
    <n v="0"/>
    <d v="2025-10-20T00:00:00"/>
    <d v="2025-09-20T00:00:00"/>
    <x v="0"/>
    <x v="1"/>
  </r>
  <r>
    <n v="707"/>
    <s v="USD"/>
    <n v="17935.049999999996"/>
    <n v="15424.142999999996"/>
    <n v="17935.049999999996"/>
    <n v="47722.35"/>
    <n v="41041.220999999998"/>
    <n v="47722.35"/>
    <n v="0"/>
    <n v="0"/>
    <d v="2026-01-11T00:00:00"/>
    <d v="2025-12-12T00:00:00"/>
    <x v="7"/>
    <x v="1"/>
  </r>
  <r>
    <n v="709"/>
    <s v="CHF"/>
    <n v="0"/>
    <n v="0"/>
    <n v="0"/>
    <n v="3780"/>
    <n v="4044.6000000000004"/>
    <n v="4725"/>
    <n v="0"/>
    <n v="0"/>
    <d v="2025-07-27T00:00:00"/>
    <d v="2025-06-27T00:00:00"/>
    <x v="3"/>
    <x v="1"/>
  </r>
  <r>
    <n v="710"/>
    <s v="EUR"/>
    <n v="170"/>
    <n v="170"/>
    <n v="197.2"/>
    <n v="6195"/>
    <n v="6195"/>
    <n v="7186.2"/>
    <n v="0"/>
    <n v="0"/>
    <d v="2025-09-19T00:00:00"/>
    <d v="2025-08-20T00:00:00"/>
    <x v="6"/>
    <x v="1"/>
  </r>
  <r>
    <n v="711"/>
    <s v="EUR"/>
    <n v="2439.8199999999997"/>
    <n v="2439.8199999999997"/>
    <n v="2830.1911999999993"/>
    <n v="7725.82"/>
    <n v="7725.82"/>
    <n v="8961.9511999999995"/>
    <n v="0"/>
    <n v="0"/>
    <d v="2025-09-19T00:00:00"/>
    <d v="2025-08-20T00:00:00"/>
    <x v="6"/>
    <x v="1"/>
  </r>
  <r>
    <n v="712"/>
    <s v="EUR"/>
    <n v="0"/>
    <n v="0"/>
    <n v="0"/>
    <n v="12080"/>
    <n v="12080"/>
    <n v="14012.8"/>
    <n v="0"/>
    <n v="0"/>
    <d v="2025-08-04T00:00:00"/>
    <d v="2025-07-05T00:00:00"/>
    <x v="11"/>
    <x v="1"/>
  </r>
  <r>
    <n v="713"/>
    <s v="GPB"/>
    <n v="6000"/>
    <n v="6899.9999999999991"/>
    <n v="8040.0000000000009"/>
    <n v="6000"/>
    <n v="6899.9999999999991"/>
    <n v="8040.0000000000009"/>
    <n v="0"/>
    <n v="0"/>
    <d v="2025-10-01T00:00:00"/>
    <d v="2025-09-01T00:00:00"/>
    <x v="0"/>
    <x v="1"/>
  </r>
  <r>
    <n v="714"/>
    <s v="USD"/>
    <n v="0"/>
    <n v="0"/>
    <n v="0"/>
    <n v="35813"/>
    <n v="30799.18"/>
    <n v="35813"/>
    <n v="0"/>
    <n v="0"/>
    <d v="2025-04-06T00:00:00"/>
    <d v="2025-03-07T00:00:00"/>
    <x v="9"/>
    <x v="1"/>
  </r>
  <r>
    <n v="715"/>
    <s v="MXN"/>
    <n v="0"/>
    <n v="0"/>
    <n v="0"/>
    <n v="30166.35"/>
    <n v="1447.9848"/>
    <n v="1689.3155999999999"/>
    <n v="0"/>
    <n v="0"/>
    <d v="2025-08-28T00:00:00"/>
    <d v="2025-07-29T00:00:00"/>
    <x v="11"/>
    <x v="1"/>
  </r>
  <r>
    <n v="716"/>
    <s v="USD"/>
    <n v="0"/>
    <n v="0"/>
    <n v="0"/>
    <n v="384.51"/>
    <n v="330.67859999999996"/>
    <n v="384.51"/>
    <n v="0"/>
    <n v="0"/>
    <d v="2025-06-22T00:00:00"/>
    <d v="2025-05-23T00:00:00"/>
    <x v="10"/>
    <x v="1"/>
  </r>
  <r>
    <n v="721"/>
    <s v="MXN"/>
    <n v="49552.86"/>
    <n v="2378.53728"/>
    <n v="2774.9601600000001"/>
    <n v="49552.86"/>
    <n v="2378.53728"/>
    <n v="2774.9601600000001"/>
    <n v="0"/>
    <n v="0"/>
    <d v="2025-10-23T00:00:00"/>
    <d v="2025-09-23T00:00:00"/>
    <x v="0"/>
    <x v="1"/>
  </r>
  <r>
    <n v="722"/>
    <s v="USD"/>
    <n v="0"/>
    <n v="0"/>
    <n v="0"/>
    <n v="1349"/>
    <n v="1160.1399999999999"/>
    <n v="1349"/>
    <n v="0"/>
    <n v="0"/>
    <d v="2025-08-02T00:00:00"/>
    <d v="2025-07-03T00:00:00"/>
    <x v="11"/>
    <x v="1"/>
  </r>
  <r>
    <n v="724"/>
    <s v="USD"/>
    <n v="1890.46"/>
    <n v="1625.7955999999999"/>
    <n v="1890.46"/>
    <n v="1890.46"/>
    <n v="1625.7955999999999"/>
    <n v="1890.46"/>
    <n v="0"/>
    <n v="0"/>
    <d v="2025-01-01T00:00:00"/>
    <d v="2024-12-02T00:00:00"/>
    <x v="7"/>
    <x v="0"/>
  </r>
  <r>
    <n v="725"/>
    <s v="USD"/>
    <n v="23081.200000000001"/>
    <n v="19849.831999999999"/>
    <n v="23081.200000000001"/>
    <n v="21713.59"/>
    <n v="18673.687399999999"/>
    <n v="21713.59"/>
    <n v="1367.6100000000006"/>
    <n v="1367.6100000000006"/>
    <d v="2025-10-07T00:00:00"/>
    <d v="2025-09-07T00:00:00"/>
    <x v="0"/>
    <x v="1"/>
  </r>
  <r>
    <n v="727"/>
    <s v="USD"/>
    <n v="38969"/>
    <n v="33513.339999999997"/>
    <n v="38969"/>
    <n v="97838.13"/>
    <n v="84140.791800000006"/>
    <n v="97838.13"/>
    <n v="0"/>
    <n v="0"/>
    <d v="2025-11-14T00:00:00"/>
    <d v="2025-10-15T00:00:00"/>
    <x v="2"/>
    <x v="1"/>
  </r>
  <r>
    <n v="728"/>
    <s v="USD"/>
    <n v="0"/>
    <n v="0"/>
    <n v="0"/>
    <n v="6075"/>
    <n v="5224.5"/>
    <n v="6075"/>
    <n v="0"/>
    <n v="0"/>
    <d v="2025-09-14T00:00:00"/>
    <d v="2025-08-15T00:00:00"/>
    <x v="6"/>
    <x v="1"/>
  </r>
  <r>
    <n v="729"/>
    <s v="USD"/>
    <n v="0"/>
    <n v="0"/>
    <n v="0"/>
    <n v="17512"/>
    <n v="15060.32"/>
    <n v="17512"/>
    <n v="0"/>
    <n v="0"/>
    <d v="2025-07-19T00:00:00"/>
    <d v="2025-06-19T00:00:00"/>
    <x v="3"/>
    <x v="1"/>
  </r>
  <r>
    <n v="730"/>
    <s v="USD"/>
    <n v="0"/>
    <n v="0"/>
    <n v="0"/>
    <n v="9701.2199999999993"/>
    <n v="8343.0491999999995"/>
    <n v="9701.2199999999993"/>
    <n v="0"/>
    <n v="0"/>
    <d v="2025-07-23T00:00:00"/>
    <d v="2025-06-23T00:00:00"/>
    <x v="3"/>
    <x v="1"/>
  </r>
  <r>
    <n v="731"/>
    <s v="USD"/>
    <n v="0"/>
    <n v="0"/>
    <n v="0"/>
    <n v="16650"/>
    <n v="14319"/>
    <n v="16650"/>
    <n v="0"/>
    <n v="0"/>
    <d v="2025-12-31T00:00:00"/>
    <d v="2025-12-01T00:00:00"/>
    <x v="7"/>
    <x v="1"/>
  </r>
  <r>
    <n v="732"/>
    <s v="USD"/>
    <n v="2452.6799999999998"/>
    <n v="2109.3047999999999"/>
    <n v="2452.6799999999998"/>
    <n v="2452.6799999999998"/>
    <n v="2109.3047999999999"/>
    <n v="2452.6799999999998"/>
    <n v="0"/>
    <n v="0"/>
    <d v="2025-12-04T00:00:00"/>
    <d v="2025-11-04T00:00:00"/>
    <x v="1"/>
    <x v="1"/>
  </r>
  <r>
    <n v="733"/>
    <s v="USD"/>
    <n v="101764.52"/>
    <n v="87517.487200000003"/>
    <n v="101764.52"/>
    <n v="51324.52"/>
    <n v="44139.087199999994"/>
    <n v="51324.52"/>
    <n v="50440.000000000007"/>
    <n v="50440.000000000007"/>
    <d v="2026-02-09T00:00:00"/>
    <d v="2026-01-10T00:00:00"/>
    <x v="8"/>
    <x v="2"/>
  </r>
  <r>
    <n v="734"/>
    <s v="USD"/>
    <n v="0"/>
    <n v="0"/>
    <n v="0"/>
    <n v="9616.31"/>
    <n v="8270.0265999999992"/>
    <n v="9616.31"/>
    <n v="0"/>
    <n v="0"/>
    <d v="2025-10-10T00:00:00"/>
    <d v="2025-09-10T00:00:00"/>
    <x v="0"/>
    <x v="1"/>
  </r>
  <r>
    <n v="735"/>
    <s v="USD"/>
    <n v="72006.8"/>
    <n v="61925.847999999998"/>
    <n v="72006.8"/>
    <n v="72006.8"/>
    <n v="61925.847999999998"/>
    <n v="72006.8"/>
    <n v="0"/>
    <n v="0"/>
    <d v="2025-10-21T00:00:00"/>
    <d v="2025-09-21T00:00:00"/>
    <x v="0"/>
    <x v="1"/>
  </r>
  <r>
    <n v="736"/>
    <s v="USD"/>
    <n v="13900"/>
    <n v="11954"/>
    <n v="13900"/>
    <n v="13900"/>
    <n v="11954"/>
    <n v="13900"/>
    <n v="0"/>
    <n v="0"/>
    <d v="2026-06-11T00:00:00"/>
    <d v="2026-05-12T00:00:00"/>
    <x v="10"/>
    <x v="2"/>
  </r>
  <r>
    <n v="737"/>
    <s v="EUR"/>
    <n v="0"/>
    <n v="0"/>
    <n v="0"/>
    <n v="5070"/>
    <n v="5070"/>
    <n v="5881.2"/>
    <n v="0"/>
    <n v="0"/>
    <d v="2025-08-24T00:00:00"/>
    <d v="2025-07-25T00:00:00"/>
    <x v="11"/>
    <x v="1"/>
  </r>
  <r>
    <n v="738"/>
    <s v="EUR"/>
    <n v="0"/>
    <n v="0"/>
    <n v="0"/>
    <n v="2253.0500000000002"/>
    <n v="2253.0500000000002"/>
    <n v="2613.538"/>
    <n v="0"/>
    <n v="0"/>
    <d v="2025-07-10T00:00:00"/>
    <d v="2025-06-10T00:00:00"/>
    <x v="3"/>
    <x v="1"/>
  </r>
  <r>
    <n v="739"/>
    <s v="EUR"/>
    <n v="2739.6900000000005"/>
    <n v="2739.6900000000005"/>
    <n v="3178.0404000000003"/>
    <n v="9199.69"/>
    <n v="9199.69"/>
    <n v="10671.6404"/>
    <n v="0"/>
    <n v="0"/>
    <d v="2026-01-08T00:00:00"/>
    <d v="2025-12-09T00:00:00"/>
    <x v="7"/>
    <x v="1"/>
  </r>
  <r>
    <n v="740"/>
    <s v="USD"/>
    <n v="0"/>
    <n v="0"/>
    <n v="0"/>
    <n v="20705.8"/>
    <n v="17806.987999999998"/>
    <n v="20705.8"/>
    <n v="0"/>
    <n v="0"/>
    <d v="2025-07-08T00:00:00"/>
    <d v="2025-06-08T00:00:00"/>
    <x v="3"/>
    <x v="1"/>
  </r>
  <r>
    <n v="742"/>
    <s v="EUR"/>
    <n v="2696.6000000000004"/>
    <n v="2696.6000000000004"/>
    <n v="3128.056"/>
    <n v="14996.6"/>
    <n v="14996.6"/>
    <n v="17396.056"/>
    <n v="0"/>
    <n v="0"/>
    <d v="2025-10-03T00:00:00"/>
    <d v="2025-09-03T00:00:00"/>
    <x v="0"/>
    <x v="1"/>
  </r>
  <r>
    <n v="743"/>
    <s v="USD"/>
    <n v="13602.779999999999"/>
    <n v="11698.390799999999"/>
    <n v="13602.779999999999"/>
    <n v="45104.93"/>
    <n v="38790.239800000003"/>
    <n v="45104.93"/>
    <n v="-11.760000000002037"/>
    <n v="-11.760000000002037"/>
    <d v="2025-11-11T00:00:00"/>
    <d v="2025-10-12T00:00:00"/>
    <x v="2"/>
    <x v="1"/>
  </r>
  <r>
    <n v="744"/>
    <s v="USD"/>
    <n v="20094.14"/>
    <n v="17280.9604"/>
    <n v="20094.14"/>
    <n v="22009.16"/>
    <n v="18927.8776"/>
    <n v="22009.16"/>
    <n v="0"/>
    <n v="0"/>
    <d v="2025-11-05T00:00:00"/>
    <d v="2025-10-06T00:00:00"/>
    <x v="2"/>
    <x v="1"/>
  </r>
  <r>
    <n v="745"/>
    <s v="USD"/>
    <n v="0"/>
    <n v="0"/>
    <n v="0"/>
    <n v="11714.05"/>
    <n v="10074.082999999999"/>
    <n v="11714.05"/>
    <n v="0"/>
    <n v="0"/>
    <d v="2025-11-06T00:00:00"/>
    <d v="2025-10-07T00:00:00"/>
    <x v="2"/>
    <x v="1"/>
  </r>
  <r>
    <n v="746"/>
    <s v="USD"/>
    <n v="12072.83"/>
    <n v="10382.6338"/>
    <n v="12072.83"/>
    <n v="7698.88"/>
    <n v="6621.0367999999999"/>
    <n v="7698.88"/>
    <n v="4373.95"/>
    <n v="4373.95"/>
    <d v="2026-03-25T00:00:00"/>
    <d v="2026-02-23T00:00:00"/>
    <x v="5"/>
    <x v="2"/>
  </r>
  <r>
    <n v="748"/>
    <s v="USD"/>
    <n v="54234.8"/>
    <n v="46641.928"/>
    <n v="54234.8"/>
    <n v="54234.8"/>
    <n v="46641.928"/>
    <n v="54234.8"/>
    <n v="0"/>
    <n v="0"/>
    <d v="2025-10-28T00:00:00"/>
    <d v="2025-09-28T00:00:00"/>
    <x v="0"/>
    <x v="1"/>
  </r>
  <r>
    <n v="749"/>
    <s v="USD"/>
    <n v="0"/>
    <n v="0"/>
    <n v="0"/>
    <n v="13873.49"/>
    <n v="11931.2014"/>
    <n v="13873.49"/>
    <n v="0"/>
    <n v="0"/>
    <d v="2025-10-04T00:00:00"/>
    <d v="2025-09-04T00:00:00"/>
    <x v="0"/>
    <x v="1"/>
  </r>
  <r>
    <n v="750"/>
    <s v="USD"/>
    <n v="48691"/>
    <n v="41874.26"/>
    <n v="48691"/>
    <n v="42851.16"/>
    <n v="36851.997600000002"/>
    <n v="42851.16"/>
    <n v="16287.839999999997"/>
    <n v="16287.839999999997"/>
    <d v="2025-10-30T00:00:00"/>
    <d v="2025-09-30T00:00:00"/>
    <x v="0"/>
    <x v="1"/>
  </r>
  <r>
    <n v="751"/>
    <s v="EUR"/>
    <n v="0"/>
    <n v="0"/>
    <n v="0"/>
    <n v="27327"/>
    <n v="27327"/>
    <n v="31699.319999999996"/>
    <n v="0"/>
    <n v="0"/>
    <d v="2025-11-19T00:00:00"/>
    <d v="2025-10-20T00:00:00"/>
    <x v="2"/>
    <x v="1"/>
  </r>
  <r>
    <n v="752"/>
    <s v="MXN"/>
    <n v="38190"/>
    <n v="1833.1200000000001"/>
    <n v="2138.64"/>
    <n v="57810"/>
    <n v="2774.88"/>
    <n v="3237.36"/>
    <n v="0"/>
    <n v="0"/>
    <d v="2025-10-22T00:00:00"/>
    <d v="2025-09-22T00:00:00"/>
    <x v="0"/>
    <x v="1"/>
  </r>
  <r>
    <n v="753"/>
    <s v="USD"/>
    <n v="3396.01"/>
    <n v="2920.5686000000001"/>
    <n v="3396.01"/>
    <n v="9449.61"/>
    <n v="8126.6646000000001"/>
    <n v="9449.61"/>
    <n v="0"/>
    <n v="0"/>
    <d v="2025-10-26T00:00:00"/>
    <d v="2025-09-26T00:00:00"/>
    <x v="0"/>
    <x v="1"/>
  </r>
  <r>
    <n v="754"/>
    <s v="USD"/>
    <n v="74842.84"/>
    <n v="64364.842399999994"/>
    <n v="74842.84"/>
    <n v="74842.84"/>
    <n v="64364.842399999994"/>
    <n v="74842.84"/>
    <n v="0"/>
    <n v="0"/>
    <d v="2025-12-14T00:00:00"/>
    <d v="2025-11-14T00:00:00"/>
    <x v="1"/>
    <x v="1"/>
  </r>
  <r>
    <n v="755"/>
    <s v="USD"/>
    <n v="26438.639999999999"/>
    <n v="22737.2304"/>
    <n v="26438.639999999999"/>
    <n v="26438.639999999999"/>
    <n v="22737.2304"/>
    <n v="26438.639999999999"/>
    <n v="0"/>
    <n v="0"/>
    <d v="2025-11-07T00:00:00"/>
    <d v="2025-10-08T00:00:00"/>
    <x v="2"/>
    <x v="1"/>
  </r>
  <r>
    <n v="756"/>
    <s v="USD"/>
    <n v="27416.48"/>
    <n v="23578.1728"/>
    <n v="27416.48"/>
    <n v="27416.48"/>
    <n v="23578.1728"/>
    <n v="27416.48"/>
    <n v="0"/>
    <n v="0"/>
    <d v="2025-10-17T00:00:00"/>
    <d v="2025-09-17T00:00:00"/>
    <x v="0"/>
    <x v="1"/>
  </r>
  <r>
    <n v="757"/>
    <s v="USD"/>
    <n v="0"/>
    <n v="0"/>
    <n v="0"/>
    <n v="1067.6400000000001"/>
    <n v="918.17040000000009"/>
    <n v="1067.6400000000001"/>
    <n v="0"/>
    <n v="0"/>
    <d v="2025-09-11T00:00:00"/>
    <d v="2025-08-12T00:00:00"/>
    <x v="6"/>
    <x v="1"/>
  </r>
  <r>
    <n v="758"/>
    <s v="EUR"/>
    <n v="0"/>
    <n v="0"/>
    <n v="0"/>
    <n v="1002.1"/>
    <n v="1002.1"/>
    <n v="1162.4359999999999"/>
    <n v="0"/>
    <n v="0"/>
    <d v="2025-08-30T00:00:00"/>
    <d v="2025-07-31T00:00:00"/>
    <x v="11"/>
    <x v="1"/>
  </r>
  <r>
    <n v="759"/>
    <s v="USD"/>
    <n v="65499.65"/>
    <n v="56329.699000000001"/>
    <n v="65499.65"/>
    <n v="65499.65"/>
    <n v="56329.699000000001"/>
    <n v="65499.65"/>
    <n v="0"/>
    <n v="0"/>
    <d v="2025-08-25T00:00:00"/>
    <d v="2025-07-26T00:00:00"/>
    <x v="11"/>
    <x v="1"/>
  </r>
  <r>
    <n v="760"/>
    <s v="USD"/>
    <n v="30600"/>
    <n v="26316"/>
    <n v="30600"/>
    <n v="30600"/>
    <n v="26316"/>
    <n v="30600"/>
    <n v="0"/>
    <n v="0"/>
    <d v="2025-10-11T00:00:00"/>
    <d v="2025-09-11T00:00:00"/>
    <x v="0"/>
    <x v="1"/>
  </r>
  <r>
    <n v="761"/>
    <s v="USD"/>
    <n v="140115.49"/>
    <n v="120499.32139999999"/>
    <n v="140115.49"/>
    <n v="140115.49"/>
    <n v="120499.32139999999"/>
    <n v="140115.49"/>
    <n v="0"/>
    <n v="0"/>
    <d v="2025-12-06T00:00:00"/>
    <d v="2025-11-06T00:00:00"/>
    <x v="1"/>
    <x v="1"/>
  </r>
  <r>
    <n v="762"/>
    <s v="USD"/>
    <n v="72011.67"/>
    <n v="61930.036199999995"/>
    <n v="72011.67"/>
    <n v="72011.67"/>
    <n v="61930.036199999995"/>
    <n v="72011.67"/>
    <n v="0"/>
    <n v="0"/>
    <d v="2025-11-12T00:00:00"/>
    <d v="2025-10-13T00:00:00"/>
    <x v="2"/>
    <x v="1"/>
  </r>
  <r>
    <n v="763"/>
    <s v="EUR"/>
    <n v="6014.95"/>
    <n v="6014.95"/>
    <n v="6977.3419999999996"/>
    <n v="561"/>
    <n v="561"/>
    <n v="650.76"/>
    <n v="5453.95"/>
    <n v="6326.5819999999994"/>
    <d v="2025-12-05T00:00:00"/>
    <d v="2025-11-05T00:00:00"/>
    <x v="1"/>
    <x v="1"/>
  </r>
  <r>
    <n v="764"/>
    <s v="USD"/>
    <n v="12090.88"/>
    <n v="10398.156799999999"/>
    <n v="12090.88"/>
    <n v="2074"/>
    <n v="1783.6399999999999"/>
    <n v="2074"/>
    <n v="10016.879999999999"/>
    <n v="10016.879999999999"/>
    <d v="2026-04-25T00:00:00"/>
    <d v="2026-03-26T00:00:00"/>
    <x v="9"/>
    <x v="2"/>
  </r>
  <r>
    <n v="765"/>
    <s v="USD"/>
    <n v="0"/>
    <n v="0"/>
    <n v="0"/>
    <n v="418305.1"/>
    <n v="359742.386"/>
    <n v="418305.1"/>
    <n v="0"/>
    <n v="0"/>
    <d v="2025-12-08T00:00:00"/>
    <d v="2025-11-08T00:00:00"/>
    <x v="1"/>
    <x v="1"/>
  </r>
  <r>
    <n v="766"/>
    <s v="USD"/>
    <n v="0"/>
    <n v="0"/>
    <n v="0"/>
    <n v="17247.439999999999"/>
    <n v="14832.798399999998"/>
    <n v="17247.439999999999"/>
    <n v="0"/>
    <n v="0"/>
    <d v="2025-10-14T00:00:00"/>
    <d v="2025-09-14T00:00:00"/>
    <x v="0"/>
    <x v="1"/>
  </r>
  <r>
    <n v="767"/>
    <s v="USD"/>
    <n v="0"/>
    <n v="0"/>
    <n v="0"/>
    <n v="65660.42"/>
    <n v="56467.961199999998"/>
    <n v="65660.42"/>
    <n v="0"/>
    <n v="0"/>
    <d v="2025-10-23T00:00:00"/>
    <d v="2025-09-23T00:00:00"/>
    <x v="0"/>
    <x v="1"/>
  </r>
  <r>
    <n v="769"/>
    <s v="EUR"/>
    <n v="0"/>
    <n v="0"/>
    <n v="0"/>
    <n v="1823"/>
    <n v="1823"/>
    <n v="2114.6799999999998"/>
    <n v="0"/>
    <n v="0"/>
    <d v="2025-10-11T00:00:00"/>
    <d v="2025-09-11T00:00:00"/>
    <x v="0"/>
    <x v="1"/>
  </r>
  <r>
    <n v="770"/>
    <s v="EUR"/>
    <n v="0"/>
    <n v="0"/>
    <n v="0"/>
    <n v="5943.6"/>
    <n v="5943.6"/>
    <n v="6894.576"/>
    <n v="0"/>
    <n v="0"/>
    <d v="2025-11-22T00:00:00"/>
    <d v="2025-10-23T00:00:00"/>
    <x v="2"/>
    <x v="1"/>
  </r>
  <r>
    <n v="772"/>
    <s v="USD"/>
    <n v="10676.8"/>
    <n v="9182.0479999999989"/>
    <n v="10676.8"/>
    <n v="10676.8"/>
    <n v="9182.0479999999989"/>
    <n v="10676.8"/>
    <n v="0"/>
    <n v="0"/>
    <d v="2025-12-26T00:00:00"/>
    <d v="2025-11-26T00:00:00"/>
    <x v="1"/>
    <x v="1"/>
  </r>
  <r>
    <n v="774"/>
    <s v="JPY"/>
    <n v="0"/>
    <n v="0"/>
    <n v="0"/>
    <n v="959220"/>
    <n v="5275.71"/>
    <n v="6139.0080000000007"/>
    <n v="0"/>
    <n v="0"/>
    <d v="2025-12-23T00:00:00"/>
    <d v="2025-11-23T00:00:00"/>
    <x v="1"/>
    <x v="1"/>
  </r>
  <r>
    <n v="775"/>
    <s v="JPY"/>
    <n v="0"/>
    <n v="0"/>
    <n v="0"/>
    <n v="3689941"/>
    <n v="20294.675499999998"/>
    <n v="23615.6224"/>
    <n v="0"/>
    <n v="0"/>
    <d v="2025-12-24T00:00:00"/>
    <d v="2025-11-24T00:00:00"/>
    <x v="1"/>
    <x v="1"/>
  </r>
  <r>
    <n v="776"/>
    <s v="JPY"/>
    <n v="877203.89999999851"/>
    <n v="4824.6214499999915"/>
    <n v="5614.1049599999906"/>
    <n v="24337648.5"/>
    <n v="133857.06675"/>
    <n v="155760.9504"/>
    <n v="24150"/>
    <n v="154.56"/>
    <d v="2025-12-24T00:00:00"/>
    <d v="2025-11-24T00:00:00"/>
    <x v="1"/>
    <x v="1"/>
  </r>
  <r>
    <n v="777"/>
    <s v="EUR"/>
    <n v="177346.04"/>
    <n v="177346.04"/>
    <n v="205721.40640000001"/>
    <n v="177346.04"/>
    <n v="177346.04"/>
    <n v="205721.40640000001"/>
    <n v="0"/>
    <n v="0"/>
    <d v="2025-11-05T00:00:00"/>
    <d v="2025-10-06T00:00:00"/>
    <x v="2"/>
    <x v="1"/>
  </r>
  <r>
    <n v="778"/>
    <s v="USD"/>
    <n v="5160.68"/>
    <n v="4438.1848"/>
    <n v="5160.68"/>
    <n v="5160.68"/>
    <n v="4438.1848"/>
    <n v="5160.68"/>
    <n v="0"/>
    <n v="0"/>
    <d v="2025-12-15T00:00:00"/>
    <d v="2025-11-15T00:00:00"/>
    <x v="1"/>
    <x v="1"/>
  </r>
  <r>
    <n v="779"/>
    <s v="USD"/>
    <n v="81930.78"/>
    <n v="70460.470799999996"/>
    <n v="81930.78"/>
    <n v="81930.78"/>
    <n v="70460.470799999996"/>
    <n v="81930.78"/>
    <n v="0"/>
    <n v="0"/>
    <d v="2026-03-27T00:00:00"/>
    <d v="2026-02-25T00:00:00"/>
    <x v="5"/>
    <x v="2"/>
  </r>
  <r>
    <n v="780"/>
    <s v="USD"/>
    <n v="2697.83"/>
    <n v="2320.1338000000001"/>
    <n v="2697.83"/>
    <n v="7785.9"/>
    <n v="6695.8739999999998"/>
    <n v="7785.9"/>
    <n v="0"/>
    <n v="0"/>
    <d v="2025-11-12T00:00:00"/>
    <d v="2025-10-13T00:00:00"/>
    <x v="2"/>
    <x v="1"/>
  </r>
  <r>
    <n v="781"/>
    <s v="USD"/>
    <n v="0"/>
    <n v="0"/>
    <n v="0"/>
    <n v="8424"/>
    <n v="7244.64"/>
    <n v="8424"/>
    <n v="0"/>
    <n v="0"/>
    <d v="2025-09-25T00:00:00"/>
    <d v="2025-08-26T00:00:00"/>
    <x v="6"/>
    <x v="1"/>
  </r>
  <r>
    <n v="782"/>
    <s v="USD"/>
    <n v="4507.1999999999971"/>
    <n v="3876.1919999999973"/>
    <n v="4507.1999999999971"/>
    <n v="36083.24"/>
    <n v="31031.586399999997"/>
    <n v="36083.24"/>
    <n v="0"/>
    <n v="0"/>
    <d v="2025-12-24T00:00:00"/>
    <d v="2025-11-24T00:00:00"/>
    <x v="1"/>
    <x v="1"/>
  </r>
  <r>
    <n v="783"/>
    <s v="GBP"/>
    <n v="0"/>
    <n v="0"/>
    <n v="0"/>
    <n v="3925"/>
    <n v="4513.75"/>
    <n v="5259.5"/>
    <n v="0"/>
    <n v="0"/>
    <d v="2025-11-07T00:00:00"/>
    <d v="2025-10-08T00:00:00"/>
    <x v="2"/>
    <x v="1"/>
  </r>
  <r>
    <n v="784"/>
    <s v="EUR"/>
    <n v="1413.59"/>
    <n v="1413.59"/>
    <n v="1639.7643999999998"/>
    <n v="1413.59"/>
    <n v="1413.59"/>
    <n v="1639.7643999999998"/>
    <n v="0"/>
    <n v="0"/>
    <d v="2025-10-23T00:00:00"/>
    <d v="2025-09-23T00:00:00"/>
    <x v="0"/>
    <x v="1"/>
  </r>
  <r>
    <n v="785"/>
    <s v="USD"/>
    <n v="17118"/>
    <n v="14721.48"/>
    <n v="17118"/>
    <n v="17118"/>
    <n v="14721.48"/>
    <n v="17118"/>
    <n v="0"/>
    <n v="0"/>
    <d v="2025-10-17T00:00:00"/>
    <d v="2025-09-17T00:00:00"/>
    <x v="0"/>
    <x v="1"/>
  </r>
  <r>
    <n v="786"/>
    <s v="EUR"/>
    <n v="51375.71"/>
    <n v="51375.71"/>
    <n v="59595.823599999996"/>
    <n v="51076.95"/>
    <n v="51076.95"/>
    <n v="59249.261999999995"/>
    <n v="298.76000000000204"/>
    <n v="346.56160000000233"/>
    <d v="2025-11-21T00:00:00"/>
    <d v="2025-10-22T00:00:00"/>
    <x v="2"/>
    <x v="1"/>
  </r>
  <r>
    <n v="787"/>
    <s v="USD"/>
    <n v="0"/>
    <n v="0"/>
    <n v="0"/>
    <n v="9224.8799999999992"/>
    <n v="7933.3967999999995"/>
    <n v="9224.8799999999992"/>
    <n v="0"/>
    <n v="0"/>
    <d v="2025-11-03T00:00:00"/>
    <d v="2025-10-04T00:00:00"/>
    <x v="2"/>
    <x v="1"/>
  </r>
  <r>
    <n v="788"/>
    <s v="USD"/>
    <n v="1400"/>
    <n v="1204"/>
    <n v="1400"/>
    <n v="1400"/>
    <n v="1204"/>
    <n v="1400"/>
    <n v="0"/>
    <n v="0"/>
    <d v="2025-11-15T00:00:00"/>
    <d v="2025-10-16T00:00:00"/>
    <x v="2"/>
    <x v="1"/>
  </r>
  <r>
    <n v="789"/>
    <s v="EUR"/>
    <n v="63397.07"/>
    <n v="63397.07"/>
    <n v="73540.60119999999"/>
    <n v="46095.4"/>
    <n v="46095.4"/>
    <n v="53470.663999999997"/>
    <n v="15282.559999999998"/>
    <n v="17727.769599999996"/>
    <d v="2026-04-04T00:00:00"/>
    <d v="2026-03-05T00:00:00"/>
    <x v="9"/>
    <x v="2"/>
  </r>
  <r>
    <n v="790"/>
    <s v="USD"/>
    <n v="-75284.7"/>
    <n v="-64744.841999999997"/>
    <n v="-75284.7"/>
    <n v="15647.3"/>
    <n v="13456.678"/>
    <n v="15647.3"/>
    <n v="0"/>
    <n v="0"/>
    <d v="2025-12-22T00:00:00"/>
    <d v="2025-11-22T00:00:00"/>
    <x v="1"/>
    <x v="1"/>
  </r>
  <r>
    <n v="791"/>
    <s v="EUR"/>
    <n v="691.72"/>
    <n v="691.72"/>
    <n v="802.39519999999993"/>
    <n v="1982.72"/>
    <n v="1982.72"/>
    <n v="2299.9551999999999"/>
    <n v="0"/>
    <n v="0"/>
    <d v="2025-10-27T00:00:00"/>
    <d v="2025-09-27T00:00:00"/>
    <x v="0"/>
    <x v="1"/>
  </r>
  <r>
    <n v="792"/>
    <s v="GBP"/>
    <n v="0"/>
    <n v="0"/>
    <n v="0"/>
    <n v="930"/>
    <n v="1069.5"/>
    <n v="1246.2"/>
    <n v="0"/>
    <n v="0"/>
    <d v="2025-10-22T00:00:00"/>
    <d v="2025-09-22T00:00:00"/>
    <x v="0"/>
    <x v="1"/>
  </r>
  <r>
    <n v="793"/>
    <s v="EUR"/>
    <n v="0"/>
    <n v="0"/>
    <n v="0"/>
    <n v="4474"/>
    <n v="4474"/>
    <n v="5189.8399999999992"/>
    <n v="0"/>
    <n v="0"/>
    <d v="2026-04-28T00:00:00"/>
    <d v="2026-03-29T00:00:00"/>
    <x v="9"/>
    <x v="2"/>
  </r>
  <r>
    <n v="794"/>
    <s v="USD"/>
    <n v="15481.4"/>
    <n v="13314.003999999999"/>
    <n v="15481.4"/>
    <n v="9139.26"/>
    <n v="7859.7636000000002"/>
    <n v="9139.26"/>
    <n v="6342.1399999999994"/>
    <n v="6342.1399999999994"/>
    <d v="2026-01-05T00:00:00"/>
    <d v="2025-12-06T00:00:00"/>
    <x v="7"/>
    <x v="1"/>
  </r>
  <r>
    <n v="795"/>
    <s v="USD"/>
    <n v="0"/>
    <n v="0"/>
    <n v="0"/>
    <n v="11980.26"/>
    <n v="10303.0236"/>
    <n v="11980.26"/>
    <n v="0"/>
    <n v="0"/>
    <d v="2025-10-28T00:00:00"/>
    <d v="2025-09-28T00:00:00"/>
    <x v="0"/>
    <x v="1"/>
  </r>
  <r>
    <n v="796"/>
    <s v="EUR"/>
    <n v="32325"/>
    <n v="32325"/>
    <n v="37497"/>
    <n v="9676.0499999999993"/>
    <n v="9676.0499999999993"/>
    <n v="11224.217999999999"/>
    <n v="22648.95"/>
    <n v="26272.781999999999"/>
    <d v="2027-02-23T00:00:00"/>
    <d v="2027-01-24T00:00:00"/>
    <x v="8"/>
    <x v="4"/>
  </r>
  <r>
    <n v="797"/>
    <s v="USD"/>
    <n v="2355.44"/>
    <n v="2025.6784"/>
    <n v="2355.44"/>
    <n v="2355.44"/>
    <n v="2025.6784"/>
    <n v="2355.44"/>
    <n v="0"/>
    <n v="0"/>
    <d v="2025-11-11T00:00:00"/>
    <d v="2025-10-12T00:00:00"/>
    <x v="2"/>
    <x v="1"/>
  </r>
  <r>
    <n v="798"/>
    <s v="USD"/>
    <n v="0"/>
    <n v="0"/>
    <n v="0"/>
    <n v="5300"/>
    <n v="4558"/>
    <n v="5300"/>
    <n v="0"/>
    <n v="0"/>
    <d v="2025-12-03T00:00:00"/>
    <d v="2025-11-03T00:00:00"/>
    <x v="1"/>
    <x v="1"/>
  </r>
  <r>
    <n v="799"/>
    <s v="JPY"/>
    <n v="0"/>
    <n v="0"/>
    <n v="0"/>
    <n v="2233369"/>
    <n v="12283.529499999999"/>
    <n v="14293.561600000001"/>
    <n v="0"/>
    <n v="0"/>
    <d v="2025-12-27T00:00:00"/>
    <d v="2025-11-27T00:00:00"/>
    <x v="1"/>
    <x v="1"/>
  </r>
  <r>
    <n v="800"/>
    <s v="USD"/>
    <n v="19306.560000000001"/>
    <n v="16603.641600000003"/>
    <n v="19306.560000000001"/>
    <n v="15684.34"/>
    <n v="13488.5324"/>
    <n v="15684.34"/>
    <n v="3622.2200000000012"/>
    <n v="3622.2200000000012"/>
    <d v="2025-11-06T00:00:00"/>
    <d v="2025-10-07T00:00:00"/>
    <x v="2"/>
    <x v="1"/>
  </r>
  <r>
    <n v="802"/>
    <s v="USD"/>
    <n v="0"/>
    <n v="0"/>
    <n v="0"/>
    <n v="858.4"/>
    <n v="738.22399999999993"/>
    <n v="858.4"/>
    <n v="0"/>
    <n v="0"/>
    <d v="2025-10-24T00:00:00"/>
    <d v="2025-09-24T00:00:00"/>
    <x v="0"/>
    <x v="1"/>
  </r>
  <r>
    <n v="803"/>
    <s v="MXN"/>
    <n v="0"/>
    <n v="0"/>
    <n v="0"/>
    <n v="10075"/>
    <n v="483.6"/>
    <n v="564.20000000000005"/>
    <n v="0"/>
    <n v="0"/>
    <d v="2025-10-25T00:00:00"/>
    <d v="2025-09-25T00:00:00"/>
    <x v="0"/>
    <x v="1"/>
  </r>
  <r>
    <n v="804"/>
    <s v="USD"/>
    <n v="1672.78"/>
    <n v="1438.5907999999999"/>
    <n v="1672.78"/>
    <n v="1672.8"/>
    <n v="1438.6079999999999"/>
    <n v="1672.8"/>
    <n v="-1.999999999998181E-2"/>
    <n v="-1.999999999998181E-2"/>
    <d v="2025-11-06T00:00:00"/>
    <d v="2025-10-07T00:00:00"/>
    <x v="2"/>
    <x v="1"/>
  </r>
  <r>
    <n v="805"/>
    <s v="USD"/>
    <n v="0"/>
    <n v="0"/>
    <n v="0"/>
    <n v="1238.3"/>
    <n v="1064.9379999999999"/>
    <n v="1238.3"/>
    <n v="0"/>
    <n v="0"/>
    <d v="2025-09-26T00:00:00"/>
    <d v="2025-08-27T00:00:00"/>
    <x v="6"/>
    <x v="1"/>
  </r>
  <r>
    <n v="806"/>
    <s v="USD"/>
    <n v="0"/>
    <n v="0"/>
    <n v="0"/>
    <n v="14262"/>
    <n v="12265.32"/>
    <n v="14262"/>
    <n v="0"/>
    <n v="0"/>
    <d v="2025-11-12T00:00:00"/>
    <d v="2025-10-13T00:00:00"/>
    <x v="2"/>
    <x v="1"/>
  </r>
  <r>
    <n v="807"/>
    <s v="USD"/>
    <n v="146203.39000000001"/>
    <n v="125734.91540000001"/>
    <n v="146203.39000000001"/>
    <n v="128333.78"/>
    <n v="110367.0508"/>
    <n v="128333.78"/>
    <n v="17869.610000000015"/>
    <n v="17869.610000000015"/>
    <d v="2025-12-14T00:00:00"/>
    <d v="2025-11-14T00:00:00"/>
    <x v="1"/>
    <x v="1"/>
  </r>
  <r>
    <n v="808"/>
    <s v="EUR"/>
    <n v="33150.06"/>
    <n v="33150.06"/>
    <n v="38454.069599999995"/>
    <n v="28565"/>
    <n v="28565"/>
    <n v="33135.399999999994"/>
    <n v="4585.0599999999977"/>
    <n v="5318.6695999999965"/>
    <d v="2025-12-17T00:00:00"/>
    <d v="2025-11-17T00:00:00"/>
    <x v="1"/>
    <x v="1"/>
  </r>
  <r>
    <n v="809"/>
    <s v="MXN"/>
    <n v="151470"/>
    <n v="7270.56"/>
    <n v="8482.32"/>
    <n v="151470"/>
    <n v="7270.56"/>
    <n v="8482.32"/>
    <n v="0"/>
    <n v="0"/>
    <d v="2026-02-12T00:00:00"/>
    <d v="2026-01-13T00:00:00"/>
    <x v="8"/>
    <x v="2"/>
  </r>
  <r>
    <n v="810"/>
    <s v="USD"/>
    <n v="4047.46"/>
    <n v="3480.8155999999999"/>
    <n v="4047.46"/>
    <n v="4047.46"/>
    <n v="3480.8155999999999"/>
    <n v="4047.46"/>
    <n v="0"/>
    <n v="0"/>
    <d v="2026-02-07T00:00:00"/>
    <d v="2026-01-08T00:00:00"/>
    <x v="8"/>
    <x v="2"/>
  </r>
  <r>
    <n v="811"/>
    <s v="USD"/>
    <n v="7172.88"/>
    <n v="6168.6768000000002"/>
    <n v="7172.88"/>
    <n v="7172.88"/>
    <n v="6168.6768000000002"/>
    <n v="7172.88"/>
    <n v="0"/>
    <n v="0"/>
    <d v="2025-11-14T00:00:00"/>
    <d v="2025-10-15T00:00:00"/>
    <x v="2"/>
    <x v="1"/>
  </r>
  <r>
    <n v="812"/>
    <s v="USD"/>
    <n v="25901.97"/>
    <n v="22275.694200000002"/>
    <n v="25901.97"/>
    <n v="25901.97"/>
    <n v="22275.694200000002"/>
    <n v="25901.97"/>
    <n v="0"/>
    <n v="0"/>
    <d v="2025-12-03T00:00:00"/>
    <d v="2025-11-03T00:00:00"/>
    <x v="1"/>
    <x v="1"/>
  </r>
  <r>
    <n v="813"/>
    <s v="EUR"/>
    <n v="78073.98"/>
    <n v="78073.98"/>
    <n v="90565.816799999986"/>
    <n v="78073.98"/>
    <n v="78073.98"/>
    <n v="90565.816799999986"/>
    <n v="0"/>
    <n v="0"/>
    <d v="2025-12-14T00:00:00"/>
    <d v="2025-11-14T00:00:00"/>
    <x v="1"/>
    <x v="1"/>
  </r>
  <r>
    <n v="814"/>
    <s v="EUR"/>
    <n v="10102.64"/>
    <n v="10102.64"/>
    <n v="11719.062399999999"/>
    <n v="3272"/>
    <n v="3272"/>
    <n v="3795.5199999999995"/>
    <n v="6830.6399999999994"/>
    <n v="7923.5423999999985"/>
    <d v="2026-04-28T00:00:00"/>
    <d v="2026-03-29T00:00:00"/>
    <x v="9"/>
    <x v="2"/>
  </r>
  <r>
    <n v="815"/>
    <s v="MXN"/>
    <n v="242062.51"/>
    <n v="11619.000480000001"/>
    <n v="13555.50056"/>
    <n v="242062.51"/>
    <n v="11619.000480000001"/>
    <n v="13555.50056"/>
    <n v="0"/>
    <n v="0"/>
    <d v="2025-12-16T00:00:00"/>
    <d v="2025-11-16T00:00:00"/>
    <x v="1"/>
    <x v="1"/>
  </r>
  <r>
    <n v="817"/>
    <s v="USD"/>
    <n v="844.67"/>
    <n v="726.4162"/>
    <n v="844.67"/>
    <n v="844.67"/>
    <n v="726.4162"/>
    <n v="844.67"/>
    <n v="0"/>
    <n v="0"/>
    <d v="2025-11-26T00:00:00"/>
    <d v="2025-10-27T00:00:00"/>
    <x v="2"/>
    <x v="1"/>
  </r>
  <r>
    <n v="818"/>
    <s v="USD"/>
    <n v="11620.08"/>
    <n v="9993.2687999999998"/>
    <n v="11620.08"/>
    <n v="12605.78"/>
    <n v="10840.970800000001"/>
    <n v="12605.78"/>
    <n v="-985.70000000000073"/>
    <n v="-985.70000000000073"/>
    <d v="2025-11-12T00:00:00"/>
    <d v="2025-10-13T00:00:00"/>
    <x v="2"/>
    <x v="1"/>
  </r>
  <r>
    <n v="819"/>
    <s v="USD"/>
    <n v="1011.5999999999999"/>
    <n v="869.97599999999989"/>
    <n v="1011.5999999999999"/>
    <n v="2695.29"/>
    <n v="2317.9494"/>
    <n v="2695.29"/>
    <n v="435.36000000000013"/>
    <n v="435.36000000000013"/>
    <d v="2025-11-09T00:00:00"/>
    <d v="2025-10-10T00:00:00"/>
    <x v="2"/>
    <x v="1"/>
  </r>
  <r>
    <n v="820"/>
    <s v="MXN"/>
    <n v="5044"/>
    <n v="242.11199999999999"/>
    <n v="282.464"/>
    <n v="22963"/>
    <n v="1102.2239999999999"/>
    <n v="1285.9280000000001"/>
    <n v="0"/>
    <n v="0"/>
    <d v="2025-12-10T00:00:00"/>
    <d v="2025-11-10T00:00:00"/>
    <x v="1"/>
    <x v="1"/>
  </r>
  <r>
    <n v="821"/>
    <s v="EUR"/>
    <n v="1139.3599999999999"/>
    <n v="1139.3599999999999"/>
    <n v="1321.6575999999998"/>
    <n v="1581.36"/>
    <n v="1581.36"/>
    <n v="1834.3775999999998"/>
    <n v="0"/>
    <n v="0"/>
    <d v="2025-11-11T00:00:00"/>
    <d v="2025-10-12T00:00:00"/>
    <x v="2"/>
    <x v="1"/>
  </r>
  <r>
    <n v="822"/>
    <s v="USD"/>
    <n v="9030"/>
    <n v="7765.8"/>
    <n v="9030"/>
    <n v="9030"/>
    <n v="7765.8"/>
    <n v="9030"/>
    <n v="0"/>
    <n v="0"/>
    <d v="2025-11-12T00:00:00"/>
    <d v="2025-10-13T00:00:00"/>
    <x v="2"/>
    <x v="1"/>
  </r>
  <r>
    <n v="823"/>
    <s v="GBP"/>
    <n v="37000"/>
    <n v="42550"/>
    <n v="49580"/>
    <n v="37000"/>
    <n v="42550"/>
    <n v="49580"/>
    <n v="0"/>
    <n v="0"/>
    <d v="2026-07-07T00:00:00"/>
    <d v="2026-06-07T00:00:00"/>
    <x v="3"/>
    <x v="2"/>
  </r>
  <r>
    <n v="824"/>
    <s v="MXN"/>
    <n v="0"/>
    <n v="0"/>
    <n v="0"/>
    <n v="107577"/>
    <n v="5163.6959999999999"/>
    <n v="6024.3119999999999"/>
    <n v="0"/>
    <n v="0"/>
    <d v="2025-11-20T00:00:00"/>
    <d v="2025-10-21T00:00:00"/>
    <x v="2"/>
    <x v="1"/>
  </r>
  <r>
    <n v="827"/>
    <s v="USD"/>
    <n v="0"/>
    <n v="0"/>
    <n v="0"/>
    <n v="5500"/>
    <n v="4730"/>
    <n v="5500"/>
    <n v="0"/>
    <n v="0"/>
    <d v="2025-11-08T00:00:00"/>
    <d v="2025-10-09T00:00:00"/>
    <x v="2"/>
    <x v="1"/>
  </r>
  <r>
    <n v="828"/>
    <s v="MXN"/>
    <n v="0"/>
    <n v="0"/>
    <n v="0"/>
    <n v="124392"/>
    <n v="5970.8159999999998"/>
    <n v="6965.9520000000002"/>
    <n v="0"/>
    <n v="0"/>
    <d v="2025-12-20T00:00:00"/>
    <d v="2025-11-20T00:00:00"/>
    <x v="1"/>
    <x v="1"/>
  </r>
  <r>
    <n v="829"/>
    <s v="USD"/>
    <n v="0"/>
    <n v="0"/>
    <n v="0"/>
    <n v="6388.26"/>
    <n v="5493.9036000000006"/>
    <n v="6388.26"/>
    <n v="0"/>
    <n v="0"/>
    <d v="2025-10-24T00:00:00"/>
    <d v="2025-09-24T00:00:00"/>
    <x v="0"/>
    <x v="1"/>
  </r>
  <r>
    <n v="830"/>
    <s v="USD"/>
    <n v="93180"/>
    <n v="80134.8"/>
    <n v="93180"/>
    <n v="116083.09"/>
    <n v="99831.457399999999"/>
    <n v="116083.09"/>
    <n v="-1.0899999999965075"/>
    <n v="-1.0899999999965075"/>
    <d v="2025-12-24T00:00:00"/>
    <d v="2025-11-24T00:00:00"/>
    <x v="1"/>
    <x v="1"/>
  </r>
  <r>
    <n v="831"/>
    <s v="USD"/>
    <n v="4157.8"/>
    <n v="3575.7080000000001"/>
    <n v="4157.8"/>
    <n v="2739.53"/>
    <n v="2355.9958000000001"/>
    <n v="2739.53"/>
    <n v="1418.27"/>
    <n v="1418.27"/>
    <d v="2025-12-19T00:00:00"/>
    <d v="2025-11-19T00:00:00"/>
    <x v="1"/>
    <x v="1"/>
  </r>
  <r>
    <n v="832"/>
    <s v="USD"/>
    <n v="51426.66"/>
    <n v="44226.927600000003"/>
    <n v="51426.66"/>
    <n v="51426.83"/>
    <n v="44227.073799999998"/>
    <n v="51426.83"/>
    <n v="-0.16999999999825377"/>
    <n v="-0.16999999999825377"/>
    <d v="2025-12-17T00:00:00"/>
    <d v="2025-11-17T00:00:00"/>
    <x v="1"/>
    <x v="1"/>
  </r>
  <r>
    <n v="833"/>
    <s v="USD"/>
    <n v="8538"/>
    <n v="7342.68"/>
    <n v="8538"/>
    <n v="8538"/>
    <n v="7342.68"/>
    <n v="8538"/>
    <n v="0"/>
    <n v="0"/>
    <d v="2025-11-22T00:00:00"/>
    <d v="2025-10-23T00:00:00"/>
    <x v="2"/>
    <x v="1"/>
  </r>
  <r>
    <n v="834"/>
    <s v="USD"/>
    <n v="79523.44"/>
    <n v="68390.1584"/>
    <n v="79523.44"/>
    <n v="82593.440000000002"/>
    <n v="71030.358399999997"/>
    <n v="82593.440000000002"/>
    <n v="-3070"/>
    <n v="-3070"/>
    <d v="2025-12-17T00:00:00"/>
    <d v="2025-11-17T00:00:00"/>
    <x v="1"/>
    <x v="1"/>
  </r>
  <r>
    <n v="835"/>
    <s v="USD"/>
    <n v="62976.1"/>
    <n v="54159.445999999996"/>
    <n v="62976.1"/>
    <n v="10528.22"/>
    <n v="9054.2691999999988"/>
    <n v="10528.22"/>
    <n v="52447.88"/>
    <n v="52447.88"/>
    <d v="2026-04-18T00:00:00"/>
    <d v="2026-03-19T00:00:00"/>
    <x v="9"/>
    <x v="2"/>
  </r>
  <r>
    <n v="836"/>
    <s v="USD"/>
    <n v="26700.5"/>
    <n v="22962.43"/>
    <n v="26700.5"/>
    <n v="27015.5"/>
    <n v="23233.329999999998"/>
    <n v="27015.5"/>
    <n v="0"/>
    <n v="0"/>
    <d v="2025-12-04T00:00:00"/>
    <d v="2025-11-04T00:00:00"/>
    <x v="1"/>
    <x v="1"/>
  </r>
  <r>
    <n v="837"/>
    <s v="USD"/>
    <n v="1946"/>
    <n v="1673.56"/>
    <n v="1946"/>
    <n v="6537.37"/>
    <n v="5622.1381999999994"/>
    <n v="6537.37"/>
    <n v="0"/>
    <n v="0"/>
    <d v="2026-01-11T00:00:00"/>
    <d v="2025-12-12T00:00:00"/>
    <x v="7"/>
    <x v="1"/>
  </r>
  <r>
    <n v="838"/>
    <s v="USD"/>
    <n v="30415.019999999997"/>
    <n v="26156.917199999996"/>
    <n v="30415.019999999997"/>
    <n v="33174.519999999997"/>
    <n v="28530.087199999998"/>
    <n v="33174.519999999997"/>
    <n v="59.25"/>
    <n v="59.25"/>
    <d v="2026-03-23T00:00:00"/>
    <d v="2026-02-21T00:00:00"/>
    <x v="5"/>
    <x v="2"/>
  </r>
  <r>
    <n v="839"/>
    <s v="MXN"/>
    <n v="0"/>
    <n v="0"/>
    <n v="0"/>
    <n v="40532"/>
    <n v="1945.5360000000001"/>
    <n v="2269.7919999999999"/>
    <n v="0"/>
    <n v="0"/>
    <d v="2025-12-18T00:00:00"/>
    <d v="2025-11-18T00:00:00"/>
    <x v="1"/>
    <x v="1"/>
  </r>
  <r>
    <n v="840"/>
    <s v="USD"/>
    <n v="6083.58"/>
    <n v="5231.8787999999995"/>
    <n v="6083.58"/>
    <n v="6083.58"/>
    <n v="5231.8787999999995"/>
    <n v="6083.58"/>
    <n v="0"/>
    <n v="0"/>
    <d v="2025-11-19T00:00:00"/>
    <d v="2025-10-20T00:00:00"/>
    <x v="2"/>
    <x v="1"/>
  </r>
  <r>
    <n v="841"/>
    <s v="USD"/>
    <n v="-481646.82"/>
    <n v="-414216.26520000002"/>
    <n v="-481646.82"/>
    <n v="51285.18"/>
    <n v="44105.254800000002"/>
    <n v="51285.18"/>
    <n v="0"/>
    <n v="0"/>
    <d v="2025-12-26T00:00:00"/>
    <d v="2025-11-26T00:00:00"/>
    <x v="1"/>
    <x v="1"/>
  </r>
  <r>
    <n v="842"/>
    <s v="USD"/>
    <n v="1209.2"/>
    <n v="1039.912"/>
    <n v="1209.2"/>
    <n v="1209.2"/>
    <n v="1039.912"/>
    <n v="1209.2"/>
    <n v="0"/>
    <n v="0"/>
    <d v="2026-02-13T00:00:00"/>
    <d v="2026-01-14T00:00:00"/>
    <x v="8"/>
    <x v="2"/>
  </r>
  <r>
    <n v="843"/>
    <s v="USD"/>
    <n v="1305.8500000000004"/>
    <n v="1123.0310000000004"/>
    <n v="1305.8500000000004"/>
    <n v="5187.59"/>
    <n v="4461.3274000000001"/>
    <n v="5187.59"/>
    <n v="0"/>
    <n v="0"/>
    <d v="2025-11-02T00:00:00"/>
    <d v="2025-10-03T00:00:00"/>
    <x v="2"/>
    <x v="1"/>
  </r>
  <r>
    <n v="844"/>
    <s v="EUR"/>
    <n v="0"/>
    <n v="0"/>
    <n v="0"/>
    <n v="12165.93"/>
    <n v="12165.93"/>
    <n v="14112.478799999999"/>
    <n v="0"/>
    <n v="0"/>
    <d v="2025-12-25T00:00:00"/>
    <d v="2025-11-25T00:00:00"/>
    <x v="1"/>
    <x v="1"/>
  </r>
  <r>
    <n v="845"/>
    <s v="USD"/>
    <n v="5253.68"/>
    <n v="4518.1648000000005"/>
    <n v="5253.68"/>
    <n v="8207.68"/>
    <n v="7058.6048000000001"/>
    <n v="8207.68"/>
    <n v="0"/>
    <n v="0"/>
    <d v="2026-04-02T00:00:00"/>
    <d v="2026-03-03T00:00:00"/>
    <x v="9"/>
    <x v="2"/>
  </r>
  <r>
    <n v="846"/>
    <s v="USD"/>
    <n v="112038.5"/>
    <n v="96353.11"/>
    <n v="112038.5"/>
    <n v="25445.5"/>
    <n v="21883.13"/>
    <n v="25445.5"/>
    <n v="86593"/>
    <n v="86593"/>
    <d v="2026-03-27T00:00:00"/>
    <d v="2026-02-25T00:00:00"/>
    <x v="5"/>
    <x v="2"/>
  </r>
  <r>
    <n v="847"/>
    <s v="USD"/>
    <n v="1078.53"/>
    <n v="927.53579999999999"/>
    <n v="1078.53"/>
    <n v="1078.53"/>
    <n v="927.53579999999999"/>
    <n v="1078.53"/>
    <n v="0"/>
    <n v="0"/>
    <d v="2025-11-21T00:00:00"/>
    <d v="2025-10-22T00:00:00"/>
    <x v="2"/>
    <x v="1"/>
  </r>
  <r>
    <n v="848"/>
    <s v="USD"/>
    <n v="42385.359999999993"/>
    <n v="36451.409599999992"/>
    <n v="42385.359999999993"/>
    <n v="79509.33"/>
    <n v="68378.023799999995"/>
    <n v="79509.33"/>
    <n v="486.42999999999302"/>
    <n v="486.42999999999302"/>
    <d v="2025-12-18T00:00:00"/>
    <d v="2025-11-18T00:00:00"/>
    <x v="1"/>
    <x v="1"/>
  </r>
  <r>
    <n v="849"/>
    <s v="USD"/>
    <n v="1576.8000000000002"/>
    <n v="1356.0480000000002"/>
    <n v="1576.8000000000002"/>
    <n v="3782.82"/>
    <n v="3253.2252000000003"/>
    <n v="3782.82"/>
    <n v="0"/>
    <n v="0"/>
    <d v="2025-12-22T00:00:00"/>
    <d v="2025-11-22T00:00:00"/>
    <x v="1"/>
    <x v="1"/>
  </r>
  <r>
    <n v="850"/>
    <s v="USD"/>
    <n v="-560094.23"/>
    <n v="-481681.03779999999"/>
    <n v="-560094.23"/>
    <n v="159582.73000000001"/>
    <n v="137241.14780000001"/>
    <n v="159582.73000000001"/>
    <n v="4.0000000037252903E-2"/>
    <n v="4.0000000037252903E-2"/>
    <d v="2025-12-25T00:00:00"/>
    <d v="2025-11-25T00:00:00"/>
    <x v="1"/>
    <x v="1"/>
  </r>
  <r>
    <n v="851"/>
    <s v="USD"/>
    <n v="358.58"/>
    <n v="308.37879999999996"/>
    <n v="358.58"/>
    <n v="358.58"/>
    <n v="308.37879999999996"/>
    <n v="358.58"/>
    <n v="0"/>
    <n v="0"/>
    <d v="2025-11-26T00:00:00"/>
    <d v="2025-10-27T00:00:00"/>
    <x v="2"/>
    <x v="1"/>
  </r>
  <r>
    <n v="855"/>
    <s v="USD"/>
    <n v="12685.93"/>
    <n v="10909.899799999999"/>
    <n v="12685.93"/>
    <n v="1003"/>
    <n v="862.58"/>
    <n v="1003"/>
    <n v="11682.93"/>
    <n v="11682.93"/>
    <d v="2026-08-26T00:00:00"/>
    <d v="2026-07-27T00:00:00"/>
    <x v="11"/>
    <x v="2"/>
  </r>
  <r>
    <n v="856"/>
    <s v="EUR"/>
    <n v="0"/>
    <n v="0"/>
    <n v="0"/>
    <n v="8775"/>
    <n v="8775"/>
    <n v="10179"/>
    <n v="0"/>
    <n v="0"/>
    <d v="2025-11-21T00:00:00"/>
    <d v="2025-10-22T00:00:00"/>
    <x v="2"/>
    <x v="1"/>
  </r>
  <r>
    <n v="857"/>
    <s v="EUR"/>
    <n v="0"/>
    <n v="0"/>
    <n v="0"/>
    <n v="9081"/>
    <n v="9081"/>
    <n v="10533.96"/>
    <n v="0"/>
    <n v="0"/>
    <d v="2025-11-23T00:00:00"/>
    <d v="2025-10-24T00:00:00"/>
    <x v="2"/>
    <x v="1"/>
  </r>
  <r>
    <n v="858"/>
    <s v="USD"/>
    <n v="0"/>
    <n v="0"/>
    <n v="0"/>
    <n v="6523.9"/>
    <n v="5610.5539999999992"/>
    <n v="6523.9"/>
    <n v="0"/>
    <n v="0"/>
    <d v="2025-11-14T00:00:00"/>
    <d v="2025-10-15T00:00:00"/>
    <x v="2"/>
    <x v="1"/>
  </r>
  <r>
    <n v="859"/>
    <s v="USD"/>
    <n v="36400"/>
    <n v="31304"/>
    <n v="36400"/>
    <n v="36400"/>
    <n v="31304"/>
    <n v="36400"/>
    <n v="36400"/>
    <n v="36400"/>
    <d v="2026-11-25T00:00:00"/>
    <d v="2026-10-26T00:00:00"/>
    <x v="2"/>
    <x v="2"/>
  </r>
  <r>
    <n v="860"/>
    <s v="GBP"/>
    <n v="0"/>
    <n v="0"/>
    <n v="0"/>
    <n v="10493"/>
    <n v="12066.949999999999"/>
    <n v="14060.62"/>
    <n v="0"/>
    <n v="0"/>
    <d v="2025-12-12T00:00:00"/>
    <d v="2025-11-12T00:00:00"/>
    <x v="1"/>
    <x v="1"/>
  </r>
  <r>
    <n v="861"/>
    <s v="EUR"/>
    <n v="0"/>
    <n v="0"/>
    <n v="0"/>
    <n v="275.92"/>
    <n v="275.92"/>
    <n v="320.06720000000001"/>
    <n v="0"/>
    <n v="0"/>
    <d v="2025-09-30T00:00:00"/>
    <d v="2025-08-31T00:00:00"/>
    <x v="6"/>
    <x v="1"/>
  </r>
  <r>
    <n v="862"/>
    <s v="USD"/>
    <n v="0"/>
    <n v="0"/>
    <n v="0"/>
    <n v="263.72000000000003"/>
    <n v="226.79920000000001"/>
    <n v="263.72000000000003"/>
    <n v="0"/>
    <n v="0"/>
    <d v="2025-12-17T00:00:00"/>
    <d v="2025-11-17T00:00:00"/>
    <x v="1"/>
    <x v="1"/>
  </r>
  <r>
    <n v="863"/>
    <s v="EUR"/>
    <n v="12500"/>
    <n v="12500"/>
    <n v="14499.999999999998"/>
    <n v="12500"/>
    <n v="12500"/>
    <n v="14499.999999999998"/>
    <n v="0"/>
    <n v="0"/>
    <d v="2025-12-29T00:00:00"/>
    <d v="2025-11-29T00:00:00"/>
    <x v="1"/>
    <x v="1"/>
  </r>
  <r>
    <n v="864"/>
    <s v="USD"/>
    <n v="251.31"/>
    <n v="216.1266"/>
    <n v="251.31"/>
    <n v="251.31"/>
    <n v="216.1266"/>
    <n v="251.31"/>
    <n v="0"/>
    <n v="0"/>
    <d v="2025-12-15T00:00:00"/>
    <d v="2025-11-15T00:00:00"/>
    <x v="1"/>
    <x v="1"/>
  </r>
  <r>
    <n v="866"/>
    <s v="MXN"/>
    <n v="83104"/>
    <n v="3988.9920000000002"/>
    <n v="4653.8240000000005"/>
    <n v="8000"/>
    <n v="384"/>
    <n v="448"/>
    <n v="75104"/>
    <n v="4205.8240000000005"/>
    <d v="2026-11-02T00:00:00"/>
    <d v="2026-10-03T00:00:00"/>
    <x v="2"/>
    <x v="2"/>
  </r>
  <r>
    <n v="867"/>
    <s v="EUR"/>
    <n v="12656.59"/>
    <n v="12656.59"/>
    <n v="14681.644399999999"/>
    <n v="4803.8599999999997"/>
    <n v="4803.8599999999997"/>
    <n v="5572.4775999999993"/>
    <n v="7852.7300000000005"/>
    <n v="9109.1667999999991"/>
    <d v="2026-05-27T00:00:00"/>
    <d v="2026-04-27T00:00:00"/>
    <x v="4"/>
    <x v="2"/>
  </r>
  <r>
    <n v="868"/>
    <s v="USD"/>
    <n v="7739.08"/>
    <n v="6655.6088"/>
    <n v="7739.08"/>
    <n v="7739.08"/>
    <n v="6655.6088"/>
    <n v="7739.08"/>
    <n v="0"/>
    <n v="0"/>
    <d v="2025-12-26T00:00:00"/>
    <d v="2025-11-26T00:00:00"/>
    <x v="1"/>
    <x v="1"/>
  </r>
  <r>
    <n v="869"/>
    <s v="USD"/>
    <n v="1279.6099999999999"/>
    <n v="1100.4645999999998"/>
    <n v="1279.6099999999999"/>
    <n v="1279.6099999999999"/>
    <n v="1100.4645999999998"/>
    <n v="1279.6099999999999"/>
    <n v="0"/>
    <n v="0"/>
    <d v="2025-12-02T00:00:00"/>
    <d v="2025-11-02T00:00:00"/>
    <x v="1"/>
    <x v="1"/>
  </r>
  <r>
    <n v="870"/>
    <s v="USD"/>
    <n v="19002"/>
    <n v="16341.72"/>
    <n v="19002"/>
    <n v="8336"/>
    <n v="7168.96"/>
    <n v="8336"/>
    <n v="10666"/>
    <n v="10666"/>
    <d v="2026-04-26T00:00:00"/>
    <d v="2026-03-27T00:00:00"/>
    <x v="9"/>
    <x v="2"/>
  </r>
  <r>
    <n v="871"/>
    <s v="MXN"/>
    <n v="103792"/>
    <n v="4982.0160000000005"/>
    <n v="5812.3519999999999"/>
    <n v="103792"/>
    <n v="4982.0160000000005"/>
    <n v="5812.3519999999999"/>
    <n v="0"/>
    <n v="0"/>
    <d v="2025-12-02T00:00:00"/>
    <d v="2025-11-02T00:00:00"/>
    <x v="1"/>
    <x v="1"/>
  </r>
  <r>
    <n v="872"/>
    <s v="MXN"/>
    <n v="41552"/>
    <n v="1994.4960000000001"/>
    <n v="2326.9120000000003"/>
    <n v="10000"/>
    <n v="480"/>
    <n v="560"/>
    <n v="31552"/>
    <n v="1766.912"/>
    <d v="2026-11-02T00:00:00"/>
    <d v="2026-10-03T00:00:00"/>
    <x v="2"/>
    <x v="2"/>
  </r>
  <r>
    <n v="874"/>
    <s v="USD"/>
    <n v="15078"/>
    <n v="12967.08"/>
    <n v="15078"/>
    <n v="4600"/>
    <n v="3956"/>
    <n v="4600"/>
    <n v="10478"/>
    <n v="10478"/>
    <d v="2026-07-27T00:00:00"/>
    <d v="2026-06-27T00:00:00"/>
    <x v="3"/>
    <x v="2"/>
  </r>
  <r>
    <n v="875"/>
    <s v="USD"/>
    <n v="-15547.880000000001"/>
    <n v="-13371.176800000001"/>
    <n v="-15547.880000000001"/>
    <n v="6617.34"/>
    <n v="5690.9124000000002"/>
    <n v="6617.34"/>
    <n v="0"/>
    <n v="0"/>
    <d v="2026-01-03T00:00:00"/>
    <d v="2025-12-04T00:00:00"/>
    <x v="7"/>
    <x v="1"/>
  </r>
  <r>
    <n v="876"/>
    <s v="USD"/>
    <n v="0"/>
    <n v="0"/>
    <n v="0"/>
    <n v="508.64"/>
    <n v="437.43039999999996"/>
    <n v="508.64"/>
    <n v="0"/>
    <n v="0"/>
    <d v="2025-05-30T00:00:00"/>
    <d v="2025-04-30T00:00:00"/>
    <x v="4"/>
    <x v="1"/>
  </r>
  <r>
    <n v="877"/>
    <s v="USD"/>
    <n v="0"/>
    <n v="0"/>
    <n v="0"/>
    <n v="10000"/>
    <n v="8600"/>
    <n v="10000"/>
    <n v="0"/>
    <n v="0"/>
    <d v="2025-11-17T00:00:00"/>
    <d v="2025-10-18T00:00:00"/>
    <x v="2"/>
    <x v="1"/>
  </r>
  <r>
    <n v="878"/>
    <s v="EUR"/>
    <n v="820"/>
    <n v="820"/>
    <n v="951.19999999999993"/>
    <n v="820"/>
    <n v="820"/>
    <n v="951.19999999999993"/>
    <n v="0"/>
    <n v="0"/>
    <d v="2025-12-04T00:00:00"/>
    <d v="2025-11-04T00:00:00"/>
    <x v="1"/>
    <x v="1"/>
  </r>
  <r>
    <n v="879"/>
    <s v="USD"/>
    <n v="0"/>
    <n v="0"/>
    <n v="0"/>
    <n v="5281.02"/>
    <n v="4541.6772000000001"/>
    <n v="5281.02"/>
    <n v="0"/>
    <n v="0"/>
    <d v="2025-10-20T00:00:00"/>
    <d v="2025-09-20T00:00:00"/>
    <x v="0"/>
    <x v="1"/>
  </r>
  <r>
    <n v="880"/>
    <s v="USD"/>
    <n v="0"/>
    <n v="0"/>
    <n v="0"/>
    <n v="7141.22"/>
    <n v="6141.4492"/>
    <n v="7141.22"/>
    <n v="0"/>
    <n v="0"/>
    <d v="2025-10-25T00:00:00"/>
    <d v="2025-09-25T00:00:00"/>
    <x v="0"/>
    <x v="1"/>
  </r>
  <r>
    <n v="882"/>
    <s v="JPY"/>
    <n v="0"/>
    <n v="0"/>
    <n v="0"/>
    <n v="427120"/>
    <n v="2349.16"/>
    <n v="2733.5680000000002"/>
    <n v="0"/>
    <n v="0"/>
    <d v="2026-01-10T00:00:00"/>
    <d v="2025-12-11T00:00:00"/>
    <x v="7"/>
    <x v="1"/>
  </r>
  <r>
    <n v="884"/>
    <s v="USD"/>
    <n v="0"/>
    <n v="0"/>
    <n v="0"/>
    <n v="759.07"/>
    <n v="652.80020000000002"/>
    <n v="759.07"/>
    <n v="0"/>
    <n v="0"/>
    <d v="2025-10-11T00:00:00"/>
    <d v="2025-09-11T00:00:00"/>
    <x v="0"/>
    <x v="1"/>
  </r>
  <r>
    <n v="886"/>
    <s v="USD"/>
    <n v="285249"/>
    <n v="245314.13999999998"/>
    <n v="285249"/>
    <n v="96601.07"/>
    <n v="83076.920200000008"/>
    <n v="96601.07"/>
    <n v="188647.93"/>
    <n v="188647.93"/>
    <d v="2026-07-23T00:00:00"/>
    <d v="2026-06-23T00:00:00"/>
    <x v="3"/>
    <x v="2"/>
  </r>
  <r>
    <n v="887"/>
    <s v="MXN"/>
    <n v="340500.12"/>
    <n v="16344.00576"/>
    <n v="19068.006720000001"/>
    <n v="335168.8"/>
    <n v="16088.1024"/>
    <n v="18769.452799999999"/>
    <n v="5331.320000000007"/>
    <n v="298.5539200000004"/>
    <d v="2026-03-15T00:00:00"/>
    <d v="2026-02-13T00:00:00"/>
    <x v="5"/>
    <x v="2"/>
  </r>
  <r>
    <n v="888"/>
    <s v="MXN"/>
    <n v="22149"/>
    <n v="1063.152"/>
    <n v="1240.3440000000001"/>
    <n v="22149"/>
    <n v="1063.152"/>
    <n v="1240.3440000000001"/>
    <n v="0"/>
    <n v="0"/>
    <d v="2025-12-22T00:00:00"/>
    <d v="2025-11-22T00:00:00"/>
    <x v="1"/>
    <x v="1"/>
  </r>
  <r>
    <n v="889"/>
    <s v="USD"/>
    <n v="11350.88"/>
    <n v="9761.7567999999992"/>
    <n v="11350.88"/>
    <n v="5800"/>
    <n v="4988"/>
    <n v="5800"/>
    <n v="5550.8799999999992"/>
    <n v="5550.8799999999992"/>
    <d v="2025-12-22T00:00:00"/>
    <d v="2025-11-22T00:00:00"/>
    <x v="1"/>
    <x v="1"/>
  </r>
  <r>
    <n v="890"/>
    <s v="MXN"/>
    <n v="40428"/>
    <n v="1940.5440000000001"/>
    <n v="2263.9679999999998"/>
    <n v="40428"/>
    <n v="1940.5440000000001"/>
    <n v="2263.9679999999998"/>
    <n v="0"/>
    <n v="0"/>
    <d v="2025-12-26T00:00:00"/>
    <d v="2025-11-26T00:00:00"/>
    <x v="1"/>
    <x v="1"/>
  </r>
  <r>
    <n v="891"/>
    <s v="MXN"/>
    <n v="0"/>
    <n v="0"/>
    <n v="0"/>
    <n v="5550906"/>
    <n v="266443.48800000001"/>
    <n v="310850.73600000003"/>
    <n v="0"/>
    <n v="0"/>
    <d v="2026-06-11T00:00:00"/>
    <d v="2026-05-12T00:00:00"/>
    <x v="10"/>
    <x v="2"/>
  </r>
  <r>
    <n v="892"/>
    <s v="USD"/>
    <n v="0"/>
    <n v="0"/>
    <n v="0"/>
    <n v="4772.49"/>
    <n v="4104.3413999999993"/>
    <n v="4772.49"/>
    <n v="0"/>
    <n v="0"/>
    <d v="2025-10-09T00:00:00"/>
    <d v="2025-09-09T00:00:00"/>
    <x v="0"/>
    <x v="1"/>
  </r>
  <r>
    <n v="893"/>
    <s v="USD"/>
    <n v="105144.89"/>
    <n v="90424.6054"/>
    <n v="105144.89"/>
    <n v="107555"/>
    <n v="92497.3"/>
    <n v="107555"/>
    <n v="-2410.1100000000006"/>
    <n v="-2410.1100000000006"/>
    <d v="2025-12-19T00:00:00"/>
    <d v="2025-11-19T00:00:00"/>
    <x v="1"/>
    <x v="1"/>
  </r>
  <r>
    <n v="894"/>
    <s v="MXN"/>
    <n v="6055.53"/>
    <n v="290.66543999999999"/>
    <n v="339.10967999999997"/>
    <n v="6055.53"/>
    <n v="290.66543999999999"/>
    <n v="339.10967999999997"/>
    <n v="0"/>
    <n v="0"/>
    <d v="2025-12-05T00:00:00"/>
    <d v="2025-11-05T00:00:00"/>
    <x v="1"/>
    <x v="1"/>
  </r>
  <r>
    <n v="895"/>
    <s v="MXN"/>
    <n v="298605"/>
    <n v="14333.04"/>
    <n v="16721.88"/>
    <n v="298604.49"/>
    <n v="14333.015519999999"/>
    <n v="16721.851439999999"/>
    <n v="0.51000000000931323"/>
    <n v="2.856000000052154E-2"/>
    <d v="2026-04-01T00:00:00"/>
    <d v="2026-03-02T00:00:00"/>
    <x v="9"/>
    <x v="2"/>
  </r>
  <r>
    <n v="896"/>
    <s v="USD"/>
    <n v="1017.8999999999996"/>
    <n v="875.39399999999966"/>
    <n v="1017.8999999999996"/>
    <n v="12935.9"/>
    <n v="11124.874"/>
    <n v="12935.9"/>
    <n v="0"/>
    <n v="0"/>
    <d v="2025-12-18T00:00:00"/>
    <d v="2025-11-18T00:00:00"/>
    <x v="1"/>
    <x v="1"/>
  </r>
  <r>
    <n v="898"/>
    <s v="USD"/>
    <n v="39691"/>
    <n v="34134.26"/>
    <n v="39691"/>
    <n v="39691"/>
    <n v="34134.26"/>
    <n v="39691"/>
    <n v="0"/>
    <n v="0"/>
    <d v="2026-02-01T00:00:00"/>
    <d v="2026-01-02T00:00:00"/>
    <x v="8"/>
    <x v="2"/>
  </r>
  <r>
    <n v="899"/>
    <s v="USD"/>
    <n v="54633.5"/>
    <n v="46984.81"/>
    <n v="54633.5"/>
    <n v="55287"/>
    <n v="47546.82"/>
    <n v="55287"/>
    <n v="0"/>
    <n v="0"/>
    <d v="2025-12-15T00:00:00"/>
    <d v="2025-11-15T00:00:00"/>
    <x v="1"/>
    <x v="1"/>
  </r>
  <r>
    <n v="900"/>
    <s v="MXN"/>
    <n v="13767.72"/>
    <n v="660.85055999999997"/>
    <n v="770.99231999999995"/>
    <n v="13767.72"/>
    <n v="660.85055999999997"/>
    <n v="770.99231999999995"/>
    <n v="0"/>
    <n v="0"/>
    <d v="2025-12-09T00:00:00"/>
    <d v="2025-11-09T00:00:00"/>
    <x v="1"/>
    <x v="1"/>
  </r>
  <r>
    <n v="901"/>
    <s v="EUR"/>
    <n v="3421.5499999999993"/>
    <n v="3421.5499999999993"/>
    <n v="3968.9979999999987"/>
    <n v="9851.0499999999993"/>
    <n v="9851.0499999999993"/>
    <n v="11427.217999999999"/>
    <n v="0"/>
    <n v="0"/>
    <d v="2025-12-21T00:00:00"/>
    <d v="2025-11-21T00:00:00"/>
    <x v="1"/>
    <x v="1"/>
  </r>
  <r>
    <n v="902"/>
    <s v="USD"/>
    <n v="0"/>
    <n v="0"/>
    <n v="0"/>
    <n v="16350.41"/>
    <n v="14061.3526"/>
    <n v="16350.41"/>
    <n v="0"/>
    <n v="0"/>
    <d v="2026-04-08T00:00:00"/>
    <d v="2026-03-09T00:00:00"/>
    <x v="9"/>
    <x v="2"/>
  </r>
  <r>
    <n v="903"/>
    <s v="USD"/>
    <n v="51914.84"/>
    <n v="44646.7624"/>
    <n v="51914.84"/>
    <n v="8712.85"/>
    <n v="7493.0510000000004"/>
    <n v="8712.85"/>
    <n v="43201.99"/>
    <n v="43201.99"/>
    <d v="2026-05-06T00:00:00"/>
    <d v="2026-04-06T00:00:00"/>
    <x v="4"/>
    <x v="2"/>
  </r>
  <r>
    <n v="904"/>
    <s v="USD"/>
    <n v="1250"/>
    <n v="1075"/>
    <n v="1250"/>
    <n v="8068"/>
    <n v="6938.48"/>
    <n v="8068"/>
    <n v="0"/>
    <n v="0"/>
    <d v="2025-12-28T00:00:00"/>
    <d v="2025-11-28T00:00:00"/>
    <x v="1"/>
    <x v="1"/>
  </r>
  <r>
    <n v="908"/>
    <s v="USD"/>
    <n v="2729.1200000000008"/>
    <n v="2347.0432000000005"/>
    <n v="2729.1200000000008"/>
    <n v="7177.03"/>
    <n v="6172.2457999999997"/>
    <n v="7177.03"/>
    <n v="1833.3200000000006"/>
    <n v="1833.3200000000006"/>
    <d v="2026-01-01T00:00:00"/>
    <d v="2025-12-02T00:00:00"/>
    <x v="7"/>
    <x v="1"/>
  </r>
  <r>
    <n v="909"/>
    <s v="MXN"/>
    <n v="0"/>
    <n v="0"/>
    <n v="0"/>
    <n v="31592"/>
    <n v="1516.4159999999999"/>
    <n v="1769.152"/>
    <n v="0"/>
    <n v="0"/>
    <d v="2026-01-08T00:00:00"/>
    <d v="2025-12-09T00:00:00"/>
    <x v="7"/>
    <x v="1"/>
  </r>
  <r>
    <n v="910"/>
    <s v="USD"/>
    <n v="0"/>
    <n v="0"/>
    <n v="0"/>
    <n v="767.06"/>
    <n v="659.6715999999999"/>
    <n v="767.06"/>
    <n v="0"/>
    <n v="0"/>
    <d v="2026-01-23T00:00:00"/>
    <d v="2025-12-24T00:00:00"/>
    <x v="7"/>
    <x v="1"/>
  </r>
  <r>
    <n v="911"/>
    <s v="USD"/>
    <n v="0"/>
    <n v="0"/>
    <n v="0"/>
    <n v="13252"/>
    <n v="11396.72"/>
    <n v="13252"/>
    <n v="0"/>
    <n v="0"/>
    <d v="2025-10-15T00:00:00"/>
    <d v="2025-09-15T00:00:00"/>
    <x v="0"/>
    <x v="1"/>
  </r>
  <r>
    <n v="912"/>
    <s v="USD"/>
    <n v="0"/>
    <n v="0"/>
    <n v="0"/>
    <n v="2058"/>
    <n v="1769.8799999999999"/>
    <n v="2058"/>
    <n v="0"/>
    <n v="0"/>
    <d v="2025-07-09T00:00:00"/>
    <d v="2025-06-09T00:00:00"/>
    <x v="3"/>
    <x v="1"/>
  </r>
  <r>
    <n v="913"/>
    <s v="MXN"/>
    <n v="0"/>
    <n v="0"/>
    <n v="0"/>
    <n v="299292.08"/>
    <n v="14366.019840000001"/>
    <n v="16760.356480000002"/>
    <n v="0"/>
    <n v="0"/>
    <d v="2026-09-05T00:00:00"/>
    <d v="2026-08-06T00:00:00"/>
    <x v="6"/>
    <x v="2"/>
  </r>
  <r>
    <n v="914"/>
    <s v="USD"/>
    <n v="7520.6"/>
    <n v="6467.7160000000003"/>
    <n v="7520.6"/>
    <n v="7520.6"/>
    <n v="6467.7160000000003"/>
    <n v="7520.6"/>
    <n v="0"/>
    <n v="0"/>
    <d v="2026-03-29T00:00:00"/>
    <d v="2026-02-27T00:00:00"/>
    <x v="5"/>
    <x v="2"/>
  </r>
  <r>
    <n v="915"/>
    <s v="USD"/>
    <n v="28301.41"/>
    <n v="24339.212599999999"/>
    <n v="28301.41"/>
    <n v="28301.41"/>
    <n v="24339.212599999999"/>
    <n v="28301.41"/>
    <n v="0"/>
    <n v="0"/>
    <d v="2025-12-19T00:00:00"/>
    <d v="2025-11-19T00:00:00"/>
    <x v="1"/>
    <x v="1"/>
  </r>
  <r>
    <n v="916"/>
    <s v="USD"/>
    <n v="16900"/>
    <n v="14534"/>
    <n v="16900"/>
    <n v="3000"/>
    <n v="2580"/>
    <n v="3000"/>
    <n v="13900"/>
    <n v="13900"/>
    <d v="2026-10-07T00:00:00"/>
    <d v="2026-09-07T00:00:00"/>
    <x v="0"/>
    <x v="2"/>
  </r>
  <r>
    <n v="917"/>
    <s v="EUR"/>
    <n v="25473.49"/>
    <n v="25473.49"/>
    <n v="29549.2484"/>
    <n v="12338.44"/>
    <n v="12338.44"/>
    <n v="14312.590399999999"/>
    <n v="13135.050000000001"/>
    <n v="15236.657999999999"/>
    <d v="2026-03-30T00:00:00"/>
    <d v="2026-02-28T00:00:00"/>
    <x v="5"/>
    <x v="2"/>
  </r>
  <r>
    <n v="919"/>
    <s v="USD"/>
    <n v="0"/>
    <n v="0"/>
    <n v="0"/>
    <n v="16765"/>
    <n v="14417.9"/>
    <n v="16765"/>
    <n v="0"/>
    <n v="0"/>
    <d v="2025-12-21T00:00:00"/>
    <d v="2025-11-21T00:00:00"/>
    <x v="1"/>
    <x v="1"/>
  </r>
  <r>
    <n v="920"/>
    <s v="USD"/>
    <n v="0"/>
    <n v="0"/>
    <n v="0"/>
    <n v="5067.5200000000004"/>
    <n v="4358.0672000000004"/>
    <n v="5067.5200000000004"/>
    <n v="0"/>
    <n v="0"/>
    <d v="2025-10-24T00:00:00"/>
    <d v="2025-09-24T00:00:00"/>
    <x v="0"/>
    <x v="1"/>
  </r>
  <r>
    <n v="921"/>
    <s v="USD"/>
    <n v="0"/>
    <n v="0"/>
    <n v="0"/>
    <n v="2533.7600000000002"/>
    <n v="2179.0336000000002"/>
    <n v="2533.7600000000002"/>
    <n v="0"/>
    <n v="0"/>
    <d v="2025-10-24T00:00:00"/>
    <d v="2025-09-24T00:00:00"/>
    <x v="0"/>
    <x v="1"/>
  </r>
  <r>
    <n v="922"/>
    <s v="EUR"/>
    <n v="0"/>
    <n v="0"/>
    <n v="0"/>
    <n v="2403.5"/>
    <n v="2403.5"/>
    <n v="2788.06"/>
    <n v="0"/>
    <n v="0"/>
    <d v="2025-11-09T00:00:00"/>
    <d v="2025-10-10T00:00:00"/>
    <x v="2"/>
    <x v="1"/>
  </r>
  <r>
    <n v="923"/>
    <s v="EUR"/>
    <n v="0"/>
    <n v="0"/>
    <n v="0"/>
    <n v="1039.5"/>
    <n v="1039.5"/>
    <n v="1205.82"/>
    <n v="0"/>
    <n v="0"/>
    <d v="2025-11-12T00:00:00"/>
    <d v="2025-10-13T00:00:00"/>
    <x v="2"/>
    <x v="1"/>
  </r>
  <r>
    <n v="924"/>
    <s v="USD"/>
    <n v="60640.7"/>
    <n v="52151.001999999993"/>
    <n v="60640.7"/>
    <n v="51285.74"/>
    <n v="44105.736399999994"/>
    <n v="51285.74"/>
    <n v="9354.9599999999991"/>
    <n v="9354.9599999999991"/>
    <d v="2026-04-08T00:00:00"/>
    <d v="2026-03-09T00:00:00"/>
    <x v="9"/>
    <x v="2"/>
  </r>
  <r>
    <n v="925"/>
    <s v="EUR"/>
    <n v="0"/>
    <n v="0"/>
    <n v="0"/>
    <n v="136"/>
    <n v="136"/>
    <n v="157.76"/>
    <n v="0"/>
    <n v="0"/>
    <d v="2025-11-11T00:00:00"/>
    <d v="2025-10-12T00:00:00"/>
    <x v="2"/>
    <x v="1"/>
  </r>
  <r>
    <n v="926"/>
    <s v="USD"/>
    <n v="1383.74"/>
    <n v="1190.0164"/>
    <n v="1383.74"/>
    <n v="1383.74"/>
    <n v="1190.0164"/>
    <n v="1383.74"/>
    <n v="0"/>
    <n v="0"/>
    <d v="2025-12-14T00:00:00"/>
    <d v="2025-11-14T00:00:00"/>
    <x v="1"/>
    <x v="1"/>
  </r>
  <r>
    <n v="927"/>
    <s v="USD"/>
    <n v="2743.95"/>
    <n v="2359.797"/>
    <n v="2743.95"/>
    <n v="2743.95"/>
    <n v="2359.797"/>
    <n v="2743.95"/>
    <n v="0"/>
    <n v="0"/>
    <d v="2025-12-21T00:00:00"/>
    <d v="2025-11-21T00:00:00"/>
    <x v="1"/>
    <x v="1"/>
  </r>
  <r>
    <n v="928"/>
    <s v="USD"/>
    <n v="28181"/>
    <n v="24235.66"/>
    <n v="28181"/>
    <n v="10500"/>
    <n v="9030"/>
    <n v="10500"/>
    <n v="17681"/>
    <n v="17681"/>
    <d v="2026-07-01T00:00:00"/>
    <d v="2026-06-01T00:00:00"/>
    <x v="3"/>
    <x v="2"/>
  </r>
  <r>
    <n v="929"/>
    <s v="EUR"/>
    <n v="12187.2"/>
    <n v="12187.2"/>
    <n v="14137.152"/>
    <n v="12187.2"/>
    <n v="12187.2"/>
    <n v="14137.152"/>
    <n v="0"/>
    <n v="0"/>
    <d v="2026-02-13T00:00:00"/>
    <d v="2026-01-14T00:00:00"/>
    <x v="8"/>
    <x v="2"/>
  </r>
  <r>
    <n v="930"/>
    <s v="USD"/>
    <n v="0"/>
    <n v="0"/>
    <n v="0"/>
    <n v="3485"/>
    <n v="2997.1"/>
    <n v="3485"/>
    <n v="0"/>
    <n v="0"/>
    <d v="2025-09-12T00:00:00"/>
    <d v="2025-08-13T00:00:00"/>
    <x v="6"/>
    <x v="1"/>
  </r>
  <r>
    <n v="931"/>
    <s v="USD"/>
    <n v="16242"/>
    <n v="13968.119999999999"/>
    <n v="16242"/>
    <n v="16242"/>
    <n v="13968.119999999999"/>
    <n v="16242"/>
    <n v="0"/>
    <n v="0"/>
    <d v="2026-03-15T00:00:00"/>
    <d v="2026-02-13T00:00:00"/>
    <x v="5"/>
    <x v="2"/>
  </r>
  <r>
    <n v="932"/>
    <s v="MXN"/>
    <n v="289559.08"/>
    <n v="13898.835840000002"/>
    <n v="16215.308480000002"/>
    <n v="289559.08"/>
    <n v="13898.835840000002"/>
    <n v="16215.308480000002"/>
    <n v="0"/>
    <n v="0"/>
    <d v="2026-03-15T00:00:00"/>
    <d v="2026-02-13T00:00:00"/>
    <x v="5"/>
    <x v="2"/>
  </r>
  <r>
    <n v="933"/>
    <s v="USD"/>
    <n v="2218.46"/>
    <n v="1907.8756000000001"/>
    <n v="2218.46"/>
    <n v="2218.46"/>
    <n v="1907.8756000000001"/>
    <n v="2218.46"/>
    <n v="0"/>
    <n v="0"/>
    <d v="2025-12-26T00:00:00"/>
    <d v="2025-11-26T00:00:00"/>
    <x v="1"/>
    <x v="1"/>
  </r>
  <r>
    <n v="934"/>
    <s v="USD"/>
    <n v="3688.57"/>
    <n v="3172.1702"/>
    <n v="3688.57"/>
    <n v="3687.57"/>
    <n v="3171.3101999999999"/>
    <n v="3687.57"/>
    <n v="1"/>
    <n v="1"/>
    <d v="2026-02-05T00:00:00"/>
    <d v="2026-01-06T00:00:00"/>
    <x v="8"/>
    <x v="2"/>
  </r>
  <r>
    <n v="936"/>
    <s v="EUR"/>
    <n v="4652"/>
    <n v="4652"/>
    <n v="5396.32"/>
    <n v="4652"/>
    <n v="4652"/>
    <n v="5396.32"/>
    <n v="0"/>
    <n v="0"/>
    <d v="2026-09-16T00:00:00"/>
    <d v="2026-08-17T00:00:00"/>
    <x v="6"/>
    <x v="2"/>
  </r>
  <r>
    <n v="937"/>
    <s v="USD"/>
    <n v="6251.4600000000009"/>
    <n v="5376.2556000000004"/>
    <n v="6251.4600000000009"/>
    <n v="14695.29"/>
    <n v="12637.949400000001"/>
    <n v="14695.29"/>
    <n v="0"/>
    <n v="0"/>
    <d v="2026-02-19T00:00:00"/>
    <d v="2026-01-20T00:00:00"/>
    <x v="8"/>
    <x v="2"/>
  </r>
  <r>
    <n v="938"/>
    <s v="USD"/>
    <n v="45714.3"/>
    <n v="39314.298000000003"/>
    <n v="45714.3"/>
    <n v="96328.3"/>
    <n v="82842.338000000003"/>
    <n v="96328.3"/>
    <n v="0"/>
    <n v="0"/>
    <d v="2026-01-19T00:00:00"/>
    <d v="2025-12-20T00:00:00"/>
    <x v="7"/>
    <x v="1"/>
  </r>
  <r>
    <n v="939"/>
    <s v="MXN"/>
    <n v="279447.28000000003"/>
    <n v="13413.469440000001"/>
    <n v="15649.047680000001"/>
    <n v="279447.28000000003"/>
    <n v="13413.469440000001"/>
    <n v="15649.047680000001"/>
    <n v="0"/>
    <n v="0"/>
    <d v="2026-03-18T00:00:00"/>
    <d v="2026-02-16T00:00:00"/>
    <x v="5"/>
    <x v="2"/>
  </r>
  <r>
    <n v="940"/>
    <s v="USD"/>
    <n v="18938"/>
    <n v="16286.68"/>
    <n v="18938"/>
    <n v="7616"/>
    <n v="6549.76"/>
    <n v="7616"/>
    <n v="11322"/>
    <n v="11322"/>
    <d v="2026-03-15T00:00:00"/>
    <d v="2026-02-13T00:00:00"/>
    <x v="5"/>
    <x v="2"/>
  </r>
  <r>
    <n v="941"/>
    <s v="USD"/>
    <n v="0"/>
    <n v="0"/>
    <n v="0"/>
    <n v="20200"/>
    <n v="17372"/>
    <n v="20200"/>
    <n v="0"/>
    <n v="0"/>
    <d v="2025-12-28T00:00:00"/>
    <d v="2025-11-28T00:00:00"/>
    <x v="1"/>
    <x v="1"/>
  </r>
  <r>
    <n v="942"/>
    <s v="USD"/>
    <n v="0"/>
    <n v="0"/>
    <n v="0"/>
    <n v="1155.8900000000001"/>
    <n v="994.06540000000007"/>
    <n v="1155.8900000000001"/>
    <n v="0"/>
    <n v="0"/>
    <d v="2025-12-20T00:00:00"/>
    <d v="2025-11-20T00:00:00"/>
    <x v="1"/>
    <x v="1"/>
  </r>
  <r>
    <n v="943"/>
    <s v="USD"/>
    <n v="0"/>
    <n v="0"/>
    <n v="0"/>
    <n v="1080"/>
    <n v="928.8"/>
    <n v="1080"/>
    <n v="0"/>
    <n v="0"/>
    <d v="2025-12-20T00:00:00"/>
    <d v="2025-11-20T00:00:00"/>
    <x v="1"/>
    <x v="1"/>
  </r>
  <r>
    <n v="944"/>
    <s v="MXN"/>
    <n v="0"/>
    <n v="0"/>
    <n v="0"/>
    <n v="84200"/>
    <n v="4041.6"/>
    <n v="4715.2"/>
    <n v="0"/>
    <n v="0"/>
    <d v="2025-11-13T00:00:00"/>
    <d v="2025-10-14T00:00:00"/>
    <x v="2"/>
    <x v="1"/>
  </r>
  <r>
    <n v="945"/>
    <s v="GBP"/>
    <n v="0"/>
    <n v="0"/>
    <n v="0"/>
    <n v="2308"/>
    <n v="2654.2"/>
    <n v="3092.7200000000003"/>
    <n v="0"/>
    <n v="0"/>
    <d v="2025-12-18T00:00:00"/>
    <d v="2025-11-18T00:00:00"/>
    <x v="1"/>
    <x v="1"/>
  </r>
  <r>
    <n v="946"/>
    <s v="GBP"/>
    <n v="0"/>
    <n v="0"/>
    <n v="0"/>
    <n v="2464"/>
    <n v="2833.6"/>
    <n v="3301.76"/>
    <n v="0"/>
    <n v="0"/>
    <d v="2025-12-18T00:00:00"/>
    <d v="2025-11-18T00:00:00"/>
    <x v="1"/>
    <x v="1"/>
  </r>
  <r>
    <n v="947"/>
    <s v="USD"/>
    <n v="0"/>
    <n v="0"/>
    <n v="0"/>
    <n v="142.08000000000001"/>
    <n v="122.18880000000001"/>
    <n v="142.08000000000001"/>
    <n v="0"/>
    <n v="0"/>
    <d v="2025-12-27T00:00:00"/>
    <d v="2025-11-27T00:00:00"/>
    <x v="1"/>
    <x v="1"/>
  </r>
  <r>
    <n v="948"/>
    <s v="USD"/>
    <n v="0"/>
    <n v="0"/>
    <n v="0"/>
    <n v="3052"/>
    <n v="2624.72"/>
    <n v="3052"/>
    <n v="0"/>
    <n v="0"/>
    <d v="2025-10-16T00:00:00"/>
    <d v="2025-09-16T00:00:00"/>
    <x v="0"/>
    <x v="1"/>
  </r>
  <r>
    <n v="949"/>
    <s v="USD"/>
    <n v="0"/>
    <n v="0"/>
    <n v="0"/>
    <n v="1685.86"/>
    <n v="1449.8395999999998"/>
    <n v="1685.86"/>
    <n v="0"/>
    <n v="0"/>
    <d v="2025-12-06T00:00:00"/>
    <d v="2025-11-06T00:00:00"/>
    <x v="1"/>
    <x v="1"/>
  </r>
  <r>
    <n v="950"/>
    <s v="USD"/>
    <n v="582.66"/>
    <n v="501.08759999999995"/>
    <n v="582.66"/>
    <n v="582.66"/>
    <n v="501.08759999999995"/>
    <n v="582.66"/>
    <n v="0"/>
    <n v="0"/>
    <d v="2026-01-04T00:00:00"/>
    <d v="2025-12-05T00:00:00"/>
    <x v="7"/>
    <x v="1"/>
  </r>
  <r>
    <n v="951"/>
    <s v="MXN"/>
    <n v="176378.05"/>
    <n v="8466.1463999999996"/>
    <n v="9877.1707999999999"/>
    <n v="171212.79999999999"/>
    <n v="8218.2143999999989"/>
    <n v="9587.9167999999991"/>
    <n v="5165.25"/>
    <n v="289.25400000000002"/>
    <d v="2026-03-13T00:00:00"/>
    <d v="2026-02-11T00:00:00"/>
    <x v="5"/>
    <x v="2"/>
  </r>
  <r>
    <n v="952"/>
    <s v="USD"/>
    <n v="-19678.03"/>
    <n v="-16923.105799999998"/>
    <n v="-19678.03"/>
    <n v="10125.280000000001"/>
    <n v="8707.7407999999996"/>
    <n v="10125.280000000001"/>
    <n v="3984.6900000000023"/>
    <n v="3984.6900000000023"/>
    <d v="2026-03-28T00:00:00"/>
    <d v="2026-02-26T00:00:00"/>
    <x v="5"/>
    <x v="2"/>
  </r>
  <r>
    <n v="953"/>
    <s v="USD"/>
    <n v="0"/>
    <n v="0"/>
    <n v="0"/>
    <n v="10472.799999999999"/>
    <n v="9006.6079999999984"/>
    <n v="10472.799999999999"/>
    <n v="0"/>
    <n v="0"/>
    <d v="2026-01-07T00:00:00"/>
    <d v="2025-12-08T00:00:00"/>
    <x v="7"/>
    <x v="1"/>
  </r>
  <r>
    <n v="954"/>
    <s v="USD"/>
    <n v="2169.2199999999998"/>
    <n v="1865.5291999999997"/>
    <n v="2169.2199999999998"/>
    <n v="1214.1199999999999"/>
    <n v="1044.1432"/>
    <n v="1214.1199999999999"/>
    <n v="955.09999999999991"/>
    <n v="955.09999999999991"/>
    <d v="2026-03-17T00:00:00"/>
    <d v="2026-02-15T00:00:00"/>
    <x v="5"/>
    <x v="2"/>
  </r>
  <r>
    <n v="955"/>
    <s v="USD"/>
    <n v="105825"/>
    <n v="91009.5"/>
    <n v="105825"/>
    <n v="31747"/>
    <n v="27302.42"/>
    <n v="31747"/>
    <n v="74078"/>
    <n v="74078"/>
    <d v="2026-09-15T00:00:00"/>
    <d v="2026-08-16T00:00:00"/>
    <x v="6"/>
    <x v="2"/>
  </r>
  <r>
    <n v="956"/>
    <s v="USD"/>
    <n v="0"/>
    <n v="0"/>
    <n v="0"/>
    <n v="63072"/>
    <n v="54241.919999999998"/>
    <n v="63072"/>
    <n v="0"/>
    <n v="0"/>
    <d v="2025-12-18T00:00:00"/>
    <d v="2025-11-18T00:00:00"/>
    <x v="1"/>
    <x v="1"/>
  </r>
  <r>
    <n v="957"/>
    <s v="USD"/>
    <n v="5836.88"/>
    <n v="5019.7168000000001"/>
    <n v="5836.88"/>
    <n v="2836.88"/>
    <n v="2439.7168000000001"/>
    <n v="2836.88"/>
    <n v="3000"/>
    <n v="3000"/>
    <d v="2026-01-23T00:00:00"/>
    <d v="2025-12-24T00:00:00"/>
    <x v="7"/>
    <x v="1"/>
  </r>
  <r>
    <n v="959"/>
    <s v="MXN"/>
    <n v="29540"/>
    <n v="1417.92"/>
    <n v="1654.24"/>
    <n v="29540"/>
    <n v="1417.92"/>
    <n v="1654.24"/>
    <n v="0"/>
    <n v="0"/>
    <d v="2026-01-07T00:00:00"/>
    <d v="2025-12-08T00:00:00"/>
    <x v="7"/>
    <x v="1"/>
  </r>
  <r>
    <n v="960"/>
    <s v="USD"/>
    <n v="2640"/>
    <n v="2270.4"/>
    <n v="2640"/>
    <n v="2640"/>
    <n v="2270.4"/>
    <n v="2640"/>
    <n v="0"/>
    <n v="0"/>
    <d v="2026-01-13T00:00:00"/>
    <d v="2025-12-14T00:00:00"/>
    <x v="7"/>
    <x v="1"/>
  </r>
  <r>
    <n v="961"/>
    <s v="USD"/>
    <n v="1799.3999999999996"/>
    <n v="1547.4839999999997"/>
    <n v="1799.3999999999996"/>
    <n v="13846.6"/>
    <n v="11908.076000000001"/>
    <n v="13846.6"/>
    <n v="0"/>
    <n v="0"/>
    <d v="2026-09-14T00:00:00"/>
    <d v="2026-08-15T00:00:00"/>
    <x v="6"/>
    <x v="2"/>
  </r>
  <r>
    <n v="962"/>
    <s v="USD"/>
    <n v="8535"/>
    <n v="7340.0999999999995"/>
    <n v="8535"/>
    <n v="1707"/>
    <n v="1468.02"/>
    <n v="1707"/>
    <n v="8535"/>
    <n v="8535"/>
    <d v="2026-01-06T00:00:00"/>
    <d v="2025-12-07T00:00:00"/>
    <x v="7"/>
    <x v="1"/>
  </r>
  <r>
    <n v="963"/>
    <s v="USD"/>
    <n v="0"/>
    <n v="0"/>
    <n v="0"/>
    <n v="2595"/>
    <n v="2231.6999999999998"/>
    <n v="2595"/>
    <n v="0"/>
    <n v="0"/>
    <d v="2026-01-22T00:00:00"/>
    <d v="2025-12-23T00:00:00"/>
    <x v="7"/>
    <x v="1"/>
  </r>
  <r>
    <n v="964"/>
    <s v="USD"/>
    <n v="114262"/>
    <n v="98265.319999999992"/>
    <n v="114262"/>
    <n v="75618"/>
    <n v="65031.479999999996"/>
    <n v="75618"/>
    <n v="114262"/>
    <n v="114262"/>
    <d v="2026-06-06T00:00:00"/>
    <d v="2026-05-07T00:00:00"/>
    <x v="10"/>
    <x v="2"/>
  </r>
  <r>
    <n v="965"/>
    <s v="USD"/>
    <n v="0"/>
    <n v="0"/>
    <n v="0"/>
    <n v="2685"/>
    <n v="2309.1"/>
    <n v="2685"/>
    <n v="0"/>
    <n v="0"/>
    <d v="2025-12-17T00:00:00"/>
    <d v="2025-11-17T00:00:00"/>
    <x v="1"/>
    <x v="1"/>
  </r>
  <r>
    <n v="966"/>
    <s v="USD"/>
    <n v="0"/>
    <n v="0"/>
    <n v="0"/>
    <n v="4363"/>
    <n v="3752.18"/>
    <n v="4363"/>
    <n v="0"/>
    <n v="0"/>
    <d v="2025-12-02T00:00:00"/>
    <d v="2025-11-02T00:00:00"/>
    <x v="1"/>
    <x v="1"/>
  </r>
  <r>
    <n v="968"/>
    <s v="USD"/>
    <n v="25647.190000000002"/>
    <n v="22056.583400000003"/>
    <n v="25647.190000000002"/>
    <n v="41379.339999999997"/>
    <n v="35586.232399999994"/>
    <n v="41379.339999999997"/>
    <n v="17554.570000000007"/>
    <n v="17554.570000000007"/>
    <d v="2026-09-14T00:00:00"/>
    <d v="2026-08-15T00:00:00"/>
    <x v="6"/>
    <x v="2"/>
  </r>
  <r>
    <n v="969"/>
    <s v="USD"/>
    <n v="4040"/>
    <n v="3474.4"/>
    <n v="4040"/>
    <n v="3895.5"/>
    <n v="3350.13"/>
    <n v="3895.5"/>
    <n v="144.5"/>
    <n v="144.5"/>
    <d v="2026-02-04T00:00:00"/>
    <d v="2026-01-05T00:00:00"/>
    <x v="8"/>
    <x v="2"/>
  </r>
  <r>
    <n v="970"/>
    <s v="EUR"/>
    <n v="0"/>
    <n v="0"/>
    <n v="0"/>
    <n v="2320"/>
    <n v="2320"/>
    <n v="2691.2"/>
    <n v="0"/>
    <n v="0"/>
    <d v="2025-12-10T00:00:00"/>
    <d v="2025-11-10T00:00:00"/>
    <x v="1"/>
    <x v="1"/>
  </r>
  <r>
    <n v="971"/>
    <s v="MXN"/>
    <n v="0"/>
    <n v="0"/>
    <n v="0"/>
    <n v="90124.479999999996"/>
    <n v="4325.9750400000003"/>
    <n v="5046.9708799999999"/>
    <n v="0"/>
    <n v="0"/>
    <d v="2025-11-29T00:00:00"/>
    <d v="2025-10-30T00:00:00"/>
    <x v="2"/>
    <x v="1"/>
  </r>
  <r>
    <n v="972"/>
    <s v="GBP"/>
    <n v="0"/>
    <n v="0"/>
    <n v="0"/>
    <n v="2040"/>
    <n v="2346"/>
    <n v="2733.6000000000004"/>
    <n v="0"/>
    <n v="0"/>
    <d v="2026-01-21T00:00:00"/>
    <d v="2025-12-22T00:00:00"/>
    <x v="7"/>
    <x v="1"/>
  </r>
  <r>
    <n v="974"/>
    <s v="EUR"/>
    <n v="95200"/>
    <n v="95200"/>
    <n v="110431.99999999999"/>
    <n v="47600"/>
    <n v="47600"/>
    <n v="55215.999999999993"/>
    <n v="47600"/>
    <n v="55215.999999999993"/>
    <d v="2026-07-18T00:00:00"/>
    <d v="2026-06-18T00:00:00"/>
    <x v="3"/>
    <x v="2"/>
  </r>
  <r>
    <n v="975"/>
    <s v="MXN"/>
    <n v="0"/>
    <n v="0"/>
    <n v="0"/>
    <n v="11920.39"/>
    <n v="572.17872"/>
    <n v="667.54183999999998"/>
    <n v="0"/>
    <n v="0"/>
    <d v="2026-01-10T00:00:00"/>
    <d v="2025-12-11T00:00:00"/>
    <x v="7"/>
    <x v="1"/>
  </r>
  <r>
    <n v="976"/>
    <s v="EUR"/>
    <n v="38202"/>
    <n v="38202"/>
    <n v="44314.32"/>
    <n v="9484.2000000000007"/>
    <n v="9484.2000000000007"/>
    <n v="11001.672"/>
    <n v="28717.8"/>
    <n v="33312.647999999994"/>
    <d v="2026-06-06T00:00:00"/>
    <d v="2026-05-07T00:00:00"/>
    <x v="10"/>
    <x v="2"/>
  </r>
  <r>
    <n v="978"/>
    <s v="MXN"/>
    <n v="46833"/>
    <n v="2247.9839999999999"/>
    <n v="2622.6480000000001"/>
    <n v="46833"/>
    <n v="2247.9839999999999"/>
    <n v="2622.6480000000001"/>
    <n v="0"/>
    <n v="0"/>
    <d v="2026-02-05T00:00:00"/>
    <d v="2026-01-06T00:00:00"/>
    <x v="8"/>
    <x v="2"/>
  </r>
  <r>
    <n v="979"/>
    <s v="USD"/>
    <n v="0"/>
    <n v="0"/>
    <n v="0"/>
    <n v="2523"/>
    <n v="2169.7799999999997"/>
    <n v="2523"/>
    <n v="0"/>
    <n v="0"/>
    <d v="2025-12-09T00:00:00"/>
    <d v="2025-11-09T00:00:00"/>
    <x v="1"/>
    <x v="1"/>
  </r>
  <r>
    <n v="980"/>
    <s v="USD"/>
    <n v="0"/>
    <n v="0"/>
    <n v="0"/>
    <n v="6766"/>
    <n v="5818.76"/>
    <n v="6766"/>
    <n v="0"/>
    <n v="0"/>
    <d v="2025-12-30T00:00:00"/>
    <d v="2025-11-30T00:00:00"/>
    <x v="1"/>
    <x v="1"/>
  </r>
  <r>
    <n v="982"/>
    <s v="USD"/>
    <n v="2707"/>
    <n v="2328.02"/>
    <n v="2707"/>
    <n v="2707"/>
    <n v="2328.02"/>
    <n v="2707"/>
    <n v="0"/>
    <n v="0"/>
    <d v="2026-02-02T00:00:00"/>
    <d v="2026-01-03T00:00:00"/>
    <x v="8"/>
    <x v="2"/>
  </r>
  <r>
    <n v="984"/>
    <s v="EUR"/>
    <n v="3561.5700000000006"/>
    <n v="3561.5700000000006"/>
    <n v="4131.4212000000007"/>
    <n v="10181.61"/>
    <n v="10181.61"/>
    <n v="11810.667600000001"/>
    <n v="0"/>
    <n v="0"/>
    <d v="2026-04-12T00:00:00"/>
    <d v="2026-03-13T00:00:00"/>
    <x v="9"/>
    <x v="2"/>
  </r>
  <r>
    <n v="985"/>
    <s v="USD"/>
    <n v="-20748.810000000001"/>
    <n v="-17843.976600000002"/>
    <n v="-20748.810000000001"/>
    <n v="1227.19"/>
    <n v="1055.3833999999999"/>
    <n v="1227.19"/>
    <n v="0"/>
    <n v="0"/>
    <d v="2026-01-20T00:00:00"/>
    <d v="2025-12-21T00:00:00"/>
    <x v="7"/>
    <x v="1"/>
  </r>
  <r>
    <n v="986"/>
    <s v="EUR"/>
    <n v="0"/>
    <n v="0"/>
    <n v="0"/>
    <n v="5224"/>
    <n v="5224"/>
    <n v="6059.8399999999992"/>
    <n v="0"/>
    <n v="0"/>
    <d v="2026-01-16T00:00:00"/>
    <d v="2025-12-17T00:00:00"/>
    <x v="7"/>
    <x v="1"/>
  </r>
  <r>
    <n v="987"/>
    <s v="USD"/>
    <n v="0"/>
    <n v="0"/>
    <n v="0"/>
    <n v="5251"/>
    <n v="4515.8599999999997"/>
    <n v="5251"/>
    <n v="0"/>
    <n v="0"/>
    <d v="2025-09-04T00:00:00"/>
    <d v="2025-08-05T00:00:00"/>
    <x v="6"/>
    <x v="1"/>
  </r>
  <r>
    <n v="988"/>
    <s v="USD"/>
    <n v="2107.1499999999996"/>
    <n v="1812.1489999999997"/>
    <n v="2107.1499999999996"/>
    <n v="3308.41"/>
    <n v="2845.2325999999998"/>
    <n v="3308.41"/>
    <n v="0"/>
    <n v="0"/>
    <d v="2026-01-18T00:00:00"/>
    <d v="2025-12-19T00:00:00"/>
    <x v="7"/>
    <x v="1"/>
  </r>
  <r>
    <n v="989"/>
    <s v="USD"/>
    <n v="5720"/>
    <n v="4919.2"/>
    <n v="5720"/>
    <n v="5720"/>
    <n v="4919.2"/>
    <n v="5720"/>
    <n v="0"/>
    <n v="0"/>
    <d v="2026-01-28T00:00:00"/>
    <d v="2025-12-29T00:00:00"/>
    <x v="7"/>
    <x v="1"/>
  </r>
  <r>
    <n v="990"/>
    <s v="MXN"/>
    <n v="93117"/>
    <n v="4469.616"/>
    <n v="5214.5519999999997"/>
    <n v="93117"/>
    <n v="4469.616"/>
    <n v="5214.5519999999997"/>
    <n v="0"/>
    <n v="0"/>
    <d v="2026-01-30T00:00:00"/>
    <d v="2025-12-31T00:00:00"/>
    <x v="7"/>
    <x v="1"/>
  </r>
  <r>
    <n v="991"/>
    <s v="USD"/>
    <n v="13898.8"/>
    <n v="11952.967999999999"/>
    <n v="13898.8"/>
    <n v="13898.8"/>
    <n v="11952.967999999999"/>
    <n v="13898.8"/>
    <n v="0"/>
    <n v="0"/>
    <d v="2026-09-14T00:00:00"/>
    <d v="2026-08-15T00:00:00"/>
    <x v="6"/>
    <x v="2"/>
  </r>
  <r>
    <n v="993"/>
    <s v="USD"/>
    <n v="6219.56"/>
    <n v="5348.8216000000002"/>
    <n v="6219.56"/>
    <n v="6219.56"/>
    <n v="5348.8216000000002"/>
    <n v="6219.56"/>
    <n v="0"/>
    <n v="0"/>
    <d v="2026-06-03T00:00:00"/>
    <d v="2026-05-04T00:00:00"/>
    <x v="10"/>
    <x v="2"/>
  </r>
  <r>
    <n v="994"/>
    <s v="MXN"/>
    <n v="260547.55"/>
    <n v="12506.2824"/>
    <n v="14590.6628"/>
    <n v="260561.62"/>
    <n v="12506.957759999999"/>
    <n v="14591.450720000001"/>
    <n v="-14.070000000006985"/>
    <n v="-0.7879200000003912"/>
    <d v="2026-06-02T00:00:00"/>
    <d v="2026-05-03T00:00:00"/>
    <x v="10"/>
    <x v="2"/>
  </r>
  <r>
    <n v="995"/>
    <s v="USD"/>
    <n v="75439.38"/>
    <n v="64877.866800000003"/>
    <n v="75439.38"/>
    <n v="6624.75"/>
    <n v="5697.2849999999999"/>
    <n v="6624.75"/>
    <n v="68814.63"/>
    <n v="68814.63"/>
    <d v="2026-03-30T00:00:00"/>
    <d v="2026-02-28T00:00:00"/>
    <x v="5"/>
    <x v="2"/>
  </r>
  <r>
    <n v="996"/>
    <s v="USD"/>
    <n v="2903.06"/>
    <n v="2496.6315999999997"/>
    <n v="2903.06"/>
    <n v="2902.56"/>
    <n v="2496.2015999999999"/>
    <n v="2902.56"/>
    <n v="0.5"/>
    <n v="0.5"/>
    <d v="2026-02-26T00:00:00"/>
    <d v="2026-01-27T00:00:00"/>
    <x v="8"/>
    <x v="2"/>
  </r>
  <r>
    <n v="997"/>
    <s v="USD"/>
    <n v="0"/>
    <n v="0"/>
    <n v="0"/>
    <n v="8610"/>
    <n v="7404.5999999999995"/>
    <n v="8610"/>
    <n v="0"/>
    <n v="0"/>
    <d v="2026-02-26T00:00:00"/>
    <d v="2026-01-27T00:00:00"/>
    <x v="8"/>
    <x v="2"/>
  </r>
  <r>
    <n v="998"/>
    <s v="USD"/>
    <n v="0"/>
    <n v="0"/>
    <n v="0"/>
    <n v="494.88"/>
    <n v="425.59679999999997"/>
    <n v="494.88"/>
    <n v="0"/>
    <n v="0"/>
    <d v="2025-11-18T00:00:00"/>
    <d v="2025-10-19T00:00:00"/>
    <x v="2"/>
    <x v="1"/>
  </r>
  <r>
    <n v="1000"/>
    <s v="USD"/>
    <n v="0"/>
    <n v="0"/>
    <n v="0"/>
    <n v="7147.49"/>
    <n v="6146.8413999999993"/>
    <n v="7147.49"/>
    <n v="0"/>
    <n v="0"/>
    <d v="2026-04-08T00:00:00"/>
    <d v="2026-03-09T00:00:00"/>
    <x v="9"/>
    <x v="2"/>
  </r>
  <r>
    <n v="1002"/>
    <s v="MXN"/>
    <n v="72680"/>
    <n v="3488.64"/>
    <n v="4070.08"/>
    <n v="72680"/>
    <n v="3488.64"/>
    <n v="4070.08"/>
    <n v="0"/>
    <n v="0"/>
    <d v="2026-02-18T00:00:00"/>
    <d v="2026-01-19T00:00:00"/>
    <x v="8"/>
    <x v="2"/>
  </r>
  <r>
    <n v="1003"/>
    <s v="USD"/>
    <n v="305.62"/>
    <n v="262.83319999999998"/>
    <n v="305.62"/>
    <n v="305.49"/>
    <n v="262.72140000000002"/>
    <n v="305.49"/>
    <n v="0.12999999999999545"/>
    <n v="0.12999999999999545"/>
    <d v="2026-02-21T00:00:00"/>
    <d v="2026-01-22T00:00:00"/>
    <x v="8"/>
    <x v="2"/>
  </r>
  <r>
    <n v="1004"/>
    <s v="MXN"/>
    <n v="14828"/>
    <n v="711.74400000000003"/>
    <n v="830.36800000000005"/>
    <n v="14828"/>
    <n v="711.74400000000003"/>
    <n v="830.36800000000005"/>
    <n v="0"/>
    <n v="0"/>
    <d v="2026-02-05T00:00:00"/>
    <d v="2026-01-06T00:00:00"/>
    <x v="8"/>
    <x v="2"/>
  </r>
  <r>
    <n v="1005"/>
    <s v="EUR"/>
    <n v="0"/>
    <n v="0"/>
    <n v="0"/>
    <n v="20006.439999999999"/>
    <n v="20006.439999999999"/>
    <n v="23207.470399999998"/>
    <n v="0"/>
    <n v="0"/>
    <d v="2026-04-27T00:00:00"/>
    <d v="2026-03-28T00:00:00"/>
    <x v="9"/>
    <x v="2"/>
  </r>
  <r>
    <n v="1006"/>
    <s v="USD"/>
    <n v="0"/>
    <n v="0"/>
    <n v="0"/>
    <n v="12022.15"/>
    <n v="10339.048999999999"/>
    <n v="12022.15"/>
    <n v="0"/>
    <n v="0"/>
    <d v="2025-12-28T00:00:00"/>
    <d v="2025-11-28T00:00:00"/>
    <x v="1"/>
    <x v="1"/>
  </r>
  <r>
    <n v="1007"/>
    <s v="USD"/>
    <n v="0"/>
    <n v="0"/>
    <n v="0"/>
    <n v="219"/>
    <n v="188.34"/>
    <n v="219"/>
    <n v="0"/>
    <n v="0"/>
    <d v="2025-12-01T00:00:00"/>
    <d v="2025-11-01T00:00:00"/>
    <x v="1"/>
    <x v="1"/>
  </r>
  <r>
    <n v="1008"/>
    <s v="USD"/>
    <n v="0"/>
    <n v="0"/>
    <n v="0"/>
    <n v="219"/>
    <n v="188.34"/>
    <n v="219"/>
    <n v="0"/>
    <n v="0"/>
    <d v="2025-12-01T00:00:00"/>
    <d v="2025-11-01T00:00:00"/>
    <x v="1"/>
    <x v="1"/>
  </r>
  <r>
    <n v="1009"/>
    <s v="MXN"/>
    <n v="0"/>
    <n v="0"/>
    <n v="0"/>
    <n v="76952"/>
    <n v="3693.6959999999999"/>
    <n v="4309.3119999999999"/>
    <n v="0"/>
    <n v="0"/>
    <d v="2026-04-22T00:00:00"/>
    <d v="2026-03-23T00:00:00"/>
    <x v="9"/>
    <x v="2"/>
  </r>
  <r>
    <n v="1010"/>
    <s v="USD"/>
    <n v="0"/>
    <n v="0"/>
    <n v="0"/>
    <n v="9639"/>
    <n v="8289.5399999999991"/>
    <n v="9639"/>
    <n v="0"/>
    <n v="0"/>
    <d v="2026-01-03T00:00:00"/>
    <d v="2025-12-04T00:00:00"/>
    <x v="7"/>
    <x v="1"/>
  </r>
  <r>
    <n v="1011"/>
    <s v="MXN"/>
    <n v="98933.6"/>
    <n v="4748.8128000000006"/>
    <n v="5540.2816000000003"/>
    <n v="90452"/>
    <n v="4341.6959999999999"/>
    <n v="5065.3119999999999"/>
    <n v="8481.6000000000058"/>
    <n v="474.96960000000036"/>
    <d v="2026-03-28T00:00:00"/>
    <d v="2026-02-26T00:00:00"/>
    <x v="5"/>
    <x v="2"/>
  </r>
  <r>
    <n v="1012"/>
    <s v="MXN"/>
    <n v="186720"/>
    <n v="8962.56"/>
    <n v="10456.32"/>
    <n v="186720"/>
    <n v="8962.56"/>
    <n v="10456.32"/>
    <n v="0"/>
    <n v="0"/>
    <d v="2026-01-31T00:00:00"/>
    <d v="2026-01-01T00:00:00"/>
    <x v="8"/>
    <x v="2"/>
  </r>
  <r>
    <n v="1014"/>
    <s v="USD"/>
    <n v="0"/>
    <n v="0"/>
    <n v="0"/>
    <n v="3300.7"/>
    <n v="2838.6019999999999"/>
    <n v="3300.7"/>
    <n v="0"/>
    <n v="0"/>
    <d v="2025-02-11T00:00:00"/>
    <d v="2025-01-12T00:00:00"/>
    <x v="8"/>
    <x v="1"/>
  </r>
  <r>
    <n v="1016"/>
    <s v="USD"/>
    <n v="0"/>
    <n v="0"/>
    <n v="0"/>
    <n v="2644"/>
    <n v="2273.84"/>
    <n v="2644"/>
    <n v="0"/>
    <n v="0"/>
    <d v="2025-11-03T00:00:00"/>
    <d v="2025-10-04T00:00:00"/>
    <x v="2"/>
    <x v="1"/>
  </r>
  <r>
    <n v="1017"/>
    <s v="EUR"/>
    <n v="1386.99"/>
    <n v="1386.99"/>
    <n v="1608.9083999999998"/>
    <n v="1386.99"/>
    <n v="1386.99"/>
    <n v="1608.9083999999998"/>
    <n v="0"/>
    <n v="0"/>
    <d v="2026-02-08T00:00:00"/>
    <d v="2026-01-09T00:00:00"/>
    <x v="8"/>
    <x v="2"/>
  </r>
  <r>
    <n v="1018"/>
    <s v="USD"/>
    <n v="0"/>
    <n v="0"/>
    <n v="0"/>
    <n v="5312"/>
    <n v="4568.32"/>
    <n v="5312"/>
    <n v="0"/>
    <n v="0"/>
    <d v="2026-01-29T00:00:00"/>
    <d v="2025-12-30T00:00:00"/>
    <x v="7"/>
    <x v="1"/>
  </r>
  <r>
    <n v="1019"/>
    <s v="USD"/>
    <n v="55322.5"/>
    <n v="47577.35"/>
    <n v="55322.5"/>
    <n v="22996.639999999999"/>
    <n v="19777.110399999998"/>
    <n v="22996.639999999999"/>
    <n v="32325.86"/>
    <n v="32325.86"/>
    <d v="2026-09-25T00:00:00"/>
    <d v="2026-08-26T00:00:00"/>
    <x v="6"/>
    <x v="2"/>
  </r>
  <r>
    <n v="1020"/>
    <s v="USD"/>
    <n v="52527.88"/>
    <n v="45173.976799999997"/>
    <n v="52527.88"/>
    <n v="51562.18"/>
    <n v="44343.474799999996"/>
    <n v="51562.18"/>
    <n v="965.69999999999709"/>
    <n v="965.69999999999709"/>
    <d v="2025-05-21T00:00:00"/>
    <d v="2025-04-21T00:00:00"/>
    <x v="4"/>
    <x v="1"/>
  </r>
  <r>
    <n v="1022"/>
    <s v="USD"/>
    <n v="10000"/>
    <n v="8600"/>
    <n v="10000"/>
    <n v="3520"/>
    <n v="3027.2"/>
    <n v="3520"/>
    <n v="6480"/>
    <n v="6480"/>
    <d v="2026-05-06T00:00:00"/>
    <d v="2026-04-06T00:00:00"/>
    <x v="4"/>
    <x v="2"/>
  </r>
  <r>
    <n v="1024"/>
    <s v="USD"/>
    <n v="0"/>
    <n v="0"/>
    <n v="0"/>
    <n v="12996"/>
    <n v="11176.56"/>
    <n v="12996"/>
    <n v="0"/>
    <n v="0"/>
    <d v="2026-02-27T00:00:00"/>
    <d v="2026-01-28T00:00:00"/>
    <x v="8"/>
    <x v="2"/>
  </r>
  <r>
    <n v="1025"/>
    <s v="USD"/>
    <n v="12708.96"/>
    <n v="10929.705599999999"/>
    <n v="12708.96"/>
    <n v="12708.96"/>
    <n v="10929.705599999999"/>
    <n v="12708.96"/>
    <n v="0"/>
    <n v="0"/>
    <d v="2026-05-01T00:00:00"/>
    <d v="2026-04-01T00:00:00"/>
    <x v="4"/>
    <x v="2"/>
  </r>
  <r>
    <n v="1026"/>
    <s v="USD"/>
    <n v="4713.5600000000004"/>
    <n v="4053.6616000000004"/>
    <n v="4713.5600000000004"/>
    <n v="4713.5600000000004"/>
    <n v="4053.6616000000004"/>
    <n v="4713.5600000000004"/>
    <n v="0"/>
    <n v="0"/>
    <d v="2026-05-25T00:00:00"/>
    <d v="2026-04-25T00:00:00"/>
    <x v="4"/>
    <x v="2"/>
  </r>
  <r>
    <n v="1029"/>
    <s v="EUR"/>
    <n v="7097"/>
    <n v="7097"/>
    <n v="8232.5199999999986"/>
    <n v="2099"/>
    <n v="2099"/>
    <n v="2434.8399999999997"/>
    <n v="4998"/>
    <n v="5797.6799999999994"/>
    <d v="2026-03-21T00:00:00"/>
    <d v="2026-02-19T00:00:00"/>
    <x v="5"/>
    <x v="2"/>
  </r>
  <r>
    <n v="1030"/>
    <s v="EUR"/>
    <n v="980.05"/>
    <n v="980.05"/>
    <n v="1136.8579999999999"/>
    <n v="1548.55"/>
    <n v="1548.55"/>
    <n v="1796.3179999999998"/>
    <n v="0"/>
    <n v="0"/>
    <d v="2026-02-01T00:00:00"/>
    <d v="2026-01-02T00:00:00"/>
    <x v="8"/>
    <x v="2"/>
  </r>
  <r>
    <n v="1031"/>
    <s v="EUR"/>
    <n v="43069.88"/>
    <n v="43069.88"/>
    <n v="49961.060799999992"/>
    <n v="15847.65"/>
    <n v="15847.65"/>
    <n v="18383.273999999998"/>
    <n v="27222.229999999996"/>
    <n v="31577.786799999994"/>
    <d v="2026-03-27T00:00:00"/>
    <d v="2026-02-25T00:00:00"/>
    <x v="5"/>
    <x v="2"/>
  </r>
  <r>
    <n v="1032"/>
    <s v="EUR"/>
    <n v="11328"/>
    <n v="11328"/>
    <n v="13140.48"/>
    <n v="3808.2"/>
    <n v="3808.2"/>
    <n v="4417.5119999999997"/>
    <n v="7519.8"/>
    <n v="8722.9679999999989"/>
    <d v="2026-06-14T00:00:00"/>
    <d v="2026-05-15T00:00:00"/>
    <x v="10"/>
    <x v="2"/>
  </r>
  <r>
    <n v="1033"/>
    <s v="USD"/>
    <n v="0"/>
    <n v="0"/>
    <n v="0"/>
    <n v="3000.27"/>
    <n v="2580.2321999999999"/>
    <n v="3000.27"/>
    <n v="0"/>
    <n v="0"/>
    <d v="2026-02-06T00:00:00"/>
    <d v="2026-01-07T00:00:00"/>
    <x v="8"/>
    <x v="2"/>
  </r>
  <r>
    <n v="1034"/>
    <s v="USD"/>
    <n v="10147.24"/>
    <n v="8726.6263999999992"/>
    <n v="10147.24"/>
    <n v="10147.24"/>
    <n v="8726.6263999999992"/>
    <n v="10147.24"/>
    <n v="0"/>
    <n v="0"/>
    <d v="2026-09-26T00:00:00"/>
    <d v="2026-08-27T00:00:00"/>
    <x v="6"/>
    <x v="2"/>
  </r>
  <r>
    <n v="1036"/>
    <s v="USD"/>
    <n v="0"/>
    <n v="0"/>
    <n v="0"/>
    <n v="551.29999999999995"/>
    <n v="474.11799999999994"/>
    <n v="551.29999999999995"/>
    <n v="0"/>
    <n v="0"/>
    <d v="2026-02-22T00:00:00"/>
    <d v="2026-01-23T00:00:00"/>
    <x v="8"/>
    <x v="2"/>
  </r>
  <r>
    <n v="1037"/>
    <s v="USD"/>
    <n v="0"/>
    <n v="0"/>
    <n v="0"/>
    <n v="5589"/>
    <n v="4806.54"/>
    <n v="5589"/>
    <n v="0"/>
    <n v="0"/>
    <d v="2025-12-27T00:00:00"/>
    <d v="2025-11-27T00:00:00"/>
    <x v="1"/>
    <x v="1"/>
  </r>
  <r>
    <n v="1038"/>
    <s v="EUR"/>
    <n v="4614.18"/>
    <n v="4614.18"/>
    <n v="5352.4488000000001"/>
    <n v="5954.04"/>
    <n v="5954.04"/>
    <n v="6906.6863999999996"/>
    <n v="-1339.8599999999997"/>
    <n v="-1554.2375999999995"/>
    <d v="2026-02-08T00:00:00"/>
    <d v="2026-01-09T00:00:00"/>
    <x v="8"/>
    <x v="2"/>
  </r>
  <r>
    <n v="1039"/>
    <s v="USD"/>
    <n v="18728"/>
    <n v="16106.08"/>
    <n v="18728"/>
    <n v="18728"/>
    <n v="16106.08"/>
    <n v="18728"/>
    <n v="0"/>
    <n v="0"/>
    <d v="2026-03-25T00:00:00"/>
    <d v="2026-02-23T00:00:00"/>
    <x v="5"/>
    <x v="2"/>
  </r>
  <r>
    <n v="1041"/>
    <s v="MXN"/>
    <n v="7127.04"/>
    <n v="342.09791999999999"/>
    <n v="399.11424"/>
    <n v="7127.04"/>
    <n v="342.09791999999999"/>
    <n v="399.11424"/>
    <n v="0"/>
    <n v="0"/>
    <d v="2026-01-31T00:00:00"/>
    <d v="2026-01-01T00:00:00"/>
    <x v="8"/>
    <x v="2"/>
  </r>
  <r>
    <n v="1042"/>
    <s v="EUR"/>
    <n v="7427.1"/>
    <n v="7427.1"/>
    <n v="8615.4359999999997"/>
    <n v="2231.6999999999998"/>
    <n v="2231.6999999999998"/>
    <n v="2588.7719999999995"/>
    <n v="5195.4000000000005"/>
    <n v="6026.6640000000007"/>
    <d v="2026-07-04T00:00:00"/>
    <d v="2026-06-04T00:00:00"/>
    <x v="3"/>
    <x v="2"/>
  </r>
  <r>
    <n v="1043"/>
    <s v="USD"/>
    <n v="32887.39"/>
    <n v="28283.1554"/>
    <n v="32887.39"/>
    <n v="32887.39"/>
    <n v="28283.1554"/>
    <n v="32887.39"/>
    <n v="0"/>
    <n v="0"/>
    <d v="2026-09-25T00:00:00"/>
    <d v="2026-08-26T00:00:00"/>
    <x v="6"/>
    <x v="2"/>
  </r>
  <r>
    <n v="1044"/>
    <s v="EUR"/>
    <n v="24021"/>
    <n v="24021"/>
    <n v="27864.359999999997"/>
    <n v="24008.14"/>
    <n v="24008.14"/>
    <n v="27849.442399999996"/>
    <n v="12.860000000000582"/>
    <n v="14.917600000000673"/>
    <d v="2026-02-21T00:00:00"/>
    <d v="2026-01-22T00:00:00"/>
    <x v="8"/>
    <x v="2"/>
  </r>
  <r>
    <n v="1045"/>
    <s v="USD"/>
    <n v="0"/>
    <n v="0"/>
    <n v="0"/>
    <n v="2065"/>
    <n v="1775.8999999999999"/>
    <n v="2065"/>
    <n v="0"/>
    <n v="0"/>
    <d v="2025-12-20T00:00:00"/>
    <d v="2025-11-20T00:00:00"/>
    <x v="1"/>
    <x v="1"/>
  </r>
  <r>
    <n v="1046"/>
    <s v="USD"/>
    <n v="261000"/>
    <n v="224460"/>
    <n v="261000"/>
    <n v="15103"/>
    <n v="12988.58"/>
    <n v="15103"/>
    <n v="245897"/>
    <n v="245897"/>
    <d v="2026-05-09T00:00:00"/>
    <d v="2026-04-09T00:00:00"/>
    <x v="4"/>
    <x v="2"/>
  </r>
  <r>
    <n v="1047"/>
    <s v="USD"/>
    <n v="15448"/>
    <n v="13285.28"/>
    <n v="15448"/>
    <n v="15448"/>
    <n v="13285.28"/>
    <n v="15448"/>
    <n v="0"/>
    <n v="0"/>
    <d v="2026-03-07T00:00:00"/>
    <d v="2026-02-05T00:00:00"/>
    <x v="5"/>
    <x v="2"/>
  </r>
  <r>
    <n v="1048"/>
    <s v="MXN"/>
    <n v="79800"/>
    <n v="3830.4"/>
    <n v="4468.8"/>
    <n v="30000"/>
    <n v="1440"/>
    <n v="1680"/>
    <n v="49800"/>
    <n v="2788.8"/>
    <d v="2026-11-02T00:00:00"/>
    <d v="2026-10-03T00:00:00"/>
    <x v="2"/>
    <x v="2"/>
  </r>
  <r>
    <n v="1049"/>
    <s v="USD"/>
    <n v="1512.47"/>
    <n v="1300.7242000000001"/>
    <n v="1512.47"/>
    <n v="1512.47"/>
    <n v="1300.7242000000001"/>
    <n v="1512.47"/>
    <n v="0"/>
    <n v="0"/>
    <d v="2026-02-26T00:00:00"/>
    <d v="2026-01-27T00:00:00"/>
    <x v="8"/>
    <x v="2"/>
  </r>
  <r>
    <n v="1050"/>
    <s v="EUR"/>
    <n v="3390.99"/>
    <n v="3390.99"/>
    <n v="3933.5483999999997"/>
    <n v="3325.18"/>
    <n v="3325.18"/>
    <n v="3857.2087999999994"/>
    <n v="65.809999999999945"/>
    <n v="76.339599999999933"/>
    <d v="2026-06-13T00:00:00"/>
    <d v="2026-05-14T00:00:00"/>
    <x v="10"/>
    <x v="2"/>
  </r>
  <r>
    <n v="1051"/>
    <s v="EUR"/>
    <n v="2567.36"/>
    <n v="2567.36"/>
    <n v="2978.1376"/>
    <n v="2567.36"/>
    <n v="2567.36"/>
    <n v="2978.1376"/>
    <n v="0"/>
    <n v="0"/>
    <d v="2026-07-23T00:00:00"/>
    <d v="2026-06-23T00:00:00"/>
    <x v="3"/>
    <x v="2"/>
  </r>
  <r>
    <n v="1052"/>
    <s v="USD"/>
    <n v="62000"/>
    <n v="53320"/>
    <n v="62000"/>
    <n v="6200"/>
    <n v="5332"/>
    <n v="6200"/>
    <n v="55800"/>
    <n v="55800"/>
    <d v="2027-06-25T00:00:00"/>
    <d v="2027-05-26T00:00:00"/>
    <x v="10"/>
    <x v="4"/>
  </r>
  <r>
    <n v="1054"/>
    <s v="USD"/>
    <n v="5075.45"/>
    <n v="4364.8869999999997"/>
    <n v="5075.45"/>
    <n v="5084.22"/>
    <n v="4372.4292000000005"/>
    <n v="5084.22"/>
    <n v="-8.7700000000004366"/>
    <n v="-8.7700000000004366"/>
    <d v="2026-03-04T00:00:00"/>
    <d v="2026-02-02T00:00:00"/>
    <x v="5"/>
    <x v="2"/>
  </r>
  <r>
    <n v="1055"/>
    <s v="USD"/>
    <n v="0"/>
    <n v="0"/>
    <n v="0"/>
    <n v="447.48"/>
    <n v="384.83280000000002"/>
    <n v="447.48"/>
    <n v="0"/>
    <n v="0"/>
    <d v="2026-02-05T00:00:00"/>
    <d v="2026-01-06T00:00:00"/>
    <x v="8"/>
    <x v="2"/>
  </r>
  <r>
    <n v="1056"/>
    <s v="USD"/>
    <n v="582.4"/>
    <n v="500.86399999999998"/>
    <n v="582.4"/>
    <n v="582.4"/>
    <n v="500.86399999999998"/>
    <n v="582.4"/>
    <n v="0"/>
    <n v="0"/>
    <d v="2026-05-27T00:00:00"/>
    <d v="2026-04-27T00:00:00"/>
    <x v="4"/>
    <x v="2"/>
  </r>
  <r>
    <n v="1058"/>
    <s v="USD"/>
    <n v="6744.55"/>
    <n v="5800.3130000000001"/>
    <n v="6744.55"/>
    <n v="6744.55"/>
    <n v="5800.3130000000001"/>
    <n v="6744.55"/>
    <n v="0"/>
    <n v="0"/>
    <d v="2026-03-27T00:00:00"/>
    <d v="2026-02-25T00:00:00"/>
    <x v="5"/>
    <x v="2"/>
  </r>
  <r>
    <n v="1059"/>
    <s v="GBP"/>
    <n v="0"/>
    <n v="0"/>
    <n v="0"/>
    <n v="873"/>
    <n v="1003.9499999999999"/>
    <n v="1169.8200000000002"/>
    <n v="0"/>
    <n v="0"/>
    <d v="2026-03-14T00:00:00"/>
    <d v="2026-02-12T00:00:00"/>
    <x v="5"/>
    <x v="2"/>
  </r>
  <r>
    <n v="1060"/>
    <s v="EUR"/>
    <n v="0"/>
    <n v="0"/>
    <n v="0"/>
    <n v="3420"/>
    <n v="3420"/>
    <n v="3967.2"/>
    <n v="0"/>
    <n v="0"/>
    <d v="2026-03-20T00:00:00"/>
    <d v="2026-02-18T00:00:00"/>
    <x v="5"/>
    <x v="2"/>
  </r>
  <r>
    <n v="1061"/>
    <s v="EUR"/>
    <n v="960"/>
    <n v="960"/>
    <n v="1113.5999999999999"/>
    <n v="10777"/>
    <n v="10777"/>
    <n v="12501.32"/>
    <n v="0"/>
    <n v="0"/>
    <d v="2026-03-03T00:00:00"/>
    <d v="2026-02-01T00:00:00"/>
    <x v="5"/>
    <x v="2"/>
  </r>
  <r>
    <n v="1062"/>
    <s v="EUR"/>
    <n v="3680.4499999999971"/>
    <n v="3680.4499999999971"/>
    <n v="4269.3219999999965"/>
    <n v="74200"/>
    <n v="74200"/>
    <n v="86072"/>
    <n v="3680.4499999999971"/>
    <n v="4269.3219999999965"/>
    <d v="2026-12-26T00:00:00"/>
    <d v="2026-11-26T00:00:00"/>
    <x v="1"/>
    <x v="2"/>
  </r>
  <r>
    <n v="1063"/>
    <s v="USD"/>
    <n v="0"/>
    <n v="0"/>
    <n v="0"/>
    <n v="1845.54"/>
    <n v="1587.1643999999999"/>
    <n v="1845.54"/>
    <n v="0"/>
    <n v="0"/>
    <d v="2026-02-10T00:00:00"/>
    <d v="2026-01-11T00:00:00"/>
    <x v="8"/>
    <x v="2"/>
  </r>
  <r>
    <n v="1064"/>
    <s v="EUR"/>
    <n v="28675"/>
    <n v="28675"/>
    <n v="33263"/>
    <n v="13718"/>
    <n v="13718"/>
    <n v="15912.88"/>
    <n v="14957"/>
    <n v="17350.12"/>
    <d v="2026-07-25T00:00:00"/>
    <d v="2026-06-25T00:00:00"/>
    <x v="3"/>
    <x v="2"/>
  </r>
  <r>
    <n v="1065"/>
    <s v="USD"/>
    <n v="0"/>
    <n v="0"/>
    <n v="0"/>
    <n v="3014.1"/>
    <n v="2592.1259999999997"/>
    <n v="3014.1"/>
    <n v="0"/>
    <n v="0"/>
    <d v="2025-07-23T00:00:00"/>
    <d v="2025-06-23T00:00:00"/>
    <x v="3"/>
    <x v="1"/>
  </r>
  <r>
    <n v="1066"/>
    <s v="USD"/>
    <n v="10941.66"/>
    <n v="9409.8276000000005"/>
    <n v="10941.66"/>
    <n v="1474.4"/>
    <n v="1267.9840000000002"/>
    <n v="1474.4"/>
    <n v="9467.26"/>
    <n v="9467.26"/>
    <d v="2026-06-16T00:00:00"/>
    <d v="2026-05-17T00:00:00"/>
    <x v="10"/>
    <x v="2"/>
  </r>
  <r>
    <n v="1067"/>
    <s v="USD"/>
    <n v="0"/>
    <n v="0"/>
    <n v="0"/>
    <n v="8760"/>
    <n v="7533.5999999999995"/>
    <n v="8760"/>
    <n v="0"/>
    <n v="0"/>
    <d v="2026-02-06T00:00:00"/>
    <d v="2026-01-07T00:00:00"/>
    <x v="8"/>
    <x v="2"/>
  </r>
  <r>
    <n v="1068"/>
    <s v="EUR"/>
    <n v="7264.64"/>
    <n v="7264.64"/>
    <n v="8426.982399999999"/>
    <n v="857.32"/>
    <n v="857.32"/>
    <n v="994.49119999999994"/>
    <n v="7264.64"/>
    <n v="8426.982399999999"/>
    <d v="2026-06-29T00:00:00"/>
    <d v="2026-05-30T00:00:00"/>
    <x v="10"/>
    <x v="2"/>
  </r>
  <r>
    <n v="1069"/>
    <s v="USD"/>
    <n v="17603"/>
    <n v="15138.58"/>
    <n v="17603"/>
    <n v="8062.15"/>
    <n v="6933.4489999999996"/>
    <n v="8062.15"/>
    <n v="11438.050000000001"/>
    <n v="11438.050000000001"/>
    <d v="2026-04-27T00:00:00"/>
    <d v="2026-03-28T00:00:00"/>
    <x v="9"/>
    <x v="2"/>
  </r>
  <r>
    <n v="1070"/>
    <s v="USD"/>
    <n v="9130"/>
    <n v="7851.8"/>
    <n v="9130"/>
    <n v="9192"/>
    <n v="7905.12"/>
    <n v="9192"/>
    <n v="-62"/>
    <n v="-62"/>
    <d v="2026-03-15T00:00:00"/>
    <d v="2026-02-13T00:00:00"/>
    <x v="5"/>
    <x v="2"/>
  </r>
  <r>
    <n v="1071"/>
    <s v="USD"/>
    <n v="0"/>
    <n v="0"/>
    <n v="0"/>
    <n v="788.74"/>
    <n v="678.31640000000004"/>
    <n v="788.74"/>
    <n v="0"/>
    <n v="0"/>
    <d v="2026-02-05T00:00:00"/>
    <d v="2026-01-06T00:00:00"/>
    <x v="8"/>
    <x v="2"/>
  </r>
  <r>
    <n v="1072"/>
    <s v="USD"/>
    <n v="0"/>
    <n v="0"/>
    <n v="0"/>
    <n v="708.8"/>
    <n v="609.56799999999998"/>
    <n v="708.8"/>
    <n v="0"/>
    <n v="0"/>
    <d v="2025-12-25T00:00:00"/>
    <d v="2025-11-25T00:00:00"/>
    <x v="1"/>
    <x v="1"/>
  </r>
  <r>
    <n v="1073"/>
    <s v="USD"/>
    <n v="-57419.91"/>
    <n v="-49381.122600000002"/>
    <n v="-57419.91"/>
    <n v="3553.22"/>
    <n v="3055.7691999999997"/>
    <n v="3553.22"/>
    <n v="390.86999999999534"/>
    <n v="390.86999999999534"/>
    <d v="2026-02-09T00:00:00"/>
    <d v="2026-01-10T00:00:00"/>
    <x v="8"/>
    <x v="2"/>
  </r>
  <r>
    <n v="1074"/>
    <s v="MXN"/>
    <n v="14395"/>
    <n v="690.96"/>
    <n v="806.12"/>
    <n v="14395"/>
    <n v="690.96"/>
    <n v="806.12"/>
    <n v="0"/>
    <n v="0"/>
    <d v="2026-02-08T00:00:00"/>
    <d v="2026-01-09T00:00:00"/>
    <x v="8"/>
    <x v="2"/>
  </r>
  <r>
    <n v="1075"/>
    <s v="EUR"/>
    <n v="3652.32"/>
    <n v="3652.32"/>
    <n v="4236.6912000000002"/>
    <n v="3378"/>
    <n v="3378"/>
    <n v="3918.4799999999996"/>
    <n v="274.32000000000016"/>
    <n v="318.21120000000019"/>
    <d v="2026-02-24T00:00:00"/>
    <d v="2026-01-25T00:00:00"/>
    <x v="8"/>
    <x v="2"/>
  </r>
  <r>
    <n v="1076"/>
    <s v="USD"/>
    <n v="22474.13"/>
    <n v="19327.751800000002"/>
    <n v="22474.13"/>
    <n v="22474.13"/>
    <n v="19327.751800000002"/>
    <n v="22474.13"/>
    <n v="0"/>
    <n v="0"/>
    <d v="2026-03-20T00:00:00"/>
    <d v="2026-02-18T00:00:00"/>
    <x v="5"/>
    <x v="2"/>
  </r>
  <r>
    <n v="1077"/>
    <s v="EUR"/>
    <n v="9847.08"/>
    <n v="9847.08"/>
    <n v="11422.612799999999"/>
    <n v="9846.08"/>
    <n v="9846.08"/>
    <n v="11421.452799999999"/>
    <n v="1"/>
    <n v="1.1599999999999999"/>
    <d v="2026-03-27T00:00:00"/>
    <d v="2026-02-25T00:00:00"/>
    <x v="5"/>
    <x v="2"/>
  </r>
  <r>
    <n v="1078"/>
    <s v="EUR"/>
    <n v="5786.63"/>
    <n v="5786.63"/>
    <n v="6712.4907999999996"/>
    <n v="526.6"/>
    <n v="526.6"/>
    <n v="610.85599999999999"/>
    <n v="5260.03"/>
    <n v="6101.6347999999989"/>
    <d v="2026-06-29T00:00:00"/>
    <d v="2026-05-30T00:00:00"/>
    <x v="10"/>
    <x v="2"/>
  </r>
  <r>
    <n v="1079"/>
    <s v="MXN"/>
    <n v="12900"/>
    <n v="619.20000000000005"/>
    <n v="722.4"/>
    <n v="12900"/>
    <n v="619.20000000000005"/>
    <n v="722.4"/>
    <n v="0"/>
    <n v="0"/>
    <d v="2026-02-05T00:00:00"/>
    <d v="2026-01-06T00:00:00"/>
    <x v="8"/>
    <x v="2"/>
  </r>
  <r>
    <n v="1080"/>
    <s v="USD"/>
    <n v="7068.84"/>
    <n v="6079.2024000000001"/>
    <n v="7068.84"/>
    <n v="5917.79"/>
    <n v="5089.2993999999999"/>
    <n v="5917.79"/>
    <n v="1151.0500000000002"/>
    <n v="1151.0500000000002"/>
    <d v="2026-05-27T00:00:00"/>
    <d v="2026-04-27T00:00:00"/>
    <x v="4"/>
    <x v="2"/>
  </r>
  <r>
    <n v="1081"/>
    <s v="USD"/>
    <n v="4263.8"/>
    <n v="3666.8679999999999"/>
    <n v="4263.8"/>
    <n v="4263.8"/>
    <n v="3666.8679999999999"/>
    <n v="4263.8"/>
    <n v="0"/>
    <n v="0"/>
    <d v="2026-08-06T00:00:00"/>
    <d v="2026-07-07T00:00:00"/>
    <x v="11"/>
    <x v="2"/>
  </r>
  <r>
    <n v="1082"/>
    <s v="USD"/>
    <n v="0"/>
    <n v="0"/>
    <n v="0"/>
    <n v="21042.880000000001"/>
    <n v="18096.876800000002"/>
    <n v="21042.880000000001"/>
    <n v="0"/>
    <n v="0"/>
    <d v="2025-12-30T00:00:00"/>
    <d v="2025-11-30T00:00:00"/>
    <x v="1"/>
    <x v="1"/>
  </r>
  <r>
    <n v="1083"/>
    <s v="USD"/>
    <n v="0"/>
    <n v="0"/>
    <n v="0"/>
    <n v="11627"/>
    <n v="9999.2199999999993"/>
    <n v="11627"/>
    <n v="0"/>
    <n v="0"/>
    <d v="2026-02-13T00:00:00"/>
    <d v="2026-01-14T00:00:00"/>
    <x v="8"/>
    <x v="2"/>
  </r>
  <r>
    <n v="1084"/>
    <s v="USD"/>
    <n v="0"/>
    <n v="0"/>
    <n v="0"/>
    <n v="4655.67"/>
    <n v="4003.8762000000002"/>
    <n v="4655.67"/>
    <n v="0"/>
    <n v="0"/>
    <d v="2026-01-07T00:00:00"/>
    <d v="2025-12-08T00:00:00"/>
    <x v="7"/>
    <x v="1"/>
  </r>
  <r>
    <n v="1086"/>
    <s v="USD"/>
    <n v="2792.56"/>
    <n v="2401.6016"/>
    <n v="2792.56"/>
    <n v="2792.56"/>
    <n v="2401.6016"/>
    <n v="2792.56"/>
    <n v="0"/>
    <n v="0"/>
    <d v="2026-04-06T00:00:00"/>
    <d v="2026-03-07T00:00:00"/>
    <x v="9"/>
    <x v="2"/>
  </r>
  <r>
    <n v="1088"/>
    <s v="MXN"/>
    <n v="1514423.15"/>
    <n v="72692.311199999996"/>
    <n v="84807.696400000001"/>
    <n v="1283871.95"/>
    <n v="61625.853600000002"/>
    <n v="71896.829199999993"/>
    <n v="230551.19999999995"/>
    <n v="12910.867199999997"/>
    <d v="2026-05-17T00:00:00"/>
    <d v="2026-04-17T00:00:00"/>
    <x v="4"/>
    <x v="2"/>
  </r>
  <r>
    <n v="1090"/>
    <s v="USD"/>
    <n v="6045"/>
    <n v="5198.7"/>
    <n v="6045"/>
    <n v="6030.25"/>
    <n v="5186.0150000000003"/>
    <n v="6030.25"/>
    <n v="14.75"/>
    <n v="14.75"/>
    <d v="2026-03-27T00:00:00"/>
    <d v="2026-02-25T00:00:00"/>
    <x v="5"/>
    <x v="2"/>
  </r>
  <r>
    <n v="1091"/>
    <s v="USD"/>
    <n v="0"/>
    <n v="0"/>
    <n v="0"/>
    <n v="59189"/>
    <n v="50902.54"/>
    <n v="59189"/>
    <n v="0"/>
    <n v="0"/>
    <d v="2026-03-20T00:00:00"/>
    <d v="2026-02-18T00:00:00"/>
    <x v="5"/>
    <x v="2"/>
  </r>
  <r>
    <n v="1092"/>
    <s v="USD"/>
    <n v="22103.08"/>
    <n v="19008.648800000003"/>
    <n v="22103.08"/>
    <n v="19721.88"/>
    <n v="16960.816800000001"/>
    <n v="19721.88"/>
    <n v="2381.2000000000007"/>
    <n v="2381.2000000000007"/>
    <d v="2026-03-01T00:00:00"/>
    <d v="2026-01-30T00:00:00"/>
    <x v="8"/>
    <x v="2"/>
  </r>
  <r>
    <n v="1093"/>
    <s v="EUR"/>
    <n v="16905.34"/>
    <n v="16905.34"/>
    <n v="19610.1944"/>
    <n v="2576.64"/>
    <n v="2576.64"/>
    <n v="2988.9023999999995"/>
    <n v="14328.7"/>
    <n v="16621.292000000001"/>
    <d v="2026-11-02T00:00:00"/>
    <d v="2026-10-03T00:00:00"/>
    <x v="2"/>
    <x v="2"/>
  </r>
  <r>
    <n v="1095"/>
    <s v="USD"/>
    <n v="15444"/>
    <n v="13281.84"/>
    <n v="15444"/>
    <n v="52636"/>
    <n v="45266.96"/>
    <n v="52636"/>
    <n v="0"/>
    <n v="0"/>
    <d v="2026-04-01T00:00:00"/>
    <d v="2026-03-02T00:00:00"/>
    <x v="9"/>
    <x v="2"/>
  </r>
  <r>
    <n v="1096"/>
    <s v="MXN"/>
    <n v="75616.02"/>
    <n v="3629.5689600000001"/>
    <n v="4234.49712"/>
    <n v="75616.02"/>
    <n v="3629.5689600000001"/>
    <n v="4234.49712"/>
    <n v="0"/>
    <n v="0"/>
    <d v="2026-04-30T00:00:00"/>
    <d v="2026-03-31T00:00:00"/>
    <x v="9"/>
    <x v="2"/>
  </r>
  <r>
    <n v="1098"/>
    <s v="USD"/>
    <n v="79900"/>
    <n v="68714"/>
    <n v="79900"/>
    <n v="20000"/>
    <n v="17200"/>
    <n v="20000"/>
    <n v="59900"/>
    <n v="59900"/>
    <d v="2026-05-01T00:00:00"/>
    <d v="2026-04-01T00:00:00"/>
    <x v="4"/>
    <x v="2"/>
  </r>
  <r>
    <n v="1100"/>
    <s v="MXN"/>
    <n v="0"/>
    <n v="0"/>
    <n v="0"/>
    <n v="51816"/>
    <n v="2487.1680000000001"/>
    <n v="2901.6959999999999"/>
    <n v="0"/>
    <n v="0"/>
    <d v="2026-03-19T00:00:00"/>
    <d v="2026-02-17T00:00:00"/>
    <x v="5"/>
    <x v="2"/>
  </r>
  <r>
    <n v="1101"/>
    <s v="USD"/>
    <n v="1976"/>
    <n v="1699.36"/>
    <n v="1976"/>
    <n v="1978.82"/>
    <n v="1701.7852"/>
    <n v="1978.82"/>
    <n v="-2.8199999999999363"/>
    <n v="-2.8199999999999363"/>
    <d v="2026-05-03T00:00:00"/>
    <d v="2026-04-03T00:00:00"/>
    <x v="4"/>
    <x v="2"/>
  </r>
  <r>
    <n v="1102"/>
    <s v="EUR"/>
    <n v="0"/>
    <n v="0"/>
    <n v="0"/>
    <n v="12974"/>
    <n v="12974"/>
    <n v="15049.839999999998"/>
    <n v="0"/>
    <n v="0"/>
    <d v="2026-11-25T00:00:00"/>
    <d v="2026-10-26T00:00:00"/>
    <x v="2"/>
    <x v="2"/>
  </r>
  <r>
    <n v="1103"/>
    <s v="EUR"/>
    <n v="-143036.04999999999"/>
    <n v="-143036.04999999999"/>
    <n v="-165921.81799999997"/>
    <n v="45067.95"/>
    <n v="45067.95"/>
    <n v="52278.821999999993"/>
    <n v="14360"/>
    <n v="16657.599999999999"/>
    <d v="2026-03-25T00:00:00"/>
    <d v="2026-02-23T00:00:00"/>
    <x v="5"/>
    <x v="2"/>
  </r>
  <r>
    <n v="1104"/>
    <s v="EUR"/>
    <n v="0"/>
    <n v="0"/>
    <n v="0"/>
    <n v="5038.09"/>
    <n v="5038.09"/>
    <n v="5844.1844000000001"/>
    <n v="0"/>
    <n v="0"/>
    <d v="2026-01-02T00:00:00"/>
    <d v="2025-12-03T00:00:00"/>
    <x v="7"/>
    <x v="1"/>
  </r>
  <r>
    <n v="1105"/>
    <s v="MXN"/>
    <n v="0"/>
    <n v="0"/>
    <n v="0"/>
    <n v="675388"/>
    <n v="32418.624"/>
    <n v="37821.728000000003"/>
    <n v="0"/>
    <n v="0"/>
    <d v="2026-03-28T00:00:00"/>
    <d v="2026-02-26T00:00:00"/>
    <x v="5"/>
    <x v="2"/>
  </r>
  <r>
    <n v="1107"/>
    <s v="EUR"/>
    <n v="4025.58"/>
    <n v="4025.58"/>
    <n v="4669.6727999999994"/>
    <n v="553.20000000000005"/>
    <n v="553.20000000000005"/>
    <n v="641.71199999999999"/>
    <n v="3472.38"/>
    <n v="4027.9607999999998"/>
    <d v="2026-03-18T00:00:00"/>
    <d v="2026-02-16T00:00:00"/>
    <x v="5"/>
    <x v="2"/>
  </r>
  <r>
    <n v="1109"/>
    <s v="USD"/>
    <n v="0"/>
    <n v="0"/>
    <n v="0"/>
    <n v="4147.5"/>
    <n v="3566.85"/>
    <n v="4147.5"/>
    <n v="0"/>
    <n v="0"/>
    <d v="2026-04-17T00:00:00"/>
    <d v="2026-03-18T00:00:00"/>
    <x v="9"/>
    <x v="2"/>
  </r>
  <r>
    <n v="1110"/>
    <s v="USD"/>
    <n v="0"/>
    <n v="0"/>
    <n v="0"/>
    <n v="76516"/>
    <n v="65803.759999999995"/>
    <n v="76516"/>
    <n v="0"/>
    <n v="0"/>
    <d v="2026-07-07T00:00:00"/>
    <d v="2026-06-07T00:00:00"/>
    <x v="3"/>
    <x v="2"/>
  </r>
  <r>
    <n v="1111"/>
    <s v="MXN"/>
    <n v="0"/>
    <n v="0"/>
    <n v="0"/>
    <n v="75072"/>
    <n v="3603.4560000000001"/>
    <n v="4204.0320000000002"/>
    <n v="0"/>
    <n v="0"/>
    <d v="2025-11-13T00:00:00"/>
    <d v="2025-10-14T00:00:00"/>
    <x v="2"/>
    <x v="1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7">
  <r>
    <x v="0"/>
    <n v="3400"/>
    <s v="EUR"/>
    <n v="3943.9999999999995"/>
    <n v="400"/>
  </r>
  <r>
    <x v="1"/>
    <n v="345092.77"/>
    <s v="MXN"/>
    <n v="19325.19512"/>
    <n v="400"/>
  </r>
  <r>
    <x v="1"/>
    <n v="9452.49"/>
    <s v="MXN"/>
    <n v="529.33943999999997"/>
    <n v="400"/>
  </r>
  <r>
    <x v="2"/>
    <n v="10800"/>
    <s v="EUR"/>
    <n v="12528"/>
    <n v="400"/>
  </r>
  <r>
    <x v="3"/>
    <n v="131022"/>
    <s v="EUR"/>
    <n v="151985.51999999999"/>
    <n v="400"/>
  </r>
  <r>
    <x v="3"/>
    <n v="930"/>
    <s v="EUR"/>
    <n v="1078.8"/>
    <n v="400"/>
  </r>
  <r>
    <x v="4"/>
    <n v="4890.32"/>
    <s v="USD"/>
    <n v="4890.32"/>
    <n v="400"/>
  </r>
  <r>
    <x v="5"/>
    <n v="804.83"/>
    <s v="USD"/>
    <n v="804.83"/>
    <n v="400"/>
  </r>
  <r>
    <x v="6"/>
    <n v="4580.32"/>
    <s v="EUR"/>
    <n v="5313.1711999999989"/>
    <n v="400"/>
  </r>
  <r>
    <x v="6"/>
    <n v="1462.25"/>
    <s v="EUR"/>
    <n v="1696.2099999999998"/>
    <n v="400"/>
  </r>
  <r>
    <x v="6"/>
    <n v="1185.9000000000001"/>
    <s v="EUR"/>
    <n v="1375.644"/>
    <n v="400"/>
  </r>
  <r>
    <x v="6"/>
    <n v="361.24"/>
    <s v="EUR"/>
    <n v="419.03839999999997"/>
    <n v="400"/>
  </r>
  <r>
    <x v="6"/>
    <n v="629.17999999999995"/>
    <s v="EUR"/>
    <n v="729.84879999999987"/>
    <n v="400"/>
  </r>
  <r>
    <x v="6"/>
    <n v="18278"/>
    <s v="EUR"/>
    <n v="21202.48"/>
    <n v="400"/>
  </r>
  <r>
    <x v="7"/>
    <n v="2327"/>
    <s v="USD"/>
    <n v="2327"/>
    <n v="400"/>
  </r>
  <r>
    <x v="8"/>
    <n v="3735"/>
    <s v="USD"/>
    <n v="3735"/>
    <n v="400"/>
  </r>
  <r>
    <x v="9"/>
    <n v="1590"/>
    <s v="EUR"/>
    <n v="1844.3999999999999"/>
    <n v="400"/>
  </r>
  <r>
    <x v="10"/>
    <n v="1560"/>
    <s v="USD"/>
    <n v="1560"/>
    <n v="400"/>
  </r>
  <r>
    <x v="11"/>
    <n v="803"/>
    <s v="USD"/>
    <n v="803"/>
    <n v="400"/>
  </r>
  <r>
    <x v="12"/>
    <n v="15077.2"/>
    <s v="EUR"/>
    <n v="17489.552"/>
    <n v="400"/>
  </r>
  <r>
    <x v="13"/>
    <n v="618.86"/>
    <s v="USD"/>
    <n v="618.86"/>
    <n v="400"/>
  </r>
  <r>
    <x v="14"/>
    <n v="3044.14"/>
    <s v="USD"/>
    <n v="3044.14"/>
    <n v="400"/>
  </r>
  <r>
    <x v="14"/>
    <n v="3340.44"/>
    <s v="USD"/>
    <n v="3340.44"/>
    <n v="400"/>
  </r>
  <r>
    <x v="15"/>
    <n v="2667.49"/>
    <s v="USD"/>
    <n v="2667.49"/>
    <n v="400"/>
  </r>
  <r>
    <x v="15"/>
    <n v="1169.0999999999999"/>
    <s v="USD"/>
    <n v="1169.0999999999999"/>
    <n v="400"/>
  </r>
  <r>
    <x v="15"/>
    <n v="115"/>
    <s v="USD"/>
    <n v="115"/>
    <n v="400"/>
  </r>
  <r>
    <x v="15"/>
    <n v="47.5"/>
    <s v="USD"/>
    <n v="47.5"/>
    <n v="400"/>
  </r>
  <r>
    <x v="15"/>
    <n v="125"/>
    <s v="USD"/>
    <n v="125"/>
    <n v="400"/>
  </r>
  <r>
    <x v="16"/>
    <n v="1256.1400000000001"/>
    <s v="USD"/>
    <n v="1256.1400000000001"/>
    <n v="400"/>
  </r>
  <r>
    <x v="16"/>
    <n v="3528.9"/>
    <s v="USD"/>
    <n v="3528.9"/>
    <n v="400"/>
  </r>
  <r>
    <x v="17"/>
    <n v="8563.26"/>
    <s v="EUR"/>
    <n v="9933.3815999999988"/>
    <n v="400"/>
  </r>
  <r>
    <x v="18"/>
    <n v="1501.68"/>
    <s v="USD"/>
    <n v="1501.68"/>
    <n v="400"/>
  </r>
  <r>
    <x v="19"/>
    <n v="3516.4"/>
    <s v="USD"/>
    <n v="3516.4"/>
    <n v="400"/>
  </r>
  <r>
    <x v="20"/>
    <n v="60452.52"/>
    <s v="MXN"/>
    <n v="3385.34112"/>
    <n v="400"/>
  </r>
  <r>
    <x v="21"/>
    <n v="40255.75"/>
    <s v="MXN"/>
    <n v="2254.3220000000001"/>
    <n v="400"/>
  </r>
  <r>
    <x v="22"/>
    <n v="600"/>
    <s v="EUR"/>
    <n v="696"/>
    <n v="400"/>
  </r>
  <r>
    <x v="23"/>
    <n v="370.6"/>
    <s v="EUR"/>
    <n v="429.89600000000002"/>
    <n v="400"/>
  </r>
  <r>
    <x v="23"/>
    <n v="2345.5"/>
    <s v="EUR"/>
    <n v="2720.7799999999997"/>
    <n v="400"/>
  </r>
  <r>
    <x v="24"/>
    <n v="959.6"/>
    <s v="USD"/>
    <n v="959.6"/>
    <n v="400"/>
  </r>
  <r>
    <x v="24"/>
    <n v="2953.2"/>
    <s v="USD"/>
    <n v="2953.2"/>
    <n v="400"/>
  </r>
  <r>
    <x v="25"/>
    <n v="40"/>
    <s v="USD"/>
    <n v="40"/>
    <n v="400"/>
  </r>
  <r>
    <x v="26"/>
    <n v="3400"/>
    <s v="EUR"/>
    <n v="3943.9999999999995"/>
    <n v="400"/>
  </r>
  <r>
    <x v="27"/>
    <n v="48000"/>
    <s v="USD"/>
    <n v="48000"/>
    <n v="400"/>
  </r>
  <r>
    <x v="27"/>
    <n v="51000"/>
    <s v="USD"/>
    <n v="51000"/>
    <n v="400"/>
  </r>
  <r>
    <x v="28"/>
    <n v="4997.26"/>
    <s v="USD"/>
    <n v="4997.26"/>
    <n v="400"/>
  </r>
  <r>
    <x v="29"/>
    <n v="3567"/>
    <s v="MXN"/>
    <n v="199.75200000000001"/>
    <n v="400"/>
  </r>
  <r>
    <x v="30"/>
    <n v="679"/>
    <s v="USD"/>
    <n v="679"/>
    <n v="400"/>
  </r>
  <r>
    <x v="31"/>
    <n v="5621.32"/>
    <s v="USD"/>
    <n v="5621.32"/>
    <n v="400"/>
  </r>
  <r>
    <x v="31"/>
    <n v="3093.09"/>
    <s v="USD"/>
    <n v="3093.09"/>
    <n v="400"/>
  </r>
  <r>
    <x v="32"/>
    <n v="981.77"/>
    <s v="USD"/>
    <n v="981.77"/>
    <n v="400"/>
  </r>
  <r>
    <x v="33"/>
    <n v="206.9"/>
    <s v="USD"/>
    <n v="206.9"/>
    <n v="400"/>
  </r>
  <r>
    <x v="34"/>
    <n v="4265.6099999999997"/>
    <s v="USD"/>
    <n v="4265.6099999999997"/>
    <n v="400"/>
  </r>
  <r>
    <x v="35"/>
    <n v="6449.42"/>
    <s v="USD"/>
    <n v="6449.42"/>
    <n v="400"/>
  </r>
  <r>
    <x v="35"/>
    <n v="759"/>
    <s v="USD"/>
    <n v="759"/>
    <n v="400"/>
  </r>
  <r>
    <x v="35"/>
    <n v="2310"/>
    <s v="USD"/>
    <n v="2310"/>
    <n v="400"/>
  </r>
  <r>
    <x v="35"/>
    <n v="930"/>
    <s v="USD"/>
    <n v="930"/>
    <n v="400"/>
  </r>
  <r>
    <x v="35"/>
    <n v="328.29"/>
    <s v="USD"/>
    <n v="328.29"/>
    <n v="400"/>
  </r>
  <r>
    <x v="35"/>
    <n v="1430.04"/>
    <s v="USD"/>
    <n v="1430.04"/>
    <n v="400"/>
  </r>
  <r>
    <x v="36"/>
    <n v="2268"/>
    <s v="EUR"/>
    <n v="2630.8799999999997"/>
    <n v="400"/>
  </r>
  <r>
    <x v="37"/>
    <n v="1062"/>
    <s v="USD"/>
    <n v="1062"/>
    <n v="400"/>
  </r>
  <r>
    <x v="38"/>
    <n v="1366"/>
    <s v="USD"/>
    <n v="1366"/>
    <n v="400"/>
  </r>
  <r>
    <x v="39"/>
    <n v="4335.6000000000004"/>
    <s v="USD"/>
    <n v="4335.6000000000004"/>
    <n v="400"/>
  </r>
  <r>
    <x v="39"/>
    <n v="1688"/>
    <s v="USD"/>
    <n v="1688"/>
    <n v="400"/>
  </r>
  <r>
    <x v="39"/>
    <n v="235"/>
    <s v="USD"/>
    <n v="235"/>
    <n v="400"/>
  </r>
  <r>
    <x v="40"/>
    <n v="201"/>
    <s v="USD"/>
    <n v="201"/>
    <n v="400"/>
  </r>
  <r>
    <x v="41"/>
    <n v="11485.71"/>
    <s v="USD"/>
    <n v="11485.71"/>
    <n v="400"/>
  </r>
  <r>
    <x v="42"/>
    <n v="260"/>
    <s v="USD"/>
    <n v="260"/>
    <n v="400"/>
  </r>
  <r>
    <x v="43"/>
    <n v="2250"/>
    <s v="USD"/>
    <n v="2250"/>
    <n v="400"/>
  </r>
  <r>
    <x v="44"/>
    <n v="1450.4"/>
    <s v="USD"/>
    <n v="1450.4"/>
    <n v="400"/>
  </r>
  <r>
    <x v="44"/>
    <n v="379.61"/>
    <s v="USD"/>
    <n v="379.61"/>
    <n v="400"/>
  </r>
  <r>
    <x v="44"/>
    <n v="2265"/>
    <s v="USD"/>
    <n v="2265"/>
    <n v="400"/>
  </r>
  <r>
    <x v="44"/>
    <n v="339"/>
    <s v="USD"/>
    <n v="339"/>
    <n v="400"/>
  </r>
  <r>
    <x v="45"/>
    <n v="688"/>
    <s v="USD"/>
    <n v="688"/>
    <n v="400"/>
  </r>
  <r>
    <x v="46"/>
    <n v="2265"/>
    <s v="USD"/>
    <n v="2265"/>
    <n v="400"/>
  </r>
  <r>
    <x v="46"/>
    <n v="1030.4000000000001"/>
    <s v="USD"/>
    <n v="1030.4000000000001"/>
    <n v="400"/>
  </r>
  <r>
    <x v="47"/>
    <n v="2265"/>
    <s v="USD"/>
    <n v="2265"/>
    <n v="400"/>
  </r>
  <r>
    <x v="47"/>
    <n v="2723"/>
    <s v="USD"/>
    <n v="2723"/>
    <n v="400"/>
  </r>
  <r>
    <x v="48"/>
    <n v="7724.4"/>
    <s v="USD"/>
    <n v="7724.4"/>
    <n v="400"/>
  </r>
  <r>
    <x v="48"/>
    <n v="6705.8"/>
    <s v="USD"/>
    <n v="6705.8"/>
    <n v="400"/>
  </r>
  <r>
    <x v="48"/>
    <n v="7424"/>
    <s v="USD"/>
    <n v="7424"/>
    <n v="400"/>
  </r>
  <r>
    <x v="49"/>
    <n v="229"/>
    <s v="USD"/>
    <n v="229"/>
    <n v="400"/>
  </r>
  <r>
    <x v="50"/>
    <n v="1369"/>
    <s v="USD"/>
    <n v="1369"/>
    <n v="400"/>
  </r>
  <r>
    <x v="50"/>
    <n v="339.68"/>
    <s v="USD"/>
    <n v="339.68"/>
    <n v="400"/>
  </r>
  <r>
    <x v="51"/>
    <n v="323.25"/>
    <s v="USD"/>
    <n v="323.25"/>
    <n v="400"/>
  </r>
  <r>
    <x v="51"/>
    <n v="2155"/>
    <s v="USD"/>
    <n v="2155"/>
    <n v="400"/>
  </r>
  <r>
    <x v="51"/>
    <n v="115823.8"/>
    <s v="USD"/>
    <n v="115823.8"/>
    <n v="400"/>
  </r>
  <r>
    <x v="52"/>
    <n v="800"/>
    <s v="USD"/>
    <n v="800"/>
    <n v="400"/>
  </r>
  <r>
    <x v="53"/>
    <n v="800"/>
    <s v="USD"/>
    <n v="800"/>
    <n v="400"/>
  </r>
  <r>
    <x v="54"/>
    <n v="9904"/>
    <s v="MXN"/>
    <n v="554.62400000000002"/>
    <n v="400"/>
  </r>
  <r>
    <x v="55"/>
    <n v="4440"/>
    <s v="EUR"/>
    <n v="5150.3999999999996"/>
    <n v="400"/>
  </r>
  <r>
    <x v="56"/>
    <n v="135027"/>
    <s v="MXN"/>
    <n v="7561.5119999999997"/>
    <n v="400"/>
  </r>
  <r>
    <x v="57"/>
    <n v="23614.400000000001"/>
    <s v="MXN"/>
    <n v="1322.4064000000001"/>
    <n v="400"/>
  </r>
  <r>
    <x v="58"/>
    <n v="494.4"/>
    <s v="EUR"/>
    <n v="573.50399999999991"/>
    <n v="400"/>
  </r>
  <r>
    <x v="59"/>
    <n v="21.34"/>
    <s v="EUR"/>
    <n v="24.754399999999997"/>
    <n v="400"/>
  </r>
  <r>
    <x v="59"/>
    <n v="20650"/>
    <s v="EUR"/>
    <n v="23954"/>
    <n v="400"/>
  </r>
  <r>
    <x v="59"/>
    <n v="9312"/>
    <s v="EUR"/>
    <n v="10801.92"/>
    <n v="400"/>
  </r>
  <r>
    <x v="59"/>
    <n v="2664"/>
    <s v="EUR"/>
    <n v="3090.24"/>
    <n v="400"/>
  </r>
  <r>
    <x v="59"/>
    <n v="1250.1500000000001"/>
    <s v="EUR"/>
    <n v="1450.174"/>
    <n v="400"/>
  </r>
  <r>
    <x v="60"/>
    <n v="26938.799999999999"/>
    <s v="EUR"/>
    <n v="31249.007999999998"/>
    <n v="400"/>
  </r>
  <r>
    <x v="61"/>
    <n v="2997"/>
    <s v="USD"/>
    <n v="2997"/>
    <n v="400"/>
  </r>
  <r>
    <x v="61"/>
    <n v="1586"/>
    <s v="USD"/>
    <n v="1586"/>
    <n v="400"/>
  </r>
  <r>
    <x v="62"/>
    <n v="8979.2000000000007"/>
    <s v="USD"/>
    <n v="8979.2000000000007"/>
    <n v="400"/>
  </r>
  <r>
    <x v="63"/>
    <n v="14042.21"/>
    <s v="USD"/>
    <n v="14042.21"/>
    <n v="400"/>
  </r>
  <r>
    <x v="63"/>
    <n v="1171"/>
    <s v="USD"/>
    <n v="1171"/>
    <n v="400"/>
  </r>
  <r>
    <x v="64"/>
    <n v="268"/>
    <s v="USD"/>
    <n v="268"/>
    <n v="400"/>
  </r>
  <r>
    <x v="65"/>
    <n v="268"/>
    <s v="USD"/>
    <n v="268"/>
    <n v="400"/>
  </r>
  <r>
    <x v="66"/>
    <n v="494"/>
    <s v="USD"/>
    <n v="494"/>
    <n v="400"/>
  </r>
  <r>
    <x v="67"/>
    <n v="76619.67"/>
    <s v="USD"/>
    <n v="76619.67"/>
    <n v="400"/>
  </r>
  <r>
    <x v="68"/>
    <n v="95573"/>
    <s v="MXN"/>
    <n v="5352.0879999999997"/>
    <n v="400"/>
  </r>
  <r>
    <x v="69"/>
    <n v="302.2"/>
    <s v="USD"/>
    <n v="302.2"/>
    <n v="400"/>
  </r>
  <r>
    <x v="70"/>
    <n v="82419"/>
    <s v="GPB"/>
    <n v="110441.46"/>
    <n v="400"/>
  </r>
  <r>
    <x v="71"/>
    <n v="1098"/>
    <s v="USD"/>
    <n v="1098"/>
    <n v="400"/>
  </r>
  <r>
    <x v="72"/>
    <n v="20030.39"/>
    <s v="USD"/>
    <n v="20030.39"/>
    <n v="400"/>
  </r>
  <r>
    <x v="72"/>
    <n v="747"/>
    <s v="USD"/>
    <n v="747"/>
    <n v="400"/>
  </r>
  <r>
    <x v="73"/>
    <n v="113312.48"/>
    <s v="MXN"/>
    <n v="6345.4988800000001"/>
    <n v="400"/>
  </r>
  <r>
    <x v="74"/>
    <n v="606.17999999999995"/>
    <s v="EUR"/>
    <n v="703.16879999999992"/>
    <n v="400"/>
  </r>
  <r>
    <x v="75"/>
    <n v="1432.1"/>
    <s v="EUR"/>
    <n v="1661.2359999999999"/>
    <n v="400"/>
  </r>
  <r>
    <x v="76"/>
    <n v="1317.6"/>
    <s v="USD"/>
    <n v="1317.6"/>
    <n v="400"/>
  </r>
  <r>
    <x v="76"/>
    <n v="1066.08"/>
    <s v="USD"/>
    <n v="1066.08"/>
    <n v="400"/>
  </r>
  <r>
    <x v="77"/>
    <n v="1791.72"/>
    <s v="USD"/>
    <n v="1791.72"/>
    <n v="400"/>
  </r>
  <r>
    <x v="78"/>
    <n v="11500.66"/>
    <s v="EUR"/>
    <n v="13340.765599999999"/>
    <n v="400"/>
  </r>
  <r>
    <x v="79"/>
    <n v="13732"/>
    <s v="USD"/>
    <n v="13732"/>
    <n v="400"/>
  </r>
  <r>
    <x v="79"/>
    <n v="43992"/>
    <s v="USD"/>
    <n v="43992"/>
    <n v="400"/>
  </r>
  <r>
    <x v="80"/>
    <n v="3048"/>
    <s v="EUR"/>
    <n v="3535.68"/>
    <n v="400"/>
  </r>
  <r>
    <x v="80"/>
    <n v="17010"/>
    <s v="EUR"/>
    <n v="19731.599999999999"/>
    <n v="400"/>
  </r>
  <r>
    <x v="80"/>
    <n v="1093.96"/>
    <s v="EUR"/>
    <n v="1268.9936"/>
    <n v="400"/>
  </r>
  <r>
    <x v="80"/>
    <n v="265"/>
    <s v="EUR"/>
    <n v="307.39999999999998"/>
    <n v="400"/>
  </r>
  <r>
    <x v="80"/>
    <n v="844.4"/>
    <s v="EUR"/>
    <n v="979.50399999999991"/>
    <n v="400"/>
  </r>
  <r>
    <x v="81"/>
    <n v="493.54"/>
    <s v="USD"/>
    <n v="493.54"/>
    <n v="400"/>
  </r>
  <r>
    <x v="81"/>
    <n v="4594.46"/>
    <s v="USD"/>
    <n v="4594.46"/>
    <n v="400"/>
  </r>
  <r>
    <x v="82"/>
    <n v="1389.53"/>
    <s v="USD"/>
    <n v="1389.53"/>
    <n v="400"/>
  </r>
  <r>
    <x v="83"/>
    <n v="166662"/>
    <s v="MXN"/>
    <n v="9333.0720000000001"/>
    <n v="400"/>
  </r>
  <r>
    <x v="84"/>
    <n v="4389"/>
    <s v="USD"/>
    <n v="4389"/>
    <n v="400"/>
  </r>
  <r>
    <x v="85"/>
    <n v="777.2"/>
    <s v="USD"/>
    <n v="777.2"/>
    <n v="400"/>
  </r>
  <r>
    <x v="85"/>
    <n v="3601.68"/>
    <s v="USD"/>
    <n v="3601.68"/>
    <n v="400"/>
  </r>
  <r>
    <x v="86"/>
    <n v="60"/>
    <s v="USD"/>
    <n v="60"/>
    <n v="400"/>
  </r>
  <r>
    <x v="86"/>
    <n v="8696.25"/>
    <s v="USD"/>
    <n v="8696.25"/>
    <n v="400"/>
  </r>
  <r>
    <x v="87"/>
    <n v="310"/>
    <s v="USD"/>
    <n v="310"/>
    <n v="400"/>
  </r>
  <r>
    <x v="87"/>
    <n v="305"/>
    <s v="USD"/>
    <n v="305"/>
    <n v="400"/>
  </r>
  <r>
    <x v="87"/>
    <n v="590"/>
    <s v="USD"/>
    <n v="590"/>
    <n v="400"/>
  </r>
  <r>
    <x v="88"/>
    <n v="83.09"/>
    <s v="USD"/>
    <n v="83.09"/>
    <n v="400"/>
  </r>
  <r>
    <x v="88"/>
    <n v="55313.36"/>
    <s v="USD"/>
    <n v="55313.36"/>
    <n v="400"/>
  </r>
  <r>
    <x v="88"/>
    <n v="28431.439999999999"/>
    <s v="USD"/>
    <n v="28431.439999999999"/>
    <n v="400"/>
  </r>
  <r>
    <x v="88"/>
    <n v="1011.9"/>
    <s v="USD"/>
    <n v="1011.9"/>
    <n v="400"/>
  </r>
  <r>
    <x v="88"/>
    <n v="30431.56"/>
    <s v="USD"/>
    <n v="30431.56"/>
    <n v="400"/>
  </r>
  <r>
    <x v="88"/>
    <n v="26940"/>
    <s v="USD"/>
    <n v="26940"/>
    <n v="400"/>
  </r>
  <r>
    <x v="89"/>
    <n v="4574.1099999999997"/>
    <s v="USD"/>
    <n v="4574.1099999999997"/>
    <n v="400"/>
  </r>
  <r>
    <x v="90"/>
    <n v="2232"/>
    <s v="USD"/>
    <n v="2232"/>
    <n v="400"/>
  </r>
  <r>
    <x v="91"/>
    <n v="23910.84"/>
    <s v="USD"/>
    <n v="23910.84"/>
    <n v="400"/>
  </r>
  <r>
    <x v="92"/>
    <n v="3158.37"/>
    <s v="EUR"/>
    <n v="3663.7091999999998"/>
    <n v="400"/>
  </r>
  <r>
    <x v="93"/>
    <n v="2425"/>
    <s v="USD"/>
    <n v="2425"/>
    <n v="400"/>
  </r>
  <r>
    <x v="94"/>
    <n v="4874.42"/>
    <s v="EUR"/>
    <n v="5654.3271999999997"/>
    <n v="400"/>
  </r>
  <r>
    <x v="95"/>
    <n v="3993.6"/>
    <s v="USD"/>
    <n v="3993.6"/>
    <n v="400"/>
  </r>
  <r>
    <x v="96"/>
    <n v="1315.6"/>
    <s v="EUR"/>
    <n v="1526.0959999999998"/>
    <n v="400"/>
  </r>
  <r>
    <x v="96"/>
    <n v="2786"/>
    <s v="EUR"/>
    <n v="3231.7599999999998"/>
    <n v="400"/>
  </r>
  <r>
    <x v="97"/>
    <n v="7786"/>
    <s v="USD"/>
    <n v="7786"/>
    <n v="400"/>
  </r>
  <r>
    <x v="98"/>
    <n v="1353"/>
    <s v="USD"/>
    <n v="1353"/>
    <n v="400"/>
  </r>
  <r>
    <x v="98"/>
    <n v="1213.5999999999999"/>
    <s v="USD"/>
    <n v="1213.5999999999999"/>
    <n v="400"/>
  </r>
  <r>
    <x v="98"/>
    <n v="7923.4"/>
    <s v="USD"/>
    <n v="7923.4"/>
    <n v="400"/>
  </r>
  <r>
    <x v="98"/>
    <n v="738.63"/>
    <s v="USD"/>
    <n v="738.63"/>
    <n v="400"/>
  </r>
  <r>
    <x v="98"/>
    <n v="2647.06"/>
    <s v="USD"/>
    <n v="2647.06"/>
    <n v="400"/>
  </r>
  <r>
    <x v="98"/>
    <n v="3570"/>
    <s v="USD"/>
    <n v="3570"/>
    <n v="400"/>
  </r>
  <r>
    <x v="99"/>
    <n v="2898.5"/>
    <s v="USD"/>
    <n v="2898.5"/>
    <n v="400"/>
  </r>
  <r>
    <x v="100"/>
    <n v="17459"/>
    <s v="EUR"/>
    <n v="20252.439999999999"/>
    <n v="400"/>
  </r>
  <r>
    <x v="100"/>
    <n v="11673.64"/>
    <s v="EUR"/>
    <n v="13541.422399999998"/>
    <n v="400"/>
  </r>
  <r>
    <x v="101"/>
    <n v="2949"/>
    <s v="USD"/>
    <n v="2949"/>
    <n v="400"/>
  </r>
  <r>
    <x v="102"/>
    <n v="355.5"/>
    <s v="USD"/>
    <n v="355.5"/>
    <n v="400"/>
  </r>
  <r>
    <x v="102"/>
    <n v="15559.29"/>
    <s v="USD"/>
    <n v="15559.29"/>
    <n v="400"/>
  </r>
  <r>
    <x v="103"/>
    <n v="2229"/>
    <s v="USD"/>
    <n v="2229"/>
    <n v="400"/>
  </r>
  <r>
    <x v="103"/>
    <n v="1868.36"/>
    <s v="USD"/>
    <n v="1868.36"/>
    <n v="400"/>
  </r>
  <r>
    <x v="104"/>
    <n v="1137"/>
    <s v="USD"/>
    <n v="1137"/>
    <n v="400"/>
  </r>
  <r>
    <x v="104"/>
    <n v="1137.03"/>
    <s v="USD"/>
    <n v="1137.03"/>
    <n v="400"/>
  </r>
  <r>
    <x v="105"/>
    <n v="5106.96"/>
    <s v="USD"/>
    <n v="5106.96"/>
    <n v="400"/>
  </r>
  <r>
    <x v="106"/>
    <n v="728.82"/>
    <s v="EUR"/>
    <n v="845.43119999999999"/>
    <n v="400"/>
  </r>
  <r>
    <x v="106"/>
    <n v="1365"/>
    <s v="EUR"/>
    <n v="1583.3999999999999"/>
    <n v="400"/>
  </r>
  <r>
    <x v="106"/>
    <n v="1519.55"/>
    <s v="EUR"/>
    <n v="1762.6779999999999"/>
    <n v="400"/>
  </r>
  <r>
    <x v="106"/>
    <n v="2130"/>
    <s v="EUR"/>
    <n v="2470.7999999999997"/>
    <n v="400"/>
  </r>
  <r>
    <x v="106"/>
    <n v="15970"/>
    <s v="EUR"/>
    <n v="18525.199999999997"/>
    <n v="400"/>
  </r>
  <r>
    <x v="106"/>
    <n v="2190"/>
    <s v="EUR"/>
    <n v="2540.3999999999996"/>
    <n v="400"/>
  </r>
  <r>
    <x v="106"/>
    <n v="6459"/>
    <s v="EUR"/>
    <n v="7492.44"/>
    <n v="400"/>
  </r>
  <r>
    <x v="106"/>
    <n v="5290.9"/>
    <s v="EUR"/>
    <n v="6137.4439999999995"/>
    <n v="400"/>
  </r>
  <r>
    <x v="107"/>
    <n v="2609.65"/>
    <s v="EUR"/>
    <n v="3027.194"/>
    <n v="400"/>
  </r>
  <r>
    <x v="107"/>
    <n v="836"/>
    <s v="EUR"/>
    <n v="969.75999999999988"/>
    <n v="400"/>
  </r>
  <r>
    <x v="108"/>
    <n v="2277.39"/>
    <s v="USD"/>
    <n v="2277.39"/>
    <n v="400"/>
  </r>
  <r>
    <x v="109"/>
    <n v="2611.4299999999998"/>
    <s v="USD"/>
    <n v="2611.4299999999998"/>
    <n v="400"/>
  </r>
  <r>
    <x v="110"/>
    <n v="2500"/>
    <s v="USD"/>
    <n v="2500"/>
    <n v="400"/>
  </r>
  <r>
    <x v="110"/>
    <n v="980"/>
    <s v="USD"/>
    <n v="980"/>
    <n v="400"/>
  </r>
  <r>
    <x v="110"/>
    <n v="65"/>
    <s v="USD"/>
    <n v="65"/>
    <n v="400"/>
  </r>
  <r>
    <x v="110"/>
    <n v="46.54"/>
    <s v="USD"/>
    <n v="46.54"/>
    <n v="400"/>
  </r>
  <r>
    <x v="110"/>
    <n v="2062"/>
    <s v="USD"/>
    <n v="2062"/>
    <n v="400"/>
  </r>
  <r>
    <x v="110"/>
    <n v="829.5"/>
    <s v="USD"/>
    <n v="829.5"/>
    <n v="400"/>
  </r>
  <r>
    <x v="110"/>
    <n v="829.5"/>
    <s v="USD"/>
    <n v="829.5"/>
    <n v="400"/>
  </r>
  <r>
    <x v="111"/>
    <n v="2295"/>
    <s v="EUR"/>
    <n v="2662.2"/>
    <n v="400"/>
  </r>
  <r>
    <x v="111"/>
    <n v="11530"/>
    <s v="EUR"/>
    <n v="13374.8"/>
    <n v="400"/>
  </r>
  <r>
    <x v="111"/>
    <n v="3834"/>
    <s v="EUR"/>
    <n v="4447.4399999999996"/>
    <n v="400"/>
  </r>
  <r>
    <x v="111"/>
    <n v="315"/>
    <s v="EUR"/>
    <n v="365.4"/>
    <n v="400"/>
  </r>
  <r>
    <x v="111"/>
    <n v="7518.72"/>
    <s v="EUR"/>
    <n v="8721.7152000000006"/>
    <n v="400"/>
  </r>
  <r>
    <x v="111"/>
    <n v="1879.45"/>
    <s v="EUR"/>
    <n v="2180.1619999999998"/>
    <n v="400"/>
  </r>
  <r>
    <x v="111"/>
    <n v="1705.5"/>
    <s v="EUR"/>
    <n v="1978.3799999999999"/>
    <n v="400"/>
  </r>
  <r>
    <x v="111"/>
    <n v="293.42"/>
    <s v="EUR"/>
    <n v="340.36719999999997"/>
    <n v="400"/>
  </r>
  <r>
    <x v="112"/>
    <n v="1450"/>
    <s v="USD"/>
    <n v="1450"/>
    <n v="400"/>
  </r>
  <r>
    <x v="112"/>
    <n v="3123.98"/>
    <s v="USD"/>
    <n v="3123.98"/>
    <n v="400"/>
  </r>
  <r>
    <x v="112"/>
    <n v="1418.46"/>
    <s v="USD"/>
    <n v="1418.46"/>
    <n v="400"/>
  </r>
  <r>
    <x v="113"/>
    <n v="2523.46"/>
    <s v="USD"/>
    <n v="2523.46"/>
    <n v="400"/>
  </r>
  <r>
    <x v="113"/>
    <n v="5655.35"/>
    <s v="USD"/>
    <n v="5655.35"/>
    <n v="400"/>
  </r>
  <r>
    <x v="113"/>
    <n v="9147.89"/>
    <s v="USD"/>
    <n v="9147.89"/>
    <n v="400"/>
  </r>
  <r>
    <x v="114"/>
    <n v="2907.16"/>
    <s v="USD"/>
    <n v="2907.16"/>
    <n v="400"/>
  </r>
  <r>
    <x v="114"/>
    <n v="2775.18"/>
    <s v="USD"/>
    <n v="2775.18"/>
    <n v="400"/>
  </r>
  <r>
    <x v="114"/>
    <n v="615.66"/>
    <s v="USD"/>
    <n v="615.66"/>
    <n v="400"/>
  </r>
  <r>
    <x v="114"/>
    <n v="1612.8"/>
    <s v="USD"/>
    <n v="1612.8"/>
    <n v="400"/>
  </r>
  <r>
    <x v="114"/>
    <n v="4041.44"/>
    <s v="USD"/>
    <n v="4041.44"/>
    <n v="400"/>
  </r>
  <r>
    <x v="115"/>
    <n v="4998.51"/>
    <s v="USD"/>
    <n v="4998.51"/>
    <n v="400"/>
  </r>
  <r>
    <x v="116"/>
    <n v="2598.7600000000002"/>
    <s v="USD"/>
    <n v="2598.7600000000002"/>
    <n v="400"/>
  </r>
  <r>
    <x v="117"/>
    <n v="2458.9"/>
    <s v="USD"/>
    <n v="2458.9"/>
    <n v="400"/>
  </r>
  <r>
    <x v="118"/>
    <n v="19706"/>
    <s v="USD"/>
    <n v="19706"/>
    <n v="400"/>
  </r>
  <r>
    <x v="119"/>
    <n v="1196"/>
    <s v="USD"/>
    <n v="1196"/>
    <n v="400"/>
  </r>
  <r>
    <x v="120"/>
    <n v="1544.2"/>
    <s v="USD"/>
    <n v="1544.2"/>
    <n v="400"/>
  </r>
  <r>
    <x v="120"/>
    <n v="1838.6"/>
    <s v="USD"/>
    <n v="1838.6"/>
    <n v="400"/>
  </r>
  <r>
    <x v="121"/>
    <n v="1019.21"/>
    <s v="USD"/>
    <n v="1019.21"/>
    <n v="400"/>
  </r>
  <r>
    <x v="121"/>
    <n v="9000"/>
    <s v="USD"/>
    <n v="9000"/>
    <n v="400"/>
  </r>
  <r>
    <x v="122"/>
    <n v="5626.99"/>
    <s v="USD"/>
    <n v="5626.99"/>
    <n v="400"/>
  </r>
  <r>
    <x v="123"/>
    <n v="5250"/>
    <s v="USD"/>
    <n v="5250"/>
    <n v="400"/>
  </r>
  <r>
    <x v="124"/>
    <n v="13249.93"/>
    <s v="MXN"/>
    <n v="741.99608000000001"/>
    <n v="400"/>
  </r>
  <r>
    <x v="125"/>
    <n v="10592.5"/>
    <s v="EUR"/>
    <n v="12287.3"/>
    <n v="400"/>
  </r>
  <r>
    <x v="126"/>
    <n v="4484.08"/>
    <s v="USD"/>
    <n v="4484.08"/>
    <n v="400"/>
  </r>
  <r>
    <x v="126"/>
    <n v="699"/>
    <s v="USD"/>
    <n v="699"/>
    <n v="400"/>
  </r>
  <r>
    <x v="126"/>
    <n v="297.2"/>
    <s v="USD"/>
    <n v="297.2"/>
    <n v="400"/>
  </r>
  <r>
    <x v="126"/>
    <n v="513.05999999999995"/>
    <s v="USD"/>
    <n v="513.05999999999995"/>
    <n v="400"/>
  </r>
  <r>
    <x v="126"/>
    <n v="2038"/>
    <s v="USD"/>
    <n v="2038"/>
    <n v="400"/>
  </r>
  <r>
    <x v="126"/>
    <n v="6851"/>
    <s v="USD"/>
    <n v="6851"/>
    <n v="400"/>
  </r>
  <r>
    <x v="127"/>
    <n v="7732.08"/>
    <s v="USD"/>
    <n v="7732.08"/>
    <n v="400"/>
  </r>
  <r>
    <x v="127"/>
    <n v="18798"/>
    <s v="USD"/>
    <n v="18798"/>
    <n v="400"/>
  </r>
  <r>
    <x v="127"/>
    <n v="1289"/>
    <s v="USD"/>
    <n v="1289"/>
    <n v="400"/>
  </r>
  <r>
    <x v="127"/>
    <n v="306.60000000000002"/>
    <s v="USD"/>
    <n v="306.60000000000002"/>
    <n v="400"/>
  </r>
  <r>
    <x v="127"/>
    <n v="24618.41"/>
    <s v="USD"/>
    <n v="24618.41"/>
    <n v="400"/>
  </r>
  <r>
    <x v="128"/>
    <n v="4395"/>
    <s v="USD"/>
    <n v="4395"/>
    <n v="400"/>
  </r>
  <r>
    <x v="129"/>
    <n v="3998.77"/>
    <s v="USD"/>
    <n v="3998.77"/>
    <n v="400"/>
  </r>
  <r>
    <x v="130"/>
    <n v="3998.77"/>
    <s v="USD"/>
    <n v="3998.77"/>
    <n v="400"/>
  </r>
  <r>
    <x v="131"/>
    <n v="707.1"/>
    <s v="USD"/>
    <n v="707.1"/>
    <n v="400"/>
  </r>
  <r>
    <x v="131"/>
    <n v="3824.7"/>
    <s v="USD"/>
    <n v="3824.7"/>
    <n v="400"/>
  </r>
  <r>
    <x v="131"/>
    <n v="4828.93"/>
    <s v="USD"/>
    <n v="4828.93"/>
    <n v="400"/>
  </r>
  <r>
    <x v="131"/>
    <n v="526.20000000000005"/>
    <s v="USD"/>
    <n v="526.20000000000005"/>
    <n v="400"/>
  </r>
  <r>
    <x v="131"/>
    <n v="977.01"/>
    <s v="USD"/>
    <n v="977.01"/>
    <n v="400"/>
  </r>
  <r>
    <x v="132"/>
    <n v="1612.44"/>
    <s v="USD"/>
    <n v="1612.44"/>
    <n v="400"/>
  </r>
  <r>
    <x v="133"/>
    <n v="6615"/>
    <s v="EUR"/>
    <n v="7673.4"/>
    <n v="400"/>
  </r>
  <r>
    <x v="134"/>
    <n v="868193.33"/>
    <s v="MXN"/>
    <n v="48618.826479999996"/>
    <n v="400"/>
  </r>
  <r>
    <x v="135"/>
    <n v="8120"/>
    <s v="USD"/>
    <n v="8120"/>
    <n v="400"/>
  </r>
  <r>
    <x v="135"/>
    <n v="90"/>
    <s v="USD"/>
    <n v="90"/>
    <n v="400"/>
  </r>
  <r>
    <x v="136"/>
    <n v="4370.66"/>
    <s v="USD"/>
    <n v="4370.66"/>
    <n v="400"/>
  </r>
  <r>
    <x v="137"/>
    <n v="4370.66"/>
    <s v="USD"/>
    <n v="4370.66"/>
    <n v="400"/>
  </r>
  <r>
    <x v="138"/>
    <n v="1983.4"/>
    <s v="USD"/>
    <n v="1983.4"/>
    <n v="400"/>
  </r>
  <r>
    <x v="138"/>
    <n v="3214.8"/>
    <s v="USD"/>
    <n v="3214.8"/>
    <n v="400"/>
  </r>
  <r>
    <x v="138"/>
    <n v="13000"/>
    <s v="USD"/>
    <n v="13000"/>
    <n v="400"/>
  </r>
  <r>
    <x v="138"/>
    <n v="1705"/>
    <s v="USD"/>
    <n v="1705"/>
    <n v="400"/>
  </r>
  <r>
    <x v="139"/>
    <n v="2074.1999999999998"/>
    <s v="USD"/>
    <n v="2074.1999999999998"/>
    <n v="400"/>
  </r>
  <r>
    <x v="140"/>
    <n v="4726"/>
    <s v="EUR"/>
    <n v="5482.16"/>
    <n v="400"/>
  </r>
  <r>
    <x v="140"/>
    <n v="5982"/>
    <s v="EUR"/>
    <n v="6939.12"/>
    <n v="400"/>
  </r>
  <r>
    <x v="140"/>
    <n v="5898"/>
    <s v="EUR"/>
    <n v="6841.6799999999994"/>
    <n v="400"/>
  </r>
  <r>
    <x v="140"/>
    <n v="640.04"/>
    <s v="EUR"/>
    <n v="742.44639999999993"/>
    <n v="400"/>
  </r>
  <r>
    <x v="140"/>
    <n v="4710"/>
    <s v="EUR"/>
    <n v="5463.5999999999995"/>
    <n v="400"/>
  </r>
  <r>
    <x v="141"/>
    <n v="5832.86"/>
    <s v="USD"/>
    <n v="5832.86"/>
    <n v="400"/>
  </r>
  <r>
    <x v="141"/>
    <n v="52495.74"/>
    <s v="USD"/>
    <n v="52495.74"/>
    <n v="400"/>
  </r>
  <r>
    <x v="142"/>
    <n v="3574"/>
    <s v="USD"/>
    <n v="3574"/>
    <n v="400"/>
  </r>
  <r>
    <x v="143"/>
    <n v="7247.7"/>
    <s v="USD"/>
    <n v="7247.7"/>
    <n v="400"/>
  </r>
  <r>
    <x v="144"/>
    <n v="1368"/>
    <s v="EUR"/>
    <n v="1586.8799999999999"/>
    <n v="400"/>
  </r>
  <r>
    <x v="144"/>
    <n v="4132"/>
    <s v="EUR"/>
    <n v="4793.12"/>
    <n v="400"/>
  </r>
  <r>
    <x v="144"/>
    <n v="4685.2"/>
    <s v="EUR"/>
    <n v="5434.8319999999994"/>
    <n v="400"/>
  </r>
  <r>
    <x v="145"/>
    <n v="9173.7000000000007"/>
    <s v="EUR"/>
    <n v="10641.492"/>
    <n v="400"/>
  </r>
  <r>
    <x v="146"/>
    <n v="22400"/>
    <s v="USD"/>
    <n v="22400"/>
    <n v="400"/>
  </r>
  <r>
    <x v="146"/>
    <n v="22399"/>
    <s v="USD"/>
    <n v="22399"/>
    <n v="400"/>
  </r>
  <r>
    <x v="146"/>
    <n v="27880.43"/>
    <s v="USD"/>
    <n v="27880.43"/>
    <n v="400"/>
  </r>
  <r>
    <x v="146"/>
    <n v="10226.629999999999"/>
    <s v="USD"/>
    <n v="10226.629999999999"/>
    <n v="400"/>
  </r>
  <r>
    <x v="146"/>
    <n v="344.32"/>
    <s v="USD"/>
    <n v="344.32"/>
    <n v="400"/>
  </r>
  <r>
    <x v="146"/>
    <n v="919.17"/>
    <s v="USD"/>
    <n v="919.17"/>
    <n v="400"/>
  </r>
  <r>
    <x v="147"/>
    <n v="12539.51"/>
    <s v="USD"/>
    <n v="12539.51"/>
    <n v="400"/>
  </r>
  <r>
    <x v="148"/>
    <n v="513.4"/>
    <s v="USD"/>
    <n v="513.4"/>
    <n v="400"/>
  </r>
  <r>
    <x v="148"/>
    <n v="265.2"/>
    <s v="USD"/>
    <n v="265.2"/>
    <n v="400"/>
  </r>
  <r>
    <x v="148"/>
    <n v="1000"/>
    <s v="USD"/>
    <n v="1000"/>
    <n v="400"/>
  </r>
  <r>
    <x v="149"/>
    <n v="1822.35"/>
    <s v="USD"/>
    <n v="1822.35"/>
    <n v="400"/>
  </r>
  <r>
    <x v="150"/>
    <n v="6942"/>
    <s v="USD"/>
    <n v="6942"/>
    <n v="400"/>
  </r>
  <r>
    <x v="151"/>
    <n v="3369.8"/>
    <s v="USD"/>
    <n v="3369.8"/>
    <n v="400"/>
  </r>
  <r>
    <x v="151"/>
    <n v="1390.22"/>
    <s v="USD"/>
    <n v="1390.22"/>
    <n v="400"/>
  </r>
  <r>
    <x v="151"/>
    <n v="1758.57"/>
    <s v="USD"/>
    <n v="1758.57"/>
    <n v="400"/>
  </r>
  <r>
    <x v="151"/>
    <n v="4396.4399999999996"/>
    <s v="USD"/>
    <n v="4396.4399999999996"/>
    <n v="400"/>
  </r>
  <r>
    <x v="151"/>
    <n v="1855.16"/>
    <s v="USD"/>
    <n v="1855.16"/>
    <n v="400"/>
  </r>
  <r>
    <x v="151"/>
    <n v="2792"/>
    <s v="USD"/>
    <n v="2792"/>
    <n v="400"/>
  </r>
  <r>
    <x v="151"/>
    <n v="4884"/>
    <s v="USD"/>
    <n v="4884"/>
    <n v="400"/>
  </r>
  <r>
    <x v="152"/>
    <n v="51558.95"/>
    <s v="MXN"/>
    <n v="2887.3011999999999"/>
    <n v="400"/>
  </r>
  <r>
    <x v="153"/>
    <n v="192.8"/>
    <s v="USD"/>
    <n v="192.8"/>
    <n v="400"/>
  </r>
  <r>
    <x v="153"/>
    <n v="1928"/>
    <s v="USD"/>
    <n v="1928"/>
    <n v="400"/>
  </r>
  <r>
    <x v="154"/>
    <n v="1210.8"/>
    <s v="USD"/>
    <n v="1210.8"/>
    <n v="400"/>
  </r>
  <r>
    <x v="154"/>
    <n v="12108"/>
    <s v="USD"/>
    <n v="12108"/>
    <n v="400"/>
  </r>
  <r>
    <x v="155"/>
    <n v="4100"/>
    <s v="EUR"/>
    <n v="4756"/>
    <n v="400"/>
  </r>
  <r>
    <x v="156"/>
    <n v="102200"/>
    <s v="USD"/>
    <n v="102200"/>
    <n v="400"/>
  </r>
  <r>
    <x v="156"/>
    <n v="5811.99"/>
    <s v="USD"/>
    <n v="5811.99"/>
    <n v="400"/>
  </r>
  <r>
    <x v="156"/>
    <n v="5811.99"/>
    <s v="USD"/>
    <n v="5811.99"/>
    <n v="400"/>
  </r>
  <r>
    <x v="156"/>
    <n v="2953.41"/>
    <s v="USD"/>
    <n v="2953.41"/>
    <n v="400"/>
  </r>
  <r>
    <x v="156"/>
    <n v="12104.31"/>
    <s v="USD"/>
    <n v="12104.31"/>
    <n v="400"/>
  </r>
  <r>
    <x v="156"/>
    <n v="1449.2"/>
    <s v="USD"/>
    <n v="1449.2"/>
    <n v="400"/>
  </r>
  <r>
    <x v="156"/>
    <n v="120"/>
    <s v="USD"/>
    <n v="120"/>
    <n v="400"/>
  </r>
  <r>
    <x v="156"/>
    <n v="2932.15"/>
    <s v="USD"/>
    <n v="2932.15"/>
    <n v="400"/>
  </r>
  <r>
    <x v="157"/>
    <n v="779"/>
    <s v="USD"/>
    <n v="779"/>
    <n v="400"/>
  </r>
  <r>
    <x v="157"/>
    <n v="2158.65"/>
    <s v="USD"/>
    <n v="2158.65"/>
    <n v="400"/>
  </r>
  <r>
    <x v="157"/>
    <n v="1646.51"/>
    <s v="EUR"/>
    <n v="1909.9515999999999"/>
    <n v="400"/>
  </r>
  <r>
    <x v="157"/>
    <n v="638"/>
    <s v="USD"/>
    <n v="638"/>
    <n v="400"/>
  </r>
  <r>
    <x v="157"/>
    <n v="1117.2"/>
    <s v="USD"/>
    <n v="1117.2"/>
    <n v="400"/>
  </r>
  <r>
    <x v="158"/>
    <n v="21201"/>
    <s v="USD"/>
    <n v="21201"/>
    <n v="400"/>
  </r>
  <r>
    <x v="158"/>
    <n v="22157.15"/>
    <s v="USD"/>
    <n v="22157.15"/>
    <n v="400"/>
  </r>
  <r>
    <x v="159"/>
    <n v="2683.84"/>
    <s v="EUR"/>
    <n v="3113.2543999999998"/>
    <n v="400"/>
  </r>
  <r>
    <x v="159"/>
    <n v="995.5"/>
    <s v="EUR"/>
    <n v="1154.78"/>
    <n v="400"/>
  </r>
  <r>
    <x v="159"/>
    <n v="14"/>
    <s v="EUR"/>
    <n v="16.239999999999998"/>
    <n v="400"/>
  </r>
  <r>
    <x v="160"/>
    <n v="1790"/>
    <s v="EUR"/>
    <n v="2076.3999999999996"/>
    <n v="400"/>
  </r>
  <r>
    <x v="160"/>
    <n v="775.88"/>
    <s v="EUR"/>
    <n v="900.02079999999989"/>
    <n v="400"/>
  </r>
  <r>
    <x v="161"/>
    <n v="6874"/>
    <s v="EUR"/>
    <n v="7973.8399999999992"/>
    <n v="400"/>
  </r>
  <r>
    <x v="161"/>
    <n v="15562"/>
    <s v="EUR"/>
    <n v="18051.919999999998"/>
    <n v="400"/>
  </r>
  <r>
    <x v="161"/>
    <n v="3702.76"/>
    <s v="EUR"/>
    <n v="4295.2016000000003"/>
    <n v="400"/>
  </r>
  <r>
    <x v="161"/>
    <n v="5800"/>
    <s v="EUR"/>
    <n v="6727.9999999999991"/>
    <n v="400"/>
  </r>
  <r>
    <x v="162"/>
    <n v="8683"/>
    <s v="USD"/>
    <n v="8683"/>
    <n v="400"/>
  </r>
  <r>
    <x v="163"/>
    <n v="2300"/>
    <s v="USD"/>
    <n v="2300"/>
    <n v="400"/>
  </r>
  <r>
    <x v="164"/>
    <n v="9332.16"/>
    <s v="USD"/>
    <n v="9332.16"/>
    <n v="400"/>
  </r>
  <r>
    <x v="165"/>
    <n v="1686"/>
    <s v="EUR"/>
    <n v="1955.7599999999998"/>
    <n v="400"/>
  </r>
  <r>
    <x v="165"/>
    <n v="1809.5"/>
    <s v="EUR"/>
    <n v="2099.02"/>
    <n v="400"/>
  </r>
  <r>
    <x v="165"/>
    <n v="2462.52"/>
    <s v="EUR"/>
    <n v="2856.5231999999996"/>
    <n v="400"/>
  </r>
  <r>
    <x v="165"/>
    <n v="2198.4"/>
    <s v="EUR"/>
    <n v="2550.1439999999998"/>
    <n v="400"/>
  </r>
  <r>
    <x v="165"/>
    <n v="1031"/>
    <s v="EUR"/>
    <n v="1195.9599999999998"/>
    <n v="400"/>
  </r>
  <r>
    <x v="166"/>
    <n v="1848.82"/>
    <s v="USD"/>
    <n v="1848.82"/>
    <n v="400"/>
  </r>
  <r>
    <x v="166"/>
    <n v="1124"/>
    <s v="USD"/>
    <n v="1124"/>
    <n v="400"/>
  </r>
  <r>
    <x v="166"/>
    <n v="1842.82"/>
    <s v="USD"/>
    <n v="1842.82"/>
    <n v="400"/>
  </r>
  <r>
    <x v="166"/>
    <n v="443.94"/>
    <s v="USD"/>
    <n v="443.94"/>
    <n v="400"/>
  </r>
  <r>
    <x v="167"/>
    <n v="733.5"/>
    <s v="USD"/>
    <n v="733.5"/>
    <n v="400"/>
  </r>
  <r>
    <x v="168"/>
    <n v="2530"/>
    <s v="EUR"/>
    <n v="2934.7999999999997"/>
    <n v="400"/>
  </r>
  <r>
    <x v="169"/>
    <n v="1729.3"/>
    <s v="USD"/>
    <n v="1729.3"/>
    <n v="400"/>
  </r>
  <r>
    <x v="169"/>
    <n v="1050.5"/>
    <s v="USD"/>
    <n v="1050.5"/>
    <n v="400"/>
  </r>
  <r>
    <x v="169"/>
    <n v="-1215.9000000000001"/>
    <s v="USD"/>
    <n v="-1215.9000000000001"/>
    <n v="400"/>
  </r>
  <r>
    <x v="170"/>
    <n v="42478.42"/>
    <s v="USD"/>
    <n v="42478.42"/>
    <n v="400"/>
  </r>
  <r>
    <x v="171"/>
    <n v="465327.21"/>
    <s v="MXN"/>
    <n v="26058.323760000003"/>
    <n v="400"/>
  </r>
  <r>
    <x v="172"/>
    <n v="953.5"/>
    <s v="CHF"/>
    <n v="1191.875"/>
    <n v="400"/>
  </r>
  <r>
    <x v="173"/>
    <n v="256.52999999999997"/>
    <s v="EUR"/>
    <n v="297.57479999999993"/>
    <n v="400"/>
  </r>
  <r>
    <x v="174"/>
    <n v="390"/>
    <s v="USD"/>
    <n v="390"/>
    <n v="400"/>
  </r>
  <r>
    <x v="175"/>
    <n v="926.6"/>
    <s v="USD"/>
    <n v="926.6"/>
    <n v="400"/>
  </r>
  <r>
    <x v="176"/>
    <n v="417"/>
    <s v="USD"/>
    <n v="417"/>
    <n v="400"/>
  </r>
  <r>
    <x v="177"/>
    <n v="698"/>
    <s v="USD"/>
    <n v="698"/>
    <n v="400"/>
  </r>
  <r>
    <x v="178"/>
    <n v="396.07"/>
    <s v="USD"/>
    <n v="396.07"/>
    <n v="400"/>
  </r>
  <r>
    <x v="179"/>
    <n v="1019.5"/>
    <s v="USD"/>
    <n v="1019.5"/>
    <n v="400"/>
  </r>
  <r>
    <x v="180"/>
    <n v="3613.5"/>
    <s v="EUR"/>
    <n v="4191.66"/>
    <n v="400"/>
  </r>
  <r>
    <x v="181"/>
    <n v="555.49"/>
    <s v="USD"/>
    <n v="555.49"/>
    <n v="400"/>
  </r>
  <r>
    <x v="182"/>
    <n v="9724.7999999999993"/>
    <s v="EUR"/>
    <n v="11280.767999999998"/>
    <n v="400"/>
  </r>
  <r>
    <x v="183"/>
    <n v="10197.129999999999"/>
    <s v="MXN"/>
    <n v="571.03927999999996"/>
    <n v="400"/>
  </r>
  <r>
    <x v="183"/>
    <n v="176917.03"/>
    <s v="MXN"/>
    <n v="9907.3536800000002"/>
    <n v="400"/>
  </r>
  <r>
    <x v="184"/>
    <n v="3268"/>
    <s v="USD"/>
    <n v="3268"/>
    <n v="400"/>
  </r>
  <r>
    <x v="184"/>
    <n v="1551"/>
    <s v="USD"/>
    <n v="1551"/>
    <n v="400"/>
  </r>
  <r>
    <x v="184"/>
    <n v="6485"/>
    <s v="USD"/>
    <n v="6485"/>
    <n v="400"/>
  </r>
  <r>
    <x v="184"/>
    <n v="2398"/>
    <s v="USD"/>
    <n v="2398"/>
    <n v="400"/>
  </r>
  <r>
    <x v="185"/>
    <n v="17370"/>
    <s v="USD"/>
    <n v="17370"/>
    <n v="400"/>
  </r>
  <r>
    <x v="185"/>
    <n v="9873.2999999999993"/>
    <s v="USD"/>
    <n v="9873.2999999999993"/>
    <n v="400"/>
  </r>
  <r>
    <x v="185"/>
    <n v="4784.32"/>
    <s v="USD"/>
    <n v="4784.32"/>
    <n v="400"/>
  </r>
  <r>
    <x v="185"/>
    <n v="990"/>
    <s v="USD"/>
    <n v="990"/>
    <n v="400"/>
  </r>
  <r>
    <x v="185"/>
    <n v="3181.55"/>
    <s v="USD"/>
    <n v="3181.55"/>
    <n v="400"/>
  </r>
  <r>
    <x v="186"/>
    <n v="4403.08"/>
    <s v="USD"/>
    <n v="4403.08"/>
    <n v="400"/>
  </r>
  <r>
    <x v="187"/>
    <n v="3206.5"/>
    <s v="USD"/>
    <n v="3206.5"/>
    <n v="400"/>
  </r>
  <r>
    <x v="188"/>
    <n v="3108"/>
    <s v="USD"/>
    <n v="3108"/>
    <n v="400"/>
  </r>
  <r>
    <x v="189"/>
    <n v="19328.54"/>
    <s v="USD"/>
    <n v="19328.54"/>
    <n v="400"/>
  </r>
  <r>
    <x v="190"/>
    <n v="4276.47"/>
    <s v="USD"/>
    <n v="4276.47"/>
    <n v="400"/>
  </r>
  <r>
    <x v="191"/>
    <n v="2297.91"/>
    <s v="USD"/>
    <n v="2297.91"/>
    <n v="400"/>
  </r>
  <r>
    <x v="192"/>
    <n v="750.08"/>
    <s v="EUR"/>
    <n v="870.09280000000001"/>
    <n v="400"/>
  </r>
  <r>
    <x v="192"/>
    <n v="724.96"/>
    <s v="EUR"/>
    <n v="840.95359999999994"/>
    <n v="400"/>
  </r>
  <r>
    <x v="192"/>
    <n v="2010.5"/>
    <s v="EUR"/>
    <n v="2332.1799999999998"/>
    <n v="400"/>
  </r>
  <r>
    <x v="192"/>
    <n v="320.69"/>
    <s v="EUR"/>
    <n v="372.00039999999996"/>
    <n v="400"/>
  </r>
  <r>
    <x v="193"/>
    <n v="973"/>
    <s v="USD"/>
    <n v="973"/>
    <n v="400"/>
  </r>
  <r>
    <x v="193"/>
    <n v="1050.2"/>
    <s v="USD"/>
    <n v="1050.2"/>
    <n v="400"/>
  </r>
  <r>
    <x v="193"/>
    <n v="853"/>
    <s v="USD"/>
    <n v="853"/>
    <n v="400"/>
  </r>
  <r>
    <x v="193"/>
    <n v="811.7"/>
    <s v="USD"/>
    <n v="811.7"/>
    <n v="400"/>
  </r>
  <r>
    <x v="193"/>
    <n v="418.7"/>
    <s v="USD"/>
    <n v="418.7"/>
    <n v="400"/>
  </r>
  <r>
    <x v="193"/>
    <n v="402.1"/>
    <s v="USD"/>
    <n v="402.1"/>
    <n v="400"/>
  </r>
  <r>
    <x v="193"/>
    <n v="525.1"/>
    <s v="USD"/>
    <n v="525.1"/>
    <n v="400"/>
  </r>
  <r>
    <x v="193"/>
    <n v="5390.83"/>
    <s v="USD"/>
    <n v="5390.83"/>
    <n v="400"/>
  </r>
  <r>
    <x v="193"/>
    <n v="885.53"/>
    <s v="USD"/>
    <n v="885.53"/>
    <n v="400"/>
  </r>
  <r>
    <x v="193"/>
    <n v="487.4"/>
    <s v="USD"/>
    <n v="487.4"/>
    <n v="400"/>
  </r>
  <r>
    <x v="193"/>
    <n v="296.7"/>
    <s v="USD"/>
    <n v="296.7"/>
    <n v="400"/>
  </r>
  <r>
    <x v="193"/>
    <n v="93.2"/>
    <s v="USD"/>
    <n v="93.2"/>
    <n v="400"/>
  </r>
  <r>
    <x v="193"/>
    <n v="105.7"/>
    <s v="USD"/>
    <n v="105.7"/>
    <n v="400"/>
  </r>
  <r>
    <x v="193"/>
    <n v="211.4"/>
    <s v="USD"/>
    <n v="211.4"/>
    <n v="400"/>
  </r>
  <r>
    <x v="193"/>
    <n v="6514.08"/>
    <s v="USD"/>
    <n v="6514.08"/>
    <n v="400"/>
  </r>
  <r>
    <x v="193"/>
    <n v="5100.66"/>
    <s v="USD"/>
    <n v="5100.66"/>
    <n v="400"/>
  </r>
  <r>
    <x v="193"/>
    <n v="5805.64"/>
    <s v="USD"/>
    <n v="5805.64"/>
    <n v="400"/>
  </r>
  <r>
    <x v="193"/>
    <n v="3541.6"/>
    <s v="USD"/>
    <n v="3541.6"/>
    <n v="400"/>
  </r>
  <r>
    <x v="193"/>
    <n v="2819.3"/>
    <s v="USD"/>
    <n v="2819.3"/>
    <n v="400"/>
  </r>
  <r>
    <x v="194"/>
    <n v="7500"/>
    <s v="EUR"/>
    <n v="8700"/>
    <n v="400"/>
  </r>
  <r>
    <x v="195"/>
    <n v="67521.03"/>
    <s v="USD"/>
    <n v="67521.03"/>
    <n v="400"/>
  </r>
  <r>
    <x v="195"/>
    <n v="64298.49"/>
    <s v="USD"/>
    <n v="64298.49"/>
    <n v="400"/>
  </r>
  <r>
    <x v="195"/>
    <n v="15876.38"/>
    <s v="USD"/>
    <n v="15876.38"/>
    <n v="400"/>
  </r>
  <r>
    <x v="195"/>
    <n v="6000"/>
    <s v="USD"/>
    <n v="6000"/>
    <n v="400"/>
  </r>
  <r>
    <x v="195"/>
    <n v="27284.7"/>
    <s v="USD"/>
    <n v="27284.7"/>
    <n v="400"/>
  </r>
  <r>
    <x v="196"/>
    <n v="8544.02"/>
    <s v="USD"/>
    <n v="8544.02"/>
    <n v="400"/>
  </r>
  <r>
    <x v="197"/>
    <n v="2336"/>
    <s v="USD"/>
    <n v="2336"/>
    <n v="400"/>
  </r>
  <r>
    <x v="197"/>
    <n v="1631.34"/>
    <s v="USD"/>
    <n v="1631.34"/>
    <n v="400"/>
  </r>
  <r>
    <x v="198"/>
    <n v="8244"/>
    <s v="USD"/>
    <n v="8244"/>
    <n v="400"/>
  </r>
  <r>
    <x v="199"/>
    <n v="8185"/>
    <s v="EUR"/>
    <n v="9494.5999999999985"/>
    <n v="400"/>
  </r>
  <r>
    <x v="200"/>
    <n v="4198.3999999999996"/>
    <s v="USD"/>
    <n v="4198.3999999999996"/>
    <n v="400"/>
  </r>
  <r>
    <x v="200"/>
    <n v="7534.79"/>
    <s v="USD"/>
    <n v="7534.79"/>
    <n v="400"/>
  </r>
  <r>
    <x v="200"/>
    <n v="9056.2000000000007"/>
    <s v="USD"/>
    <n v="9056.2000000000007"/>
    <n v="400"/>
  </r>
  <r>
    <x v="200"/>
    <n v="5517"/>
    <s v="USD"/>
    <n v="5517"/>
    <n v="400"/>
  </r>
  <r>
    <x v="200"/>
    <n v="6725.4"/>
    <s v="USD"/>
    <n v="6725.4"/>
    <n v="400"/>
  </r>
  <r>
    <x v="200"/>
    <n v="269.60000000000002"/>
    <s v="USD"/>
    <n v="269.60000000000002"/>
    <n v="400"/>
  </r>
  <r>
    <x v="200"/>
    <n v="14860.26"/>
    <s v="USD"/>
    <n v="14860.26"/>
    <n v="400"/>
  </r>
  <r>
    <x v="201"/>
    <n v="10680.06"/>
    <s v="USD"/>
    <n v="10680.06"/>
    <n v="400"/>
  </r>
  <r>
    <x v="202"/>
    <n v="15516.39"/>
    <s v="USD"/>
    <n v="15516.39"/>
    <n v="400"/>
  </r>
  <r>
    <x v="202"/>
    <n v="1176"/>
    <s v="USD"/>
    <n v="1176"/>
    <n v="400"/>
  </r>
  <r>
    <x v="203"/>
    <n v="1390.5"/>
    <s v="USD"/>
    <n v="1390.5"/>
    <n v="400"/>
  </r>
  <r>
    <x v="203"/>
    <n v="575"/>
    <s v="USD"/>
    <n v="575"/>
    <n v="400"/>
  </r>
  <r>
    <x v="204"/>
    <n v="8076"/>
    <s v="USD"/>
    <n v="8076"/>
    <n v="400"/>
  </r>
  <r>
    <x v="205"/>
    <n v="1495.76"/>
    <s v="USD"/>
    <n v="1495.76"/>
    <n v="400"/>
  </r>
  <r>
    <x v="205"/>
    <n v="373.39"/>
    <s v="USD"/>
    <n v="373.39"/>
    <n v="400"/>
  </r>
  <r>
    <x v="206"/>
    <n v="975.5"/>
    <s v="USD"/>
    <n v="975.5"/>
    <n v="400"/>
  </r>
  <r>
    <x v="206"/>
    <n v="3427.19"/>
    <s v="USD"/>
    <n v="3427.19"/>
    <n v="400"/>
  </r>
  <r>
    <x v="206"/>
    <n v="1179.5999999999999"/>
    <s v="USD"/>
    <n v="1179.5999999999999"/>
    <n v="400"/>
  </r>
  <r>
    <x v="206"/>
    <n v="3518.96"/>
    <s v="USD"/>
    <n v="3518.96"/>
    <n v="400"/>
  </r>
  <r>
    <x v="207"/>
    <n v="1196"/>
    <s v="USD"/>
    <n v="1196"/>
    <n v="400"/>
  </r>
  <r>
    <x v="208"/>
    <n v="259.64999999999998"/>
    <s v="USD"/>
    <n v="259.64999999999998"/>
    <n v="400"/>
  </r>
  <r>
    <x v="209"/>
    <n v="1029.26"/>
    <s v="USD"/>
    <n v="1029.26"/>
    <n v="400"/>
  </r>
  <r>
    <x v="210"/>
    <n v="769.8"/>
    <s v="USD"/>
    <n v="769.8"/>
    <n v="400"/>
  </r>
  <r>
    <x v="211"/>
    <n v="695.8"/>
    <s v="USD"/>
    <n v="695.8"/>
    <n v="400"/>
  </r>
  <r>
    <x v="212"/>
    <n v="379"/>
    <s v="USD"/>
    <n v="379"/>
    <n v="400"/>
  </r>
  <r>
    <x v="213"/>
    <n v="866.4"/>
    <s v="USD"/>
    <n v="866.4"/>
    <n v="400"/>
  </r>
  <r>
    <x v="214"/>
    <n v="1916"/>
    <s v="USD"/>
    <n v="1916"/>
    <n v="400"/>
  </r>
  <r>
    <x v="215"/>
    <n v="261.60000000000002"/>
    <s v="USD"/>
    <n v="261.60000000000002"/>
    <n v="400"/>
  </r>
  <r>
    <x v="216"/>
    <n v="1401"/>
    <s v="USD"/>
    <n v="1401"/>
    <n v="400"/>
  </r>
  <r>
    <x v="217"/>
    <n v="54129"/>
    <s v="MXN"/>
    <n v="3031.2240000000002"/>
    <n v="400"/>
  </r>
  <r>
    <x v="217"/>
    <n v="5401"/>
    <s v="MXN"/>
    <n v="302.45600000000002"/>
    <n v="400"/>
  </r>
  <r>
    <x v="218"/>
    <n v="54735"/>
    <s v="MXN"/>
    <n v="3065.16"/>
    <n v="400"/>
  </r>
  <r>
    <x v="219"/>
    <n v="127330"/>
    <s v="MXN"/>
    <n v="7130.4800000000005"/>
    <n v="400"/>
  </r>
  <r>
    <x v="220"/>
    <n v="525"/>
    <s v="EUR"/>
    <n v="609"/>
    <n v="400"/>
  </r>
  <r>
    <x v="221"/>
    <n v="10449.41"/>
    <s v="USD"/>
    <n v="10449.41"/>
    <n v="400"/>
  </r>
  <r>
    <x v="222"/>
    <n v="8757.1"/>
    <s v="USD"/>
    <n v="8757.1"/>
    <n v="400"/>
  </r>
  <r>
    <x v="223"/>
    <n v="1864.14"/>
    <s v="MXN"/>
    <n v="104.39184"/>
    <n v="400"/>
  </r>
  <r>
    <x v="223"/>
    <n v="70"/>
    <s v="USD"/>
    <n v="70"/>
    <n v="400"/>
  </r>
  <r>
    <x v="224"/>
    <n v="704.8"/>
    <s v="USD"/>
    <n v="704.8"/>
    <n v="400"/>
  </r>
  <r>
    <x v="225"/>
    <n v="1221"/>
    <s v="USD"/>
    <n v="1221"/>
    <n v="400"/>
  </r>
  <r>
    <x v="226"/>
    <n v="1630.2"/>
    <s v="USD"/>
    <n v="1630.2"/>
    <n v="400"/>
  </r>
  <r>
    <x v="227"/>
    <n v="98"/>
    <s v="USD"/>
    <n v="98"/>
    <n v="400"/>
  </r>
  <r>
    <x v="228"/>
    <n v="428.8"/>
    <s v="USD"/>
    <n v="428.8"/>
    <n v="400"/>
  </r>
  <r>
    <x v="229"/>
    <n v="884.8"/>
    <s v="USD"/>
    <n v="884.8"/>
    <n v="400"/>
  </r>
  <r>
    <x v="229"/>
    <n v="127.5"/>
    <s v="USD"/>
    <n v="127.5"/>
    <n v="400"/>
  </r>
  <r>
    <x v="230"/>
    <n v="5178.7700000000004"/>
    <s v="USD"/>
    <n v="5178.7700000000004"/>
    <n v="400"/>
  </r>
  <r>
    <x v="230"/>
    <n v="658.48"/>
    <s v="USD"/>
    <n v="658.48"/>
    <n v="400"/>
  </r>
  <r>
    <x v="230"/>
    <n v="1367.5"/>
    <s v="USD"/>
    <n v="1367.5"/>
    <n v="400"/>
  </r>
  <r>
    <x v="230"/>
    <n v="8213.2999999999993"/>
    <s v="USD"/>
    <n v="8213.2999999999993"/>
    <n v="400"/>
  </r>
  <r>
    <x v="231"/>
    <n v="10718"/>
    <s v="MXN"/>
    <n v="600.20799999999997"/>
    <n v="400"/>
  </r>
  <r>
    <x v="231"/>
    <n v="686"/>
    <s v="MXN"/>
    <n v="38.416000000000004"/>
    <n v="400"/>
  </r>
  <r>
    <x v="231"/>
    <n v="4997.41"/>
    <s v="MXN"/>
    <n v="279.85496000000001"/>
    <n v="400"/>
  </r>
  <r>
    <x v="232"/>
    <n v="198.6"/>
    <s v="USD"/>
    <n v="198.6"/>
    <n v="400"/>
  </r>
  <r>
    <x v="233"/>
    <n v="900"/>
    <s v="EUR"/>
    <n v="1044"/>
    <n v="400"/>
  </r>
  <r>
    <x v="234"/>
    <n v="7100"/>
    <s v="USD"/>
    <n v="7100"/>
    <n v="400"/>
  </r>
  <r>
    <x v="235"/>
    <n v="3045"/>
    <s v="USD"/>
    <n v="3045"/>
    <n v="400"/>
  </r>
  <r>
    <x v="236"/>
    <n v="4269.2700000000004"/>
    <s v="USD"/>
    <n v="4269.2700000000004"/>
    <n v="400"/>
  </r>
  <r>
    <x v="236"/>
    <n v="3740"/>
    <s v="USD"/>
    <n v="3740"/>
    <n v="400"/>
  </r>
  <r>
    <x v="237"/>
    <n v="2576.75"/>
    <s v="USD"/>
    <n v="2576.75"/>
    <n v="400"/>
  </r>
  <r>
    <x v="238"/>
    <n v="5170.8599999999997"/>
    <s v="USD"/>
    <n v="5170.8599999999997"/>
    <n v="400"/>
  </r>
  <r>
    <x v="238"/>
    <n v="3904"/>
    <s v="USD"/>
    <n v="3904"/>
    <n v="400"/>
  </r>
  <r>
    <x v="239"/>
    <n v="2472"/>
    <s v="USD"/>
    <n v="2472"/>
    <n v="400"/>
  </r>
  <r>
    <x v="239"/>
    <n v="1887.7"/>
    <s v="USD"/>
    <n v="1887.7"/>
    <n v="400"/>
  </r>
  <r>
    <x v="239"/>
    <n v="399.5"/>
    <s v="USD"/>
    <n v="399.5"/>
    <n v="400"/>
  </r>
  <r>
    <x v="239"/>
    <n v="35"/>
    <s v="USD"/>
    <n v="35"/>
    <n v="400"/>
  </r>
  <r>
    <x v="239"/>
    <n v="2484.41"/>
    <s v="USD"/>
    <n v="2484.41"/>
    <n v="400"/>
  </r>
  <r>
    <x v="240"/>
    <n v="2347.66"/>
    <s v="USD"/>
    <n v="2347.66"/>
    <n v="400"/>
  </r>
  <r>
    <x v="240"/>
    <n v="202.1"/>
    <s v="USD"/>
    <n v="202.1"/>
    <n v="400"/>
  </r>
  <r>
    <x v="240"/>
    <n v="535.20000000000005"/>
    <s v="USD"/>
    <n v="535.20000000000005"/>
    <n v="400"/>
  </r>
  <r>
    <x v="241"/>
    <n v="50000"/>
    <s v="USD"/>
    <n v="50000"/>
    <n v="400"/>
  </r>
  <r>
    <x v="241"/>
    <n v="17515"/>
    <s v="USD"/>
    <n v="17515"/>
    <n v="400"/>
  </r>
  <r>
    <x v="242"/>
    <n v="3386.12"/>
    <s v="USD"/>
    <n v="3386.12"/>
    <n v="400"/>
  </r>
  <r>
    <x v="242"/>
    <n v="3154.96"/>
    <s v="USD"/>
    <n v="3154.96"/>
    <n v="400"/>
  </r>
  <r>
    <x v="242"/>
    <n v="145"/>
    <s v="USD"/>
    <n v="145"/>
    <n v="400"/>
  </r>
  <r>
    <x v="242"/>
    <n v="220"/>
    <s v="USD"/>
    <n v="220"/>
    <n v="400"/>
  </r>
  <r>
    <x v="243"/>
    <n v="759.8"/>
    <s v="USD"/>
    <n v="759.8"/>
    <n v="400"/>
  </r>
  <r>
    <x v="244"/>
    <n v="6673.67"/>
    <s v="USD"/>
    <n v="6673.67"/>
    <n v="400"/>
  </r>
  <r>
    <x v="245"/>
    <n v="268.77"/>
    <s v="USD"/>
    <n v="268.77"/>
    <n v="400"/>
  </r>
  <r>
    <x v="245"/>
    <n v="-218.77"/>
    <s v="USD"/>
    <n v="-218.77"/>
    <n v="400"/>
  </r>
  <r>
    <x v="246"/>
    <n v="20818"/>
    <s v="MXN"/>
    <n v="1165.808"/>
    <n v="400"/>
  </r>
  <r>
    <x v="247"/>
    <n v="2873.94"/>
    <s v="USD"/>
    <n v="2873.94"/>
    <n v="400"/>
  </r>
  <r>
    <x v="247"/>
    <n v="17151.02"/>
    <s v="USD"/>
    <n v="17151.02"/>
    <n v="400"/>
  </r>
  <r>
    <x v="247"/>
    <n v="2452.91"/>
    <s v="USD"/>
    <n v="2452.91"/>
    <n v="400"/>
  </r>
  <r>
    <x v="247"/>
    <n v="8013.26"/>
    <s v="USD"/>
    <n v="8013.26"/>
    <n v="400"/>
  </r>
  <r>
    <x v="247"/>
    <n v="341.94"/>
    <s v="USD"/>
    <n v="341.94"/>
    <n v="400"/>
  </r>
  <r>
    <x v="247"/>
    <n v="6219.07"/>
    <s v="USD"/>
    <n v="6219.07"/>
    <n v="400"/>
  </r>
  <r>
    <x v="247"/>
    <n v="530.27"/>
    <s v="USD"/>
    <n v="530.27"/>
    <n v="400"/>
  </r>
  <r>
    <x v="248"/>
    <n v="1680"/>
    <s v="USD"/>
    <n v="1680"/>
    <n v="400"/>
  </r>
  <r>
    <x v="249"/>
    <n v="2547"/>
    <s v="USD"/>
    <n v="2547"/>
    <n v="400"/>
  </r>
  <r>
    <x v="249"/>
    <n v="2894.4"/>
    <s v="USD"/>
    <n v="2894.4"/>
    <n v="400"/>
  </r>
  <r>
    <x v="249"/>
    <n v="2782.5"/>
    <s v="USD"/>
    <n v="2782.5"/>
    <n v="400"/>
  </r>
  <r>
    <x v="250"/>
    <n v="3146.33"/>
    <s v="USD"/>
    <n v="3146.33"/>
    <n v="400"/>
  </r>
  <r>
    <x v="250"/>
    <n v="1096.81"/>
    <s v="USD"/>
    <n v="1096.81"/>
    <n v="400"/>
  </r>
  <r>
    <x v="250"/>
    <n v="41.38"/>
    <s v="USD"/>
    <n v="41.38"/>
    <n v="400"/>
  </r>
  <r>
    <x v="250"/>
    <n v="146.69999999999999"/>
    <s v="USD"/>
    <n v="146.69999999999999"/>
    <n v="400"/>
  </r>
  <r>
    <x v="250"/>
    <n v="366.75"/>
    <s v="USD"/>
    <n v="366.75"/>
    <n v="400"/>
  </r>
  <r>
    <x v="251"/>
    <n v="4536.3599999999997"/>
    <s v="USD"/>
    <n v="4536.3599999999997"/>
    <n v="400"/>
  </r>
  <r>
    <x v="251"/>
    <n v="3722.52"/>
    <s v="USD"/>
    <n v="3722.52"/>
    <n v="400"/>
  </r>
  <r>
    <x v="251"/>
    <n v="280"/>
    <s v="USD"/>
    <n v="280"/>
    <n v="400"/>
  </r>
  <r>
    <x v="251"/>
    <n v="1043.28"/>
    <s v="USD"/>
    <n v="1043.28"/>
    <n v="400"/>
  </r>
  <r>
    <x v="251"/>
    <n v="2476.1"/>
    <s v="USD"/>
    <n v="2476.1"/>
    <n v="400"/>
  </r>
  <r>
    <x v="251"/>
    <n v="2731.39"/>
    <s v="USD"/>
    <n v="2731.39"/>
    <n v="400"/>
  </r>
  <r>
    <x v="251"/>
    <n v="20615.82"/>
    <s v="USD"/>
    <n v="20615.82"/>
    <n v="400"/>
  </r>
  <r>
    <x v="251"/>
    <n v="2936.26"/>
    <s v="USD"/>
    <n v="2936.26"/>
    <n v="400"/>
  </r>
  <r>
    <x v="251"/>
    <n v="2236.8000000000002"/>
    <s v="USD"/>
    <n v="2236.8000000000002"/>
    <n v="400"/>
  </r>
  <r>
    <x v="252"/>
    <n v="3133.96"/>
    <s v="USD"/>
    <n v="3133.96"/>
    <n v="400"/>
  </r>
  <r>
    <x v="253"/>
    <n v="2546"/>
    <s v="USD"/>
    <n v="2546"/>
    <n v="400"/>
  </r>
  <r>
    <x v="253"/>
    <n v="2683.63"/>
    <s v="USD"/>
    <n v="2683.63"/>
    <n v="400"/>
  </r>
  <r>
    <x v="254"/>
    <n v="138570"/>
    <s v="MXN"/>
    <n v="7759.92"/>
    <n v="400"/>
  </r>
  <r>
    <x v="255"/>
    <n v="25529"/>
    <s v="MXN"/>
    <n v="1429.624"/>
    <n v="400"/>
  </r>
  <r>
    <x v="256"/>
    <n v="1750"/>
    <s v="USD"/>
    <n v="1750"/>
    <n v="400"/>
  </r>
  <r>
    <x v="257"/>
    <n v="28779.599999999999"/>
    <s v="USD"/>
    <n v="28779.599999999999"/>
    <n v="400"/>
  </r>
  <r>
    <x v="258"/>
    <n v="6500"/>
    <s v="USD"/>
    <n v="6500"/>
    <n v="400"/>
  </r>
  <r>
    <x v="259"/>
    <n v="13705.44"/>
    <s v="USD"/>
    <n v="13705.44"/>
    <n v="400"/>
  </r>
  <r>
    <x v="259"/>
    <n v="23758.799999999999"/>
    <s v="USD"/>
    <n v="23758.799999999999"/>
    <n v="400"/>
  </r>
  <r>
    <x v="259"/>
    <n v="10700"/>
    <s v="USD"/>
    <n v="10700"/>
    <n v="400"/>
  </r>
  <r>
    <x v="260"/>
    <n v="7136.4"/>
    <s v="USD"/>
    <n v="7136.4"/>
    <n v="400"/>
  </r>
  <r>
    <x v="261"/>
    <n v="1151.68"/>
    <s v="USD"/>
    <n v="1151.68"/>
    <n v="400"/>
  </r>
  <r>
    <x v="261"/>
    <n v="636.16"/>
    <s v="USD"/>
    <n v="636.16"/>
    <n v="400"/>
  </r>
  <r>
    <x v="261"/>
    <n v="836"/>
    <s v="USD"/>
    <n v="836"/>
    <n v="400"/>
  </r>
  <r>
    <x v="262"/>
    <n v="4324.59"/>
    <s v="USD"/>
    <n v="4324.59"/>
    <n v="400"/>
  </r>
  <r>
    <x v="263"/>
    <n v="3000"/>
    <s v="USD"/>
    <n v="3000"/>
    <n v="400"/>
  </r>
  <r>
    <x v="264"/>
    <n v="740"/>
    <s v="USD"/>
    <n v="740"/>
    <n v="400"/>
  </r>
  <r>
    <x v="265"/>
    <n v="25787.64"/>
    <s v="USD"/>
    <n v="25787.64"/>
    <n v="400"/>
  </r>
  <r>
    <x v="266"/>
    <n v="18117.2"/>
    <s v="USD"/>
    <n v="18117.2"/>
    <n v="400"/>
  </r>
  <r>
    <x v="266"/>
    <n v="490"/>
    <s v="USD"/>
    <n v="490"/>
    <n v="400"/>
  </r>
  <r>
    <x v="266"/>
    <n v="4795"/>
    <s v="USD"/>
    <n v="4795"/>
    <n v="400"/>
  </r>
  <r>
    <x v="266"/>
    <n v="23223.5"/>
    <s v="USD"/>
    <n v="23223.5"/>
    <n v="400"/>
  </r>
  <r>
    <x v="266"/>
    <n v="5587.39"/>
    <s v="USD"/>
    <n v="5587.39"/>
    <n v="400"/>
  </r>
  <r>
    <x v="266"/>
    <n v="2247.41"/>
    <s v="USD"/>
    <n v="2247.41"/>
    <n v="400"/>
  </r>
  <r>
    <x v="266"/>
    <n v="2695.57"/>
    <s v="USD"/>
    <n v="2695.57"/>
    <n v="400"/>
  </r>
  <r>
    <x v="266"/>
    <n v="8071.6"/>
    <s v="USD"/>
    <n v="8071.6"/>
    <n v="400"/>
  </r>
  <r>
    <x v="266"/>
    <n v="1588.4"/>
    <s v="USD"/>
    <n v="1588.4"/>
    <n v="400"/>
  </r>
  <r>
    <x v="267"/>
    <n v="19469"/>
    <s v="USD"/>
    <n v="19469"/>
    <n v="400"/>
  </r>
  <r>
    <x v="267"/>
    <n v="490"/>
    <s v="USD"/>
    <n v="490"/>
    <n v="400"/>
  </r>
  <r>
    <x v="267"/>
    <n v="4795"/>
    <s v="USD"/>
    <n v="4795"/>
    <n v="400"/>
  </r>
  <r>
    <x v="267"/>
    <n v="8071.6"/>
    <s v="USD"/>
    <n v="8071.6"/>
    <n v="400"/>
  </r>
  <r>
    <x v="267"/>
    <n v="5587.39"/>
    <s v="USD"/>
    <n v="5587.39"/>
    <n v="400"/>
  </r>
  <r>
    <x v="267"/>
    <n v="2695.57"/>
    <s v="USD"/>
    <n v="2695.57"/>
    <n v="400"/>
  </r>
  <r>
    <x v="267"/>
    <n v="2247.41"/>
    <s v="USD"/>
    <n v="2247.41"/>
    <n v="400"/>
  </r>
  <r>
    <x v="267"/>
    <n v="19095.8"/>
    <s v="USD"/>
    <n v="19095.8"/>
    <n v="400"/>
  </r>
  <r>
    <x v="267"/>
    <n v="1403.9"/>
    <s v="USD"/>
    <n v="1403.9"/>
    <n v="400"/>
  </r>
  <r>
    <x v="268"/>
    <n v="57819"/>
    <s v="MXN"/>
    <n v="3237.864"/>
    <n v="400"/>
  </r>
  <r>
    <x v="268"/>
    <n v="18307.18"/>
    <s v="MXN"/>
    <n v="1025.20208"/>
    <n v="400"/>
  </r>
  <r>
    <x v="268"/>
    <n v="9153.59"/>
    <s v="MXN"/>
    <n v="512.60104000000001"/>
    <n v="400"/>
  </r>
  <r>
    <x v="269"/>
    <n v="10425.4"/>
    <s v="USD"/>
    <n v="10425.4"/>
    <n v="400"/>
  </r>
  <r>
    <x v="269"/>
    <n v="7887.2"/>
    <s v="USD"/>
    <n v="7887.2"/>
    <n v="400"/>
  </r>
  <r>
    <x v="269"/>
    <n v="4795"/>
    <s v="USD"/>
    <n v="4795"/>
    <n v="400"/>
  </r>
  <r>
    <x v="269"/>
    <n v="490"/>
    <s v="USD"/>
    <n v="490"/>
    <n v="400"/>
  </r>
  <r>
    <x v="269"/>
    <n v="23223.5"/>
    <s v="USD"/>
    <n v="23223.5"/>
    <n v="400"/>
  </r>
  <r>
    <x v="269"/>
    <n v="5587.39"/>
    <s v="USD"/>
    <n v="5587.39"/>
    <n v="400"/>
  </r>
  <r>
    <x v="269"/>
    <n v="2247.41"/>
    <s v="USD"/>
    <n v="2247.41"/>
    <n v="400"/>
  </r>
  <r>
    <x v="269"/>
    <n v="2695.57"/>
    <s v="USD"/>
    <n v="2695.57"/>
    <n v="400"/>
  </r>
  <r>
    <x v="269"/>
    <n v="8071.6"/>
    <s v="USD"/>
    <n v="8071.6"/>
    <n v="400"/>
  </r>
  <r>
    <x v="269"/>
    <n v="1382.48"/>
    <s v="USD"/>
    <n v="1382.48"/>
    <n v="400"/>
  </r>
  <r>
    <x v="270"/>
    <n v="5981.25"/>
    <s v="USD"/>
    <n v="5981.25"/>
    <n v="400"/>
  </r>
  <r>
    <x v="270"/>
    <n v="993.02"/>
    <s v="USD"/>
    <n v="993.02"/>
    <n v="400"/>
  </r>
  <r>
    <x v="270"/>
    <n v="1330.41"/>
    <s v="USD"/>
    <n v="1330.41"/>
    <n v="400"/>
  </r>
  <r>
    <x v="271"/>
    <n v="7188.58"/>
    <s v="USD"/>
    <n v="7188.58"/>
    <n v="400"/>
  </r>
  <r>
    <x v="271"/>
    <n v="243.94"/>
    <s v="USD"/>
    <n v="243.94"/>
    <n v="400"/>
  </r>
  <r>
    <x v="271"/>
    <n v="2026.4"/>
    <s v="USD"/>
    <n v="2026.4"/>
    <n v="400"/>
  </r>
  <r>
    <x v="271"/>
    <n v="10743.4"/>
    <s v="USD"/>
    <n v="10743.4"/>
    <n v="400"/>
  </r>
  <r>
    <x v="271"/>
    <n v="525"/>
    <s v="USD"/>
    <n v="525"/>
    <n v="400"/>
  </r>
  <r>
    <x v="271"/>
    <n v="4152.8999999999996"/>
    <s v="USD"/>
    <n v="4152.8999999999996"/>
    <n v="400"/>
  </r>
  <r>
    <x v="271"/>
    <n v="8078.1"/>
    <s v="USD"/>
    <n v="8078.1"/>
    <n v="400"/>
  </r>
  <r>
    <x v="272"/>
    <n v="1211.96"/>
    <s v="USD"/>
    <n v="1211.96"/>
    <n v="400"/>
  </r>
  <r>
    <x v="272"/>
    <n v="3618.4"/>
    <s v="USD"/>
    <n v="3618.4"/>
    <n v="400"/>
  </r>
  <r>
    <x v="272"/>
    <n v="2101.3000000000002"/>
    <s v="USD"/>
    <n v="2101.3000000000002"/>
    <n v="400"/>
  </r>
  <r>
    <x v="272"/>
    <n v="9040"/>
    <s v="USD"/>
    <n v="9040"/>
    <n v="400"/>
  </r>
  <r>
    <x v="273"/>
    <n v="3432.63"/>
    <s v="USD"/>
    <n v="3432.63"/>
    <n v="400"/>
  </r>
  <r>
    <x v="273"/>
    <n v="4833.34"/>
    <s v="USD"/>
    <n v="4833.34"/>
    <n v="400"/>
  </r>
  <r>
    <x v="274"/>
    <n v="2120"/>
    <s v="EUR"/>
    <n v="2459.1999999999998"/>
    <n v="400"/>
  </r>
  <r>
    <x v="274"/>
    <n v="816.26"/>
    <s v="EUR"/>
    <n v="946.86159999999995"/>
    <n v="400"/>
  </r>
  <r>
    <x v="274"/>
    <n v="3368.52"/>
    <s v="EUR"/>
    <n v="3907.4831999999997"/>
    <n v="400"/>
  </r>
  <r>
    <x v="274"/>
    <n v="816.26"/>
    <s v="EUR"/>
    <n v="946.86159999999995"/>
    <n v="400"/>
  </r>
  <r>
    <x v="274"/>
    <n v="600"/>
    <s v="EUR"/>
    <n v="696"/>
    <n v="400"/>
  </r>
  <r>
    <x v="274"/>
    <n v="4948"/>
    <s v="EUR"/>
    <n v="5739.6799999999994"/>
    <n v="400"/>
  </r>
  <r>
    <x v="275"/>
    <n v="5235"/>
    <s v="USD"/>
    <n v="5235"/>
    <n v="400"/>
  </r>
  <r>
    <x v="276"/>
    <n v="1740"/>
    <s v="USD"/>
    <n v="1740"/>
    <n v="400"/>
  </r>
  <r>
    <x v="277"/>
    <n v="4326"/>
    <s v="USD"/>
    <n v="4326"/>
    <n v="400"/>
  </r>
  <r>
    <x v="278"/>
    <n v="46687"/>
    <s v="MXN"/>
    <n v="2614.4720000000002"/>
    <n v="400"/>
  </r>
  <r>
    <x v="279"/>
    <n v="9550.64"/>
    <s v="USD"/>
    <n v="9550.64"/>
    <n v="400"/>
  </r>
  <r>
    <x v="279"/>
    <n v="-1688.9"/>
    <s v="USD"/>
    <n v="-1688.9"/>
    <n v="400"/>
  </r>
  <r>
    <x v="280"/>
    <n v="2814.79"/>
    <s v="USD"/>
    <n v="2814.79"/>
    <n v="400"/>
  </r>
  <r>
    <x v="280"/>
    <n v="10372"/>
    <s v="USD"/>
    <n v="10372"/>
    <n v="400"/>
  </r>
  <r>
    <x v="280"/>
    <n v="7436"/>
    <s v="USD"/>
    <n v="7436"/>
    <n v="400"/>
  </r>
  <r>
    <x v="280"/>
    <n v="1620"/>
    <s v="USD"/>
    <n v="1620"/>
    <n v="400"/>
  </r>
  <r>
    <x v="280"/>
    <n v="1021.51"/>
    <s v="USD"/>
    <n v="1021.51"/>
    <n v="400"/>
  </r>
  <r>
    <x v="280"/>
    <n v="680.6"/>
    <s v="USD"/>
    <n v="680.6"/>
    <n v="400"/>
  </r>
  <r>
    <x v="280"/>
    <n v="70"/>
    <s v="USD"/>
    <n v="70"/>
    <n v="400"/>
  </r>
  <r>
    <x v="280"/>
    <n v="0.8"/>
    <s v="USD"/>
    <n v="0.8"/>
    <n v="400"/>
  </r>
  <r>
    <x v="281"/>
    <n v="8353.11"/>
    <s v="USD"/>
    <n v="8353.11"/>
    <n v="400"/>
  </r>
  <r>
    <x v="281"/>
    <n v="4901.91"/>
    <s v="USD"/>
    <n v="4901.91"/>
    <n v="400"/>
  </r>
  <r>
    <x v="282"/>
    <n v="2304.88"/>
    <s v="USD"/>
    <n v="2304.88"/>
    <n v="400"/>
  </r>
  <r>
    <x v="282"/>
    <n v="3804"/>
    <s v="USD"/>
    <n v="3804"/>
    <n v="400"/>
  </r>
  <r>
    <x v="283"/>
    <n v="2286.5"/>
    <s v="USD"/>
    <n v="2286.5"/>
    <n v="400"/>
  </r>
  <r>
    <x v="284"/>
    <n v="1959.09"/>
    <s v="USD"/>
    <n v="1959.09"/>
    <n v="400"/>
  </r>
  <r>
    <x v="284"/>
    <n v="7331"/>
    <s v="USD"/>
    <n v="7331"/>
    <n v="400"/>
  </r>
  <r>
    <x v="284"/>
    <n v="493.29"/>
    <s v="USD"/>
    <n v="493.29"/>
    <n v="400"/>
  </r>
  <r>
    <x v="285"/>
    <n v="138523.5"/>
    <s v="MXN"/>
    <n v="7757.3159999999998"/>
    <n v="400"/>
  </r>
  <r>
    <x v="285"/>
    <n v="192065.42"/>
    <s v="MXN"/>
    <n v="10755.66352"/>
    <n v="400"/>
  </r>
  <r>
    <x v="286"/>
    <n v="5094.0200000000004"/>
    <s v="USD"/>
    <n v="5094.0200000000004"/>
    <n v="400"/>
  </r>
  <r>
    <x v="286"/>
    <n v="331.98"/>
    <s v="USD"/>
    <n v="331.98"/>
    <n v="400"/>
  </r>
  <r>
    <x v="287"/>
    <n v="3600"/>
    <s v="USD"/>
    <n v="3600"/>
    <n v="400"/>
  </r>
  <r>
    <x v="288"/>
    <n v="540"/>
    <s v="EUR"/>
    <n v="626.4"/>
    <n v="400"/>
  </r>
  <r>
    <x v="288"/>
    <n v="1248.96"/>
    <s v="EUR"/>
    <n v="1448.7936"/>
    <n v="400"/>
  </r>
  <r>
    <x v="289"/>
    <n v="53209"/>
    <s v="EUR"/>
    <n v="61722.439999999995"/>
    <n v="400"/>
  </r>
  <r>
    <x v="289"/>
    <n v="25326"/>
    <s v="EUR"/>
    <n v="29378.159999999996"/>
    <n v="400"/>
  </r>
  <r>
    <x v="289"/>
    <n v="50800"/>
    <s v="EUR"/>
    <n v="58927.999999999993"/>
    <n v="400"/>
  </r>
  <r>
    <x v="289"/>
    <n v="1060"/>
    <s v="EUR"/>
    <n v="1229.5999999999999"/>
    <n v="400"/>
  </r>
  <r>
    <x v="289"/>
    <n v="0.5"/>
    <s v="EUR"/>
    <n v="0.57999999999999996"/>
    <n v="400"/>
  </r>
  <r>
    <x v="290"/>
    <n v="577.5"/>
    <s v="USD"/>
    <n v="577.5"/>
    <n v="400"/>
  </r>
  <r>
    <x v="290"/>
    <n v="4382.76"/>
    <s v="USD"/>
    <n v="4382.76"/>
    <n v="400"/>
  </r>
  <r>
    <x v="290"/>
    <n v="413.7"/>
    <s v="USD"/>
    <n v="413.7"/>
    <n v="400"/>
  </r>
  <r>
    <x v="290"/>
    <n v="152.84"/>
    <s v="USD"/>
    <n v="152.84"/>
    <n v="400"/>
  </r>
  <r>
    <x v="290"/>
    <n v="225"/>
    <s v="USD"/>
    <n v="225"/>
    <n v="400"/>
  </r>
  <r>
    <x v="290"/>
    <n v="100"/>
    <s v="USD"/>
    <n v="100"/>
    <n v="400"/>
  </r>
  <r>
    <x v="290"/>
    <n v="1072.29"/>
    <s v="USD"/>
    <n v="1072.29"/>
    <n v="400"/>
  </r>
  <r>
    <x v="290"/>
    <n v="852.94"/>
    <s v="USD"/>
    <n v="852.94"/>
    <n v="400"/>
  </r>
  <r>
    <x v="290"/>
    <n v="282.98"/>
    <s v="USD"/>
    <n v="282.98"/>
    <n v="400"/>
  </r>
  <r>
    <x v="290"/>
    <n v="284.2"/>
    <s v="USD"/>
    <n v="284.2"/>
    <n v="400"/>
  </r>
  <r>
    <x v="290"/>
    <n v="506.1"/>
    <s v="USD"/>
    <n v="506.1"/>
    <n v="400"/>
  </r>
  <r>
    <x v="290"/>
    <n v="283.89999999999998"/>
    <s v="USD"/>
    <n v="283.89999999999998"/>
    <n v="400"/>
  </r>
  <r>
    <x v="290"/>
    <n v="772.78"/>
    <s v="USD"/>
    <n v="772.78"/>
    <n v="400"/>
  </r>
  <r>
    <x v="290"/>
    <n v="900.45"/>
    <s v="USD"/>
    <n v="900.45"/>
    <n v="400"/>
  </r>
  <r>
    <x v="290"/>
    <n v="328"/>
    <s v="USD"/>
    <n v="328"/>
    <n v="400"/>
  </r>
  <r>
    <x v="290"/>
    <n v="9.65"/>
    <s v="MXN"/>
    <n v="0.54039999999999999"/>
    <n v="400"/>
  </r>
  <r>
    <x v="290"/>
    <n v="231.65"/>
    <s v="MXN"/>
    <n v="12.9724"/>
    <n v="400"/>
  </r>
  <r>
    <x v="290"/>
    <n v="247.03"/>
    <s v="USD"/>
    <n v="247.03"/>
    <n v="400"/>
  </r>
  <r>
    <x v="290"/>
    <n v="442.68"/>
    <s v="USD"/>
    <n v="442.68"/>
    <n v="400"/>
  </r>
  <r>
    <x v="290"/>
    <n v="538.48"/>
    <s v="USD"/>
    <n v="538.48"/>
    <n v="400"/>
  </r>
  <r>
    <x v="290"/>
    <n v="217.16"/>
    <s v="USD"/>
    <n v="217.16"/>
    <n v="400"/>
  </r>
  <r>
    <x v="290"/>
    <n v="101.57"/>
    <s v="USD"/>
    <n v="101.57"/>
    <n v="400"/>
  </r>
  <r>
    <x v="290"/>
    <n v="233.5"/>
    <s v="USD"/>
    <n v="233.5"/>
    <n v="400"/>
  </r>
  <r>
    <x v="290"/>
    <n v="314.08"/>
    <s v="USD"/>
    <n v="314.08"/>
    <n v="400"/>
  </r>
  <r>
    <x v="290"/>
    <n v="159.32"/>
    <s v="USD"/>
    <n v="159.32"/>
    <n v="400"/>
  </r>
  <r>
    <x v="290"/>
    <n v="489.68"/>
    <s v="USD"/>
    <n v="489.68"/>
    <n v="400"/>
  </r>
  <r>
    <x v="291"/>
    <n v="1724.36"/>
    <s v="USD"/>
    <n v="1724.36"/>
    <n v="400"/>
  </r>
  <r>
    <x v="291"/>
    <n v="637.96"/>
    <s v="EUR"/>
    <n v="740.03359999999998"/>
    <n v="400"/>
  </r>
  <r>
    <x v="292"/>
    <n v="3186.21"/>
    <s v="USD"/>
    <n v="3186.21"/>
    <n v="400"/>
  </r>
  <r>
    <x v="292"/>
    <n v="3186.21"/>
    <s v="USD"/>
    <n v="3186.21"/>
    <n v="400"/>
  </r>
  <r>
    <x v="292"/>
    <n v="3184.96"/>
    <s v="USD"/>
    <n v="3184.96"/>
    <n v="400"/>
  </r>
  <r>
    <x v="292"/>
    <n v="3608.9"/>
    <s v="USD"/>
    <n v="3608.9"/>
    <n v="400"/>
  </r>
  <r>
    <x v="292"/>
    <n v="4535.45"/>
    <s v="USD"/>
    <n v="4535.45"/>
    <n v="400"/>
  </r>
  <r>
    <x v="292"/>
    <n v="1248.95"/>
    <s v="USD"/>
    <n v="1248.95"/>
    <n v="400"/>
  </r>
  <r>
    <x v="293"/>
    <n v="22074.04"/>
    <s v="USD"/>
    <n v="22074.04"/>
    <n v="400"/>
  </r>
  <r>
    <x v="293"/>
    <n v="17270.02"/>
    <s v="USD"/>
    <n v="17270.02"/>
    <n v="400"/>
  </r>
  <r>
    <x v="294"/>
    <n v="2293.11"/>
    <s v="USD"/>
    <n v="2293.11"/>
    <n v="400"/>
  </r>
  <r>
    <x v="294"/>
    <n v="283.97000000000003"/>
    <s v="USD"/>
    <n v="283.97000000000003"/>
    <n v="400"/>
  </r>
  <r>
    <x v="294"/>
    <n v="457"/>
    <s v="USD"/>
    <n v="457"/>
    <n v="400"/>
  </r>
  <r>
    <x v="294"/>
    <n v="179.7"/>
    <s v="USD"/>
    <n v="179.7"/>
    <n v="400"/>
  </r>
  <r>
    <x v="294"/>
    <n v="13748.48"/>
    <s v="USD"/>
    <n v="13748.48"/>
    <n v="400"/>
  </r>
  <r>
    <x v="295"/>
    <n v="26749.24"/>
    <s v="USD"/>
    <n v="26749.24"/>
    <n v="400"/>
  </r>
  <r>
    <x v="296"/>
    <n v="2160"/>
    <s v="EUR"/>
    <n v="2505.6"/>
    <n v="400"/>
  </r>
  <r>
    <x v="296"/>
    <n v="2346"/>
    <s v="EUR"/>
    <n v="2721.3599999999997"/>
    <n v="400"/>
  </r>
  <r>
    <x v="296"/>
    <n v="2397"/>
    <s v="EUR"/>
    <n v="2780.52"/>
    <n v="400"/>
  </r>
  <r>
    <x v="296"/>
    <n v="1170"/>
    <s v="EUR"/>
    <n v="1357.1999999999998"/>
    <n v="400"/>
  </r>
  <r>
    <x v="296"/>
    <n v="2754"/>
    <s v="EUR"/>
    <n v="3194.64"/>
    <n v="400"/>
  </r>
  <r>
    <x v="297"/>
    <n v="1445"/>
    <s v="GPB"/>
    <n v="1936.3000000000002"/>
    <n v="400"/>
  </r>
  <r>
    <x v="298"/>
    <n v="6532"/>
    <s v="USD"/>
    <n v="6532"/>
    <n v="400"/>
  </r>
  <r>
    <x v="298"/>
    <n v="8000"/>
    <s v="USD"/>
    <n v="8000"/>
    <n v="400"/>
  </r>
  <r>
    <x v="298"/>
    <n v="35978.49"/>
    <s v="USD"/>
    <n v="35978.49"/>
    <n v="400"/>
  </r>
  <r>
    <x v="299"/>
    <n v="207344"/>
    <s v="MXN"/>
    <n v="11611.264000000001"/>
    <n v="400"/>
  </r>
  <r>
    <x v="299"/>
    <n v="46990"/>
    <s v="MXN"/>
    <n v="2631.44"/>
    <n v="400"/>
  </r>
  <r>
    <x v="299"/>
    <n v="600"/>
    <s v="MXN"/>
    <n v="33.6"/>
    <n v="400"/>
  </r>
  <r>
    <x v="300"/>
    <n v="137.51"/>
    <s v="EUR"/>
    <n v="159.51159999999999"/>
    <n v="400"/>
  </r>
  <r>
    <x v="301"/>
    <n v="15536"/>
    <s v="MXN"/>
    <n v="870.01599999999996"/>
    <n v="400"/>
  </r>
  <r>
    <x v="301"/>
    <n v="12788"/>
    <s v="MXN"/>
    <n v="716.12800000000004"/>
    <n v="400"/>
  </r>
  <r>
    <x v="301"/>
    <n v="6449"/>
    <s v="MXN"/>
    <n v="361.14400000000001"/>
    <n v="400"/>
  </r>
  <r>
    <x v="301"/>
    <n v="105675.78"/>
    <s v="MXN"/>
    <n v="5917.8436799999999"/>
    <n v="400"/>
  </r>
  <r>
    <x v="301"/>
    <n v="12256.54"/>
    <s v="MXN"/>
    <n v="686.36624000000006"/>
    <n v="400"/>
  </r>
  <r>
    <x v="301"/>
    <n v="102900"/>
    <s v="MXN"/>
    <n v="5762.4000000000005"/>
    <n v="400"/>
  </r>
  <r>
    <x v="302"/>
    <n v="11332"/>
    <s v="MXN"/>
    <n v="634.59199999999998"/>
    <n v="400"/>
  </r>
  <r>
    <x v="302"/>
    <n v="3581"/>
    <s v="MXN"/>
    <n v="200.536"/>
    <n v="400"/>
  </r>
  <r>
    <x v="302"/>
    <n v="7947"/>
    <s v="MXN"/>
    <n v="445.03199999999998"/>
    <n v="400"/>
  </r>
  <r>
    <x v="302"/>
    <n v="16122"/>
    <s v="MXN"/>
    <n v="902.83199999999999"/>
    <n v="400"/>
  </r>
  <r>
    <x v="303"/>
    <n v="17326.3"/>
    <s v="USD"/>
    <n v="17326.3"/>
    <n v="400"/>
  </r>
  <r>
    <x v="303"/>
    <n v="1633.2"/>
    <s v="USD"/>
    <n v="1633.2"/>
    <n v="400"/>
  </r>
  <r>
    <x v="303"/>
    <n v="2037.2"/>
    <s v="USD"/>
    <n v="2037.2"/>
    <n v="400"/>
  </r>
  <r>
    <x v="303"/>
    <n v="14922.3"/>
    <s v="USD"/>
    <n v="14922.3"/>
    <n v="400"/>
  </r>
  <r>
    <x v="303"/>
    <n v="2028"/>
    <s v="USD"/>
    <n v="2028"/>
    <n v="400"/>
  </r>
  <r>
    <x v="303"/>
    <n v="11483.4"/>
    <s v="USD"/>
    <n v="11483.4"/>
    <n v="400"/>
  </r>
  <r>
    <x v="304"/>
    <n v="5836"/>
    <s v="USD"/>
    <n v="5836"/>
    <n v="400"/>
  </r>
  <r>
    <x v="304"/>
    <n v="6175"/>
    <s v="USD"/>
    <n v="6175"/>
    <n v="400"/>
  </r>
  <r>
    <x v="304"/>
    <n v="2945.51"/>
    <s v="USD"/>
    <n v="2945.51"/>
    <n v="400"/>
  </r>
  <r>
    <x v="304"/>
    <n v="5203"/>
    <s v="USD"/>
    <n v="5203"/>
    <n v="400"/>
  </r>
  <r>
    <x v="305"/>
    <n v="5844.36"/>
    <s v="USD"/>
    <n v="5844.36"/>
    <n v="400"/>
  </r>
  <r>
    <x v="305"/>
    <n v="345"/>
    <s v="USD"/>
    <n v="345"/>
    <n v="400"/>
  </r>
  <r>
    <x v="305"/>
    <n v="1410"/>
    <s v="USD"/>
    <n v="1410"/>
    <n v="400"/>
  </r>
  <r>
    <x v="305"/>
    <n v="1466"/>
    <s v="USD"/>
    <n v="1466"/>
    <n v="400"/>
  </r>
  <r>
    <x v="305"/>
    <n v="2023"/>
    <s v="USD"/>
    <n v="2023"/>
    <n v="400"/>
  </r>
  <r>
    <x v="306"/>
    <n v="5983.71"/>
    <s v="USD"/>
    <n v="5983.71"/>
    <n v="400"/>
  </r>
  <r>
    <x v="306"/>
    <n v="4922.1899999999996"/>
    <s v="USD"/>
    <n v="4922.1899999999996"/>
    <n v="400"/>
  </r>
  <r>
    <x v="306"/>
    <n v="2444.4499999999998"/>
    <s v="USD"/>
    <n v="2444.4499999999998"/>
    <n v="400"/>
  </r>
  <r>
    <x v="306"/>
    <n v="4390.3"/>
    <s v="USD"/>
    <n v="4390.3"/>
    <n v="400"/>
  </r>
  <r>
    <x v="306"/>
    <n v="22865.4"/>
    <s v="USD"/>
    <n v="22865.4"/>
    <n v="400"/>
  </r>
  <r>
    <x v="306"/>
    <n v="232.04"/>
    <s v="USD"/>
    <n v="232.04"/>
    <n v="400"/>
  </r>
  <r>
    <x v="306"/>
    <n v="6755.41"/>
    <s v="USD"/>
    <n v="6755.41"/>
    <n v="400"/>
  </r>
  <r>
    <x v="306"/>
    <n v="9915.2000000000007"/>
    <s v="USD"/>
    <n v="9915.2000000000007"/>
    <n v="400"/>
  </r>
  <r>
    <x v="307"/>
    <n v="567.23"/>
    <s v="USD"/>
    <n v="567.23"/>
    <n v="400"/>
  </r>
  <r>
    <x v="307"/>
    <n v="927.26"/>
    <s v="USD"/>
    <n v="927.26"/>
    <n v="400"/>
  </r>
  <r>
    <x v="308"/>
    <n v="34210"/>
    <s v="USD"/>
    <n v="34210"/>
    <n v="400"/>
  </r>
  <r>
    <x v="308"/>
    <n v="2000"/>
    <s v="USD"/>
    <n v="2000"/>
    <n v="400"/>
  </r>
  <r>
    <x v="309"/>
    <n v="1665"/>
    <s v="USD"/>
    <n v="1665"/>
    <n v="400"/>
  </r>
  <r>
    <x v="310"/>
    <n v="205"/>
    <s v="USD"/>
    <n v="205"/>
    <n v="400"/>
  </r>
  <r>
    <x v="310"/>
    <n v="1000"/>
    <s v="USD"/>
    <n v="1000"/>
    <n v="400"/>
  </r>
  <r>
    <x v="311"/>
    <n v="780"/>
    <s v="USD"/>
    <n v="780"/>
    <n v="400"/>
  </r>
  <r>
    <x v="312"/>
    <n v="1465"/>
    <s v="USD"/>
    <n v="1465"/>
    <n v="400"/>
  </r>
  <r>
    <x v="313"/>
    <n v="305"/>
    <s v="USD"/>
    <n v="305"/>
    <n v="400"/>
  </r>
  <r>
    <x v="314"/>
    <n v="2832"/>
    <s v="USD"/>
    <n v="2832"/>
    <n v="400"/>
  </r>
  <r>
    <x v="315"/>
    <n v="4198"/>
    <s v="MXN"/>
    <n v="235.08799999999999"/>
    <n v="400"/>
  </r>
  <r>
    <x v="315"/>
    <n v="6024"/>
    <s v="MXN"/>
    <n v="337.34399999999999"/>
    <n v="400"/>
  </r>
  <r>
    <x v="316"/>
    <n v="8689.56"/>
    <s v="USD"/>
    <n v="8689.56"/>
    <n v="400"/>
  </r>
  <r>
    <x v="316"/>
    <n v="2817"/>
    <s v="USD"/>
    <n v="2817"/>
    <n v="400"/>
  </r>
  <r>
    <x v="316"/>
    <n v="1361"/>
    <s v="USD"/>
    <n v="1361"/>
    <n v="400"/>
  </r>
  <r>
    <x v="316"/>
    <n v="1846"/>
    <s v="USD"/>
    <n v="1846"/>
    <n v="400"/>
  </r>
  <r>
    <x v="316"/>
    <n v="2272"/>
    <s v="USD"/>
    <n v="2272"/>
    <n v="400"/>
  </r>
  <r>
    <x v="316"/>
    <n v="561"/>
    <s v="USD"/>
    <n v="561"/>
    <n v="400"/>
  </r>
  <r>
    <x v="316"/>
    <n v="1929"/>
    <s v="USD"/>
    <n v="1929"/>
    <n v="400"/>
  </r>
  <r>
    <x v="316"/>
    <n v="8717.33"/>
    <s v="USD"/>
    <n v="8717.33"/>
    <n v="400"/>
  </r>
  <r>
    <x v="317"/>
    <n v="34866"/>
    <s v="MXN"/>
    <n v="1952.4960000000001"/>
    <n v="400"/>
  </r>
  <r>
    <x v="318"/>
    <n v="2267.5"/>
    <s v="USD"/>
    <n v="2267.5"/>
    <n v="400"/>
  </r>
  <r>
    <x v="319"/>
    <n v="2266.25"/>
    <s v="EUR"/>
    <n v="2628.85"/>
    <n v="400"/>
  </r>
  <r>
    <x v="319"/>
    <n v="6798.75"/>
    <s v="EUR"/>
    <n v="7886.5499999999993"/>
    <n v="400"/>
  </r>
  <r>
    <x v="320"/>
    <n v="80360.45"/>
    <s v="MXN"/>
    <n v="4500.1851999999999"/>
    <n v="400"/>
  </r>
  <r>
    <x v="321"/>
    <n v="12895.96"/>
    <s v="USD"/>
    <n v="12895.96"/>
    <n v="400"/>
  </r>
  <r>
    <x v="321"/>
    <n v="10186.1"/>
    <s v="USD"/>
    <n v="10186.1"/>
    <n v="400"/>
  </r>
  <r>
    <x v="321"/>
    <n v="2187.2199999999998"/>
    <s v="USD"/>
    <n v="2187.2199999999998"/>
    <n v="400"/>
  </r>
  <r>
    <x v="321"/>
    <n v="5993.76"/>
    <s v="USD"/>
    <n v="5993.76"/>
    <n v="400"/>
  </r>
  <r>
    <x v="322"/>
    <n v="670.22"/>
    <s v="USD"/>
    <n v="670.22"/>
    <n v="400"/>
  </r>
  <r>
    <x v="323"/>
    <n v="2673.64"/>
    <s v="USD"/>
    <n v="2673.64"/>
    <n v="400"/>
  </r>
  <r>
    <x v="323"/>
    <n v="360"/>
    <s v="USD"/>
    <n v="360"/>
    <n v="400"/>
  </r>
  <r>
    <x v="323"/>
    <n v="2185.04"/>
    <s v="USD"/>
    <n v="2185.04"/>
    <n v="400"/>
  </r>
  <r>
    <x v="323"/>
    <n v="461.84"/>
    <s v="USD"/>
    <n v="461.84"/>
    <n v="400"/>
  </r>
  <r>
    <x v="324"/>
    <n v="14769"/>
    <s v="USD"/>
    <n v="14769"/>
    <n v="400"/>
  </r>
  <r>
    <x v="324"/>
    <n v="8280"/>
    <s v="USD"/>
    <n v="8280"/>
    <n v="400"/>
  </r>
  <r>
    <x v="324"/>
    <n v="21500"/>
    <s v="USD"/>
    <n v="21500"/>
    <n v="400"/>
  </r>
  <r>
    <x v="324"/>
    <n v="18072"/>
    <s v="USD"/>
    <n v="18072"/>
    <n v="400"/>
  </r>
  <r>
    <x v="325"/>
    <n v="3214"/>
    <s v="USD"/>
    <n v="3214"/>
    <n v="400"/>
  </r>
  <r>
    <x v="325"/>
    <n v="2106.7199999999998"/>
    <s v="USD"/>
    <n v="2106.7199999999998"/>
    <n v="400"/>
  </r>
  <r>
    <x v="326"/>
    <n v="570"/>
    <s v="EUR"/>
    <n v="661.19999999999993"/>
    <n v="400"/>
  </r>
  <r>
    <x v="327"/>
    <n v="5334.66"/>
    <s v="USD"/>
    <n v="5334.66"/>
    <n v="400"/>
  </r>
  <r>
    <x v="328"/>
    <n v="8311"/>
    <s v="USD"/>
    <n v="8311"/>
    <n v="400"/>
  </r>
  <r>
    <x v="329"/>
    <n v="3878"/>
    <s v="USD"/>
    <n v="3878"/>
    <n v="400"/>
  </r>
  <r>
    <x v="330"/>
    <n v="4998"/>
    <s v="USD"/>
    <n v="4998"/>
    <n v="400"/>
  </r>
  <r>
    <x v="331"/>
    <n v="5052.76"/>
    <s v="USD"/>
    <n v="5052.76"/>
    <n v="400"/>
  </r>
  <r>
    <x v="332"/>
    <n v="7646"/>
    <s v="EUR"/>
    <n v="8869.3599999999988"/>
    <n v="400"/>
  </r>
  <r>
    <x v="332"/>
    <n v="2968"/>
    <s v="EUR"/>
    <n v="3442.8799999999997"/>
    <n v="400"/>
  </r>
  <r>
    <x v="332"/>
    <n v="2504.4"/>
    <s v="EUR"/>
    <n v="2905.1039999999998"/>
    <n v="400"/>
  </r>
  <r>
    <x v="333"/>
    <n v="11170"/>
    <s v="GPB"/>
    <n v="14967.800000000001"/>
    <n v="400"/>
  </r>
  <r>
    <x v="334"/>
    <n v="1091.01"/>
    <s v="USD"/>
    <n v="1091.01"/>
    <n v="400"/>
  </r>
  <r>
    <x v="334"/>
    <n v="3002.79"/>
    <s v="USD"/>
    <n v="3002.79"/>
    <n v="400"/>
  </r>
  <r>
    <x v="334"/>
    <n v="2807.25"/>
    <s v="USD"/>
    <n v="2807.25"/>
    <n v="400"/>
  </r>
  <r>
    <x v="335"/>
    <n v="10000"/>
    <s v="EUR"/>
    <n v="11600"/>
    <n v="400"/>
  </r>
  <r>
    <x v="335"/>
    <n v="3750"/>
    <s v="EUR"/>
    <n v="4350"/>
    <n v="400"/>
  </r>
  <r>
    <x v="335"/>
    <n v="3087"/>
    <s v="EUR"/>
    <n v="3580.9199999999996"/>
    <n v="400"/>
  </r>
  <r>
    <x v="335"/>
    <n v="3750"/>
    <s v="EUR"/>
    <n v="4350"/>
    <n v="400"/>
  </r>
  <r>
    <x v="335"/>
    <n v="2113"/>
    <s v="EUR"/>
    <n v="2451.08"/>
    <n v="400"/>
  </r>
  <r>
    <x v="335"/>
    <n v="2824"/>
    <s v="EUR"/>
    <n v="3275.8399999999997"/>
    <n v="400"/>
  </r>
  <r>
    <x v="336"/>
    <n v="2697.96"/>
    <s v="USD"/>
    <n v="2697.96"/>
    <n v="400"/>
  </r>
  <r>
    <x v="336"/>
    <n v="4351"/>
    <s v="USD"/>
    <n v="4351"/>
    <n v="400"/>
  </r>
  <r>
    <x v="336"/>
    <n v="2404.15"/>
    <s v="USD"/>
    <n v="2404.15"/>
    <n v="400"/>
  </r>
  <r>
    <x v="337"/>
    <n v="1458.2"/>
    <s v="USD"/>
    <n v="1458.2"/>
    <n v="400"/>
  </r>
  <r>
    <x v="337"/>
    <n v="25348.6"/>
    <s v="USD"/>
    <n v="25348.6"/>
    <n v="400"/>
  </r>
  <r>
    <x v="337"/>
    <n v="3337.72"/>
    <s v="USD"/>
    <n v="3337.72"/>
    <n v="400"/>
  </r>
  <r>
    <x v="337"/>
    <n v="3337.72"/>
    <s v="USD"/>
    <n v="3337.72"/>
    <n v="400"/>
  </r>
  <r>
    <x v="337"/>
    <n v="10460.450000000001"/>
    <s v="USD"/>
    <n v="10460.450000000001"/>
    <n v="400"/>
  </r>
  <r>
    <x v="337"/>
    <n v="6712.26"/>
    <s v="USD"/>
    <n v="6712.26"/>
    <n v="400"/>
  </r>
  <r>
    <x v="337"/>
    <n v="6167.13"/>
    <s v="USD"/>
    <n v="6167.13"/>
    <n v="400"/>
  </r>
  <r>
    <x v="337"/>
    <n v="492.58"/>
    <s v="USD"/>
    <n v="492.58"/>
    <n v="400"/>
  </r>
  <r>
    <x v="337"/>
    <n v="4077.2"/>
    <s v="USD"/>
    <n v="4077.2"/>
    <n v="400"/>
  </r>
  <r>
    <x v="338"/>
    <n v="2648"/>
    <s v="USD"/>
    <n v="2648"/>
    <n v="400"/>
  </r>
  <r>
    <x v="339"/>
    <n v="5691"/>
    <s v="USD"/>
    <n v="5691"/>
    <n v="400"/>
  </r>
  <r>
    <x v="340"/>
    <n v="84307"/>
    <s v="MXN"/>
    <n v="4721.192"/>
    <n v="400"/>
  </r>
  <r>
    <x v="341"/>
    <n v="610.15"/>
    <s v="USD"/>
    <n v="610.15"/>
    <n v="400"/>
  </r>
  <r>
    <x v="342"/>
    <n v="22823.53"/>
    <s v="USD"/>
    <n v="22823.53"/>
    <n v="400"/>
  </r>
  <r>
    <x v="343"/>
    <n v="6947.73"/>
    <s v="USD"/>
    <n v="6947.73"/>
    <n v="400"/>
  </r>
  <r>
    <x v="344"/>
    <n v="4438"/>
    <s v="MXN"/>
    <n v="248.52799999999999"/>
    <n v="400"/>
  </r>
  <r>
    <x v="345"/>
    <n v="2135"/>
    <s v="GPB"/>
    <n v="2860.9"/>
    <n v="400"/>
  </r>
  <r>
    <x v="345"/>
    <n v="23749.35"/>
    <s v="GPB"/>
    <n v="31824.129000000001"/>
    <n v="400"/>
  </r>
  <r>
    <x v="346"/>
    <n v="827"/>
    <s v="USD"/>
    <n v="827"/>
    <n v="400"/>
  </r>
  <r>
    <x v="346"/>
    <n v="1630"/>
    <s v="USD"/>
    <n v="1630"/>
    <n v="400"/>
  </r>
  <r>
    <x v="346"/>
    <n v="1642"/>
    <s v="USD"/>
    <n v="1642"/>
    <n v="400"/>
  </r>
  <r>
    <x v="346"/>
    <n v="1017"/>
    <s v="USD"/>
    <n v="1017"/>
    <n v="400"/>
  </r>
  <r>
    <x v="346"/>
    <n v="1365"/>
    <s v="USD"/>
    <n v="1365"/>
    <n v="400"/>
  </r>
  <r>
    <x v="346"/>
    <n v="12493.6"/>
    <s v="USD"/>
    <n v="12493.6"/>
    <n v="400"/>
  </r>
  <r>
    <x v="346"/>
    <n v="708"/>
    <s v="USD"/>
    <n v="708"/>
    <n v="400"/>
  </r>
  <r>
    <x v="347"/>
    <n v="1292.4000000000001"/>
    <s v="EUR"/>
    <n v="1499.184"/>
    <n v="400"/>
  </r>
  <r>
    <x v="347"/>
    <n v="3242.76"/>
    <s v="EUR"/>
    <n v="3761.6016"/>
    <n v="400"/>
  </r>
  <r>
    <x v="347"/>
    <n v="2390.3200000000002"/>
    <s v="EUR"/>
    <n v="2772.7712000000001"/>
    <n v="400"/>
  </r>
  <r>
    <x v="347"/>
    <n v="670"/>
    <s v="EUR"/>
    <n v="777.19999999999993"/>
    <n v="400"/>
  </r>
  <r>
    <x v="347"/>
    <n v="2679"/>
    <s v="EUR"/>
    <n v="3107.64"/>
    <n v="400"/>
  </r>
  <r>
    <x v="347"/>
    <n v="295"/>
    <s v="EUR"/>
    <n v="342.2"/>
    <n v="400"/>
  </r>
  <r>
    <x v="347"/>
    <n v="485.39"/>
    <s v="EUR"/>
    <n v="563.05239999999992"/>
    <n v="400"/>
  </r>
  <r>
    <x v="348"/>
    <n v="11490"/>
    <s v="USD"/>
    <n v="11490"/>
    <n v="400"/>
  </r>
  <r>
    <x v="349"/>
    <n v="58547.65"/>
    <s v="USD"/>
    <n v="58547.65"/>
    <n v="400"/>
  </r>
  <r>
    <x v="349"/>
    <n v="12185.32"/>
    <s v="USD"/>
    <n v="12185.32"/>
    <n v="400"/>
  </r>
  <r>
    <x v="349"/>
    <n v="3223.03"/>
    <s v="USD"/>
    <n v="3223.03"/>
    <n v="400"/>
  </r>
  <r>
    <x v="350"/>
    <n v="8300"/>
    <s v="EUR"/>
    <n v="9628"/>
    <n v="400"/>
  </r>
  <r>
    <x v="350"/>
    <n v="206.96"/>
    <s v="EUR"/>
    <n v="240.0736"/>
    <n v="400"/>
  </r>
  <r>
    <x v="350"/>
    <n v="125"/>
    <s v="EUR"/>
    <n v="145"/>
    <n v="400"/>
  </r>
  <r>
    <x v="351"/>
    <n v="15125.22"/>
    <s v="USD"/>
    <n v="15125.22"/>
    <n v="400"/>
  </r>
  <r>
    <x v="351"/>
    <n v="3268"/>
    <s v="USD"/>
    <n v="3268"/>
    <n v="400"/>
  </r>
  <r>
    <x v="351"/>
    <n v="1091.0999999999999"/>
    <s v="USD"/>
    <n v="1091.0999999999999"/>
    <n v="400"/>
  </r>
  <r>
    <x v="351"/>
    <n v="2563"/>
    <s v="USD"/>
    <n v="2563"/>
    <n v="400"/>
  </r>
  <r>
    <x v="352"/>
    <n v="2122.14"/>
    <s v="USD"/>
    <n v="2122.14"/>
    <n v="400"/>
  </r>
  <r>
    <x v="352"/>
    <n v="1426.9"/>
    <s v="USD"/>
    <n v="1426.9"/>
    <n v="400"/>
  </r>
  <r>
    <x v="352"/>
    <n v="6512"/>
    <s v="USD"/>
    <n v="6512"/>
    <n v="400"/>
  </r>
  <r>
    <x v="352"/>
    <n v="737"/>
    <s v="USD"/>
    <n v="737"/>
    <n v="400"/>
  </r>
  <r>
    <x v="353"/>
    <n v="7119"/>
    <s v="GPB"/>
    <n v="9539.4600000000009"/>
    <n v="400"/>
  </r>
  <r>
    <x v="354"/>
    <n v="2970.78"/>
    <s v="USD"/>
    <n v="2970.78"/>
    <n v="400"/>
  </r>
  <r>
    <x v="354"/>
    <n v="2389.02"/>
    <s v="USD"/>
    <n v="2389.02"/>
    <n v="400"/>
  </r>
  <r>
    <x v="354"/>
    <n v="400"/>
    <s v="USD"/>
    <n v="400"/>
    <n v="400"/>
  </r>
  <r>
    <x v="354"/>
    <n v="50.56"/>
    <s v="USD"/>
    <n v="50.56"/>
    <n v="400"/>
  </r>
  <r>
    <x v="355"/>
    <n v="1923"/>
    <s v="USD"/>
    <n v="1923"/>
    <n v="400"/>
  </r>
  <r>
    <x v="355"/>
    <n v="5792.94"/>
    <s v="USD"/>
    <n v="5792.94"/>
    <n v="400"/>
  </r>
  <r>
    <x v="355"/>
    <n v="3485.35"/>
    <s v="USD"/>
    <n v="3485.35"/>
    <n v="400"/>
  </r>
  <r>
    <x v="355"/>
    <n v="4865.3"/>
    <s v="USD"/>
    <n v="4865.3"/>
    <n v="400"/>
  </r>
  <r>
    <x v="355"/>
    <n v="3900.54"/>
    <s v="USD"/>
    <n v="3900.54"/>
    <n v="400"/>
  </r>
  <r>
    <x v="356"/>
    <n v="22629"/>
    <s v="CHF"/>
    <n v="28286.25"/>
    <n v="400"/>
  </r>
  <r>
    <x v="356"/>
    <n v="2340"/>
    <s v="CHF"/>
    <n v="2925"/>
    <n v="400"/>
  </r>
  <r>
    <x v="356"/>
    <n v="283.01"/>
    <s v="CHF"/>
    <n v="353.76249999999999"/>
    <n v="400"/>
  </r>
  <r>
    <x v="357"/>
    <n v="23645.48"/>
    <s v="USD"/>
    <n v="23645.48"/>
    <n v="400"/>
  </r>
  <r>
    <x v="357"/>
    <n v="37029.67"/>
    <s v="EUR"/>
    <n v="42954.417199999996"/>
    <n v="400"/>
  </r>
  <r>
    <x v="357"/>
    <n v="2612.4"/>
    <s v="USD"/>
    <n v="2612.4"/>
    <n v="400"/>
  </r>
  <r>
    <x v="357"/>
    <n v="1387.54"/>
    <s v="USD"/>
    <n v="1387.54"/>
    <n v="400"/>
  </r>
  <r>
    <x v="358"/>
    <n v="60840"/>
    <s v="MXN"/>
    <n v="3407.04"/>
    <n v="400"/>
  </r>
  <r>
    <x v="359"/>
    <n v="11020.8"/>
    <s v="EUR"/>
    <n v="12784.127999999999"/>
    <n v="400"/>
  </r>
  <r>
    <x v="360"/>
    <n v="7872"/>
    <s v="EUR"/>
    <n v="9131.5199999999986"/>
    <n v="400"/>
  </r>
  <r>
    <x v="361"/>
    <n v="1497.6"/>
    <s v="USD"/>
    <n v="1497.6"/>
    <n v="400"/>
  </r>
  <r>
    <x v="362"/>
    <n v="1648.65"/>
    <s v="USD"/>
    <n v="1648.65"/>
    <n v="400"/>
  </r>
  <r>
    <x v="363"/>
    <n v="194772"/>
    <s v="MXN"/>
    <n v="10907.232"/>
    <n v="400"/>
  </r>
  <r>
    <x v="364"/>
    <n v="23340"/>
    <s v="EUR"/>
    <n v="27074.399999999998"/>
    <n v="400"/>
  </r>
  <r>
    <x v="365"/>
    <n v="2100"/>
    <s v="EUR"/>
    <n v="2436"/>
    <n v="400"/>
  </r>
  <r>
    <x v="366"/>
    <n v="7688.5"/>
    <s v="USD"/>
    <n v="7688.5"/>
    <n v="400"/>
  </r>
  <r>
    <x v="366"/>
    <n v="124176.15"/>
    <s v="USD"/>
    <n v="124176.15"/>
    <n v="400"/>
  </r>
  <r>
    <x v="366"/>
    <n v="138999"/>
    <s v="USD"/>
    <n v="138999"/>
    <n v="400"/>
  </r>
  <r>
    <x v="367"/>
    <n v="15719.2"/>
    <s v="USD"/>
    <n v="15719.2"/>
    <n v="400"/>
  </r>
  <r>
    <x v="367"/>
    <n v="1647.08"/>
    <s v="USD"/>
    <n v="1647.08"/>
    <n v="400"/>
  </r>
  <r>
    <x v="367"/>
    <n v="5342.27"/>
    <s v="USD"/>
    <n v="5342.27"/>
    <n v="400"/>
  </r>
  <r>
    <x v="368"/>
    <n v="1318.98"/>
    <s v="USD"/>
    <n v="1318.98"/>
    <n v="400"/>
  </r>
  <r>
    <x v="369"/>
    <n v="5066.8500000000004"/>
    <s v="USD"/>
    <n v="5066.8500000000004"/>
    <n v="400"/>
  </r>
  <r>
    <x v="370"/>
    <n v="6395"/>
    <s v="USD"/>
    <n v="6395"/>
    <n v="400"/>
  </r>
  <r>
    <x v="371"/>
    <n v="2802"/>
    <s v="CHF"/>
    <n v="3502.5"/>
    <n v="400"/>
  </r>
  <r>
    <x v="372"/>
    <n v="7285.88"/>
    <s v="EUR"/>
    <n v="8451.6207999999988"/>
    <n v="400"/>
  </r>
  <r>
    <x v="373"/>
    <n v="4000"/>
    <s v="USD"/>
    <n v="4000"/>
    <n v="400"/>
  </r>
  <r>
    <x v="373"/>
    <n v="2663.98"/>
    <s v="USD"/>
    <n v="2663.98"/>
    <n v="400"/>
  </r>
  <r>
    <x v="373"/>
    <n v="3404.36"/>
    <s v="USD"/>
    <n v="3404.36"/>
    <n v="400"/>
  </r>
  <r>
    <x v="373"/>
    <n v="23513.54"/>
    <s v="USD"/>
    <n v="23513.54"/>
    <n v="400"/>
  </r>
  <r>
    <x v="374"/>
    <n v="2716.8"/>
    <s v="USD"/>
    <n v="2716.8"/>
    <n v="400"/>
  </r>
  <r>
    <x v="374"/>
    <n v="6.05"/>
    <s v="USD"/>
    <n v="6.05"/>
    <n v="400"/>
  </r>
  <r>
    <x v="375"/>
    <n v="2861.4"/>
    <s v="USD"/>
    <n v="2861.4"/>
    <n v="400"/>
  </r>
  <r>
    <x v="376"/>
    <n v="1711.99"/>
    <s v="USD"/>
    <n v="1711.99"/>
    <n v="400"/>
  </r>
  <r>
    <x v="376"/>
    <n v="2969.92"/>
    <s v="USD"/>
    <n v="2969.92"/>
    <n v="400"/>
  </r>
  <r>
    <x v="376"/>
    <n v="41832.050000000003"/>
    <s v="USD"/>
    <n v="41832.050000000003"/>
    <n v="400"/>
  </r>
  <r>
    <x v="376"/>
    <n v="4034.1"/>
    <s v="USD"/>
    <n v="4034.1"/>
    <n v="400"/>
  </r>
  <r>
    <x v="376"/>
    <n v="338.2"/>
    <s v="USD"/>
    <n v="338.2"/>
    <n v="400"/>
  </r>
  <r>
    <x v="376"/>
    <n v="871.6"/>
    <s v="USD"/>
    <n v="871.6"/>
    <n v="400"/>
  </r>
  <r>
    <x v="376"/>
    <n v="15079.74"/>
    <s v="USD"/>
    <n v="15079.74"/>
    <n v="400"/>
  </r>
  <r>
    <x v="376"/>
    <n v="14868.99"/>
    <s v="USD"/>
    <n v="14868.99"/>
    <n v="400"/>
  </r>
  <r>
    <x v="377"/>
    <n v="5385.65"/>
    <s v="EUR"/>
    <n v="6247.3539999999994"/>
    <n v="400"/>
  </r>
  <r>
    <x v="377"/>
    <n v="876.78"/>
    <s v="EUR"/>
    <n v="1017.0647999999999"/>
    <n v="400"/>
  </r>
  <r>
    <x v="378"/>
    <n v="7198.65"/>
    <s v="USD"/>
    <n v="7198.65"/>
    <n v="400"/>
  </r>
  <r>
    <x v="379"/>
    <n v="8889.07"/>
    <s v="USD"/>
    <n v="8889.07"/>
    <n v="400"/>
  </r>
  <r>
    <x v="379"/>
    <n v="5697.7"/>
    <s v="USD"/>
    <n v="5697.7"/>
    <n v="400"/>
  </r>
  <r>
    <x v="379"/>
    <n v="6764.5"/>
    <s v="USD"/>
    <n v="6764.5"/>
    <n v="400"/>
  </r>
  <r>
    <x v="379"/>
    <n v="2069.3000000000002"/>
    <s v="USD"/>
    <n v="2069.3000000000002"/>
    <n v="400"/>
  </r>
  <r>
    <x v="379"/>
    <n v="18598.099999999999"/>
    <s v="USD"/>
    <n v="18598.099999999999"/>
    <n v="400"/>
  </r>
  <r>
    <x v="380"/>
    <n v="14819.43"/>
    <s v="USD"/>
    <n v="14819.43"/>
    <n v="400"/>
  </r>
  <r>
    <x v="381"/>
    <n v="748.16"/>
    <s v="USD"/>
    <n v="748.16"/>
    <n v="400"/>
  </r>
  <r>
    <x v="381"/>
    <n v="346"/>
    <s v="USD"/>
    <n v="346"/>
    <n v="400"/>
  </r>
  <r>
    <x v="381"/>
    <n v="440"/>
    <s v="USD"/>
    <n v="440"/>
    <n v="400"/>
  </r>
  <r>
    <x v="381"/>
    <n v="324.27999999999997"/>
    <s v="USD"/>
    <n v="324.27999999999997"/>
    <n v="400"/>
  </r>
  <r>
    <x v="381"/>
    <n v="1326.6"/>
    <s v="USD"/>
    <n v="1326.6"/>
    <n v="400"/>
  </r>
  <r>
    <x v="382"/>
    <n v="4522.3100000000004"/>
    <s v="USD"/>
    <n v="4522.3100000000004"/>
    <n v="400"/>
  </r>
  <r>
    <x v="383"/>
    <n v="46687"/>
    <s v="MXN"/>
    <n v="2614.4720000000002"/>
    <n v="400"/>
  </r>
  <r>
    <x v="383"/>
    <n v="28919"/>
    <s v="MXN"/>
    <n v="1619.4639999999999"/>
    <n v="400"/>
  </r>
  <r>
    <x v="384"/>
    <n v="3982"/>
    <s v="USD"/>
    <n v="3982"/>
    <n v="400"/>
  </r>
  <r>
    <x v="384"/>
    <n v="325.14999999999998"/>
    <s v="USD"/>
    <n v="325.14999999999998"/>
    <n v="400"/>
  </r>
  <r>
    <x v="385"/>
    <n v="13708"/>
    <s v="EUR"/>
    <n v="15901.279999999999"/>
    <n v="400"/>
  </r>
  <r>
    <x v="385"/>
    <n v="48427"/>
    <s v="EUR"/>
    <n v="56175.32"/>
    <n v="400"/>
  </r>
  <r>
    <x v="386"/>
    <n v="32910"/>
    <s v="CHF"/>
    <n v="41137.5"/>
    <n v="400"/>
  </r>
  <r>
    <x v="387"/>
    <n v="43995.07"/>
    <s v="USD"/>
    <n v="43995.07"/>
    <n v="400"/>
  </r>
  <r>
    <x v="388"/>
    <n v="50478"/>
    <s v="MXN"/>
    <n v="2826.768"/>
    <n v="400"/>
  </r>
  <r>
    <x v="389"/>
    <n v="16159.86"/>
    <s v="USD"/>
    <n v="16159.86"/>
    <n v="400"/>
  </r>
  <r>
    <x v="389"/>
    <n v="699.8"/>
    <s v="USD"/>
    <n v="699.8"/>
    <n v="400"/>
  </r>
  <r>
    <x v="389"/>
    <n v="3383.72"/>
    <s v="EUR"/>
    <n v="3925.1151999999993"/>
    <n v="400"/>
  </r>
  <r>
    <x v="389"/>
    <n v="452.8"/>
    <s v="USD"/>
    <n v="452.8"/>
    <n v="400"/>
  </r>
  <r>
    <x v="390"/>
    <n v="7500"/>
    <s v="EUR"/>
    <n v="8700"/>
    <n v="400"/>
  </r>
  <r>
    <x v="390"/>
    <n v="11480"/>
    <s v="EUR"/>
    <n v="13316.8"/>
    <n v="400"/>
  </r>
  <r>
    <x v="391"/>
    <n v="1613.45"/>
    <s v="USD"/>
    <n v="1613.45"/>
    <n v="400"/>
  </r>
  <r>
    <x v="392"/>
    <n v="5682"/>
    <s v="USD"/>
    <n v="5682"/>
    <n v="400"/>
  </r>
  <r>
    <x v="393"/>
    <n v="3058"/>
    <s v="USD"/>
    <n v="3058"/>
    <n v="400"/>
  </r>
  <r>
    <x v="393"/>
    <n v="1044.31"/>
    <s v="USD"/>
    <n v="1044.31"/>
    <n v="400"/>
  </r>
  <r>
    <x v="393"/>
    <n v="4226.88"/>
    <s v="USD"/>
    <n v="4226.88"/>
    <n v="400"/>
  </r>
  <r>
    <x v="394"/>
    <n v="5767.27"/>
    <s v="USD"/>
    <n v="5767.27"/>
    <n v="400"/>
  </r>
  <r>
    <x v="394"/>
    <n v="2432.35"/>
    <s v="USD"/>
    <n v="2432.35"/>
    <n v="400"/>
  </r>
  <r>
    <x v="394"/>
    <n v="2508.54"/>
    <s v="USD"/>
    <n v="2508.54"/>
    <n v="400"/>
  </r>
  <r>
    <x v="394"/>
    <n v="5326.01"/>
    <s v="USD"/>
    <n v="5326.01"/>
    <n v="400"/>
  </r>
  <r>
    <x v="395"/>
    <n v="1655.06"/>
    <s v="USD"/>
    <n v="1655.06"/>
    <n v="400"/>
  </r>
  <r>
    <x v="396"/>
    <n v="1725"/>
    <s v="GPB"/>
    <n v="2311.5"/>
    <n v="400"/>
  </r>
  <r>
    <x v="397"/>
    <n v="86780"/>
    <s v="MXN"/>
    <n v="4859.68"/>
    <n v="400"/>
  </r>
  <r>
    <x v="397"/>
    <n v="12739.3"/>
    <s v="MXN"/>
    <n v="713.4008"/>
    <n v="400"/>
  </r>
  <r>
    <x v="397"/>
    <n v="4584.8"/>
    <s v="MXN"/>
    <n v="256.74880000000002"/>
    <n v="400"/>
  </r>
  <r>
    <x v="397"/>
    <n v="3101.4"/>
    <s v="MXN"/>
    <n v="173.67840000000001"/>
    <n v="400"/>
  </r>
  <r>
    <x v="397"/>
    <n v="36791.4"/>
    <s v="MXN"/>
    <n v="2060.3184000000001"/>
    <n v="400"/>
  </r>
  <r>
    <x v="398"/>
    <n v="1468.39"/>
    <s v="USD"/>
    <n v="1468.39"/>
    <n v="400"/>
  </r>
  <r>
    <x v="398"/>
    <n v="1368.85"/>
    <s v="USD"/>
    <n v="1368.85"/>
    <n v="400"/>
  </r>
  <r>
    <x v="399"/>
    <n v="3654"/>
    <s v="USD"/>
    <n v="3654"/>
    <n v="400"/>
  </r>
  <r>
    <x v="399"/>
    <n v="398.46"/>
    <s v="USD"/>
    <n v="398.46"/>
    <n v="400"/>
  </r>
  <r>
    <x v="399"/>
    <n v="4786.1000000000004"/>
    <s v="USD"/>
    <n v="4786.1000000000004"/>
    <n v="400"/>
  </r>
  <r>
    <x v="400"/>
    <n v="76.3"/>
    <s v="USD"/>
    <n v="76.3"/>
    <n v="400"/>
  </r>
  <r>
    <x v="400"/>
    <n v="957.43"/>
    <s v="USD"/>
    <n v="957.43"/>
    <n v="400"/>
  </r>
  <r>
    <x v="401"/>
    <n v="19283.900000000001"/>
    <s v="MXN"/>
    <n v="1079.8984"/>
    <n v="400"/>
  </r>
  <r>
    <x v="402"/>
    <n v="713.63"/>
    <s v="USD"/>
    <n v="713.63"/>
    <n v="400"/>
  </r>
  <r>
    <x v="403"/>
    <n v="2700"/>
    <s v="GPB"/>
    <n v="3618"/>
    <n v="400"/>
  </r>
  <r>
    <x v="404"/>
    <n v="2504"/>
    <s v="GBP"/>
    <n v="3355.36"/>
    <n v="400"/>
  </r>
  <r>
    <x v="405"/>
    <n v="11942"/>
    <s v="MXN"/>
    <n v="668.75200000000007"/>
    <n v="400"/>
  </r>
  <r>
    <x v="406"/>
    <n v="10105.09"/>
    <s v="USD"/>
    <n v="10105.09"/>
    <n v="400"/>
  </r>
  <r>
    <x v="407"/>
    <n v="6668"/>
    <s v="USD"/>
    <n v="6668"/>
    <n v="400"/>
  </r>
  <r>
    <x v="408"/>
    <n v="5357.86"/>
    <s v="USD"/>
    <n v="5357.86"/>
    <n v="400"/>
  </r>
  <r>
    <x v="408"/>
    <n v="14107"/>
    <s v="USD"/>
    <n v="14107"/>
    <n v="400"/>
  </r>
  <r>
    <x v="408"/>
    <n v="1568"/>
    <s v="USD"/>
    <n v="1568"/>
    <n v="400"/>
  </r>
  <r>
    <x v="409"/>
    <n v="8793.75"/>
    <s v="USD"/>
    <n v="8793.75"/>
    <n v="400"/>
  </r>
  <r>
    <x v="409"/>
    <n v="967.52"/>
    <s v="USD"/>
    <n v="967.52"/>
    <n v="400"/>
  </r>
  <r>
    <x v="409"/>
    <n v="205.79"/>
    <s v="GBP"/>
    <n v="275.7586"/>
    <n v="400"/>
  </r>
  <r>
    <x v="409"/>
    <n v="238.98"/>
    <s v="GBP"/>
    <n v="320.23320000000001"/>
    <n v="400"/>
  </r>
  <r>
    <x v="409"/>
    <n v="477.96"/>
    <s v="GBP"/>
    <n v="640.46640000000002"/>
    <n v="400"/>
  </r>
  <r>
    <x v="410"/>
    <n v="5964.86"/>
    <s v="USD"/>
    <n v="5964.86"/>
    <n v="400"/>
  </r>
  <r>
    <x v="410"/>
    <n v="2982.43"/>
    <s v="USD"/>
    <n v="2982.43"/>
    <n v="400"/>
  </r>
  <r>
    <x v="410"/>
    <n v="9758.66"/>
    <s v="USD"/>
    <n v="9758.66"/>
    <n v="400"/>
  </r>
  <r>
    <x v="410"/>
    <n v="1299"/>
    <s v="USD"/>
    <n v="1299"/>
    <n v="400"/>
  </r>
  <r>
    <x v="410"/>
    <n v="1299"/>
    <s v="USD"/>
    <n v="1299"/>
    <n v="400"/>
  </r>
  <r>
    <x v="410"/>
    <n v="1039.2"/>
    <s v="USD"/>
    <n v="1039.2"/>
    <n v="400"/>
  </r>
  <r>
    <x v="410"/>
    <n v="35"/>
    <s v="USD"/>
    <n v="35"/>
    <n v="400"/>
  </r>
  <r>
    <x v="411"/>
    <n v="4562.22"/>
    <s v="USD"/>
    <n v="4562.22"/>
    <n v="400"/>
  </r>
  <r>
    <x v="412"/>
    <n v="2808.54"/>
    <s v="USD"/>
    <n v="2808.54"/>
    <n v="400"/>
  </r>
  <r>
    <x v="412"/>
    <n v="182.39"/>
    <s v="USD"/>
    <n v="182.39"/>
    <n v="400"/>
  </r>
  <r>
    <x v="412"/>
    <n v="213.6"/>
    <s v="USD"/>
    <n v="213.6"/>
    <n v="400"/>
  </r>
  <r>
    <x v="413"/>
    <n v="729.1"/>
    <s v="USD"/>
    <n v="729.1"/>
    <n v="400"/>
  </r>
  <r>
    <x v="413"/>
    <n v="35"/>
    <s v="USD"/>
    <n v="35"/>
    <n v="400"/>
  </r>
  <r>
    <x v="414"/>
    <n v="1917.44"/>
    <s v="USD"/>
    <n v="1917.44"/>
    <n v="400"/>
  </r>
  <r>
    <x v="415"/>
    <n v="13550"/>
    <s v="EUR"/>
    <n v="15717.999999999998"/>
    <n v="400"/>
  </r>
  <r>
    <x v="416"/>
    <n v="16780"/>
    <s v="MXN"/>
    <n v="939.68000000000006"/>
    <n v="400"/>
  </r>
  <r>
    <x v="416"/>
    <n v="16780"/>
    <s v="MXN"/>
    <n v="939.68000000000006"/>
    <n v="400"/>
  </r>
  <r>
    <x v="416"/>
    <n v="11198"/>
    <s v="MXN"/>
    <n v="627.08799999999997"/>
    <n v="400"/>
  </r>
  <r>
    <x v="416"/>
    <n v="85840"/>
    <s v="MXN"/>
    <n v="4807.04"/>
    <n v="400"/>
  </r>
  <r>
    <x v="417"/>
    <n v="1971.8"/>
    <s v="USD"/>
    <n v="1971.8"/>
    <n v="400"/>
  </r>
  <r>
    <x v="418"/>
    <n v="283.3"/>
    <s v="EUR"/>
    <n v="328.62799999999999"/>
    <n v="400"/>
  </r>
  <r>
    <x v="418"/>
    <n v="870"/>
    <s v="EUR"/>
    <n v="1009.1999999999999"/>
    <n v="400"/>
  </r>
  <r>
    <x v="418"/>
    <n v="145.69999999999999"/>
    <s v="EUR"/>
    <n v="169.01199999999997"/>
    <n v="400"/>
  </r>
  <r>
    <x v="419"/>
    <n v="1500"/>
    <s v="GPB"/>
    <n v="2010.0000000000002"/>
    <n v="400"/>
  </r>
  <r>
    <x v="420"/>
    <n v="3097.62"/>
    <s v="USD"/>
    <n v="3097.62"/>
    <n v="400"/>
  </r>
  <r>
    <x v="421"/>
    <n v="4711.78"/>
    <s v="USD"/>
    <n v="4711.78"/>
    <n v="400"/>
  </r>
  <r>
    <x v="422"/>
    <n v="2528.67"/>
    <s v="USD"/>
    <n v="2528.67"/>
    <n v="400"/>
  </r>
  <r>
    <x v="423"/>
    <n v="1877"/>
    <s v="USD"/>
    <n v="1877"/>
    <n v="400"/>
  </r>
  <r>
    <x v="424"/>
    <n v="4140"/>
    <s v="GPB"/>
    <n v="5547.6"/>
    <n v="400"/>
  </r>
  <r>
    <x v="424"/>
    <n v="2820"/>
    <s v="GBP"/>
    <n v="3778.8"/>
    <n v="400"/>
  </r>
  <r>
    <x v="425"/>
    <n v="10470.6"/>
    <s v="USD"/>
    <n v="10470.6"/>
    <n v="400"/>
  </r>
  <r>
    <x v="425"/>
    <n v="5819"/>
    <s v="USD"/>
    <n v="5819"/>
    <n v="400"/>
  </r>
  <r>
    <x v="425"/>
    <n v="5515.8"/>
    <s v="USD"/>
    <n v="5515.8"/>
    <n v="400"/>
  </r>
  <r>
    <x v="425"/>
    <n v="11932.1"/>
    <s v="USD"/>
    <n v="11932.1"/>
    <n v="400"/>
  </r>
  <r>
    <x v="426"/>
    <n v="2856"/>
    <s v="EUR"/>
    <n v="3312.9599999999996"/>
    <n v="400"/>
  </r>
  <r>
    <x v="427"/>
    <n v="200.6"/>
    <s v="USD"/>
    <n v="200.6"/>
    <n v="400"/>
  </r>
  <r>
    <x v="427"/>
    <n v="1560.56"/>
    <s v="USD"/>
    <n v="1560.56"/>
    <n v="400"/>
  </r>
  <r>
    <x v="428"/>
    <n v="6150"/>
    <s v="CHF"/>
    <n v="7687.5"/>
    <n v="400"/>
  </r>
  <r>
    <x v="429"/>
    <n v="4020"/>
    <s v="EUR"/>
    <n v="4663.2"/>
    <n v="400"/>
  </r>
  <r>
    <x v="430"/>
    <n v="5322"/>
    <s v="USD"/>
    <n v="5322"/>
    <n v="400"/>
  </r>
  <r>
    <x v="431"/>
    <n v="1425"/>
    <s v="EUR"/>
    <n v="1652.9999999999998"/>
    <n v="400"/>
  </r>
  <r>
    <x v="431"/>
    <n v="595.5"/>
    <s v="EUR"/>
    <n v="690.78"/>
    <n v="400"/>
  </r>
  <r>
    <x v="432"/>
    <n v="4226"/>
    <s v="USD"/>
    <n v="4226"/>
    <n v="400"/>
  </r>
  <r>
    <x v="433"/>
    <n v="9570"/>
    <s v="EUR"/>
    <n v="11101.199999999999"/>
    <n v="400"/>
  </r>
  <r>
    <x v="434"/>
    <n v="7395"/>
    <s v="EUR"/>
    <n v="8578.1999999999989"/>
    <n v="400"/>
  </r>
  <r>
    <x v="435"/>
    <n v="10756.12"/>
    <s v="USD"/>
    <n v="10756.12"/>
    <n v="400"/>
  </r>
  <r>
    <x v="435"/>
    <n v="23716"/>
    <s v="USD"/>
    <n v="23716"/>
    <n v="400"/>
  </r>
  <r>
    <x v="435"/>
    <n v="397.16"/>
    <s v="USD"/>
    <n v="397.16"/>
    <n v="400"/>
  </r>
  <r>
    <x v="436"/>
    <n v="2227.4"/>
    <s v="USD"/>
    <n v="2227.4"/>
    <n v="400"/>
  </r>
  <r>
    <x v="436"/>
    <n v="6061"/>
    <s v="USD"/>
    <n v="6061"/>
    <n v="400"/>
  </r>
  <r>
    <x v="436"/>
    <n v="51.6"/>
    <s v="USD"/>
    <n v="51.6"/>
    <n v="400"/>
  </r>
  <r>
    <x v="436"/>
    <n v="548"/>
    <s v="USD"/>
    <n v="548"/>
    <n v="400"/>
  </r>
  <r>
    <x v="437"/>
    <n v="18638.25"/>
    <s v="USD"/>
    <n v="18638.25"/>
    <n v="400"/>
  </r>
  <r>
    <x v="438"/>
    <n v="7230"/>
    <s v="EUR"/>
    <n v="8386.7999999999993"/>
    <n v="400"/>
  </r>
  <r>
    <x v="439"/>
    <n v="476"/>
    <s v="CHF"/>
    <n v="595"/>
    <n v="400"/>
  </r>
  <r>
    <x v="439"/>
    <n v="4276"/>
    <s v="CHF"/>
    <n v="5345"/>
    <n v="400"/>
  </r>
  <r>
    <x v="440"/>
    <n v="2915.89"/>
    <s v="USD"/>
    <n v="2915.89"/>
    <n v="400"/>
  </r>
  <r>
    <x v="440"/>
    <n v="2255.5"/>
    <s v="USD"/>
    <n v="2255.5"/>
    <n v="400"/>
  </r>
  <r>
    <x v="441"/>
    <n v="1920"/>
    <s v="EUR"/>
    <n v="2227.1999999999998"/>
    <n v="400"/>
  </r>
  <r>
    <x v="442"/>
    <n v="3010"/>
    <s v="EUR"/>
    <n v="3491.6"/>
    <n v="400"/>
  </r>
  <r>
    <x v="443"/>
    <n v="3000"/>
    <s v="USD"/>
    <n v="3000"/>
    <n v="400"/>
  </r>
  <r>
    <x v="443"/>
    <n v="4360.8"/>
    <s v="USD"/>
    <n v="4360.8"/>
    <n v="400"/>
  </r>
  <r>
    <x v="444"/>
    <n v="379735"/>
    <s v="JPY"/>
    <n v="2430.3040000000001"/>
    <n v="400"/>
  </r>
  <r>
    <x v="445"/>
    <n v="234825"/>
    <s v="JPY"/>
    <n v="1502.88"/>
    <n v="400"/>
  </r>
  <r>
    <x v="445"/>
    <n v="114250"/>
    <s v="JPY"/>
    <n v="731.2"/>
    <n v="400"/>
  </r>
  <r>
    <x v="446"/>
    <n v="1230.3"/>
    <s v="GPB"/>
    <n v="1648.6020000000001"/>
    <n v="400"/>
  </r>
  <r>
    <x v="447"/>
    <n v="283.3"/>
    <s v="USD"/>
    <n v="283.3"/>
    <n v="400"/>
  </r>
  <r>
    <x v="447"/>
    <n v="138.27000000000001"/>
    <s v="USD"/>
    <n v="138.27000000000001"/>
    <n v="400"/>
  </r>
  <r>
    <x v="448"/>
    <n v="1490.66"/>
    <s v="USD"/>
    <n v="1490.66"/>
    <n v="400"/>
  </r>
  <r>
    <x v="448"/>
    <n v="887.83"/>
    <s v="USD"/>
    <n v="887.83"/>
    <n v="400"/>
  </r>
  <r>
    <x v="448"/>
    <n v="11.4"/>
    <s v="USD"/>
    <n v="11.4"/>
    <n v="400"/>
  </r>
  <r>
    <x v="448"/>
    <n v="873.01"/>
    <s v="USD"/>
    <n v="873.01"/>
    <n v="400"/>
  </r>
  <r>
    <x v="448"/>
    <n v="749.21"/>
    <s v="USD"/>
    <n v="749.21"/>
    <n v="400"/>
  </r>
  <r>
    <x v="448"/>
    <n v="134.24"/>
    <s v="USD"/>
    <n v="134.24"/>
    <n v="400"/>
  </r>
  <r>
    <x v="448"/>
    <n v="959.68"/>
    <s v="USD"/>
    <n v="959.68"/>
    <n v="400"/>
  </r>
  <r>
    <x v="448"/>
    <n v="254"/>
    <s v="USD"/>
    <n v="254"/>
    <n v="400"/>
  </r>
  <r>
    <x v="448"/>
    <n v="231.4"/>
    <s v="USD"/>
    <n v="231.4"/>
    <n v="400"/>
  </r>
  <r>
    <x v="448"/>
    <n v="1208"/>
    <s v="USD"/>
    <n v="1208"/>
    <n v="400"/>
  </r>
  <r>
    <x v="448"/>
    <n v="597.05999999999995"/>
    <s v="USD"/>
    <n v="597.05999999999995"/>
    <n v="400"/>
  </r>
  <r>
    <x v="448"/>
    <n v="1540.34"/>
    <s v="USD"/>
    <n v="1540.34"/>
    <n v="400"/>
  </r>
  <r>
    <x v="449"/>
    <n v="1738.56"/>
    <s v="USD"/>
    <n v="1738.56"/>
    <n v="400"/>
  </r>
  <r>
    <x v="450"/>
    <n v="3630"/>
    <s v="EUR"/>
    <n v="4210.7999999999993"/>
    <n v="400"/>
  </r>
  <r>
    <x v="451"/>
    <n v="3528"/>
    <s v="EUR"/>
    <n v="4092.4799999999996"/>
    <n v="400"/>
  </r>
  <r>
    <x v="452"/>
    <n v="5000"/>
    <s v="GPB"/>
    <n v="6700"/>
    <n v="400"/>
  </r>
  <r>
    <x v="453"/>
    <n v="1221"/>
    <s v="EUR"/>
    <n v="1416.36"/>
    <n v="400"/>
  </r>
  <r>
    <x v="454"/>
    <n v="1158.04"/>
    <s v="EUR"/>
    <n v="1343.3263999999999"/>
    <n v="400"/>
  </r>
  <r>
    <x v="455"/>
    <n v="9570"/>
    <s v="EUR"/>
    <n v="11101.199999999999"/>
    <n v="400"/>
  </r>
  <r>
    <x v="456"/>
    <n v="200"/>
    <s v="EUR"/>
    <n v="231.99999999999997"/>
    <n v="400"/>
  </r>
  <r>
    <x v="457"/>
    <n v="7395"/>
    <s v="EUR"/>
    <n v="8578.1999999999989"/>
    <n v="400"/>
  </r>
  <r>
    <x v="458"/>
    <n v="1320000"/>
    <s v="JPY"/>
    <n v="8448"/>
    <n v="400"/>
  </r>
  <r>
    <x v="459"/>
    <n v="3017.44"/>
    <s v="USD"/>
    <n v="3017.44"/>
    <n v="400"/>
  </r>
  <r>
    <x v="460"/>
    <n v="2566.4"/>
    <s v="USD"/>
    <n v="2566.4"/>
    <n v="400"/>
  </r>
  <r>
    <x v="461"/>
    <n v="1515.02"/>
    <s v="USD"/>
    <n v="1515.02"/>
    <n v="400"/>
  </r>
  <r>
    <x v="462"/>
    <n v="1200"/>
    <s v="USD"/>
    <n v="1200"/>
    <n v="400"/>
  </r>
  <r>
    <x v="463"/>
    <n v="519550"/>
    <s v="JPY"/>
    <n v="3325.1200000000003"/>
    <n v="400"/>
  </r>
  <r>
    <x v="463"/>
    <n v="949950"/>
    <s v="JPY"/>
    <n v="6079.68"/>
    <n v="400"/>
  </r>
  <r>
    <x v="463"/>
    <n v="761205"/>
    <s v="JPY"/>
    <n v="4871.7120000000004"/>
    <n v="400"/>
  </r>
  <r>
    <x v="463"/>
    <n v="277264"/>
    <s v="JPY"/>
    <n v="1774.4896000000001"/>
    <n v="400"/>
  </r>
  <r>
    <x v="463"/>
    <n v="612174"/>
    <s v="JPY"/>
    <n v="3917.9136000000003"/>
    <n v="400"/>
  </r>
  <r>
    <x v="464"/>
    <n v="1815"/>
    <s v="USD"/>
    <n v="1815"/>
    <n v="400"/>
  </r>
  <r>
    <x v="464"/>
    <n v="2880"/>
    <s v="USD"/>
    <n v="2880"/>
    <n v="400"/>
  </r>
  <r>
    <x v="464"/>
    <n v="2670.08"/>
    <s v="USD"/>
    <n v="2670.08"/>
    <n v="400"/>
  </r>
  <r>
    <x v="464"/>
    <n v="1815"/>
    <s v="USD"/>
    <n v="1815"/>
    <n v="400"/>
  </r>
  <r>
    <x v="464"/>
    <n v="861.84"/>
    <s v="USD"/>
    <n v="861.84"/>
    <n v="400"/>
  </r>
  <r>
    <x v="464"/>
    <n v="1191.21"/>
    <s v="USD"/>
    <n v="1191.21"/>
    <n v="400"/>
  </r>
  <r>
    <x v="464"/>
    <n v="1180"/>
    <s v="USD"/>
    <n v="1180"/>
    <n v="400"/>
  </r>
  <r>
    <x v="464"/>
    <n v="861.84"/>
    <s v="USD"/>
    <n v="861.84"/>
    <n v="400"/>
  </r>
  <r>
    <x v="465"/>
    <n v="1928.28"/>
    <s v="EUR"/>
    <n v="2236.8047999999999"/>
    <n v="400"/>
  </r>
  <r>
    <x v="466"/>
    <n v="4760"/>
    <s v="USD"/>
    <n v="4760"/>
    <n v="400"/>
  </r>
  <r>
    <x v="467"/>
    <n v="1990"/>
    <s v="EUR"/>
    <n v="2308.3999999999996"/>
    <n v="400"/>
  </r>
  <r>
    <x v="468"/>
    <n v="260"/>
    <s v="USD"/>
    <n v="260"/>
    <n v="400"/>
  </r>
  <r>
    <x v="469"/>
    <n v="1980"/>
    <s v="USD"/>
    <n v="1980"/>
    <n v="400"/>
  </r>
  <r>
    <x v="470"/>
    <n v="5357.98"/>
    <s v="USD"/>
    <n v="5357.98"/>
    <n v="400"/>
  </r>
  <r>
    <x v="470"/>
    <n v="26.8"/>
    <s v="USD"/>
    <n v="26.8"/>
    <n v="400"/>
  </r>
  <r>
    <x v="471"/>
    <n v="691.98"/>
    <s v="USD"/>
    <n v="691.98"/>
    <n v="400"/>
  </r>
  <r>
    <x v="472"/>
    <n v="2724.75"/>
    <s v="USD"/>
    <n v="2724.75"/>
    <n v="400"/>
  </r>
  <r>
    <x v="473"/>
    <n v="418.75"/>
    <s v="USD"/>
    <n v="418.75"/>
    <n v="400"/>
  </r>
  <r>
    <x v="473"/>
    <n v="864.33"/>
    <s v="MXN"/>
    <n v="48.402480000000004"/>
    <n v="400"/>
  </r>
  <r>
    <x v="473"/>
    <n v="202.79"/>
    <s v="USD"/>
    <n v="202.79"/>
    <n v="400"/>
  </r>
  <r>
    <x v="473"/>
    <n v="234.76"/>
    <s v="USD"/>
    <n v="234.76"/>
    <n v="400"/>
  </r>
  <r>
    <x v="473"/>
    <n v="434.04"/>
    <s v="USD"/>
    <n v="434.04"/>
    <n v="400"/>
  </r>
  <r>
    <x v="473"/>
    <n v="187.98"/>
    <s v="USD"/>
    <n v="187.98"/>
    <n v="400"/>
  </r>
  <r>
    <x v="474"/>
    <n v="20000"/>
    <s v="USD"/>
    <n v="20000"/>
    <n v="400"/>
  </r>
  <r>
    <x v="475"/>
    <n v="10104"/>
    <s v="MXN"/>
    <n v="565.82399999999996"/>
    <n v="400"/>
  </r>
  <r>
    <x v="476"/>
    <n v="12606"/>
    <s v="MXN"/>
    <n v="705.93600000000004"/>
    <n v="400"/>
  </r>
  <r>
    <x v="477"/>
    <n v="940"/>
    <s v="USD"/>
    <n v="940"/>
    <n v="400"/>
  </r>
  <r>
    <x v="478"/>
    <n v="2016.88"/>
    <s v="USD"/>
    <n v="2016.88"/>
    <n v="400"/>
  </r>
  <r>
    <x v="478"/>
    <n v="3716.82"/>
    <s v="USD"/>
    <n v="3716.82"/>
    <n v="400"/>
  </r>
  <r>
    <x v="479"/>
    <n v="8228"/>
    <s v="USD"/>
    <n v="8228"/>
    <n v="400"/>
  </r>
  <r>
    <x v="480"/>
    <n v="4700"/>
    <s v="EUR"/>
    <n v="5452"/>
    <n v="400"/>
  </r>
  <r>
    <x v="481"/>
    <n v="2004.02"/>
    <s v="USD"/>
    <n v="2004.02"/>
    <n v="400"/>
  </r>
  <r>
    <x v="482"/>
    <n v="4956.01"/>
    <s v="USD"/>
    <n v="4956.01"/>
    <n v="400"/>
  </r>
  <r>
    <x v="483"/>
    <n v="5985"/>
    <s v="USD"/>
    <n v="5985"/>
    <n v="400"/>
  </r>
  <r>
    <x v="484"/>
    <n v="3216.56"/>
    <s v="EUR"/>
    <n v="3731.2095999999997"/>
    <n v="400"/>
  </r>
  <r>
    <x v="484"/>
    <n v="1320"/>
    <s v="EUR"/>
    <n v="1531.1999999999998"/>
    <n v="400"/>
  </r>
  <r>
    <x v="484"/>
    <n v="2775.92"/>
    <s v="EUR"/>
    <n v="3220.0672"/>
    <n v="400"/>
  </r>
  <r>
    <x v="484"/>
    <n v="2308.48"/>
    <s v="EUR"/>
    <n v="2677.8368"/>
    <n v="400"/>
  </r>
  <r>
    <x v="484"/>
    <n v="5050.07"/>
    <s v="EUR"/>
    <n v="5858.0811999999996"/>
    <n v="400"/>
  </r>
  <r>
    <x v="484"/>
    <n v="546"/>
    <s v="EUR"/>
    <n v="633.3599999999999"/>
    <n v="400"/>
  </r>
  <r>
    <x v="484"/>
    <n v="2693.94"/>
    <s v="EUR"/>
    <n v="3124.9703999999997"/>
    <n v="400"/>
  </r>
  <r>
    <x v="484"/>
    <n v="1157.2"/>
    <s v="EUR"/>
    <n v="1342.3519999999999"/>
    <n v="400"/>
  </r>
  <r>
    <x v="484"/>
    <n v="434.8"/>
    <s v="EUR"/>
    <n v="504.36799999999999"/>
    <n v="400"/>
  </r>
  <r>
    <x v="484"/>
    <n v="571"/>
    <s v="EUR"/>
    <n v="662.3599999999999"/>
    <n v="400"/>
  </r>
  <r>
    <x v="485"/>
    <n v="1876.62"/>
    <s v="USD"/>
    <n v="1876.62"/>
    <n v="400"/>
  </r>
  <r>
    <x v="486"/>
    <n v="937.27"/>
    <s v="USD"/>
    <n v="937.27"/>
    <n v="400"/>
  </r>
  <r>
    <x v="486"/>
    <n v="2171.46"/>
    <s v="USD"/>
    <n v="2171.46"/>
    <n v="400"/>
  </r>
  <r>
    <x v="487"/>
    <n v="929.01"/>
    <s v="USD"/>
    <n v="929.01"/>
    <n v="400"/>
  </r>
  <r>
    <x v="487"/>
    <n v="887.93"/>
    <s v="USD"/>
    <n v="887.93"/>
    <n v="400"/>
  </r>
  <r>
    <x v="488"/>
    <n v="3600"/>
    <s v="EUR"/>
    <n v="4176"/>
    <n v="400"/>
  </r>
  <r>
    <x v="488"/>
    <n v="13900"/>
    <s v="EUR"/>
    <n v="16123.999999999998"/>
    <n v="400"/>
  </r>
  <r>
    <x v="488"/>
    <n v="1536.89"/>
    <s v="EUR"/>
    <n v="1782.7924"/>
    <n v="400"/>
  </r>
  <r>
    <x v="489"/>
    <n v="2313.5"/>
    <s v="USD"/>
    <n v="2313.5"/>
    <n v="400"/>
  </r>
  <r>
    <x v="490"/>
    <n v="11383"/>
    <s v="USD"/>
    <n v="11383"/>
    <n v="400"/>
  </r>
  <r>
    <x v="491"/>
    <n v="2878"/>
    <s v="USD"/>
    <n v="2878"/>
    <n v="400"/>
  </r>
  <r>
    <x v="491"/>
    <n v="2552"/>
    <s v="USD"/>
    <n v="2552"/>
    <n v="400"/>
  </r>
  <r>
    <x v="491"/>
    <n v="1292.04"/>
    <s v="USD"/>
    <n v="1292.04"/>
    <n v="400"/>
  </r>
  <r>
    <x v="491"/>
    <n v="2288"/>
    <s v="USD"/>
    <n v="2288"/>
    <n v="400"/>
  </r>
  <r>
    <x v="491"/>
    <n v="296.55"/>
    <s v="USD"/>
    <n v="296.55"/>
    <n v="400"/>
  </r>
  <r>
    <x v="491"/>
    <n v="229.6"/>
    <s v="USD"/>
    <n v="229.6"/>
    <n v="400"/>
  </r>
  <r>
    <x v="491"/>
    <n v="600"/>
    <s v="USD"/>
    <n v="600"/>
    <n v="400"/>
  </r>
  <r>
    <x v="492"/>
    <n v="3081"/>
    <s v="GPB"/>
    <n v="4128.54"/>
    <n v="400"/>
  </r>
  <r>
    <x v="493"/>
    <n v="194.6"/>
    <s v="USD"/>
    <n v="194.6"/>
    <n v="400"/>
  </r>
  <r>
    <x v="494"/>
    <n v="825"/>
    <s v="EUR"/>
    <n v="956.99999999999989"/>
    <n v="400"/>
  </r>
  <r>
    <x v="494"/>
    <n v="497.65"/>
    <s v="EUR"/>
    <n v="577.27399999999989"/>
    <n v="400"/>
  </r>
  <r>
    <x v="494"/>
    <n v="683"/>
    <s v="EUR"/>
    <n v="792.28"/>
    <n v="400"/>
  </r>
  <r>
    <x v="494"/>
    <n v="412"/>
    <s v="EUR"/>
    <n v="477.91999999999996"/>
    <n v="400"/>
  </r>
  <r>
    <x v="495"/>
    <n v="32.799999999999997"/>
    <s v="USD"/>
    <n v="32.799999999999997"/>
    <n v="400"/>
  </r>
  <r>
    <x v="495"/>
    <n v="612.70000000000005"/>
    <s v="USD"/>
    <n v="612.70000000000005"/>
    <n v="400"/>
  </r>
  <r>
    <x v="496"/>
    <n v="459.39"/>
    <s v="USD"/>
    <n v="459.39"/>
    <n v="400"/>
  </r>
  <r>
    <x v="496"/>
    <n v="574.69000000000005"/>
    <s v="USD"/>
    <n v="574.69000000000005"/>
    <n v="400"/>
  </r>
  <r>
    <x v="497"/>
    <n v="3288.3"/>
    <s v="USD"/>
    <n v="3288.3"/>
    <n v="400"/>
  </r>
  <r>
    <x v="498"/>
    <n v="6460"/>
    <s v="EUR"/>
    <n v="7493.5999999999995"/>
    <n v="400"/>
  </r>
  <r>
    <x v="499"/>
    <n v="4070"/>
    <s v="EUR"/>
    <n v="4721.2"/>
    <n v="400"/>
  </r>
  <r>
    <x v="499"/>
    <n v="2750"/>
    <s v="EUR"/>
    <n v="3190"/>
    <n v="400"/>
  </r>
  <r>
    <x v="499"/>
    <n v="155"/>
    <s v="EUR"/>
    <n v="179.79999999999998"/>
    <n v="400"/>
  </r>
  <r>
    <x v="500"/>
    <n v="1008.96"/>
    <s v="USD"/>
    <n v="1008.96"/>
    <n v="400"/>
  </r>
  <r>
    <x v="500"/>
    <n v="364.8"/>
    <s v="USD"/>
    <n v="364.8"/>
    <n v="400"/>
  </r>
  <r>
    <x v="500"/>
    <n v="114"/>
    <s v="USD"/>
    <n v="114"/>
    <n v="400"/>
  </r>
  <r>
    <x v="500"/>
    <n v="12727.18"/>
    <s v="USD"/>
    <n v="12727.18"/>
    <n v="400"/>
  </r>
  <r>
    <x v="501"/>
    <n v="10314.799999999999"/>
    <s v="USD"/>
    <n v="10314.799999999999"/>
    <n v="400"/>
  </r>
  <r>
    <x v="501"/>
    <n v="8071.6"/>
    <s v="USD"/>
    <n v="8071.6"/>
    <n v="400"/>
  </r>
  <r>
    <x v="501"/>
    <n v="2234.15"/>
    <s v="USD"/>
    <n v="2234.15"/>
    <n v="400"/>
  </r>
  <r>
    <x v="501"/>
    <n v="2886.66"/>
    <s v="USD"/>
    <n v="2886.66"/>
    <n v="400"/>
  </r>
  <r>
    <x v="502"/>
    <n v="1130.9000000000001"/>
    <s v="USD"/>
    <n v="1130.9000000000001"/>
    <n v="400"/>
  </r>
  <r>
    <x v="503"/>
    <n v="1040"/>
    <s v="USD"/>
    <n v="1040"/>
    <n v="400"/>
  </r>
  <r>
    <x v="503"/>
    <n v="785"/>
    <s v="USD"/>
    <n v="785"/>
    <n v="400"/>
  </r>
  <r>
    <x v="504"/>
    <n v="260"/>
    <s v="USD"/>
    <n v="260"/>
    <n v="400"/>
  </r>
  <r>
    <x v="505"/>
    <n v="3915"/>
    <s v="USD"/>
    <n v="3915"/>
    <n v="400"/>
  </r>
  <r>
    <x v="506"/>
    <n v="796.16"/>
    <s v="USD"/>
    <n v="796.16"/>
    <n v="400"/>
  </r>
  <r>
    <x v="507"/>
    <n v="4605.71"/>
    <s v="USD"/>
    <n v="4605.71"/>
    <n v="400"/>
  </r>
  <r>
    <x v="507"/>
    <n v="5025.2299999999996"/>
    <s v="USD"/>
    <n v="5025.2299999999996"/>
    <n v="400"/>
  </r>
  <r>
    <x v="507"/>
    <n v="195"/>
    <s v="USD"/>
    <n v="195"/>
    <n v="400"/>
  </r>
  <r>
    <x v="508"/>
    <n v="10334.1"/>
    <s v="USD"/>
    <n v="10334.1"/>
    <n v="400"/>
  </r>
  <r>
    <x v="509"/>
    <n v="13614"/>
    <s v="USD"/>
    <n v="13614"/>
    <n v="400"/>
  </r>
  <r>
    <x v="509"/>
    <n v="3539.89"/>
    <s v="USD"/>
    <n v="3539.89"/>
    <n v="400"/>
  </r>
  <r>
    <x v="509"/>
    <n v="10773.58"/>
    <s v="USD"/>
    <n v="10773.58"/>
    <n v="400"/>
  </r>
  <r>
    <x v="509"/>
    <n v="1859.83"/>
    <s v="USD"/>
    <n v="1859.83"/>
    <n v="400"/>
  </r>
  <r>
    <x v="510"/>
    <n v="3780"/>
    <s v="CHF"/>
    <n v="4725"/>
    <n v="400"/>
  </r>
  <r>
    <x v="511"/>
    <n v="5625"/>
    <s v="EUR"/>
    <n v="6525"/>
    <n v="400"/>
  </r>
  <r>
    <x v="511"/>
    <n v="200"/>
    <s v="EUR"/>
    <n v="231.99999999999997"/>
    <n v="400"/>
  </r>
  <r>
    <x v="511"/>
    <n v="200"/>
    <s v="EUR"/>
    <n v="231.99999999999997"/>
    <n v="400"/>
  </r>
  <r>
    <x v="512"/>
    <n v="2439.8200000000002"/>
    <s v="USD"/>
    <n v="2439.8200000000002"/>
    <n v="400"/>
  </r>
  <r>
    <x v="512"/>
    <n v="5286"/>
    <s v="EUR"/>
    <n v="6131.7599999999993"/>
    <n v="400"/>
  </r>
  <r>
    <x v="513"/>
    <n v="12080"/>
    <s v="EUR"/>
    <n v="14012.8"/>
    <n v="400"/>
  </r>
  <r>
    <x v="514"/>
    <n v="35813"/>
    <s v="USD"/>
    <n v="35813"/>
    <n v="400"/>
  </r>
  <r>
    <x v="515"/>
    <n v="30166.35"/>
    <s v="MXN"/>
    <n v="1689.3155999999999"/>
    <n v="400"/>
  </r>
  <r>
    <x v="516"/>
    <n v="384.51"/>
    <s v="USD"/>
    <n v="384.51"/>
    <n v="400"/>
  </r>
  <r>
    <x v="517"/>
    <n v="1349"/>
    <s v="USD"/>
    <n v="1349"/>
    <n v="400"/>
  </r>
  <r>
    <x v="518"/>
    <n v="1396"/>
    <s v="USD"/>
    <n v="1396"/>
    <n v="400"/>
  </r>
  <r>
    <x v="519"/>
    <n v="854.4"/>
    <s v="USD"/>
    <n v="854.4"/>
    <n v="400"/>
  </r>
  <r>
    <x v="520"/>
    <n v="25262.06"/>
    <s v="USD"/>
    <n v="25262.06"/>
    <n v="400"/>
  </r>
  <r>
    <x v="520"/>
    <n v="17679.330000000002"/>
    <s v="USD"/>
    <n v="17679.330000000002"/>
    <n v="400"/>
  </r>
  <r>
    <x v="520"/>
    <n v="12479.69"/>
    <s v="USD"/>
    <n v="12479.69"/>
    <n v="400"/>
  </r>
  <r>
    <x v="520"/>
    <n v="14"/>
    <s v="USD"/>
    <n v="14"/>
    <n v="400"/>
  </r>
  <r>
    <x v="520"/>
    <n v="350"/>
    <s v="USD"/>
    <n v="350"/>
    <n v="400"/>
  </r>
  <r>
    <x v="520"/>
    <n v="2394"/>
    <s v="USD"/>
    <n v="2394"/>
    <n v="400"/>
  </r>
  <r>
    <x v="520"/>
    <n v="690"/>
    <s v="USD"/>
    <n v="690"/>
    <n v="400"/>
  </r>
  <r>
    <x v="521"/>
    <n v="6075"/>
    <s v="USD"/>
    <n v="6075"/>
    <n v="400"/>
  </r>
  <r>
    <x v="522"/>
    <n v="17512"/>
    <s v="USD"/>
    <n v="17512"/>
    <n v="400"/>
  </r>
  <r>
    <x v="523"/>
    <n v="9701.2199999999993"/>
    <s v="USD"/>
    <n v="9701.2199999999993"/>
    <n v="400"/>
  </r>
  <r>
    <x v="524"/>
    <n v="16650"/>
    <s v="USD"/>
    <n v="16650"/>
    <n v="400"/>
  </r>
  <r>
    <x v="525"/>
    <n v="2563.04"/>
    <s v="USD"/>
    <n v="2563.04"/>
    <n v="400"/>
  </r>
  <r>
    <x v="526"/>
    <n v="12516"/>
    <s v="USD"/>
    <n v="12516"/>
    <n v="400"/>
  </r>
  <r>
    <x v="527"/>
    <n v="5283.88"/>
    <s v="USD"/>
    <n v="5283.88"/>
    <n v="400"/>
  </r>
  <r>
    <x v="527"/>
    <n v="1896.15"/>
    <s v="USD"/>
    <n v="1896.15"/>
    <n v="400"/>
  </r>
  <r>
    <x v="527"/>
    <n v="1216.71"/>
    <s v="USD"/>
    <n v="1216.71"/>
    <n v="400"/>
  </r>
  <r>
    <x v="527"/>
    <n v="984.56"/>
    <s v="USD"/>
    <n v="984.56"/>
    <n v="400"/>
  </r>
  <r>
    <x v="527"/>
    <n v="235.01"/>
    <s v="USD"/>
    <n v="235.01"/>
    <n v="400"/>
  </r>
  <r>
    <x v="528"/>
    <n v="13542.1"/>
    <s v="USD"/>
    <n v="13542.1"/>
    <n v="400"/>
  </r>
  <r>
    <x v="528"/>
    <n v="3793.8"/>
    <s v="USD"/>
    <n v="3793.8"/>
    <n v="400"/>
  </r>
  <r>
    <x v="528"/>
    <n v="1721"/>
    <s v="USD"/>
    <n v="1721"/>
    <n v="400"/>
  </r>
  <r>
    <x v="528"/>
    <n v="140"/>
    <s v="USD"/>
    <n v="140"/>
    <n v="400"/>
  </r>
  <r>
    <x v="528"/>
    <n v="2996.9"/>
    <s v="USD"/>
    <n v="2996.9"/>
    <n v="400"/>
  </r>
  <r>
    <x v="529"/>
    <n v="3828"/>
    <s v="EUR"/>
    <n v="4440.4799999999996"/>
    <n v="400"/>
  </r>
  <r>
    <x v="529"/>
    <n v="1242"/>
    <s v="EUR"/>
    <n v="1440.7199999999998"/>
    <n v="400"/>
  </r>
  <r>
    <x v="530"/>
    <n v="1664"/>
    <s v="EUR"/>
    <n v="1930.2399999999998"/>
    <n v="400"/>
  </r>
  <r>
    <x v="530"/>
    <n v="589.04999999999995"/>
    <s v="EUR"/>
    <n v="683.29799999999989"/>
    <n v="400"/>
  </r>
  <r>
    <x v="531"/>
    <n v="2820"/>
    <s v="EUR"/>
    <n v="3271.2"/>
    <n v="400"/>
  </r>
  <r>
    <x v="531"/>
    <n v="2080"/>
    <s v="EUR"/>
    <n v="2412.7999999999997"/>
    <n v="400"/>
  </r>
  <r>
    <x v="531"/>
    <n v="1560"/>
    <s v="EUR"/>
    <n v="1809.6"/>
    <n v="400"/>
  </r>
  <r>
    <x v="531"/>
    <n v="1293.1199999999999"/>
    <s v="EUR"/>
    <n v="1500.0191999999997"/>
    <n v="400"/>
  </r>
  <r>
    <x v="531"/>
    <n v="1446.57"/>
    <s v="EUR"/>
    <n v="1678.0211999999999"/>
    <n v="400"/>
  </r>
  <r>
    <x v="532"/>
    <n v="8635.7000000000007"/>
    <s v="USD"/>
    <n v="8635.7000000000007"/>
    <n v="400"/>
  </r>
  <r>
    <x v="532"/>
    <n v="12070.1"/>
    <s v="USD"/>
    <n v="12070.1"/>
    <n v="400"/>
  </r>
  <r>
    <x v="533"/>
    <n v="6200"/>
    <s v="EUR"/>
    <n v="7191.9999999999991"/>
    <n v="400"/>
  </r>
  <r>
    <x v="533"/>
    <n v="6100"/>
    <s v="EUR"/>
    <n v="7075.9999999999991"/>
    <n v="400"/>
  </r>
  <r>
    <x v="533"/>
    <n v="2696.6"/>
    <s v="USD"/>
    <n v="2696.6"/>
    <n v="400"/>
  </r>
  <r>
    <x v="534"/>
    <n v="5283"/>
    <s v="USD"/>
    <n v="5283"/>
    <n v="400"/>
  </r>
  <r>
    <x v="534"/>
    <n v="4070.77"/>
    <s v="USD"/>
    <n v="4070.77"/>
    <n v="400"/>
  </r>
  <r>
    <x v="534"/>
    <n v="8485.1200000000008"/>
    <s v="USD"/>
    <n v="8485.1200000000008"/>
    <n v="400"/>
  </r>
  <r>
    <x v="534"/>
    <n v="937.34"/>
    <s v="USD"/>
    <n v="937.34"/>
    <n v="400"/>
  </r>
  <r>
    <x v="534"/>
    <n v="7188.4"/>
    <s v="USD"/>
    <n v="7188.4"/>
    <n v="400"/>
  </r>
  <r>
    <x v="534"/>
    <n v="2835"/>
    <s v="USD"/>
    <n v="2835"/>
    <n v="400"/>
  </r>
  <r>
    <x v="534"/>
    <n v="2690.76"/>
    <s v="USD"/>
    <n v="2690.76"/>
    <n v="400"/>
  </r>
  <r>
    <x v="535"/>
    <n v="224.7"/>
    <s v="USD"/>
    <n v="224.7"/>
    <n v="400"/>
  </r>
  <r>
    <x v="535"/>
    <n v="16.3"/>
    <s v="USD"/>
    <n v="16.3"/>
    <n v="400"/>
  </r>
  <r>
    <x v="535"/>
    <n v="144.4"/>
    <s v="USD"/>
    <n v="144.4"/>
    <n v="400"/>
  </r>
  <r>
    <x v="535"/>
    <n v="7851.91"/>
    <s v="USD"/>
    <n v="7851.91"/>
    <n v="400"/>
  </r>
  <r>
    <x v="535"/>
    <n v="7181.64"/>
    <s v="USD"/>
    <n v="7181.64"/>
    <n v="400"/>
  </r>
  <r>
    <x v="535"/>
    <n v="4800.01"/>
    <s v="USD"/>
    <n v="4800.01"/>
    <n v="400"/>
  </r>
  <r>
    <x v="535"/>
    <n v="1915.02"/>
    <s v="USD"/>
    <n v="1915.02"/>
    <n v="400"/>
  </r>
  <r>
    <x v="536"/>
    <n v="11714.05"/>
    <s v="USD"/>
    <n v="11714.05"/>
    <n v="400"/>
  </r>
  <r>
    <x v="537"/>
    <n v="13873.49"/>
    <s v="USD"/>
    <n v="13873.49"/>
    <n v="400"/>
  </r>
  <r>
    <x v="538"/>
    <n v="5199"/>
    <s v="USD"/>
    <n v="5199"/>
    <n v="400"/>
  </r>
  <r>
    <x v="538"/>
    <n v="3499"/>
    <s v="USD"/>
    <n v="3499"/>
    <n v="400"/>
  </r>
  <r>
    <x v="538"/>
    <n v="1750"/>
    <s v="USD"/>
    <n v="1750"/>
    <n v="400"/>
  </r>
  <r>
    <x v="539"/>
    <n v="27327"/>
    <s v="EUR"/>
    <n v="31699.319999999996"/>
    <n v="400"/>
  </r>
  <r>
    <x v="540"/>
    <n v="19620"/>
    <s v="MXN"/>
    <n v="1098.72"/>
    <n v="400"/>
  </r>
  <r>
    <x v="540"/>
    <n v="21952"/>
    <s v="MXN"/>
    <n v="1229.3120000000001"/>
    <n v="400"/>
  </r>
  <r>
    <x v="540"/>
    <n v="16238"/>
    <s v="MXN"/>
    <n v="909.32799999999997"/>
    <n v="400"/>
  </r>
  <r>
    <x v="541"/>
    <n v="6053.6"/>
    <s v="USD"/>
    <n v="6053.6"/>
    <n v="400"/>
  </r>
  <r>
    <x v="542"/>
    <n v="50104"/>
    <s v="USD"/>
    <n v="50104"/>
    <n v="400"/>
  </r>
  <r>
    <x v="542"/>
    <n v="28172"/>
    <s v="USD"/>
    <n v="28172"/>
    <n v="400"/>
  </r>
  <r>
    <x v="543"/>
    <n v="2161.96"/>
    <s v="USD"/>
    <n v="2161.96"/>
    <n v="400"/>
  </r>
  <r>
    <x v="543"/>
    <n v="1657.15"/>
    <s v="USD"/>
    <n v="1657.15"/>
    <n v="400"/>
  </r>
  <r>
    <x v="543"/>
    <n v="627.9"/>
    <s v="USD"/>
    <n v="627.9"/>
    <n v="400"/>
  </r>
  <r>
    <x v="544"/>
    <n v="1067.6400000000001"/>
    <s v="USD"/>
    <n v="1067.6400000000001"/>
    <n v="400"/>
  </r>
  <r>
    <x v="545"/>
    <n v="1002.1"/>
    <s v="EUR"/>
    <n v="1162.4359999999999"/>
    <n v="400"/>
  </r>
  <r>
    <x v="546"/>
    <n v="23457.45"/>
    <s v="USD"/>
    <n v="23457.45"/>
    <n v="400"/>
  </r>
  <r>
    <x v="547"/>
    <n v="239496.75"/>
    <s v="USD"/>
    <n v="239496.75"/>
    <n v="400"/>
  </r>
  <r>
    <x v="547"/>
    <n v="79832.25"/>
    <s v="USD"/>
    <n v="79832.25"/>
    <n v="400"/>
  </r>
  <r>
    <x v="547"/>
    <n v="39015"/>
    <s v="USD"/>
    <n v="39015"/>
    <n v="400"/>
  </r>
  <r>
    <x v="547"/>
    <n v="59961.1"/>
    <s v="USD"/>
    <n v="59961.1"/>
    <n v="400"/>
  </r>
  <r>
    <x v="548"/>
    <n v="17247.439999999999"/>
    <s v="USD"/>
    <n v="17247.439999999999"/>
    <n v="400"/>
  </r>
  <r>
    <x v="549"/>
    <n v="65660.42"/>
    <s v="USD"/>
    <n v="65660.42"/>
    <n v="400"/>
  </r>
  <r>
    <x v="550"/>
    <n v="1823"/>
    <s v="EUR"/>
    <n v="2114.6799999999998"/>
    <n v="400"/>
  </r>
  <r>
    <x v="551"/>
    <n v="5943.6"/>
    <s v="EUR"/>
    <n v="6894.576"/>
    <n v="400"/>
  </r>
  <r>
    <x v="552"/>
    <n v="266050"/>
    <s v="JPY"/>
    <n v="1702.72"/>
    <n v="400"/>
  </r>
  <r>
    <x v="552"/>
    <n v="266050"/>
    <s v="JPY"/>
    <n v="1702.72"/>
    <n v="400"/>
  </r>
  <r>
    <x v="552"/>
    <n v="427120"/>
    <s v="JPY"/>
    <n v="2733.5680000000002"/>
    <n v="400"/>
  </r>
  <r>
    <x v="553"/>
    <n v="266050"/>
    <s v="JPY"/>
    <n v="1702.72"/>
    <n v="400"/>
  </r>
  <r>
    <x v="553"/>
    <n v="937000"/>
    <s v="JPY"/>
    <n v="5996.8"/>
    <n v="400"/>
  </r>
  <r>
    <x v="553"/>
    <n v="1072341"/>
    <s v="JPY"/>
    <n v="6862.9824000000008"/>
    <n v="400"/>
  </r>
  <r>
    <x v="553"/>
    <n v="1007350"/>
    <s v="JPY"/>
    <n v="6447.04"/>
    <n v="400"/>
  </r>
  <r>
    <x v="553"/>
    <n v="152200"/>
    <s v="JPY"/>
    <n v="974.08"/>
    <n v="400"/>
  </r>
  <r>
    <x v="553"/>
    <n v="255000"/>
    <s v="JPY"/>
    <n v="1632"/>
    <n v="400"/>
  </r>
  <r>
    <x v="554"/>
    <n v="1159045.3999999999"/>
    <s v="JPY"/>
    <n v="7417.8905599999998"/>
    <n v="400"/>
  </r>
  <r>
    <x v="554"/>
    <n v="1674101"/>
    <s v="JPY"/>
    <n v="10714.2464"/>
    <n v="400"/>
  </r>
  <r>
    <x v="554"/>
    <n v="591428.6"/>
    <s v="JPY"/>
    <n v="3785.1430399999999"/>
    <n v="400"/>
  </r>
  <r>
    <x v="554"/>
    <n v="20359625"/>
    <s v="JPY"/>
    <n v="130301.6"/>
    <n v="400"/>
  </r>
  <r>
    <x v="554"/>
    <n v="617540"/>
    <s v="JPY"/>
    <n v="3952.2560000000003"/>
    <n v="400"/>
  </r>
  <r>
    <x v="555"/>
    <n v="5390.56"/>
    <s v="USD"/>
    <n v="5390.56"/>
    <n v="400"/>
  </r>
  <r>
    <x v="556"/>
    <n v="2010.96"/>
    <s v="USD"/>
    <n v="2010.96"/>
    <n v="400"/>
  </r>
  <r>
    <x v="556"/>
    <n v="199.8"/>
    <s v="USD"/>
    <n v="199.8"/>
    <n v="400"/>
  </r>
  <r>
    <x v="556"/>
    <n v="40"/>
    <s v="USD"/>
    <n v="40"/>
    <n v="400"/>
  </r>
  <r>
    <x v="556"/>
    <n v="3283.8"/>
    <s v="USD"/>
    <n v="3283.8"/>
    <n v="400"/>
  </r>
  <r>
    <x v="556"/>
    <n v="55754.02"/>
    <s v="USD"/>
    <n v="55754.02"/>
    <n v="400"/>
  </r>
  <r>
    <x v="556"/>
    <n v="27227.66"/>
    <s v="USD"/>
    <n v="27227.66"/>
    <n v="400"/>
  </r>
  <r>
    <x v="557"/>
    <n v="2839.71"/>
    <s v="USD"/>
    <n v="2839.71"/>
    <n v="400"/>
  </r>
  <r>
    <x v="557"/>
    <n v="5088.07"/>
    <s v="USD"/>
    <n v="5088.07"/>
    <n v="400"/>
  </r>
  <r>
    <x v="558"/>
    <n v="8424"/>
    <s v="USD"/>
    <n v="8424"/>
    <n v="400"/>
  </r>
  <r>
    <x v="559"/>
    <n v="4243.6000000000004"/>
    <s v="USD"/>
    <n v="4243.6000000000004"/>
    <n v="400"/>
  </r>
  <r>
    <x v="559"/>
    <n v="6262.4"/>
    <s v="USD"/>
    <n v="6262.4"/>
    <n v="400"/>
  </r>
  <r>
    <x v="559"/>
    <n v="367.99"/>
    <s v="USD"/>
    <n v="367.99"/>
    <n v="400"/>
  </r>
  <r>
    <x v="559"/>
    <n v="3352.14"/>
    <s v="USD"/>
    <n v="3352.14"/>
    <n v="400"/>
  </r>
  <r>
    <x v="559"/>
    <n v="3628.85"/>
    <s v="USD"/>
    <n v="3628.85"/>
    <n v="400"/>
  </r>
  <r>
    <x v="559"/>
    <n v="6176.87"/>
    <s v="USD"/>
    <n v="6176.87"/>
    <n v="400"/>
  </r>
  <r>
    <x v="559"/>
    <n v="11710.78"/>
    <s v="USD"/>
    <n v="11710.78"/>
    <n v="400"/>
  </r>
  <r>
    <x v="559"/>
    <n v="24.4"/>
    <s v="USD"/>
    <n v="24.4"/>
    <n v="400"/>
  </r>
  <r>
    <x v="559"/>
    <n v="210"/>
    <s v="USD"/>
    <n v="210"/>
    <n v="400"/>
  </r>
  <r>
    <x v="560"/>
    <n v="3925"/>
    <s v="GBP"/>
    <n v="5259.5"/>
    <n v="400"/>
  </r>
  <r>
    <x v="561"/>
    <n v="1413.59"/>
    <s v="EUR"/>
    <n v="1639.7643999999998"/>
    <n v="400"/>
  </r>
  <r>
    <x v="562"/>
    <n v="2740"/>
    <s v="USD"/>
    <n v="2740"/>
    <n v="400"/>
  </r>
  <r>
    <x v="562"/>
    <n v="6484.88"/>
    <s v="USD"/>
    <n v="6484.88"/>
    <n v="400"/>
  </r>
  <r>
    <x v="563"/>
    <n v="8690.08"/>
    <s v="USD"/>
    <n v="8690.08"/>
    <n v="400"/>
  </r>
  <r>
    <x v="563"/>
    <n v="1383.89"/>
    <s v="EUR"/>
    <n v="1605.3124"/>
    <n v="400"/>
  </r>
  <r>
    <x v="563"/>
    <n v="-3403"/>
    <s v="EUR"/>
    <n v="-3947.4799999999996"/>
    <n v="400"/>
  </r>
  <r>
    <x v="563"/>
    <n v="348.81"/>
    <s v="USD"/>
    <n v="348.81"/>
    <n v="400"/>
  </r>
  <r>
    <x v="564"/>
    <n v="4940.1000000000004"/>
    <s v="USD"/>
    <n v="4940.1000000000004"/>
    <n v="400"/>
  </r>
  <r>
    <x v="565"/>
    <n v="691.72"/>
    <s v="EUR"/>
    <n v="802.39519999999993"/>
    <n v="400"/>
  </r>
  <r>
    <x v="565"/>
    <n v="720"/>
    <s v="EUR"/>
    <n v="835.19999999999993"/>
    <n v="400"/>
  </r>
  <r>
    <x v="565"/>
    <n v="571"/>
    <s v="EUR"/>
    <n v="662.3599999999999"/>
    <n v="400"/>
  </r>
  <r>
    <x v="566"/>
    <n v="930"/>
    <s v="GBP"/>
    <n v="1246.2"/>
    <n v="400"/>
  </r>
  <r>
    <x v="567"/>
    <n v="1474"/>
    <s v="EUR"/>
    <n v="1709.84"/>
    <n v="400"/>
  </r>
  <r>
    <x v="567"/>
    <n v="3000"/>
    <s v="EUR"/>
    <n v="3479.9999999999995"/>
    <n v="400"/>
  </r>
  <r>
    <x v="568"/>
    <n v="11980.26"/>
    <s v="USD"/>
    <n v="11980.26"/>
    <n v="400"/>
  </r>
  <r>
    <x v="569"/>
    <n v="2351.04"/>
    <s v="USD"/>
    <n v="2351.04"/>
    <n v="400"/>
  </r>
  <r>
    <x v="569"/>
    <n v="32.4"/>
    <s v="USD"/>
    <n v="32.4"/>
    <n v="400"/>
  </r>
  <r>
    <x v="570"/>
    <n v="5300"/>
    <s v="USD"/>
    <n v="5300"/>
    <n v="400"/>
  </r>
  <r>
    <x v="571"/>
    <n v="937000"/>
    <s v="JPY"/>
    <n v="5996.8"/>
    <n v="400"/>
  </r>
  <r>
    <x v="571"/>
    <n v="181749"/>
    <s v="JPY"/>
    <n v="1163.1936000000001"/>
    <n v="400"/>
  </r>
  <r>
    <x v="571"/>
    <n v="426520"/>
    <s v="JPY"/>
    <n v="2729.7280000000001"/>
    <n v="400"/>
  </r>
  <r>
    <x v="571"/>
    <n v="107925"/>
    <s v="JPY"/>
    <n v="690.72"/>
    <n v="400"/>
  </r>
  <r>
    <x v="571"/>
    <n v="356665"/>
    <s v="JPY"/>
    <n v="2282.6559999999999"/>
    <n v="400"/>
  </r>
  <r>
    <x v="571"/>
    <n v="61120"/>
    <s v="JPY"/>
    <n v="391.16800000000001"/>
    <n v="400"/>
  </r>
  <r>
    <x v="571"/>
    <n v="162390"/>
    <s v="JPY"/>
    <n v="1039.296"/>
    <n v="400"/>
  </r>
  <r>
    <x v="572"/>
    <n v="858.4"/>
    <s v="USD"/>
    <n v="858.4"/>
    <n v="400"/>
  </r>
  <r>
    <x v="573"/>
    <n v="10075"/>
    <s v="MXN"/>
    <n v="564.20000000000005"/>
    <n v="400"/>
  </r>
  <r>
    <x v="574"/>
    <n v="1238.3"/>
    <s v="USD"/>
    <n v="1238.3"/>
    <n v="400"/>
  </r>
  <r>
    <x v="575"/>
    <n v="14262"/>
    <s v="USD"/>
    <n v="14262"/>
    <n v="400"/>
  </r>
  <r>
    <x v="576"/>
    <n v="1836.02"/>
    <s v="USD"/>
    <n v="1836.02"/>
    <n v="400"/>
  </r>
  <r>
    <x v="576"/>
    <n v="228.3"/>
    <s v="USD"/>
    <n v="228.3"/>
    <n v="400"/>
  </r>
  <r>
    <x v="576"/>
    <n v="940.2"/>
    <s v="USD"/>
    <n v="940.2"/>
    <n v="400"/>
  </r>
  <r>
    <x v="577"/>
    <n v="2770.61"/>
    <s v="USD"/>
    <n v="2770.61"/>
    <n v="400"/>
  </r>
  <r>
    <x v="578"/>
    <n v="6811"/>
    <s v="MXN"/>
    <n v="381.416"/>
    <n v="400"/>
  </r>
  <r>
    <x v="578"/>
    <n v="11108"/>
    <s v="MXN"/>
    <n v="622.048"/>
    <n v="400"/>
  </r>
  <r>
    <x v="579"/>
    <n v="442"/>
    <s v="EUR"/>
    <n v="512.71999999999991"/>
    <n v="400"/>
  </r>
  <r>
    <x v="580"/>
    <n v="45086"/>
    <s v="MXN"/>
    <n v="2524.8160000000003"/>
    <n v="400"/>
  </r>
  <r>
    <x v="580"/>
    <n v="17405"/>
    <s v="MXN"/>
    <n v="974.68000000000006"/>
    <n v="400"/>
  </r>
  <r>
    <x v="580"/>
    <n v="45086"/>
    <s v="MXN"/>
    <n v="2524.8160000000003"/>
    <n v="400"/>
  </r>
  <r>
    <x v="581"/>
    <n v="78804"/>
    <s v="MXN"/>
    <n v="4413.0240000000003"/>
    <n v="400"/>
  </r>
  <r>
    <x v="581"/>
    <n v="41188"/>
    <s v="MXN"/>
    <n v="2306.5280000000002"/>
    <n v="400"/>
  </r>
  <r>
    <x v="581"/>
    <n v="4400"/>
    <s v="MXN"/>
    <n v="246.4"/>
    <n v="400"/>
  </r>
  <r>
    <x v="582"/>
    <n v="6388.26"/>
    <s v="USD"/>
    <n v="6388.26"/>
    <n v="400"/>
  </r>
  <r>
    <x v="583"/>
    <n v="22902"/>
    <s v="USD"/>
    <n v="22902"/>
    <n v="400"/>
  </r>
  <r>
    <x v="584"/>
    <n v="26700.5"/>
    <s v="USD"/>
    <n v="26700.5"/>
    <n v="400"/>
  </r>
  <r>
    <x v="584"/>
    <n v="315"/>
    <s v="USD"/>
    <n v="315"/>
    <n v="400"/>
  </r>
  <r>
    <x v="585"/>
    <n v="1230"/>
    <s v="USD"/>
    <n v="1230"/>
    <n v="400"/>
  </r>
  <r>
    <x v="585"/>
    <n v="4591.37"/>
    <s v="USD"/>
    <n v="4591.37"/>
    <n v="400"/>
  </r>
  <r>
    <x v="586"/>
    <n v="1156.29"/>
    <s v="USD"/>
    <n v="1156.29"/>
    <n v="400"/>
  </r>
  <r>
    <x v="586"/>
    <n v="1662.46"/>
    <s v="USD"/>
    <n v="1662.46"/>
    <n v="400"/>
  </r>
  <r>
    <x v="587"/>
    <n v="40532"/>
    <s v="MXN"/>
    <n v="2269.7919999999999"/>
    <n v="400"/>
  </r>
  <r>
    <x v="588"/>
    <n v="6083.58"/>
    <s v="USD"/>
    <n v="6083.58"/>
    <n v="400"/>
  </r>
  <r>
    <x v="589"/>
    <n v="1869"/>
    <s v="USD"/>
    <n v="1869"/>
    <n v="400"/>
  </r>
  <r>
    <x v="589"/>
    <n v="852.9"/>
    <s v="USD"/>
    <n v="852.9"/>
    <n v="400"/>
  </r>
  <r>
    <x v="589"/>
    <n v="29262"/>
    <s v="USD"/>
    <n v="29262"/>
    <n v="400"/>
  </r>
  <r>
    <x v="590"/>
    <n v="1210.2"/>
    <s v="USD"/>
    <n v="1210.2"/>
    <n v="400"/>
  </r>
  <r>
    <x v="591"/>
    <n v="1314.25"/>
    <s v="USD"/>
    <n v="1314.25"/>
    <n v="400"/>
  </r>
  <r>
    <x v="591"/>
    <n v="3350.45"/>
    <s v="USD"/>
    <n v="3350.45"/>
    <n v="400"/>
  </r>
  <r>
    <x v="591"/>
    <n v="531.29"/>
    <s v="USD"/>
    <n v="531.29"/>
    <n v="400"/>
  </r>
  <r>
    <x v="592"/>
    <n v="12165.93"/>
    <s v="EUR"/>
    <n v="14112.478799999999"/>
    <n v="400"/>
  </r>
  <r>
    <x v="593"/>
    <n v="2954"/>
    <s v="USD"/>
    <n v="2954"/>
    <n v="400"/>
  </r>
  <r>
    <x v="594"/>
    <n v="1150.47"/>
    <s v="USD"/>
    <n v="1150.47"/>
    <n v="400"/>
  </r>
  <r>
    <x v="595"/>
    <n v="30677"/>
    <s v="USD"/>
    <n v="30677"/>
    <n v="400"/>
  </r>
  <r>
    <x v="595"/>
    <n v="9324.76"/>
    <s v="USD"/>
    <n v="9324.76"/>
    <n v="400"/>
  </r>
  <r>
    <x v="595"/>
    <n v="1900"/>
    <s v="USD"/>
    <n v="1900"/>
    <n v="400"/>
  </r>
  <r>
    <x v="595"/>
    <n v="2115"/>
    <s v="USD"/>
    <n v="2115"/>
    <n v="400"/>
  </r>
  <r>
    <x v="595"/>
    <n v="1512.8"/>
    <s v="USD"/>
    <n v="1512.8"/>
    <n v="400"/>
  </r>
  <r>
    <x v="595"/>
    <n v="2918.4"/>
    <s v="USD"/>
    <n v="2918.4"/>
    <n v="400"/>
  </r>
  <r>
    <x v="596"/>
    <n v="2206.02"/>
    <s v="USD"/>
    <n v="2206.02"/>
    <n v="400"/>
  </r>
  <r>
    <x v="597"/>
    <n v="39270.6"/>
    <s v="MXN"/>
    <n v="2199.1536000000001"/>
    <n v="400"/>
  </r>
  <r>
    <x v="598"/>
    <n v="8775"/>
    <s v="EUR"/>
    <n v="10179"/>
    <n v="400"/>
  </r>
  <r>
    <x v="599"/>
    <n v="9081"/>
    <s v="EUR"/>
    <n v="10533.96"/>
    <n v="400"/>
  </r>
  <r>
    <x v="600"/>
    <n v="6523.9"/>
    <s v="USD"/>
    <n v="6523.9"/>
    <n v="400"/>
  </r>
  <r>
    <x v="601"/>
    <n v="36400"/>
    <s v="USD"/>
    <n v="36400"/>
    <n v="400"/>
  </r>
  <r>
    <x v="602"/>
    <n v="10493"/>
    <s v="GBP"/>
    <n v="14060.62"/>
    <n v="400"/>
  </r>
  <r>
    <x v="603"/>
    <n v="275.92"/>
    <s v="EUR"/>
    <n v="320.06720000000001"/>
    <n v="400"/>
  </r>
  <r>
    <x v="604"/>
    <n v="263.72000000000003"/>
    <s v="USD"/>
    <n v="263.72000000000003"/>
    <n v="400"/>
  </r>
  <r>
    <x v="605"/>
    <n v="252.76"/>
    <s v="USD"/>
    <n v="252.76"/>
    <n v="400"/>
  </r>
  <r>
    <x v="605"/>
    <n v="35"/>
    <s v="USD"/>
    <n v="35"/>
    <n v="400"/>
  </r>
  <r>
    <x v="606"/>
    <n v="1055.3599999999999"/>
    <s v="USD"/>
    <n v="1055.3599999999999"/>
    <n v="400"/>
  </r>
  <r>
    <x v="606"/>
    <n v="2844.22"/>
    <s v="USD"/>
    <n v="2844.22"/>
    <n v="400"/>
  </r>
  <r>
    <x v="607"/>
    <n v="508.64"/>
    <s v="USD"/>
    <n v="508.64"/>
    <n v="400"/>
  </r>
  <r>
    <x v="608"/>
    <n v="10000"/>
    <s v="USD"/>
    <n v="10000"/>
    <n v="400"/>
  </r>
  <r>
    <x v="609"/>
    <n v="5281.02"/>
    <s v="USD"/>
    <n v="5281.02"/>
    <n v="400"/>
  </r>
  <r>
    <x v="610"/>
    <n v="7141.22"/>
    <s v="USD"/>
    <n v="7141.22"/>
    <n v="400"/>
  </r>
  <r>
    <x v="611"/>
    <n v="427120"/>
    <s v="JPY"/>
    <n v="2733.5680000000002"/>
    <n v="400"/>
  </r>
  <r>
    <x v="612"/>
    <n v="759.07"/>
    <s v="USD"/>
    <n v="759.07"/>
    <n v="400"/>
  </r>
  <r>
    <x v="613"/>
    <n v="5550906"/>
    <s v="MXN"/>
    <n v="310850.73600000003"/>
    <n v="400"/>
  </r>
  <r>
    <x v="614"/>
    <n v="4772.49"/>
    <s v="USD"/>
    <n v="4772.49"/>
    <n v="400"/>
  </r>
  <r>
    <x v="615"/>
    <n v="11918"/>
    <s v="USD"/>
    <n v="11918"/>
    <n v="400"/>
  </r>
  <r>
    <x v="615"/>
    <n v="1017.9"/>
    <s v="USD"/>
    <n v="1017.9"/>
    <n v="400"/>
  </r>
  <r>
    <x v="616"/>
    <n v="653.5"/>
    <s v="USD"/>
    <n v="653.5"/>
    <n v="400"/>
  </r>
  <r>
    <x v="617"/>
    <n v="6429.5"/>
    <s v="EUR"/>
    <n v="7458.2199999999993"/>
    <n v="400"/>
  </r>
  <r>
    <x v="618"/>
    <n v="16350.41"/>
    <s v="USD"/>
    <n v="16350.41"/>
    <n v="400"/>
  </r>
  <r>
    <x v="619"/>
    <n v="6818"/>
    <s v="USD"/>
    <n v="6818"/>
    <n v="400"/>
  </r>
  <r>
    <x v="620"/>
    <n v="1489.2"/>
    <s v="USD"/>
    <n v="1489.2"/>
    <n v="400"/>
  </r>
  <r>
    <x v="620"/>
    <n v="895.8"/>
    <s v="USD"/>
    <n v="895.8"/>
    <n v="400"/>
  </r>
  <r>
    <x v="620"/>
    <n v="4792.03"/>
    <s v="USD"/>
    <n v="4792.03"/>
    <n v="400"/>
  </r>
  <r>
    <x v="621"/>
    <n v="28856"/>
    <s v="MXN"/>
    <n v="1615.9359999999999"/>
    <n v="400"/>
  </r>
  <r>
    <x v="621"/>
    <n v="1368"/>
    <s v="MXN"/>
    <n v="76.608000000000004"/>
    <n v="400"/>
  </r>
  <r>
    <x v="621"/>
    <n v="1368"/>
    <s v="MXN"/>
    <n v="76.608000000000004"/>
    <n v="400"/>
  </r>
  <r>
    <x v="622"/>
    <n v="767.06"/>
    <s v="USD"/>
    <n v="767.06"/>
    <n v="400"/>
  </r>
  <r>
    <x v="623"/>
    <n v="13252"/>
    <s v="USD"/>
    <n v="13252"/>
    <n v="400"/>
  </r>
  <r>
    <x v="624"/>
    <n v="2058"/>
    <s v="USD"/>
    <n v="2058"/>
    <n v="400"/>
  </r>
  <r>
    <x v="625"/>
    <n v="299292.08"/>
    <s v="MXN"/>
    <n v="16760.356480000002"/>
    <n v="400"/>
  </r>
  <r>
    <x v="626"/>
    <n v="7520.6"/>
    <s v="USD"/>
    <n v="7520.6"/>
    <n v="400"/>
  </r>
  <r>
    <x v="627"/>
    <n v="16765"/>
    <s v="USD"/>
    <n v="16765"/>
    <n v="400"/>
  </r>
  <r>
    <x v="628"/>
    <n v="2533.7600000000002"/>
    <s v="USD"/>
    <n v="2533.7600000000002"/>
    <n v="400"/>
  </r>
  <r>
    <x v="628"/>
    <n v="2533.7600000000002"/>
    <s v="USD"/>
    <n v="2533.7600000000002"/>
    <n v="400"/>
  </r>
  <r>
    <x v="629"/>
    <n v="2533.7600000000002"/>
    <s v="USD"/>
    <n v="2533.7600000000002"/>
    <n v="400"/>
  </r>
  <r>
    <x v="630"/>
    <n v="2403.5"/>
    <s v="EUR"/>
    <n v="2788.06"/>
    <n v="400"/>
  </r>
  <r>
    <x v="631"/>
    <n v="1039.5"/>
    <s v="EUR"/>
    <n v="1205.82"/>
    <n v="400"/>
  </r>
  <r>
    <x v="632"/>
    <n v="136"/>
    <s v="EUR"/>
    <n v="157.76"/>
    <n v="400"/>
  </r>
  <r>
    <x v="633"/>
    <n v="3485"/>
    <s v="USD"/>
    <n v="3485"/>
    <n v="400"/>
  </r>
  <r>
    <x v="634"/>
    <n v="8443.83"/>
    <s v="USD"/>
    <n v="8443.83"/>
    <n v="400"/>
  </r>
  <r>
    <x v="634"/>
    <n v="6529.38"/>
    <s v="USD"/>
    <n v="6529.38"/>
    <n v="400"/>
  </r>
  <r>
    <x v="635"/>
    <n v="9492.4500000000007"/>
    <s v="USD"/>
    <n v="9492.4500000000007"/>
    <n v="400"/>
  </r>
  <r>
    <x v="635"/>
    <n v="21430"/>
    <s v="USD"/>
    <n v="21430"/>
    <n v="400"/>
  </r>
  <r>
    <x v="635"/>
    <n v="29184"/>
    <s v="USD"/>
    <n v="29184"/>
    <n v="400"/>
  </r>
  <r>
    <x v="636"/>
    <n v="20200"/>
    <s v="USD"/>
    <n v="20200"/>
    <n v="400"/>
  </r>
  <r>
    <x v="637"/>
    <n v="1155.8900000000001"/>
    <s v="USD"/>
    <n v="1155.8900000000001"/>
    <n v="400"/>
  </r>
  <r>
    <x v="638"/>
    <n v="1080"/>
    <s v="USD"/>
    <n v="1080"/>
    <n v="400"/>
  </r>
  <r>
    <x v="639"/>
    <n v="84200"/>
    <s v="MXN"/>
    <n v="4715.2"/>
    <n v="400"/>
  </r>
  <r>
    <x v="640"/>
    <n v="2308"/>
    <s v="GBP"/>
    <n v="3092.7200000000003"/>
    <n v="400"/>
  </r>
  <r>
    <x v="641"/>
    <n v="2464"/>
    <s v="GBP"/>
    <n v="3301.76"/>
    <n v="400"/>
  </r>
  <r>
    <x v="642"/>
    <n v="142.08000000000001"/>
    <s v="USD"/>
    <n v="142.08000000000001"/>
    <n v="400"/>
  </r>
  <r>
    <x v="643"/>
    <n v="3052"/>
    <s v="USD"/>
    <n v="3052"/>
    <n v="400"/>
  </r>
  <r>
    <x v="644"/>
    <n v="1685.86"/>
    <s v="USD"/>
    <n v="1685.86"/>
    <n v="400"/>
  </r>
  <r>
    <x v="645"/>
    <n v="582.66"/>
    <s v="USD"/>
    <n v="582.66"/>
    <n v="400"/>
  </r>
  <r>
    <x v="646"/>
    <n v="928.2"/>
    <s v="USD"/>
    <n v="928.2"/>
    <n v="400"/>
  </r>
  <r>
    <x v="646"/>
    <n v="725.12"/>
    <s v="USD"/>
    <n v="725.12"/>
    <n v="400"/>
  </r>
  <r>
    <x v="646"/>
    <n v="1229.4000000000001"/>
    <s v="USD"/>
    <n v="1229.4000000000001"/>
    <n v="400"/>
  </r>
  <r>
    <x v="646"/>
    <n v="3100"/>
    <s v="USD"/>
    <n v="3100"/>
    <n v="400"/>
  </r>
  <r>
    <x v="646"/>
    <n v="2635.8"/>
    <s v="USD"/>
    <n v="2635.8"/>
    <n v="400"/>
  </r>
  <r>
    <x v="646"/>
    <n v="1506.76"/>
    <s v="USD"/>
    <n v="1506.76"/>
    <n v="400"/>
  </r>
  <r>
    <x v="647"/>
    <n v="3702.8"/>
    <s v="USD"/>
    <n v="3702.8"/>
    <n v="400"/>
  </r>
  <r>
    <x v="647"/>
    <n v="6770"/>
    <s v="USD"/>
    <n v="6770"/>
    <n v="400"/>
  </r>
  <r>
    <x v="648"/>
    <n v="63072"/>
    <s v="USD"/>
    <n v="63072"/>
    <n v="400"/>
  </r>
  <r>
    <x v="649"/>
    <n v="2884.36"/>
    <s v="USD"/>
    <n v="2884.36"/>
    <n v="400"/>
  </r>
  <r>
    <x v="650"/>
    <n v="1869.4"/>
    <s v="USD"/>
    <n v="1869.4"/>
    <n v="400"/>
  </r>
  <r>
    <x v="650"/>
    <n v="12047.2"/>
    <s v="USD"/>
    <n v="12047.2"/>
    <n v="400"/>
  </r>
  <r>
    <x v="651"/>
    <n v="1707"/>
    <s v="USD"/>
    <n v="1707"/>
    <n v="400"/>
  </r>
  <r>
    <x v="652"/>
    <n v="2595"/>
    <s v="USD"/>
    <n v="2595"/>
    <n v="400"/>
  </r>
  <r>
    <x v="653"/>
    <n v="75618"/>
    <s v="USD"/>
    <n v="75618"/>
    <n v="400"/>
  </r>
  <r>
    <x v="654"/>
    <n v="2685"/>
    <s v="USD"/>
    <n v="2685"/>
    <n v="400"/>
  </r>
  <r>
    <x v="655"/>
    <n v="4363"/>
    <s v="USD"/>
    <n v="4363"/>
    <n v="400"/>
  </r>
  <r>
    <x v="656"/>
    <n v="33286.720000000001"/>
    <s v="USD"/>
    <n v="33286.720000000001"/>
    <n v="400"/>
  </r>
  <r>
    <x v="657"/>
    <n v="2320"/>
    <s v="EUR"/>
    <n v="2691.2"/>
    <n v="400"/>
  </r>
  <r>
    <x v="658"/>
    <n v="90124.479999999996"/>
    <s v="MXN"/>
    <n v="5046.9708799999999"/>
    <n v="400"/>
  </r>
  <r>
    <x v="659"/>
    <n v="2040"/>
    <s v="GBP"/>
    <n v="2733.6000000000004"/>
    <n v="400"/>
  </r>
  <r>
    <x v="660"/>
    <n v="11920.39"/>
    <s v="MXN"/>
    <n v="667.54183999999998"/>
    <n v="400"/>
  </r>
  <r>
    <x v="661"/>
    <n v="2523"/>
    <s v="USD"/>
    <n v="2523"/>
    <n v="400"/>
  </r>
  <r>
    <x v="662"/>
    <n v="6766"/>
    <s v="USD"/>
    <n v="6766"/>
    <n v="400"/>
  </r>
  <r>
    <x v="663"/>
    <n v="144"/>
    <s v="USD"/>
    <n v="144"/>
    <n v="400"/>
  </r>
  <r>
    <x v="664"/>
    <n v="380.04"/>
    <s v="EUR"/>
    <n v="440.84640000000002"/>
    <n v="400"/>
  </r>
  <r>
    <x v="664"/>
    <n v="6240.64"/>
    <s v="EUR"/>
    <n v="7239.1423999999997"/>
    <n v="400"/>
  </r>
  <r>
    <x v="665"/>
    <n v="845.12"/>
    <s v="USD"/>
    <n v="845.12"/>
    <n v="400"/>
  </r>
  <r>
    <x v="665"/>
    <n v="382.07"/>
    <s v="USD"/>
    <n v="382.07"/>
    <n v="400"/>
  </r>
  <r>
    <x v="666"/>
    <n v="5224"/>
    <s v="EUR"/>
    <n v="6059.8399999999992"/>
    <n v="400"/>
  </r>
  <r>
    <x v="667"/>
    <n v="5251"/>
    <s v="USD"/>
    <n v="5251"/>
    <n v="400"/>
  </r>
  <r>
    <x v="668"/>
    <n v="1201.26"/>
    <s v="USD"/>
    <n v="1201.26"/>
    <n v="400"/>
  </r>
  <r>
    <x v="669"/>
    <n v="13898.8"/>
    <s v="USD"/>
    <n v="13898.8"/>
    <n v="400"/>
  </r>
  <r>
    <x v="670"/>
    <n v="6573.9"/>
    <s v="USD"/>
    <n v="6573.9"/>
    <n v="400"/>
  </r>
  <r>
    <x v="671"/>
    <n v="8610"/>
    <s v="USD"/>
    <n v="8610"/>
    <n v="400"/>
  </r>
  <r>
    <x v="672"/>
    <n v="494.88"/>
    <s v="USD"/>
    <n v="494.88"/>
    <n v="400"/>
  </r>
  <r>
    <x v="673"/>
    <n v="7147.49"/>
    <s v="USD"/>
    <n v="7147.49"/>
    <n v="400"/>
  </r>
  <r>
    <x v="674"/>
    <n v="10503"/>
    <s v="EUR"/>
    <n v="12183.48"/>
    <n v="400"/>
  </r>
  <r>
    <x v="674"/>
    <n v="3663"/>
    <s v="EUR"/>
    <n v="4249.08"/>
    <n v="400"/>
  </r>
  <r>
    <x v="674"/>
    <n v="5840.44"/>
    <s v="EUR"/>
    <n v="6774.9103999999988"/>
    <n v="400"/>
  </r>
  <r>
    <x v="675"/>
    <n v="12022.15"/>
    <s v="USD"/>
    <n v="12022.15"/>
    <n v="400"/>
  </r>
  <r>
    <x v="676"/>
    <n v="219"/>
    <s v="USD"/>
    <n v="219"/>
    <n v="400"/>
  </r>
  <r>
    <x v="677"/>
    <n v="219"/>
    <s v="USD"/>
    <n v="219"/>
    <n v="400"/>
  </r>
  <r>
    <x v="678"/>
    <n v="76952"/>
    <s v="MXN"/>
    <n v="4309.3119999999999"/>
    <n v="400"/>
  </r>
  <r>
    <x v="679"/>
    <n v="9639"/>
    <s v="USD"/>
    <n v="9639"/>
    <n v="400"/>
  </r>
  <r>
    <x v="680"/>
    <n v="3300.7"/>
    <s v="USD"/>
    <n v="3300.7"/>
    <n v="400"/>
  </r>
  <r>
    <x v="681"/>
    <n v="2644"/>
    <s v="USD"/>
    <n v="2644"/>
    <n v="400"/>
  </r>
  <r>
    <x v="682"/>
    <n v="609.04999999999995"/>
    <s v="USD"/>
    <n v="609.04999999999995"/>
    <n v="400"/>
  </r>
  <r>
    <x v="682"/>
    <n v="777.94"/>
    <s v="EUR"/>
    <n v="902.41039999999998"/>
    <n v="400"/>
  </r>
  <r>
    <x v="683"/>
    <n v="5312"/>
    <s v="USD"/>
    <n v="5312"/>
    <n v="400"/>
  </r>
  <r>
    <x v="684"/>
    <n v="11118.81"/>
    <s v="USD"/>
    <n v="11118.81"/>
    <n v="400"/>
  </r>
  <r>
    <x v="684"/>
    <n v="11519.46"/>
    <s v="USD"/>
    <n v="11519.46"/>
    <n v="400"/>
  </r>
  <r>
    <x v="684"/>
    <n v="10304.83"/>
    <s v="USD"/>
    <n v="10304.83"/>
    <n v="400"/>
  </r>
  <r>
    <x v="684"/>
    <n v="6280.23"/>
    <s v="USD"/>
    <n v="6280.23"/>
    <n v="400"/>
  </r>
  <r>
    <x v="684"/>
    <n v="12025.58"/>
    <s v="USD"/>
    <n v="12025.58"/>
    <n v="400"/>
  </r>
  <r>
    <x v="684"/>
    <n v="5600.46"/>
    <s v="USD"/>
    <n v="5600.46"/>
    <n v="400"/>
  </r>
  <r>
    <x v="685"/>
    <n v="12996"/>
    <s v="USD"/>
    <n v="12996"/>
    <n v="400"/>
  </r>
  <r>
    <x v="686"/>
    <n v="619.35"/>
    <s v="CHF"/>
    <n v="774.1875"/>
    <n v="400"/>
  </r>
  <r>
    <x v="687"/>
    <n v="3000.27"/>
    <s v="USD"/>
    <n v="3000.27"/>
    <n v="400"/>
  </r>
  <r>
    <x v="688"/>
    <n v="591.29999999999995"/>
    <s v="USD"/>
    <n v="591.29999999999995"/>
    <n v="400"/>
  </r>
  <r>
    <x v="688"/>
    <n v="30"/>
    <s v="USD"/>
    <n v="30"/>
    <n v="400"/>
  </r>
  <r>
    <x v="689"/>
    <n v="5589"/>
    <s v="USD"/>
    <n v="5589"/>
    <n v="400"/>
  </r>
  <r>
    <x v="690"/>
    <n v="19008"/>
    <s v="USD"/>
    <n v="19008"/>
    <n v="400"/>
  </r>
  <r>
    <x v="691"/>
    <n v="2065"/>
    <s v="USD"/>
    <n v="2065"/>
    <n v="400"/>
  </r>
  <r>
    <x v="692"/>
    <n v="447.48"/>
    <s v="USD"/>
    <n v="447.48"/>
    <n v="400"/>
  </r>
  <r>
    <x v="693"/>
    <n v="7156.5"/>
    <s v="USD"/>
    <n v="7156.5"/>
    <n v="400"/>
  </r>
  <r>
    <x v="694"/>
    <n v="873"/>
    <s v="GBP"/>
    <n v="1169.8200000000002"/>
    <n v="400"/>
  </r>
  <r>
    <x v="695"/>
    <n v="3800"/>
    <s v="EUR"/>
    <n v="4408"/>
    <n v="400"/>
  </r>
  <r>
    <x v="696"/>
    <n v="9817"/>
    <s v="EUR"/>
    <n v="11387.72"/>
    <n v="400"/>
  </r>
  <r>
    <x v="697"/>
    <n v="74200"/>
    <s v="EUR"/>
    <n v="86072"/>
    <n v="400"/>
  </r>
  <r>
    <x v="698"/>
    <n v="1845.54"/>
    <s v="USD"/>
    <n v="1845.54"/>
    <n v="400"/>
  </r>
  <r>
    <x v="699"/>
    <n v="3014.1"/>
    <s v="USD"/>
    <n v="3014.1"/>
    <n v="400"/>
  </r>
  <r>
    <x v="700"/>
    <n v="8760"/>
    <s v="USD"/>
    <n v="8760"/>
    <n v="400"/>
  </r>
  <r>
    <x v="701"/>
    <n v="857.32"/>
    <s v="EUR"/>
    <n v="994.49119999999994"/>
    <n v="400"/>
  </r>
  <r>
    <x v="702"/>
    <n v="1897"/>
    <s v="USD"/>
    <n v="1897"/>
    <n v="400"/>
  </r>
  <r>
    <x v="703"/>
    <n v="394.37"/>
    <s v="USD"/>
    <n v="394.37"/>
    <n v="400"/>
  </r>
  <r>
    <x v="703"/>
    <n v="394.37"/>
    <s v="USD"/>
    <n v="394.37"/>
    <n v="400"/>
  </r>
  <r>
    <x v="704"/>
    <n v="708.8"/>
    <s v="USD"/>
    <n v="708.8"/>
    <n v="400"/>
  </r>
  <r>
    <x v="705"/>
    <n v="403.6"/>
    <s v="USD"/>
    <n v="403.6"/>
    <n v="400"/>
  </r>
  <r>
    <x v="705"/>
    <n v="321.36"/>
    <s v="USD"/>
    <n v="321.36"/>
    <n v="400"/>
  </r>
  <r>
    <x v="705"/>
    <n v="355.99"/>
    <s v="USD"/>
    <n v="355.99"/>
    <n v="400"/>
  </r>
  <r>
    <x v="705"/>
    <n v="57.83"/>
    <s v="USD"/>
    <n v="57.83"/>
    <n v="400"/>
  </r>
  <r>
    <x v="705"/>
    <n v="161.97999999999999"/>
    <s v="USD"/>
    <n v="161.97999999999999"/>
    <n v="400"/>
  </r>
  <r>
    <x v="705"/>
    <n v="1327.06"/>
    <s v="USD"/>
    <n v="1327.06"/>
    <n v="400"/>
  </r>
  <r>
    <x v="705"/>
    <n v="925.4"/>
    <s v="USD"/>
    <n v="925.4"/>
    <n v="400"/>
  </r>
  <r>
    <x v="706"/>
    <n v="479.12"/>
    <s v="EUR"/>
    <n v="555.77919999999995"/>
    <n v="400"/>
  </r>
  <r>
    <x v="707"/>
    <n v="1700"/>
    <s v="USD"/>
    <n v="1700"/>
    <n v="400"/>
  </r>
  <r>
    <x v="707"/>
    <n v="4217.79"/>
    <s v="USD"/>
    <n v="4217.79"/>
    <n v="400"/>
  </r>
  <r>
    <x v="708"/>
    <n v="4554.75"/>
    <s v="USD"/>
    <n v="4554.75"/>
    <n v="400"/>
  </r>
  <r>
    <x v="709"/>
    <n v="21042.880000000001"/>
    <s v="USD"/>
    <n v="21042.880000000001"/>
    <n v="400"/>
  </r>
  <r>
    <x v="710"/>
    <n v="11627"/>
    <s v="USD"/>
    <n v="11627"/>
    <n v="400"/>
  </r>
  <r>
    <x v="711"/>
    <n v="1551.89"/>
    <s v="USD"/>
    <n v="1551.89"/>
    <n v="400"/>
  </r>
  <r>
    <x v="711"/>
    <n v="1551.89"/>
    <s v="USD"/>
    <n v="1551.89"/>
    <n v="400"/>
  </r>
  <r>
    <x v="711"/>
    <n v="1551.89"/>
    <s v="USD"/>
    <n v="1551.89"/>
    <n v="400"/>
  </r>
  <r>
    <x v="712"/>
    <n v="59189"/>
    <s v="USD"/>
    <n v="59189"/>
    <n v="400"/>
  </r>
  <r>
    <x v="713"/>
    <n v="37192"/>
    <s v="USD"/>
    <n v="37192"/>
    <n v="400"/>
  </r>
  <r>
    <x v="714"/>
    <n v="75616.02"/>
    <s v="MXN"/>
    <n v="4234.49712"/>
    <n v="400"/>
  </r>
  <r>
    <x v="715"/>
    <n v="33078"/>
    <s v="MXN"/>
    <n v="1852.3679999999999"/>
    <n v="400"/>
  </r>
  <r>
    <x v="715"/>
    <n v="18738"/>
    <s v="MXN"/>
    <n v="1049.328"/>
    <n v="400"/>
  </r>
  <r>
    <x v="716"/>
    <n v="12974"/>
    <s v="EUR"/>
    <n v="15049.839999999998"/>
    <n v="400"/>
  </r>
  <r>
    <x v="717"/>
    <n v="9926.68"/>
    <s v="MXN"/>
    <n v="555.89408000000003"/>
    <n v="400"/>
  </r>
  <r>
    <x v="717"/>
    <n v="12701.27"/>
    <s v="USD"/>
    <n v="12701.27"/>
    <n v="400"/>
  </r>
  <r>
    <x v="718"/>
    <n v="5038.09"/>
    <s v="EUR"/>
    <n v="5844.1844000000001"/>
    <n v="400"/>
  </r>
  <r>
    <x v="719"/>
    <n v="445455"/>
    <s v="MXN"/>
    <n v="24945.48"/>
    <n v="400"/>
  </r>
  <r>
    <x v="719"/>
    <n v="126560"/>
    <s v="MXN"/>
    <n v="7087.3600000000006"/>
    <n v="400"/>
  </r>
  <r>
    <x v="719"/>
    <n v="103373"/>
    <s v="MXN"/>
    <n v="5788.8879999999999"/>
    <n v="400"/>
  </r>
  <r>
    <x v="720"/>
    <n v="4147.5"/>
    <s v="USD"/>
    <n v="4147.5"/>
    <n v="400"/>
  </r>
  <r>
    <x v="721"/>
    <n v="14916"/>
    <s v="USD"/>
    <n v="14916"/>
    <n v="400"/>
  </r>
  <r>
    <x v="721"/>
    <n v="61600"/>
    <s v="USD"/>
    <n v="61600"/>
    <n v="400"/>
  </r>
  <r>
    <x v="722"/>
    <n v="75072"/>
    <s v="MXN"/>
    <n v="4204.0320000000002"/>
    <n v="400"/>
  </r>
  <r>
    <x v="723"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2">
  <r>
    <n v="2"/>
    <s v="USD"/>
    <n v="11800"/>
    <n v="10148"/>
    <n v="11800"/>
    <n v="11800"/>
    <n v="10148"/>
    <n v="11800"/>
    <n v="0"/>
    <n v="0"/>
    <d v="2024-12-20T00:00:00"/>
    <d v="2024-11-20T00:00:00"/>
    <x v="0"/>
    <x v="0"/>
  </r>
  <r>
    <n v="3"/>
    <s v="EUR"/>
    <n v="0"/>
    <n v="0"/>
    <n v="0"/>
    <n v="3400"/>
    <n v="3400"/>
    <n v="3943.9999999999995"/>
    <n v="0"/>
    <n v="0"/>
    <d v="2024-10-03T00:00:00"/>
    <d v="2024-09-03T00:00:00"/>
    <x v="1"/>
    <x v="0"/>
  </r>
  <r>
    <n v="4"/>
    <s v="MXN"/>
    <n v="0"/>
    <n v="0"/>
    <n v="0"/>
    <n v="354545.26"/>
    <n v="17018.172480000001"/>
    <n v="19854.53456"/>
    <n v="0"/>
    <n v="0"/>
    <d v="2024-12-15T00:00:00"/>
    <d v="2024-11-15T00:00:00"/>
    <x v="0"/>
    <x v="0"/>
  </r>
  <r>
    <n v="6"/>
    <s v="EUR"/>
    <n v="7589.4700000000012"/>
    <n v="7589.4700000000012"/>
    <n v="8803.7852000000003"/>
    <n v="18389.47"/>
    <n v="18389.47"/>
    <n v="21331.785199999998"/>
    <n v="0"/>
    <n v="0"/>
    <d v="2024-10-02T00:00:00"/>
    <d v="2024-09-02T00:00:00"/>
    <x v="1"/>
    <x v="0"/>
  </r>
  <r>
    <n v="7"/>
    <s v="EUR"/>
    <n v="50238.48000000001"/>
    <n v="50238.48000000001"/>
    <n v="58276.636800000007"/>
    <n v="182190.48"/>
    <n v="182190.48"/>
    <n v="211340.95679999999"/>
    <n v="0"/>
    <n v="0"/>
    <d v="2024-11-05T00:00:00"/>
    <d v="2024-10-06T00:00:00"/>
    <x v="2"/>
    <x v="0"/>
  </r>
  <r>
    <n v="8"/>
    <s v="EUR"/>
    <n v="6473.42"/>
    <n v="6473.42"/>
    <n v="7509.1671999999999"/>
    <n v="6473.42"/>
    <n v="6473.42"/>
    <n v="7509.1671999999999"/>
    <n v="0"/>
    <n v="0"/>
    <d v="2024-10-14T00:00:00"/>
    <d v="2024-09-14T00:00:00"/>
    <x v="1"/>
    <x v="0"/>
  </r>
  <r>
    <n v="9"/>
    <s v="USD"/>
    <n v="33759.29"/>
    <n v="29032.989399999999"/>
    <n v="33759.29"/>
    <n v="38649.61"/>
    <n v="33238.664599999996"/>
    <n v="38649.61"/>
    <n v="0"/>
    <n v="0"/>
    <d v="2024-12-27T00:00:00"/>
    <d v="2024-11-27T00:00:00"/>
    <x v="0"/>
    <x v="0"/>
  </r>
  <r>
    <n v="10"/>
    <s v="USD"/>
    <n v="1455.62"/>
    <n v="1251.8331999999998"/>
    <n v="1455.62"/>
    <n v="1455.62"/>
    <n v="1251.8331999999998"/>
    <n v="1455.62"/>
    <n v="0"/>
    <n v="0"/>
    <d v="2024-12-27T00:00:00"/>
    <d v="2024-11-27T00:00:00"/>
    <x v="0"/>
    <x v="0"/>
  </r>
  <r>
    <n v="11"/>
    <s v="USD"/>
    <n v="847.43999999999994"/>
    <n v="728.7983999999999"/>
    <n v="847.43999999999994"/>
    <n v="1652.27"/>
    <n v="1420.9521999999999"/>
    <n v="1652.27"/>
    <n v="0"/>
    <n v="0"/>
    <d v="2024-12-29T00:00:00"/>
    <d v="2024-11-29T00:00:00"/>
    <x v="0"/>
    <x v="0"/>
  </r>
  <r>
    <n v="12"/>
    <s v="EUR"/>
    <n v="5408.9599999999991"/>
    <n v="5408.9599999999991"/>
    <n v="6274.3935999999985"/>
    <n v="31905.85"/>
    <n v="31905.85"/>
    <n v="37010.785999999993"/>
    <n v="0"/>
    <n v="0"/>
    <d v="2024-12-18T00:00:00"/>
    <d v="2024-11-18T00:00:00"/>
    <x v="0"/>
    <x v="0"/>
  </r>
  <r>
    <n v="13"/>
    <s v="USD"/>
    <n v="6490.08"/>
    <n v="5581.4687999999996"/>
    <n v="6490.08"/>
    <n v="6490.08"/>
    <n v="5581.4687999999996"/>
    <n v="6490.08"/>
    <n v="0"/>
    <n v="0"/>
    <d v="2024-11-22T00:00:00"/>
    <d v="2024-10-23T00:00:00"/>
    <x v="2"/>
    <x v="0"/>
  </r>
  <r>
    <n v="14"/>
    <s v="USD"/>
    <n v="53274.47"/>
    <n v="45816.044200000004"/>
    <n v="53274.47"/>
    <n v="53274.47"/>
    <n v="45816.044200000004"/>
    <n v="53274.47"/>
    <n v="0"/>
    <n v="0"/>
    <d v="2025-11-03T00:00:00"/>
    <d v="2025-10-04T00:00:00"/>
    <x v="2"/>
    <x v="1"/>
  </r>
  <r>
    <n v="15"/>
    <s v="USD"/>
    <n v="0"/>
    <n v="0"/>
    <n v="0"/>
    <n v="2327"/>
    <n v="2001.22"/>
    <n v="2327"/>
    <n v="0"/>
    <n v="0"/>
    <d v="2024-10-24T00:00:00"/>
    <d v="2024-09-24T00:00:00"/>
    <x v="1"/>
    <x v="0"/>
  </r>
  <r>
    <n v="16"/>
    <s v="USD"/>
    <n v="2650.17"/>
    <n v="2279.1462000000001"/>
    <n v="2650.17"/>
    <n v="6385.17"/>
    <n v="5491.2461999999996"/>
    <n v="6385.17"/>
    <n v="0"/>
    <n v="0"/>
    <d v="2024-11-26T00:00:00"/>
    <d v="2024-10-27T00:00:00"/>
    <x v="2"/>
    <x v="0"/>
  </r>
  <r>
    <n v="17"/>
    <s v="EUR"/>
    <n v="0"/>
    <n v="0"/>
    <n v="0"/>
    <n v="1590"/>
    <n v="1590"/>
    <n v="1844.3999999999999"/>
    <n v="0"/>
    <n v="0"/>
    <d v="2024-10-24T00:00:00"/>
    <d v="2024-09-24T00:00:00"/>
    <x v="1"/>
    <x v="0"/>
  </r>
  <r>
    <n v="18"/>
    <s v="USD"/>
    <n v="14493.36"/>
    <n v="12464.2896"/>
    <n v="14493.36"/>
    <n v="14493.36"/>
    <n v="12464.2896"/>
    <n v="14493.36"/>
    <n v="0"/>
    <n v="0"/>
    <d v="2024-10-26T00:00:00"/>
    <d v="2024-09-26T00:00:00"/>
    <x v="1"/>
    <x v="0"/>
  </r>
  <r>
    <n v="19"/>
    <s v="USD"/>
    <n v="0"/>
    <n v="0"/>
    <n v="0"/>
    <n v="1560"/>
    <n v="1341.6"/>
    <n v="1560"/>
    <n v="0"/>
    <n v="0"/>
    <d v="2024-11-02T00:00:00"/>
    <d v="2024-10-03T00:00:00"/>
    <x v="2"/>
    <x v="0"/>
  </r>
  <r>
    <n v="20"/>
    <s v="USD"/>
    <n v="0"/>
    <n v="0"/>
    <n v="0"/>
    <n v="803"/>
    <n v="690.58"/>
    <n v="803"/>
    <n v="0"/>
    <n v="0"/>
    <d v="2024-11-01T00:00:00"/>
    <d v="2024-10-02T00:00:00"/>
    <x v="2"/>
    <x v="0"/>
  </r>
  <r>
    <n v="21"/>
    <s v="USD"/>
    <n v="9852.2199999999993"/>
    <n v="8472.9092000000001"/>
    <n v="9852.2199999999993"/>
    <n v="9852.2199999999993"/>
    <n v="8472.9092000000001"/>
    <n v="9852.2199999999993"/>
    <n v="0"/>
    <n v="0"/>
    <d v="2024-10-31T00:00:00"/>
    <d v="2024-10-01T00:00:00"/>
    <x v="2"/>
    <x v="0"/>
  </r>
  <r>
    <n v="22"/>
    <s v="EUR"/>
    <n v="0"/>
    <n v="0"/>
    <n v="0"/>
    <n v="15077.2"/>
    <n v="15077.2"/>
    <n v="17489.552"/>
    <n v="0"/>
    <n v="0"/>
    <d v="2024-07-02T00:00:00"/>
    <d v="2024-06-02T00:00:00"/>
    <x v="3"/>
    <x v="0"/>
  </r>
  <r>
    <n v="23"/>
    <s v="EUR"/>
    <n v="6357.14"/>
    <n v="6357.14"/>
    <n v="7374.2824000000001"/>
    <n v="6357.14"/>
    <n v="6357.14"/>
    <n v="7374.2824000000001"/>
    <n v="0"/>
    <n v="0"/>
    <d v="2024-12-26T00:00:00"/>
    <d v="2024-11-26T00:00:00"/>
    <x v="0"/>
    <x v="0"/>
  </r>
  <r>
    <n v="24"/>
    <s v="USD"/>
    <n v="35"/>
    <n v="30.099999999999998"/>
    <n v="35"/>
    <n v="653.86"/>
    <n v="562.31960000000004"/>
    <n v="653.86"/>
    <n v="0"/>
    <n v="0"/>
    <d v="2024-12-04T00:00:00"/>
    <d v="2024-11-04T00:00:00"/>
    <x v="0"/>
    <x v="0"/>
  </r>
  <r>
    <n v="25"/>
    <s v="EUR"/>
    <n v="6500"/>
    <n v="6500"/>
    <n v="7539.9999999999991"/>
    <n v="6500"/>
    <n v="6500"/>
    <n v="7539.9999999999991"/>
    <n v="0"/>
    <n v="0"/>
    <d v="2024-12-25T00:00:00"/>
    <d v="2024-11-25T00:00:00"/>
    <x v="0"/>
    <x v="0"/>
  </r>
  <r>
    <n v="26"/>
    <s v="USD"/>
    <n v="3340.3899999999994"/>
    <n v="2872.7353999999996"/>
    <n v="3340.3899999999994"/>
    <n v="9724.9699999999993"/>
    <n v="8363.4741999999987"/>
    <n v="9724.9699999999993"/>
    <n v="0"/>
    <n v="0"/>
    <d v="2024-11-27T00:00:00"/>
    <d v="2024-10-28T00:00:00"/>
    <x v="2"/>
    <x v="0"/>
  </r>
  <r>
    <n v="27"/>
    <s v="USD"/>
    <n v="8157.25"/>
    <n v="7015.2349999999997"/>
    <n v="8157.25"/>
    <n v="8157.25"/>
    <n v="7015.2349999999997"/>
    <n v="8157.25"/>
    <n v="0"/>
    <n v="0"/>
    <d v="2024-11-30T00:00:00"/>
    <d v="2024-10-31T00:00:00"/>
    <x v="2"/>
    <x v="0"/>
  </r>
  <r>
    <n v="28"/>
    <s v="USD"/>
    <n v="14840.23"/>
    <n v="12762.5978"/>
    <n v="14840.23"/>
    <n v="18964.32"/>
    <n v="16309.315199999999"/>
    <n v="18964.32"/>
    <n v="0"/>
    <n v="0"/>
    <d v="2025-05-15T00:00:00"/>
    <d v="2025-04-15T00:00:00"/>
    <x v="4"/>
    <x v="1"/>
  </r>
  <r>
    <n v="29"/>
    <s v="USD"/>
    <n v="0"/>
    <n v="0"/>
    <n v="0"/>
    <n v="4785.04"/>
    <n v="4115.1343999999999"/>
    <n v="4785.04"/>
    <n v="0"/>
    <n v="0"/>
    <d v="2024-11-20T00:00:00"/>
    <d v="2024-10-21T00:00:00"/>
    <x v="2"/>
    <x v="0"/>
  </r>
  <r>
    <n v="30"/>
    <s v="EUR"/>
    <n v="0"/>
    <n v="0"/>
    <n v="0"/>
    <n v="8563.26"/>
    <n v="8563.26"/>
    <n v="9933.3815999999988"/>
    <n v="0"/>
    <n v="0"/>
    <d v="2024-10-12T00:00:00"/>
    <d v="2024-09-12T00:00:00"/>
    <x v="1"/>
    <x v="0"/>
  </r>
  <r>
    <n v="31"/>
    <s v="EUR"/>
    <n v="21963.48"/>
    <n v="21963.48"/>
    <n v="25477.636799999997"/>
    <n v="21963.48"/>
    <n v="21963.48"/>
    <n v="25477.636799999997"/>
    <n v="0"/>
    <n v="0"/>
    <d v="2024-11-12T00:00:00"/>
    <d v="2024-10-13T00:00:00"/>
    <x v="2"/>
    <x v="0"/>
  </r>
  <r>
    <n v="32"/>
    <s v="USD"/>
    <n v="15253.98"/>
    <n v="13118.4228"/>
    <n v="15253.98"/>
    <n v="15253.98"/>
    <n v="13118.4228"/>
    <n v="15253.98"/>
    <n v="0"/>
    <n v="0"/>
    <d v="2024-12-26T00:00:00"/>
    <d v="2024-11-26T00:00:00"/>
    <x v="0"/>
    <x v="0"/>
  </r>
  <r>
    <n v="33"/>
    <s v="USD"/>
    <n v="58001.29"/>
    <n v="49881.109400000001"/>
    <n v="58001.29"/>
    <n v="59502.97"/>
    <n v="51172.554199999999"/>
    <n v="59502.97"/>
    <n v="-2.2737367544323206E-13"/>
    <n v="-2.2737367544323206E-13"/>
    <d v="2025-03-06T00:00:00"/>
    <d v="2025-02-04T00:00:00"/>
    <x v="5"/>
    <x v="1"/>
  </r>
  <r>
    <n v="34"/>
    <s v="USD"/>
    <n v="12168"/>
    <n v="10464.48"/>
    <n v="12168"/>
    <n v="12168"/>
    <n v="10464.48"/>
    <n v="12168"/>
    <n v="0"/>
    <n v="0"/>
    <d v="2024-11-12T00:00:00"/>
    <d v="2024-10-13T00:00:00"/>
    <x v="2"/>
    <x v="0"/>
  </r>
  <r>
    <n v="35"/>
    <s v="USD"/>
    <n v="16931.07"/>
    <n v="14560.7202"/>
    <n v="16931.07"/>
    <n v="11990.41"/>
    <n v="10311.7526"/>
    <n v="11990.41"/>
    <n v="0"/>
    <n v="0"/>
    <d v="2024-11-14T00:00:00"/>
    <d v="2024-10-15T00:00:00"/>
    <x v="2"/>
    <x v="0"/>
  </r>
  <r>
    <n v="36"/>
    <s v="USD"/>
    <n v="205"/>
    <n v="176.3"/>
    <n v="205"/>
    <n v="3721.4"/>
    <n v="3200.404"/>
    <n v="3721.4"/>
    <n v="0"/>
    <n v="0"/>
    <d v="2024-11-28T00:00:00"/>
    <d v="2024-10-29T00:00:00"/>
    <x v="2"/>
    <x v="0"/>
  </r>
  <r>
    <n v="37"/>
    <s v="USD"/>
    <n v="9836.93"/>
    <n v="8459.7597999999998"/>
    <n v="9836.93"/>
    <n v="9836.93"/>
    <n v="8459.7597999999998"/>
    <n v="9836.93"/>
    <n v="0"/>
    <n v="0"/>
    <d v="2024-11-15T00:00:00"/>
    <d v="2024-10-16T00:00:00"/>
    <x v="2"/>
    <x v="0"/>
  </r>
  <r>
    <n v="38"/>
    <s v="MXN"/>
    <n v="0"/>
    <n v="0"/>
    <n v="0"/>
    <n v="60452.52"/>
    <n v="2901.7209600000001"/>
    <n v="3385.34112"/>
    <n v="0"/>
    <n v="0"/>
    <d v="2024-12-22T00:00:00"/>
    <d v="2024-11-22T00:00:00"/>
    <x v="0"/>
    <x v="0"/>
  </r>
  <r>
    <n v="39"/>
    <s v="MXN"/>
    <n v="0"/>
    <n v="0"/>
    <n v="0"/>
    <n v="40255.75"/>
    <n v="1932.2760000000001"/>
    <n v="2254.3220000000001"/>
    <n v="0"/>
    <n v="0"/>
    <d v="2024-11-24T00:00:00"/>
    <d v="2024-10-25T00:00:00"/>
    <x v="2"/>
    <x v="0"/>
  </r>
  <r>
    <n v="40"/>
    <s v="EUR"/>
    <n v="0"/>
    <n v="0"/>
    <n v="0"/>
    <n v="600"/>
    <n v="600"/>
    <n v="696"/>
    <n v="0"/>
    <n v="0"/>
    <d v="2024-09-28T00:00:00"/>
    <d v="2024-08-29T00:00:00"/>
    <x v="6"/>
    <x v="0"/>
  </r>
  <r>
    <n v="41"/>
    <s v="EUR"/>
    <n v="0"/>
    <n v="0"/>
    <n v="0"/>
    <n v="2716.1"/>
    <n v="2716.1"/>
    <n v="3150.6759999999995"/>
    <n v="0"/>
    <n v="0"/>
    <d v="2024-10-09T00:00:00"/>
    <d v="2024-09-09T00:00:00"/>
    <x v="1"/>
    <x v="0"/>
  </r>
  <r>
    <n v="43"/>
    <s v="USD"/>
    <n v="27745.96"/>
    <n v="23861.525599999997"/>
    <n v="27745.96"/>
    <n v="27745.96"/>
    <n v="23861.525599999997"/>
    <n v="27745.96"/>
    <n v="0"/>
    <n v="0"/>
    <d v="2025-01-06T00:00:00"/>
    <d v="2024-12-07T00:00:00"/>
    <x v="7"/>
    <x v="0"/>
  </r>
  <r>
    <n v="44"/>
    <s v="USD"/>
    <n v="31860.000000000004"/>
    <n v="27399.600000000002"/>
    <n v="31860.000000000004"/>
    <n v="35772.800000000003"/>
    <n v="30764.608000000004"/>
    <n v="35772.800000000003"/>
    <n v="4.5474735088646412E-13"/>
    <n v="4.5474735088646412E-13"/>
    <d v="2024-12-25T00:00:00"/>
    <d v="2024-11-25T00:00:00"/>
    <x v="0"/>
    <x v="0"/>
  </r>
  <r>
    <n v="45"/>
    <s v="USD"/>
    <n v="15659.59"/>
    <n v="13467.2474"/>
    <n v="15659.59"/>
    <n v="15250.1"/>
    <n v="13115.085999999999"/>
    <n v="15250.1"/>
    <n v="308.3499999999998"/>
    <n v="308.3499999999998"/>
    <d v="2025-02-28T00:00:00"/>
    <d v="2025-01-29T00:00:00"/>
    <x v="8"/>
    <x v="1"/>
  </r>
  <r>
    <n v="46"/>
    <s v="EUR"/>
    <n v="0"/>
    <n v="0"/>
    <n v="0"/>
    <n v="3400"/>
    <n v="3400"/>
    <n v="3943.9999999999995"/>
    <n v="0"/>
    <n v="0"/>
    <d v="2024-10-03T00:00:00"/>
    <d v="2024-09-03T00:00:00"/>
    <x v="1"/>
    <x v="0"/>
  </r>
  <r>
    <n v="47"/>
    <s v="MXN"/>
    <n v="590274"/>
    <n v="28333.152000000002"/>
    <n v="33055.343999999997"/>
    <n v="590274"/>
    <n v="28333.152000000002"/>
    <n v="33055.343999999997"/>
    <n v="0"/>
    <n v="0"/>
    <d v="2025-02-09T00:00:00"/>
    <d v="2025-01-10T00:00:00"/>
    <x v="8"/>
    <x v="1"/>
  </r>
  <r>
    <n v="48"/>
    <s v="USD"/>
    <n v="0"/>
    <n v="0"/>
    <n v="0"/>
    <n v="99000"/>
    <n v="85140"/>
    <n v="99000"/>
    <n v="0"/>
    <n v="0"/>
    <d v="2024-11-24T00:00:00"/>
    <d v="2024-10-25T00:00:00"/>
    <x v="2"/>
    <x v="0"/>
  </r>
  <r>
    <n v="49"/>
    <s v="USD"/>
    <n v="0"/>
    <n v="0"/>
    <n v="0"/>
    <n v="4997.26"/>
    <n v="4297.6436000000003"/>
    <n v="4997.26"/>
    <n v="0"/>
    <n v="0"/>
    <d v="2025-01-19T00:00:00"/>
    <d v="2024-12-20T00:00:00"/>
    <x v="7"/>
    <x v="0"/>
  </r>
  <r>
    <n v="50"/>
    <s v="USD"/>
    <n v="8452.59"/>
    <n v="7269.2273999999998"/>
    <n v="8452.59"/>
    <n v="8452.59"/>
    <n v="7269.2273999999998"/>
    <n v="8452.59"/>
    <n v="0"/>
    <n v="0"/>
    <d v="2025-01-12T00:00:00"/>
    <d v="2024-12-13T00:00:00"/>
    <x v="7"/>
    <x v="0"/>
  </r>
  <r>
    <n v="51"/>
    <s v="USD"/>
    <n v="35000"/>
    <n v="30100"/>
    <n v="35000"/>
    <n v="35000"/>
    <n v="30100"/>
    <n v="35000"/>
    <n v="0"/>
    <n v="0"/>
    <d v="2025-01-19T00:00:00"/>
    <d v="2024-12-20T00:00:00"/>
    <x v="7"/>
    <x v="0"/>
  </r>
  <r>
    <n v="52"/>
    <s v="USD"/>
    <n v="13500"/>
    <n v="11610"/>
    <n v="13500"/>
    <n v="13500"/>
    <n v="11610"/>
    <n v="13500"/>
    <n v="0"/>
    <n v="0"/>
    <d v="2024-12-04T00:00:00"/>
    <d v="2024-11-04T00:00:00"/>
    <x v="0"/>
    <x v="0"/>
  </r>
  <r>
    <n v="54"/>
    <s v="MXN"/>
    <n v="0"/>
    <n v="0"/>
    <n v="0"/>
    <n v="3567"/>
    <n v="171.21600000000001"/>
    <n v="199.75200000000001"/>
    <n v="0"/>
    <n v="0"/>
    <d v="2024-12-25T00:00:00"/>
    <d v="2024-11-25T00:00:00"/>
    <x v="0"/>
    <x v="0"/>
  </r>
  <r>
    <n v="56"/>
    <s v="USD"/>
    <n v="114938.52"/>
    <n v="98847.127200000003"/>
    <n v="114938.52"/>
    <n v="85767.42"/>
    <n v="73759.981199999995"/>
    <n v="85767.42"/>
    <n v="0"/>
    <n v="0"/>
    <d v="2024-12-17T00:00:00"/>
    <d v="2024-11-17T00:00:00"/>
    <x v="0"/>
    <x v="0"/>
  </r>
  <r>
    <n v="57"/>
    <s v="USD"/>
    <n v="164019.71"/>
    <n v="141056.95059999998"/>
    <n v="164019.71"/>
    <n v="164633.1"/>
    <n v="141584.46600000001"/>
    <n v="164633.1"/>
    <n v="65.60999999998603"/>
    <n v="65.60999999998603"/>
    <d v="2025-12-03T00:00:00"/>
    <d v="2025-11-03T00:00:00"/>
    <x v="0"/>
    <x v="1"/>
  </r>
  <r>
    <n v="58"/>
    <s v="USD"/>
    <n v="21080.880000000001"/>
    <n v="18129.556800000002"/>
    <n v="21080.880000000001"/>
    <n v="29795.29"/>
    <n v="25623.949400000001"/>
    <n v="29795.29"/>
    <n v="0"/>
    <n v="0"/>
    <d v="2024-12-25T00:00:00"/>
    <d v="2024-11-25T00:00:00"/>
    <x v="0"/>
    <x v="0"/>
  </r>
  <r>
    <n v="59"/>
    <s v="USD"/>
    <n v="0"/>
    <n v="0"/>
    <n v="0"/>
    <n v="981.77"/>
    <n v="844.32219999999995"/>
    <n v="981.77"/>
    <n v="0"/>
    <n v="0"/>
    <d v="2024-12-22T00:00:00"/>
    <d v="2024-11-22T00:00:00"/>
    <x v="0"/>
    <x v="0"/>
  </r>
  <r>
    <n v="60"/>
    <s v="USD"/>
    <n v="0"/>
    <n v="0"/>
    <n v="0"/>
    <n v="206.9"/>
    <n v="177.934"/>
    <n v="206.9"/>
    <n v="0"/>
    <n v="0"/>
    <d v="2024-12-05T00:00:00"/>
    <d v="2024-11-05T00:00:00"/>
    <x v="0"/>
    <x v="0"/>
  </r>
  <r>
    <n v="61"/>
    <s v="USD"/>
    <n v="0"/>
    <n v="0"/>
    <n v="0"/>
    <n v="4265.6099999999997"/>
    <n v="3668.4245999999998"/>
    <n v="4265.6099999999997"/>
    <n v="0"/>
    <n v="0"/>
    <d v="2025-03-14T00:00:00"/>
    <d v="2025-02-12T00:00:00"/>
    <x v="5"/>
    <x v="1"/>
  </r>
  <r>
    <n v="62"/>
    <s v="USD"/>
    <n v="1115"/>
    <n v="958.9"/>
    <n v="1115"/>
    <n v="13321.75"/>
    <n v="11456.705"/>
    <n v="13321.75"/>
    <n v="0"/>
    <n v="0"/>
    <d v="2025-03-21T00:00:00"/>
    <d v="2025-02-19T00:00:00"/>
    <x v="5"/>
    <x v="1"/>
  </r>
  <r>
    <n v="63"/>
    <s v="EUR"/>
    <n v="0"/>
    <n v="0"/>
    <n v="0"/>
    <n v="2268"/>
    <n v="2268"/>
    <n v="2630.8799999999997"/>
    <n v="0"/>
    <n v="0"/>
    <d v="2025-01-25T00:00:00"/>
    <d v="2024-12-26T00:00:00"/>
    <x v="7"/>
    <x v="0"/>
  </r>
  <r>
    <n v="64"/>
    <s v="USD"/>
    <n v="0"/>
    <n v="0"/>
    <n v="0"/>
    <n v="1062"/>
    <n v="913.31999999999994"/>
    <n v="1062"/>
    <n v="0"/>
    <n v="0"/>
    <d v="2024-12-13T00:00:00"/>
    <d v="2024-11-13T00:00:00"/>
    <x v="0"/>
    <x v="0"/>
  </r>
  <r>
    <n v="65"/>
    <s v="USD"/>
    <n v="3305.25"/>
    <n v="2842.5149999999999"/>
    <n v="3305.25"/>
    <n v="3305.25"/>
    <n v="2842.5149999999999"/>
    <n v="3305.25"/>
    <n v="0"/>
    <n v="0"/>
    <d v="2025-01-31T00:00:00"/>
    <d v="2025-01-01T00:00:00"/>
    <x v="8"/>
    <x v="1"/>
  </r>
  <r>
    <n v="66"/>
    <s v="USD"/>
    <n v="3113.15"/>
    <n v="2677.3090000000002"/>
    <n v="3113.15"/>
    <n v="3113.15"/>
    <n v="2677.3090000000002"/>
    <n v="3113.15"/>
    <n v="0"/>
    <n v="0"/>
    <d v="2025-01-30T00:00:00"/>
    <d v="2024-12-31T00:00:00"/>
    <x v="7"/>
    <x v="0"/>
  </r>
  <r>
    <n v="67"/>
    <s v="USD"/>
    <n v="3113.15"/>
    <n v="2677.3090000000002"/>
    <n v="3113.15"/>
    <n v="3113.15"/>
    <n v="2677.3090000000002"/>
    <n v="3113.15"/>
    <n v="0"/>
    <n v="0"/>
    <d v="2025-01-30T00:00:00"/>
    <d v="2024-12-31T00:00:00"/>
    <x v="7"/>
    <x v="0"/>
  </r>
  <r>
    <n v="68"/>
    <s v="USD"/>
    <n v="3130.1"/>
    <n v="2691.886"/>
    <n v="3130.1"/>
    <n v="3130.1"/>
    <n v="2691.886"/>
    <n v="3130.1"/>
    <n v="0"/>
    <n v="0"/>
    <d v="2025-01-30T00:00:00"/>
    <d v="2024-12-31T00:00:00"/>
    <x v="7"/>
    <x v="0"/>
  </r>
  <r>
    <n v="69"/>
    <s v="USD"/>
    <n v="35"/>
    <n v="30.099999999999998"/>
    <n v="35"/>
    <n v="1401"/>
    <n v="1204.8599999999999"/>
    <n v="1401"/>
    <n v="0"/>
    <n v="0"/>
    <d v="2024-12-27T00:00:00"/>
    <d v="2024-11-27T00:00:00"/>
    <x v="0"/>
    <x v="0"/>
  </r>
  <r>
    <n v="70"/>
    <s v="USD"/>
    <n v="10263"/>
    <n v="8826.18"/>
    <n v="10263"/>
    <n v="10263"/>
    <n v="8826.18"/>
    <n v="10263"/>
    <n v="0"/>
    <n v="0"/>
    <d v="2025-03-22T00:00:00"/>
    <d v="2025-02-20T00:00:00"/>
    <x v="5"/>
    <x v="1"/>
  </r>
  <r>
    <n v="71"/>
    <s v="USD"/>
    <n v="116495"/>
    <n v="100185.7"/>
    <n v="116495"/>
    <n v="122753.60000000001"/>
    <n v="105568.09600000001"/>
    <n v="122753.60000000001"/>
    <n v="-5.4569682106375694E-12"/>
    <n v="-5.4569682106375694E-12"/>
    <d v="2025-09-17T00:00:00"/>
    <d v="2025-08-18T00:00:00"/>
    <x v="6"/>
    <x v="1"/>
  </r>
  <r>
    <n v="72"/>
    <s v="USD"/>
    <n v="0"/>
    <n v="0"/>
    <n v="0"/>
    <n v="201"/>
    <n v="172.85999999999999"/>
    <n v="201"/>
    <n v="0"/>
    <n v="0"/>
    <d v="2024-12-06T00:00:00"/>
    <d v="2024-11-06T00:00:00"/>
    <x v="0"/>
    <x v="0"/>
  </r>
  <r>
    <n v="73"/>
    <s v="USD"/>
    <n v="0"/>
    <n v="0"/>
    <n v="0"/>
    <n v="11485.71"/>
    <n v="9877.7105999999985"/>
    <n v="11485.71"/>
    <n v="0"/>
    <n v="0"/>
    <d v="2025-04-16T00:00:00"/>
    <d v="2025-03-17T00:00:00"/>
    <x v="9"/>
    <x v="1"/>
  </r>
  <r>
    <n v="74"/>
    <s v="USD"/>
    <n v="0"/>
    <n v="0"/>
    <n v="0"/>
    <n v="260"/>
    <n v="223.6"/>
    <n v="260"/>
    <n v="0"/>
    <n v="0"/>
    <d v="2024-12-22T00:00:00"/>
    <d v="2024-11-22T00:00:00"/>
    <x v="0"/>
    <x v="0"/>
  </r>
  <r>
    <n v="75"/>
    <s v="USD"/>
    <n v="0"/>
    <n v="0"/>
    <n v="0"/>
    <n v="2250"/>
    <n v="1935"/>
    <n v="2250"/>
    <n v="0"/>
    <n v="0"/>
    <d v="2025-03-22T00:00:00"/>
    <d v="2025-02-20T00:00:00"/>
    <x v="5"/>
    <x v="1"/>
  </r>
  <r>
    <n v="76"/>
    <s v="USD"/>
    <n v="0"/>
    <n v="0"/>
    <n v="0"/>
    <n v="4434.01"/>
    <n v="3813.2486000000004"/>
    <n v="4434.01"/>
    <n v="0"/>
    <n v="0"/>
    <d v="2025-01-31T00:00:00"/>
    <d v="2025-01-01T00:00:00"/>
    <x v="8"/>
    <x v="1"/>
  </r>
  <r>
    <n v="77"/>
    <s v="USD"/>
    <n v="688"/>
    <n v="591.67999999999995"/>
    <n v="688"/>
    <n v="688"/>
    <n v="591.67999999999995"/>
    <n v="688"/>
    <n v="0"/>
    <n v="0"/>
    <d v="2025-01-31T00:00:00"/>
    <d v="2025-01-01T00:00:00"/>
    <x v="8"/>
    <x v="1"/>
  </r>
  <r>
    <n v="78"/>
    <s v="USD"/>
    <n v="0"/>
    <n v="0"/>
    <n v="0"/>
    <n v="688"/>
    <n v="591.67999999999995"/>
    <n v="688"/>
    <n v="0"/>
    <n v="0"/>
    <d v="2025-01-31T00:00:00"/>
    <d v="2025-01-01T00:00:00"/>
    <x v="8"/>
    <x v="1"/>
  </r>
  <r>
    <n v="79"/>
    <s v="USD"/>
    <n v="0"/>
    <n v="0"/>
    <n v="0"/>
    <n v="3295.4"/>
    <n v="2834.0439999999999"/>
    <n v="3295.4"/>
    <n v="0"/>
    <n v="0"/>
    <d v="2025-02-02T00:00:00"/>
    <d v="2025-01-03T00:00:00"/>
    <x v="8"/>
    <x v="1"/>
  </r>
  <r>
    <n v="81"/>
    <s v="USD"/>
    <n v="0"/>
    <n v="0"/>
    <n v="0"/>
    <n v="4988"/>
    <n v="4289.68"/>
    <n v="4988"/>
    <n v="0"/>
    <n v="0"/>
    <d v="2025-02-02T00:00:00"/>
    <d v="2025-01-03T00:00:00"/>
    <x v="8"/>
    <x v="1"/>
  </r>
  <r>
    <n v="82"/>
    <s v="USD"/>
    <n v="353536.69"/>
    <n v="304041.55339999998"/>
    <n v="353536.69"/>
    <n v="375390.89"/>
    <n v="322836.1654"/>
    <n v="375390.89"/>
    <n v="-1.0913936421275139E-11"/>
    <n v="-1.0913936421275139E-11"/>
    <d v="2025-03-04T00:00:00"/>
    <d v="2025-02-02T00:00:00"/>
    <x v="5"/>
    <x v="1"/>
  </r>
  <r>
    <n v="83"/>
    <s v="USD"/>
    <n v="0"/>
    <n v="0"/>
    <n v="0"/>
    <n v="229"/>
    <n v="196.94"/>
    <n v="229"/>
    <n v="0"/>
    <n v="0"/>
    <d v="2024-12-19T00:00:00"/>
    <d v="2024-11-19T00:00:00"/>
    <x v="0"/>
    <x v="0"/>
  </r>
  <r>
    <n v="84"/>
    <s v="USD"/>
    <n v="150"/>
    <n v="129"/>
    <n v="150"/>
    <n v="1858.68"/>
    <n v="1598.4648"/>
    <n v="1858.68"/>
    <n v="0"/>
    <n v="0"/>
    <d v="2025-01-28T00:00:00"/>
    <d v="2024-12-29T00:00:00"/>
    <x v="7"/>
    <x v="0"/>
  </r>
  <r>
    <n v="85"/>
    <s v="USD"/>
    <n v="7800"/>
    <n v="6708"/>
    <n v="7800"/>
    <n v="126102.05"/>
    <n v="108447.76300000001"/>
    <n v="126102.05"/>
    <n v="0"/>
    <n v="0"/>
    <d v="2024-12-29T00:00:00"/>
    <d v="2024-11-29T00:00:00"/>
    <x v="0"/>
    <x v="0"/>
  </r>
  <r>
    <n v="86"/>
    <s v="USD"/>
    <n v="326596"/>
    <n v="280872.56"/>
    <n v="326596"/>
    <n v="326596"/>
    <n v="280872.56"/>
    <n v="326596"/>
    <n v="0"/>
    <n v="0"/>
    <d v="2025-09-22T00:00:00"/>
    <d v="2025-08-23T00:00:00"/>
    <x v="6"/>
    <x v="1"/>
  </r>
  <r>
    <n v="87"/>
    <s v="USD"/>
    <n v="4014.82"/>
    <n v="3452.7452000000003"/>
    <n v="4014.82"/>
    <n v="4014.82"/>
    <n v="3452.7452000000003"/>
    <n v="4014.82"/>
    <n v="0"/>
    <n v="0"/>
    <d v="2025-01-20T00:00:00"/>
    <d v="2024-12-21T00:00:00"/>
    <x v="7"/>
    <x v="0"/>
  </r>
  <r>
    <n v="88"/>
    <s v="USD"/>
    <n v="0"/>
    <n v="0"/>
    <n v="0"/>
    <n v="800"/>
    <n v="688"/>
    <n v="800"/>
    <n v="0"/>
    <n v="0"/>
    <d v="2025-01-10T00:00:00"/>
    <d v="2024-12-11T00:00:00"/>
    <x v="7"/>
    <x v="0"/>
  </r>
  <r>
    <n v="89"/>
    <s v="USD"/>
    <n v="35"/>
    <n v="30.099999999999998"/>
    <n v="35"/>
    <n v="835"/>
    <n v="718.1"/>
    <n v="835"/>
    <n v="0"/>
    <n v="0"/>
    <d v="2025-01-13T00:00:00"/>
    <d v="2024-12-14T00:00:00"/>
    <x v="7"/>
    <x v="0"/>
  </r>
  <r>
    <n v="90"/>
    <s v="MXN"/>
    <n v="99987.5"/>
    <n v="4799.4000000000005"/>
    <n v="5599.3"/>
    <n v="99987.5"/>
    <n v="4799.4000000000005"/>
    <n v="5599.3"/>
    <n v="0"/>
    <n v="0"/>
    <d v="2025-01-11T00:00:00"/>
    <d v="2024-12-12T00:00:00"/>
    <x v="7"/>
    <x v="0"/>
  </r>
  <r>
    <n v="91"/>
    <s v="MXN"/>
    <n v="0"/>
    <n v="0"/>
    <n v="0"/>
    <n v="9904"/>
    <n v="475.392"/>
    <n v="554.62400000000002"/>
    <n v="0"/>
    <n v="0"/>
    <d v="2025-01-19T00:00:00"/>
    <d v="2024-12-20T00:00:00"/>
    <x v="7"/>
    <x v="0"/>
  </r>
  <r>
    <n v="93"/>
    <s v="EUR"/>
    <n v="0"/>
    <n v="0"/>
    <n v="0"/>
    <n v="4440"/>
    <n v="4440"/>
    <n v="5150.3999999999996"/>
    <n v="0"/>
    <n v="0"/>
    <d v="2025-01-17T00:00:00"/>
    <d v="2024-12-18T00:00:00"/>
    <x v="7"/>
    <x v="0"/>
  </r>
  <r>
    <n v="94"/>
    <s v="MXN"/>
    <n v="0"/>
    <n v="0"/>
    <n v="0"/>
    <n v="135027"/>
    <n v="6481.2960000000003"/>
    <n v="7561.5119999999997"/>
    <n v="0"/>
    <n v="0"/>
    <d v="2025-02-02T00:00:00"/>
    <d v="2025-01-03T00:00:00"/>
    <x v="8"/>
    <x v="1"/>
  </r>
  <r>
    <n v="95"/>
    <s v="MXN"/>
    <n v="0"/>
    <n v="0"/>
    <n v="0"/>
    <n v="23614.400000000001"/>
    <n v="1133.4912000000002"/>
    <n v="1322.4064000000001"/>
    <n v="0"/>
    <n v="0"/>
    <d v="2025-02-01T00:00:00"/>
    <d v="2025-01-02T00:00:00"/>
    <x v="8"/>
    <x v="1"/>
  </r>
  <r>
    <n v="96"/>
    <s v="EUR"/>
    <n v="18291.419999999998"/>
    <n v="18291.419999999998"/>
    <n v="21218.047199999997"/>
    <n v="18291.419999999998"/>
    <n v="18291.419999999998"/>
    <n v="21218.047199999997"/>
    <n v="0"/>
    <n v="0"/>
    <d v="2025-06-26T00:00:00"/>
    <d v="2025-05-27T00:00:00"/>
    <x v="10"/>
    <x v="1"/>
  </r>
  <r>
    <n v="97"/>
    <s v="EUR"/>
    <n v="0"/>
    <n v="0"/>
    <n v="0"/>
    <n v="494.4"/>
    <n v="494.4"/>
    <n v="573.50399999999991"/>
    <n v="0"/>
    <n v="0"/>
    <d v="2025-02-15T00:00:00"/>
    <d v="2025-01-16T00:00:00"/>
    <x v="8"/>
    <x v="1"/>
  </r>
  <r>
    <n v="98"/>
    <s v="EUR"/>
    <n v="26934"/>
    <n v="26934"/>
    <n v="31243.439999999999"/>
    <n v="60831.49"/>
    <n v="60831.49"/>
    <n v="70564.528399999996"/>
    <n v="0"/>
    <n v="0"/>
    <d v="2025-04-12T00:00:00"/>
    <d v="2025-03-13T00:00:00"/>
    <x v="9"/>
    <x v="1"/>
  </r>
  <r>
    <n v="99"/>
    <s v="EUR"/>
    <n v="0"/>
    <n v="0"/>
    <n v="0"/>
    <n v="26938.799999999999"/>
    <n v="26938.799999999999"/>
    <n v="31249.007999999998"/>
    <n v="0"/>
    <n v="0"/>
    <d v="2025-01-04T00:00:00"/>
    <d v="2024-12-05T00:00:00"/>
    <x v="7"/>
    <x v="0"/>
  </r>
  <r>
    <n v="100"/>
    <s v="USD"/>
    <n v="8991"/>
    <n v="7732.26"/>
    <n v="8991"/>
    <n v="13574"/>
    <n v="11673.64"/>
    <n v="13574"/>
    <n v="0"/>
    <n v="0"/>
    <d v="2025-06-21T00:00:00"/>
    <d v="2025-05-22T00:00:00"/>
    <x v="10"/>
    <x v="1"/>
  </r>
  <r>
    <n v="101"/>
    <s v="USD"/>
    <n v="56880.79"/>
    <n v="48917.479399999997"/>
    <n v="56880.79"/>
    <n v="56880.79"/>
    <n v="48917.479399999997"/>
    <n v="56880.79"/>
    <n v="0"/>
    <n v="0"/>
    <d v="2025-05-10T00:00:00"/>
    <d v="2025-04-10T00:00:00"/>
    <x v="4"/>
    <x v="1"/>
  </r>
  <r>
    <n v="102"/>
    <s v="USD"/>
    <n v="63150.010000000009"/>
    <n v="54309.008600000008"/>
    <n v="63150.010000000009"/>
    <n v="72129.210000000006"/>
    <n v="62031.120600000002"/>
    <n v="72129.210000000006"/>
    <n v="3.637978807091713E-12"/>
    <n v="3.637978807091713E-12"/>
    <d v="2025-01-21T00:00:00"/>
    <d v="2024-12-22T00:00:00"/>
    <x v="7"/>
    <x v="0"/>
  </r>
  <r>
    <n v="103"/>
    <s v="USD"/>
    <n v="10240"/>
    <n v="8806.4"/>
    <n v="10240"/>
    <n v="10240"/>
    <n v="8806.4"/>
    <n v="10240"/>
    <n v="0"/>
    <n v="0"/>
    <d v="2025-02-11T00:00:00"/>
    <d v="2025-01-12T00:00:00"/>
    <x v="8"/>
    <x v="1"/>
  </r>
  <r>
    <n v="104"/>
    <s v="USD"/>
    <n v="0"/>
    <n v="0"/>
    <n v="0"/>
    <n v="15213.21"/>
    <n v="13083.360599999998"/>
    <n v="15213.21"/>
    <n v="0"/>
    <n v="0"/>
    <d v="2025-02-12T00:00:00"/>
    <d v="2025-01-13T00:00:00"/>
    <x v="8"/>
    <x v="1"/>
  </r>
  <r>
    <n v="105"/>
    <s v="USD"/>
    <n v="0"/>
    <n v="0"/>
    <n v="0"/>
    <n v="268"/>
    <n v="230.48"/>
    <n v="268"/>
    <n v="0"/>
    <n v="0"/>
    <d v="2025-01-17T00:00:00"/>
    <d v="2024-12-18T00:00:00"/>
    <x v="7"/>
    <x v="0"/>
  </r>
  <r>
    <n v="106"/>
    <s v="USD"/>
    <n v="0"/>
    <n v="0"/>
    <n v="0"/>
    <n v="268"/>
    <n v="230.48"/>
    <n v="268"/>
    <n v="0"/>
    <n v="0"/>
    <d v="2025-01-17T00:00:00"/>
    <d v="2024-12-18T00:00:00"/>
    <x v="7"/>
    <x v="0"/>
  </r>
  <r>
    <n v="107"/>
    <s v="USD"/>
    <n v="0"/>
    <n v="0"/>
    <n v="0"/>
    <n v="494"/>
    <n v="424.84"/>
    <n v="494"/>
    <n v="0"/>
    <n v="0"/>
    <d v="2025-01-17T00:00:00"/>
    <d v="2024-12-18T00:00:00"/>
    <x v="7"/>
    <x v="0"/>
  </r>
  <r>
    <n v="108"/>
    <s v="USD"/>
    <n v="0"/>
    <n v="0"/>
    <n v="0"/>
    <n v="76619.67"/>
    <n v="65892.916199999992"/>
    <n v="76619.67"/>
    <n v="0"/>
    <n v="0"/>
    <d v="2024-12-21T00:00:00"/>
    <d v="2024-11-21T00:00:00"/>
    <x v="0"/>
    <x v="0"/>
  </r>
  <r>
    <n v="109"/>
    <s v="MXN"/>
    <n v="0"/>
    <n v="0"/>
    <n v="0"/>
    <n v="95573"/>
    <n v="4587.5039999999999"/>
    <n v="5352.0879999999997"/>
    <n v="0"/>
    <n v="0"/>
    <d v="2025-02-13T00:00:00"/>
    <d v="2025-01-14T00:00:00"/>
    <x v="8"/>
    <x v="1"/>
  </r>
  <r>
    <n v="110"/>
    <s v="USD"/>
    <n v="0"/>
    <n v="0"/>
    <n v="0"/>
    <n v="302.2"/>
    <n v="259.892"/>
    <n v="302.2"/>
    <n v="0"/>
    <n v="0"/>
    <d v="2025-02-01T00:00:00"/>
    <d v="2025-01-02T00:00:00"/>
    <x v="8"/>
    <x v="1"/>
  </r>
  <r>
    <n v="111"/>
    <s v="GPB"/>
    <n v="0"/>
    <n v="0"/>
    <n v="0"/>
    <n v="82419"/>
    <n v="94781.849999999991"/>
    <n v="110441.46"/>
    <n v="0"/>
    <n v="0"/>
    <d v="2024-12-21T00:00:00"/>
    <d v="2024-11-21T00:00:00"/>
    <x v="0"/>
    <x v="0"/>
  </r>
  <r>
    <n v="112"/>
    <s v="USD"/>
    <n v="3294"/>
    <n v="2832.84"/>
    <n v="3294"/>
    <n v="4392"/>
    <n v="3777.12"/>
    <n v="4392"/>
    <n v="0"/>
    <n v="0"/>
    <d v="2025-01-21T00:00:00"/>
    <d v="2024-12-22T00:00:00"/>
    <x v="7"/>
    <x v="0"/>
  </r>
  <r>
    <n v="113"/>
    <s v="USD"/>
    <n v="0"/>
    <n v="0"/>
    <n v="0"/>
    <n v="20777.39"/>
    <n v="17868.555399999997"/>
    <n v="20777.39"/>
    <n v="0"/>
    <n v="0"/>
    <d v="2024-12-26T00:00:00"/>
    <d v="2024-11-26T00:00:00"/>
    <x v="0"/>
    <x v="0"/>
  </r>
  <r>
    <n v="114"/>
    <s v="MXN"/>
    <n v="0"/>
    <n v="0"/>
    <n v="0"/>
    <n v="113312.48"/>
    <n v="5438.9990399999997"/>
    <n v="6345.4988800000001"/>
    <n v="0"/>
    <n v="0"/>
    <d v="2025-05-19T00:00:00"/>
    <d v="2025-04-19T00:00:00"/>
    <x v="4"/>
    <x v="1"/>
  </r>
  <r>
    <n v="115"/>
    <s v="USD"/>
    <n v="224855.52"/>
    <n v="193375.74719999998"/>
    <n v="224855.52"/>
    <n v="224855.52"/>
    <n v="193375.74719999998"/>
    <n v="224855.52"/>
    <n v="0"/>
    <n v="0"/>
    <d v="2025-10-04T00:00:00"/>
    <d v="2025-09-04T00:00:00"/>
    <x v="1"/>
    <x v="1"/>
  </r>
  <r>
    <n v="116"/>
    <s v="USD"/>
    <n v="18539"/>
    <n v="15943.539999999999"/>
    <n v="18539"/>
    <n v="18539"/>
    <n v="15943.539999999999"/>
    <n v="18539"/>
    <n v="0"/>
    <n v="0"/>
    <d v="2024-11-11T00:00:00"/>
    <d v="2024-10-12T00:00:00"/>
    <x v="2"/>
    <x v="0"/>
  </r>
  <r>
    <n v="117"/>
    <s v="EUR"/>
    <n v="0"/>
    <n v="0"/>
    <n v="0"/>
    <n v="606.17999999999995"/>
    <n v="606.17999999999995"/>
    <n v="703.16879999999992"/>
    <n v="0"/>
    <n v="0"/>
    <d v="2025-01-05T00:00:00"/>
    <d v="2024-12-06T00:00:00"/>
    <x v="7"/>
    <x v="0"/>
  </r>
  <r>
    <n v="118"/>
    <s v="USD"/>
    <n v="194580"/>
    <n v="167338.79999999999"/>
    <n v="194580"/>
    <n v="194580"/>
    <n v="167338.79999999999"/>
    <n v="194580"/>
    <n v="0"/>
    <n v="0"/>
    <d v="2025-04-09T00:00:00"/>
    <d v="2025-03-10T00:00:00"/>
    <x v="9"/>
    <x v="1"/>
  </r>
  <r>
    <n v="119"/>
    <s v="EUR"/>
    <n v="39474.35"/>
    <n v="39474.35"/>
    <n v="45790.245999999992"/>
    <n v="40906.449999999997"/>
    <n v="40906.449999999997"/>
    <n v="47451.481999999996"/>
    <n v="1.3642420526593924E-12"/>
    <n v="1.5825207810848949E-12"/>
    <d v="2025-02-26T00:00:00"/>
    <d v="2025-01-27T00:00:00"/>
    <x v="8"/>
    <x v="1"/>
  </r>
  <r>
    <n v="120"/>
    <s v="USD"/>
    <n v="0"/>
    <n v="0"/>
    <n v="0"/>
    <n v="2383.6799999999998"/>
    <n v="2049.9647999999997"/>
    <n v="2383.6799999999998"/>
    <n v="0"/>
    <n v="0"/>
    <d v="2025-04-15T00:00:00"/>
    <d v="2025-03-16T00:00:00"/>
    <x v="9"/>
    <x v="1"/>
  </r>
  <r>
    <n v="121"/>
    <s v="USD"/>
    <n v="0"/>
    <n v="0"/>
    <n v="0"/>
    <n v="1791.72"/>
    <n v="1540.8792000000001"/>
    <n v="1791.72"/>
    <n v="0"/>
    <n v="0"/>
    <d v="2025-06-05T00:00:00"/>
    <d v="2025-05-06T00:00:00"/>
    <x v="10"/>
    <x v="1"/>
  </r>
  <r>
    <n v="122"/>
    <s v="EUR"/>
    <n v="0"/>
    <n v="0"/>
    <n v="0"/>
    <n v="11500.66"/>
    <n v="11500.66"/>
    <n v="13340.765599999999"/>
    <n v="0"/>
    <n v="0"/>
    <d v="2025-01-20T00:00:00"/>
    <d v="2024-12-21T00:00:00"/>
    <x v="7"/>
    <x v="0"/>
  </r>
  <r>
    <n v="124"/>
    <s v="USD"/>
    <n v="0"/>
    <n v="0"/>
    <n v="0"/>
    <n v="57724"/>
    <n v="49642.64"/>
    <n v="57724"/>
    <n v="0"/>
    <n v="0"/>
    <d v="2025-06-24T00:00:00"/>
    <d v="2025-05-25T00:00:00"/>
    <x v="10"/>
    <x v="1"/>
  </r>
  <r>
    <n v="126"/>
    <s v="EUR"/>
    <n v="132908.09999999998"/>
    <n v="132908.09999999998"/>
    <n v="154173.39599999995"/>
    <n v="155169.46"/>
    <n v="155169.46"/>
    <n v="179996.57359999997"/>
    <n v="-1.4551915228366852E-11"/>
    <n v="-1.6880221664905547E-11"/>
    <d v="2025-06-01T00:00:00"/>
    <d v="2025-05-02T00:00:00"/>
    <x v="10"/>
    <x v="1"/>
  </r>
  <r>
    <n v="127"/>
    <s v="USD"/>
    <n v="0"/>
    <n v="0"/>
    <n v="0"/>
    <n v="5088"/>
    <n v="4375.68"/>
    <n v="5088"/>
    <n v="0"/>
    <n v="0"/>
    <d v="2024-12-22T00:00:00"/>
    <d v="2024-11-22T00:00:00"/>
    <x v="0"/>
    <x v="0"/>
  </r>
  <r>
    <n v="128"/>
    <s v="USD"/>
    <n v="0"/>
    <n v="0"/>
    <n v="0"/>
    <n v="1389.53"/>
    <n v="1194.9957999999999"/>
    <n v="1389.53"/>
    <n v="0"/>
    <n v="0"/>
    <d v="2025-01-31T00:00:00"/>
    <d v="2025-01-01T00:00:00"/>
    <x v="8"/>
    <x v="1"/>
  </r>
  <r>
    <n v="129"/>
    <s v="USD"/>
    <n v="0"/>
    <n v="0"/>
    <n v="0"/>
    <n v="166662"/>
    <n v="143329.32"/>
    <n v="166662"/>
    <n v="0"/>
    <n v="0"/>
    <d v="2025-03-19T00:00:00"/>
    <d v="2025-02-17T00:00:00"/>
    <x v="5"/>
    <x v="1"/>
  </r>
  <r>
    <n v="130"/>
    <s v="USD"/>
    <n v="0"/>
    <n v="0"/>
    <n v="0"/>
    <n v="4389"/>
    <n v="3774.54"/>
    <n v="4389"/>
    <n v="0"/>
    <n v="0"/>
    <d v="2025-03-19T00:00:00"/>
    <d v="2025-02-17T00:00:00"/>
    <x v="5"/>
    <x v="1"/>
  </r>
  <r>
    <n v="131"/>
    <s v="USD"/>
    <n v="11650.31"/>
    <n v="10019.266599999999"/>
    <n v="11650.31"/>
    <n v="11650.31"/>
    <n v="10019.266599999999"/>
    <n v="11650.31"/>
    <n v="0"/>
    <n v="0"/>
    <d v="2025-03-26T00:00:00"/>
    <d v="2025-02-24T00:00:00"/>
    <x v="5"/>
    <x v="1"/>
  </r>
  <r>
    <n v="132"/>
    <s v="USD"/>
    <n v="50"/>
    <n v="43"/>
    <n v="50"/>
    <n v="4428.88"/>
    <n v="3808.8368"/>
    <n v="4428.88"/>
    <n v="0"/>
    <n v="0"/>
    <d v="2025-02-12T00:00:00"/>
    <d v="2025-01-13T00:00:00"/>
    <x v="8"/>
    <x v="1"/>
  </r>
  <r>
    <n v="133"/>
    <s v="USD"/>
    <n v="0"/>
    <n v="0"/>
    <n v="0"/>
    <n v="8756.25"/>
    <n v="7530.375"/>
    <n v="8756.25"/>
    <n v="0"/>
    <n v="0"/>
    <d v="2025-01-18T00:00:00"/>
    <d v="2024-12-19T00:00:00"/>
    <x v="7"/>
    <x v="0"/>
  </r>
  <r>
    <n v="134"/>
    <s v="USD"/>
    <n v="30663.5"/>
    <n v="26370.61"/>
    <n v="30663.5"/>
    <n v="31868.5"/>
    <n v="27406.91"/>
    <n v="31868.5"/>
    <n v="0"/>
    <n v="0"/>
    <d v="2025-05-15T00:00:00"/>
    <d v="2025-04-15T00:00:00"/>
    <x v="4"/>
    <x v="1"/>
  </r>
  <r>
    <n v="135"/>
    <s v="USD"/>
    <n v="97396"/>
    <n v="83760.56"/>
    <n v="97396"/>
    <n v="97396"/>
    <n v="83760.56"/>
    <n v="97396"/>
    <n v="0"/>
    <n v="0"/>
    <d v="2025-05-02T00:00:00"/>
    <d v="2025-04-02T00:00:00"/>
    <x v="4"/>
    <x v="1"/>
  </r>
  <r>
    <n v="136"/>
    <s v="USD"/>
    <n v="74106.000000000029"/>
    <n v="63731.160000000025"/>
    <n v="74106.000000000029"/>
    <n v="216317.35"/>
    <n v="186032.921"/>
    <n v="216317.35"/>
    <n v="0"/>
    <n v="0"/>
    <d v="2025-04-10T00:00:00"/>
    <d v="2025-03-11T00:00:00"/>
    <x v="9"/>
    <x v="1"/>
  </r>
  <r>
    <n v="137"/>
    <s v="USD"/>
    <n v="40030"/>
    <n v="34425.800000000003"/>
    <n v="40030"/>
    <n v="44604.11"/>
    <n v="38359.534599999999"/>
    <n v="44604.11"/>
    <n v="-9.0949470177292824E-13"/>
    <n v="-9.0949470177292824E-13"/>
    <d v="2025-02-14T00:00:00"/>
    <d v="2025-01-15T00:00:00"/>
    <x v="8"/>
    <x v="1"/>
  </r>
  <r>
    <n v="138"/>
    <s v="MXN"/>
    <n v="132324.54"/>
    <n v="6351.5779200000006"/>
    <n v="7410.1742400000003"/>
    <n v="132324.54"/>
    <n v="6351.5779200000006"/>
    <n v="7410.1742400000003"/>
    <n v="0"/>
    <n v="0"/>
    <d v="2025-11-14T00:00:00"/>
    <d v="2025-10-15T00:00:00"/>
    <x v="2"/>
    <x v="1"/>
  </r>
  <r>
    <n v="139"/>
    <s v="USD"/>
    <n v="0"/>
    <n v="0"/>
    <n v="0"/>
    <n v="2232"/>
    <n v="1919.52"/>
    <n v="2232"/>
    <n v="0"/>
    <n v="0"/>
    <d v="2025-02-16T00:00:00"/>
    <d v="2025-01-17T00:00:00"/>
    <x v="8"/>
    <x v="1"/>
  </r>
  <r>
    <n v="140"/>
    <s v="USD"/>
    <n v="0"/>
    <n v="0"/>
    <n v="0"/>
    <n v="23910.84"/>
    <n v="20563.322400000001"/>
    <n v="23910.84"/>
    <n v="0"/>
    <n v="0"/>
    <d v="2024-12-24T00:00:00"/>
    <d v="2024-11-24T00:00:00"/>
    <x v="0"/>
    <x v="0"/>
  </r>
  <r>
    <n v="141"/>
    <s v="EUR"/>
    <n v="0"/>
    <n v="0"/>
    <n v="0"/>
    <n v="3158.37"/>
    <n v="3158.37"/>
    <n v="3663.7091999999998"/>
    <n v="0"/>
    <n v="0"/>
    <d v="2025-02-01T00:00:00"/>
    <d v="2025-01-02T00:00:00"/>
    <x v="8"/>
    <x v="1"/>
  </r>
  <r>
    <n v="142"/>
    <s v="USD"/>
    <n v="0"/>
    <n v="0"/>
    <n v="0"/>
    <n v="2425"/>
    <n v="2085.5"/>
    <n v="2425"/>
    <n v="0"/>
    <n v="0"/>
    <d v="2025-05-04T00:00:00"/>
    <d v="2025-04-04T00:00:00"/>
    <x v="4"/>
    <x v="1"/>
  </r>
  <r>
    <n v="143"/>
    <s v="EUR"/>
    <n v="0"/>
    <n v="0"/>
    <n v="0"/>
    <n v="4874.42"/>
    <n v="4874.42"/>
    <n v="5654.3271999999997"/>
    <n v="0"/>
    <n v="0"/>
    <d v="2025-01-26T00:00:00"/>
    <d v="2024-12-27T00:00:00"/>
    <x v="7"/>
    <x v="0"/>
  </r>
  <r>
    <n v="144"/>
    <s v="USD"/>
    <n v="0"/>
    <n v="0"/>
    <n v="0"/>
    <n v="3993.6"/>
    <n v="3434.4960000000001"/>
    <n v="3993.6"/>
    <n v="0"/>
    <n v="0"/>
    <d v="2024-12-28T00:00:00"/>
    <d v="2024-11-28T00:00:00"/>
    <x v="0"/>
    <x v="0"/>
  </r>
  <r>
    <n v="145"/>
    <s v="EUR"/>
    <n v="0"/>
    <n v="0"/>
    <n v="0"/>
    <n v="4101.6000000000004"/>
    <n v="4101.6000000000004"/>
    <n v="4757.8559999999998"/>
    <n v="0"/>
    <n v="0"/>
    <d v="2024-12-10T00:00:00"/>
    <d v="2024-11-10T00:00:00"/>
    <x v="0"/>
    <x v="0"/>
  </r>
  <r>
    <n v="146"/>
    <s v="USD"/>
    <n v="10682.93"/>
    <n v="9187.3197999999993"/>
    <n v="10682.93"/>
    <n v="10682.93"/>
    <n v="9187.3197999999993"/>
    <n v="10682.93"/>
    <n v="0"/>
    <n v="0"/>
    <d v="2025-01-28T00:00:00"/>
    <d v="2024-12-29T00:00:00"/>
    <x v="7"/>
    <x v="0"/>
  </r>
  <r>
    <n v="147"/>
    <s v="USD"/>
    <n v="10540"/>
    <n v="9064.4"/>
    <n v="10540"/>
    <n v="10540"/>
    <n v="9064.4"/>
    <n v="10540"/>
    <n v="0"/>
    <n v="0"/>
    <d v="2025-01-28T00:00:00"/>
    <d v="2024-12-29T00:00:00"/>
    <x v="7"/>
    <x v="0"/>
  </r>
  <r>
    <n v="148"/>
    <s v="USD"/>
    <n v="0"/>
    <n v="0"/>
    <n v="0"/>
    <n v="7786"/>
    <n v="6695.96"/>
    <n v="7786"/>
    <n v="0"/>
    <n v="0"/>
    <d v="2025-01-28T00:00:00"/>
    <d v="2024-12-29T00:00:00"/>
    <x v="7"/>
    <x v="0"/>
  </r>
  <r>
    <n v="149"/>
    <s v="USD"/>
    <n v="29257.41"/>
    <n v="25161.372599999999"/>
    <n v="29257.41"/>
    <n v="46703.1"/>
    <n v="40164.665999999997"/>
    <n v="46703.1"/>
    <n v="0"/>
    <n v="0"/>
    <d v="2025-06-08T00:00:00"/>
    <d v="2025-05-09T00:00:00"/>
    <x v="10"/>
    <x v="1"/>
  </r>
  <r>
    <n v="150"/>
    <s v="USD"/>
    <n v="76483.55"/>
    <n v="65775.853000000003"/>
    <n v="76483.55"/>
    <n v="79382.05"/>
    <n v="68268.562999999995"/>
    <n v="79382.05"/>
    <n v="0"/>
    <n v="0"/>
    <d v="2025-04-08T00:00:00"/>
    <d v="2025-03-09T00:00:00"/>
    <x v="9"/>
    <x v="1"/>
  </r>
  <r>
    <n v="151"/>
    <s v="EUR"/>
    <n v="1512"/>
    <n v="1512"/>
    <n v="1753.9199999999998"/>
    <n v="30644.639999999999"/>
    <n v="30644.639999999999"/>
    <n v="35547.782399999996"/>
    <n v="0"/>
    <n v="0"/>
    <d v="2025-06-06T00:00:00"/>
    <d v="2025-05-07T00:00:00"/>
    <x v="10"/>
    <x v="1"/>
  </r>
  <r>
    <n v="152"/>
    <s v="USD"/>
    <n v="0"/>
    <n v="0"/>
    <n v="0"/>
    <n v="2949"/>
    <n v="2536.14"/>
    <n v="2949"/>
    <n v="0"/>
    <n v="0"/>
    <d v="2025-02-13T00:00:00"/>
    <d v="2025-01-14T00:00:00"/>
    <x v="8"/>
    <x v="1"/>
  </r>
  <r>
    <n v="153"/>
    <s v="USD"/>
    <n v="35259.42"/>
    <n v="30323.101199999997"/>
    <n v="35259.42"/>
    <n v="51174.21"/>
    <n v="44009.820599999999"/>
    <n v="51174.21"/>
    <n v="0"/>
    <n v="0"/>
    <d v="2025-12-19T00:00:00"/>
    <d v="2025-11-19T00:00:00"/>
    <x v="0"/>
    <x v="1"/>
  </r>
  <r>
    <n v="154"/>
    <s v="USD"/>
    <n v="38152.959999999999"/>
    <n v="32811.545599999998"/>
    <n v="38152.959999999999"/>
    <n v="38152.959999999999"/>
    <n v="32811.545599999998"/>
    <n v="38152.959999999999"/>
    <n v="0"/>
    <n v="0"/>
    <d v="2025-04-11T00:00:00"/>
    <d v="2025-03-12T00:00:00"/>
    <x v="9"/>
    <x v="1"/>
  </r>
  <r>
    <n v="155"/>
    <s v="USD"/>
    <n v="15081"/>
    <n v="12969.66"/>
    <n v="15081"/>
    <n v="15081"/>
    <n v="12969.66"/>
    <n v="15081"/>
    <n v="0"/>
    <n v="0"/>
    <d v="2025-03-22T00:00:00"/>
    <d v="2025-02-20T00:00:00"/>
    <x v="5"/>
    <x v="1"/>
  </r>
  <r>
    <n v="156"/>
    <s v="MXN"/>
    <n v="1669499.85"/>
    <n v="80135.992800000007"/>
    <n v="93491.991600000008"/>
    <n v="1669500"/>
    <n v="80136"/>
    <n v="93492"/>
    <n v="-0.14999999990686774"/>
    <n v="-8.3999999947845932E-3"/>
    <d v="2025-05-29T00:00:00"/>
    <d v="2025-04-29T00:00:00"/>
    <x v="4"/>
    <x v="1"/>
  </r>
  <r>
    <n v="157"/>
    <s v="USD"/>
    <n v="99036.97"/>
    <n v="85171.794200000004"/>
    <n v="99036.97"/>
    <n v="103134.33"/>
    <n v="88695.523799999995"/>
    <n v="103134.33"/>
    <n v="-9.0949470177292824E-13"/>
    <n v="-9.0949470177292824E-13"/>
    <d v="2025-12-19T00:00:00"/>
    <d v="2025-11-19T00:00:00"/>
    <x v="0"/>
    <x v="1"/>
  </r>
  <r>
    <n v="158"/>
    <s v="EUR"/>
    <n v="35538.559999999998"/>
    <n v="35538.559999999998"/>
    <n v="41224.729599999991"/>
    <n v="35538.559999999998"/>
    <n v="35538.559999999998"/>
    <n v="41224.729599999991"/>
    <n v="0"/>
    <n v="0"/>
    <d v="2025-06-01T00:00:00"/>
    <d v="2025-05-02T00:00:00"/>
    <x v="10"/>
    <x v="1"/>
  </r>
  <r>
    <n v="159"/>
    <s v="EUR"/>
    <n v="5500"/>
    <n v="5500"/>
    <n v="6380"/>
    <n v="5500"/>
    <n v="5500"/>
    <n v="6380"/>
    <n v="0"/>
    <n v="0"/>
    <d v="2025-02-21T00:00:00"/>
    <d v="2025-01-22T00:00:00"/>
    <x v="8"/>
    <x v="1"/>
  </r>
  <r>
    <n v="160"/>
    <s v="USD"/>
    <n v="3471.84"/>
    <n v="2985.7824000000001"/>
    <n v="3471.84"/>
    <n v="3471.84"/>
    <n v="2985.7824000000001"/>
    <n v="3471.84"/>
    <n v="0"/>
    <n v="0"/>
    <d v="2025-04-11T00:00:00"/>
    <d v="2025-03-12T00:00:00"/>
    <x v="9"/>
    <x v="1"/>
  </r>
  <r>
    <n v="161"/>
    <s v="USD"/>
    <n v="4484.97"/>
    <n v="3857.0742"/>
    <n v="4484.97"/>
    <n v="6759"/>
    <n v="5812.74"/>
    <n v="6759"/>
    <n v="0"/>
    <n v="0"/>
    <d v="2025-07-15T00:00:00"/>
    <d v="2025-06-15T00:00:00"/>
    <x v="3"/>
    <x v="1"/>
  </r>
  <r>
    <n v="162"/>
    <s v="USD"/>
    <n v="0"/>
    <n v="0"/>
    <n v="0"/>
    <n v="5106.96"/>
    <n v="4391.9856"/>
    <n v="5106.96"/>
    <n v="0"/>
    <n v="0"/>
    <d v="2025-05-21T00:00:00"/>
    <d v="2025-04-21T00:00:00"/>
    <x v="4"/>
    <x v="1"/>
  </r>
  <r>
    <n v="163"/>
    <s v="EUR"/>
    <n v="15479.350000000006"/>
    <n v="15479.350000000006"/>
    <n v="17956.046000000006"/>
    <n v="51132.62"/>
    <n v="51132.62"/>
    <n v="59313.839200000002"/>
    <n v="0"/>
    <n v="0"/>
    <d v="2025-06-24T00:00:00"/>
    <d v="2025-05-25T00:00:00"/>
    <x v="10"/>
    <x v="1"/>
  </r>
  <r>
    <n v="164"/>
    <s v="EUR"/>
    <n v="0"/>
    <n v="0"/>
    <n v="0"/>
    <n v="3445.65"/>
    <n v="3445.65"/>
    <n v="3996.9539999999997"/>
    <n v="0"/>
    <n v="0"/>
    <d v="2025-04-12T00:00:00"/>
    <d v="2025-03-13T00:00:00"/>
    <x v="9"/>
    <x v="1"/>
  </r>
  <r>
    <n v="165"/>
    <s v="USD"/>
    <n v="0"/>
    <n v="0"/>
    <n v="0"/>
    <n v="2277.39"/>
    <n v="1958.5554"/>
    <n v="2277.39"/>
    <n v="0"/>
    <n v="0"/>
    <d v="2025-03-14T00:00:00"/>
    <d v="2025-02-12T00:00:00"/>
    <x v="5"/>
    <x v="1"/>
  </r>
  <r>
    <n v="167"/>
    <s v="USD"/>
    <n v="0"/>
    <n v="0"/>
    <n v="0"/>
    <n v="2611.4299999999998"/>
    <n v="2245.8298"/>
    <n v="2611.4299999999998"/>
    <n v="0"/>
    <n v="0"/>
    <d v="2025-03-06T00:00:00"/>
    <d v="2025-02-04T00:00:00"/>
    <x v="5"/>
    <x v="1"/>
  </r>
  <r>
    <n v="168"/>
    <s v="USD"/>
    <n v="560"/>
    <n v="481.59999999999997"/>
    <n v="560"/>
    <n v="7872.54"/>
    <n v="6770.3843999999999"/>
    <n v="7872.54"/>
    <n v="0"/>
    <n v="0"/>
    <d v="2025-03-14T00:00:00"/>
    <d v="2025-02-12T00:00:00"/>
    <x v="5"/>
    <x v="1"/>
  </r>
  <r>
    <n v="169"/>
    <s v="USD"/>
    <n v="24281"/>
    <n v="20881.66"/>
    <n v="24281"/>
    <n v="24136"/>
    <n v="20756.96"/>
    <n v="24136"/>
    <n v="145"/>
    <n v="145"/>
    <d v="2025-05-18T00:00:00"/>
    <d v="2025-04-18T00:00:00"/>
    <x v="4"/>
    <x v="1"/>
  </r>
  <r>
    <n v="170"/>
    <s v="EUR"/>
    <n v="23395.579999999998"/>
    <n v="23395.579999999998"/>
    <n v="27138.872799999997"/>
    <n v="48306.67"/>
    <n v="48306.67"/>
    <n v="56035.737199999996"/>
    <n v="4460"/>
    <n v="5173.5999999999995"/>
    <d v="2025-06-10T00:00:00"/>
    <d v="2025-05-11T00:00:00"/>
    <x v="10"/>
    <x v="1"/>
  </r>
  <r>
    <n v="171"/>
    <s v="USD"/>
    <n v="166315.13999999998"/>
    <n v="143031.02039999998"/>
    <n v="166315.13999999998"/>
    <n v="172307.58"/>
    <n v="148184.51879999999"/>
    <n v="172307.58"/>
    <n v="-2.7284841053187847E-12"/>
    <n v="-2.7284841053187847E-12"/>
    <d v="2025-04-03T00:00:00"/>
    <d v="2025-03-04T00:00:00"/>
    <x v="9"/>
    <x v="1"/>
  </r>
  <r>
    <n v="172"/>
    <s v="USD"/>
    <n v="16848.280000000002"/>
    <n v="14489.520800000002"/>
    <n v="16848.280000000002"/>
    <n v="34174.980000000003"/>
    <n v="29390.482800000002"/>
    <n v="34174.980000000003"/>
    <n v="0"/>
    <n v="0"/>
    <d v="2025-10-07T00:00:00"/>
    <d v="2025-09-07T00:00:00"/>
    <x v="1"/>
    <x v="1"/>
  </r>
  <r>
    <n v="173"/>
    <s v="USD"/>
    <n v="18713.400000000001"/>
    <n v="16093.524000000001"/>
    <n v="18713.400000000001"/>
    <n v="30665.64"/>
    <n v="26372.450399999998"/>
    <n v="30665.64"/>
    <n v="1.8189894035458565E-12"/>
    <n v="1.8189894035458565E-12"/>
    <d v="2025-07-17T00:00:00"/>
    <d v="2025-06-17T00:00:00"/>
    <x v="3"/>
    <x v="1"/>
  </r>
  <r>
    <n v="174"/>
    <s v="USD"/>
    <n v="26206.01"/>
    <n v="22537.168599999997"/>
    <n v="26206.01"/>
    <n v="25665.439999999999"/>
    <n v="22072.278399999999"/>
    <n v="25665.439999999999"/>
    <n v="0"/>
    <n v="0"/>
    <d v="2025-02-20T00:00:00"/>
    <d v="2025-01-21T00:00:00"/>
    <x v="8"/>
    <x v="1"/>
  </r>
  <r>
    <n v="175"/>
    <s v="USD"/>
    <n v="72356.42"/>
    <n v="62226.521199999996"/>
    <n v="72356.42"/>
    <n v="72356.42"/>
    <n v="62226.521199999996"/>
    <n v="72356.42"/>
    <n v="0"/>
    <n v="0"/>
    <d v="2025-05-22T00:00:00"/>
    <d v="2025-04-22T00:00:00"/>
    <x v="4"/>
    <x v="1"/>
  </r>
  <r>
    <n v="176"/>
    <s v="USD"/>
    <n v="0"/>
    <n v="0"/>
    <n v="0"/>
    <n v="4998.51"/>
    <n v="4298.7186000000002"/>
    <n v="4998.51"/>
    <n v="0"/>
    <n v="0"/>
    <d v="2025-04-17T00:00:00"/>
    <d v="2025-03-18T00:00:00"/>
    <x v="9"/>
    <x v="1"/>
  </r>
  <r>
    <n v="177"/>
    <s v="USD"/>
    <n v="18247"/>
    <n v="15692.42"/>
    <n v="18247"/>
    <n v="18247"/>
    <n v="15692.42"/>
    <n v="18247"/>
    <n v="0"/>
    <n v="0"/>
    <d v="2025-04-12T00:00:00"/>
    <d v="2025-03-13T00:00:00"/>
    <x v="9"/>
    <x v="1"/>
  </r>
  <r>
    <n v="178"/>
    <s v="USD"/>
    <n v="11312.07"/>
    <n v="9728.3801999999996"/>
    <n v="11312.07"/>
    <n v="624.96"/>
    <n v="537.46559999999999"/>
    <n v="624.96"/>
    <n v="0"/>
    <n v="0"/>
    <d v="2025-03-17T00:00:00"/>
    <d v="2025-02-15T00:00:00"/>
    <x v="5"/>
    <x v="1"/>
  </r>
  <r>
    <n v="179"/>
    <s v="USD"/>
    <n v="0"/>
    <n v="0"/>
    <n v="0"/>
    <n v="2598.7600000000002"/>
    <n v="2234.9336000000003"/>
    <n v="2598.7600000000002"/>
    <n v="0"/>
    <n v="0"/>
    <d v="2025-05-02T00:00:00"/>
    <d v="2025-04-02T00:00:00"/>
    <x v="4"/>
    <x v="1"/>
  </r>
  <r>
    <n v="180"/>
    <s v="USD"/>
    <n v="0"/>
    <n v="0"/>
    <n v="0"/>
    <n v="2458.9"/>
    <n v="2114.654"/>
    <n v="2458.9"/>
    <n v="0"/>
    <n v="0"/>
    <d v="2025-04-04T00:00:00"/>
    <d v="2025-03-05T00:00:00"/>
    <x v="9"/>
    <x v="1"/>
  </r>
  <r>
    <n v="181"/>
    <s v="USD"/>
    <n v="0"/>
    <n v="0"/>
    <n v="0"/>
    <n v="19706"/>
    <n v="16947.16"/>
    <n v="19706"/>
    <n v="0"/>
    <n v="0"/>
    <d v="2025-07-21T00:00:00"/>
    <d v="2025-06-21T00:00:00"/>
    <x v="3"/>
    <x v="1"/>
  </r>
  <r>
    <n v="183"/>
    <s v="USD"/>
    <n v="37718.11"/>
    <n v="32437.5746"/>
    <n v="37718.11"/>
    <n v="37718.11"/>
    <n v="32437.5746"/>
    <n v="37718.11"/>
    <n v="0"/>
    <n v="0"/>
    <d v="2025-07-09T00:00:00"/>
    <d v="2025-06-09T00:00:00"/>
    <x v="3"/>
    <x v="1"/>
  </r>
  <r>
    <n v="185"/>
    <s v="USD"/>
    <n v="0"/>
    <n v="0"/>
    <n v="0"/>
    <n v="1196"/>
    <n v="1028.56"/>
    <n v="1196"/>
    <n v="0"/>
    <n v="0"/>
    <d v="2025-01-25T00:00:00"/>
    <d v="2024-12-26T00:00:00"/>
    <x v="7"/>
    <x v="0"/>
  </r>
  <r>
    <n v="186"/>
    <s v="MXN"/>
    <n v="134515"/>
    <n v="6456.72"/>
    <n v="7532.84"/>
    <n v="134515"/>
    <n v="6456.72"/>
    <n v="7532.84"/>
    <n v="0"/>
    <n v="0"/>
    <d v="2025-02-04T00:00:00"/>
    <d v="2025-01-05T00:00:00"/>
    <x v="8"/>
    <x v="1"/>
  </r>
  <r>
    <n v="187"/>
    <s v="USD"/>
    <n v="0"/>
    <n v="0"/>
    <n v="0"/>
    <n v="3382.8"/>
    <n v="2909.2080000000001"/>
    <n v="3382.8"/>
    <n v="0"/>
    <n v="0"/>
    <d v="2025-03-06T00:00:00"/>
    <d v="2025-02-04T00:00:00"/>
    <x v="5"/>
    <x v="1"/>
  </r>
  <r>
    <n v="188"/>
    <s v="USD"/>
    <n v="0"/>
    <n v="0"/>
    <n v="0"/>
    <n v="10019.209999999999"/>
    <n v="8616.5205999999998"/>
    <n v="10019.209999999999"/>
    <n v="0"/>
    <n v="0"/>
    <d v="2025-02-01T00:00:00"/>
    <d v="2025-01-02T00:00:00"/>
    <x v="8"/>
    <x v="1"/>
  </r>
  <r>
    <n v="189"/>
    <s v="USD"/>
    <n v="34063.61"/>
    <n v="29294.704600000001"/>
    <n v="34063.61"/>
    <n v="34063.61"/>
    <n v="29294.704600000001"/>
    <n v="34063.61"/>
    <n v="0"/>
    <n v="0"/>
    <d v="2025-04-13T00:00:00"/>
    <d v="2025-03-14T00:00:00"/>
    <x v="9"/>
    <x v="1"/>
  </r>
  <r>
    <n v="190"/>
    <s v="USD"/>
    <n v="0"/>
    <n v="0"/>
    <n v="0"/>
    <n v="5626.99"/>
    <n v="4839.2114000000001"/>
    <n v="5626.99"/>
    <n v="0"/>
    <n v="0"/>
    <d v="2025-04-10T00:00:00"/>
    <d v="2025-03-11T00:00:00"/>
    <x v="9"/>
    <x v="1"/>
  </r>
  <r>
    <n v="192"/>
    <s v="USD"/>
    <n v="0"/>
    <n v="0"/>
    <n v="0"/>
    <n v="5250"/>
    <n v="4515"/>
    <n v="5250"/>
    <n v="0"/>
    <n v="0"/>
    <d v="2024-12-06T00:00:00"/>
    <d v="2024-11-06T00:00:00"/>
    <x v="0"/>
    <x v="0"/>
  </r>
  <r>
    <n v="193"/>
    <s v="USD"/>
    <n v="55377.579999999994"/>
    <n v="47624.718799999995"/>
    <n v="55377.579999999994"/>
    <n v="68627.509999999995"/>
    <n v="59019.658599999995"/>
    <n v="68627.509999999995"/>
    <n v="0"/>
    <n v="0"/>
    <d v="2025-04-04T00:00:00"/>
    <d v="2025-03-05T00:00:00"/>
    <x v="9"/>
    <x v="1"/>
  </r>
  <r>
    <n v="194"/>
    <s v="USD"/>
    <n v="8470.11"/>
    <n v="7284.2946000000002"/>
    <n v="8470.11"/>
    <n v="8470.11"/>
    <n v="7284.2946000000002"/>
    <n v="8470.11"/>
    <n v="0"/>
    <n v="0"/>
    <d v="2025-05-22T00:00:00"/>
    <d v="2025-04-22T00:00:00"/>
    <x v="4"/>
    <x v="1"/>
  </r>
  <r>
    <n v="195"/>
    <s v="EUR"/>
    <n v="5407.5"/>
    <n v="5407.5"/>
    <n v="6272.7"/>
    <n v="16000"/>
    <n v="16000"/>
    <n v="18560"/>
    <n v="0"/>
    <n v="0"/>
    <d v="2025-07-12T00:00:00"/>
    <d v="2025-06-12T00:00:00"/>
    <x v="3"/>
    <x v="1"/>
  </r>
  <r>
    <n v="196"/>
    <s v="USD"/>
    <n v="70"/>
    <n v="60.199999999999996"/>
    <n v="70"/>
    <n v="14952.34"/>
    <n v="12859.0124"/>
    <n v="14952.34"/>
    <n v="0"/>
    <n v="0"/>
    <d v="2025-05-14T00:00:00"/>
    <d v="2025-04-14T00:00:00"/>
    <x v="4"/>
    <x v="1"/>
  </r>
  <r>
    <n v="197"/>
    <s v="USD"/>
    <n v="8747"/>
    <n v="7522.42"/>
    <n v="8747"/>
    <n v="8747"/>
    <n v="7522.42"/>
    <n v="8747"/>
    <n v="0"/>
    <n v="0"/>
    <d v="2025-03-15T00:00:00"/>
    <d v="2025-02-13T00:00:00"/>
    <x v="5"/>
    <x v="1"/>
  </r>
  <r>
    <n v="198"/>
    <s v="USD"/>
    <n v="32203"/>
    <n v="27694.579999999998"/>
    <n v="32203"/>
    <n v="84945.09"/>
    <n v="73052.777399999992"/>
    <n v="84945.09"/>
    <n v="2"/>
    <n v="2"/>
    <d v="2025-10-22T00:00:00"/>
    <d v="2025-09-22T00:00:00"/>
    <x v="1"/>
    <x v="1"/>
  </r>
  <r>
    <n v="199"/>
    <s v="USD"/>
    <n v="0"/>
    <n v="0"/>
    <n v="0"/>
    <n v="4395"/>
    <n v="3779.7"/>
    <n v="4395"/>
    <n v="0"/>
    <n v="0"/>
    <d v="2025-02-09T00:00:00"/>
    <d v="2025-01-10T00:00:00"/>
    <x v="8"/>
    <x v="1"/>
  </r>
  <r>
    <n v="200"/>
    <s v="USD"/>
    <n v="0"/>
    <n v="0"/>
    <n v="0"/>
    <n v="3998.77"/>
    <n v="3438.9422"/>
    <n v="3998.77"/>
    <n v="0"/>
    <n v="0"/>
    <d v="2025-03-19T00:00:00"/>
    <d v="2025-02-17T00:00:00"/>
    <x v="5"/>
    <x v="1"/>
  </r>
  <r>
    <n v="201"/>
    <s v="USD"/>
    <n v="0"/>
    <n v="0"/>
    <n v="0"/>
    <n v="3998.77"/>
    <n v="3438.9422"/>
    <n v="3998.77"/>
    <n v="0"/>
    <n v="0"/>
    <d v="2025-03-19T00:00:00"/>
    <d v="2025-02-17T00:00:00"/>
    <x v="5"/>
    <x v="1"/>
  </r>
  <r>
    <n v="202"/>
    <s v="USD"/>
    <n v="20827"/>
    <n v="17911.22"/>
    <n v="20827"/>
    <n v="31690.94"/>
    <n v="27254.2084"/>
    <n v="31690.94"/>
    <n v="1.8189894035458565E-12"/>
    <n v="1.8189894035458565E-12"/>
    <d v="2025-10-10T00:00:00"/>
    <d v="2025-09-10T00:00:00"/>
    <x v="1"/>
    <x v="1"/>
  </r>
  <r>
    <n v="203"/>
    <s v="USD"/>
    <n v="2503.2000000000003"/>
    <n v="2152.7520000000004"/>
    <n v="2503.2000000000003"/>
    <n v="4115.6400000000003"/>
    <n v="3539.4504000000002"/>
    <n v="4115.6400000000003"/>
    <n v="0"/>
    <n v="0"/>
    <d v="2025-05-21T00:00:00"/>
    <d v="2025-04-21T00:00:00"/>
    <x v="4"/>
    <x v="1"/>
  </r>
  <r>
    <n v="204"/>
    <s v="EUR"/>
    <n v="114350.81"/>
    <n v="114350.81"/>
    <n v="132646.93959999998"/>
    <n v="120965.81"/>
    <n v="120965.81"/>
    <n v="140320.33959999998"/>
    <n v="0"/>
    <n v="0"/>
    <d v="2025-06-14T00:00:00"/>
    <d v="2025-05-15T00:00:00"/>
    <x v="10"/>
    <x v="1"/>
  </r>
  <r>
    <n v="205"/>
    <s v="MXN"/>
    <n v="0"/>
    <n v="0"/>
    <n v="0"/>
    <n v="868193.33"/>
    <n v="41673.279839999996"/>
    <n v="48618.826479999996"/>
    <n v="0"/>
    <n v="0"/>
    <d v="2025-04-17T00:00:00"/>
    <d v="2025-03-18T00:00:00"/>
    <x v="9"/>
    <x v="1"/>
  </r>
  <r>
    <n v="206"/>
    <s v="USD"/>
    <n v="0"/>
    <n v="0"/>
    <n v="0"/>
    <n v="8210"/>
    <n v="7060.5999999999995"/>
    <n v="8210"/>
    <n v="0"/>
    <n v="0"/>
    <d v="2025-03-19T00:00:00"/>
    <d v="2025-02-17T00:00:00"/>
    <x v="5"/>
    <x v="1"/>
  </r>
  <r>
    <n v="207"/>
    <s v="USD"/>
    <n v="0"/>
    <n v="0"/>
    <n v="0"/>
    <n v="4370.66"/>
    <n v="3758.7675999999997"/>
    <n v="4370.66"/>
    <n v="0"/>
    <n v="0"/>
    <d v="2025-06-24T00:00:00"/>
    <d v="2025-05-25T00:00:00"/>
    <x v="10"/>
    <x v="1"/>
  </r>
  <r>
    <n v="208"/>
    <s v="USD"/>
    <n v="0"/>
    <n v="0"/>
    <n v="0"/>
    <n v="4370.66"/>
    <n v="3758.7675999999997"/>
    <n v="4370.66"/>
    <n v="0"/>
    <n v="0"/>
    <d v="2025-06-24T00:00:00"/>
    <d v="2025-05-25T00:00:00"/>
    <x v="10"/>
    <x v="1"/>
  </r>
  <r>
    <n v="209"/>
    <s v="EUR"/>
    <n v="2293.19"/>
    <n v="2293.19"/>
    <n v="2660.1003999999998"/>
    <n v="2293.19"/>
    <n v="2293.19"/>
    <n v="2660.1003999999998"/>
    <n v="0"/>
    <n v="0"/>
    <d v="2025-04-24T00:00:00"/>
    <d v="2025-03-25T00:00:00"/>
    <x v="9"/>
    <x v="1"/>
  </r>
  <r>
    <n v="210"/>
    <s v="USD"/>
    <n v="20882.560000000001"/>
    <n v="17959.0016"/>
    <n v="20882.560000000001"/>
    <n v="20883"/>
    <n v="17959.38"/>
    <n v="20883"/>
    <n v="-0.43999999999869033"/>
    <n v="-0.43999999999869033"/>
    <d v="2025-04-11T00:00:00"/>
    <d v="2025-03-12T00:00:00"/>
    <x v="9"/>
    <x v="1"/>
  </r>
  <r>
    <n v="211"/>
    <s v="USD"/>
    <n v="4088.2"/>
    <n v="3515.8519999999999"/>
    <n v="4088.2"/>
    <n v="4088.2"/>
    <n v="3515.8519999999999"/>
    <n v="4088.2"/>
    <n v="0"/>
    <n v="0"/>
    <d v="2025-03-03T00:00:00"/>
    <d v="2025-02-01T00:00:00"/>
    <x v="5"/>
    <x v="1"/>
  </r>
  <r>
    <n v="213"/>
    <s v="USD"/>
    <n v="70"/>
    <n v="60.199999999999996"/>
    <n v="70"/>
    <n v="19973.2"/>
    <n v="17176.952000000001"/>
    <n v="19973.2"/>
    <n v="0"/>
    <n v="0"/>
    <d v="2025-04-18T00:00:00"/>
    <d v="2025-03-19T00:00:00"/>
    <x v="9"/>
    <x v="1"/>
  </r>
  <r>
    <n v="214"/>
    <s v="USD"/>
    <n v="25656.01"/>
    <n v="22064.168599999997"/>
    <n v="25656.01"/>
    <n v="27730.21"/>
    <n v="23847.980599999999"/>
    <n v="27730.21"/>
    <n v="-9.0949470177292824E-13"/>
    <n v="-9.0949470177292824E-13"/>
    <d v="2025-04-20T00:00:00"/>
    <d v="2025-03-21T00:00:00"/>
    <x v="9"/>
    <x v="1"/>
  </r>
  <r>
    <n v="215"/>
    <s v="EUR"/>
    <n v="11192"/>
    <n v="11192"/>
    <n v="12982.72"/>
    <n v="33148.04"/>
    <n v="33148.04"/>
    <n v="38451.7264"/>
    <n v="0"/>
    <n v="0"/>
    <d v="2025-02-20T00:00:00"/>
    <d v="2025-01-21T00:00:00"/>
    <x v="8"/>
    <x v="1"/>
  </r>
  <r>
    <n v="216"/>
    <s v="USD"/>
    <n v="0"/>
    <n v="0"/>
    <n v="0"/>
    <n v="58328.6"/>
    <n v="50162.595999999998"/>
    <n v="58328.6"/>
    <n v="0"/>
    <n v="0"/>
    <d v="2025-03-17T00:00:00"/>
    <d v="2025-02-15T00:00:00"/>
    <x v="5"/>
    <x v="1"/>
  </r>
  <r>
    <n v="217"/>
    <s v="USD"/>
    <n v="0"/>
    <n v="0"/>
    <n v="0"/>
    <n v="3574"/>
    <n v="3073.64"/>
    <n v="3574"/>
    <n v="0"/>
    <n v="0"/>
    <d v="2025-03-27T00:00:00"/>
    <d v="2025-02-25T00:00:00"/>
    <x v="5"/>
    <x v="1"/>
  </r>
  <r>
    <n v="218"/>
    <s v="USD"/>
    <n v="83350"/>
    <n v="71681"/>
    <n v="83350"/>
    <n v="90597.7"/>
    <n v="77914.021999999997"/>
    <n v="90597.7"/>
    <n v="2.7284841053187847E-12"/>
    <n v="2.7284841053187847E-12"/>
    <d v="2025-07-27T00:00:00"/>
    <d v="2025-06-27T00:00:00"/>
    <x v="3"/>
    <x v="1"/>
  </r>
  <r>
    <n v="219"/>
    <s v="EUR"/>
    <n v="0"/>
    <n v="0"/>
    <n v="0"/>
    <n v="10185.200000000001"/>
    <n v="10185.200000000001"/>
    <n v="11814.832"/>
    <n v="0"/>
    <n v="0"/>
    <d v="2025-06-05T00:00:00"/>
    <d v="2025-05-06T00:00:00"/>
    <x v="10"/>
    <x v="1"/>
  </r>
  <r>
    <n v="220"/>
    <s v="EUR"/>
    <n v="0"/>
    <n v="0"/>
    <n v="0"/>
    <n v="9173.7000000000007"/>
    <n v="9173.7000000000007"/>
    <n v="10641.492"/>
    <n v="0"/>
    <n v="0"/>
    <d v="2025-04-30T00:00:00"/>
    <d v="2025-03-31T00:00:00"/>
    <x v="9"/>
    <x v="1"/>
  </r>
  <r>
    <n v="221"/>
    <s v="USD"/>
    <n v="23018"/>
    <n v="19795.48"/>
    <n v="23018"/>
    <n v="23018"/>
    <n v="19795.48"/>
    <n v="23018"/>
    <n v="0"/>
    <n v="0"/>
    <d v="2025-06-29T00:00:00"/>
    <d v="2025-05-30T00:00:00"/>
    <x v="10"/>
    <x v="1"/>
  </r>
  <r>
    <n v="222"/>
    <s v="USD"/>
    <n v="0"/>
    <n v="0"/>
    <n v="0"/>
    <n v="84169.55"/>
    <n v="72385.812999999995"/>
    <n v="84169.55"/>
    <n v="0"/>
    <n v="0"/>
    <d v="2025-07-15T00:00:00"/>
    <d v="2025-06-15T00:00:00"/>
    <x v="3"/>
    <x v="1"/>
  </r>
  <r>
    <n v="223"/>
    <s v="USD"/>
    <n v="0"/>
    <n v="0"/>
    <n v="0"/>
    <n v="12539.51"/>
    <n v="10783.9786"/>
    <n v="12539.51"/>
    <n v="0"/>
    <n v="0"/>
    <d v="2025-04-21T00:00:00"/>
    <d v="2025-03-22T00:00:00"/>
    <x v="9"/>
    <x v="1"/>
  </r>
  <r>
    <n v="225"/>
    <s v="EUR"/>
    <n v="1912.84"/>
    <n v="1912.84"/>
    <n v="2218.8943999999997"/>
    <n v="1912.84"/>
    <n v="1912.84"/>
    <n v="2218.8943999999997"/>
    <n v="0"/>
    <n v="0"/>
    <d v="2025-04-17T00:00:00"/>
    <d v="2025-03-18T00:00:00"/>
    <x v="9"/>
    <x v="1"/>
  </r>
  <r>
    <n v="226"/>
    <s v="USD"/>
    <n v="28791.710000000003"/>
    <n v="24760.870600000002"/>
    <n v="28791.710000000003"/>
    <n v="15903.93"/>
    <n v="13677.379800000001"/>
    <n v="15903.93"/>
    <n v="0"/>
    <n v="0"/>
    <d v="2025-06-17T00:00:00"/>
    <d v="2025-05-18T00:00:00"/>
    <x v="10"/>
    <x v="1"/>
  </r>
  <r>
    <n v="227"/>
    <s v="USD"/>
    <n v="0"/>
    <n v="0"/>
    <n v="0"/>
    <n v="1822.35"/>
    <n v="1567.221"/>
    <n v="1822.35"/>
    <n v="0"/>
    <n v="0"/>
    <d v="2025-06-16T00:00:00"/>
    <d v="2025-05-17T00:00:00"/>
    <x v="10"/>
    <x v="1"/>
  </r>
  <r>
    <n v="228"/>
    <s v="USD"/>
    <n v="24578"/>
    <n v="21137.079999999998"/>
    <n v="24578"/>
    <n v="31520"/>
    <n v="27107.200000000001"/>
    <n v="31520"/>
    <n v="0"/>
    <n v="0"/>
    <d v="2025-04-14T00:00:00"/>
    <d v="2025-03-15T00:00:00"/>
    <x v="9"/>
    <x v="1"/>
  </r>
  <r>
    <n v="229"/>
    <s v="USD"/>
    <n v="210"/>
    <n v="180.6"/>
    <n v="210"/>
    <n v="20656.189999999999"/>
    <n v="17764.323399999997"/>
    <n v="20656.189999999999"/>
    <n v="0"/>
    <n v="0"/>
    <d v="2025-09-03T00:00:00"/>
    <d v="2025-08-04T00:00:00"/>
    <x v="6"/>
    <x v="1"/>
  </r>
  <r>
    <n v="232"/>
    <s v="MXN"/>
    <n v="0"/>
    <n v="0"/>
    <n v="0"/>
    <n v="51558.95"/>
    <n v="2474.8296"/>
    <n v="2887.3011999999999"/>
    <n v="0"/>
    <n v="0"/>
    <d v="2025-02-25T00:00:00"/>
    <d v="2025-01-26T00:00:00"/>
    <x v="8"/>
    <x v="1"/>
  </r>
  <r>
    <n v="235"/>
    <s v="USD"/>
    <n v="0"/>
    <n v="0"/>
    <n v="0"/>
    <n v="2120.8000000000002"/>
    <n v="1823.8880000000001"/>
    <n v="2120.8000000000002"/>
    <n v="0"/>
    <n v="0"/>
    <d v="2025-02-20T00:00:00"/>
    <d v="2025-01-21T00:00:00"/>
    <x v="8"/>
    <x v="1"/>
  </r>
  <r>
    <n v="236"/>
    <s v="USD"/>
    <n v="0"/>
    <n v="0"/>
    <n v="0"/>
    <n v="13318.8"/>
    <n v="11454.168"/>
    <n v="13318.8"/>
    <n v="0"/>
    <n v="0"/>
    <d v="2025-01-02T00:00:00"/>
    <d v="2024-12-03T00:00:00"/>
    <x v="7"/>
    <x v="0"/>
  </r>
  <r>
    <n v="237"/>
    <s v="EUR"/>
    <n v="0"/>
    <n v="0"/>
    <n v="0"/>
    <n v="4100"/>
    <n v="4100"/>
    <n v="4756"/>
    <n v="0"/>
    <n v="0"/>
    <d v="2025-02-09T00:00:00"/>
    <d v="2025-01-10T00:00:00"/>
    <x v="8"/>
    <x v="1"/>
  </r>
  <r>
    <n v="238"/>
    <s v="USD"/>
    <n v="139.9999999999709"/>
    <n v="120.39999999997497"/>
    <n v="139.9999999999709"/>
    <n v="133523.04999999999"/>
    <n v="114829.82299999999"/>
    <n v="133523.04999999999"/>
    <n v="0"/>
    <n v="0"/>
    <d v="2025-07-18T00:00:00"/>
    <d v="2025-06-18T00:00:00"/>
    <x v="3"/>
    <x v="1"/>
  </r>
  <r>
    <n v="239"/>
    <s v="USD"/>
    <n v="95187.89"/>
    <n v="81861.585399999996"/>
    <n v="95187.89"/>
    <n v="96644.2"/>
    <n v="83114.012000000002"/>
    <n v="96644.2"/>
    <n v="4883.050000000002"/>
    <n v="4883.050000000002"/>
    <d v="2025-04-02T00:00:00"/>
    <d v="2025-03-03T00:00:00"/>
    <x v="9"/>
    <x v="1"/>
  </r>
  <r>
    <n v="241"/>
    <s v="USD"/>
    <n v="7411.8899999999994"/>
    <n v="6374.2253999999994"/>
    <n v="7411.8899999999994"/>
    <n v="50770.04"/>
    <n v="43662.234400000001"/>
    <n v="50770.04"/>
    <n v="0"/>
    <n v="0"/>
    <d v="2025-04-29T00:00:00"/>
    <d v="2025-03-30T00:00:00"/>
    <x v="9"/>
    <x v="1"/>
  </r>
  <r>
    <n v="243"/>
    <s v="EUR"/>
    <n v="0"/>
    <n v="0"/>
    <n v="0"/>
    <n v="3693.34"/>
    <n v="3693.34"/>
    <n v="4284.2744000000002"/>
    <n v="0"/>
    <n v="0"/>
    <d v="2025-05-13T00:00:00"/>
    <d v="2025-04-13T00:00:00"/>
    <x v="4"/>
    <x v="1"/>
  </r>
  <r>
    <n v="244"/>
    <s v="EUR"/>
    <n v="4575.68"/>
    <n v="4575.68"/>
    <n v="5307.7888000000003"/>
    <n v="7141.56"/>
    <n v="7141.56"/>
    <n v="8284.2096000000001"/>
    <n v="0"/>
    <n v="0"/>
    <d v="2025-06-06T00:00:00"/>
    <d v="2025-05-07T00:00:00"/>
    <x v="10"/>
    <x v="1"/>
  </r>
  <r>
    <n v="245"/>
    <s v="EUR"/>
    <n v="3468.3499999999985"/>
    <n v="3468.3499999999985"/>
    <n v="4023.2859999999982"/>
    <n v="35407.11"/>
    <n v="35407.11"/>
    <n v="41072.247599999995"/>
    <n v="0"/>
    <n v="0"/>
    <d v="2025-04-14T00:00:00"/>
    <d v="2025-03-15T00:00:00"/>
    <x v="9"/>
    <x v="1"/>
  </r>
  <r>
    <n v="246"/>
    <s v="USD"/>
    <n v="0"/>
    <n v="0"/>
    <n v="0"/>
    <n v="8683"/>
    <n v="7467.38"/>
    <n v="8683"/>
    <n v="0"/>
    <n v="0"/>
    <d v="2025-01-21T00:00:00"/>
    <d v="2024-12-22T00:00:00"/>
    <x v="7"/>
    <x v="0"/>
  </r>
  <r>
    <n v="248"/>
    <s v="USD"/>
    <n v="0"/>
    <n v="0"/>
    <n v="0"/>
    <n v="2300"/>
    <n v="1978"/>
    <n v="2300"/>
    <n v="0"/>
    <n v="0"/>
    <d v="2025-05-26T00:00:00"/>
    <d v="2025-04-26T00:00:00"/>
    <x v="4"/>
    <x v="1"/>
  </r>
  <r>
    <n v="249"/>
    <s v="USD"/>
    <n v="0"/>
    <n v="0"/>
    <n v="0"/>
    <n v="9332.16"/>
    <n v="8025.6575999999995"/>
    <n v="9332.16"/>
    <n v="0"/>
    <n v="0"/>
    <d v="2025-05-09T00:00:00"/>
    <d v="2025-04-09T00:00:00"/>
    <x v="4"/>
    <x v="1"/>
  </r>
  <r>
    <n v="250"/>
    <s v="EUR"/>
    <n v="16740.849999999999"/>
    <n v="16740.849999999999"/>
    <n v="19419.385999999999"/>
    <n v="16740.849999999999"/>
    <n v="16740.849999999999"/>
    <n v="19419.385999999999"/>
    <n v="0"/>
    <n v="0"/>
    <d v="2025-05-15T00:00:00"/>
    <d v="2025-04-15T00:00:00"/>
    <x v="4"/>
    <x v="1"/>
  </r>
  <r>
    <n v="251"/>
    <s v="EUR"/>
    <n v="0"/>
    <n v="0"/>
    <n v="0"/>
    <n v="9187.42"/>
    <n v="9187.42"/>
    <n v="10657.4072"/>
    <n v="0"/>
    <n v="0"/>
    <d v="2025-05-14T00:00:00"/>
    <d v="2025-04-14T00:00:00"/>
    <x v="4"/>
    <x v="1"/>
  </r>
  <r>
    <n v="252"/>
    <s v="USD"/>
    <n v="1215.0000000000009"/>
    <n v="1044.9000000000008"/>
    <n v="1215.0000000000009"/>
    <n v="6474.58"/>
    <n v="5568.1387999999997"/>
    <n v="6474.58"/>
    <n v="0"/>
    <n v="0"/>
    <d v="2025-05-10T00:00:00"/>
    <d v="2025-04-10T00:00:00"/>
    <x v="4"/>
    <x v="1"/>
  </r>
  <r>
    <n v="253"/>
    <s v="USD"/>
    <n v="0"/>
    <n v="0"/>
    <n v="0"/>
    <n v="733.5"/>
    <n v="630.80999999999995"/>
    <n v="733.5"/>
    <n v="0"/>
    <n v="0"/>
    <d v="2025-04-19T00:00:00"/>
    <d v="2025-03-20T00:00:00"/>
    <x v="9"/>
    <x v="1"/>
  </r>
  <r>
    <n v="255"/>
    <s v="EUR"/>
    <n v="141358"/>
    <n v="141358"/>
    <n v="163975.28"/>
    <n v="141358"/>
    <n v="141358"/>
    <n v="163975.28"/>
    <n v="0"/>
    <n v="0"/>
    <d v="2025-04-12T00:00:00"/>
    <d v="2025-03-13T00:00:00"/>
    <x v="9"/>
    <x v="1"/>
  </r>
  <r>
    <n v="257"/>
    <s v="USD"/>
    <n v="22879.21"/>
    <n v="19676.120599999998"/>
    <n v="22879.21"/>
    <n v="22756.13"/>
    <n v="19570.271800000002"/>
    <n v="22756.13"/>
    <n v="123.07999999999811"/>
    <n v="123.07999999999811"/>
    <d v="2026-02-03T00:00:00"/>
    <d v="2026-01-04T00:00:00"/>
    <x v="8"/>
    <x v="2"/>
  </r>
  <r>
    <n v="258"/>
    <s v="EUR"/>
    <n v="0"/>
    <n v="0"/>
    <n v="0"/>
    <n v="2530"/>
    <n v="2530"/>
    <n v="2934.7999999999997"/>
    <n v="0"/>
    <n v="0"/>
    <d v="2025-04-22T00:00:00"/>
    <d v="2025-03-23T00:00:00"/>
    <x v="9"/>
    <x v="1"/>
  </r>
  <r>
    <n v="259"/>
    <s v="USD"/>
    <n v="375"/>
    <n v="322.5"/>
    <n v="375"/>
    <n v="1938.9"/>
    <n v="1667.454"/>
    <n v="1938.9"/>
    <n v="0"/>
    <n v="0"/>
    <d v="2025-06-16T00:00:00"/>
    <d v="2025-05-17T00:00:00"/>
    <x v="10"/>
    <x v="1"/>
  </r>
  <r>
    <n v="260"/>
    <s v="USD"/>
    <n v="0"/>
    <n v="0"/>
    <n v="0"/>
    <n v="42478.42"/>
    <n v="36531.441200000001"/>
    <n v="42478.42"/>
    <n v="0"/>
    <n v="0"/>
    <d v="2025-04-14T00:00:00"/>
    <d v="2025-03-15T00:00:00"/>
    <x v="9"/>
    <x v="1"/>
  </r>
  <r>
    <n v="261"/>
    <s v="EUR"/>
    <n v="226603.09"/>
    <n v="226603.09"/>
    <n v="262859.58439999999"/>
    <n v="226603.09"/>
    <n v="226603.09"/>
    <n v="262859.58439999999"/>
    <n v="0"/>
    <n v="0"/>
    <d v="2025-10-25T00:00:00"/>
    <d v="2025-09-25T00:00:00"/>
    <x v="1"/>
    <x v="1"/>
  </r>
  <r>
    <n v="262"/>
    <s v="USD"/>
    <n v="285959.34999999998"/>
    <n v="245925.04099999997"/>
    <n v="285959.34999999998"/>
    <n v="285959.34999999998"/>
    <n v="245925.04099999997"/>
    <n v="285959.34999999998"/>
    <n v="0"/>
    <n v="0"/>
    <d v="2025-11-05T00:00:00"/>
    <d v="2025-10-06T00:00:00"/>
    <x v="2"/>
    <x v="1"/>
  </r>
  <r>
    <n v="263"/>
    <s v="MXN"/>
    <n v="0"/>
    <n v="0"/>
    <n v="0"/>
    <n v="465327.21"/>
    <n v="22335.70608"/>
    <n v="26058.323760000003"/>
    <n v="0"/>
    <n v="0"/>
    <d v="2025-03-15T00:00:00"/>
    <d v="2025-02-13T00:00:00"/>
    <x v="5"/>
    <x v="1"/>
  </r>
  <r>
    <n v="264"/>
    <s v="CHF"/>
    <n v="0"/>
    <n v="0"/>
    <n v="0"/>
    <n v="953.5"/>
    <n v="1020.245"/>
    <n v="1191.875"/>
    <n v="0"/>
    <n v="0"/>
    <d v="2025-06-15T00:00:00"/>
    <d v="2025-05-16T00:00:00"/>
    <x v="10"/>
    <x v="1"/>
  </r>
  <r>
    <n v="265"/>
    <s v="EUR"/>
    <n v="0"/>
    <n v="0"/>
    <n v="0"/>
    <n v="256.52999999999997"/>
    <n v="256.52999999999997"/>
    <n v="297.57479999999993"/>
    <n v="0"/>
    <n v="0"/>
    <d v="2025-01-22T00:00:00"/>
    <d v="2024-12-23T00:00:00"/>
    <x v="7"/>
    <x v="0"/>
  </r>
  <r>
    <n v="266"/>
    <s v="USD"/>
    <n v="0"/>
    <n v="0"/>
    <n v="0"/>
    <n v="390"/>
    <n v="335.4"/>
    <n v="390"/>
    <n v="0"/>
    <n v="0"/>
    <d v="2025-01-20T00:00:00"/>
    <d v="2024-12-21T00:00:00"/>
    <x v="7"/>
    <x v="0"/>
  </r>
  <r>
    <n v="267"/>
    <s v="USD"/>
    <n v="0"/>
    <n v="0"/>
    <n v="0"/>
    <n v="926.6"/>
    <n v="796.87599999999998"/>
    <n v="926.6"/>
    <n v="0"/>
    <n v="0"/>
    <d v="2025-03-26T00:00:00"/>
    <d v="2025-02-24T00:00:00"/>
    <x v="5"/>
    <x v="1"/>
  </r>
  <r>
    <n v="268"/>
    <s v="USD"/>
    <n v="0"/>
    <n v="0"/>
    <n v="0"/>
    <n v="417"/>
    <n v="358.62"/>
    <n v="417"/>
    <n v="0"/>
    <n v="0"/>
    <d v="2025-03-31T00:00:00"/>
    <d v="2025-03-01T00:00:00"/>
    <x v="9"/>
    <x v="1"/>
  </r>
  <r>
    <n v="269"/>
    <s v="USD"/>
    <n v="0"/>
    <n v="0"/>
    <n v="0"/>
    <n v="698"/>
    <n v="600.28"/>
    <n v="698"/>
    <n v="0"/>
    <n v="0"/>
    <d v="2025-04-06T00:00:00"/>
    <d v="2025-03-07T00:00:00"/>
    <x v="9"/>
    <x v="1"/>
  </r>
  <r>
    <n v="270"/>
    <s v="USD"/>
    <n v="0"/>
    <n v="0"/>
    <n v="0"/>
    <n v="396.07"/>
    <n v="340.62020000000001"/>
    <n v="396.07"/>
    <n v="0"/>
    <n v="0"/>
    <d v="2025-03-10T00:00:00"/>
    <d v="2025-02-08T00:00:00"/>
    <x v="5"/>
    <x v="1"/>
  </r>
  <r>
    <n v="271"/>
    <s v="USD"/>
    <n v="0"/>
    <n v="0"/>
    <n v="0"/>
    <n v="1019.5"/>
    <n v="876.77"/>
    <n v="1019.5"/>
    <n v="0"/>
    <n v="0"/>
    <d v="2025-04-14T00:00:00"/>
    <d v="2025-03-15T00:00:00"/>
    <x v="9"/>
    <x v="1"/>
  </r>
  <r>
    <n v="273"/>
    <s v="EUR"/>
    <n v="0"/>
    <n v="0"/>
    <n v="0"/>
    <n v="3613.5"/>
    <n v="3613.5"/>
    <n v="4191.66"/>
    <n v="0"/>
    <n v="0"/>
    <d v="2025-04-30T00:00:00"/>
    <d v="2025-03-31T00:00:00"/>
    <x v="9"/>
    <x v="1"/>
  </r>
  <r>
    <n v="274"/>
    <s v="USD"/>
    <n v="0"/>
    <n v="0"/>
    <n v="0"/>
    <n v="555.49"/>
    <n v="477.72140000000002"/>
    <n v="555.49"/>
    <n v="0"/>
    <n v="0"/>
    <d v="2025-03-21T00:00:00"/>
    <d v="2025-02-19T00:00:00"/>
    <x v="5"/>
    <x v="1"/>
  </r>
  <r>
    <n v="275"/>
    <s v="EUR"/>
    <n v="0"/>
    <n v="0"/>
    <n v="0"/>
    <n v="9724.7999999999993"/>
    <n v="9724.7999999999993"/>
    <n v="11280.767999999998"/>
    <n v="0"/>
    <n v="0"/>
    <d v="2025-06-02T00:00:00"/>
    <d v="2025-05-03T00:00:00"/>
    <x v="10"/>
    <x v="1"/>
  </r>
  <r>
    <n v="276"/>
    <s v="MXN"/>
    <n v="0"/>
    <n v="0"/>
    <n v="0"/>
    <n v="187114.16"/>
    <n v="8981.4796800000004"/>
    <n v="10478.392960000001"/>
    <n v="0"/>
    <n v="0"/>
    <d v="2025-05-01T00:00:00"/>
    <d v="2025-04-01T00:00:00"/>
    <x v="4"/>
    <x v="1"/>
  </r>
  <r>
    <n v="278"/>
    <s v="USD"/>
    <n v="15916.04"/>
    <n v="13687.794400000001"/>
    <n v="15916.04"/>
    <n v="29618.04"/>
    <n v="25471.5144"/>
    <n v="29618.04"/>
    <n v="0"/>
    <n v="0"/>
    <d v="2025-11-12T00:00:00"/>
    <d v="2025-10-13T00:00:00"/>
    <x v="2"/>
    <x v="1"/>
  </r>
  <r>
    <n v="279"/>
    <s v="USD"/>
    <n v="14814.150000000001"/>
    <n v="12740.169000000002"/>
    <n v="14814.150000000001"/>
    <n v="51013.32"/>
    <n v="43871.455199999997"/>
    <n v="51013.32"/>
    <n v="0"/>
    <n v="0"/>
    <d v="2025-05-22T00:00:00"/>
    <d v="2025-04-22T00:00:00"/>
    <x v="4"/>
    <x v="1"/>
  </r>
  <r>
    <n v="280"/>
    <s v="USD"/>
    <n v="1143.8699999999999"/>
    <n v="983.7281999999999"/>
    <n v="1143.8699999999999"/>
    <n v="1143.8699999999999"/>
    <n v="983.7281999999999"/>
    <n v="1143.8699999999999"/>
    <n v="0"/>
    <n v="0"/>
    <d v="2025-05-05T00:00:00"/>
    <d v="2025-04-05T00:00:00"/>
    <x v="4"/>
    <x v="1"/>
  </r>
  <r>
    <n v="281"/>
    <s v="USD"/>
    <n v="0"/>
    <n v="0"/>
    <n v="0"/>
    <n v="4403.08"/>
    <n v="3786.6487999999999"/>
    <n v="4403.08"/>
    <n v="0"/>
    <n v="0"/>
    <d v="2024-12-28T00:00:00"/>
    <d v="2024-11-28T00:00:00"/>
    <x v="0"/>
    <x v="0"/>
  </r>
  <r>
    <n v="282"/>
    <s v="USD"/>
    <n v="23498.11"/>
    <n v="20208.374599999999"/>
    <n v="23498.11"/>
    <n v="26704.61"/>
    <n v="22965.964599999999"/>
    <n v="26704.61"/>
    <n v="0"/>
    <n v="0"/>
    <d v="2025-07-24T00:00:00"/>
    <d v="2025-06-24T00:00:00"/>
    <x v="3"/>
    <x v="1"/>
  </r>
  <r>
    <n v="283"/>
    <s v="USD"/>
    <n v="0"/>
    <n v="0"/>
    <n v="0"/>
    <n v="3108"/>
    <n v="2672.88"/>
    <n v="3108"/>
    <n v="0"/>
    <n v="0"/>
    <d v="2024-12-19T00:00:00"/>
    <d v="2024-11-19T00:00:00"/>
    <x v="0"/>
    <x v="0"/>
  </r>
  <r>
    <n v="284"/>
    <s v="USD"/>
    <n v="0"/>
    <n v="0"/>
    <n v="0"/>
    <n v="19328.54"/>
    <n v="16622.544399999999"/>
    <n v="19328.54"/>
    <n v="0"/>
    <n v="0"/>
    <d v="2024-12-28T00:00:00"/>
    <d v="2024-11-28T00:00:00"/>
    <x v="0"/>
    <x v="0"/>
  </r>
  <r>
    <n v="285"/>
    <s v="USD"/>
    <n v="0"/>
    <n v="0"/>
    <n v="0"/>
    <n v="4276.47"/>
    <n v="3677.7642000000001"/>
    <n v="4276.47"/>
    <n v="0"/>
    <n v="0"/>
    <d v="2024-12-28T00:00:00"/>
    <d v="2024-11-28T00:00:00"/>
    <x v="0"/>
    <x v="0"/>
  </r>
  <r>
    <n v="286"/>
    <s v="USD"/>
    <n v="0"/>
    <n v="0"/>
    <n v="0"/>
    <n v="2297.91"/>
    <n v="1976.2025999999998"/>
    <n v="2297.91"/>
    <n v="0"/>
    <n v="0"/>
    <d v="2025-01-11T00:00:00"/>
    <d v="2024-12-12T00:00:00"/>
    <x v="7"/>
    <x v="0"/>
  </r>
  <r>
    <n v="287"/>
    <s v="EUR"/>
    <n v="0"/>
    <n v="0"/>
    <n v="0"/>
    <n v="3806.23"/>
    <n v="3806.23"/>
    <n v="4415.2267999999995"/>
    <n v="0"/>
    <n v="0"/>
    <d v="2025-06-25T00:00:00"/>
    <d v="2025-05-26T00:00:00"/>
    <x v="10"/>
    <x v="1"/>
  </r>
  <r>
    <n v="288"/>
    <s v="USD"/>
    <n v="174.99999999999272"/>
    <n v="150.49999999999375"/>
    <n v="174.99999999999272"/>
    <n v="36460.839999999997"/>
    <n v="31356.322399999997"/>
    <n v="36460.839999999997"/>
    <n v="0"/>
    <n v="0"/>
    <d v="2025-06-29T00:00:00"/>
    <d v="2025-05-30T00:00:00"/>
    <x v="10"/>
    <x v="1"/>
  </r>
  <r>
    <n v="289"/>
    <s v="USD"/>
    <n v="2070.1999999999998"/>
    <n v="1780.3719999999998"/>
    <n v="2070.1999999999998"/>
    <n v="2070.1999999999998"/>
    <n v="1780.3719999999998"/>
    <n v="2070.1999999999998"/>
    <n v="0"/>
    <n v="0"/>
    <d v="2025-05-14T00:00:00"/>
    <d v="2025-04-14T00:00:00"/>
    <x v="4"/>
    <x v="1"/>
  </r>
  <r>
    <n v="290"/>
    <s v="USD"/>
    <n v="3334.46"/>
    <n v="2867.6356000000001"/>
    <n v="3334.46"/>
    <n v="3334.46"/>
    <n v="2867.6356000000001"/>
    <n v="3334.46"/>
    <n v="0"/>
    <n v="0"/>
    <d v="2025-05-16T00:00:00"/>
    <d v="2025-04-16T00:00:00"/>
    <x v="4"/>
    <x v="1"/>
  </r>
  <r>
    <n v="291"/>
    <s v="MXN"/>
    <n v="44219"/>
    <n v="2122.5120000000002"/>
    <n v="2476.2640000000001"/>
    <n v="44219"/>
    <n v="2122.5120000000002"/>
    <n v="2476.2640000000001"/>
    <n v="0"/>
    <n v="0"/>
    <d v="2025-06-03T00:00:00"/>
    <d v="2025-05-04T00:00:00"/>
    <x v="10"/>
    <x v="1"/>
  </r>
  <r>
    <n v="292"/>
    <s v="EUR"/>
    <n v="5238.93"/>
    <n v="5238.93"/>
    <n v="6077.1588000000002"/>
    <n v="12738.93"/>
    <n v="12738.93"/>
    <n v="14777.158799999999"/>
    <n v="0"/>
    <n v="0"/>
    <d v="2025-04-22T00:00:00"/>
    <d v="2025-03-23T00:00:00"/>
    <x v="9"/>
    <x v="1"/>
  </r>
  <r>
    <n v="294"/>
    <s v="EUR"/>
    <n v="1345.52"/>
    <n v="1345.52"/>
    <n v="1560.8031999999998"/>
    <n v="1345.52"/>
    <n v="1345.52"/>
    <n v="1560.8031999999998"/>
    <n v="0"/>
    <n v="0"/>
    <d v="2025-06-18T00:00:00"/>
    <d v="2025-05-19T00:00:00"/>
    <x v="10"/>
    <x v="1"/>
  </r>
  <r>
    <n v="295"/>
    <s v="USD"/>
    <n v="0"/>
    <n v="0"/>
    <n v="0"/>
    <n v="180980.6"/>
    <n v="155643.31599999999"/>
    <n v="180980.6"/>
    <n v="0"/>
    <n v="0"/>
    <d v="2025-07-16T00:00:00"/>
    <d v="2025-06-16T00:00:00"/>
    <x v="3"/>
    <x v="1"/>
  </r>
  <r>
    <n v="296"/>
    <s v="USD"/>
    <n v="70"/>
    <n v="60.199999999999996"/>
    <n v="70"/>
    <n v="8614.02"/>
    <n v="7408.0572000000002"/>
    <n v="8614.02"/>
    <n v="0"/>
    <n v="0"/>
    <d v="2025-10-28T00:00:00"/>
    <d v="2025-09-28T00:00:00"/>
    <x v="1"/>
    <x v="1"/>
  </r>
  <r>
    <n v="297"/>
    <s v="USD"/>
    <n v="0"/>
    <n v="0"/>
    <n v="0"/>
    <n v="3967.34"/>
    <n v="3411.9124000000002"/>
    <n v="3967.34"/>
    <n v="0"/>
    <n v="0"/>
    <d v="2025-05-02T00:00:00"/>
    <d v="2025-04-02T00:00:00"/>
    <x v="4"/>
    <x v="1"/>
  </r>
  <r>
    <n v="298"/>
    <s v="USD"/>
    <n v="0"/>
    <n v="0"/>
    <n v="0"/>
    <n v="8244"/>
    <n v="7089.84"/>
    <n v="8244"/>
    <n v="0"/>
    <n v="0"/>
    <d v="2025-05-14T00:00:00"/>
    <d v="2025-04-14T00:00:00"/>
    <x v="4"/>
    <x v="1"/>
  </r>
  <r>
    <n v="299"/>
    <s v="EUR"/>
    <n v="0"/>
    <n v="0"/>
    <n v="0"/>
    <n v="8185"/>
    <n v="8185"/>
    <n v="9494.5999999999985"/>
    <n v="0"/>
    <n v="0"/>
    <d v="2025-07-03T00:00:00"/>
    <d v="2025-06-03T00:00:00"/>
    <x v="3"/>
    <x v="1"/>
  </r>
  <r>
    <n v="300"/>
    <s v="USD"/>
    <n v="0"/>
    <n v="0"/>
    <n v="0"/>
    <n v="48161.65"/>
    <n v="41419.019"/>
    <n v="48161.65"/>
    <n v="0"/>
    <n v="0"/>
    <d v="2025-03-31T00:00:00"/>
    <d v="2025-03-01T00:00:00"/>
    <x v="9"/>
    <x v="1"/>
  </r>
  <r>
    <n v="301"/>
    <s v="USD"/>
    <n v="2408.6799999999998"/>
    <n v="2071.4647999999997"/>
    <n v="2408.6799999999998"/>
    <n v="2408.6799999999998"/>
    <n v="2071.4647999999997"/>
    <n v="2408.6799999999998"/>
    <n v="0"/>
    <n v="0"/>
    <d v="2025-05-03T00:00:00"/>
    <d v="2025-04-03T00:00:00"/>
    <x v="4"/>
    <x v="1"/>
  </r>
  <r>
    <n v="302"/>
    <s v="USD"/>
    <n v="190900"/>
    <n v="164174"/>
    <n v="190900"/>
    <n v="201580.06"/>
    <n v="173358.85159999999"/>
    <n v="201580.06"/>
    <n v="1.8189894035458565E-12"/>
    <n v="1.8189894035458565E-12"/>
    <d v="2025-01-04T00:00:00"/>
    <d v="2024-12-05T00:00:00"/>
    <x v="7"/>
    <x v="0"/>
  </r>
  <r>
    <n v="303"/>
    <s v="USD"/>
    <n v="22454.27"/>
    <n v="19310.672200000001"/>
    <n v="22454.27"/>
    <n v="22454.27"/>
    <n v="19310.672200000001"/>
    <n v="22454.27"/>
    <n v="0"/>
    <n v="0"/>
    <d v="2025-12-20T00:00:00"/>
    <d v="2025-11-20T00:00:00"/>
    <x v="0"/>
    <x v="1"/>
  </r>
  <r>
    <n v="304"/>
    <s v="EUR"/>
    <n v="24162"/>
    <n v="24162"/>
    <n v="28027.919999999998"/>
    <n v="24162"/>
    <n v="24162"/>
    <n v="28027.919999999998"/>
    <n v="0"/>
    <n v="0"/>
    <d v="2025-08-06T00:00:00"/>
    <d v="2025-07-07T00:00:00"/>
    <x v="11"/>
    <x v="1"/>
  </r>
  <r>
    <n v="305"/>
    <s v="USD"/>
    <n v="0"/>
    <n v="0"/>
    <n v="0"/>
    <n v="16692.39"/>
    <n v="14355.455399999999"/>
    <n v="16692.39"/>
    <n v="0"/>
    <n v="0"/>
    <d v="2025-05-15T00:00:00"/>
    <d v="2025-04-15T00:00:00"/>
    <x v="4"/>
    <x v="1"/>
  </r>
  <r>
    <n v="306"/>
    <s v="USD"/>
    <n v="29997"/>
    <n v="25797.42"/>
    <n v="29997"/>
    <n v="31962.5"/>
    <n v="27487.75"/>
    <n v="31962.5"/>
    <n v="0"/>
    <n v="0"/>
    <d v="2025-07-22T00:00:00"/>
    <d v="2025-06-22T00:00:00"/>
    <x v="3"/>
    <x v="1"/>
  </r>
  <r>
    <n v="307"/>
    <s v="USD"/>
    <n v="0"/>
    <n v="0"/>
    <n v="0"/>
    <n v="8076"/>
    <n v="6945.36"/>
    <n v="8076"/>
    <n v="0"/>
    <n v="0"/>
    <d v="2025-04-23T00:00:00"/>
    <d v="2025-03-24T00:00:00"/>
    <x v="9"/>
    <x v="1"/>
  </r>
  <r>
    <n v="308"/>
    <s v="USD"/>
    <n v="0"/>
    <n v="0"/>
    <n v="0"/>
    <n v="1869.15"/>
    <n v="1607.4690000000001"/>
    <n v="1869.15"/>
    <n v="0"/>
    <n v="0"/>
    <d v="2025-04-10T00:00:00"/>
    <d v="2025-03-11T00:00:00"/>
    <x v="9"/>
    <x v="1"/>
  </r>
  <r>
    <n v="309"/>
    <s v="USD"/>
    <n v="1392.7099999999991"/>
    <n v="1197.7305999999992"/>
    <n v="1392.7099999999991"/>
    <n v="10493.96"/>
    <n v="9024.8055999999997"/>
    <n v="10493.96"/>
    <n v="0"/>
    <n v="0"/>
    <d v="2025-07-19T00:00:00"/>
    <d v="2025-06-19T00:00:00"/>
    <x v="3"/>
    <x v="1"/>
  </r>
  <r>
    <n v="310"/>
    <s v="MXN"/>
    <n v="1593327.99"/>
    <n v="76479.743520000004"/>
    <n v="89226.367440000002"/>
    <n v="1593327.99"/>
    <n v="76479.743520000004"/>
    <n v="89226.367440000002"/>
    <n v="0"/>
    <n v="0"/>
    <d v="2025-06-12T00:00:00"/>
    <d v="2025-05-13T00:00:00"/>
    <x v="10"/>
    <x v="1"/>
  </r>
  <r>
    <n v="311"/>
    <s v="USD"/>
    <n v="2045"/>
    <n v="1758.7"/>
    <n v="2045"/>
    <n v="2045"/>
    <n v="1758.7"/>
    <n v="2045"/>
    <n v="0"/>
    <n v="0"/>
    <d v="2025-05-20T00:00:00"/>
    <d v="2025-04-20T00:00:00"/>
    <x v="4"/>
    <x v="1"/>
  </r>
  <r>
    <n v="312"/>
    <s v="USD"/>
    <n v="0"/>
    <n v="0"/>
    <n v="0"/>
    <n v="1196"/>
    <n v="1028.56"/>
    <n v="1196"/>
    <n v="0"/>
    <n v="0"/>
    <d v="2025-01-25T00:00:00"/>
    <d v="2024-12-26T00:00:00"/>
    <x v="7"/>
    <x v="0"/>
  </r>
  <r>
    <n v="313"/>
    <s v="USD"/>
    <n v="0"/>
    <n v="0"/>
    <n v="0"/>
    <n v="259.64999999999998"/>
    <n v="223.29899999999998"/>
    <n v="259.64999999999998"/>
    <n v="0"/>
    <n v="0"/>
    <d v="2025-01-18T00:00:00"/>
    <d v="2024-12-19T00:00:00"/>
    <x v="7"/>
    <x v="0"/>
  </r>
  <r>
    <n v="314"/>
    <s v="USD"/>
    <n v="0"/>
    <n v="0"/>
    <n v="0"/>
    <n v="1029.26"/>
    <n v="885.16359999999997"/>
    <n v="1029.26"/>
    <n v="0"/>
    <n v="0"/>
    <d v="2025-02-27T00:00:00"/>
    <d v="2025-01-28T00:00:00"/>
    <x v="8"/>
    <x v="1"/>
  </r>
  <r>
    <n v="315"/>
    <s v="USD"/>
    <n v="0"/>
    <n v="0"/>
    <n v="0"/>
    <n v="769.8"/>
    <n v="662.02799999999991"/>
    <n v="769.8"/>
    <n v="0"/>
    <n v="0"/>
    <d v="2025-03-23T00:00:00"/>
    <d v="2025-02-21T00:00:00"/>
    <x v="5"/>
    <x v="1"/>
  </r>
  <r>
    <n v="316"/>
    <s v="USD"/>
    <n v="886.6"/>
    <n v="762.476"/>
    <n v="886.6"/>
    <n v="886.6"/>
    <n v="762.476"/>
    <n v="886.6"/>
    <n v="0"/>
    <n v="0"/>
    <d v="2025-03-26T00:00:00"/>
    <d v="2025-02-24T00:00:00"/>
    <x v="5"/>
    <x v="1"/>
  </r>
  <r>
    <n v="317"/>
    <s v="USD"/>
    <n v="0"/>
    <n v="0"/>
    <n v="0"/>
    <n v="695.8"/>
    <n v="598.38799999999992"/>
    <n v="695.8"/>
    <n v="0"/>
    <n v="0"/>
    <d v="2025-04-06T00:00:00"/>
    <d v="2025-03-07T00:00:00"/>
    <x v="9"/>
    <x v="1"/>
  </r>
  <r>
    <n v="318"/>
    <s v="USD"/>
    <n v="0"/>
    <n v="0"/>
    <n v="0"/>
    <n v="379"/>
    <n v="325.94"/>
    <n v="379"/>
    <n v="0"/>
    <n v="0"/>
    <d v="2025-04-03T00:00:00"/>
    <d v="2025-03-04T00:00:00"/>
    <x v="9"/>
    <x v="1"/>
  </r>
  <r>
    <n v="319"/>
    <s v="USD"/>
    <n v="0"/>
    <n v="0"/>
    <n v="0"/>
    <n v="866.4"/>
    <n v="745.10399999999993"/>
    <n v="866.4"/>
    <n v="0"/>
    <n v="0"/>
    <d v="2025-04-11T00:00:00"/>
    <d v="2025-03-12T00:00:00"/>
    <x v="9"/>
    <x v="1"/>
  </r>
  <r>
    <n v="320"/>
    <s v="USD"/>
    <n v="0"/>
    <n v="0"/>
    <n v="0"/>
    <n v="1916"/>
    <n v="1647.76"/>
    <n v="1916"/>
    <n v="0"/>
    <n v="0"/>
    <d v="2025-04-03T00:00:00"/>
    <d v="2025-03-04T00:00:00"/>
    <x v="9"/>
    <x v="1"/>
  </r>
  <r>
    <n v="321"/>
    <s v="USD"/>
    <n v="0"/>
    <n v="0"/>
    <n v="0"/>
    <n v="261.60000000000002"/>
    <n v="224.97600000000003"/>
    <n v="261.60000000000002"/>
    <n v="0"/>
    <n v="0"/>
    <d v="2025-04-08T00:00:00"/>
    <d v="2025-03-09T00:00:00"/>
    <x v="9"/>
    <x v="1"/>
  </r>
  <r>
    <n v="322"/>
    <s v="USD"/>
    <n v="0"/>
    <n v="0"/>
    <n v="0"/>
    <n v="1401"/>
    <n v="1204.8599999999999"/>
    <n v="1401"/>
    <n v="0"/>
    <n v="0"/>
    <d v="2025-07-06T00:00:00"/>
    <d v="2025-06-06T00:00:00"/>
    <x v="3"/>
    <x v="1"/>
  </r>
  <r>
    <n v="323"/>
    <s v="MXN"/>
    <n v="678.30000000000291"/>
    <n v="32.558400000000141"/>
    <n v="37.984800000000163"/>
    <n v="60208.3"/>
    <n v="2889.9984000000004"/>
    <n v="3371.6648"/>
    <n v="0"/>
    <n v="0"/>
    <d v="2025-06-09T00:00:00"/>
    <d v="2025-05-10T00:00:00"/>
    <x v="10"/>
    <x v="1"/>
  </r>
  <r>
    <n v="324"/>
    <s v="MXN"/>
    <n v="0"/>
    <n v="0"/>
    <n v="0"/>
    <n v="54735"/>
    <n v="2627.28"/>
    <n v="3065.16"/>
    <n v="0"/>
    <n v="0"/>
    <d v="2025-06-23T00:00:00"/>
    <d v="2025-05-24T00:00:00"/>
    <x v="10"/>
    <x v="1"/>
  </r>
  <r>
    <n v="325"/>
    <s v="MXN"/>
    <n v="0"/>
    <n v="0"/>
    <n v="0"/>
    <n v="127330"/>
    <n v="6111.84"/>
    <n v="7130.4800000000005"/>
    <n v="0"/>
    <n v="0"/>
    <d v="2025-08-12T00:00:00"/>
    <d v="2025-07-13T00:00:00"/>
    <x v="11"/>
    <x v="1"/>
  </r>
  <r>
    <n v="326"/>
    <s v="EUR"/>
    <n v="0"/>
    <n v="0"/>
    <n v="0"/>
    <n v="525"/>
    <n v="525"/>
    <n v="609"/>
    <n v="0"/>
    <n v="0"/>
    <d v="2025-02-05T00:00:00"/>
    <d v="2025-01-06T00:00:00"/>
    <x v="8"/>
    <x v="1"/>
  </r>
  <r>
    <n v="327"/>
    <s v="USD"/>
    <n v="0"/>
    <n v="0"/>
    <n v="0"/>
    <n v="10449.41"/>
    <n v="8986.4925999999996"/>
    <n v="10449.41"/>
    <n v="0"/>
    <n v="0"/>
    <d v="2025-04-08T00:00:00"/>
    <d v="2025-03-09T00:00:00"/>
    <x v="9"/>
    <x v="1"/>
  </r>
  <r>
    <n v="328"/>
    <s v="USD"/>
    <n v="70"/>
    <n v="60.199999999999996"/>
    <n v="70"/>
    <n v="8827.1"/>
    <n v="7591.3060000000005"/>
    <n v="8827.1"/>
    <n v="0"/>
    <n v="0"/>
    <d v="2025-05-14T00:00:00"/>
    <d v="2025-04-14T00:00:00"/>
    <x v="4"/>
    <x v="1"/>
  </r>
  <r>
    <n v="329"/>
    <s v="USD"/>
    <n v="34399.46"/>
    <n v="29583.535599999999"/>
    <n v="34399.46"/>
    <n v="36333.599999999999"/>
    <n v="31246.895999999997"/>
    <n v="36333.599999999999"/>
    <n v="6.8212102632969618E-13"/>
    <n v="6.8212102632969618E-13"/>
    <d v="2025-04-01T00:00:00"/>
    <d v="2025-03-02T00:00:00"/>
    <x v="9"/>
    <x v="1"/>
  </r>
  <r>
    <n v="330"/>
    <s v="USD"/>
    <n v="17786.22"/>
    <n v="15296.149200000002"/>
    <n v="17786.22"/>
    <n v="17786.22"/>
    <n v="15296.149200000002"/>
    <n v="17786.22"/>
    <n v="0"/>
    <n v="0"/>
    <d v="2025-05-17T00:00:00"/>
    <d v="2025-04-17T00:00:00"/>
    <x v="4"/>
    <x v="1"/>
  </r>
  <r>
    <n v="331"/>
    <s v="USD"/>
    <n v="0"/>
    <n v="0"/>
    <n v="0"/>
    <n v="704.8"/>
    <n v="606.12799999999993"/>
    <n v="704.8"/>
    <n v="0"/>
    <n v="0"/>
    <d v="2025-05-22T00:00:00"/>
    <d v="2025-04-22T00:00:00"/>
    <x v="4"/>
    <x v="1"/>
  </r>
  <r>
    <n v="332"/>
    <s v="MXN"/>
    <n v="447940.47"/>
    <n v="21501.14256"/>
    <n v="25084.66632"/>
    <n v="447940.47"/>
    <n v="21501.14256"/>
    <n v="25084.66632"/>
    <n v="0"/>
    <n v="0"/>
    <d v="2025-05-29T00:00:00"/>
    <d v="2025-04-29T00:00:00"/>
    <x v="4"/>
    <x v="1"/>
  </r>
  <r>
    <n v="333"/>
    <s v="USD"/>
    <n v="0"/>
    <n v="0"/>
    <n v="0"/>
    <n v="1221"/>
    <n v="1050.06"/>
    <n v="1221"/>
    <n v="0"/>
    <n v="0"/>
    <d v="2025-05-03T00:00:00"/>
    <d v="2025-04-03T00:00:00"/>
    <x v="4"/>
    <x v="1"/>
  </r>
  <r>
    <n v="334"/>
    <s v="USD"/>
    <n v="0"/>
    <n v="0"/>
    <n v="0"/>
    <n v="1630.2"/>
    <n v="1401.972"/>
    <n v="1630.2"/>
    <n v="0"/>
    <n v="0"/>
    <d v="2025-05-10T00:00:00"/>
    <d v="2025-04-10T00:00:00"/>
    <x v="4"/>
    <x v="1"/>
  </r>
  <r>
    <n v="335"/>
    <s v="USD"/>
    <n v="0"/>
    <n v="0"/>
    <n v="0"/>
    <n v="98"/>
    <n v="84.28"/>
    <n v="98"/>
    <n v="0"/>
    <n v="0"/>
    <d v="2025-05-05T00:00:00"/>
    <d v="2025-04-05T00:00:00"/>
    <x v="4"/>
    <x v="1"/>
  </r>
  <r>
    <n v="336"/>
    <s v="USD"/>
    <n v="0"/>
    <n v="0"/>
    <n v="0"/>
    <n v="428.8"/>
    <n v="368.76800000000003"/>
    <n v="428.8"/>
    <n v="0"/>
    <n v="0"/>
    <d v="2025-05-01T00:00:00"/>
    <d v="2025-04-01T00:00:00"/>
    <x v="4"/>
    <x v="1"/>
  </r>
  <r>
    <n v="337"/>
    <s v="USD"/>
    <n v="0"/>
    <n v="0"/>
    <n v="0"/>
    <n v="1012.3"/>
    <n v="870.57799999999997"/>
    <n v="1012.3"/>
    <n v="0"/>
    <n v="0"/>
    <d v="2025-07-01T00:00:00"/>
    <d v="2025-06-01T00:00:00"/>
    <x v="3"/>
    <x v="1"/>
  </r>
  <r>
    <n v="338"/>
    <s v="USD"/>
    <n v="296.3"/>
    <n v="254.81800000000001"/>
    <n v="296.3"/>
    <n v="296.3"/>
    <n v="254.81800000000001"/>
    <n v="296.3"/>
    <n v="0"/>
    <n v="0"/>
    <d v="2025-05-08T00:00:00"/>
    <d v="2025-04-08T00:00:00"/>
    <x v="4"/>
    <x v="1"/>
  </r>
  <r>
    <n v="339"/>
    <s v="USD"/>
    <n v="981.6"/>
    <n v="844.17600000000004"/>
    <n v="981.6"/>
    <n v="981.6"/>
    <n v="844.17600000000004"/>
    <n v="981.6"/>
    <n v="0"/>
    <n v="0"/>
    <d v="2025-05-09T00:00:00"/>
    <d v="2025-04-09T00:00:00"/>
    <x v="4"/>
    <x v="1"/>
  </r>
  <r>
    <n v="340"/>
    <s v="USD"/>
    <n v="159955"/>
    <n v="137561.29999999999"/>
    <n v="159955"/>
    <n v="175373.05"/>
    <n v="150820.82299999997"/>
    <n v="175373.05"/>
    <n v="1.0913936421275139E-11"/>
    <n v="1.0913936421275139E-11"/>
    <d v="2025-08-04T00:00:00"/>
    <d v="2025-07-05T00:00:00"/>
    <x v="11"/>
    <x v="1"/>
  </r>
  <r>
    <n v="341"/>
    <s v="USD"/>
    <n v="52130.1"/>
    <n v="44831.885999999999"/>
    <n v="52130.1"/>
    <n v="52130.1"/>
    <n v="44831.885999999999"/>
    <n v="52130.1"/>
    <n v="0"/>
    <n v="0"/>
    <d v="2025-08-01T00:00:00"/>
    <d v="2025-07-02T00:00:00"/>
    <x v="11"/>
    <x v="1"/>
  </r>
  <r>
    <n v="342"/>
    <s v="MXN"/>
    <n v="0"/>
    <n v="0"/>
    <n v="0"/>
    <n v="16401.41"/>
    <n v="787.26768000000004"/>
    <n v="918.47896000000003"/>
    <n v="0"/>
    <n v="0"/>
    <d v="2025-07-01T00:00:00"/>
    <d v="2025-06-01T00:00:00"/>
    <x v="3"/>
    <x v="1"/>
  </r>
  <r>
    <n v="343"/>
    <s v="USD"/>
    <n v="0"/>
    <n v="0"/>
    <n v="0"/>
    <n v="198.6"/>
    <n v="170.79599999999999"/>
    <n v="198.6"/>
    <n v="0"/>
    <n v="0"/>
    <d v="2025-06-10T00:00:00"/>
    <d v="2025-05-11T00:00:00"/>
    <x v="10"/>
    <x v="1"/>
  </r>
  <r>
    <n v="345"/>
    <s v="EUR"/>
    <n v="0"/>
    <n v="0"/>
    <n v="0"/>
    <n v="900"/>
    <n v="900"/>
    <n v="1044"/>
    <n v="0"/>
    <n v="0"/>
    <d v="2025-02-16T00:00:00"/>
    <d v="2025-01-17T00:00:00"/>
    <x v="8"/>
    <x v="1"/>
  </r>
  <r>
    <n v="346"/>
    <s v="USD"/>
    <n v="0"/>
    <n v="0"/>
    <n v="0"/>
    <n v="7100"/>
    <n v="6106"/>
    <n v="7100"/>
    <n v="0"/>
    <n v="0"/>
    <d v="2025-05-22T00:00:00"/>
    <d v="2025-04-22T00:00:00"/>
    <x v="4"/>
    <x v="1"/>
  </r>
  <r>
    <n v="347"/>
    <s v="USD"/>
    <n v="9995.19"/>
    <n v="8595.8634000000002"/>
    <n v="9995.19"/>
    <n v="9995.19"/>
    <n v="8595.8634000000002"/>
    <n v="9995.19"/>
    <n v="0"/>
    <n v="0"/>
    <d v="2025-05-17T00:00:00"/>
    <d v="2025-04-17T00:00:00"/>
    <x v="4"/>
    <x v="1"/>
  </r>
  <r>
    <n v="348"/>
    <s v="USD"/>
    <n v="0"/>
    <n v="0"/>
    <n v="0"/>
    <n v="3045"/>
    <n v="2618.6999999999998"/>
    <n v="3045"/>
    <n v="0"/>
    <n v="0"/>
    <d v="2025-05-22T00:00:00"/>
    <d v="2025-04-22T00:00:00"/>
    <x v="4"/>
    <x v="1"/>
  </r>
  <r>
    <n v="349"/>
    <s v="USD"/>
    <n v="2457.91"/>
    <n v="2113.8026"/>
    <n v="2457.91"/>
    <n v="2457.91"/>
    <n v="2113.8026"/>
    <n v="2457.91"/>
    <n v="0"/>
    <n v="0"/>
    <d v="2025-05-17T00:00:00"/>
    <d v="2025-04-17T00:00:00"/>
    <x v="4"/>
    <x v="1"/>
  </r>
  <r>
    <n v="350"/>
    <s v="USD"/>
    <n v="6720"/>
    <n v="5779.2"/>
    <n v="6720"/>
    <n v="14729.27"/>
    <n v="12667.172200000001"/>
    <n v="14729.27"/>
    <n v="0"/>
    <n v="0"/>
    <d v="2025-05-16T00:00:00"/>
    <d v="2025-04-16T00:00:00"/>
    <x v="4"/>
    <x v="1"/>
  </r>
  <r>
    <n v="351"/>
    <s v="USD"/>
    <n v="35"/>
    <n v="30.099999999999998"/>
    <n v="35"/>
    <n v="2611.75"/>
    <n v="2246.105"/>
    <n v="2611.75"/>
    <n v="0"/>
    <n v="0"/>
    <d v="2025-05-16T00:00:00"/>
    <d v="2025-04-16T00:00:00"/>
    <x v="4"/>
    <x v="1"/>
  </r>
  <r>
    <n v="352"/>
    <s v="USD"/>
    <n v="35"/>
    <n v="30.099999999999998"/>
    <n v="35"/>
    <n v="9109.86"/>
    <n v="7834.4796000000006"/>
    <n v="9109.86"/>
    <n v="0"/>
    <n v="0"/>
    <d v="2025-06-13T00:00:00"/>
    <d v="2025-05-14T00:00:00"/>
    <x v="10"/>
    <x v="1"/>
  </r>
  <r>
    <n v="353"/>
    <s v="USD"/>
    <n v="50"/>
    <n v="43"/>
    <n v="50"/>
    <n v="7328.61"/>
    <n v="6302.6045999999997"/>
    <n v="7328.61"/>
    <n v="0"/>
    <n v="0"/>
    <d v="2025-05-27T00:00:00"/>
    <d v="2025-04-27T00:00:00"/>
    <x v="4"/>
    <x v="1"/>
  </r>
  <r>
    <n v="354"/>
    <s v="USD"/>
    <n v="70"/>
    <n v="60.199999999999996"/>
    <n v="70"/>
    <n v="3154.96"/>
    <n v="2713.2656000000002"/>
    <n v="3154.96"/>
    <n v="0"/>
    <n v="0"/>
    <d v="2025-05-22T00:00:00"/>
    <d v="2025-04-22T00:00:00"/>
    <x v="4"/>
    <x v="1"/>
  </r>
  <r>
    <n v="355"/>
    <s v="USD"/>
    <n v="96760.12"/>
    <n v="83213.703199999989"/>
    <n v="96760.12"/>
    <n v="164275.12"/>
    <n v="141276.60319999998"/>
    <n v="164275.12"/>
    <n v="0"/>
    <n v="0"/>
    <d v="2025-06-15T00:00:00"/>
    <d v="2025-05-16T00:00:00"/>
    <x v="10"/>
    <x v="1"/>
  </r>
  <r>
    <n v="356"/>
    <s v="USD"/>
    <n v="0"/>
    <n v="0"/>
    <n v="0"/>
    <n v="6906.08"/>
    <n v="5939.2287999999999"/>
    <n v="6906.08"/>
    <n v="0"/>
    <n v="0"/>
    <d v="2025-05-14T00:00:00"/>
    <d v="2025-04-14T00:00:00"/>
    <x v="4"/>
    <x v="1"/>
  </r>
  <r>
    <n v="359"/>
    <s v="EUR"/>
    <n v="25630.240000000002"/>
    <n v="25630.240000000002"/>
    <n v="29731.078399999999"/>
    <n v="25630.240000000002"/>
    <n v="25630.240000000002"/>
    <n v="29731.078399999999"/>
    <n v="0"/>
    <n v="0"/>
    <d v="2025-07-12T00:00:00"/>
    <d v="2025-06-12T00:00:00"/>
    <x v="3"/>
    <x v="1"/>
  </r>
  <r>
    <n v="360"/>
    <s v="USD"/>
    <n v="1532.74"/>
    <n v="1318.1564000000001"/>
    <n v="1532.74"/>
    <n v="2193.8000000000002"/>
    <n v="1886.6680000000001"/>
    <n v="2193.8000000000002"/>
    <n v="98.739999999999782"/>
    <n v="98.739999999999782"/>
    <d v="2025-08-08T00:00:00"/>
    <d v="2025-07-09T00:00:00"/>
    <x v="11"/>
    <x v="1"/>
  </r>
  <r>
    <n v="361"/>
    <s v="USD"/>
    <n v="451"/>
    <n v="387.86"/>
    <n v="451"/>
    <n v="7124.67"/>
    <n v="6127.2161999999998"/>
    <n v="7124.67"/>
    <n v="0"/>
    <n v="0"/>
    <d v="2025-06-17T00:00:00"/>
    <d v="2025-05-18T00:00:00"/>
    <x v="10"/>
    <x v="1"/>
  </r>
  <r>
    <n v="362"/>
    <s v="USD"/>
    <n v="0"/>
    <n v="0"/>
    <n v="0"/>
    <n v="50"/>
    <n v="43"/>
    <n v="50"/>
    <n v="-2.8421709430404007E-14"/>
    <n v="-2.8421709430404007E-14"/>
    <d v="2025-07-20T00:00:00"/>
    <d v="2025-06-20T00:00:00"/>
    <x v="3"/>
    <x v="1"/>
  </r>
  <r>
    <n v="363"/>
    <s v="MXN"/>
    <n v="0"/>
    <n v="0"/>
    <n v="0"/>
    <n v="20818"/>
    <n v="999.26400000000001"/>
    <n v="1165.808"/>
    <n v="0"/>
    <n v="0"/>
    <d v="2025-06-10T00:00:00"/>
    <d v="2025-05-11T00:00:00"/>
    <x v="10"/>
    <x v="1"/>
  </r>
  <r>
    <n v="364"/>
    <s v="USD"/>
    <n v="1300.0000000000073"/>
    <n v="1118.0000000000061"/>
    <n v="1300.0000000000073"/>
    <n v="38882.410000000003"/>
    <n v="33438.872600000002"/>
    <n v="38882.410000000003"/>
    <n v="0"/>
    <n v="0"/>
    <d v="2025-05-26T00:00:00"/>
    <d v="2025-04-26T00:00:00"/>
    <x v="4"/>
    <x v="1"/>
  </r>
  <r>
    <n v="366"/>
    <s v="USD"/>
    <n v="4310.91"/>
    <n v="3707.3825999999999"/>
    <n v="4310.91"/>
    <n v="4310.91"/>
    <n v="3707.3825999999999"/>
    <n v="4310.91"/>
    <n v="0"/>
    <n v="0"/>
    <d v="2025-06-18T00:00:00"/>
    <d v="2025-05-19T00:00:00"/>
    <x v="10"/>
    <x v="1"/>
  </r>
  <r>
    <n v="368"/>
    <s v="USD"/>
    <n v="0"/>
    <n v="0"/>
    <n v="0"/>
    <n v="1680"/>
    <n v="1444.8"/>
    <n v="1680"/>
    <n v="0"/>
    <n v="0"/>
    <d v="2025-03-23T00:00:00"/>
    <d v="2025-02-21T00:00:00"/>
    <x v="5"/>
    <x v="1"/>
  </r>
  <r>
    <n v="369"/>
    <s v="USD"/>
    <n v="10678.000000000002"/>
    <n v="9183.0800000000017"/>
    <n v="10678.000000000002"/>
    <n v="18901.900000000001"/>
    <n v="16255.634000000002"/>
    <n v="18901.900000000001"/>
    <n v="0"/>
    <n v="0"/>
    <d v="2025-07-07T00:00:00"/>
    <d v="2025-06-07T00:00:00"/>
    <x v="3"/>
    <x v="1"/>
  </r>
  <r>
    <n v="370"/>
    <s v="USD"/>
    <n v="0"/>
    <n v="0"/>
    <n v="0"/>
    <n v="4797.97"/>
    <n v="4126.2542000000003"/>
    <n v="4797.97"/>
    <n v="-9.0949470177292824E-13"/>
    <n v="-9.0949470177292824E-13"/>
    <d v="2025-06-24T00:00:00"/>
    <d v="2025-05-25T00:00:00"/>
    <x v="10"/>
    <x v="1"/>
  </r>
  <r>
    <n v="371"/>
    <s v="USD"/>
    <n v="174.99999999999272"/>
    <n v="150.49999999999375"/>
    <n v="174.99999999999272"/>
    <n v="40753.53"/>
    <n v="35048.035799999998"/>
    <n v="40753.53"/>
    <n v="0"/>
    <n v="0"/>
    <d v="2025-07-17T00:00:00"/>
    <d v="2025-06-17T00:00:00"/>
    <x v="3"/>
    <x v="1"/>
  </r>
  <r>
    <n v="372"/>
    <s v="USD"/>
    <n v="35"/>
    <n v="30.099999999999998"/>
    <n v="35"/>
    <n v="3168.96"/>
    <n v="2725.3056000000001"/>
    <n v="3168.96"/>
    <n v="0"/>
    <n v="0"/>
    <d v="2025-03-12T00:00:00"/>
    <d v="2025-02-10T00:00:00"/>
    <x v="5"/>
    <x v="1"/>
  </r>
  <r>
    <n v="373"/>
    <s v="USD"/>
    <n v="210"/>
    <n v="180.6"/>
    <n v="210"/>
    <n v="5439.63"/>
    <n v="4678.0817999999999"/>
    <n v="5439.63"/>
    <n v="0"/>
    <n v="0"/>
    <d v="2025-01-21T00:00:00"/>
    <d v="2024-12-22T00:00:00"/>
    <x v="7"/>
    <x v="0"/>
  </r>
  <r>
    <n v="374"/>
    <s v="MXN"/>
    <n v="0"/>
    <n v="0"/>
    <n v="0"/>
    <n v="138570"/>
    <n v="6651.3600000000006"/>
    <n v="7759.92"/>
    <n v="0"/>
    <n v="0"/>
    <d v="2025-03-15T00:00:00"/>
    <d v="2025-02-13T00:00:00"/>
    <x v="5"/>
    <x v="1"/>
  </r>
  <r>
    <n v="375"/>
    <s v="MXN"/>
    <n v="0"/>
    <n v="0"/>
    <n v="0"/>
    <n v="25529"/>
    <n v="1225.3920000000001"/>
    <n v="1429.624"/>
    <n v="0"/>
    <n v="0"/>
    <d v="2025-03-20T00:00:00"/>
    <d v="2025-02-18T00:00:00"/>
    <x v="5"/>
    <x v="1"/>
  </r>
  <r>
    <n v="376"/>
    <s v="USD"/>
    <n v="0"/>
    <n v="0"/>
    <n v="0"/>
    <n v="1750"/>
    <n v="1505"/>
    <n v="1750"/>
    <n v="0"/>
    <n v="0"/>
    <d v="2025-02-21T00:00:00"/>
    <d v="2025-01-22T00:00:00"/>
    <x v="8"/>
    <x v="1"/>
  </r>
  <r>
    <n v="377"/>
    <s v="USD"/>
    <n v="0"/>
    <n v="0"/>
    <n v="0"/>
    <n v="28779.599999999999"/>
    <n v="24750.455999999998"/>
    <n v="28779.599999999999"/>
    <n v="0"/>
    <n v="0"/>
    <d v="2025-05-29T00:00:00"/>
    <d v="2025-04-29T00:00:00"/>
    <x v="4"/>
    <x v="1"/>
  </r>
  <r>
    <n v="378"/>
    <s v="USD"/>
    <n v="2722.59"/>
    <n v="2341.4274"/>
    <n v="2722.59"/>
    <n v="6500"/>
    <n v="5590"/>
    <n v="6500"/>
    <n v="2722.59"/>
    <n v="2722.59"/>
    <d v="2025-09-01T00:00:00"/>
    <d v="2025-08-02T00:00:00"/>
    <x v="6"/>
    <x v="1"/>
  </r>
  <r>
    <n v="379"/>
    <s v="USD"/>
    <n v="0"/>
    <n v="0"/>
    <n v="0"/>
    <n v="48164.24"/>
    <n v="41421.246399999996"/>
    <n v="48164.24"/>
    <n v="0"/>
    <n v="0"/>
    <d v="2025-06-19T00:00:00"/>
    <d v="2025-05-20T00:00:00"/>
    <x v="10"/>
    <x v="1"/>
  </r>
  <r>
    <n v="380"/>
    <s v="USD"/>
    <n v="0"/>
    <n v="0"/>
    <n v="0"/>
    <n v="7136.4"/>
    <n v="6137.3039999999992"/>
    <n v="7136.4"/>
    <n v="0"/>
    <n v="0"/>
    <d v="2025-05-28T00:00:00"/>
    <d v="2025-04-28T00:00:00"/>
    <x v="4"/>
    <x v="1"/>
  </r>
  <r>
    <n v="381"/>
    <s v="USD"/>
    <n v="14250"/>
    <n v="12255"/>
    <n v="14250"/>
    <n v="14250"/>
    <n v="12255"/>
    <n v="14250"/>
    <n v="0"/>
    <n v="0"/>
    <d v="2025-06-06T00:00:00"/>
    <d v="2025-05-07T00:00:00"/>
    <x v="10"/>
    <x v="1"/>
  </r>
  <r>
    <n v="382"/>
    <s v="USD"/>
    <n v="16070"/>
    <n v="13820.199999999999"/>
    <n v="16070"/>
    <n v="18693.84"/>
    <n v="16076.7024"/>
    <n v="18693.84"/>
    <n v="0"/>
    <n v="0"/>
    <d v="2025-05-31T00:00:00"/>
    <d v="2025-05-01T00:00:00"/>
    <x v="10"/>
    <x v="1"/>
  </r>
  <r>
    <n v="384"/>
    <s v="USD"/>
    <n v="0"/>
    <n v="0"/>
    <n v="0"/>
    <n v="4324.59"/>
    <n v="3719.1474000000003"/>
    <n v="4324.59"/>
    <n v="0"/>
    <n v="0"/>
    <d v="2025-06-26T00:00:00"/>
    <d v="2025-05-27T00:00:00"/>
    <x v="10"/>
    <x v="1"/>
  </r>
  <r>
    <n v="385"/>
    <s v="USD"/>
    <n v="0"/>
    <n v="0"/>
    <n v="0"/>
    <n v="3000"/>
    <n v="2580"/>
    <n v="3000"/>
    <n v="0"/>
    <n v="0"/>
    <d v="2025-05-07T00:00:00"/>
    <d v="2025-04-07T00:00:00"/>
    <x v="4"/>
    <x v="1"/>
  </r>
  <r>
    <n v="386"/>
    <s v="USD"/>
    <n v="0"/>
    <n v="0"/>
    <n v="0"/>
    <n v="740"/>
    <n v="636.4"/>
    <n v="740"/>
    <n v="0"/>
    <n v="0"/>
    <d v="2025-03-12T00:00:00"/>
    <d v="2025-02-10T00:00:00"/>
    <x v="5"/>
    <x v="1"/>
  </r>
  <r>
    <n v="387"/>
    <s v="USD"/>
    <n v="0"/>
    <n v="0"/>
    <n v="0"/>
    <n v="25787.64"/>
    <n v="22177.3704"/>
    <n v="25787.64"/>
    <n v="0"/>
    <n v="0"/>
    <d v="2025-06-19T00:00:00"/>
    <d v="2025-05-20T00:00:00"/>
    <x v="10"/>
    <x v="1"/>
  </r>
  <r>
    <n v="388"/>
    <s v="USD"/>
    <n v="9114.6000000000058"/>
    <n v="7838.556000000005"/>
    <n v="9114.6000000000058"/>
    <n v="75930.67"/>
    <n v="65300.376199999999"/>
    <n v="75930.67"/>
    <n v="0"/>
    <n v="0"/>
    <d v="2025-10-19T00:00:00"/>
    <d v="2025-09-19T00:00:00"/>
    <x v="1"/>
    <x v="1"/>
  </r>
  <r>
    <n v="389"/>
    <s v="USD"/>
    <n v="9497.0999999999985"/>
    <n v="8167.5059999999985"/>
    <n v="9497.0999999999985"/>
    <n v="73352.77"/>
    <n v="63083.3822"/>
    <n v="73352.77"/>
    <n v="0"/>
    <n v="0"/>
    <d v="2025-10-19T00:00:00"/>
    <d v="2025-09-19T00:00:00"/>
    <x v="1"/>
    <x v="1"/>
  </r>
  <r>
    <n v="390"/>
    <s v="MXN"/>
    <n v="1004603.1499999999"/>
    <n v="48220.951199999996"/>
    <n v="56257.776399999995"/>
    <n v="1089882.92"/>
    <n v="52314.380160000001"/>
    <n v="61033.443520000001"/>
    <n v="-2.9103830456733704E-11"/>
    <n v="-1.6298145055770874E-12"/>
    <d v="2025-09-24T00:00:00"/>
    <d v="2025-08-25T00:00:00"/>
    <x v="6"/>
    <x v="1"/>
  </r>
  <r>
    <n v="391"/>
    <s v="USD"/>
    <n v="9187.5200000000186"/>
    <n v="7901.2672000000157"/>
    <n v="9187.5200000000186"/>
    <n v="75993.070000000007"/>
    <n v="65354.040200000003"/>
    <n v="75993.070000000007"/>
    <n v="0"/>
    <n v="0"/>
    <d v="2025-10-18T00:00:00"/>
    <d v="2025-09-18T00:00:00"/>
    <x v="1"/>
    <x v="1"/>
  </r>
  <r>
    <n v="392"/>
    <s v="USD"/>
    <n v="50812"/>
    <n v="43698.32"/>
    <n v="50812"/>
    <n v="59116.68"/>
    <n v="50840.344799999999"/>
    <n v="59116.68"/>
    <n v="0"/>
    <n v="0"/>
    <d v="2025-12-26T00:00:00"/>
    <d v="2025-11-26T00:00:00"/>
    <x v="0"/>
    <x v="1"/>
  </r>
  <r>
    <n v="393"/>
    <s v="EUR"/>
    <n v="28530.04"/>
    <n v="28530.04"/>
    <n v="33094.846400000002"/>
    <n v="28530.04"/>
    <n v="28530.04"/>
    <n v="33094.846400000002"/>
    <n v="0"/>
    <n v="0"/>
    <d v="2025-07-19T00:00:00"/>
    <d v="2025-06-19T00:00:00"/>
    <x v="3"/>
    <x v="1"/>
  </r>
  <r>
    <n v="394"/>
    <s v="USD"/>
    <n v="105"/>
    <n v="90.3"/>
    <n v="105"/>
    <n v="33063.32"/>
    <n v="28434.4552"/>
    <n v="33063.32"/>
    <n v="0"/>
    <n v="0"/>
    <d v="2025-06-11T00:00:00"/>
    <d v="2025-05-12T00:00:00"/>
    <x v="10"/>
    <x v="1"/>
  </r>
  <r>
    <n v="395"/>
    <s v="USD"/>
    <n v="0"/>
    <n v="0"/>
    <n v="0"/>
    <n v="15971.66"/>
    <n v="13735.6276"/>
    <n v="15971.66"/>
    <n v="0"/>
    <n v="0"/>
    <d v="2025-04-01T00:00:00"/>
    <d v="2025-03-02T00:00:00"/>
    <x v="9"/>
    <x v="1"/>
  </r>
  <r>
    <n v="396"/>
    <s v="USD"/>
    <n v="0"/>
    <n v="0"/>
    <n v="0"/>
    <n v="8265.9699999999993"/>
    <n v="7108.734199999999"/>
    <n v="8265.9699999999993"/>
    <n v="1.8189894035458565E-12"/>
    <n v="1.8189894035458565E-12"/>
    <d v="2025-07-21T00:00:00"/>
    <d v="2025-06-21T00:00:00"/>
    <x v="3"/>
    <x v="1"/>
  </r>
  <r>
    <n v="397"/>
    <s v="USD"/>
    <n v="43524.38"/>
    <n v="37430.966799999995"/>
    <n v="43524.38"/>
    <n v="43524.38"/>
    <n v="37430.966799999995"/>
    <n v="43524.38"/>
    <n v="0"/>
    <n v="0"/>
    <d v="2025-07-05T00:00:00"/>
    <d v="2025-06-05T00:00:00"/>
    <x v="3"/>
    <x v="1"/>
  </r>
  <r>
    <n v="398"/>
    <s v="EUR"/>
    <n v="0"/>
    <n v="0"/>
    <n v="0"/>
    <n v="12669.04"/>
    <n v="12669.04"/>
    <n v="14696.0864"/>
    <n v="0"/>
    <n v="0"/>
    <d v="2025-07-20T00:00:00"/>
    <d v="2025-06-20T00:00:00"/>
    <x v="3"/>
    <x v="1"/>
  </r>
  <r>
    <n v="399"/>
    <s v="USD"/>
    <n v="0"/>
    <n v="0"/>
    <n v="0"/>
    <n v="5235"/>
    <n v="4502.1000000000004"/>
    <n v="5235"/>
    <n v="0"/>
    <n v="0"/>
    <d v="2025-02-26T00:00:00"/>
    <d v="2025-01-27T00:00:00"/>
    <x v="8"/>
    <x v="1"/>
  </r>
  <r>
    <n v="400"/>
    <s v="USD"/>
    <n v="0"/>
    <n v="0"/>
    <n v="0"/>
    <n v="1740"/>
    <n v="1496.3999999999999"/>
    <n v="1740"/>
    <n v="0"/>
    <n v="0"/>
    <d v="2025-03-14T00:00:00"/>
    <d v="2025-02-12T00:00:00"/>
    <x v="5"/>
    <x v="1"/>
  </r>
  <r>
    <n v="401"/>
    <s v="USD"/>
    <n v="0"/>
    <n v="0"/>
    <n v="0"/>
    <n v="4326"/>
    <n v="3720.36"/>
    <n v="4326"/>
    <n v="0"/>
    <n v="0"/>
    <d v="2025-03-12T00:00:00"/>
    <d v="2025-02-10T00:00:00"/>
    <x v="5"/>
    <x v="1"/>
  </r>
  <r>
    <n v="402"/>
    <s v="MXN"/>
    <n v="0"/>
    <n v="0"/>
    <n v="0"/>
    <n v="46687"/>
    <n v="2240.9760000000001"/>
    <n v="2614.4720000000002"/>
    <n v="0"/>
    <n v="0"/>
    <d v="2025-06-26T00:00:00"/>
    <d v="2025-05-27T00:00:00"/>
    <x v="10"/>
    <x v="1"/>
  </r>
  <r>
    <n v="403"/>
    <s v="USD"/>
    <n v="0"/>
    <n v="0"/>
    <n v="0"/>
    <n v="7861.74"/>
    <n v="6761.0963999999994"/>
    <n v="7861.74"/>
    <n v="0"/>
    <n v="0"/>
    <d v="2025-01-13T00:00:00"/>
    <d v="2024-12-14T00:00:00"/>
    <x v="7"/>
    <x v="0"/>
  </r>
  <r>
    <n v="404"/>
    <s v="MXN"/>
    <n v="10352"/>
    <n v="496.89600000000002"/>
    <n v="579.71199999999999"/>
    <n v="10352"/>
    <n v="496.89600000000002"/>
    <n v="579.71199999999999"/>
    <n v="0"/>
    <n v="0"/>
    <d v="2025-06-06T00:00:00"/>
    <d v="2025-05-07T00:00:00"/>
    <x v="10"/>
    <x v="1"/>
  </r>
  <r>
    <n v="405"/>
    <s v="MXN"/>
    <n v="13313"/>
    <n v="639.024"/>
    <n v="745.52800000000002"/>
    <n v="13313"/>
    <n v="639.024"/>
    <n v="745.52800000000002"/>
    <n v="0"/>
    <n v="0"/>
    <d v="2025-08-04T00:00:00"/>
    <d v="2025-07-05T00:00:00"/>
    <x v="11"/>
    <x v="1"/>
  </r>
  <r>
    <n v="406"/>
    <s v="USD"/>
    <n v="5842.0000000000036"/>
    <n v="5024.1200000000026"/>
    <n v="5842.0000000000036"/>
    <n v="29857.7"/>
    <n v="25677.621999999999"/>
    <n v="29857.7"/>
    <n v="0"/>
    <n v="0"/>
    <d v="2025-06-17T00:00:00"/>
    <d v="2025-05-18T00:00:00"/>
    <x v="10"/>
    <x v="1"/>
  </r>
  <r>
    <n v="407"/>
    <s v="USD"/>
    <n v="140"/>
    <n v="120.39999999999999"/>
    <n v="140"/>
    <n v="13395.02"/>
    <n v="11519.717200000001"/>
    <n v="13395.02"/>
    <n v="0"/>
    <n v="0"/>
    <d v="2025-06-06T00:00:00"/>
    <d v="2025-05-07T00:00:00"/>
    <x v="10"/>
    <x v="1"/>
  </r>
  <r>
    <n v="408"/>
    <s v="MXN"/>
    <n v="163648.45000000001"/>
    <n v="7855.1256000000003"/>
    <n v="9164.3132000000005"/>
    <n v="163648.45000000001"/>
    <n v="7855.1256000000003"/>
    <n v="9164.3132000000005"/>
    <n v="0"/>
    <n v="0"/>
    <d v="2025-08-04T00:00:00"/>
    <d v="2025-07-05T00:00:00"/>
    <x v="11"/>
    <x v="1"/>
  </r>
  <r>
    <n v="409"/>
    <s v="USD"/>
    <n v="0"/>
    <n v="0"/>
    <n v="0"/>
    <n v="6108.88"/>
    <n v="5253.6368000000002"/>
    <n v="6108.88"/>
    <n v="0"/>
    <n v="0"/>
    <d v="2025-07-16T00:00:00"/>
    <d v="2025-06-16T00:00:00"/>
    <x v="3"/>
    <x v="1"/>
  </r>
  <r>
    <n v="410"/>
    <s v="USD"/>
    <n v="25052.36"/>
    <n v="21545.029600000002"/>
    <n v="25052.36"/>
    <n v="25052.36"/>
    <n v="21545.029600000002"/>
    <n v="25052.36"/>
    <n v="0"/>
    <n v="0"/>
    <d v="2025-07-26T00:00:00"/>
    <d v="2025-06-26T00:00:00"/>
    <x v="3"/>
    <x v="1"/>
  </r>
  <r>
    <n v="411"/>
    <s v="USD"/>
    <n v="4767.8999999999996"/>
    <n v="4100.3939999999993"/>
    <n v="4767.8999999999996"/>
    <n v="4767.8999999999996"/>
    <n v="4100.3939999999993"/>
    <n v="4767.8999999999996"/>
    <n v="0"/>
    <n v="0"/>
    <d v="2025-06-17T00:00:00"/>
    <d v="2025-05-18T00:00:00"/>
    <x v="10"/>
    <x v="1"/>
  </r>
  <r>
    <n v="412"/>
    <s v="USD"/>
    <n v="0"/>
    <n v="0"/>
    <n v="0"/>
    <n v="2286.5"/>
    <n v="1966.3899999999999"/>
    <n v="2286.5"/>
    <n v="0"/>
    <n v="0"/>
    <d v="2025-05-06T00:00:00"/>
    <d v="2025-04-06T00:00:00"/>
    <x v="4"/>
    <x v="1"/>
  </r>
  <r>
    <n v="413"/>
    <s v="MXN"/>
    <n v="23160"/>
    <n v="1111.68"/>
    <n v="1296.96"/>
    <n v="23160"/>
    <n v="1111.68"/>
    <n v="1296.96"/>
    <n v="0"/>
    <n v="0"/>
    <d v="2025-07-26T00:00:00"/>
    <d v="2025-06-26T00:00:00"/>
    <x v="3"/>
    <x v="1"/>
  </r>
  <r>
    <n v="414"/>
    <s v="USD"/>
    <n v="0"/>
    <n v="0"/>
    <n v="0"/>
    <n v="9783.3799999999992"/>
    <n v="8413.7067999999999"/>
    <n v="9783.3799999999992"/>
    <n v="1.8189894035458565E-12"/>
    <n v="1.8189894035458565E-12"/>
    <d v="2025-06-09T00:00:00"/>
    <d v="2025-05-10T00:00:00"/>
    <x v="10"/>
    <x v="1"/>
  </r>
  <r>
    <n v="416"/>
    <s v="MXN"/>
    <n v="141785.25999999995"/>
    <n v="6805.6924799999979"/>
    <n v="7939.9745599999978"/>
    <n v="472374.25"/>
    <n v="22673.964"/>
    <n v="26452.958000000002"/>
    <n v="-7.0000000006984919E-2"/>
    <n v="-3.9200000003911557E-3"/>
    <d v="2025-08-10T00:00:00"/>
    <d v="2025-07-11T00:00:00"/>
    <x v="11"/>
    <x v="1"/>
  </r>
  <r>
    <n v="417"/>
    <s v="USD"/>
    <n v="9035.74"/>
    <n v="7770.7363999999998"/>
    <n v="9035.74"/>
    <n v="9035.74"/>
    <n v="7770.7363999999998"/>
    <n v="9035.74"/>
    <n v="0"/>
    <n v="0"/>
    <d v="2025-08-04T00:00:00"/>
    <d v="2025-07-05T00:00:00"/>
    <x v="11"/>
    <x v="1"/>
  </r>
  <r>
    <n v="418"/>
    <s v="JPY"/>
    <n v="22353043.399999999"/>
    <n v="122941.73869999999"/>
    <n v="143059.47776000001"/>
    <n v="22353043.399999999"/>
    <n v="122941.73869999999"/>
    <n v="143059.47776000001"/>
    <n v="0"/>
    <n v="0"/>
    <d v="2025-08-08T00:00:00"/>
    <d v="2025-07-09T00:00:00"/>
    <x v="11"/>
    <x v="1"/>
  </r>
  <r>
    <n v="419"/>
    <s v="USD"/>
    <n v="3396"/>
    <n v="2920.56"/>
    <n v="3396"/>
    <n v="8822"/>
    <n v="7586.92"/>
    <n v="8822"/>
    <n v="0"/>
    <n v="0"/>
    <d v="2025-06-20T00:00:00"/>
    <d v="2025-05-21T00:00:00"/>
    <x v="10"/>
    <x v="1"/>
  </r>
  <r>
    <n v="420"/>
    <s v="USD"/>
    <n v="0"/>
    <n v="0"/>
    <n v="0"/>
    <n v="3600"/>
    <n v="3096"/>
    <n v="3600"/>
    <n v="0"/>
    <n v="0"/>
    <d v="2025-10-08T00:00:00"/>
    <d v="2025-09-08T00:00:00"/>
    <x v="1"/>
    <x v="1"/>
  </r>
  <r>
    <n v="421"/>
    <s v="USD"/>
    <n v="17962.830000000002"/>
    <n v="15448.033800000001"/>
    <n v="17962.830000000002"/>
    <n v="17962.830000000002"/>
    <n v="15448.033800000001"/>
    <n v="17962.830000000002"/>
    <n v="0"/>
    <n v="0"/>
    <d v="2025-07-23T00:00:00"/>
    <d v="2025-06-23T00:00:00"/>
    <x v="3"/>
    <x v="1"/>
  </r>
  <r>
    <n v="422"/>
    <s v="EUR"/>
    <n v="0"/>
    <n v="0"/>
    <n v="0"/>
    <n v="1788.96"/>
    <n v="1788.96"/>
    <n v="2075.1936000000001"/>
    <n v="0"/>
    <n v="0"/>
    <d v="2025-07-02T00:00:00"/>
    <d v="2025-06-02T00:00:00"/>
    <x v="3"/>
    <x v="1"/>
  </r>
  <r>
    <n v="423"/>
    <s v="USD"/>
    <n v="3657.6"/>
    <n v="3145.5360000000001"/>
    <n v="3657.6"/>
    <n v="3667.15"/>
    <n v="3153.7490000000003"/>
    <n v="3667.15"/>
    <n v="-9.5500000000001819"/>
    <n v="-9.5500000000001819"/>
    <d v="2025-07-09T00:00:00"/>
    <d v="2025-06-09T00:00:00"/>
    <x v="3"/>
    <x v="1"/>
  </r>
  <r>
    <n v="424"/>
    <s v="EUR"/>
    <n v="0"/>
    <n v="0"/>
    <n v="0"/>
    <n v="130395.5"/>
    <n v="130395.5"/>
    <n v="151258.78"/>
    <n v="0"/>
    <n v="0"/>
    <d v="2025-08-28T00:00:00"/>
    <d v="2025-07-29T00:00:00"/>
    <x v="11"/>
    <x v="1"/>
  </r>
  <r>
    <n v="425"/>
    <s v="USD"/>
    <n v="73552.55"/>
    <n v="63255.192999999999"/>
    <n v="73552.55"/>
    <n v="73552.55"/>
    <n v="63255.192999999999"/>
    <n v="73552.55"/>
    <n v="0"/>
    <n v="0"/>
    <d v="2025-10-13T00:00:00"/>
    <d v="2025-09-13T00:00:00"/>
    <x v="1"/>
    <x v="1"/>
  </r>
  <r>
    <n v="426"/>
    <s v="MXN"/>
    <n v="23777.56"/>
    <n v="1141.3228800000002"/>
    <n v="1331.5433600000001"/>
    <n v="23777.56"/>
    <n v="1141.3228800000002"/>
    <n v="1331.5433600000001"/>
    <n v="0"/>
    <n v="0"/>
    <d v="2025-06-20T00:00:00"/>
    <d v="2025-05-21T00:00:00"/>
    <x v="10"/>
    <x v="1"/>
  </r>
  <r>
    <n v="427"/>
    <s v="USD"/>
    <n v="514.29999999999927"/>
    <n v="442.29799999999938"/>
    <n v="514.29999999999927"/>
    <n v="14634.54"/>
    <n v="12585.704400000001"/>
    <n v="14634.54"/>
    <n v="0"/>
    <n v="0"/>
    <d v="2025-01-10T00:00:00"/>
    <d v="2024-12-11T00:00:00"/>
    <x v="7"/>
    <x v="0"/>
  </r>
  <r>
    <n v="428"/>
    <s v="EUR"/>
    <n v="7346.5"/>
    <n v="7346.5"/>
    <n v="8521.9399999999987"/>
    <n v="9708.82"/>
    <n v="9708.82"/>
    <n v="11262.231199999998"/>
    <n v="0"/>
    <n v="0"/>
    <d v="2025-09-28T00:00:00"/>
    <d v="2025-08-29T00:00:00"/>
    <x v="6"/>
    <x v="1"/>
  </r>
  <r>
    <n v="429"/>
    <s v="USD"/>
    <n v="0"/>
    <n v="0"/>
    <n v="0"/>
    <n v="18950.68"/>
    <n v="16297.584800000001"/>
    <n v="18950.68"/>
    <n v="0"/>
    <n v="0"/>
    <d v="2025-07-17T00:00:00"/>
    <d v="2025-06-17T00:00:00"/>
    <x v="3"/>
    <x v="1"/>
  </r>
  <r>
    <n v="430"/>
    <s v="USD"/>
    <n v="280"/>
    <n v="240.79999999999998"/>
    <n v="280"/>
    <n v="39624.06"/>
    <n v="34076.691599999998"/>
    <n v="39624.06"/>
    <n v="0"/>
    <n v="0"/>
    <d v="2025-08-06T00:00:00"/>
    <d v="2025-07-07T00:00:00"/>
    <x v="11"/>
    <x v="1"/>
  </r>
  <r>
    <n v="431"/>
    <s v="USD"/>
    <n v="6740.5700000000033"/>
    <n v="5796.8902000000026"/>
    <n v="6740.5700000000033"/>
    <n v="23702.83"/>
    <n v="20384.433800000003"/>
    <n v="23702.83"/>
    <n v="0"/>
    <n v="0"/>
    <d v="2025-09-03T00:00:00"/>
    <d v="2025-08-04T00:00:00"/>
    <x v="6"/>
    <x v="1"/>
  </r>
  <r>
    <n v="432"/>
    <s v="USD"/>
    <n v="200"/>
    <n v="172"/>
    <n v="200"/>
    <n v="26949.24"/>
    <n v="23176.346400000002"/>
    <n v="26949.24"/>
    <n v="0"/>
    <n v="0"/>
    <d v="2025-07-09T00:00:00"/>
    <d v="2025-06-09T00:00:00"/>
    <x v="3"/>
    <x v="1"/>
  </r>
  <r>
    <n v="433"/>
    <s v="EUR"/>
    <n v="2550.5400000000009"/>
    <n v="2550.5400000000009"/>
    <n v="2958.626400000001"/>
    <n v="13377.54"/>
    <n v="13377.54"/>
    <n v="15517.946400000001"/>
    <n v="0"/>
    <n v="0"/>
    <d v="2025-07-10T00:00:00"/>
    <d v="2025-06-10T00:00:00"/>
    <x v="3"/>
    <x v="1"/>
  </r>
  <r>
    <n v="434"/>
    <s v="GPB"/>
    <n v="0"/>
    <n v="0"/>
    <n v="0"/>
    <n v="1445"/>
    <n v="1661.7499999999998"/>
    <n v="1936.3000000000002"/>
    <n v="0"/>
    <n v="0"/>
    <d v="2025-06-18T00:00:00"/>
    <d v="2025-05-19T00:00:00"/>
    <x v="10"/>
    <x v="1"/>
  </r>
  <r>
    <n v="435"/>
    <s v="USD"/>
    <n v="22831.480000000003"/>
    <n v="19635.072800000002"/>
    <n v="22831.480000000003"/>
    <n v="73341.97"/>
    <n v="63074.0942"/>
    <n v="73341.97"/>
    <n v="0"/>
    <n v="0"/>
    <d v="2025-07-10T00:00:00"/>
    <d v="2025-06-10T00:00:00"/>
    <x v="3"/>
    <x v="1"/>
  </r>
  <r>
    <n v="436"/>
    <s v="MXN"/>
    <n v="0"/>
    <n v="0"/>
    <n v="0"/>
    <n v="254934"/>
    <n v="12236.832"/>
    <n v="14276.304"/>
    <n v="0"/>
    <n v="0"/>
    <d v="2025-08-06T00:00:00"/>
    <d v="2025-07-07T00:00:00"/>
    <x v="11"/>
    <x v="1"/>
  </r>
  <r>
    <n v="437"/>
    <s v="EUR"/>
    <n v="40760.35"/>
    <n v="40760.35"/>
    <n v="47282.005999999994"/>
    <n v="40897.86"/>
    <n v="40897.86"/>
    <n v="47441.517599999999"/>
    <n v="-2.0463630789890885E-12"/>
    <n v="-2.3737811716273426E-12"/>
    <d v="2025-08-07T00:00:00"/>
    <d v="2025-07-08T00:00:00"/>
    <x v="11"/>
    <x v="1"/>
  </r>
  <r>
    <n v="438"/>
    <s v="USD"/>
    <n v="12177.42"/>
    <n v="10472.581200000001"/>
    <n v="12177.42"/>
    <n v="12177.42"/>
    <n v="10472.581200000001"/>
    <n v="12177.42"/>
    <n v="0"/>
    <n v="0"/>
    <d v="2025-07-07T00:00:00"/>
    <d v="2025-06-07T00:00:00"/>
    <x v="3"/>
    <x v="1"/>
  </r>
  <r>
    <n v="439"/>
    <s v="USD"/>
    <n v="8130.05"/>
    <n v="6991.8429999999998"/>
    <n v="8130.05"/>
    <n v="2379.69"/>
    <n v="2046.5334"/>
    <n v="2379.69"/>
    <n v="5750.3600000000006"/>
    <n v="5750.3600000000006"/>
    <d v="2025-09-08T00:00:00"/>
    <d v="2025-08-09T00:00:00"/>
    <x v="6"/>
    <x v="1"/>
  </r>
  <r>
    <n v="440"/>
    <s v="MXN"/>
    <n v="1792979.16"/>
    <n v="86062.999679999994"/>
    <n v="100406.83296"/>
    <n v="2048584.48"/>
    <n v="98332.055040000007"/>
    <n v="114720.73088"/>
    <n v="-5.8207660913467407E-11"/>
    <n v="-3.2596290111541749E-12"/>
    <d v="2025-10-21T00:00:00"/>
    <d v="2025-09-21T00:00:00"/>
    <x v="1"/>
    <x v="1"/>
  </r>
  <r>
    <n v="441"/>
    <s v="USD"/>
    <n v="2363.8000000000002"/>
    <n v="2032.8680000000002"/>
    <n v="2363.8000000000002"/>
    <n v="2363.8000000000002"/>
    <n v="2032.8680000000002"/>
    <n v="2363.8000000000002"/>
    <n v="0"/>
    <n v="0"/>
    <d v="2025-06-20T00:00:00"/>
    <d v="2025-05-21T00:00:00"/>
    <x v="10"/>
    <x v="1"/>
  </r>
  <r>
    <n v="442"/>
    <s v="EUR"/>
    <n v="672.41"/>
    <n v="672.41"/>
    <n v="779.99559999999985"/>
    <n v="672.41"/>
    <n v="672.41"/>
    <n v="779.99559999999985"/>
    <n v="0"/>
    <n v="0"/>
    <d v="2025-06-30T00:00:00"/>
    <d v="2025-05-31T00:00:00"/>
    <x v="10"/>
    <x v="1"/>
  </r>
  <r>
    <n v="443"/>
    <s v="MXN"/>
    <n v="2668.4000000000015"/>
    <n v="128.08320000000006"/>
    <n v="149.43040000000008"/>
    <n v="41650.400000000001"/>
    <n v="1999.2192"/>
    <n v="2332.4223999999999"/>
    <n v="0"/>
    <n v="0"/>
    <d v="2025-06-23T00:00:00"/>
    <d v="2025-05-24T00:00:00"/>
    <x v="10"/>
    <x v="1"/>
  </r>
  <r>
    <n v="444"/>
    <s v="MXN"/>
    <n v="113849"/>
    <n v="5464.7520000000004"/>
    <n v="6375.5439999999999"/>
    <n v="113849"/>
    <n v="5464.7520000000004"/>
    <n v="6375.5439999999999"/>
    <n v="0"/>
    <n v="0"/>
    <d v="2025-07-02T00:00:00"/>
    <d v="2025-06-02T00:00:00"/>
    <x v="3"/>
    <x v="1"/>
  </r>
  <r>
    <n v="445"/>
    <s v="USD"/>
    <n v="142225.61000000002"/>
    <n v="122314.0246"/>
    <n v="142225.61000000002"/>
    <n v="80678.009999999995"/>
    <n v="69383.088599999988"/>
    <n v="80678.009999999995"/>
    <n v="110978.00000000003"/>
    <n v="110978.00000000003"/>
    <d v="2025-10-26T00:00:00"/>
    <d v="2025-09-26T00:00:00"/>
    <x v="1"/>
    <x v="1"/>
  </r>
  <r>
    <n v="446"/>
    <s v="USD"/>
    <n v="0"/>
    <n v="0"/>
    <n v="0"/>
    <n v="20159.509999999998"/>
    <n v="17337.178599999999"/>
    <n v="20159.509999999998"/>
    <n v="3.637978807091713E-12"/>
    <n v="3.637978807091713E-12"/>
    <d v="2025-05-13T00:00:00"/>
    <d v="2025-04-13T00:00:00"/>
    <x v="4"/>
    <x v="1"/>
  </r>
  <r>
    <n v="447"/>
    <s v="USD"/>
    <n v="35"/>
    <n v="30.099999999999998"/>
    <n v="35"/>
    <n v="11123.36"/>
    <n v="9566.0896000000012"/>
    <n v="11123.36"/>
    <n v="0"/>
    <n v="0"/>
    <s v="0000-00-00"/>
    <e v="#VALUE!"/>
    <x v="12"/>
    <x v="3"/>
  </r>
  <r>
    <n v="448"/>
    <s v="USD"/>
    <n v="105"/>
    <n v="90.3"/>
    <n v="105"/>
    <n v="57613.7"/>
    <n v="49547.781999999999"/>
    <n v="57613.7"/>
    <n v="0"/>
    <n v="0"/>
    <d v="2025-07-06T00:00:00"/>
    <d v="2025-06-06T00:00:00"/>
    <x v="3"/>
    <x v="1"/>
  </r>
  <r>
    <n v="449"/>
    <s v="USD"/>
    <n v="175520.27"/>
    <n v="150947.43219999998"/>
    <n v="175520.27"/>
    <n v="149273.54999999999"/>
    <n v="128375.25299999998"/>
    <n v="149273.54999999999"/>
    <n v="26246.720000000001"/>
    <n v="26246.720000000001"/>
    <d v="2025-11-12T00:00:00"/>
    <d v="2025-10-13T00:00:00"/>
    <x v="2"/>
    <x v="1"/>
  </r>
  <r>
    <n v="451"/>
    <s v="USD"/>
    <n v="0"/>
    <n v="0"/>
    <n v="0"/>
    <n v="1494.49"/>
    <n v="1285.2614000000001"/>
    <n v="1494.49"/>
    <n v="0"/>
    <n v="0"/>
    <d v="2025-07-13T00:00:00"/>
    <d v="2025-06-13T00:00:00"/>
    <x v="3"/>
    <x v="1"/>
  </r>
  <r>
    <n v="452"/>
    <s v="USD"/>
    <n v="60889.46"/>
    <n v="52364.935599999997"/>
    <n v="60889.46"/>
    <n v="60889.46"/>
    <n v="52364.935599999997"/>
    <n v="60889.46"/>
    <n v="0"/>
    <n v="0"/>
    <d v="2025-12-18T00:00:00"/>
    <d v="2025-11-18T00:00:00"/>
    <x v="0"/>
    <x v="1"/>
  </r>
  <r>
    <n v="453"/>
    <s v="USD"/>
    <n v="82243"/>
    <n v="70728.98"/>
    <n v="82243"/>
    <n v="82243"/>
    <n v="70728.98"/>
    <n v="82243"/>
    <n v="0"/>
    <n v="0"/>
    <d v="2025-12-22T00:00:00"/>
    <d v="2025-11-22T00:00:00"/>
    <x v="0"/>
    <x v="1"/>
  </r>
  <r>
    <n v="454"/>
    <s v="USD"/>
    <n v="7792.8000000000029"/>
    <n v="6701.8080000000027"/>
    <n v="7792.8000000000029"/>
    <n v="44002.8"/>
    <n v="37842.408000000003"/>
    <n v="44002.8"/>
    <n v="0"/>
    <n v="0"/>
    <d v="2025-08-02T00:00:00"/>
    <d v="2025-07-03T00:00:00"/>
    <x v="11"/>
    <x v="1"/>
  </r>
  <r>
    <n v="455"/>
    <s v="USD"/>
    <n v="10910"/>
    <n v="9382.6"/>
    <n v="10910"/>
    <n v="12589.79"/>
    <n v="10827.2194"/>
    <n v="12589.79"/>
    <n v="-14.790000000000873"/>
    <n v="-14.790000000000873"/>
    <d v="2026-04-25T00:00:00"/>
    <d v="2026-03-26T00:00:00"/>
    <x v="9"/>
    <x v="2"/>
  </r>
  <r>
    <n v="456"/>
    <s v="USD"/>
    <n v="0"/>
    <n v="0"/>
    <n v="0"/>
    <n v="1205"/>
    <n v="1036.3"/>
    <n v="1205"/>
    <n v="0"/>
    <n v="0"/>
    <d v="2025-03-05T00:00:00"/>
    <d v="2025-02-03T00:00:00"/>
    <x v="5"/>
    <x v="1"/>
  </r>
  <r>
    <n v="457"/>
    <s v="USD"/>
    <n v="0"/>
    <n v="0"/>
    <n v="0"/>
    <n v="780"/>
    <n v="670.8"/>
    <n v="780"/>
    <n v="0"/>
    <n v="0"/>
    <d v="2025-04-07T00:00:00"/>
    <d v="2025-03-08T00:00:00"/>
    <x v="9"/>
    <x v="1"/>
  </r>
  <r>
    <n v="458"/>
    <s v="USD"/>
    <n v="0"/>
    <n v="0"/>
    <n v="0"/>
    <n v="1465"/>
    <n v="1259.9000000000001"/>
    <n v="1465"/>
    <n v="0"/>
    <n v="0"/>
    <d v="2025-05-18T00:00:00"/>
    <d v="2025-04-18T00:00:00"/>
    <x v="4"/>
    <x v="1"/>
  </r>
  <r>
    <n v="459"/>
    <s v="USD"/>
    <n v="0"/>
    <n v="0"/>
    <n v="0"/>
    <n v="305"/>
    <n v="262.3"/>
    <n v="305"/>
    <n v="0"/>
    <n v="0"/>
    <d v="2025-05-27T00:00:00"/>
    <d v="2025-04-27T00:00:00"/>
    <x v="4"/>
    <x v="1"/>
  </r>
  <r>
    <n v="460"/>
    <s v="USD"/>
    <n v="0"/>
    <n v="0"/>
    <n v="0"/>
    <n v="2832"/>
    <n v="2435.52"/>
    <n v="2832"/>
    <n v="0"/>
    <n v="0"/>
    <d v="2025-07-02T00:00:00"/>
    <d v="2025-06-02T00:00:00"/>
    <x v="3"/>
    <x v="1"/>
  </r>
  <r>
    <n v="461"/>
    <s v="MXN"/>
    <n v="0"/>
    <n v="0"/>
    <n v="0"/>
    <n v="10222"/>
    <n v="490.65600000000001"/>
    <n v="572.43200000000002"/>
    <n v="0"/>
    <n v="0"/>
    <d v="2025-07-24T00:00:00"/>
    <d v="2025-06-24T00:00:00"/>
    <x v="3"/>
    <x v="1"/>
  </r>
  <r>
    <n v="462"/>
    <s v="USD"/>
    <n v="140"/>
    <n v="120.39999999999999"/>
    <n v="140"/>
    <n v="28332.89"/>
    <n v="24366.285400000001"/>
    <n v="28332.89"/>
    <n v="0"/>
    <n v="0"/>
    <d v="2025-09-02T00:00:00"/>
    <d v="2025-08-03T00:00:00"/>
    <x v="6"/>
    <x v="1"/>
  </r>
  <r>
    <n v="463"/>
    <s v="MXN"/>
    <n v="0"/>
    <n v="0"/>
    <n v="0"/>
    <n v="34866"/>
    <n v="1673.568"/>
    <n v="1952.4960000000001"/>
    <n v="0"/>
    <n v="0"/>
    <d v="2025-07-09T00:00:00"/>
    <d v="2025-06-09T00:00:00"/>
    <x v="3"/>
    <x v="1"/>
  </r>
  <r>
    <n v="464"/>
    <s v="USD"/>
    <n v="0"/>
    <n v="0"/>
    <n v="0"/>
    <n v="2267.5"/>
    <n v="1950.05"/>
    <n v="2267.5"/>
    <n v="0"/>
    <n v="0"/>
    <d v="2025-06-30T00:00:00"/>
    <d v="2025-05-31T00:00:00"/>
    <x v="10"/>
    <x v="1"/>
  </r>
  <r>
    <n v="465"/>
    <s v="EUR"/>
    <n v="0"/>
    <n v="0"/>
    <n v="0"/>
    <n v="9065"/>
    <n v="9065"/>
    <n v="10515.4"/>
    <n v="0"/>
    <n v="0"/>
    <d v="2025-07-31T00:00:00"/>
    <d v="2025-07-01T00:00:00"/>
    <x v="11"/>
    <x v="1"/>
  </r>
  <r>
    <n v="466"/>
    <s v="USD"/>
    <n v="7936.29"/>
    <n v="6825.2093999999997"/>
    <n v="7936.29"/>
    <n v="7936.29"/>
    <n v="6825.2093999999997"/>
    <n v="7936.29"/>
    <n v="0"/>
    <n v="0"/>
    <d v="2025-10-20T00:00:00"/>
    <d v="2025-09-20T00:00:00"/>
    <x v="1"/>
    <x v="1"/>
  </r>
  <r>
    <n v="467"/>
    <s v="MXN"/>
    <n v="0"/>
    <n v="0"/>
    <n v="0"/>
    <n v="80360.45"/>
    <n v="3857.3015999999998"/>
    <n v="4500.1851999999999"/>
    <n v="0"/>
    <n v="0"/>
    <d v="2025-05-28T00:00:00"/>
    <d v="2025-04-28T00:00:00"/>
    <x v="4"/>
    <x v="1"/>
  </r>
  <r>
    <n v="468"/>
    <s v="USD"/>
    <n v="72.799999999999272"/>
    <n v="62.607999999999372"/>
    <n v="72.799999999999272"/>
    <n v="31335.84"/>
    <n v="26948.822400000001"/>
    <n v="31335.84"/>
    <n v="0"/>
    <n v="0"/>
    <d v="2025-10-15T00:00:00"/>
    <d v="2025-09-15T00:00:00"/>
    <x v="1"/>
    <x v="1"/>
  </r>
  <r>
    <n v="469"/>
    <s v="USD"/>
    <n v="0"/>
    <n v="0"/>
    <n v="0"/>
    <n v="670.22"/>
    <n v="576.38919999999996"/>
    <n v="670.22"/>
    <n v="0"/>
    <n v="0"/>
    <d v="2025-04-19T00:00:00"/>
    <d v="2025-03-20T00:00:00"/>
    <x v="9"/>
    <x v="1"/>
  </r>
  <r>
    <n v="470"/>
    <s v="USD"/>
    <n v="11081.46"/>
    <n v="9530.0555999999997"/>
    <n v="11081.46"/>
    <n v="16761.98"/>
    <n v="14415.302799999999"/>
    <n v="16761.98"/>
    <n v="0"/>
    <n v="0"/>
    <d v="2025-07-09T00:00:00"/>
    <d v="2025-06-09T00:00:00"/>
    <x v="3"/>
    <x v="1"/>
  </r>
  <r>
    <n v="471"/>
    <s v="USD"/>
    <n v="0"/>
    <n v="0"/>
    <n v="0"/>
    <n v="62621"/>
    <n v="53854.06"/>
    <n v="62621"/>
    <n v="0"/>
    <n v="0"/>
    <d v="2025-04-20T00:00:00"/>
    <d v="2025-03-21T00:00:00"/>
    <x v="9"/>
    <x v="1"/>
  </r>
  <r>
    <n v="472"/>
    <s v="USD"/>
    <n v="0"/>
    <n v="0"/>
    <n v="0"/>
    <n v="5320.72"/>
    <n v="4575.8191999999999"/>
    <n v="5320.72"/>
    <n v="-9.0949470177292824E-13"/>
    <n v="-9.0949470177292824E-13"/>
    <d v="2025-02-24T00:00:00"/>
    <d v="2025-01-25T00:00:00"/>
    <x v="8"/>
    <x v="1"/>
  </r>
  <r>
    <n v="473"/>
    <s v="EUR"/>
    <n v="0"/>
    <n v="0"/>
    <n v="0"/>
    <n v="570"/>
    <n v="570"/>
    <n v="661.19999999999993"/>
    <n v="0"/>
    <n v="0"/>
    <d v="2025-07-01T00:00:00"/>
    <d v="2025-06-01T00:00:00"/>
    <x v="3"/>
    <x v="1"/>
  </r>
  <r>
    <n v="474"/>
    <s v="USD"/>
    <n v="0"/>
    <n v="0"/>
    <n v="0"/>
    <n v="5334.66"/>
    <n v="4587.8076000000001"/>
    <n v="5334.66"/>
    <n v="0"/>
    <n v="0"/>
    <d v="2025-08-27T00:00:00"/>
    <d v="2025-07-28T00:00:00"/>
    <x v="11"/>
    <x v="1"/>
  </r>
  <r>
    <n v="477"/>
    <s v="EUR"/>
    <n v="1437.5"/>
    <n v="1437.5"/>
    <n v="1667.4999999999998"/>
    <n v="1437.5"/>
    <n v="1437.5"/>
    <n v="1667.4999999999998"/>
    <n v="0"/>
    <n v="0"/>
    <d v="2025-07-16T00:00:00"/>
    <d v="2025-06-16T00:00:00"/>
    <x v="3"/>
    <x v="1"/>
  </r>
  <r>
    <n v="478"/>
    <s v="USD"/>
    <n v="0"/>
    <n v="0"/>
    <n v="0"/>
    <n v="8311"/>
    <n v="7147.46"/>
    <n v="8311"/>
    <n v="0"/>
    <n v="0"/>
    <d v="2025-07-13T00:00:00"/>
    <d v="2025-06-13T00:00:00"/>
    <x v="3"/>
    <x v="1"/>
  </r>
  <r>
    <n v="479"/>
    <s v="USD"/>
    <n v="0"/>
    <n v="0"/>
    <n v="0"/>
    <n v="3878"/>
    <n v="3335.08"/>
    <n v="3878"/>
    <n v="0"/>
    <n v="0"/>
    <d v="2025-07-17T00:00:00"/>
    <d v="2025-06-17T00:00:00"/>
    <x v="3"/>
    <x v="1"/>
  </r>
  <r>
    <n v="480"/>
    <s v="USD"/>
    <n v="0"/>
    <n v="0"/>
    <n v="0"/>
    <n v="4998"/>
    <n v="4298.28"/>
    <n v="4998"/>
    <n v="0"/>
    <n v="0"/>
    <d v="2025-07-25T00:00:00"/>
    <d v="2025-06-25T00:00:00"/>
    <x v="3"/>
    <x v="1"/>
  </r>
  <r>
    <n v="481"/>
    <s v="USD"/>
    <n v="70"/>
    <n v="60.199999999999996"/>
    <n v="70"/>
    <n v="5122.76"/>
    <n v="4405.5735999999997"/>
    <n v="5122.76"/>
    <n v="0"/>
    <n v="0"/>
    <d v="2025-07-22T00:00:00"/>
    <d v="2025-06-22T00:00:00"/>
    <x v="3"/>
    <x v="1"/>
  </r>
  <r>
    <n v="482"/>
    <s v="EUR"/>
    <n v="0"/>
    <n v="0"/>
    <n v="0"/>
    <n v="13118.4"/>
    <n v="13118.4"/>
    <n v="15217.343999999999"/>
    <n v="0"/>
    <n v="0"/>
    <d v="2025-07-05T00:00:00"/>
    <d v="2025-06-05T00:00:00"/>
    <x v="3"/>
    <x v="1"/>
  </r>
  <r>
    <n v="483"/>
    <s v="GPB"/>
    <n v="0"/>
    <n v="0"/>
    <n v="0"/>
    <n v="11170"/>
    <n v="12845.499999999998"/>
    <n v="14967.800000000001"/>
    <n v="0"/>
    <n v="0"/>
    <d v="2025-07-07T00:00:00"/>
    <d v="2025-06-07T00:00:00"/>
    <x v="3"/>
    <x v="1"/>
  </r>
  <r>
    <n v="484"/>
    <s v="USD"/>
    <n v="0"/>
    <n v="0"/>
    <n v="0"/>
    <n v="6901.05"/>
    <n v="5934.9030000000002"/>
    <n v="6901.05"/>
    <n v="0"/>
    <n v="0"/>
    <d v="2025-06-17T00:00:00"/>
    <d v="2025-05-18T00:00:00"/>
    <x v="10"/>
    <x v="1"/>
  </r>
  <r>
    <n v="485"/>
    <s v="USD"/>
    <n v="13303.2"/>
    <n v="11440.752"/>
    <n v="13303.2"/>
    <n v="13303.2"/>
    <n v="11440.752"/>
    <n v="13303.2"/>
    <n v="0"/>
    <n v="0"/>
    <d v="2025-08-05T00:00:00"/>
    <d v="2025-07-06T00:00:00"/>
    <x v="11"/>
    <x v="1"/>
  </r>
  <r>
    <n v="486"/>
    <s v="EUR"/>
    <n v="7354"/>
    <n v="7354"/>
    <n v="8530.64"/>
    <n v="32878"/>
    <n v="32878"/>
    <n v="38138.479999999996"/>
    <n v="0"/>
    <n v="0"/>
    <d v="2025-07-23T00:00:00"/>
    <d v="2025-06-23T00:00:00"/>
    <x v="3"/>
    <x v="1"/>
  </r>
  <r>
    <n v="487"/>
    <s v="USD"/>
    <n v="175"/>
    <n v="150.5"/>
    <n v="175"/>
    <n v="9628.11"/>
    <n v="8280.1746000000003"/>
    <n v="9628.11"/>
    <n v="0"/>
    <n v="0"/>
    <d v="2025-07-07T00:00:00"/>
    <d v="2025-06-07T00:00:00"/>
    <x v="3"/>
    <x v="1"/>
  </r>
  <r>
    <n v="488"/>
    <s v="EUR"/>
    <n v="73676"/>
    <n v="73676"/>
    <n v="85464.159999999989"/>
    <n v="73676"/>
    <n v="73676"/>
    <n v="85464.159999999989"/>
    <n v="0"/>
    <n v="0"/>
    <d v="2025-12-21T00:00:00"/>
    <d v="2025-11-21T00:00:00"/>
    <x v="0"/>
    <x v="1"/>
  </r>
  <r>
    <n v="489"/>
    <s v="USD"/>
    <n v="14350.509999999995"/>
    <n v="12341.438599999996"/>
    <n v="14350.509999999995"/>
    <n v="75742.37"/>
    <n v="65138.438199999997"/>
    <n v="75742.37"/>
    <n v="0"/>
    <n v="0"/>
    <d v="2025-09-01T00:00:00"/>
    <d v="2025-08-02T00:00:00"/>
    <x v="6"/>
    <x v="1"/>
  </r>
  <r>
    <n v="490"/>
    <s v="USD"/>
    <n v="0"/>
    <n v="0"/>
    <n v="0"/>
    <n v="2648"/>
    <n v="2277.2799999999997"/>
    <n v="2648"/>
    <n v="0"/>
    <n v="0"/>
    <d v="2025-07-27T00:00:00"/>
    <d v="2025-06-27T00:00:00"/>
    <x v="3"/>
    <x v="1"/>
  </r>
  <r>
    <n v="491"/>
    <s v="USD"/>
    <n v="0"/>
    <n v="0"/>
    <n v="0"/>
    <n v="5691"/>
    <n v="4894.26"/>
    <n v="5691"/>
    <n v="0"/>
    <n v="0"/>
    <d v="2025-07-29T00:00:00"/>
    <d v="2025-06-29T00:00:00"/>
    <x v="3"/>
    <x v="1"/>
  </r>
  <r>
    <n v="492"/>
    <s v="MXN"/>
    <n v="746.77999999999884"/>
    <n v="35.845439999999947"/>
    <n v="41.819679999999934"/>
    <n v="85053.78"/>
    <n v="4082.5814399999999"/>
    <n v="4763.0116799999996"/>
    <n v="0"/>
    <n v="0"/>
    <d v="2025-07-10T00:00:00"/>
    <d v="2025-06-10T00:00:00"/>
    <x v="3"/>
    <x v="1"/>
  </r>
  <r>
    <n v="493"/>
    <s v="USD"/>
    <n v="35"/>
    <n v="30.099999999999998"/>
    <n v="35"/>
    <n v="645.15"/>
    <n v="554.82899999999995"/>
    <n v="645.15"/>
    <n v="0"/>
    <n v="0"/>
    <d v="2025-07-12T00:00:00"/>
    <d v="2025-06-12T00:00:00"/>
    <x v="3"/>
    <x v="1"/>
  </r>
  <r>
    <n v="494"/>
    <s v="USD"/>
    <n v="27414.18"/>
    <n v="23576.194800000001"/>
    <n v="27414.18"/>
    <n v="27414.18"/>
    <n v="23576.194800000001"/>
    <n v="27414.18"/>
    <n v="0"/>
    <n v="0"/>
    <d v="2025-10-05T00:00:00"/>
    <d v="2025-09-05T00:00:00"/>
    <x v="1"/>
    <x v="1"/>
  </r>
  <r>
    <n v="495"/>
    <s v="USD"/>
    <n v="52147.770000000004"/>
    <n v="44847.082200000004"/>
    <n v="52147.770000000004"/>
    <n v="74971.3"/>
    <n v="64475.317999999999"/>
    <n v="74971.3"/>
    <n v="0"/>
    <n v="0"/>
    <d v="2025-12-25T00:00:00"/>
    <d v="2025-11-25T00:00:00"/>
    <x v="0"/>
    <x v="1"/>
  </r>
  <r>
    <n v="496"/>
    <s v="USD"/>
    <n v="4514.26"/>
    <n v="3882.2636000000002"/>
    <n v="4514.26"/>
    <n v="11461.99"/>
    <n v="9857.3114000000005"/>
    <n v="11461.99"/>
    <n v="0"/>
    <n v="0"/>
    <d v="2025-07-26T00:00:00"/>
    <d v="2025-06-26T00:00:00"/>
    <x v="3"/>
    <x v="1"/>
  </r>
  <r>
    <n v="497"/>
    <s v="MXN"/>
    <n v="664.30000000000018"/>
    <n v="31.886400000000009"/>
    <n v="37.200800000000008"/>
    <n v="5102.3"/>
    <n v="244.91040000000001"/>
    <n v="285.72880000000004"/>
    <n v="0"/>
    <n v="0"/>
    <d v="2025-07-12T00:00:00"/>
    <d v="2025-06-12T00:00:00"/>
    <x v="3"/>
    <x v="1"/>
  </r>
  <r>
    <n v="498"/>
    <s v="GPB"/>
    <n v="0"/>
    <n v="0"/>
    <n v="0"/>
    <n v="25884.35"/>
    <n v="29767.002499999995"/>
    <n v="34685.029000000002"/>
    <n v="0"/>
    <n v="0"/>
    <d v="2025-07-12T00:00:00"/>
    <d v="2025-06-12T00:00:00"/>
    <x v="3"/>
    <x v="1"/>
  </r>
  <r>
    <n v="499"/>
    <s v="USD"/>
    <n v="0"/>
    <n v="0"/>
    <n v="0"/>
    <n v="19682.599999999999"/>
    <n v="16927.036"/>
    <n v="19682.599999999999"/>
    <n v="0"/>
    <n v="0"/>
    <d v="2025-04-06T00:00:00"/>
    <d v="2025-03-07T00:00:00"/>
    <x v="9"/>
    <x v="1"/>
  </r>
  <r>
    <n v="500"/>
    <s v="EUR"/>
    <n v="0"/>
    <n v="0"/>
    <n v="0"/>
    <n v="11054.87"/>
    <n v="11054.87"/>
    <n v="12823.6492"/>
    <n v="-1.8189894035458565E-12"/>
    <n v="-2.1100277081131934E-12"/>
    <d v="2025-10-07T00:00:00"/>
    <d v="2025-09-07T00:00:00"/>
    <x v="1"/>
    <x v="1"/>
  </r>
  <r>
    <n v="501"/>
    <s v="USD"/>
    <n v="0"/>
    <n v="0"/>
    <n v="0"/>
    <n v="11490"/>
    <n v="9881.4"/>
    <n v="11490"/>
    <n v="0"/>
    <n v="0"/>
    <d v="2026-03-30T00:00:00"/>
    <d v="2026-02-28T00:00:00"/>
    <x v="5"/>
    <x v="2"/>
  </r>
  <r>
    <n v="502"/>
    <s v="USD"/>
    <n v="16384.55"/>
    <n v="14090.713"/>
    <n v="16384.55"/>
    <n v="16384.55"/>
    <n v="14090.713"/>
    <n v="16384.55"/>
    <n v="0"/>
    <n v="0"/>
    <d v="2025-10-26T00:00:00"/>
    <d v="2025-09-26T00:00:00"/>
    <x v="1"/>
    <x v="1"/>
  </r>
  <r>
    <n v="503"/>
    <s v="USD"/>
    <n v="35"/>
    <n v="30.099999999999998"/>
    <n v="35"/>
    <n v="73991"/>
    <n v="63632.26"/>
    <n v="73991"/>
    <n v="0"/>
    <n v="0"/>
    <d v="2025-04-09T00:00:00"/>
    <d v="2025-03-10T00:00:00"/>
    <x v="9"/>
    <x v="1"/>
  </r>
  <r>
    <n v="504"/>
    <s v="USD"/>
    <n v="22527.7"/>
    <n v="19373.822"/>
    <n v="22527.7"/>
    <n v="22527.7"/>
    <n v="19373.822"/>
    <n v="22527.7"/>
    <n v="0"/>
    <n v="0"/>
    <d v="2026-01-04T00:00:00"/>
    <d v="2025-12-05T00:00:00"/>
    <x v="7"/>
    <x v="1"/>
  </r>
  <r>
    <n v="505"/>
    <s v="EUR"/>
    <n v="0"/>
    <n v="0"/>
    <n v="0"/>
    <n v="8631.9599999999991"/>
    <n v="8631.9599999999991"/>
    <n v="10013.073599999998"/>
    <n v="0"/>
    <n v="0"/>
    <d v="2025-07-14T00:00:00"/>
    <d v="2025-06-14T00:00:00"/>
    <x v="3"/>
    <x v="1"/>
  </r>
  <r>
    <n v="506"/>
    <s v="USD"/>
    <n v="3011.5800000000017"/>
    <n v="2589.9588000000012"/>
    <n v="3011.5800000000017"/>
    <n v="25058.9"/>
    <n v="21550.654000000002"/>
    <n v="25058.9"/>
    <n v="0"/>
    <n v="0"/>
    <d v="2025-07-03T00:00:00"/>
    <d v="2025-06-03T00:00:00"/>
    <x v="3"/>
    <x v="1"/>
  </r>
  <r>
    <n v="507"/>
    <s v="USD"/>
    <n v="0"/>
    <n v="0"/>
    <n v="0"/>
    <n v="10798.04"/>
    <n v="9286.3144000000011"/>
    <n v="10798.04"/>
    <n v="0"/>
    <n v="0"/>
    <d v="2025-06-13T00:00:00"/>
    <d v="2025-05-14T00:00:00"/>
    <x v="10"/>
    <x v="1"/>
  </r>
  <r>
    <n v="508"/>
    <s v="GPB"/>
    <n v="0"/>
    <n v="0"/>
    <n v="0"/>
    <n v="7119"/>
    <n v="8186.8499999999995"/>
    <n v="9539.4600000000009"/>
    <n v="0"/>
    <n v="0"/>
    <d v="2025-04-12T00:00:00"/>
    <d v="2025-03-13T00:00:00"/>
    <x v="9"/>
    <x v="1"/>
  </r>
  <r>
    <n v="509"/>
    <s v="USD"/>
    <n v="104.99999999999909"/>
    <n v="90.299999999999216"/>
    <n v="104.99999999999909"/>
    <n v="5915.36"/>
    <n v="5087.2095999999992"/>
    <n v="5915.36"/>
    <n v="0"/>
    <n v="0"/>
    <d v="2025-08-14T00:00:00"/>
    <d v="2025-07-15T00:00:00"/>
    <x v="11"/>
    <x v="1"/>
  </r>
  <r>
    <n v="510"/>
    <s v="USD"/>
    <n v="0"/>
    <n v="0"/>
    <n v="0"/>
    <n v="19967.13"/>
    <n v="17171.731800000001"/>
    <n v="19967.13"/>
    <n v="0"/>
    <n v="0"/>
    <d v="2025-07-08T00:00:00"/>
    <d v="2025-06-08T00:00:00"/>
    <x v="3"/>
    <x v="1"/>
  </r>
  <r>
    <n v="511"/>
    <s v="CHF"/>
    <n v="0"/>
    <n v="0"/>
    <n v="0"/>
    <n v="25252.01"/>
    <n v="27019.650699999998"/>
    <n v="31565.012499999997"/>
    <n v="0"/>
    <n v="0"/>
    <d v="2025-08-23T00:00:00"/>
    <d v="2025-07-24T00:00:00"/>
    <x v="11"/>
    <x v="1"/>
  </r>
  <r>
    <n v="512"/>
    <s v="USD"/>
    <n v="16537"/>
    <n v="14221.82"/>
    <n v="16537"/>
    <n v="16537"/>
    <n v="14221.82"/>
    <n v="16537"/>
    <n v="0"/>
    <n v="0"/>
    <d v="2025-08-12T00:00:00"/>
    <d v="2025-07-13T00:00:00"/>
    <x v="11"/>
    <x v="1"/>
  </r>
  <r>
    <n v="513"/>
    <s v="USD"/>
    <n v="6746.5800000000017"/>
    <n v="5802.0588000000016"/>
    <n v="6746.5800000000017"/>
    <n v="71421.67"/>
    <n v="61422.636200000001"/>
    <n v="71421.67"/>
    <n v="0"/>
    <n v="0"/>
    <d v="2025-07-29T00:00:00"/>
    <d v="2025-06-29T00:00:00"/>
    <x v="3"/>
    <x v="1"/>
  </r>
  <r>
    <n v="514"/>
    <s v="MXN"/>
    <n v="0"/>
    <n v="0"/>
    <n v="0"/>
    <n v="60840"/>
    <n v="2920.32"/>
    <n v="3407.04"/>
    <n v="0"/>
    <n v="0"/>
    <d v="2025-06-10T00:00:00"/>
    <d v="2025-05-11T00:00:00"/>
    <x v="10"/>
    <x v="1"/>
  </r>
  <r>
    <n v="515"/>
    <s v="EUR"/>
    <n v="0"/>
    <n v="0"/>
    <n v="0"/>
    <n v="11020.8"/>
    <n v="11020.8"/>
    <n v="12784.127999999999"/>
    <n v="0"/>
    <n v="0"/>
    <d v="2024-12-27T00:00:00"/>
    <d v="2024-11-27T00:00:00"/>
    <x v="0"/>
    <x v="0"/>
  </r>
  <r>
    <n v="516"/>
    <s v="EUR"/>
    <n v="0"/>
    <n v="0"/>
    <n v="0"/>
    <n v="7872"/>
    <n v="7872"/>
    <n v="9131.5199999999986"/>
    <n v="0"/>
    <n v="0"/>
    <d v="2024-12-27T00:00:00"/>
    <d v="2024-11-27T00:00:00"/>
    <x v="0"/>
    <x v="0"/>
  </r>
  <r>
    <n v="518"/>
    <s v="USD"/>
    <n v="0"/>
    <n v="0"/>
    <n v="0"/>
    <n v="1497.6"/>
    <n v="1287.9359999999999"/>
    <n v="1497.6"/>
    <n v="0"/>
    <n v="0"/>
    <d v="2025-07-17T00:00:00"/>
    <d v="2025-06-17T00:00:00"/>
    <x v="3"/>
    <x v="1"/>
  </r>
  <r>
    <n v="519"/>
    <s v="USD"/>
    <n v="0"/>
    <n v="0"/>
    <n v="0"/>
    <n v="1648.65"/>
    <n v="1417.8390000000002"/>
    <n v="1648.65"/>
    <n v="0"/>
    <n v="0"/>
    <d v="2025-06-13T00:00:00"/>
    <d v="2025-05-14T00:00:00"/>
    <x v="10"/>
    <x v="1"/>
  </r>
  <r>
    <n v="520"/>
    <s v="EUR"/>
    <n v="86125"/>
    <n v="86125"/>
    <n v="99905"/>
    <n v="86125"/>
    <n v="86125"/>
    <n v="99905"/>
    <n v="0"/>
    <n v="0"/>
    <d v="2025-10-30T00:00:00"/>
    <d v="2025-09-30T00:00:00"/>
    <x v="1"/>
    <x v="1"/>
  </r>
  <r>
    <n v="521"/>
    <s v="MXN"/>
    <n v="0"/>
    <n v="0"/>
    <n v="0"/>
    <n v="194772"/>
    <n v="9349.0560000000005"/>
    <n v="10907.232"/>
    <n v="0"/>
    <n v="0"/>
    <d v="2025-07-07T00:00:00"/>
    <d v="2025-06-07T00:00:00"/>
    <x v="3"/>
    <x v="1"/>
  </r>
  <r>
    <n v="522"/>
    <s v="EUR"/>
    <n v="0"/>
    <n v="0"/>
    <n v="0"/>
    <n v="23340"/>
    <n v="23340"/>
    <n v="27074.399999999998"/>
    <n v="0"/>
    <n v="0"/>
    <d v="2025-07-22T00:00:00"/>
    <d v="2025-06-22T00:00:00"/>
    <x v="3"/>
    <x v="1"/>
  </r>
  <r>
    <n v="523"/>
    <s v="EUR"/>
    <n v="0"/>
    <n v="0"/>
    <n v="0"/>
    <n v="2100"/>
    <n v="2100"/>
    <n v="2436"/>
    <n v="0"/>
    <n v="0"/>
    <d v="2025-07-04T00:00:00"/>
    <d v="2025-06-04T00:00:00"/>
    <x v="3"/>
    <x v="1"/>
  </r>
  <r>
    <n v="524"/>
    <s v="USD"/>
    <n v="4000"/>
    <n v="3440"/>
    <n v="4000"/>
    <n v="274863.65000000002"/>
    <n v="236382.73900000003"/>
    <n v="274863.65000000002"/>
    <n v="0"/>
    <n v="0"/>
    <d v="2025-07-26T00:00:00"/>
    <d v="2025-06-26T00:00:00"/>
    <x v="3"/>
    <x v="1"/>
  </r>
  <r>
    <n v="525"/>
    <s v="USD"/>
    <n v="1885"/>
    <n v="1621.1"/>
    <n v="1885"/>
    <n v="24593.55"/>
    <n v="21150.452999999998"/>
    <n v="24593.55"/>
    <n v="0"/>
    <n v="0"/>
    <d v="2025-10-05T00:00:00"/>
    <d v="2025-09-05T00:00:00"/>
    <x v="1"/>
    <x v="1"/>
  </r>
  <r>
    <n v="526"/>
    <s v="USD"/>
    <n v="0"/>
    <n v="0"/>
    <n v="0"/>
    <n v="1318.98"/>
    <n v="1134.3227999999999"/>
    <n v="1318.98"/>
    <n v="0"/>
    <n v="0"/>
    <d v="2025-07-30T00:00:00"/>
    <d v="2025-06-30T00:00:00"/>
    <x v="3"/>
    <x v="1"/>
  </r>
  <r>
    <n v="527"/>
    <s v="USD"/>
    <n v="50"/>
    <n v="43"/>
    <n v="50"/>
    <n v="5116.8500000000004"/>
    <n v="4400.491"/>
    <n v="5116.8500000000004"/>
    <n v="0"/>
    <n v="0"/>
    <d v="2025-08-13T00:00:00"/>
    <d v="2025-07-14T00:00:00"/>
    <x v="11"/>
    <x v="1"/>
  </r>
  <r>
    <n v="528"/>
    <s v="USD"/>
    <n v="0"/>
    <n v="0"/>
    <n v="0"/>
    <n v="6395"/>
    <n v="5499.7"/>
    <n v="6395"/>
    <n v="0"/>
    <n v="0"/>
    <d v="2025-12-25T00:00:00"/>
    <d v="2025-11-25T00:00:00"/>
    <x v="0"/>
    <x v="1"/>
  </r>
  <r>
    <n v="529"/>
    <s v="CHF"/>
    <n v="0"/>
    <n v="0"/>
    <n v="0"/>
    <n v="2802"/>
    <n v="2998.1400000000003"/>
    <n v="3502.5"/>
    <n v="0"/>
    <n v="0"/>
    <d v="2025-07-28T00:00:00"/>
    <d v="2025-06-28T00:00:00"/>
    <x v="3"/>
    <x v="1"/>
  </r>
  <r>
    <n v="530"/>
    <s v="USD"/>
    <n v="41574"/>
    <n v="35753.64"/>
    <n v="41574"/>
    <n v="48859.88"/>
    <n v="42019.496799999994"/>
    <n v="48859.88"/>
    <n v="2.7284841053187847E-12"/>
    <n v="2.7284841053187847E-12"/>
    <d v="2025-10-05T00:00:00"/>
    <d v="2025-09-05T00:00:00"/>
    <x v="1"/>
    <x v="1"/>
  </r>
  <r>
    <n v="531"/>
    <s v="USD"/>
    <n v="0"/>
    <n v="0"/>
    <n v="0"/>
    <n v="33581.879999999997"/>
    <n v="28880.416799999999"/>
    <n v="33581.879999999997"/>
    <n v="7.2759576141834259E-12"/>
    <n v="7.2759576141834259E-12"/>
    <d v="2025-07-26T00:00:00"/>
    <d v="2025-06-26T00:00:00"/>
    <x v="3"/>
    <x v="1"/>
  </r>
  <r>
    <n v="533"/>
    <s v="USD"/>
    <n v="0"/>
    <n v="0"/>
    <n v="0"/>
    <n v="2722.85"/>
    <n v="2341.6509999999998"/>
    <n v="2722.85"/>
    <n v="4.5474735088646412E-13"/>
    <n v="4.5474735088646412E-13"/>
    <d v="2025-06-22T00:00:00"/>
    <d v="2025-05-23T00:00:00"/>
    <x v="10"/>
    <x v="1"/>
  </r>
  <r>
    <n v="534"/>
    <s v="USD"/>
    <n v="46069.59"/>
    <n v="39619.847399999999"/>
    <n v="46069.59"/>
    <n v="19822.87"/>
    <n v="17047.6682"/>
    <n v="19822.87"/>
    <n v="0"/>
    <n v="0"/>
    <d v="2025-07-31T00:00:00"/>
    <d v="2025-07-01T00:00:00"/>
    <x v="11"/>
    <x v="1"/>
  </r>
  <r>
    <n v="535"/>
    <s v="USD"/>
    <n v="0"/>
    <n v="0"/>
    <n v="0"/>
    <n v="2861.4"/>
    <n v="2460.8040000000001"/>
    <n v="2861.4"/>
    <n v="0"/>
    <n v="0"/>
    <d v="2025-06-04T00:00:00"/>
    <d v="2025-05-05T00:00:00"/>
    <x v="10"/>
    <x v="1"/>
  </r>
  <r>
    <n v="536"/>
    <s v="USD"/>
    <n v="0"/>
    <n v="0"/>
    <n v="0"/>
    <n v="81706.59"/>
    <n v="70267.667399999991"/>
    <n v="81706.59"/>
    <n v="1.4551915228366852E-11"/>
    <n v="1.4551915228366852E-11"/>
    <d v="2025-06-14T00:00:00"/>
    <d v="2025-05-15T00:00:00"/>
    <x v="10"/>
    <x v="1"/>
  </r>
  <r>
    <n v="537"/>
    <s v="EUR"/>
    <n v="59.820000000000618"/>
    <n v="59.820000000000618"/>
    <n v="69.391200000000708"/>
    <n v="6322.25"/>
    <n v="6322.25"/>
    <n v="7333.8099999999995"/>
    <n v="0"/>
    <n v="0"/>
    <d v="2025-09-15T00:00:00"/>
    <d v="2025-08-16T00:00:00"/>
    <x v="6"/>
    <x v="1"/>
  </r>
  <r>
    <n v="539"/>
    <s v="USD"/>
    <n v="0"/>
    <n v="0"/>
    <n v="0"/>
    <n v="7198.65"/>
    <n v="6190.8389999999999"/>
    <n v="7198.65"/>
    <n v="0"/>
    <n v="0"/>
    <d v="2025-05-15T00:00:00"/>
    <d v="2025-04-15T00:00:00"/>
    <x v="4"/>
    <x v="1"/>
  </r>
  <r>
    <n v="540"/>
    <s v="USD"/>
    <n v="835"/>
    <n v="718.1"/>
    <n v="835"/>
    <n v="42853.67"/>
    <n v="36854.156199999998"/>
    <n v="42853.67"/>
    <n v="0"/>
    <n v="0"/>
    <d v="2025-07-31T00:00:00"/>
    <d v="2025-07-01T00:00:00"/>
    <x v="11"/>
    <x v="1"/>
  </r>
  <r>
    <n v="541"/>
    <s v="USD"/>
    <n v="0"/>
    <n v="0"/>
    <n v="0"/>
    <n v="14819.43"/>
    <n v="12744.709800000001"/>
    <n v="14819.43"/>
    <n v="0"/>
    <n v="0"/>
    <d v="2025-03-21T00:00:00"/>
    <d v="2025-02-19T00:00:00"/>
    <x v="5"/>
    <x v="1"/>
  </r>
  <r>
    <n v="542"/>
    <s v="USD"/>
    <n v="0"/>
    <n v="0"/>
    <n v="0"/>
    <n v="3185.04"/>
    <n v="2739.1343999999999"/>
    <n v="3185.04"/>
    <n v="0"/>
    <n v="0"/>
    <d v="2025-02-11T00:00:00"/>
    <d v="2025-01-12T00:00:00"/>
    <x v="8"/>
    <x v="1"/>
  </r>
  <r>
    <n v="544"/>
    <s v="MXN"/>
    <n v="38204.58"/>
    <n v="1833.8198400000001"/>
    <n v="2139.4564800000003"/>
    <n v="38204.58"/>
    <n v="1833.8198400000001"/>
    <n v="2139.4564800000003"/>
    <n v="0"/>
    <n v="0"/>
    <d v="2025-11-17T00:00:00"/>
    <d v="2025-10-18T00:00:00"/>
    <x v="2"/>
    <x v="1"/>
  </r>
  <r>
    <n v="545"/>
    <s v="USD"/>
    <n v="0"/>
    <n v="0"/>
    <n v="0"/>
    <n v="4522.3100000000004"/>
    <n v="3889.1866000000005"/>
    <n v="4522.3100000000004"/>
    <n v="0"/>
    <n v="0"/>
    <d v="2025-02-07T00:00:00"/>
    <d v="2025-01-08T00:00:00"/>
    <x v="8"/>
    <x v="1"/>
  </r>
  <r>
    <n v="546"/>
    <s v="MXN"/>
    <n v="0"/>
    <n v="0"/>
    <n v="0"/>
    <n v="75606"/>
    <n v="3629.0880000000002"/>
    <n v="4233.9359999999997"/>
    <n v="0"/>
    <n v="0"/>
    <d v="2025-06-27T00:00:00"/>
    <d v="2025-05-28T00:00:00"/>
    <x v="10"/>
    <x v="1"/>
  </r>
  <r>
    <n v="547"/>
    <s v="USD"/>
    <n v="0"/>
    <n v="0"/>
    <n v="0"/>
    <n v="4307.1499999999996"/>
    <n v="3704.1489999999994"/>
    <n v="4307.1499999999996"/>
    <n v="0"/>
    <n v="0"/>
    <d v="2025-06-29T00:00:00"/>
    <d v="2025-05-30T00:00:00"/>
    <x v="10"/>
    <x v="1"/>
  </r>
  <r>
    <n v="548"/>
    <s v="EUR"/>
    <n v="0"/>
    <n v="0"/>
    <n v="0"/>
    <n v="62135"/>
    <n v="62135"/>
    <n v="72076.599999999991"/>
    <n v="0"/>
    <n v="0"/>
    <d v="2025-07-20T00:00:00"/>
    <d v="2025-06-20T00:00:00"/>
    <x v="3"/>
    <x v="1"/>
  </r>
  <r>
    <n v="549"/>
    <s v="CHF"/>
    <n v="0"/>
    <n v="0"/>
    <n v="0"/>
    <n v="32910"/>
    <n v="35213.700000000004"/>
    <n v="41137.5"/>
    <n v="0"/>
    <n v="0"/>
    <d v="2025-07-17T00:00:00"/>
    <d v="2025-06-17T00:00:00"/>
    <x v="3"/>
    <x v="1"/>
  </r>
  <r>
    <n v="550"/>
    <s v="USD"/>
    <n v="0"/>
    <n v="0"/>
    <n v="0"/>
    <n v="43995.07"/>
    <n v="37835.760199999997"/>
    <n v="43995.07"/>
    <n v="0"/>
    <n v="0"/>
    <d v="2025-07-05T00:00:00"/>
    <d v="2025-06-05T00:00:00"/>
    <x v="3"/>
    <x v="1"/>
  </r>
  <r>
    <n v="551"/>
    <s v="MXN"/>
    <n v="1339.0999999999985"/>
    <n v="64.276799999999938"/>
    <n v="74.989599999999925"/>
    <n v="51817.1"/>
    <n v="2487.2208000000001"/>
    <n v="2901.7575999999999"/>
    <n v="0"/>
    <n v="0"/>
    <d v="2025-08-18T00:00:00"/>
    <d v="2025-07-19T00:00:00"/>
    <x v="11"/>
    <x v="1"/>
  </r>
  <r>
    <n v="552"/>
    <s v="USD"/>
    <n v="18824.230000000003"/>
    <n v="16188.837800000003"/>
    <n v="18824.230000000003"/>
    <n v="39520.410000000003"/>
    <n v="33987.552600000003"/>
    <n v="39520.410000000003"/>
    <n v="0"/>
    <n v="0"/>
    <d v="2025-08-07T00:00:00"/>
    <d v="2025-07-08T00:00:00"/>
    <x v="11"/>
    <x v="1"/>
  </r>
  <r>
    <n v="553"/>
    <s v="EUR"/>
    <n v="58603"/>
    <n v="58603"/>
    <n v="67979.48"/>
    <n v="77583"/>
    <n v="77583"/>
    <n v="89996.28"/>
    <n v="0"/>
    <n v="0"/>
    <d v="2025-09-03T00:00:00"/>
    <d v="2025-08-04T00:00:00"/>
    <x v="6"/>
    <x v="1"/>
  </r>
  <r>
    <n v="554"/>
    <s v="USD"/>
    <n v="0"/>
    <n v="0"/>
    <n v="0"/>
    <n v="1613.45"/>
    <n v="1387.567"/>
    <n v="1613.45"/>
    <n v="0"/>
    <n v="0"/>
    <d v="2025-08-02T00:00:00"/>
    <d v="2025-07-03T00:00:00"/>
    <x v="11"/>
    <x v="1"/>
  </r>
  <r>
    <n v="555"/>
    <s v="USD"/>
    <n v="0"/>
    <n v="0"/>
    <n v="0"/>
    <n v="5682"/>
    <n v="4886.5199999999995"/>
    <n v="5682"/>
    <n v="0"/>
    <n v="0"/>
    <d v="2025-08-09T00:00:00"/>
    <d v="2025-07-10T00:00:00"/>
    <x v="11"/>
    <x v="1"/>
  </r>
  <r>
    <n v="556"/>
    <s v="USD"/>
    <n v="13220.5"/>
    <n v="11369.63"/>
    <n v="13220.5"/>
    <n v="13220.5"/>
    <n v="11369.63"/>
    <n v="13220.5"/>
    <n v="0"/>
    <n v="0"/>
    <d v="2025-08-05T00:00:00"/>
    <d v="2025-07-06T00:00:00"/>
    <x v="11"/>
    <x v="1"/>
  </r>
  <r>
    <n v="557"/>
    <s v="USD"/>
    <n v="0"/>
    <n v="0"/>
    <n v="0"/>
    <n v="8329.19"/>
    <n v="7163.1034"/>
    <n v="8329.19"/>
    <n v="-1.8189894035458565E-12"/>
    <n v="-1.8189894035458565E-12"/>
    <d v="2025-05-02T00:00:00"/>
    <d v="2025-04-02T00:00:00"/>
    <x v="4"/>
    <x v="1"/>
  </r>
  <r>
    <n v="558"/>
    <s v="USD"/>
    <n v="0"/>
    <n v="0"/>
    <n v="0"/>
    <n v="16034.17"/>
    <n v="13789.386199999999"/>
    <n v="16034.17"/>
    <n v="0"/>
    <n v="0"/>
    <d v="2025-07-23T00:00:00"/>
    <d v="2025-06-23T00:00:00"/>
    <x v="3"/>
    <x v="1"/>
  </r>
  <r>
    <n v="559"/>
    <s v="USD"/>
    <n v="70"/>
    <n v="60.199999999999996"/>
    <n v="70"/>
    <n v="1725.06"/>
    <n v="1483.5516"/>
    <n v="1725.06"/>
    <n v="0"/>
    <n v="0"/>
    <d v="2025-09-12T00:00:00"/>
    <d v="2025-08-13T00:00:00"/>
    <x v="6"/>
    <x v="1"/>
  </r>
  <r>
    <n v="560"/>
    <s v="GPB"/>
    <n v="0"/>
    <n v="0"/>
    <n v="0"/>
    <n v="1725"/>
    <n v="1983.7499999999998"/>
    <n v="2311.5"/>
    <n v="0"/>
    <n v="0"/>
    <d v="2025-08-16T00:00:00"/>
    <d v="2025-07-17T00:00:00"/>
    <x v="11"/>
    <x v="1"/>
  </r>
  <r>
    <n v="561"/>
    <s v="MXN"/>
    <n v="1390"/>
    <n v="66.72"/>
    <n v="77.84"/>
    <n v="145386.9"/>
    <n v="6978.5712000000003"/>
    <n v="8141.6664000000001"/>
    <n v="0"/>
    <n v="0"/>
    <d v="2025-10-01T00:00:00"/>
    <d v="2025-09-01T00:00:00"/>
    <x v="1"/>
    <x v="1"/>
  </r>
  <r>
    <n v="562"/>
    <s v="USD"/>
    <n v="0"/>
    <n v="0"/>
    <n v="0"/>
    <n v="2837.24"/>
    <n v="2440.0263999999997"/>
    <n v="2837.24"/>
    <n v="0"/>
    <n v="0"/>
    <d v="2025-08-22T00:00:00"/>
    <d v="2025-07-23T00:00:00"/>
    <x v="11"/>
    <x v="1"/>
  </r>
  <r>
    <n v="563"/>
    <s v="USD"/>
    <n v="0"/>
    <n v="0"/>
    <n v="0"/>
    <n v="8838.56"/>
    <n v="7601.1615999999995"/>
    <n v="8838.56"/>
    <n v="1.8189894035458565E-12"/>
    <n v="1.8189894035458565E-12"/>
    <d v="2025-09-26T00:00:00"/>
    <d v="2025-08-27T00:00:00"/>
    <x v="6"/>
    <x v="1"/>
  </r>
  <r>
    <n v="564"/>
    <s v="USD"/>
    <n v="99745.760000000009"/>
    <n v="85781.353600000002"/>
    <n v="99745.760000000009"/>
    <n v="100181.56"/>
    <n v="86156.141600000003"/>
    <n v="100181.56"/>
    <n v="597.93000000001166"/>
    <n v="597.93000000001166"/>
    <d v="2025-10-06T00:00:00"/>
    <d v="2025-09-06T00:00:00"/>
    <x v="1"/>
    <x v="1"/>
  </r>
  <r>
    <n v="566"/>
    <s v="MXN"/>
    <n v="499811.06"/>
    <n v="23990.93088"/>
    <n v="27989.41936"/>
    <n v="519094.96"/>
    <n v="24916.558080000003"/>
    <n v="29069.317760000002"/>
    <n v="-2.1827872842550278E-11"/>
    <n v="-1.2223608791828156E-12"/>
    <d v="2025-10-07T00:00:00"/>
    <d v="2025-09-07T00:00:00"/>
    <x v="1"/>
    <x v="1"/>
  </r>
  <r>
    <n v="567"/>
    <s v="USD"/>
    <n v="1004.13"/>
    <n v="863.55179999999996"/>
    <n v="1004.13"/>
    <n v="748.63"/>
    <n v="643.82179999999994"/>
    <n v="748.63"/>
    <n v="969.13"/>
    <n v="969.13"/>
    <d v="2025-08-22T00:00:00"/>
    <d v="2025-07-23T00:00:00"/>
    <x v="11"/>
    <x v="1"/>
  </r>
  <r>
    <n v="568"/>
    <s v="GPB"/>
    <n v="0"/>
    <n v="0"/>
    <n v="0"/>
    <n v="2700"/>
    <n v="3104.9999999999995"/>
    <n v="3618"/>
    <n v="0"/>
    <n v="0"/>
    <d v="2025-04-10T00:00:00"/>
    <d v="2025-03-11T00:00:00"/>
    <x v="9"/>
    <x v="1"/>
  </r>
  <r>
    <n v="569"/>
    <s v="MXN"/>
    <n v="123600"/>
    <n v="5932.8"/>
    <n v="6921.6"/>
    <n v="123600"/>
    <n v="5932.8"/>
    <n v="6921.6"/>
    <n v="0"/>
    <n v="0"/>
    <d v="2025-08-31T00:00:00"/>
    <d v="2025-08-01T00:00:00"/>
    <x v="6"/>
    <x v="1"/>
  </r>
  <r>
    <n v="570"/>
    <s v="GPB"/>
    <n v="0"/>
    <n v="0"/>
    <n v="0"/>
    <n v="2504"/>
    <n v="2879.6"/>
    <n v="3355.36"/>
    <n v="0"/>
    <n v="0"/>
    <d v="2025-04-15T00:00:00"/>
    <d v="2025-03-16T00:00:00"/>
    <x v="9"/>
    <x v="1"/>
  </r>
  <r>
    <n v="571"/>
    <s v="MXN"/>
    <n v="0"/>
    <n v="0"/>
    <n v="0"/>
    <n v="11942"/>
    <n v="573.21600000000001"/>
    <n v="668.75200000000007"/>
    <n v="0"/>
    <n v="0"/>
    <d v="2025-08-15T00:00:00"/>
    <d v="2025-07-16T00:00:00"/>
    <x v="11"/>
    <x v="1"/>
  </r>
  <r>
    <n v="572"/>
    <s v="USD"/>
    <n v="0"/>
    <n v="0"/>
    <n v="0"/>
    <n v="10105.09"/>
    <n v="8690.3773999999994"/>
    <n v="10105.09"/>
    <n v="0"/>
    <n v="0"/>
    <d v="2025-05-26T00:00:00"/>
    <d v="2025-04-26T00:00:00"/>
    <x v="4"/>
    <x v="1"/>
  </r>
  <r>
    <n v="573"/>
    <s v="USD"/>
    <n v="0"/>
    <n v="0"/>
    <n v="0"/>
    <n v="6668"/>
    <n v="5734.48"/>
    <n v="6668"/>
    <n v="0"/>
    <n v="0"/>
    <d v="2025-05-30T00:00:00"/>
    <d v="2025-04-30T00:00:00"/>
    <x v="4"/>
    <x v="1"/>
  </r>
  <r>
    <n v="575"/>
    <s v="USD"/>
    <n v="0"/>
    <n v="0"/>
    <n v="0"/>
    <n v="21032.86"/>
    <n v="18088.259600000001"/>
    <n v="21032.86"/>
    <n v="0"/>
    <n v="0"/>
    <d v="2025-07-26T00:00:00"/>
    <d v="2025-06-26T00:00:00"/>
    <x v="3"/>
    <x v="1"/>
  </r>
  <r>
    <n v="576"/>
    <s v="USD"/>
    <n v="0"/>
    <n v="0"/>
    <n v="0"/>
    <n v="10684"/>
    <n v="9188.24"/>
    <n v="10684"/>
    <n v="0"/>
    <n v="0"/>
    <d v="2025-09-02T00:00:00"/>
    <d v="2025-08-03T00:00:00"/>
    <x v="6"/>
    <x v="1"/>
  </r>
  <r>
    <n v="577"/>
    <s v="USD"/>
    <n v="175.00000000000364"/>
    <n v="150.50000000000313"/>
    <n v="175.00000000000364"/>
    <n v="22553.15"/>
    <n v="19395.709000000003"/>
    <n v="22553.15"/>
    <n v="0"/>
    <n v="0"/>
    <d v="2025-08-01T00:00:00"/>
    <d v="2025-07-02T00:00:00"/>
    <x v="11"/>
    <x v="1"/>
  </r>
  <r>
    <n v="578"/>
    <s v="USD"/>
    <n v="50"/>
    <n v="43"/>
    <n v="50"/>
    <n v="4612.22"/>
    <n v="3966.5092"/>
    <n v="4612.22"/>
    <n v="0"/>
    <n v="0"/>
    <d v="2025-08-19T00:00:00"/>
    <d v="2025-07-20T00:00:00"/>
    <x v="11"/>
    <x v="1"/>
  </r>
  <r>
    <n v="579"/>
    <s v="USD"/>
    <n v="70.000000000000455"/>
    <n v="60.200000000000394"/>
    <n v="70.000000000000455"/>
    <n v="3274.53"/>
    <n v="2816.0958000000001"/>
    <n v="3274.53"/>
    <n v="0"/>
    <n v="0"/>
    <d v="2025-09-12T00:00:00"/>
    <d v="2025-08-13T00:00:00"/>
    <x v="6"/>
    <x v="1"/>
  </r>
  <r>
    <n v="580"/>
    <s v="USD"/>
    <n v="35"/>
    <n v="30.099999999999998"/>
    <n v="35"/>
    <n v="799.1"/>
    <n v="687.226"/>
    <n v="799.1"/>
    <n v="0"/>
    <n v="0"/>
    <d v="2025-11-09T00:00:00"/>
    <d v="2025-10-10T00:00:00"/>
    <x v="2"/>
    <x v="1"/>
  </r>
  <r>
    <n v="581"/>
    <s v="USD"/>
    <n v="0"/>
    <n v="0"/>
    <n v="0"/>
    <n v="1917.44"/>
    <n v="1648.9983999999999"/>
    <n v="1917.44"/>
    <n v="0"/>
    <n v="0"/>
    <d v="2025-08-15T00:00:00"/>
    <d v="2025-07-16T00:00:00"/>
    <x v="11"/>
    <x v="1"/>
  </r>
  <r>
    <n v="582"/>
    <s v="EUR"/>
    <n v="26761.06"/>
    <n v="26761.06"/>
    <n v="31042.829600000001"/>
    <n v="26761.06"/>
    <n v="26761.06"/>
    <n v="31042.829600000001"/>
    <n v="0"/>
    <n v="0"/>
    <d v="2025-09-07T00:00:00"/>
    <d v="2025-08-08T00:00:00"/>
    <x v="6"/>
    <x v="1"/>
  </r>
  <r>
    <n v="583"/>
    <s v="EUR"/>
    <n v="0"/>
    <n v="0"/>
    <n v="0"/>
    <n v="13550"/>
    <n v="13550"/>
    <n v="15717.999999999998"/>
    <n v="0"/>
    <n v="0"/>
    <d v="2025-08-05T00:00:00"/>
    <d v="2025-07-06T00:00:00"/>
    <x v="11"/>
    <x v="1"/>
  </r>
  <r>
    <n v="585"/>
    <s v="MXN"/>
    <n v="41805.149999999994"/>
    <n v="2006.6471999999997"/>
    <n v="2341.0883999999996"/>
    <n v="139144.29999999999"/>
    <n v="6678.9263999999994"/>
    <n v="7792.0807999999997"/>
    <n v="33258.850000000006"/>
    <n v="1862.4956000000004"/>
    <d v="2025-08-30T00:00:00"/>
    <d v="2025-07-31T00:00:00"/>
    <x v="11"/>
    <x v="1"/>
  </r>
  <r>
    <n v="586"/>
    <s v="USD"/>
    <n v="3217.4"/>
    <n v="2766.9639999999999"/>
    <n v="3217.4"/>
    <n v="3217.4"/>
    <n v="2766.9639999999999"/>
    <n v="3217.4"/>
    <n v="0"/>
    <n v="0"/>
    <d v="2025-08-25T00:00:00"/>
    <d v="2025-07-26T00:00:00"/>
    <x v="11"/>
    <x v="1"/>
  </r>
  <r>
    <n v="587"/>
    <s v="USD"/>
    <n v="0"/>
    <n v="0"/>
    <n v="0"/>
    <n v="1971.8"/>
    <n v="1695.748"/>
    <n v="1971.8"/>
    <n v="0"/>
    <n v="0"/>
    <d v="2025-08-22T00:00:00"/>
    <d v="2025-07-23T00:00:00"/>
    <x v="11"/>
    <x v="1"/>
  </r>
  <r>
    <n v="588"/>
    <s v="EUR"/>
    <n v="0"/>
    <n v="0"/>
    <n v="0"/>
    <n v="1299"/>
    <n v="1299"/>
    <n v="1506.84"/>
    <n v="0"/>
    <n v="0"/>
    <d v="2025-09-11T00:00:00"/>
    <d v="2025-08-12T00:00:00"/>
    <x v="6"/>
    <x v="1"/>
  </r>
  <r>
    <n v="589"/>
    <s v="GPB"/>
    <n v="0"/>
    <n v="0"/>
    <n v="0"/>
    <n v="1500"/>
    <n v="1724.9999999999998"/>
    <n v="2010.0000000000002"/>
    <n v="0"/>
    <n v="0"/>
    <d v="2025-08-18T00:00:00"/>
    <d v="2025-07-19T00:00:00"/>
    <x v="11"/>
    <x v="1"/>
  </r>
  <r>
    <n v="590"/>
    <s v="USD"/>
    <n v="0"/>
    <n v="0"/>
    <n v="0"/>
    <n v="3097.62"/>
    <n v="2663.9531999999999"/>
    <n v="3097.62"/>
    <n v="0"/>
    <n v="0"/>
    <d v="2025-07-04T00:00:00"/>
    <d v="2025-06-04T00:00:00"/>
    <x v="3"/>
    <x v="1"/>
  </r>
  <r>
    <n v="591"/>
    <s v="USD"/>
    <n v="0"/>
    <n v="0"/>
    <n v="0"/>
    <n v="4711.78"/>
    <n v="4052.1307999999999"/>
    <n v="4711.78"/>
    <n v="0"/>
    <n v="0"/>
    <d v="2025-07-07T00:00:00"/>
    <d v="2025-06-07T00:00:00"/>
    <x v="3"/>
    <x v="1"/>
  </r>
  <r>
    <n v="592"/>
    <s v="USD"/>
    <n v="0"/>
    <n v="0"/>
    <n v="0"/>
    <n v="2528.67"/>
    <n v="2174.6561999999999"/>
    <n v="2528.67"/>
    <n v="0"/>
    <n v="0"/>
    <d v="2025-08-31T00:00:00"/>
    <d v="2025-08-01T00:00:00"/>
    <x v="6"/>
    <x v="1"/>
  </r>
  <r>
    <n v="593"/>
    <s v="USD"/>
    <n v="0"/>
    <n v="0"/>
    <n v="0"/>
    <n v="1877"/>
    <n v="1614.22"/>
    <n v="1877"/>
    <n v="0"/>
    <n v="0"/>
    <d v="2025-07-30T00:00:00"/>
    <d v="2025-06-30T00:00:00"/>
    <x v="3"/>
    <x v="1"/>
  </r>
  <r>
    <n v="594"/>
    <s v="GPB"/>
    <n v="4542.66"/>
    <n v="5224.0589999999993"/>
    <n v="6087.1644000000006"/>
    <n v="11502.66"/>
    <n v="13228.058999999999"/>
    <n v="15413.564400000001"/>
    <n v="0"/>
    <n v="0"/>
    <d v="2025-08-24T00:00:00"/>
    <d v="2025-07-25T00:00:00"/>
    <x v="11"/>
    <x v="1"/>
  </r>
  <r>
    <n v="595"/>
    <s v="EUR"/>
    <n v="17817.63"/>
    <n v="17817.63"/>
    <n v="20668.450799999999"/>
    <n v="17817.63"/>
    <n v="17817.63"/>
    <n v="20668.450799999999"/>
    <n v="0"/>
    <n v="0"/>
    <d v="2025-09-07T00:00:00"/>
    <d v="2025-08-08T00:00:00"/>
    <x v="6"/>
    <x v="1"/>
  </r>
  <r>
    <n v="596"/>
    <s v="USD"/>
    <n v="268000.69"/>
    <n v="230480.59340000001"/>
    <n v="268000.69"/>
    <n v="253270"/>
    <n v="217812.19999999998"/>
    <n v="253270"/>
    <n v="14730.690000000002"/>
    <n v="14730.690000000002"/>
    <d v="2025-09-15T00:00:00"/>
    <d v="2025-08-16T00:00:00"/>
    <x v="6"/>
    <x v="1"/>
  </r>
  <r>
    <n v="597"/>
    <s v="USD"/>
    <n v="372947.43"/>
    <n v="320734.78979999997"/>
    <n v="372947.43"/>
    <n v="294183"/>
    <n v="252997.38"/>
    <n v="294183"/>
    <n v="112501.93"/>
    <n v="112501.93"/>
    <d v="2026-02-01T00:00:00"/>
    <d v="2026-01-02T00:00:00"/>
    <x v="8"/>
    <x v="2"/>
  </r>
  <r>
    <n v="598"/>
    <s v="EUR"/>
    <n v="0"/>
    <n v="0"/>
    <n v="0"/>
    <n v="2856"/>
    <n v="2856"/>
    <n v="3312.9599999999996"/>
    <n v="0"/>
    <n v="0"/>
    <d v="2025-08-07T00:00:00"/>
    <d v="2025-07-08T00:00:00"/>
    <x v="11"/>
    <x v="1"/>
  </r>
  <r>
    <n v="600"/>
    <s v="USD"/>
    <n v="35.000000000000227"/>
    <n v="30.100000000000197"/>
    <n v="35.000000000000227"/>
    <n v="1796.16"/>
    <n v="1544.6976"/>
    <n v="1796.16"/>
    <n v="0"/>
    <n v="0"/>
    <d v="2025-10-09T00:00:00"/>
    <d v="2025-09-09T00:00:00"/>
    <x v="1"/>
    <x v="1"/>
  </r>
  <r>
    <n v="601"/>
    <s v="CHF"/>
    <n v="0"/>
    <n v="0"/>
    <n v="0"/>
    <n v="6150"/>
    <n v="6580.5"/>
    <n v="7687.5"/>
    <n v="0"/>
    <n v="0"/>
    <d v="2025-08-27T00:00:00"/>
    <d v="2025-07-28T00:00:00"/>
    <x v="11"/>
    <x v="1"/>
  </r>
  <r>
    <n v="602"/>
    <s v="EUR"/>
    <n v="0"/>
    <n v="0"/>
    <n v="0"/>
    <n v="4020"/>
    <n v="4020"/>
    <n v="4663.2"/>
    <n v="0"/>
    <n v="0"/>
    <d v="2025-09-10T00:00:00"/>
    <d v="2025-08-11T00:00:00"/>
    <x v="6"/>
    <x v="1"/>
  </r>
  <r>
    <n v="603"/>
    <s v="USD"/>
    <n v="0"/>
    <n v="0"/>
    <n v="0"/>
    <n v="5322"/>
    <n v="4576.92"/>
    <n v="5322"/>
    <n v="0"/>
    <n v="0"/>
    <d v="2025-08-24T00:00:00"/>
    <d v="2025-07-25T00:00:00"/>
    <x v="11"/>
    <x v="1"/>
  </r>
  <r>
    <n v="604"/>
    <s v="EUR"/>
    <n v="0"/>
    <n v="0"/>
    <n v="0"/>
    <n v="2020.5"/>
    <n v="2020.5"/>
    <n v="2343.7799999999997"/>
    <n v="0"/>
    <n v="0"/>
    <d v="2025-08-09T00:00:00"/>
    <d v="2025-07-10T00:00:00"/>
    <x v="11"/>
    <x v="1"/>
  </r>
  <r>
    <n v="605"/>
    <s v="USD"/>
    <n v="0"/>
    <n v="0"/>
    <n v="0"/>
    <n v="4226"/>
    <n v="3634.36"/>
    <n v="4226"/>
    <n v="0"/>
    <n v="0"/>
    <d v="2025-09-25T00:00:00"/>
    <d v="2025-08-26T00:00:00"/>
    <x v="6"/>
    <x v="1"/>
  </r>
  <r>
    <n v="607"/>
    <s v="EUR"/>
    <n v="0"/>
    <n v="0"/>
    <n v="0"/>
    <n v="9570"/>
    <n v="9570"/>
    <n v="11101.199999999999"/>
    <n v="0"/>
    <n v="0"/>
    <d v="2025-07-31T00:00:00"/>
    <d v="2025-07-01T00:00:00"/>
    <x v="11"/>
    <x v="1"/>
  </r>
  <r>
    <n v="608"/>
    <s v="EUR"/>
    <n v="0"/>
    <n v="0"/>
    <n v="0"/>
    <n v="7395"/>
    <n v="7395"/>
    <n v="8578.1999999999989"/>
    <n v="0"/>
    <n v="0"/>
    <d v="2025-09-07T00:00:00"/>
    <d v="2025-08-08T00:00:00"/>
    <x v="6"/>
    <x v="1"/>
  </r>
  <r>
    <n v="609"/>
    <s v="USD"/>
    <n v="249.99999999999272"/>
    <n v="214.99999999999375"/>
    <n v="249.99999999999272"/>
    <n v="35054.28"/>
    <n v="30146.680799999998"/>
    <n v="35054.28"/>
    <n v="65"/>
    <n v="65"/>
    <d v="2025-08-20T00:00:00"/>
    <d v="2025-07-21T00:00:00"/>
    <x v="11"/>
    <x v="1"/>
  </r>
  <r>
    <n v="610"/>
    <s v="USD"/>
    <n v="70"/>
    <n v="60.199999999999996"/>
    <n v="70"/>
    <n v="8958"/>
    <n v="7703.88"/>
    <n v="8958"/>
    <n v="0"/>
    <n v="0"/>
    <d v="2025-09-28T00:00:00"/>
    <d v="2025-08-29T00:00:00"/>
    <x v="6"/>
    <x v="1"/>
  </r>
  <r>
    <n v="613"/>
    <s v="USD"/>
    <n v="0"/>
    <n v="0"/>
    <n v="0"/>
    <n v="18638.25"/>
    <n v="16028.895"/>
    <n v="18638.25"/>
    <n v="0"/>
    <n v="0"/>
    <d v="2025-10-22T00:00:00"/>
    <d v="2025-09-22T00:00:00"/>
    <x v="1"/>
    <x v="1"/>
  </r>
  <r>
    <n v="614"/>
    <s v="USD"/>
    <n v="12500"/>
    <n v="10750"/>
    <n v="12500"/>
    <n v="12500"/>
    <n v="10750"/>
    <n v="12500"/>
    <n v="0"/>
    <n v="0"/>
    <d v="2025-09-18T00:00:00"/>
    <d v="2025-08-19T00:00:00"/>
    <x v="6"/>
    <x v="1"/>
  </r>
  <r>
    <n v="615"/>
    <s v="EUR"/>
    <n v="0"/>
    <n v="0"/>
    <n v="0"/>
    <n v="7230"/>
    <n v="7230"/>
    <n v="8386.7999999999993"/>
    <n v="0"/>
    <n v="0"/>
    <d v="2025-09-30T00:00:00"/>
    <d v="2025-08-31T00:00:00"/>
    <x v="6"/>
    <x v="1"/>
  </r>
  <r>
    <n v="616"/>
    <s v="CHF"/>
    <n v="0"/>
    <n v="0"/>
    <n v="0"/>
    <n v="4752"/>
    <n v="5084.6400000000003"/>
    <n v="5940"/>
    <n v="0"/>
    <n v="0"/>
    <d v="2025-08-01T00:00:00"/>
    <d v="2025-07-02T00:00:00"/>
    <x v="11"/>
    <x v="1"/>
  </r>
  <r>
    <n v="617"/>
    <s v="USD"/>
    <n v="1890.0000000000009"/>
    <n v="1625.4000000000008"/>
    <n v="1890.0000000000009"/>
    <n v="7061.39"/>
    <n v="6072.7954"/>
    <n v="7061.39"/>
    <n v="0"/>
    <n v="0"/>
    <d v="2025-09-14T00:00:00"/>
    <d v="2025-08-15T00:00:00"/>
    <x v="6"/>
    <x v="1"/>
  </r>
  <r>
    <n v="618"/>
    <s v="EUR"/>
    <n v="0"/>
    <n v="0"/>
    <n v="0"/>
    <n v="1920"/>
    <n v="1920"/>
    <n v="2227.1999999999998"/>
    <n v="0"/>
    <n v="0"/>
    <d v="2025-08-28T00:00:00"/>
    <d v="2025-07-29T00:00:00"/>
    <x v="11"/>
    <x v="1"/>
  </r>
  <r>
    <n v="621"/>
    <s v="MXN"/>
    <n v="69666"/>
    <n v="3343.9679999999998"/>
    <n v="3901.2960000000003"/>
    <n v="69666"/>
    <n v="3343.9679999999998"/>
    <n v="3901.2960000000003"/>
    <n v="0"/>
    <n v="0"/>
    <d v="2025-08-27T00:00:00"/>
    <d v="2025-07-28T00:00:00"/>
    <x v="11"/>
    <x v="1"/>
  </r>
  <r>
    <n v="622"/>
    <s v="EUR"/>
    <n v="0"/>
    <n v="0"/>
    <n v="0"/>
    <n v="3010"/>
    <n v="3010"/>
    <n v="3491.6"/>
    <n v="0"/>
    <n v="0"/>
    <d v="2025-09-28T00:00:00"/>
    <d v="2025-08-29T00:00:00"/>
    <x v="6"/>
    <x v="1"/>
  </r>
  <r>
    <n v="624"/>
    <s v="USD"/>
    <n v="0"/>
    <n v="0"/>
    <n v="0"/>
    <n v="7360.8"/>
    <n v="6330.2880000000005"/>
    <n v="7360.8"/>
    <n v="0"/>
    <n v="0"/>
    <d v="2025-07-05T00:00:00"/>
    <d v="2025-06-05T00:00:00"/>
    <x v="3"/>
    <x v="1"/>
  </r>
  <r>
    <n v="625"/>
    <s v="JPY"/>
    <n v="0"/>
    <n v="0"/>
    <n v="0"/>
    <n v="379735"/>
    <n v="2088.5425"/>
    <n v="2430.3040000000001"/>
    <n v="0"/>
    <n v="0"/>
    <d v="2025-10-30T00:00:00"/>
    <d v="2025-09-30T00:00:00"/>
    <x v="1"/>
    <x v="1"/>
  </r>
  <r>
    <n v="626"/>
    <s v="JPY"/>
    <n v="3502289.86"/>
    <n v="19262.594229999999"/>
    <n v="22414.655104000001"/>
    <n v="3851364.86"/>
    <n v="21182.506729999997"/>
    <n v="24648.735103999999"/>
    <n v="0"/>
    <n v="0"/>
    <d v="2025-10-25T00:00:00"/>
    <d v="2025-09-25T00:00:00"/>
    <x v="1"/>
    <x v="1"/>
  </r>
  <r>
    <n v="627"/>
    <s v="GPB"/>
    <n v="0"/>
    <n v="0"/>
    <n v="0"/>
    <n v="1230.3"/>
    <n v="1414.8449999999998"/>
    <n v="1648.6020000000001"/>
    <n v="0"/>
    <n v="0"/>
    <d v="2025-09-28T00:00:00"/>
    <d v="2025-08-29T00:00:00"/>
    <x v="6"/>
    <x v="1"/>
  </r>
  <r>
    <n v="628"/>
    <s v="USD"/>
    <n v="36815.090000000004"/>
    <n v="31660.977400000003"/>
    <n v="36815.090000000004"/>
    <n v="421.57"/>
    <n v="362.55019999999996"/>
    <n v="421.57"/>
    <n v="34927.69"/>
    <n v="34927.69"/>
    <d v="2025-09-02T00:00:00"/>
    <d v="2025-08-03T00:00:00"/>
    <x v="6"/>
    <x v="1"/>
  </r>
  <r>
    <n v="629"/>
    <s v="USD"/>
    <n v="280"/>
    <n v="240.79999999999998"/>
    <n v="280"/>
    <n v="9216.83"/>
    <n v="7926.4737999999998"/>
    <n v="9216.83"/>
    <n v="0"/>
    <n v="0"/>
    <d v="2025-08-28T00:00:00"/>
    <d v="2025-07-29T00:00:00"/>
    <x v="11"/>
    <x v="1"/>
  </r>
  <r>
    <n v="630"/>
    <s v="USD"/>
    <n v="41918.080000000002"/>
    <n v="36049.548800000004"/>
    <n v="41918.080000000002"/>
    <n v="43656.639999999999"/>
    <n v="37544.710399999996"/>
    <n v="43656.639999999999"/>
    <n v="2.2737367544323206E-12"/>
    <n v="2.2737367544323206E-12"/>
    <d v="2025-01-03T00:00:00"/>
    <d v="2024-12-04T00:00:00"/>
    <x v="7"/>
    <x v="0"/>
  </r>
  <r>
    <n v="631"/>
    <s v="USD"/>
    <n v="10037.469999999999"/>
    <n v="8632.2241999999987"/>
    <n v="10037.469999999999"/>
    <n v="10037.469999999999"/>
    <n v="8632.2241999999987"/>
    <n v="10037.469999999999"/>
    <n v="0"/>
    <n v="0"/>
    <d v="2025-08-28T00:00:00"/>
    <d v="2025-07-29T00:00:00"/>
    <x v="11"/>
    <x v="1"/>
  </r>
  <r>
    <n v="633"/>
    <s v="EUR"/>
    <n v="0"/>
    <n v="0"/>
    <n v="0"/>
    <n v="3630"/>
    <n v="3630"/>
    <n v="4210.7999999999993"/>
    <n v="0"/>
    <n v="0"/>
    <d v="2025-09-30T00:00:00"/>
    <d v="2025-08-31T00:00:00"/>
    <x v="6"/>
    <x v="1"/>
  </r>
  <r>
    <n v="634"/>
    <s v="EUR"/>
    <n v="0"/>
    <n v="0"/>
    <n v="0"/>
    <n v="3528"/>
    <n v="3528"/>
    <n v="4092.4799999999996"/>
    <n v="0"/>
    <n v="0"/>
    <d v="2025-09-30T00:00:00"/>
    <d v="2025-08-31T00:00:00"/>
    <x v="6"/>
    <x v="1"/>
  </r>
  <r>
    <n v="635"/>
    <s v="GPB"/>
    <n v="0"/>
    <n v="0"/>
    <n v="0"/>
    <n v="5000"/>
    <n v="5750"/>
    <n v="6700"/>
    <n v="0"/>
    <n v="0"/>
    <d v="2025-08-30T00:00:00"/>
    <d v="2025-07-31T00:00:00"/>
    <x v="11"/>
    <x v="1"/>
  </r>
  <r>
    <n v="636"/>
    <s v="EUR"/>
    <n v="0"/>
    <n v="0"/>
    <n v="0"/>
    <n v="1221"/>
    <n v="1221"/>
    <n v="1416.36"/>
    <n v="0"/>
    <n v="0"/>
    <d v="2025-09-07T00:00:00"/>
    <d v="2025-08-08T00:00:00"/>
    <x v="6"/>
    <x v="1"/>
  </r>
  <r>
    <n v="637"/>
    <s v="EUR"/>
    <n v="0"/>
    <n v="0"/>
    <n v="0"/>
    <n v="1158.04"/>
    <n v="1158.04"/>
    <n v="1343.3263999999999"/>
    <n v="0"/>
    <n v="0"/>
    <d v="2025-09-14T00:00:00"/>
    <d v="2025-08-15T00:00:00"/>
    <x v="6"/>
    <x v="1"/>
  </r>
  <r>
    <n v="638"/>
    <s v="EUR"/>
    <n v="0"/>
    <n v="0"/>
    <n v="0"/>
    <n v="9570"/>
    <n v="9570"/>
    <n v="11101.199999999999"/>
    <n v="0"/>
    <n v="0"/>
    <d v="2025-07-31T00:00:00"/>
    <d v="2025-07-01T00:00:00"/>
    <x v="11"/>
    <x v="1"/>
  </r>
  <r>
    <n v="640"/>
    <s v="EUR"/>
    <n v="0"/>
    <n v="0"/>
    <n v="0"/>
    <n v="200"/>
    <n v="200"/>
    <n v="231.99999999999997"/>
    <n v="0"/>
    <n v="0"/>
    <d v="2025-09-01T00:00:00"/>
    <d v="2025-08-02T00:00:00"/>
    <x v="6"/>
    <x v="1"/>
  </r>
  <r>
    <n v="641"/>
    <s v="USD"/>
    <n v="55137.02"/>
    <n v="47417.837199999994"/>
    <n v="55137.02"/>
    <n v="45227.98"/>
    <n v="38896.0628"/>
    <n v="45227.98"/>
    <n v="0"/>
    <n v="0"/>
    <d v="2025-12-15T00:00:00"/>
    <d v="2025-11-15T00:00:00"/>
    <x v="0"/>
    <x v="1"/>
  </r>
  <r>
    <n v="642"/>
    <s v="EUR"/>
    <n v="0"/>
    <n v="0"/>
    <n v="0"/>
    <n v="7395"/>
    <n v="7395"/>
    <n v="8578.1999999999989"/>
    <n v="0"/>
    <n v="0"/>
    <d v="2025-09-07T00:00:00"/>
    <d v="2025-08-08T00:00:00"/>
    <x v="6"/>
    <x v="1"/>
  </r>
  <r>
    <n v="643"/>
    <s v="JPY"/>
    <n v="0"/>
    <n v="0"/>
    <n v="0"/>
    <n v="1320000"/>
    <n v="7260"/>
    <n v="8448"/>
    <n v="0"/>
    <n v="0"/>
    <d v="2025-11-03T00:00:00"/>
    <d v="2025-10-04T00:00:00"/>
    <x v="2"/>
    <x v="1"/>
  </r>
  <r>
    <n v="644"/>
    <s v="USD"/>
    <n v="0"/>
    <n v="0"/>
    <n v="0"/>
    <n v="3017.44"/>
    <n v="2594.9983999999999"/>
    <n v="3017.44"/>
    <n v="0"/>
    <n v="0"/>
    <d v="2025-05-25T00:00:00"/>
    <d v="2025-04-25T00:00:00"/>
    <x v="4"/>
    <x v="1"/>
  </r>
  <r>
    <n v="645"/>
    <s v="USD"/>
    <n v="0"/>
    <n v="0"/>
    <n v="0"/>
    <n v="2566.4"/>
    <n v="2207.1040000000003"/>
    <n v="2566.4"/>
    <n v="0"/>
    <n v="0"/>
    <d v="2025-05-12T00:00:00"/>
    <d v="2025-04-12T00:00:00"/>
    <x v="4"/>
    <x v="1"/>
  </r>
  <r>
    <n v="646"/>
    <s v="USD"/>
    <n v="0"/>
    <n v="0"/>
    <n v="0"/>
    <n v="1515.02"/>
    <n v="1302.9171999999999"/>
    <n v="1515.02"/>
    <n v="0"/>
    <n v="0"/>
    <d v="2025-05-23T00:00:00"/>
    <d v="2025-04-23T00:00:00"/>
    <x v="4"/>
    <x v="1"/>
  </r>
  <r>
    <n v="647"/>
    <s v="USD"/>
    <n v="0"/>
    <n v="0"/>
    <n v="0"/>
    <n v="1200"/>
    <n v="1032"/>
    <n v="1200"/>
    <n v="0"/>
    <n v="0"/>
    <d v="2025-05-19T00:00:00"/>
    <d v="2025-04-19T00:00:00"/>
    <x v="4"/>
    <x v="1"/>
  </r>
  <r>
    <n v="648"/>
    <s v="JPY"/>
    <n v="0"/>
    <n v="0"/>
    <n v="0"/>
    <n v="3120143"/>
    <n v="17160.786499999998"/>
    <n v="19968.915199999999"/>
    <n v="0"/>
    <n v="0"/>
    <d v="2026-03-13T00:00:00"/>
    <d v="2026-02-11T00:00:00"/>
    <x v="5"/>
    <x v="2"/>
  </r>
  <r>
    <n v="649"/>
    <s v="USD"/>
    <n v="0"/>
    <n v="0"/>
    <n v="0"/>
    <n v="13274.97"/>
    <n v="11416.474199999999"/>
    <n v="13274.97"/>
    <n v="1.8189894035458565E-12"/>
    <n v="1.8189894035458565E-12"/>
    <d v="2025-12-18T00:00:00"/>
    <d v="2025-11-18T00:00:00"/>
    <x v="0"/>
    <x v="1"/>
  </r>
  <r>
    <n v="650"/>
    <s v="EUR"/>
    <n v="0"/>
    <n v="0"/>
    <n v="0"/>
    <n v="1928.28"/>
    <n v="1928.28"/>
    <n v="2236.8047999999999"/>
    <n v="0"/>
    <n v="0"/>
    <d v="2025-08-27T00:00:00"/>
    <d v="2025-07-28T00:00:00"/>
    <x v="11"/>
    <x v="1"/>
  </r>
  <r>
    <n v="651"/>
    <s v="USD"/>
    <n v="0"/>
    <n v="0"/>
    <n v="0"/>
    <n v="4760"/>
    <n v="4093.6"/>
    <n v="4760"/>
    <n v="0"/>
    <n v="0"/>
    <d v="2025-10-23T00:00:00"/>
    <d v="2025-09-23T00:00:00"/>
    <x v="1"/>
    <x v="1"/>
  </r>
  <r>
    <n v="652"/>
    <s v="EUR"/>
    <n v="0"/>
    <n v="0"/>
    <n v="0"/>
    <n v="1990"/>
    <n v="1990"/>
    <n v="2308.3999999999996"/>
    <n v="0"/>
    <n v="0"/>
    <d v="2025-09-21T00:00:00"/>
    <d v="2025-08-22T00:00:00"/>
    <x v="6"/>
    <x v="1"/>
  </r>
  <r>
    <n v="653"/>
    <s v="USD"/>
    <n v="0"/>
    <n v="0"/>
    <n v="0"/>
    <n v="260"/>
    <n v="223.6"/>
    <n v="260"/>
    <n v="0"/>
    <n v="0"/>
    <d v="2026-05-11T00:00:00"/>
    <d v="2026-04-11T00:00:00"/>
    <x v="4"/>
    <x v="2"/>
  </r>
  <r>
    <n v="654"/>
    <s v="USD"/>
    <n v="0"/>
    <n v="0"/>
    <n v="0"/>
    <n v="1980"/>
    <n v="1702.8"/>
    <n v="1980"/>
    <n v="0"/>
    <n v="0"/>
    <d v="2026-05-16T00:00:00"/>
    <d v="2026-04-16T00:00:00"/>
    <x v="4"/>
    <x v="2"/>
  </r>
  <r>
    <n v="655"/>
    <s v="USD"/>
    <n v="0"/>
    <n v="0"/>
    <n v="0"/>
    <n v="5384.78"/>
    <n v="4630.9107999999997"/>
    <n v="5384.78"/>
    <n v="0"/>
    <n v="0"/>
    <d v="2025-09-21T00:00:00"/>
    <d v="2025-08-22T00:00:00"/>
    <x v="6"/>
    <x v="1"/>
  </r>
  <r>
    <n v="656"/>
    <s v="USD"/>
    <n v="0"/>
    <n v="0"/>
    <n v="0"/>
    <n v="691.98"/>
    <n v="595.1028"/>
    <n v="691.98"/>
    <n v="0"/>
    <n v="0"/>
    <d v="2025-09-29T00:00:00"/>
    <d v="2025-08-30T00:00:00"/>
    <x v="6"/>
    <x v="1"/>
  </r>
  <r>
    <n v="657"/>
    <s v="USD"/>
    <n v="0"/>
    <n v="0"/>
    <n v="0"/>
    <n v="2724.75"/>
    <n v="2343.2849999999999"/>
    <n v="2724.75"/>
    <n v="0"/>
    <n v="0"/>
    <d v="2025-06-18T00:00:00"/>
    <d v="2025-05-19T00:00:00"/>
    <x v="10"/>
    <x v="1"/>
  </r>
  <r>
    <n v="658"/>
    <s v="USD"/>
    <n v="140"/>
    <n v="120.39999999999999"/>
    <n v="140"/>
    <n v="2482.65"/>
    <n v="2135.0790000000002"/>
    <n v="2482.65"/>
    <n v="0"/>
    <n v="0"/>
    <d v="2025-09-04T00:00:00"/>
    <d v="2025-08-05T00:00:00"/>
    <x v="6"/>
    <x v="1"/>
  </r>
  <r>
    <n v="660"/>
    <s v="USD"/>
    <n v="0"/>
    <n v="0"/>
    <n v="0"/>
    <n v="20000"/>
    <n v="17200"/>
    <n v="20000"/>
    <n v="0"/>
    <n v="0"/>
    <d v="2025-08-09T00:00:00"/>
    <d v="2025-07-10T00:00:00"/>
    <x v="11"/>
    <x v="1"/>
  </r>
  <r>
    <n v="661"/>
    <s v="MXN"/>
    <n v="1330"/>
    <n v="63.84"/>
    <n v="74.48"/>
    <n v="11434"/>
    <n v="548.83199999999999"/>
    <n v="640.30399999999997"/>
    <n v="0"/>
    <n v="0"/>
    <d v="2025-09-19T00:00:00"/>
    <d v="2025-08-20T00:00:00"/>
    <x v="6"/>
    <x v="1"/>
  </r>
  <r>
    <n v="662"/>
    <s v="MXN"/>
    <n v="1330"/>
    <n v="63.84"/>
    <n v="74.48"/>
    <n v="13936"/>
    <n v="668.928"/>
    <n v="780.41600000000005"/>
    <n v="0"/>
    <n v="0"/>
    <d v="2025-09-19T00:00:00"/>
    <d v="2025-08-20T00:00:00"/>
    <x v="6"/>
    <x v="1"/>
  </r>
  <r>
    <n v="663"/>
    <s v="EUR"/>
    <n v="400000"/>
    <n v="400000"/>
    <n v="463999.99999999994"/>
    <n v="400000"/>
    <n v="400000"/>
    <n v="463999.99999999994"/>
    <n v="0"/>
    <n v="0"/>
    <d v="2025-12-20T00:00:00"/>
    <d v="2025-11-20T00:00:00"/>
    <x v="0"/>
    <x v="1"/>
  </r>
  <r>
    <n v="664"/>
    <s v="USD"/>
    <n v="0"/>
    <n v="0"/>
    <n v="0"/>
    <n v="940"/>
    <n v="808.4"/>
    <n v="940"/>
    <n v="0"/>
    <n v="0"/>
    <d v="2025-07-23T00:00:00"/>
    <d v="2025-06-23T00:00:00"/>
    <x v="3"/>
    <x v="1"/>
  </r>
  <r>
    <n v="665"/>
    <s v="USD"/>
    <n v="0"/>
    <n v="0"/>
    <n v="0"/>
    <n v="5733.7"/>
    <n v="4930.982"/>
    <n v="5733.7"/>
    <n v="9.0949470177292824E-13"/>
    <n v="9.0949470177292824E-13"/>
    <d v="2025-06-07T00:00:00"/>
    <d v="2025-05-08T00:00:00"/>
    <x v="10"/>
    <x v="1"/>
  </r>
  <r>
    <n v="666"/>
    <s v="EUR"/>
    <n v="2955"/>
    <n v="2955"/>
    <n v="3427.7999999999997"/>
    <n v="2955"/>
    <n v="2955"/>
    <n v="3427.7999999999997"/>
    <n v="0"/>
    <n v="0"/>
    <d v="2025-09-10T00:00:00"/>
    <d v="2025-08-11T00:00:00"/>
    <x v="6"/>
    <x v="1"/>
  </r>
  <r>
    <n v="667"/>
    <s v="USD"/>
    <n v="0"/>
    <n v="0"/>
    <n v="0"/>
    <n v="8228"/>
    <n v="7076.08"/>
    <n v="8228"/>
    <n v="0"/>
    <n v="0"/>
    <d v="2025-10-21T00:00:00"/>
    <d v="2025-09-21T00:00:00"/>
    <x v="1"/>
    <x v="1"/>
  </r>
  <r>
    <n v="668"/>
    <s v="EUR"/>
    <n v="0"/>
    <n v="0"/>
    <n v="0"/>
    <n v="4700"/>
    <n v="4700"/>
    <n v="5452"/>
    <n v="0"/>
    <n v="0"/>
    <d v="2025-04-25T00:00:00"/>
    <d v="2025-03-26T00:00:00"/>
    <x v="9"/>
    <x v="1"/>
  </r>
  <r>
    <n v="669"/>
    <s v="USD"/>
    <n v="0"/>
    <n v="0"/>
    <n v="0"/>
    <n v="2004.02"/>
    <n v="1723.4572000000001"/>
    <n v="2004.02"/>
    <n v="0"/>
    <n v="0"/>
    <d v="2025-07-16T00:00:00"/>
    <d v="2025-06-16T00:00:00"/>
    <x v="3"/>
    <x v="1"/>
  </r>
  <r>
    <n v="670"/>
    <s v="USD"/>
    <n v="0"/>
    <n v="0"/>
    <n v="0"/>
    <n v="4956.01"/>
    <n v="4262.1686"/>
    <n v="4956.01"/>
    <n v="0"/>
    <n v="0"/>
    <d v="2025-09-11T00:00:00"/>
    <d v="2025-08-12T00:00:00"/>
    <x v="6"/>
    <x v="1"/>
  </r>
  <r>
    <n v="671"/>
    <s v="USD"/>
    <n v="0"/>
    <n v="0"/>
    <n v="0"/>
    <n v="5985"/>
    <n v="5147.1000000000004"/>
    <n v="5985"/>
    <n v="0"/>
    <n v="0"/>
    <d v="2026-05-01T00:00:00"/>
    <d v="2026-04-01T00:00:00"/>
    <x v="4"/>
    <x v="2"/>
  </r>
  <r>
    <n v="672"/>
    <s v="EUR"/>
    <n v="120.00000000000364"/>
    <n v="120.00000000000364"/>
    <n v="139.20000000000422"/>
    <n v="20193.97"/>
    <n v="20193.97"/>
    <n v="23425.0052"/>
    <n v="0"/>
    <n v="0"/>
    <d v="2025-09-04T00:00:00"/>
    <d v="2025-08-05T00:00:00"/>
    <x v="6"/>
    <x v="1"/>
  </r>
  <r>
    <n v="673"/>
    <s v="USD"/>
    <n v="0"/>
    <n v="0"/>
    <n v="0"/>
    <n v="1876.62"/>
    <n v="1613.8932"/>
    <n v="1876.62"/>
    <n v="0"/>
    <n v="0"/>
    <d v="2026-05-30T00:00:00"/>
    <d v="2026-04-30T00:00:00"/>
    <x v="4"/>
    <x v="2"/>
  </r>
  <r>
    <n v="674"/>
    <s v="USD"/>
    <n v="0"/>
    <n v="0"/>
    <n v="0"/>
    <n v="3108.73"/>
    <n v="2673.5077999999999"/>
    <n v="3108.73"/>
    <n v="0"/>
    <n v="0"/>
    <d v="2026-05-29T00:00:00"/>
    <d v="2026-04-29T00:00:00"/>
    <x v="4"/>
    <x v="2"/>
  </r>
  <r>
    <n v="675"/>
    <s v="USD"/>
    <n v="0"/>
    <n v="0"/>
    <n v="0"/>
    <n v="1816.94"/>
    <n v="1562.5684000000001"/>
    <n v="1816.94"/>
    <n v="0"/>
    <n v="0"/>
    <d v="2025-09-16T00:00:00"/>
    <d v="2025-08-17T00:00:00"/>
    <x v="6"/>
    <x v="1"/>
  </r>
  <r>
    <n v="676"/>
    <s v="EUR"/>
    <n v="0"/>
    <n v="0"/>
    <n v="0"/>
    <n v="19036.89"/>
    <n v="19036.89"/>
    <n v="22082.792399999998"/>
    <n v="0"/>
    <n v="0"/>
    <d v="2025-10-16T00:00:00"/>
    <d v="2025-09-16T00:00:00"/>
    <x v="1"/>
    <x v="1"/>
  </r>
  <r>
    <n v="677"/>
    <s v="EUR"/>
    <n v="10350.17"/>
    <n v="10350.17"/>
    <n v="12006.197199999999"/>
    <n v="10350.17"/>
    <n v="10350.17"/>
    <n v="12006.197199999999"/>
    <n v="0"/>
    <n v="0"/>
    <d v="2025-09-24T00:00:00"/>
    <d v="2025-08-25T00:00:00"/>
    <x v="6"/>
    <x v="1"/>
  </r>
  <r>
    <n v="678"/>
    <s v="USD"/>
    <n v="0"/>
    <n v="0"/>
    <n v="0"/>
    <n v="2313.5"/>
    <n v="1989.61"/>
    <n v="2313.5"/>
    <n v="0"/>
    <n v="0"/>
    <d v="2025-08-16T00:00:00"/>
    <d v="2025-07-17T00:00:00"/>
    <x v="11"/>
    <x v="1"/>
  </r>
  <r>
    <n v="679"/>
    <s v="USD"/>
    <n v="0"/>
    <n v="0"/>
    <n v="0"/>
    <n v="11383"/>
    <n v="9789.3799999999992"/>
    <n v="11383"/>
    <n v="0"/>
    <n v="0"/>
    <d v="2025-09-11T00:00:00"/>
    <d v="2025-08-12T00:00:00"/>
    <x v="6"/>
    <x v="1"/>
  </r>
  <r>
    <n v="680"/>
    <s v="USD"/>
    <n v="280"/>
    <n v="240.79999999999998"/>
    <n v="280"/>
    <n v="10416.19"/>
    <n v="8957.9233999999997"/>
    <n v="10416.19"/>
    <n v="0"/>
    <n v="0"/>
    <d v="2025-11-12T00:00:00"/>
    <d v="2025-10-13T00:00:00"/>
    <x v="2"/>
    <x v="1"/>
  </r>
  <r>
    <n v="681"/>
    <s v="EUR"/>
    <n v="7045.5"/>
    <n v="7045.5"/>
    <n v="8172.78"/>
    <n v="7045.5"/>
    <n v="7045.5"/>
    <n v="8172.78"/>
    <n v="0"/>
    <n v="0"/>
    <d v="2025-10-17T00:00:00"/>
    <d v="2025-09-17T00:00:00"/>
    <x v="1"/>
    <x v="1"/>
  </r>
  <r>
    <n v="683"/>
    <s v="GPB"/>
    <n v="0"/>
    <n v="0"/>
    <n v="0"/>
    <n v="3081"/>
    <n v="3543.1499999999996"/>
    <n v="4128.54"/>
    <n v="0"/>
    <n v="0"/>
    <d v="2025-09-08T00:00:00"/>
    <d v="2025-08-09T00:00:00"/>
    <x v="6"/>
    <x v="1"/>
  </r>
  <r>
    <n v="684"/>
    <s v="USD"/>
    <n v="0"/>
    <n v="0"/>
    <n v="0"/>
    <n v="194.6"/>
    <n v="167.35599999999999"/>
    <n v="194.6"/>
    <n v="0"/>
    <n v="0"/>
    <d v="2025-08-18T00:00:00"/>
    <d v="2025-07-19T00:00:00"/>
    <x v="11"/>
    <x v="1"/>
  </r>
  <r>
    <n v="686"/>
    <s v="EUR"/>
    <n v="0"/>
    <n v="0"/>
    <n v="0"/>
    <n v="2417.65"/>
    <n v="2417.65"/>
    <n v="2804.4739999999997"/>
    <n v="0"/>
    <n v="0"/>
    <d v="2025-09-23T00:00:00"/>
    <d v="2025-08-24T00:00:00"/>
    <x v="6"/>
    <x v="1"/>
  </r>
  <r>
    <n v="687"/>
    <s v="USD"/>
    <n v="1329.7"/>
    <n v="1143.5419999999999"/>
    <n v="1329.7"/>
    <n v="680.5"/>
    <n v="585.23"/>
    <n v="680.5"/>
    <n v="1294.7"/>
    <n v="1294.7"/>
    <d v="2025-09-03T00:00:00"/>
    <d v="2025-08-04T00:00:00"/>
    <x v="6"/>
    <x v="1"/>
  </r>
  <r>
    <n v="688"/>
    <s v="EUR"/>
    <n v="10324.98"/>
    <n v="10324.98"/>
    <n v="11976.976799999999"/>
    <n v="10324.98"/>
    <n v="10324.98"/>
    <n v="11976.976799999999"/>
    <n v="0"/>
    <n v="0"/>
    <d v="2025-09-23T00:00:00"/>
    <d v="2025-08-24T00:00:00"/>
    <x v="6"/>
    <x v="1"/>
  </r>
  <r>
    <n v="689"/>
    <s v="USD"/>
    <n v="13114.49"/>
    <n v="11278.4614"/>
    <n v="13114.49"/>
    <n v="13114.49"/>
    <n v="11278.4614"/>
    <n v="13114.49"/>
    <n v="0"/>
    <n v="0"/>
    <d v="2025-09-13T00:00:00"/>
    <d v="2025-08-14T00:00:00"/>
    <x v="6"/>
    <x v="1"/>
  </r>
  <r>
    <n v="690"/>
    <s v="USD"/>
    <n v="26950.49"/>
    <n v="23177.421399999999"/>
    <n v="26950.49"/>
    <n v="26950.49"/>
    <n v="23177.421399999999"/>
    <n v="26950.49"/>
    <n v="0"/>
    <n v="0"/>
    <d v="2025-09-13T00:00:00"/>
    <d v="2025-08-14T00:00:00"/>
    <x v="6"/>
    <x v="1"/>
  </r>
  <r>
    <n v="691"/>
    <s v="USD"/>
    <n v="80"/>
    <n v="68.8"/>
    <n v="80"/>
    <n v="1114.08"/>
    <n v="958.10879999999997"/>
    <n v="1114.08"/>
    <n v="0"/>
    <n v="0"/>
    <d v="2025-09-23T00:00:00"/>
    <d v="2025-08-24T00:00:00"/>
    <x v="6"/>
    <x v="1"/>
  </r>
  <r>
    <n v="692"/>
    <s v="USD"/>
    <n v="0"/>
    <n v="0"/>
    <n v="0"/>
    <n v="3288.3"/>
    <n v="2827.9380000000001"/>
    <n v="3288.3"/>
    <n v="0"/>
    <n v="0"/>
    <d v="2025-09-12T00:00:00"/>
    <d v="2025-08-13T00:00:00"/>
    <x v="6"/>
    <x v="1"/>
  </r>
  <r>
    <n v="693"/>
    <s v="EUR"/>
    <n v="0"/>
    <n v="0"/>
    <n v="0"/>
    <n v="6460"/>
    <n v="6460"/>
    <n v="7493.5999999999995"/>
    <n v="0"/>
    <n v="0"/>
    <d v="2025-09-18T00:00:00"/>
    <d v="2025-08-19T00:00:00"/>
    <x v="6"/>
    <x v="1"/>
  </r>
  <r>
    <n v="694"/>
    <s v="EUR"/>
    <n v="0"/>
    <n v="0"/>
    <n v="0"/>
    <n v="6975"/>
    <n v="6975"/>
    <n v="8090.9999999999991"/>
    <n v="0"/>
    <n v="0"/>
    <d v="2025-09-07T00:00:00"/>
    <d v="2025-08-08T00:00:00"/>
    <x v="6"/>
    <x v="1"/>
  </r>
  <r>
    <n v="695"/>
    <s v="USD"/>
    <n v="33816"/>
    <n v="29081.759999999998"/>
    <n v="33816"/>
    <n v="48030.94"/>
    <n v="41306.608400000005"/>
    <n v="48030.94"/>
    <n v="-1.8189894035458565E-12"/>
    <n v="-1.8189894035458565E-12"/>
    <d v="2025-10-07T00:00:00"/>
    <d v="2025-09-07T00:00:00"/>
    <x v="1"/>
    <x v="1"/>
  </r>
  <r>
    <n v="696"/>
    <s v="USD"/>
    <n v="1644.9999999999964"/>
    <n v="1414.6999999999969"/>
    <n v="1644.9999999999964"/>
    <n v="25152.21"/>
    <n v="21630.900599999997"/>
    <n v="25152.21"/>
    <n v="0"/>
    <n v="0"/>
    <d v="2025-10-30T00:00:00"/>
    <d v="2025-09-30T00:00:00"/>
    <x v="1"/>
    <x v="1"/>
  </r>
  <r>
    <n v="697"/>
    <s v="USD"/>
    <n v="3889.6600000000003"/>
    <n v="3345.1076000000003"/>
    <n v="3889.6600000000003"/>
    <n v="5020.5600000000004"/>
    <n v="4317.6815999999999"/>
    <n v="5020.5600000000004"/>
    <n v="0"/>
    <n v="0"/>
    <d v="2025-09-14T00:00:00"/>
    <d v="2025-08-15T00:00:00"/>
    <x v="6"/>
    <x v="1"/>
  </r>
  <r>
    <n v="699"/>
    <s v="USD"/>
    <n v="0"/>
    <n v="0"/>
    <n v="0"/>
    <n v="1825"/>
    <n v="1569.5"/>
    <n v="1825"/>
    <n v="0"/>
    <n v="0"/>
    <d v="2025-06-11T00:00:00"/>
    <d v="2025-05-12T00:00:00"/>
    <x v="10"/>
    <x v="1"/>
  </r>
  <r>
    <n v="700"/>
    <s v="USD"/>
    <n v="0"/>
    <n v="0"/>
    <n v="0"/>
    <n v="260"/>
    <n v="223.6"/>
    <n v="260"/>
    <n v="0"/>
    <n v="0"/>
    <d v="2025-07-06T00:00:00"/>
    <d v="2025-06-06T00:00:00"/>
    <x v="3"/>
    <x v="1"/>
  </r>
  <r>
    <n v="701"/>
    <s v="USD"/>
    <n v="0"/>
    <n v="0"/>
    <n v="0"/>
    <n v="3915"/>
    <n v="3366.9"/>
    <n v="3915"/>
    <n v="0"/>
    <n v="0"/>
    <d v="2025-08-16T00:00:00"/>
    <d v="2025-07-17T00:00:00"/>
    <x v="11"/>
    <x v="1"/>
  </r>
  <r>
    <n v="702"/>
    <s v="USD"/>
    <n v="0"/>
    <n v="0"/>
    <n v="0"/>
    <n v="796.16"/>
    <n v="684.69759999999997"/>
    <n v="796.16"/>
    <n v="0"/>
    <n v="0"/>
    <d v="2025-11-01T00:00:00"/>
    <d v="2025-10-02T00:00:00"/>
    <x v="2"/>
    <x v="1"/>
  </r>
  <r>
    <n v="703"/>
    <s v="USD"/>
    <n v="129987.86"/>
    <n v="111789.55959999999"/>
    <n v="129987.86"/>
    <n v="95082"/>
    <n v="81770.52"/>
    <n v="95082"/>
    <n v="34905.86"/>
    <n v="34905.86"/>
    <d v="2026-05-19T00:00:00"/>
    <d v="2026-04-19T00:00:00"/>
    <x v="4"/>
    <x v="2"/>
  </r>
  <r>
    <n v="704"/>
    <s v="USD"/>
    <n v="0"/>
    <n v="0"/>
    <n v="0"/>
    <n v="9825.94"/>
    <n v="8450.3083999999999"/>
    <n v="9825.94"/>
    <n v="-1.8189894035458565E-12"/>
    <n v="-1.8189894035458565E-12"/>
    <d v="2025-08-07T00:00:00"/>
    <d v="2025-07-08T00:00:00"/>
    <x v="11"/>
    <x v="1"/>
  </r>
  <r>
    <n v="706"/>
    <s v="USD"/>
    <n v="21509.989999999998"/>
    <n v="18498.591399999998"/>
    <n v="21509.989999999998"/>
    <n v="26748.79"/>
    <n v="23003.9594"/>
    <n v="26748.79"/>
    <n v="5095.2999999999975"/>
    <n v="5095.2999999999975"/>
    <d v="2025-10-20T00:00:00"/>
    <d v="2025-09-20T00:00:00"/>
    <x v="1"/>
    <x v="1"/>
  </r>
  <r>
    <n v="707"/>
    <s v="USD"/>
    <n v="20216.509999999995"/>
    <n v="17386.198599999996"/>
    <n v="20216.509999999995"/>
    <n v="50003.81"/>
    <n v="43003.276599999997"/>
    <n v="50003.81"/>
    <n v="0"/>
    <n v="0"/>
    <d v="2026-01-11T00:00:00"/>
    <d v="2025-12-12T00:00:00"/>
    <x v="7"/>
    <x v="1"/>
  </r>
  <r>
    <n v="709"/>
    <s v="CHF"/>
    <n v="0"/>
    <n v="0"/>
    <n v="0"/>
    <n v="3780"/>
    <n v="4044.6000000000004"/>
    <n v="4725"/>
    <n v="0"/>
    <n v="0"/>
    <d v="2025-07-27T00:00:00"/>
    <d v="2025-06-27T00:00:00"/>
    <x v="3"/>
    <x v="1"/>
  </r>
  <r>
    <n v="710"/>
    <s v="EUR"/>
    <n v="0"/>
    <n v="0"/>
    <n v="0"/>
    <n v="6025"/>
    <n v="6025"/>
    <n v="6988.9999999999991"/>
    <n v="0"/>
    <n v="0"/>
    <d v="2025-09-19T00:00:00"/>
    <d v="2025-08-20T00:00:00"/>
    <x v="6"/>
    <x v="1"/>
  </r>
  <r>
    <n v="711"/>
    <s v="EUR"/>
    <n v="378.28000000000065"/>
    <n v="378.28000000000065"/>
    <n v="438.80480000000074"/>
    <n v="8104.1"/>
    <n v="8104.1"/>
    <n v="9400.7559999999994"/>
    <n v="0"/>
    <n v="0"/>
    <d v="2025-09-19T00:00:00"/>
    <d v="2025-08-20T00:00:00"/>
    <x v="6"/>
    <x v="1"/>
  </r>
  <r>
    <n v="712"/>
    <s v="EUR"/>
    <n v="0"/>
    <n v="0"/>
    <n v="0"/>
    <n v="12080"/>
    <n v="12080"/>
    <n v="14012.8"/>
    <n v="0"/>
    <n v="0"/>
    <d v="2025-08-04T00:00:00"/>
    <d v="2025-07-05T00:00:00"/>
    <x v="11"/>
    <x v="1"/>
  </r>
  <r>
    <n v="713"/>
    <s v="GPB"/>
    <n v="6000"/>
    <n v="6899.9999999999991"/>
    <n v="8040.0000000000009"/>
    <n v="12686.19"/>
    <n v="14589.118499999999"/>
    <n v="16999.494600000002"/>
    <n v="-6686.1900000000005"/>
    <n v="-8959.4946000000018"/>
    <d v="2025-10-01T00:00:00"/>
    <d v="2025-09-01T00:00:00"/>
    <x v="1"/>
    <x v="1"/>
  </r>
  <r>
    <n v="714"/>
    <s v="USD"/>
    <n v="0"/>
    <n v="0"/>
    <n v="0"/>
    <n v="35813"/>
    <n v="30799.18"/>
    <n v="35813"/>
    <n v="0"/>
    <n v="0"/>
    <d v="2025-04-06T00:00:00"/>
    <d v="2025-03-07T00:00:00"/>
    <x v="9"/>
    <x v="1"/>
  </r>
  <r>
    <n v="715"/>
    <s v="MXN"/>
    <n v="0"/>
    <n v="0"/>
    <n v="0"/>
    <n v="30166.35"/>
    <n v="1447.9848"/>
    <n v="1689.3155999999999"/>
    <n v="0"/>
    <n v="0"/>
    <d v="2025-08-28T00:00:00"/>
    <d v="2025-07-29T00:00:00"/>
    <x v="11"/>
    <x v="1"/>
  </r>
  <r>
    <n v="716"/>
    <s v="USD"/>
    <n v="0"/>
    <n v="0"/>
    <n v="0"/>
    <n v="384.51"/>
    <n v="330.67859999999996"/>
    <n v="384.51"/>
    <n v="0"/>
    <n v="0"/>
    <d v="2025-06-22T00:00:00"/>
    <d v="2025-05-23T00:00:00"/>
    <x v="10"/>
    <x v="1"/>
  </r>
  <r>
    <n v="721"/>
    <s v="MXN"/>
    <n v="63818.35"/>
    <n v="3063.2808"/>
    <n v="3573.8276000000001"/>
    <n v="63818.35"/>
    <n v="3063.2808"/>
    <n v="3573.8276000000001"/>
    <n v="0"/>
    <n v="0"/>
    <d v="2025-10-23T00:00:00"/>
    <d v="2025-09-23T00:00:00"/>
    <x v="1"/>
    <x v="1"/>
  </r>
  <r>
    <n v="722"/>
    <s v="USD"/>
    <n v="0"/>
    <n v="0"/>
    <n v="0"/>
    <n v="1349"/>
    <n v="1160.1399999999999"/>
    <n v="1349"/>
    <n v="0"/>
    <n v="0"/>
    <d v="2025-08-02T00:00:00"/>
    <d v="2025-07-03T00:00:00"/>
    <x v="11"/>
    <x v="1"/>
  </r>
  <r>
    <n v="724"/>
    <s v="USD"/>
    <n v="567.65000000000009"/>
    <n v="488.17900000000009"/>
    <n v="567.65000000000009"/>
    <n v="1963.65"/>
    <n v="1688.739"/>
    <n v="1963.65"/>
    <n v="0"/>
    <n v="0"/>
    <d v="2025-01-01T00:00:00"/>
    <d v="2024-12-02T00:00:00"/>
    <x v="7"/>
    <x v="0"/>
  </r>
  <r>
    <n v="725"/>
    <s v="USD"/>
    <n v="27250.78"/>
    <n v="23435.6708"/>
    <n v="27250.78"/>
    <n v="28105.18"/>
    <n v="24170.4548"/>
    <n v="28105.18"/>
    <n v="-1.4779288903810084E-12"/>
    <n v="-1.4779288903810084E-12"/>
    <d v="2025-10-07T00:00:00"/>
    <d v="2025-09-07T00:00:00"/>
    <x v="1"/>
    <x v="1"/>
  </r>
  <r>
    <n v="727"/>
    <s v="USD"/>
    <n v="40307"/>
    <n v="34664.019999999997"/>
    <n v="40307"/>
    <n v="99176.08"/>
    <n v="85291.428799999994"/>
    <n v="99176.08"/>
    <n v="0"/>
    <n v="0"/>
    <d v="2025-11-14T00:00:00"/>
    <d v="2025-10-15T00:00:00"/>
    <x v="2"/>
    <x v="1"/>
  </r>
  <r>
    <n v="728"/>
    <s v="USD"/>
    <n v="0"/>
    <n v="0"/>
    <n v="0"/>
    <n v="6075"/>
    <n v="5224.5"/>
    <n v="6075"/>
    <n v="0"/>
    <n v="0"/>
    <d v="2025-09-14T00:00:00"/>
    <d v="2025-08-15T00:00:00"/>
    <x v="6"/>
    <x v="1"/>
  </r>
  <r>
    <n v="729"/>
    <s v="USD"/>
    <n v="0"/>
    <n v="0"/>
    <n v="0"/>
    <n v="17512"/>
    <n v="15060.32"/>
    <n v="17512"/>
    <n v="0"/>
    <n v="0"/>
    <d v="2025-07-19T00:00:00"/>
    <d v="2025-06-19T00:00:00"/>
    <x v="3"/>
    <x v="1"/>
  </r>
  <r>
    <n v="730"/>
    <s v="USD"/>
    <n v="0"/>
    <n v="0"/>
    <n v="0"/>
    <n v="9701.2199999999993"/>
    <n v="8343.0491999999995"/>
    <n v="9701.2199999999993"/>
    <n v="0"/>
    <n v="0"/>
    <d v="2025-07-23T00:00:00"/>
    <d v="2025-06-23T00:00:00"/>
    <x v="3"/>
    <x v="1"/>
  </r>
  <r>
    <n v="731"/>
    <s v="USD"/>
    <n v="1350"/>
    <n v="1161"/>
    <n v="1350"/>
    <n v="16650"/>
    <n v="14319"/>
    <n v="16650"/>
    <n v="1350"/>
    <n v="1350"/>
    <d v="2025-12-31T00:00:00"/>
    <d v="2025-12-01T00:00:00"/>
    <x v="7"/>
    <x v="1"/>
  </r>
  <r>
    <n v="732"/>
    <s v="USD"/>
    <n v="0"/>
    <n v="0"/>
    <n v="0"/>
    <n v="2563.04"/>
    <n v="2204.2143999999998"/>
    <n v="2563.04"/>
    <n v="0"/>
    <n v="0"/>
    <d v="2025-12-04T00:00:00"/>
    <d v="2025-11-04T00:00:00"/>
    <x v="0"/>
    <x v="1"/>
  </r>
  <r>
    <n v="733"/>
    <s v="USD"/>
    <n v="101074.32"/>
    <n v="86923.915200000003"/>
    <n v="101074.32"/>
    <n v="112162.93"/>
    <n v="96460.119799999986"/>
    <n v="112162.93"/>
    <n v="1427.390000000014"/>
    <n v="1427.390000000014"/>
    <d v="2026-02-09T00:00:00"/>
    <d v="2026-01-10T00:00:00"/>
    <x v="8"/>
    <x v="2"/>
  </r>
  <r>
    <n v="734"/>
    <s v="USD"/>
    <n v="0"/>
    <n v="0"/>
    <n v="0"/>
    <n v="9616.31"/>
    <n v="8270.0265999999992"/>
    <n v="9616.31"/>
    <n v="1.8189894035458565E-12"/>
    <n v="1.8189894035458565E-12"/>
    <d v="2025-10-10T00:00:00"/>
    <d v="2025-09-10T00:00:00"/>
    <x v="1"/>
    <x v="1"/>
  </r>
  <r>
    <n v="735"/>
    <s v="USD"/>
    <n v="58881"/>
    <n v="50637.659999999996"/>
    <n v="58881"/>
    <n v="81074.8"/>
    <n v="69724.328000000009"/>
    <n v="81074.8"/>
    <n v="0"/>
    <n v="0"/>
    <d v="2025-10-21T00:00:00"/>
    <d v="2025-09-21T00:00:00"/>
    <x v="1"/>
    <x v="1"/>
  </r>
  <r>
    <n v="736"/>
    <s v="USD"/>
    <n v="13900"/>
    <n v="11954"/>
    <n v="13900"/>
    <n v="13900"/>
    <n v="11954"/>
    <n v="13900"/>
    <n v="0"/>
    <n v="0"/>
    <d v="2026-06-11T00:00:00"/>
    <d v="2026-05-12T00:00:00"/>
    <x v="10"/>
    <x v="2"/>
  </r>
  <r>
    <n v="737"/>
    <s v="EUR"/>
    <n v="0"/>
    <n v="0"/>
    <n v="0"/>
    <n v="5070"/>
    <n v="5070"/>
    <n v="5881.2"/>
    <n v="0"/>
    <n v="0"/>
    <d v="2025-08-24T00:00:00"/>
    <d v="2025-07-25T00:00:00"/>
    <x v="11"/>
    <x v="1"/>
  </r>
  <r>
    <n v="738"/>
    <s v="EUR"/>
    <n v="0"/>
    <n v="0"/>
    <n v="0"/>
    <n v="2253.0500000000002"/>
    <n v="2253.0500000000002"/>
    <n v="2613.538"/>
    <n v="0"/>
    <n v="0"/>
    <d v="2025-07-10T00:00:00"/>
    <d v="2025-06-10T00:00:00"/>
    <x v="3"/>
    <x v="1"/>
  </r>
  <r>
    <n v="739"/>
    <s v="EUR"/>
    <n v="0"/>
    <n v="0"/>
    <n v="0"/>
    <n v="9199.69"/>
    <n v="9199.69"/>
    <n v="10671.6404"/>
    <n v="0"/>
    <n v="0"/>
    <d v="2026-01-08T00:00:00"/>
    <d v="2025-12-09T00:00:00"/>
    <x v="7"/>
    <x v="1"/>
  </r>
  <r>
    <n v="740"/>
    <s v="USD"/>
    <n v="0"/>
    <n v="0"/>
    <n v="0"/>
    <n v="20705.8"/>
    <n v="17806.987999999998"/>
    <n v="20705.8"/>
    <n v="3.637978807091713E-12"/>
    <n v="3.637978807091713E-12"/>
    <d v="2025-07-08T00:00:00"/>
    <d v="2025-06-08T00:00:00"/>
    <x v="3"/>
    <x v="1"/>
  </r>
  <r>
    <n v="742"/>
    <s v="EUR"/>
    <n v="210"/>
    <n v="210"/>
    <n v="243.6"/>
    <n v="14996.6"/>
    <n v="14996.6"/>
    <n v="17396.056"/>
    <n v="210"/>
    <n v="243.6"/>
    <d v="2025-10-03T00:00:00"/>
    <d v="2025-09-03T00:00:00"/>
    <x v="1"/>
    <x v="1"/>
  </r>
  <r>
    <n v="743"/>
    <s v="USD"/>
    <n v="15911"/>
    <n v="13683.46"/>
    <n v="15911"/>
    <n v="47413.25"/>
    <n v="40775.394999999997"/>
    <n v="47413.25"/>
    <n v="-11.860000000000582"/>
    <n v="-11.860000000000582"/>
    <d v="2025-11-11T00:00:00"/>
    <d v="2025-10-12T00:00:00"/>
    <x v="2"/>
    <x v="1"/>
  </r>
  <r>
    <n v="744"/>
    <s v="USD"/>
    <n v="35"/>
    <n v="30.099999999999998"/>
    <n v="35"/>
    <n v="22168.98"/>
    <n v="19065.322799999998"/>
    <n v="22168.98"/>
    <n v="0"/>
    <n v="0"/>
    <d v="2025-11-05T00:00:00"/>
    <d v="2025-10-06T00:00:00"/>
    <x v="2"/>
    <x v="1"/>
  </r>
  <r>
    <n v="745"/>
    <s v="USD"/>
    <n v="0"/>
    <n v="0"/>
    <n v="0"/>
    <n v="11714.05"/>
    <n v="10074.082999999999"/>
    <n v="11714.05"/>
    <n v="0"/>
    <n v="0"/>
    <d v="2025-11-06T00:00:00"/>
    <d v="2025-10-07T00:00:00"/>
    <x v="2"/>
    <x v="1"/>
  </r>
  <r>
    <n v="746"/>
    <s v="USD"/>
    <n v="12861.26"/>
    <n v="11060.6836"/>
    <n v="12861.26"/>
    <n v="13487.52"/>
    <n v="11599.2672"/>
    <n v="13487.52"/>
    <n v="-626.26000000000022"/>
    <n v="-626.26000000000022"/>
    <d v="2026-03-25T00:00:00"/>
    <d v="2026-02-23T00:00:00"/>
    <x v="5"/>
    <x v="2"/>
  </r>
  <r>
    <n v="747"/>
    <s v="EUR"/>
    <n v="10745"/>
    <n v="10745"/>
    <n v="12464.199999999999"/>
    <n v="10745"/>
    <n v="10745"/>
    <n v="12464.199999999999"/>
    <n v="0"/>
    <n v="0"/>
    <d v="2026-02-21T00:00:00"/>
    <d v="2026-01-22T00:00:00"/>
    <x v="8"/>
    <x v="2"/>
  </r>
  <r>
    <n v="748"/>
    <s v="USD"/>
    <n v="63360"/>
    <n v="54489.599999999999"/>
    <n v="63360"/>
    <n v="63360"/>
    <n v="54489.599999999999"/>
    <n v="63360"/>
    <n v="0"/>
    <n v="0"/>
    <d v="2025-10-28T00:00:00"/>
    <d v="2025-09-28T00:00:00"/>
    <x v="1"/>
    <x v="1"/>
  </r>
  <r>
    <n v="749"/>
    <s v="USD"/>
    <n v="0"/>
    <n v="0"/>
    <n v="0"/>
    <n v="13873.49"/>
    <n v="11931.2014"/>
    <n v="13873.49"/>
    <n v="0"/>
    <n v="0"/>
    <d v="2025-10-04T00:00:00"/>
    <d v="2025-09-04T00:00:00"/>
    <x v="1"/>
    <x v="1"/>
  </r>
  <r>
    <n v="750"/>
    <s v="USD"/>
    <n v="48691"/>
    <n v="41874.26"/>
    <n v="48691"/>
    <n v="42851.16"/>
    <n v="36851.997600000002"/>
    <n v="42851.16"/>
    <n v="16287.839999999997"/>
    <n v="16287.839999999997"/>
    <d v="2025-10-30T00:00:00"/>
    <d v="2025-09-30T00:00:00"/>
    <x v="1"/>
    <x v="1"/>
  </r>
  <r>
    <n v="751"/>
    <s v="EUR"/>
    <n v="0"/>
    <n v="0"/>
    <n v="0"/>
    <n v="27327"/>
    <n v="27327"/>
    <n v="31699.319999999996"/>
    <n v="0"/>
    <n v="0"/>
    <d v="2025-11-19T00:00:00"/>
    <d v="2025-10-20T00:00:00"/>
    <x v="2"/>
    <x v="1"/>
  </r>
  <r>
    <n v="752"/>
    <s v="MXN"/>
    <n v="2624.3000000000029"/>
    <n v="125.96640000000015"/>
    <n v="146.96080000000018"/>
    <n v="60434.3"/>
    <n v="2900.8464000000004"/>
    <n v="3384.3208000000004"/>
    <n v="0"/>
    <n v="0"/>
    <d v="2025-10-22T00:00:00"/>
    <d v="2025-09-22T00:00:00"/>
    <x v="1"/>
    <x v="1"/>
  </r>
  <r>
    <n v="753"/>
    <s v="USD"/>
    <n v="3648.9400000000005"/>
    <n v="3138.0884000000005"/>
    <n v="3648.9400000000005"/>
    <n v="9702.5400000000009"/>
    <n v="8344.1844000000001"/>
    <n v="9702.5400000000009"/>
    <n v="0"/>
    <n v="0"/>
    <d v="2025-10-26T00:00:00"/>
    <d v="2025-09-26T00:00:00"/>
    <x v="1"/>
    <x v="1"/>
  </r>
  <r>
    <n v="754"/>
    <s v="USD"/>
    <n v="350"/>
    <n v="301"/>
    <n v="350"/>
    <n v="78626"/>
    <n v="67618.36"/>
    <n v="78626"/>
    <n v="0"/>
    <n v="0"/>
    <d v="2025-12-14T00:00:00"/>
    <d v="2025-11-14T00:00:00"/>
    <x v="0"/>
    <x v="1"/>
  </r>
  <r>
    <n v="755"/>
    <s v="USD"/>
    <n v="27200.159999999996"/>
    <n v="23392.137599999998"/>
    <n v="27200.159999999996"/>
    <n v="31647.17"/>
    <n v="27216.566199999997"/>
    <n v="31647.17"/>
    <n v="-1.8189894035458565E-12"/>
    <n v="-1.8189894035458565E-12"/>
    <d v="2025-11-07T00:00:00"/>
    <d v="2025-10-08T00:00:00"/>
    <x v="2"/>
    <x v="1"/>
  </r>
  <r>
    <n v="756"/>
    <s v="USD"/>
    <n v="33091"/>
    <n v="28458.26"/>
    <n v="33091"/>
    <n v="33091"/>
    <n v="28458.26"/>
    <n v="33091"/>
    <n v="0"/>
    <n v="0"/>
    <d v="2025-10-17T00:00:00"/>
    <d v="2025-09-17T00:00:00"/>
    <x v="1"/>
    <x v="1"/>
  </r>
  <r>
    <n v="757"/>
    <s v="USD"/>
    <n v="0"/>
    <n v="0"/>
    <n v="0"/>
    <n v="1067.6400000000001"/>
    <n v="918.17040000000009"/>
    <n v="1067.6400000000001"/>
    <n v="0"/>
    <n v="0"/>
    <d v="2025-09-11T00:00:00"/>
    <d v="2025-08-12T00:00:00"/>
    <x v="6"/>
    <x v="1"/>
  </r>
  <r>
    <n v="758"/>
    <s v="EUR"/>
    <n v="0"/>
    <n v="0"/>
    <n v="0"/>
    <n v="1002.1"/>
    <n v="1002.1"/>
    <n v="1162.4359999999999"/>
    <n v="0"/>
    <n v="0"/>
    <d v="2025-08-30T00:00:00"/>
    <d v="2025-07-31T00:00:00"/>
    <x v="11"/>
    <x v="1"/>
  </r>
  <r>
    <n v="759"/>
    <s v="USD"/>
    <n v="66948.31"/>
    <n v="57575.546599999994"/>
    <n v="66948.31"/>
    <n v="66948.31"/>
    <n v="57575.546599999994"/>
    <n v="66948.31"/>
    <n v="0"/>
    <n v="0"/>
    <d v="2025-08-25T00:00:00"/>
    <d v="2025-07-26T00:00:00"/>
    <x v="11"/>
    <x v="1"/>
  </r>
  <r>
    <n v="760"/>
    <s v="USD"/>
    <n v="33200"/>
    <n v="28552"/>
    <n v="33200"/>
    <n v="33200"/>
    <n v="28552"/>
    <n v="33200"/>
    <n v="0"/>
    <n v="0"/>
    <d v="2025-10-11T00:00:00"/>
    <d v="2025-09-11T00:00:00"/>
    <x v="1"/>
    <x v="1"/>
  </r>
  <r>
    <n v="761"/>
    <s v="USD"/>
    <n v="138044.25"/>
    <n v="118718.05499999999"/>
    <n v="138044.25"/>
    <n v="161501.70000000001"/>
    <n v="138891.462"/>
    <n v="161501.70000000001"/>
    <n v="-1.0913936421275139E-11"/>
    <n v="-1.0913936421275139E-11"/>
    <d v="2025-12-06T00:00:00"/>
    <d v="2025-11-06T00:00:00"/>
    <x v="0"/>
    <x v="1"/>
  </r>
  <r>
    <n v="762"/>
    <s v="USD"/>
    <n v="85590.5"/>
    <n v="73607.83"/>
    <n v="85590.5"/>
    <n v="85590.5"/>
    <n v="73607.83"/>
    <n v="85590.5"/>
    <n v="0"/>
    <n v="0"/>
    <d v="2025-11-12T00:00:00"/>
    <d v="2025-10-13T00:00:00"/>
    <x v="2"/>
    <x v="1"/>
  </r>
  <r>
    <n v="763"/>
    <s v="EUR"/>
    <n v="6892.52"/>
    <n v="6892.52"/>
    <n v="7995.3231999999998"/>
    <n v="6892.52"/>
    <n v="6892.52"/>
    <n v="7995.3231999999998"/>
    <n v="0"/>
    <n v="0"/>
    <d v="2025-12-05T00:00:00"/>
    <d v="2025-11-05T00:00:00"/>
    <x v="0"/>
    <x v="1"/>
  </r>
  <r>
    <n v="764"/>
    <s v="USD"/>
    <n v="13014.88"/>
    <n v="11192.796799999998"/>
    <n v="13014.88"/>
    <n v="15818"/>
    <n v="13603.48"/>
    <n v="15818"/>
    <n v="-2803.1200000000008"/>
    <n v="-2803.1200000000008"/>
    <d v="2026-04-25T00:00:00"/>
    <d v="2026-03-26T00:00:00"/>
    <x v="9"/>
    <x v="2"/>
  </r>
  <r>
    <n v="765"/>
    <s v="USD"/>
    <n v="0"/>
    <n v="0"/>
    <n v="0"/>
    <n v="418305.1"/>
    <n v="359742.386"/>
    <n v="418305.1"/>
    <n v="0"/>
    <n v="0"/>
    <d v="2025-12-08T00:00:00"/>
    <d v="2025-11-08T00:00:00"/>
    <x v="0"/>
    <x v="1"/>
  </r>
  <r>
    <n v="766"/>
    <s v="USD"/>
    <n v="0"/>
    <n v="0"/>
    <n v="0"/>
    <n v="17247.439999999999"/>
    <n v="14832.798399999998"/>
    <n v="17247.439999999999"/>
    <n v="0"/>
    <n v="0"/>
    <d v="2025-10-14T00:00:00"/>
    <d v="2025-09-14T00:00:00"/>
    <x v="1"/>
    <x v="1"/>
  </r>
  <r>
    <n v="767"/>
    <s v="USD"/>
    <n v="0"/>
    <n v="0"/>
    <n v="0"/>
    <n v="65660.42"/>
    <n v="56467.961199999998"/>
    <n v="65660.42"/>
    <n v="0"/>
    <n v="0"/>
    <d v="2025-10-23T00:00:00"/>
    <d v="2025-09-23T00:00:00"/>
    <x v="1"/>
    <x v="1"/>
  </r>
  <r>
    <n v="769"/>
    <s v="EUR"/>
    <n v="0"/>
    <n v="0"/>
    <n v="0"/>
    <n v="1823"/>
    <n v="1823"/>
    <n v="2114.6799999999998"/>
    <n v="0"/>
    <n v="0"/>
    <d v="2025-10-11T00:00:00"/>
    <d v="2025-09-11T00:00:00"/>
    <x v="1"/>
    <x v="1"/>
  </r>
  <r>
    <n v="770"/>
    <s v="EUR"/>
    <n v="0"/>
    <n v="0"/>
    <n v="0"/>
    <n v="5943.6"/>
    <n v="5943.6"/>
    <n v="6894.576"/>
    <n v="0"/>
    <n v="0"/>
    <d v="2025-11-22T00:00:00"/>
    <d v="2025-10-23T00:00:00"/>
    <x v="2"/>
    <x v="1"/>
  </r>
  <r>
    <n v="772"/>
    <s v="USD"/>
    <n v="12782"/>
    <n v="10992.52"/>
    <n v="12782"/>
    <n v="16410"/>
    <n v="14112.6"/>
    <n v="16410"/>
    <n v="-3628"/>
    <n v="-3628"/>
    <d v="2025-12-26T00:00:00"/>
    <d v="2025-11-26T00:00:00"/>
    <x v="0"/>
    <x v="1"/>
  </r>
  <r>
    <n v="774"/>
    <s v="JPY"/>
    <n v="0"/>
    <n v="0"/>
    <n v="0"/>
    <n v="959220"/>
    <n v="5275.71"/>
    <n v="6139.0080000000007"/>
    <n v="0"/>
    <n v="0"/>
    <d v="2025-12-23T00:00:00"/>
    <d v="2025-11-23T00:00:00"/>
    <x v="0"/>
    <x v="1"/>
  </r>
  <r>
    <n v="775"/>
    <s v="JPY"/>
    <n v="0"/>
    <n v="0"/>
    <n v="0"/>
    <n v="3689941"/>
    <n v="20294.675499999998"/>
    <n v="23615.6224"/>
    <n v="0"/>
    <n v="0"/>
    <d v="2025-12-24T00:00:00"/>
    <d v="2025-11-24T00:00:00"/>
    <x v="0"/>
    <x v="1"/>
  </r>
  <r>
    <n v="776"/>
    <s v="JPY"/>
    <n v="0"/>
    <n v="0"/>
    <n v="0"/>
    <n v="24401740"/>
    <n v="134209.56999999998"/>
    <n v="156171.136"/>
    <n v="0"/>
    <n v="0"/>
    <d v="2025-12-24T00:00:00"/>
    <d v="2025-11-24T00:00:00"/>
    <x v="0"/>
    <x v="1"/>
  </r>
  <r>
    <n v="777"/>
    <s v="EUR"/>
    <n v="224728"/>
    <n v="224728"/>
    <n v="260684.47999999998"/>
    <n v="224728"/>
    <n v="224728"/>
    <n v="260684.47999999998"/>
    <n v="0"/>
    <n v="0"/>
    <d v="2025-11-05T00:00:00"/>
    <d v="2025-10-06T00:00:00"/>
    <x v="2"/>
    <x v="1"/>
  </r>
  <r>
    <n v="778"/>
    <s v="USD"/>
    <n v="70"/>
    <n v="60.199999999999996"/>
    <n v="70"/>
    <n v="5460.56"/>
    <n v="4696.0816000000004"/>
    <n v="5460.56"/>
    <n v="0"/>
    <n v="0"/>
    <d v="2025-12-15T00:00:00"/>
    <d v="2025-11-15T00:00:00"/>
    <x v="0"/>
    <x v="1"/>
  </r>
  <r>
    <n v="779"/>
    <s v="USD"/>
    <n v="140.00000000001455"/>
    <n v="120.40000000001251"/>
    <n v="140.00000000001455"/>
    <n v="88656.24"/>
    <n v="76244.366399999999"/>
    <n v="88656.24"/>
    <n v="0"/>
    <n v="0"/>
    <d v="2026-03-27T00:00:00"/>
    <d v="2026-02-25T00:00:00"/>
    <x v="5"/>
    <x v="2"/>
  </r>
  <r>
    <n v="780"/>
    <s v="USD"/>
    <n v="0"/>
    <n v="0"/>
    <n v="0"/>
    <n v="7927.78"/>
    <n v="6817.8908000000001"/>
    <n v="7927.78"/>
    <n v="0"/>
    <n v="0"/>
    <d v="2025-11-12T00:00:00"/>
    <d v="2025-10-13T00:00:00"/>
    <x v="2"/>
    <x v="1"/>
  </r>
  <r>
    <n v="781"/>
    <s v="USD"/>
    <n v="0"/>
    <n v="0"/>
    <n v="0"/>
    <n v="8424"/>
    <n v="7244.64"/>
    <n v="8424"/>
    <n v="0"/>
    <n v="0"/>
    <d v="2025-09-25T00:00:00"/>
    <d v="2025-08-26T00:00:00"/>
    <x v="6"/>
    <x v="1"/>
  </r>
  <r>
    <n v="782"/>
    <s v="USD"/>
    <n v="666.20999999999913"/>
    <n v="572.94059999999922"/>
    <n v="666.20999999999913"/>
    <n v="36643.24"/>
    <n v="31513.186399999999"/>
    <n v="36643.24"/>
    <n v="0"/>
    <n v="0"/>
    <d v="2025-12-24T00:00:00"/>
    <d v="2025-11-24T00:00:00"/>
    <x v="0"/>
    <x v="1"/>
  </r>
  <r>
    <n v="783"/>
    <s v="GBP"/>
    <n v="0"/>
    <n v="0"/>
    <n v="0"/>
    <n v="3925"/>
    <n v="4513.75"/>
    <n v="5259.5"/>
    <n v="0"/>
    <n v="0"/>
    <d v="2025-11-07T00:00:00"/>
    <d v="2025-10-08T00:00:00"/>
    <x v="2"/>
    <x v="1"/>
  </r>
  <r>
    <n v="784"/>
    <s v="EUR"/>
    <n v="70"/>
    <n v="70"/>
    <n v="81.199999999999989"/>
    <n v="1483.59"/>
    <n v="1483.59"/>
    <n v="1720.9643999999998"/>
    <n v="0"/>
    <n v="0"/>
    <d v="2025-10-23T00:00:00"/>
    <d v="2025-09-23T00:00:00"/>
    <x v="1"/>
    <x v="1"/>
  </r>
  <r>
    <n v="785"/>
    <s v="USD"/>
    <n v="21730"/>
    <n v="18687.8"/>
    <n v="21730"/>
    <n v="21730"/>
    <n v="18687.8"/>
    <n v="21730"/>
    <n v="0"/>
    <n v="0"/>
    <d v="2025-10-17T00:00:00"/>
    <d v="2025-09-17T00:00:00"/>
    <x v="1"/>
    <x v="1"/>
  </r>
  <r>
    <n v="786"/>
    <s v="EUR"/>
    <n v="59242.29"/>
    <n v="59242.29"/>
    <n v="68721.056400000001"/>
    <n v="59242.29"/>
    <n v="59242.29"/>
    <n v="68721.056400000001"/>
    <n v="0"/>
    <n v="0"/>
    <d v="2025-11-21T00:00:00"/>
    <d v="2025-10-22T00:00:00"/>
    <x v="2"/>
    <x v="1"/>
  </r>
  <r>
    <n v="787"/>
    <s v="USD"/>
    <n v="0"/>
    <n v="0"/>
    <n v="0"/>
    <n v="9224.8799999999992"/>
    <n v="7933.3967999999995"/>
    <n v="9224.8799999999992"/>
    <n v="1.8189894035458565E-12"/>
    <n v="1.8189894035458565E-12"/>
    <d v="2025-11-03T00:00:00"/>
    <d v="2025-10-04T00:00:00"/>
    <x v="2"/>
    <x v="1"/>
  </r>
  <r>
    <n v="788"/>
    <s v="USD"/>
    <n v="1750"/>
    <n v="1505"/>
    <n v="1750"/>
    <n v="1750"/>
    <n v="1505"/>
    <n v="1750"/>
    <n v="0"/>
    <n v="0"/>
    <d v="2025-11-15T00:00:00"/>
    <d v="2025-10-16T00:00:00"/>
    <x v="2"/>
    <x v="1"/>
  </r>
  <r>
    <n v="789"/>
    <s v="EUR"/>
    <n v="55998"/>
    <n v="55998"/>
    <n v="64957.679999999993"/>
    <n v="63017.78"/>
    <n v="63017.78"/>
    <n v="73100.624799999991"/>
    <n v="9.0949470177292824E-13"/>
    <n v="1.0550138540565967E-12"/>
    <d v="2026-04-04T00:00:00"/>
    <d v="2026-03-05T00:00:00"/>
    <x v="9"/>
    <x v="2"/>
  </r>
  <r>
    <n v="790"/>
    <s v="USD"/>
    <n v="11436.21"/>
    <n v="9835.1405999999988"/>
    <n v="11436.21"/>
    <n v="16376.31"/>
    <n v="14083.6266"/>
    <n v="16376.31"/>
    <n v="0"/>
    <n v="0"/>
    <d v="2025-12-22T00:00:00"/>
    <d v="2025-11-22T00:00:00"/>
    <x v="0"/>
    <x v="1"/>
  </r>
  <r>
    <n v="791"/>
    <s v="EUR"/>
    <n v="60"/>
    <n v="60"/>
    <n v="69.599999999999994"/>
    <n v="2042.83"/>
    <n v="2042.83"/>
    <n v="2369.6827999999996"/>
    <n v="-0.10999999999989996"/>
    <n v="-0.12759999999988395"/>
    <d v="2025-10-27T00:00:00"/>
    <d v="2025-09-27T00:00:00"/>
    <x v="1"/>
    <x v="1"/>
  </r>
  <r>
    <n v="792"/>
    <s v="GBP"/>
    <n v="0"/>
    <n v="0"/>
    <n v="0"/>
    <n v="930"/>
    <n v="1069.5"/>
    <n v="1246.2"/>
    <n v="0"/>
    <n v="0"/>
    <d v="2025-10-22T00:00:00"/>
    <d v="2025-09-22T00:00:00"/>
    <x v="1"/>
    <x v="1"/>
  </r>
  <r>
    <n v="793"/>
    <s v="EUR"/>
    <n v="0"/>
    <n v="0"/>
    <n v="0"/>
    <n v="4474"/>
    <n v="4474"/>
    <n v="5189.8399999999992"/>
    <n v="0"/>
    <n v="0"/>
    <d v="2026-04-28T00:00:00"/>
    <d v="2026-03-29T00:00:00"/>
    <x v="9"/>
    <x v="2"/>
  </r>
  <r>
    <n v="794"/>
    <s v="USD"/>
    <n v="17199.310000000001"/>
    <n v="14791.4066"/>
    <n v="17199.310000000001"/>
    <n v="17199.310000000001"/>
    <n v="14791.4066"/>
    <n v="17199.310000000001"/>
    <n v="0"/>
    <n v="0"/>
    <d v="2026-01-05T00:00:00"/>
    <d v="2025-12-06T00:00:00"/>
    <x v="7"/>
    <x v="1"/>
  </r>
  <r>
    <n v="795"/>
    <s v="USD"/>
    <n v="0"/>
    <n v="0"/>
    <n v="0"/>
    <n v="11980.26"/>
    <n v="10303.0236"/>
    <n v="11980.26"/>
    <n v="0"/>
    <n v="0"/>
    <d v="2025-10-28T00:00:00"/>
    <d v="2025-09-28T00:00:00"/>
    <x v="1"/>
    <x v="1"/>
  </r>
  <r>
    <n v="796"/>
    <s v="EUR"/>
    <n v="40526"/>
    <n v="40526"/>
    <n v="47010.159999999996"/>
    <n v="12283.13"/>
    <n v="12283.13"/>
    <n v="14248.430799999998"/>
    <n v="28242.870000000003"/>
    <n v="32761.729200000002"/>
    <d v="2027-02-23T00:00:00"/>
    <d v="2027-01-24T00:00:00"/>
    <x v="8"/>
    <x v="4"/>
  </r>
  <r>
    <n v="797"/>
    <s v="USD"/>
    <n v="0"/>
    <n v="0"/>
    <n v="0"/>
    <n v="2383.44"/>
    <n v="2049.7584000000002"/>
    <n v="2383.44"/>
    <n v="0"/>
    <n v="0"/>
    <d v="2025-11-11T00:00:00"/>
    <d v="2025-10-12T00:00:00"/>
    <x v="2"/>
    <x v="1"/>
  </r>
  <r>
    <n v="798"/>
    <s v="USD"/>
    <n v="0"/>
    <n v="0"/>
    <n v="0"/>
    <n v="5300"/>
    <n v="4558"/>
    <n v="5300"/>
    <n v="0"/>
    <n v="0"/>
    <d v="2025-12-03T00:00:00"/>
    <d v="2025-11-03T00:00:00"/>
    <x v="0"/>
    <x v="1"/>
  </r>
  <r>
    <n v="799"/>
    <s v="JPY"/>
    <n v="0"/>
    <n v="0"/>
    <n v="0"/>
    <n v="2233369"/>
    <n v="12283.529499999999"/>
    <n v="14293.561600000001"/>
    <n v="0"/>
    <n v="0"/>
    <d v="2025-12-27T00:00:00"/>
    <d v="2025-11-27T00:00:00"/>
    <x v="0"/>
    <x v="1"/>
  </r>
  <r>
    <n v="800"/>
    <s v="USD"/>
    <n v="20909.900000000001"/>
    <n v="17982.513999999999"/>
    <n v="20909.900000000001"/>
    <n v="21430.04"/>
    <n v="18429.8344"/>
    <n v="21430.04"/>
    <n v="-520.13999999999942"/>
    <n v="-520.13999999999942"/>
    <d v="2025-11-06T00:00:00"/>
    <d v="2025-10-07T00:00:00"/>
    <x v="2"/>
    <x v="1"/>
  </r>
  <r>
    <n v="802"/>
    <s v="USD"/>
    <n v="0"/>
    <n v="0"/>
    <n v="0"/>
    <n v="858.4"/>
    <n v="738.22399999999993"/>
    <n v="858.4"/>
    <n v="0"/>
    <n v="0"/>
    <d v="2025-10-24T00:00:00"/>
    <d v="2025-09-24T00:00:00"/>
    <x v="1"/>
    <x v="1"/>
  </r>
  <r>
    <n v="803"/>
    <s v="MXN"/>
    <n v="0"/>
    <n v="0"/>
    <n v="0"/>
    <n v="10075"/>
    <n v="483.6"/>
    <n v="564.20000000000005"/>
    <n v="0"/>
    <n v="0"/>
    <d v="2025-10-25T00:00:00"/>
    <d v="2025-09-25T00:00:00"/>
    <x v="1"/>
    <x v="1"/>
  </r>
  <r>
    <n v="804"/>
    <s v="USD"/>
    <n v="2095.48"/>
    <n v="1802.1127999999999"/>
    <n v="2095.48"/>
    <n v="2095.48"/>
    <n v="1802.1127999999999"/>
    <n v="2095.48"/>
    <n v="0"/>
    <n v="0"/>
    <d v="2025-11-06T00:00:00"/>
    <d v="2025-10-07T00:00:00"/>
    <x v="2"/>
    <x v="1"/>
  </r>
  <r>
    <n v="805"/>
    <s v="USD"/>
    <n v="0"/>
    <n v="0"/>
    <n v="0"/>
    <n v="1238.3"/>
    <n v="1064.9379999999999"/>
    <n v="1238.3"/>
    <n v="0"/>
    <n v="0"/>
    <d v="2025-09-26T00:00:00"/>
    <d v="2025-08-27T00:00:00"/>
    <x v="6"/>
    <x v="1"/>
  </r>
  <r>
    <n v="806"/>
    <s v="USD"/>
    <n v="0"/>
    <n v="0"/>
    <n v="0"/>
    <n v="14262"/>
    <n v="12265.32"/>
    <n v="14262"/>
    <n v="0"/>
    <n v="0"/>
    <d v="2025-11-12T00:00:00"/>
    <d v="2025-10-13T00:00:00"/>
    <x v="2"/>
    <x v="1"/>
  </r>
  <r>
    <n v="807"/>
    <s v="USD"/>
    <n v="146203.39000000001"/>
    <n v="125734.91540000001"/>
    <n v="146203.39000000001"/>
    <n v="144912"/>
    <n v="124624.31999999999"/>
    <n v="144912"/>
    <n v="1291.390000000014"/>
    <n v="1291.390000000014"/>
    <d v="2025-12-14T00:00:00"/>
    <d v="2025-11-14T00:00:00"/>
    <x v="0"/>
    <x v="1"/>
  </r>
  <r>
    <n v="808"/>
    <s v="EUR"/>
    <n v="37860.379999999997"/>
    <n v="37860.379999999997"/>
    <n v="43918.040799999995"/>
    <n v="37860.379999999997"/>
    <n v="37860.379999999997"/>
    <n v="43918.040799999995"/>
    <n v="0"/>
    <n v="0"/>
    <d v="2025-12-17T00:00:00"/>
    <d v="2025-11-17T00:00:00"/>
    <x v="0"/>
    <x v="1"/>
  </r>
  <r>
    <n v="809"/>
    <s v="MXN"/>
    <n v="174469"/>
    <n v="8374.5120000000006"/>
    <n v="9770.264000000001"/>
    <n v="174469"/>
    <n v="8374.5120000000006"/>
    <n v="9770.264000000001"/>
    <n v="0"/>
    <n v="0"/>
    <d v="2026-02-12T00:00:00"/>
    <d v="2026-01-13T00:00:00"/>
    <x v="8"/>
    <x v="2"/>
  </r>
  <r>
    <n v="810"/>
    <s v="USD"/>
    <n v="4646"/>
    <n v="3995.56"/>
    <n v="4646"/>
    <n v="4646"/>
    <n v="3995.56"/>
    <n v="4646"/>
    <n v="0"/>
    <n v="0"/>
    <d v="2026-02-07T00:00:00"/>
    <d v="2026-01-08T00:00:00"/>
    <x v="8"/>
    <x v="2"/>
  </r>
  <r>
    <n v="811"/>
    <s v="USD"/>
    <n v="4209.75"/>
    <n v="3620.3849999999998"/>
    <n v="4209.75"/>
    <n v="7278.52"/>
    <n v="6259.5272000000004"/>
    <n v="7278.52"/>
    <n v="-64.25"/>
    <n v="-64.25"/>
    <d v="2025-11-14T00:00:00"/>
    <d v="2025-10-15T00:00:00"/>
    <x v="2"/>
    <x v="1"/>
  </r>
  <r>
    <n v="812"/>
    <s v="USD"/>
    <n v="31825"/>
    <n v="27369.5"/>
    <n v="31825"/>
    <n v="31825"/>
    <n v="27369.5"/>
    <n v="31825"/>
    <n v="0"/>
    <n v="0"/>
    <d v="2025-12-03T00:00:00"/>
    <d v="2025-11-03T00:00:00"/>
    <x v="0"/>
    <x v="1"/>
  </r>
  <r>
    <n v="813"/>
    <s v="EUR"/>
    <n v="90178.33"/>
    <n v="90178.33"/>
    <n v="104606.86279999999"/>
    <n v="90178.33"/>
    <n v="90178.33"/>
    <n v="104606.86279999999"/>
    <n v="0"/>
    <n v="0"/>
    <d v="2025-12-14T00:00:00"/>
    <d v="2025-11-14T00:00:00"/>
    <x v="0"/>
    <x v="1"/>
  </r>
  <r>
    <n v="814"/>
    <s v="EUR"/>
    <n v="11644.64"/>
    <n v="11644.64"/>
    <n v="13507.782399999998"/>
    <n v="3479"/>
    <n v="3479"/>
    <n v="4035.64"/>
    <n v="8165.6399999999994"/>
    <n v="9472.1423999999988"/>
    <d v="2026-04-28T00:00:00"/>
    <d v="2026-03-29T00:00:00"/>
    <x v="9"/>
    <x v="2"/>
  </r>
  <r>
    <n v="815"/>
    <s v="MXN"/>
    <n v="253098.2"/>
    <n v="12148.713600000001"/>
    <n v="14173.4992"/>
    <n v="253098.2"/>
    <n v="12148.713600000001"/>
    <n v="14173.4992"/>
    <n v="0"/>
    <n v="0"/>
    <d v="2025-12-16T00:00:00"/>
    <d v="2025-11-16T00:00:00"/>
    <x v="0"/>
    <x v="1"/>
  </r>
  <r>
    <n v="817"/>
    <s v="USD"/>
    <n v="871.27"/>
    <n v="749.29219999999998"/>
    <n v="871.27"/>
    <n v="871.27"/>
    <n v="749.29219999999998"/>
    <n v="871.27"/>
    <n v="0"/>
    <n v="0"/>
    <d v="2025-11-26T00:00:00"/>
    <d v="2025-10-27T00:00:00"/>
    <x v="2"/>
    <x v="1"/>
  </r>
  <r>
    <n v="818"/>
    <s v="USD"/>
    <n v="18497"/>
    <n v="15907.42"/>
    <n v="18497"/>
    <n v="18497"/>
    <n v="15907.42"/>
    <n v="18497"/>
    <n v="0"/>
    <n v="0"/>
    <d v="2025-11-12T00:00:00"/>
    <d v="2025-10-13T00:00:00"/>
    <x v="2"/>
    <x v="1"/>
  </r>
  <r>
    <n v="819"/>
    <s v="USD"/>
    <n v="540.35999999999967"/>
    <n v="464.70959999999974"/>
    <n v="540.35999999999967"/>
    <n v="2840.61"/>
    <n v="2442.9246000000003"/>
    <n v="2840.61"/>
    <n v="470.35999999999967"/>
    <n v="470.35999999999967"/>
    <d v="2025-11-09T00:00:00"/>
    <d v="2025-10-10T00:00:00"/>
    <x v="2"/>
    <x v="1"/>
  </r>
  <r>
    <n v="820"/>
    <s v="MXN"/>
    <n v="5044"/>
    <n v="242.11199999999999"/>
    <n v="282.464"/>
    <n v="22963"/>
    <n v="1102.2239999999999"/>
    <n v="1285.9280000000001"/>
    <n v="0"/>
    <n v="0"/>
    <d v="2025-12-10T00:00:00"/>
    <d v="2025-11-10T00:00:00"/>
    <x v="0"/>
    <x v="1"/>
  </r>
  <r>
    <n v="821"/>
    <s v="EUR"/>
    <n v="1260"/>
    <n v="1260"/>
    <n v="1461.6"/>
    <n v="1702"/>
    <n v="1702"/>
    <n v="1974.32"/>
    <n v="0"/>
    <n v="0"/>
    <d v="2025-11-11T00:00:00"/>
    <d v="2025-10-12T00:00:00"/>
    <x v="2"/>
    <x v="1"/>
  </r>
  <r>
    <n v="822"/>
    <s v="USD"/>
    <n v="10649.6"/>
    <n v="9158.6560000000009"/>
    <n v="10649.6"/>
    <n v="10649.6"/>
    <n v="9158.6560000000009"/>
    <n v="10649.6"/>
    <n v="0"/>
    <n v="0"/>
    <d v="2025-11-12T00:00:00"/>
    <d v="2025-10-13T00:00:00"/>
    <x v="2"/>
    <x v="1"/>
  </r>
  <r>
    <n v="823"/>
    <s v="GBP"/>
    <n v="42367.85"/>
    <n v="48723.027499999997"/>
    <n v="56772.919000000002"/>
    <n v="42367.58"/>
    <n v="48722.716999999997"/>
    <n v="56772.557200000003"/>
    <n v="0.26999999999679858"/>
    <n v="0.36179999999571011"/>
    <d v="2026-07-07T00:00:00"/>
    <d v="2026-06-07T00:00:00"/>
    <x v="3"/>
    <x v="2"/>
  </r>
  <r>
    <n v="824"/>
    <s v="MXN"/>
    <n v="3298.75"/>
    <n v="158.34"/>
    <n v="184.73"/>
    <n v="110875.75"/>
    <n v="5322.0360000000001"/>
    <n v="6209.0420000000004"/>
    <n v="0"/>
    <n v="0"/>
    <d v="2025-11-20T00:00:00"/>
    <d v="2025-10-21T00:00:00"/>
    <x v="2"/>
    <x v="1"/>
  </r>
  <r>
    <n v="826"/>
    <s v="EUR"/>
    <n v="10010"/>
    <n v="10010"/>
    <n v="11611.599999999999"/>
    <n v="9814.7999999999993"/>
    <n v="9814.7999999999993"/>
    <n v="11385.167999999998"/>
    <n v="195.20000000000073"/>
    <n v="226.43200000000084"/>
    <d v="2026-03-10T00:00:00"/>
    <d v="2026-02-08T00:00:00"/>
    <x v="5"/>
    <x v="2"/>
  </r>
  <r>
    <n v="827"/>
    <s v="USD"/>
    <n v="7090.71"/>
    <n v="6098.0105999999996"/>
    <n v="7090.71"/>
    <n v="7090.71"/>
    <n v="6098.0105999999996"/>
    <n v="7090.71"/>
    <n v="0"/>
    <n v="0"/>
    <d v="2025-11-08T00:00:00"/>
    <d v="2025-10-09T00:00:00"/>
    <x v="2"/>
    <x v="1"/>
  </r>
  <r>
    <n v="828"/>
    <s v="MXN"/>
    <n v="0"/>
    <n v="0"/>
    <n v="0"/>
    <n v="124392"/>
    <n v="5970.8159999999998"/>
    <n v="6965.9520000000002"/>
    <n v="0"/>
    <n v="0"/>
    <d v="2025-12-20T00:00:00"/>
    <d v="2025-11-20T00:00:00"/>
    <x v="0"/>
    <x v="1"/>
  </r>
  <r>
    <n v="829"/>
    <s v="USD"/>
    <n v="0"/>
    <n v="0"/>
    <n v="0"/>
    <n v="6388.26"/>
    <n v="5493.9036000000006"/>
    <n v="6388.26"/>
    <n v="0"/>
    <n v="0"/>
    <d v="2025-10-24T00:00:00"/>
    <d v="2025-09-24T00:00:00"/>
    <x v="1"/>
    <x v="1"/>
  </r>
  <r>
    <n v="830"/>
    <s v="USD"/>
    <n v="94845"/>
    <n v="81566.7"/>
    <n v="94845"/>
    <n v="117747"/>
    <n v="101262.42"/>
    <n v="117747"/>
    <n v="0"/>
    <n v="0"/>
    <d v="2025-12-24T00:00:00"/>
    <d v="2025-11-24T00:00:00"/>
    <x v="0"/>
    <x v="1"/>
  </r>
  <r>
    <n v="831"/>
    <s v="USD"/>
    <n v="3162.11"/>
    <n v="2719.4146000000001"/>
    <n v="3162.11"/>
    <n v="3162.11"/>
    <n v="2719.4146000000001"/>
    <n v="3162.11"/>
    <n v="0"/>
    <n v="0"/>
    <d v="2025-12-19T00:00:00"/>
    <d v="2025-11-19T00:00:00"/>
    <x v="0"/>
    <x v="1"/>
  </r>
  <r>
    <n v="832"/>
    <s v="USD"/>
    <n v="52873"/>
    <n v="45470.78"/>
    <n v="52873"/>
    <n v="52873"/>
    <n v="45470.78"/>
    <n v="52873"/>
    <n v="0"/>
    <n v="0"/>
    <d v="2025-12-17T00:00:00"/>
    <d v="2025-11-17T00:00:00"/>
    <x v="0"/>
    <x v="1"/>
  </r>
  <r>
    <n v="833"/>
    <s v="USD"/>
    <n v="9930"/>
    <n v="8539.7999999999993"/>
    <n v="9930"/>
    <n v="9930"/>
    <n v="8539.7999999999993"/>
    <n v="9930"/>
    <n v="0"/>
    <n v="0"/>
    <d v="2025-11-22T00:00:00"/>
    <d v="2025-10-23T00:00:00"/>
    <x v="2"/>
    <x v="1"/>
  </r>
  <r>
    <n v="834"/>
    <s v="USD"/>
    <n v="90543.79"/>
    <n v="77867.65939999999"/>
    <n v="90543.79"/>
    <n v="90543.79"/>
    <n v="77867.65939999999"/>
    <n v="90543.79"/>
    <n v="0"/>
    <n v="0"/>
    <d v="2025-12-17T00:00:00"/>
    <d v="2025-11-17T00:00:00"/>
    <x v="0"/>
    <x v="1"/>
  </r>
  <r>
    <n v="835"/>
    <s v="USD"/>
    <n v="67975.100000000006"/>
    <n v="58458.586000000003"/>
    <n v="67975.100000000006"/>
    <n v="12008"/>
    <n v="10326.879999999999"/>
    <n v="12008"/>
    <n v="55967.100000000006"/>
    <n v="55967.100000000006"/>
    <d v="2026-04-18T00:00:00"/>
    <d v="2026-03-19T00:00:00"/>
    <x v="9"/>
    <x v="2"/>
  </r>
  <r>
    <n v="836"/>
    <s v="USD"/>
    <n v="100"/>
    <n v="86"/>
    <n v="100"/>
    <n v="27115.5"/>
    <n v="23319.329999999998"/>
    <n v="27115.5"/>
    <n v="0"/>
    <n v="0"/>
    <d v="2025-12-04T00:00:00"/>
    <d v="2025-11-04T00:00:00"/>
    <x v="0"/>
    <x v="1"/>
  </r>
  <r>
    <n v="837"/>
    <s v="USD"/>
    <n v="716"/>
    <n v="615.76"/>
    <n v="716"/>
    <n v="5821.37"/>
    <n v="5006.3782000000001"/>
    <n v="5821.37"/>
    <n v="716"/>
    <n v="716"/>
    <d v="2026-01-11T00:00:00"/>
    <d v="2025-12-12T00:00:00"/>
    <x v="7"/>
    <x v="1"/>
  </r>
  <r>
    <n v="838"/>
    <s v="USD"/>
    <n v="34361"/>
    <n v="29550.46"/>
    <n v="34361"/>
    <n v="35820.6"/>
    <n v="30805.715999999997"/>
    <n v="35820.6"/>
    <n v="1359.1500000000015"/>
    <n v="1359.1500000000015"/>
    <d v="2026-03-23T00:00:00"/>
    <d v="2026-02-21T00:00:00"/>
    <x v="5"/>
    <x v="2"/>
  </r>
  <r>
    <n v="839"/>
    <s v="MXN"/>
    <n v="664.30000000000291"/>
    <n v="31.88640000000014"/>
    <n v="37.200800000000164"/>
    <n v="41196.300000000003"/>
    <n v="1977.4224000000002"/>
    <n v="2306.9928"/>
    <n v="0"/>
    <n v="0"/>
    <d v="2025-12-18T00:00:00"/>
    <d v="2025-11-18T00:00:00"/>
    <x v="0"/>
    <x v="1"/>
  </r>
  <r>
    <n v="840"/>
    <s v="USD"/>
    <n v="0"/>
    <n v="0"/>
    <n v="0"/>
    <n v="6083.58"/>
    <n v="5231.8787999999995"/>
    <n v="6083.58"/>
    <n v="0"/>
    <n v="0"/>
    <d v="2025-11-19T00:00:00"/>
    <d v="2025-10-20T00:00:00"/>
    <x v="2"/>
    <x v="1"/>
  </r>
  <r>
    <n v="841"/>
    <s v="USD"/>
    <n v="24588"/>
    <n v="21145.68"/>
    <n v="24588"/>
    <n v="56571.9"/>
    <n v="48651.834000000003"/>
    <n v="56571.9"/>
    <n v="0"/>
    <n v="0"/>
    <d v="2025-12-26T00:00:00"/>
    <d v="2025-11-26T00:00:00"/>
    <x v="0"/>
    <x v="1"/>
  </r>
  <r>
    <n v="842"/>
    <s v="USD"/>
    <n v="0"/>
    <n v="0"/>
    <n v="0"/>
    <n v="1210.2"/>
    <n v="1040.7719999999999"/>
    <n v="1210.2"/>
    <n v="0"/>
    <n v="0"/>
    <d v="2026-02-13T00:00:00"/>
    <d v="2026-01-14T00:00:00"/>
    <x v="8"/>
    <x v="2"/>
  </r>
  <r>
    <n v="843"/>
    <s v="USD"/>
    <n v="35"/>
    <n v="30.099999999999998"/>
    <n v="35"/>
    <n v="5230.99"/>
    <n v="4498.6513999999997"/>
    <n v="5230.99"/>
    <n v="0"/>
    <n v="0"/>
    <d v="2025-11-02T00:00:00"/>
    <d v="2025-10-03T00:00:00"/>
    <x v="2"/>
    <x v="1"/>
  </r>
  <r>
    <n v="844"/>
    <s v="EUR"/>
    <n v="0"/>
    <n v="0"/>
    <n v="0"/>
    <n v="12165.93"/>
    <n v="12165.93"/>
    <n v="14112.478799999999"/>
    <n v="0"/>
    <n v="0"/>
    <d v="2025-12-25T00:00:00"/>
    <d v="2025-11-25T00:00:00"/>
    <x v="0"/>
    <x v="1"/>
  </r>
  <r>
    <n v="845"/>
    <s v="USD"/>
    <n v="5731.09"/>
    <n v="4928.7374"/>
    <n v="5731.09"/>
    <n v="7000.04"/>
    <n v="6020.0343999999996"/>
    <n v="7000.04"/>
    <n v="1685.0500000000002"/>
    <n v="1685.0500000000002"/>
    <d v="2026-04-02T00:00:00"/>
    <d v="2026-03-03T00:00:00"/>
    <x v="9"/>
    <x v="2"/>
  </r>
  <r>
    <n v="846"/>
    <s v="USD"/>
    <n v="112620.2"/>
    <n v="96853.372000000003"/>
    <n v="112620.2"/>
    <n v="46645.2"/>
    <n v="40114.871999999996"/>
    <n v="46645.2"/>
    <n v="65975"/>
    <n v="65975"/>
    <d v="2026-03-27T00:00:00"/>
    <d v="2026-02-25T00:00:00"/>
    <x v="5"/>
    <x v="2"/>
  </r>
  <r>
    <n v="847"/>
    <s v="USD"/>
    <n v="150"/>
    <n v="129"/>
    <n v="150"/>
    <n v="1300.47"/>
    <n v="1118.4041999999999"/>
    <n v="1300.47"/>
    <n v="0"/>
    <n v="0"/>
    <d v="2025-11-21T00:00:00"/>
    <d v="2025-10-22T00:00:00"/>
    <x v="2"/>
    <x v="1"/>
  </r>
  <r>
    <n v="848"/>
    <s v="USD"/>
    <n v="40191.429999999993"/>
    <n v="34564.629799999995"/>
    <n v="40191.429999999993"/>
    <n v="89815.56"/>
    <n v="77241.381599999993"/>
    <n v="89815.56"/>
    <n v="-1176.1699999999983"/>
    <n v="-1176.1699999999983"/>
    <d v="2025-12-18T00:00:00"/>
    <d v="2025-11-18T00:00:00"/>
    <x v="0"/>
    <x v="1"/>
  </r>
  <r>
    <n v="849"/>
    <s v="USD"/>
    <n v="1840"/>
    <n v="1582.3999999999999"/>
    <n v="1840"/>
    <n v="4046.02"/>
    <n v="3479.5771999999997"/>
    <n v="4046.02"/>
    <n v="0"/>
    <n v="0"/>
    <d v="2025-12-22T00:00:00"/>
    <d v="2025-11-22T00:00:00"/>
    <x v="0"/>
    <x v="1"/>
  </r>
  <r>
    <n v="850"/>
    <s v="USD"/>
    <n v="140629.22"/>
    <n v="120941.1292"/>
    <n v="140629.22"/>
    <n v="179899.82"/>
    <n v="154713.84520000001"/>
    <n v="179899.82"/>
    <n v="-7.2759576141834259E-12"/>
    <n v="-7.2759576141834259E-12"/>
    <d v="2025-12-25T00:00:00"/>
    <d v="2025-11-25T00:00:00"/>
    <x v="0"/>
    <x v="1"/>
  </r>
  <r>
    <n v="851"/>
    <s v="USD"/>
    <n v="430"/>
    <n v="369.8"/>
    <n v="430"/>
    <n v="430"/>
    <n v="369.8"/>
    <n v="430"/>
    <n v="0"/>
    <n v="0"/>
    <d v="2025-11-26T00:00:00"/>
    <d v="2025-10-27T00:00:00"/>
    <x v="2"/>
    <x v="1"/>
  </r>
  <r>
    <n v="855"/>
    <s v="USD"/>
    <n v="14330.62"/>
    <n v="12324.333200000001"/>
    <n v="14330.62"/>
    <n v="1197"/>
    <n v="1029.42"/>
    <n v="1197"/>
    <n v="13133.62"/>
    <n v="13133.62"/>
    <d v="2026-08-26T00:00:00"/>
    <d v="2026-07-27T00:00:00"/>
    <x v="11"/>
    <x v="2"/>
  </r>
  <r>
    <n v="856"/>
    <s v="EUR"/>
    <n v="0"/>
    <n v="0"/>
    <n v="0"/>
    <n v="8775"/>
    <n v="8775"/>
    <n v="10179"/>
    <n v="0"/>
    <n v="0"/>
    <d v="2025-11-21T00:00:00"/>
    <d v="2025-10-22T00:00:00"/>
    <x v="2"/>
    <x v="1"/>
  </r>
  <r>
    <n v="857"/>
    <s v="EUR"/>
    <n v="0"/>
    <n v="0"/>
    <n v="0"/>
    <n v="9081"/>
    <n v="9081"/>
    <n v="10533.96"/>
    <n v="0"/>
    <n v="0"/>
    <d v="2025-11-23T00:00:00"/>
    <d v="2025-10-24T00:00:00"/>
    <x v="2"/>
    <x v="1"/>
  </r>
  <r>
    <n v="858"/>
    <s v="USD"/>
    <n v="0"/>
    <n v="0"/>
    <n v="0"/>
    <n v="6523.9"/>
    <n v="5610.5539999999992"/>
    <n v="6523.9"/>
    <n v="0"/>
    <n v="0"/>
    <d v="2025-11-14T00:00:00"/>
    <d v="2025-10-15T00:00:00"/>
    <x v="2"/>
    <x v="1"/>
  </r>
  <r>
    <n v="859"/>
    <s v="USD"/>
    <n v="36400"/>
    <n v="31304"/>
    <n v="36400"/>
    <n v="36400"/>
    <n v="31304"/>
    <n v="36400"/>
    <n v="36400"/>
    <n v="36400"/>
    <d v="2026-11-25T00:00:00"/>
    <d v="2026-10-26T00:00:00"/>
    <x v="2"/>
    <x v="2"/>
  </r>
  <r>
    <n v="860"/>
    <s v="GBP"/>
    <n v="0"/>
    <n v="0"/>
    <n v="0"/>
    <n v="10493"/>
    <n v="12066.949999999999"/>
    <n v="14060.62"/>
    <n v="0"/>
    <n v="0"/>
    <d v="2025-12-12T00:00:00"/>
    <d v="2025-11-12T00:00:00"/>
    <x v="0"/>
    <x v="1"/>
  </r>
  <r>
    <n v="861"/>
    <s v="EUR"/>
    <n v="0"/>
    <n v="0"/>
    <n v="0"/>
    <n v="275.92"/>
    <n v="275.92"/>
    <n v="320.06720000000001"/>
    <n v="0"/>
    <n v="0"/>
    <d v="2025-09-30T00:00:00"/>
    <d v="2025-08-31T00:00:00"/>
    <x v="6"/>
    <x v="1"/>
  </r>
  <r>
    <n v="862"/>
    <s v="USD"/>
    <n v="0"/>
    <n v="0"/>
    <n v="0"/>
    <n v="263.72000000000003"/>
    <n v="226.79920000000001"/>
    <n v="263.72000000000003"/>
    <n v="0"/>
    <n v="0"/>
    <d v="2025-12-17T00:00:00"/>
    <d v="2025-11-17T00:00:00"/>
    <x v="0"/>
    <x v="1"/>
  </r>
  <r>
    <n v="863"/>
    <s v="EUR"/>
    <n v="14492.61"/>
    <n v="14492.61"/>
    <n v="16811.427599999999"/>
    <n v="14492.61"/>
    <n v="14492.61"/>
    <n v="16811.427599999999"/>
    <n v="0"/>
    <n v="0"/>
    <d v="2025-12-29T00:00:00"/>
    <d v="2025-11-29T00:00:00"/>
    <x v="0"/>
    <x v="1"/>
  </r>
  <r>
    <n v="864"/>
    <s v="USD"/>
    <n v="0"/>
    <n v="0"/>
    <n v="0"/>
    <n v="287.76"/>
    <n v="247.47359999999998"/>
    <n v="287.76"/>
    <n v="0"/>
    <n v="0"/>
    <d v="2025-12-15T00:00:00"/>
    <d v="2025-11-15T00:00:00"/>
    <x v="0"/>
    <x v="1"/>
  </r>
  <r>
    <n v="866"/>
    <s v="MXN"/>
    <n v="83104"/>
    <n v="3988.9920000000002"/>
    <n v="4653.8240000000005"/>
    <n v="8000"/>
    <n v="384"/>
    <n v="448"/>
    <n v="75104"/>
    <n v="4205.8240000000005"/>
    <d v="2026-11-02T00:00:00"/>
    <d v="2026-10-03T00:00:00"/>
    <x v="2"/>
    <x v="2"/>
  </r>
  <r>
    <n v="867"/>
    <s v="EUR"/>
    <n v="16067.26"/>
    <n v="16067.26"/>
    <n v="18638.0216"/>
    <n v="8597.7999999999993"/>
    <n v="8597.7999999999993"/>
    <n v="9973.4479999999985"/>
    <n v="7469.4600000000009"/>
    <n v="8664.5735999999997"/>
    <d v="2026-05-27T00:00:00"/>
    <d v="2026-04-27T00:00:00"/>
    <x v="4"/>
    <x v="2"/>
  </r>
  <r>
    <n v="868"/>
    <s v="USD"/>
    <n v="7904.33"/>
    <n v="6797.7237999999998"/>
    <n v="7904.33"/>
    <n v="7904.33"/>
    <n v="6797.7237999999998"/>
    <n v="7904.33"/>
    <n v="0"/>
    <n v="0"/>
    <d v="2025-12-26T00:00:00"/>
    <d v="2025-11-26T00:00:00"/>
    <x v="0"/>
    <x v="1"/>
  </r>
  <r>
    <n v="870"/>
    <s v="USD"/>
    <n v="19002"/>
    <n v="16341.72"/>
    <n v="19002"/>
    <n v="8336"/>
    <n v="7168.96"/>
    <n v="8336"/>
    <n v="10666"/>
    <n v="10666"/>
    <d v="2026-04-26T00:00:00"/>
    <d v="2026-03-27T00:00:00"/>
    <x v="9"/>
    <x v="2"/>
  </r>
  <r>
    <n v="871"/>
    <s v="MXN"/>
    <n v="104592"/>
    <n v="5020.4160000000002"/>
    <n v="5857.152"/>
    <n v="104592"/>
    <n v="5020.4160000000002"/>
    <n v="5857.152"/>
    <n v="0"/>
    <n v="0"/>
    <d v="2025-12-02T00:00:00"/>
    <d v="2025-11-02T00:00:00"/>
    <x v="0"/>
    <x v="1"/>
  </r>
  <r>
    <n v="872"/>
    <s v="MXN"/>
    <n v="41552"/>
    <n v="1994.4960000000001"/>
    <n v="2326.9120000000003"/>
    <n v="10000"/>
    <n v="480"/>
    <n v="560"/>
    <n v="31552"/>
    <n v="1766.912"/>
    <d v="2026-11-02T00:00:00"/>
    <d v="2026-10-03T00:00:00"/>
    <x v="2"/>
    <x v="2"/>
  </r>
  <r>
    <n v="874"/>
    <s v="USD"/>
    <n v="18040"/>
    <n v="15514.4"/>
    <n v="18040"/>
    <n v="5412"/>
    <n v="4654.32"/>
    <n v="5412"/>
    <n v="12628"/>
    <n v="12628"/>
    <d v="2026-07-27T00:00:00"/>
    <d v="2026-06-27T00:00:00"/>
    <x v="3"/>
    <x v="2"/>
  </r>
  <r>
    <n v="875"/>
    <s v="USD"/>
    <n v="2717.76"/>
    <n v="2337.2736"/>
    <n v="2717.76"/>
    <n v="3899.58"/>
    <n v="3353.6387999999997"/>
    <n v="3899.58"/>
    <n v="2717.76"/>
    <n v="2717.76"/>
    <d v="2026-01-03T00:00:00"/>
    <d v="2025-12-04T00:00:00"/>
    <x v="7"/>
    <x v="1"/>
  </r>
  <r>
    <n v="876"/>
    <s v="USD"/>
    <n v="0"/>
    <n v="0"/>
    <n v="0"/>
    <n v="508.64"/>
    <n v="437.43039999999996"/>
    <n v="508.64"/>
    <n v="0"/>
    <n v="0"/>
    <d v="2025-05-30T00:00:00"/>
    <d v="2025-04-30T00:00:00"/>
    <x v="4"/>
    <x v="1"/>
  </r>
  <r>
    <n v="877"/>
    <s v="USD"/>
    <n v="0"/>
    <n v="0"/>
    <n v="0"/>
    <n v="10000"/>
    <n v="8600"/>
    <n v="10000"/>
    <n v="0"/>
    <n v="0"/>
    <d v="2025-11-17T00:00:00"/>
    <d v="2025-10-18T00:00:00"/>
    <x v="2"/>
    <x v="1"/>
  </r>
  <r>
    <n v="878"/>
    <s v="EUR"/>
    <n v="1100"/>
    <n v="1100"/>
    <n v="1276"/>
    <n v="1100"/>
    <n v="1100"/>
    <n v="1276"/>
    <n v="0"/>
    <n v="0"/>
    <d v="2025-12-04T00:00:00"/>
    <d v="2025-11-04T00:00:00"/>
    <x v="0"/>
    <x v="1"/>
  </r>
  <r>
    <n v="879"/>
    <s v="USD"/>
    <n v="0"/>
    <n v="0"/>
    <n v="0"/>
    <n v="5281.02"/>
    <n v="4541.6772000000001"/>
    <n v="5281.02"/>
    <n v="0"/>
    <n v="0"/>
    <d v="2025-10-20T00:00:00"/>
    <d v="2025-09-20T00:00:00"/>
    <x v="1"/>
    <x v="1"/>
  </r>
  <r>
    <n v="880"/>
    <s v="USD"/>
    <n v="0"/>
    <n v="0"/>
    <n v="0"/>
    <n v="7141.22"/>
    <n v="6141.4492"/>
    <n v="7141.22"/>
    <n v="0"/>
    <n v="0"/>
    <d v="2025-10-25T00:00:00"/>
    <d v="2025-09-25T00:00:00"/>
    <x v="1"/>
    <x v="1"/>
  </r>
  <r>
    <n v="882"/>
    <s v="JPY"/>
    <n v="0"/>
    <n v="0"/>
    <n v="0"/>
    <n v="427120"/>
    <n v="2349.16"/>
    <n v="2733.5680000000002"/>
    <n v="0"/>
    <n v="0"/>
    <d v="2026-01-10T00:00:00"/>
    <d v="2025-12-11T00:00:00"/>
    <x v="7"/>
    <x v="1"/>
  </r>
  <r>
    <n v="884"/>
    <s v="USD"/>
    <n v="0"/>
    <n v="0"/>
    <n v="0"/>
    <n v="759.07"/>
    <n v="652.80020000000002"/>
    <n v="759.07"/>
    <n v="0"/>
    <n v="0"/>
    <d v="2025-10-11T00:00:00"/>
    <d v="2025-09-11T00:00:00"/>
    <x v="1"/>
    <x v="1"/>
  </r>
  <r>
    <n v="886"/>
    <s v="USD"/>
    <n v="335788"/>
    <n v="288777.68"/>
    <n v="335788"/>
    <n v="220000"/>
    <n v="189200"/>
    <n v="220000"/>
    <n v="115788"/>
    <n v="115788"/>
    <d v="2026-07-23T00:00:00"/>
    <d v="2026-06-23T00:00:00"/>
    <x v="3"/>
    <x v="2"/>
  </r>
  <r>
    <n v="887"/>
    <s v="MXN"/>
    <n v="425999.96"/>
    <n v="20447.998080000001"/>
    <n v="23855.997760000002"/>
    <n v="426000"/>
    <n v="20448"/>
    <n v="23856"/>
    <n v="-3.9999999979045242E-2"/>
    <n v="-2.2399999988265335E-3"/>
    <d v="2026-03-15T00:00:00"/>
    <d v="2026-02-13T00:00:00"/>
    <x v="5"/>
    <x v="2"/>
  </r>
  <r>
    <n v="889"/>
    <s v="USD"/>
    <n v="13350.88"/>
    <n v="11481.756799999999"/>
    <n v="13350.88"/>
    <n v="7800"/>
    <n v="6708"/>
    <n v="7800"/>
    <n v="5550.8799999999992"/>
    <n v="5550.8799999999992"/>
    <d v="2025-12-22T00:00:00"/>
    <d v="2025-11-22T00:00:00"/>
    <x v="0"/>
    <x v="1"/>
  </r>
  <r>
    <n v="890"/>
    <s v="MXN"/>
    <n v="40428"/>
    <n v="1940.5440000000001"/>
    <n v="2263.9679999999998"/>
    <n v="40900"/>
    <n v="1963.2"/>
    <n v="2290.4"/>
    <n v="-472"/>
    <n v="-26.432000000000002"/>
    <d v="2025-12-26T00:00:00"/>
    <d v="2025-11-26T00:00:00"/>
    <x v="0"/>
    <x v="1"/>
  </r>
  <r>
    <n v="891"/>
    <s v="MXN"/>
    <n v="0"/>
    <n v="0"/>
    <n v="0"/>
    <n v="5550906"/>
    <n v="266443.48800000001"/>
    <n v="310850.73600000003"/>
    <n v="0"/>
    <n v="0"/>
    <d v="2026-06-11T00:00:00"/>
    <d v="2026-05-12T00:00:00"/>
    <x v="10"/>
    <x v="2"/>
  </r>
  <r>
    <n v="892"/>
    <s v="USD"/>
    <n v="0"/>
    <n v="0"/>
    <n v="0"/>
    <n v="4772.49"/>
    <n v="4104.3413999999993"/>
    <n v="4772.49"/>
    <n v="0"/>
    <n v="0"/>
    <d v="2025-10-09T00:00:00"/>
    <d v="2025-09-09T00:00:00"/>
    <x v="1"/>
    <x v="1"/>
  </r>
  <r>
    <n v="893"/>
    <s v="USD"/>
    <n v="119275.69"/>
    <n v="102577.0934"/>
    <n v="119275.69"/>
    <n v="117452.01"/>
    <n v="101008.72859999999"/>
    <n v="117452.01"/>
    <n v="7.503331289626658E-12"/>
    <n v="7.503331289626658E-12"/>
    <d v="2025-12-19T00:00:00"/>
    <d v="2025-11-19T00:00:00"/>
    <x v="0"/>
    <x v="1"/>
  </r>
  <r>
    <n v="895"/>
    <s v="MXN"/>
    <n v="351300"/>
    <n v="16862.400000000001"/>
    <n v="19672.8"/>
    <n v="351300"/>
    <n v="16862.400000000001"/>
    <n v="19672.8"/>
    <n v="0"/>
    <n v="0"/>
    <d v="2026-04-01T00:00:00"/>
    <d v="2026-03-02T00:00:00"/>
    <x v="9"/>
    <x v="2"/>
  </r>
  <r>
    <n v="896"/>
    <s v="USD"/>
    <n v="0"/>
    <n v="0"/>
    <n v="0"/>
    <n v="12935.9"/>
    <n v="11124.874"/>
    <n v="12935.9"/>
    <n v="0"/>
    <n v="0"/>
    <d v="2025-12-18T00:00:00"/>
    <d v="2025-11-18T00:00:00"/>
    <x v="0"/>
    <x v="1"/>
  </r>
  <r>
    <n v="898"/>
    <s v="USD"/>
    <n v="45938.59"/>
    <n v="39507.187399999995"/>
    <n v="45938.59"/>
    <n v="45938.59"/>
    <n v="39507.187399999995"/>
    <n v="45938.59"/>
    <n v="0"/>
    <n v="0"/>
    <d v="2026-02-01T00:00:00"/>
    <d v="2026-01-02T00:00:00"/>
    <x v="8"/>
    <x v="2"/>
  </r>
  <r>
    <n v="899"/>
    <s v="USD"/>
    <n v="55133.5"/>
    <n v="47414.81"/>
    <n v="55133.5"/>
    <n v="653.5"/>
    <n v="562.01"/>
    <n v="653.5"/>
    <n v="55133.5"/>
    <n v="55133.5"/>
    <d v="2025-12-15T00:00:00"/>
    <d v="2025-11-15T00:00:00"/>
    <x v="0"/>
    <x v="1"/>
  </r>
  <r>
    <n v="900"/>
    <s v="MXN"/>
    <n v="13767.72"/>
    <n v="660.85055999999997"/>
    <n v="770.99231999999995"/>
    <n v="14458"/>
    <n v="693.98400000000004"/>
    <n v="809.64800000000002"/>
    <n v="-690.28000000000065"/>
    <n v="-38.655680000000039"/>
    <d v="2025-12-09T00:00:00"/>
    <d v="2025-11-09T00:00:00"/>
    <x v="0"/>
    <x v="1"/>
  </r>
  <r>
    <n v="901"/>
    <s v="EUR"/>
    <n v="3921.5"/>
    <n v="3921.5"/>
    <n v="4548.9399999999996"/>
    <n v="10351"/>
    <n v="10351"/>
    <n v="12007.16"/>
    <n v="0"/>
    <n v="0"/>
    <d v="2025-12-21T00:00:00"/>
    <d v="2025-11-21T00:00:00"/>
    <x v="0"/>
    <x v="1"/>
  </r>
  <r>
    <n v="902"/>
    <s v="USD"/>
    <n v="0"/>
    <n v="0"/>
    <n v="0"/>
    <n v="16350.41"/>
    <n v="14061.3526"/>
    <n v="16350.41"/>
    <n v="0"/>
    <n v="0"/>
    <d v="2026-04-08T00:00:00"/>
    <d v="2026-03-09T00:00:00"/>
    <x v="9"/>
    <x v="2"/>
  </r>
  <r>
    <n v="903"/>
    <s v="USD"/>
    <n v="56995.839999999997"/>
    <n v="49016.422399999996"/>
    <n v="56995.839999999997"/>
    <n v="10833"/>
    <n v="9316.3799999999992"/>
    <n v="10833"/>
    <n v="46162.84"/>
    <n v="46162.84"/>
    <d v="2026-05-06T00:00:00"/>
    <d v="2026-04-06T00:00:00"/>
    <x v="4"/>
    <x v="2"/>
  </r>
  <r>
    <n v="904"/>
    <s v="USD"/>
    <n v="1390"/>
    <n v="1195.4000000000001"/>
    <n v="1390"/>
    <n v="8208"/>
    <n v="7058.88"/>
    <n v="8208"/>
    <n v="0"/>
    <n v="0"/>
    <d v="2025-12-28T00:00:00"/>
    <d v="2025-11-28T00:00:00"/>
    <x v="0"/>
    <x v="1"/>
  </r>
  <r>
    <n v="908"/>
    <s v="USD"/>
    <n v="2242.1600000000008"/>
    <n v="1928.2576000000006"/>
    <n v="2242.1600000000008"/>
    <n v="7585.87"/>
    <n v="6523.8481999999995"/>
    <n v="7585.87"/>
    <n v="1833.3200000000006"/>
    <n v="1833.3200000000006"/>
    <d v="2026-01-01T00:00:00"/>
    <d v="2025-12-02T00:00:00"/>
    <x v="7"/>
    <x v="1"/>
  </r>
  <r>
    <n v="909"/>
    <s v="MXN"/>
    <n v="35"/>
    <n v="1.68"/>
    <n v="1.96"/>
    <n v="32230.400000000001"/>
    <n v="1547.0592000000001"/>
    <n v="1804.9024000000002"/>
    <n v="-603.40000000000146"/>
    <n v="-33.790400000000083"/>
    <d v="2026-01-08T00:00:00"/>
    <d v="2025-12-09T00:00:00"/>
    <x v="7"/>
    <x v="1"/>
  </r>
  <r>
    <n v="910"/>
    <s v="USD"/>
    <n v="0"/>
    <n v="0"/>
    <n v="0"/>
    <n v="767.06"/>
    <n v="659.6715999999999"/>
    <n v="767.06"/>
    <n v="0"/>
    <n v="0"/>
    <d v="2026-01-23T00:00:00"/>
    <d v="2025-12-24T00:00:00"/>
    <x v="7"/>
    <x v="1"/>
  </r>
  <r>
    <n v="911"/>
    <s v="USD"/>
    <n v="0"/>
    <n v="0"/>
    <n v="0"/>
    <n v="13252"/>
    <n v="11396.72"/>
    <n v="13252"/>
    <n v="0"/>
    <n v="0"/>
    <d v="2025-10-15T00:00:00"/>
    <d v="2025-09-15T00:00:00"/>
    <x v="1"/>
    <x v="1"/>
  </r>
  <r>
    <n v="912"/>
    <s v="USD"/>
    <n v="0"/>
    <n v="0"/>
    <n v="0"/>
    <n v="2058"/>
    <n v="1769.8799999999999"/>
    <n v="2058"/>
    <n v="0"/>
    <n v="0"/>
    <d v="2025-07-09T00:00:00"/>
    <d v="2025-06-09T00:00:00"/>
    <x v="3"/>
    <x v="1"/>
  </r>
  <r>
    <n v="913"/>
    <s v="MXN"/>
    <n v="0"/>
    <n v="0"/>
    <n v="0"/>
    <n v="299292.08"/>
    <n v="14366.019840000001"/>
    <n v="16760.356480000002"/>
    <n v="0"/>
    <n v="0"/>
    <d v="2026-09-05T00:00:00"/>
    <d v="2026-08-06T00:00:00"/>
    <x v="6"/>
    <x v="2"/>
  </r>
  <r>
    <n v="914"/>
    <s v="USD"/>
    <n v="70"/>
    <n v="60.199999999999996"/>
    <n v="70"/>
    <n v="7590.6"/>
    <n v="6527.9160000000002"/>
    <n v="7590.6"/>
    <n v="0"/>
    <n v="0"/>
    <d v="2026-03-29T00:00:00"/>
    <d v="2026-02-27T00:00:00"/>
    <x v="5"/>
    <x v="2"/>
  </r>
  <r>
    <n v="915"/>
    <s v="USD"/>
    <n v="32419.9"/>
    <n v="27881.114000000001"/>
    <n v="32419.9"/>
    <n v="32419.9"/>
    <n v="27881.114000000001"/>
    <n v="32419.9"/>
    <n v="0"/>
    <n v="0"/>
    <d v="2025-12-19T00:00:00"/>
    <d v="2025-11-19T00:00:00"/>
    <x v="0"/>
    <x v="1"/>
  </r>
  <r>
    <n v="916"/>
    <s v="USD"/>
    <n v="21125"/>
    <n v="18167.5"/>
    <n v="21125"/>
    <n v="19900.52"/>
    <n v="17114.447199999999"/>
    <n v="19900.52"/>
    <n v="1224.4799999999996"/>
    <n v="1224.4799999999996"/>
    <d v="2026-10-07T00:00:00"/>
    <d v="2026-09-07T00:00:00"/>
    <x v="1"/>
    <x v="2"/>
  </r>
  <r>
    <n v="917"/>
    <s v="EUR"/>
    <n v="26973.49"/>
    <n v="26973.49"/>
    <n v="31289.2484"/>
    <n v="12435.5"/>
    <n v="12435.5"/>
    <n v="14425.179999999998"/>
    <n v="14537.990000000002"/>
    <n v="16864.0684"/>
    <d v="2026-03-30T00:00:00"/>
    <d v="2026-02-28T00:00:00"/>
    <x v="5"/>
    <x v="2"/>
  </r>
  <r>
    <n v="918"/>
    <s v="USD"/>
    <n v="400"/>
    <n v="344"/>
    <n v="400"/>
    <n v="400"/>
    <n v="344"/>
    <n v="400"/>
    <n v="0"/>
    <n v="0"/>
    <d v="2025-12-20T00:00:00"/>
    <d v="2025-11-20T00:00:00"/>
    <x v="0"/>
    <x v="1"/>
  </r>
  <r>
    <n v="919"/>
    <s v="USD"/>
    <n v="0"/>
    <n v="0"/>
    <n v="0"/>
    <n v="16765"/>
    <n v="14417.9"/>
    <n v="16765"/>
    <n v="0"/>
    <n v="0"/>
    <d v="2025-12-21T00:00:00"/>
    <d v="2025-11-21T00:00:00"/>
    <x v="0"/>
    <x v="1"/>
  </r>
  <r>
    <n v="920"/>
    <s v="USD"/>
    <n v="0"/>
    <n v="0"/>
    <n v="0"/>
    <n v="5067.5200000000004"/>
    <n v="4358.0672000000004"/>
    <n v="5067.5200000000004"/>
    <n v="0"/>
    <n v="0"/>
    <d v="2025-10-24T00:00:00"/>
    <d v="2025-09-24T00:00:00"/>
    <x v="1"/>
    <x v="1"/>
  </r>
  <r>
    <n v="921"/>
    <s v="USD"/>
    <n v="0"/>
    <n v="0"/>
    <n v="0"/>
    <n v="2533.7600000000002"/>
    <n v="2179.0336000000002"/>
    <n v="2533.7600000000002"/>
    <n v="0"/>
    <n v="0"/>
    <d v="2025-10-24T00:00:00"/>
    <d v="2025-09-24T00:00:00"/>
    <x v="1"/>
    <x v="1"/>
  </r>
  <r>
    <n v="922"/>
    <s v="EUR"/>
    <n v="0"/>
    <n v="0"/>
    <n v="0"/>
    <n v="2403.5"/>
    <n v="2403.5"/>
    <n v="2788.06"/>
    <n v="0"/>
    <n v="0"/>
    <d v="2025-11-09T00:00:00"/>
    <d v="2025-10-10T00:00:00"/>
    <x v="2"/>
    <x v="1"/>
  </r>
  <r>
    <n v="923"/>
    <s v="EUR"/>
    <n v="0"/>
    <n v="0"/>
    <n v="0"/>
    <n v="1039.5"/>
    <n v="1039.5"/>
    <n v="1205.82"/>
    <n v="0"/>
    <n v="0"/>
    <d v="2025-11-12T00:00:00"/>
    <d v="2025-10-13T00:00:00"/>
    <x v="2"/>
    <x v="1"/>
  </r>
  <r>
    <n v="924"/>
    <s v="USD"/>
    <n v="62507.67"/>
    <n v="53756.5962"/>
    <n v="62507.67"/>
    <n v="53455"/>
    <n v="45971.3"/>
    <n v="53455"/>
    <n v="9052.6699999999983"/>
    <n v="9052.6699999999983"/>
    <d v="2026-04-08T00:00:00"/>
    <d v="2026-03-09T00:00:00"/>
    <x v="9"/>
    <x v="2"/>
  </r>
  <r>
    <n v="925"/>
    <s v="EUR"/>
    <n v="0"/>
    <n v="0"/>
    <n v="0"/>
    <n v="136"/>
    <n v="136"/>
    <n v="157.76"/>
    <n v="0"/>
    <n v="0"/>
    <d v="2025-11-11T00:00:00"/>
    <d v="2025-10-12T00:00:00"/>
    <x v="2"/>
    <x v="1"/>
  </r>
  <r>
    <n v="927"/>
    <s v="USD"/>
    <n v="3200"/>
    <n v="2752"/>
    <n v="3200"/>
    <n v="3200"/>
    <n v="2752"/>
    <n v="3200"/>
    <n v="0"/>
    <n v="0"/>
    <d v="2025-12-21T00:00:00"/>
    <d v="2025-11-21T00:00:00"/>
    <x v="0"/>
    <x v="1"/>
  </r>
  <r>
    <n v="928"/>
    <s v="USD"/>
    <n v="31181"/>
    <n v="26815.66"/>
    <n v="31181"/>
    <n v="10500"/>
    <n v="9030"/>
    <n v="10500"/>
    <n v="20681"/>
    <n v="20681"/>
    <d v="2026-07-01T00:00:00"/>
    <d v="2026-06-01T00:00:00"/>
    <x v="3"/>
    <x v="2"/>
  </r>
  <r>
    <n v="929"/>
    <s v="EUR"/>
    <n v="12187.2"/>
    <n v="12187.2"/>
    <n v="14137.152"/>
    <n v="12187.95"/>
    <n v="12187.95"/>
    <n v="14138.021999999999"/>
    <n v="-0.75"/>
    <n v="-0.86999999999999988"/>
    <d v="2026-02-13T00:00:00"/>
    <d v="2026-01-14T00:00:00"/>
    <x v="8"/>
    <x v="2"/>
  </r>
  <r>
    <n v="930"/>
    <s v="USD"/>
    <n v="0"/>
    <n v="0"/>
    <n v="0"/>
    <n v="3485"/>
    <n v="2997.1"/>
    <n v="3485"/>
    <n v="0"/>
    <n v="0"/>
    <d v="2025-09-12T00:00:00"/>
    <d v="2025-08-13T00:00:00"/>
    <x v="6"/>
    <x v="1"/>
  </r>
  <r>
    <n v="931"/>
    <s v="USD"/>
    <n v="20200"/>
    <n v="17372"/>
    <n v="20200"/>
    <n v="20200"/>
    <n v="17372"/>
    <n v="20200"/>
    <n v="0"/>
    <n v="0"/>
    <d v="2026-03-15T00:00:00"/>
    <d v="2026-02-13T00:00:00"/>
    <x v="5"/>
    <x v="2"/>
  </r>
  <r>
    <n v="932"/>
    <s v="MXN"/>
    <n v="358904.88"/>
    <n v="17227.434240000002"/>
    <n v="20098.673279999999"/>
    <n v="358904.88"/>
    <n v="17227.434240000002"/>
    <n v="20098.673279999999"/>
    <n v="0"/>
    <n v="0"/>
    <d v="2026-03-15T00:00:00"/>
    <d v="2026-02-13T00:00:00"/>
    <x v="5"/>
    <x v="2"/>
  </r>
  <r>
    <n v="933"/>
    <s v="USD"/>
    <n v="2660"/>
    <n v="2287.6"/>
    <n v="2660"/>
    <n v="2660"/>
    <n v="2287.6"/>
    <n v="2660"/>
    <n v="0"/>
    <n v="0"/>
    <d v="2025-12-26T00:00:00"/>
    <d v="2025-11-26T00:00:00"/>
    <x v="0"/>
    <x v="1"/>
  </r>
  <r>
    <n v="934"/>
    <s v="USD"/>
    <n v="3688.57"/>
    <n v="3172.1702"/>
    <n v="3688.57"/>
    <n v="3688.57"/>
    <n v="3172.1702"/>
    <n v="3688.57"/>
    <n v="0"/>
    <n v="0"/>
    <d v="2026-02-05T00:00:00"/>
    <d v="2026-01-06T00:00:00"/>
    <x v="8"/>
    <x v="2"/>
  </r>
  <r>
    <n v="936"/>
    <s v="EUR"/>
    <n v="5421"/>
    <n v="5421"/>
    <n v="6288.36"/>
    <n v="5421"/>
    <n v="5421"/>
    <n v="6288.36"/>
    <n v="0"/>
    <n v="0"/>
    <d v="2026-09-16T00:00:00"/>
    <d v="2026-08-17T00:00:00"/>
    <x v="6"/>
    <x v="2"/>
  </r>
  <r>
    <n v="937"/>
    <s v="USD"/>
    <n v="120"/>
    <n v="103.2"/>
    <n v="120"/>
    <n v="15093.21"/>
    <n v="12980.160599999999"/>
    <n v="15093.21"/>
    <n v="0"/>
    <n v="0"/>
    <d v="2026-02-19T00:00:00"/>
    <d v="2026-01-20T00:00:00"/>
    <x v="8"/>
    <x v="2"/>
  </r>
  <r>
    <n v="938"/>
    <s v="USD"/>
    <n v="42007.3"/>
    <n v="36126.277999999998"/>
    <n v="42007.3"/>
    <n v="102113.75"/>
    <n v="87817.824999999997"/>
    <n v="102113.75"/>
    <n v="0"/>
    <n v="0"/>
    <d v="2026-01-19T00:00:00"/>
    <d v="2025-12-20T00:00:00"/>
    <x v="7"/>
    <x v="1"/>
  </r>
  <r>
    <n v="939"/>
    <s v="MXN"/>
    <n v="348413"/>
    <n v="16723.824000000001"/>
    <n v="19511.128000000001"/>
    <n v="306833.28000000003"/>
    <n v="14727.997440000001"/>
    <n v="17182.663680000001"/>
    <n v="41579.719999999972"/>
    <n v="2328.4643199999987"/>
    <d v="2026-03-18T00:00:00"/>
    <d v="2026-02-16T00:00:00"/>
    <x v="5"/>
    <x v="2"/>
  </r>
  <r>
    <n v="940"/>
    <s v="USD"/>
    <n v="23731.8"/>
    <n v="20409.347999999998"/>
    <n v="23731.8"/>
    <n v="19805.759999999998"/>
    <n v="17032.953599999997"/>
    <n v="19805.759999999998"/>
    <n v="3926.0400000000009"/>
    <n v="3926.0400000000009"/>
    <d v="2026-03-15T00:00:00"/>
    <d v="2026-02-13T00:00:00"/>
    <x v="5"/>
    <x v="2"/>
  </r>
  <r>
    <n v="941"/>
    <s v="USD"/>
    <n v="0"/>
    <n v="0"/>
    <n v="0"/>
    <n v="20200"/>
    <n v="17372"/>
    <n v="20200"/>
    <n v="0"/>
    <n v="0"/>
    <d v="2025-12-28T00:00:00"/>
    <d v="2025-11-28T00:00:00"/>
    <x v="0"/>
    <x v="1"/>
  </r>
  <r>
    <n v="942"/>
    <s v="USD"/>
    <n v="0"/>
    <n v="0"/>
    <n v="0"/>
    <n v="1155.8900000000001"/>
    <n v="994.06540000000007"/>
    <n v="1155.8900000000001"/>
    <n v="0"/>
    <n v="0"/>
    <d v="2025-12-20T00:00:00"/>
    <d v="2025-11-20T00:00:00"/>
    <x v="0"/>
    <x v="1"/>
  </r>
  <r>
    <n v="943"/>
    <s v="USD"/>
    <n v="0"/>
    <n v="0"/>
    <n v="0"/>
    <n v="1080"/>
    <n v="928.8"/>
    <n v="1080"/>
    <n v="0"/>
    <n v="0"/>
    <d v="2025-12-20T00:00:00"/>
    <d v="2025-11-20T00:00:00"/>
    <x v="0"/>
    <x v="1"/>
  </r>
  <r>
    <n v="944"/>
    <s v="MXN"/>
    <n v="0"/>
    <n v="0"/>
    <n v="0"/>
    <n v="84200"/>
    <n v="4041.6"/>
    <n v="4715.2"/>
    <n v="0"/>
    <n v="0"/>
    <d v="2025-11-13T00:00:00"/>
    <d v="2025-10-14T00:00:00"/>
    <x v="2"/>
    <x v="1"/>
  </r>
  <r>
    <n v="945"/>
    <s v="GBP"/>
    <n v="0"/>
    <n v="0"/>
    <n v="0"/>
    <n v="2308"/>
    <n v="2654.2"/>
    <n v="3092.7200000000003"/>
    <n v="0"/>
    <n v="0"/>
    <d v="2025-12-18T00:00:00"/>
    <d v="2025-11-18T00:00:00"/>
    <x v="0"/>
    <x v="1"/>
  </r>
  <r>
    <n v="946"/>
    <s v="GBP"/>
    <n v="0"/>
    <n v="0"/>
    <n v="0"/>
    <n v="2464"/>
    <n v="2833.6"/>
    <n v="3301.76"/>
    <n v="0"/>
    <n v="0"/>
    <d v="2025-12-18T00:00:00"/>
    <d v="2025-11-18T00:00:00"/>
    <x v="0"/>
    <x v="1"/>
  </r>
  <r>
    <n v="947"/>
    <s v="USD"/>
    <n v="0"/>
    <n v="0"/>
    <n v="0"/>
    <n v="142.08000000000001"/>
    <n v="122.18880000000001"/>
    <n v="142.08000000000001"/>
    <n v="0"/>
    <n v="0"/>
    <d v="2025-12-27T00:00:00"/>
    <d v="2025-11-27T00:00:00"/>
    <x v="0"/>
    <x v="1"/>
  </r>
  <r>
    <n v="948"/>
    <s v="USD"/>
    <n v="0"/>
    <n v="0"/>
    <n v="0"/>
    <n v="3052"/>
    <n v="2624.72"/>
    <n v="3052"/>
    <n v="0"/>
    <n v="0"/>
    <d v="2025-10-16T00:00:00"/>
    <d v="2025-09-16T00:00:00"/>
    <x v="1"/>
    <x v="1"/>
  </r>
  <r>
    <n v="949"/>
    <s v="USD"/>
    <n v="0"/>
    <n v="0"/>
    <n v="0"/>
    <n v="1685.86"/>
    <n v="1449.8395999999998"/>
    <n v="1685.86"/>
    <n v="0"/>
    <n v="0"/>
    <d v="2025-12-06T00:00:00"/>
    <d v="2025-11-06T00:00:00"/>
    <x v="0"/>
    <x v="1"/>
  </r>
  <r>
    <n v="950"/>
    <s v="USD"/>
    <n v="70"/>
    <n v="60.199999999999996"/>
    <n v="70"/>
    <n v="652.66"/>
    <n v="561.2876"/>
    <n v="652.66"/>
    <n v="0"/>
    <n v="0"/>
    <d v="2026-01-04T00:00:00"/>
    <d v="2025-12-05T00:00:00"/>
    <x v="7"/>
    <x v="1"/>
  </r>
  <r>
    <n v="951"/>
    <s v="MXN"/>
    <n v="194372.45"/>
    <n v="9329.8776000000016"/>
    <n v="10884.8572"/>
    <n v="194372.45"/>
    <n v="9329.8776000000016"/>
    <n v="10884.8572"/>
    <n v="0"/>
    <n v="0"/>
    <d v="2026-03-13T00:00:00"/>
    <d v="2026-02-11T00:00:00"/>
    <x v="5"/>
    <x v="2"/>
  </r>
  <r>
    <n v="952"/>
    <s v="USD"/>
    <n v="4970.34"/>
    <n v="4274.4924000000001"/>
    <n v="4970.34"/>
    <n v="10930.28"/>
    <n v="9400.0408000000007"/>
    <n v="10930.28"/>
    <n v="4165.34"/>
    <n v="4165.34"/>
    <d v="2026-03-28T00:00:00"/>
    <d v="2026-02-26T00:00:00"/>
    <x v="5"/>
    <x v="2"/>
  </r>
  <r>
    <n v="953"/>
    <s v="USD"/>
    <n v="0"/>
    <n v="0"/>
    <n v="0"/>
    <n v="10472.799999999999"/>
    <n v="9006.6079999999984"/>
    <n v="10472.799999999999"/>
    <n v="0"/>
    <n v="0"/>
    <d v="2026-01-07T00:00:00"/>
    <d v="2025-12-08T00:00:00"/>
    <x v="7"/>
    <x v="1"/>
  </r>
  <r>
    <n v="954"/>
    <s v="USD"/>
    <n v="2328.56"/>
    <n v="2002.5616"/>
    <n v="2328.56"/>
    <n v="2328.56"/>
    <n v="2002.5616"/>
    <n v="2328.56"/>
    <n v="0"/>
    <n v="0"/>
    <d v="2026-03-17T00:00:00"/>
    <d v="2026-02-15T00:00:00"/>
    <x v="5"/>
    <x v="2"/>
  </r>
  <r>
    <n v="955"/>
    <s v="USD"/>
    <n v="127190"/>
    <n v="109383.4"/>
    <n v="127190"/>
    <n v="38157"/>
    <n v="32815.019999999997"/>
    <n v="38157"/>
    <n v="89033"/>
    <n v="89033"/>
    <d v="2026-09-15T00:00:00"/>
    <d v="2026-08-16T00:00:00"/>
    <x v="6"/>
    <x v="2"/>
  </r>
  <r>
    <n v="956"/>
    <s v="USD"/>
    <n v="0"/>
    <n v="0"/>
    <n v="0"/>
    <n v="63072"/>
    <n v="54241.919999999998"/>
    <n v="63072"/>
    <n v="0"/>
    <n v="0"/>
    <d v="2025-12-18T00:00:00"/>
    <d v="2025-11-18T00:00:00"/>
    <x v="0"/>
    <x v="1"/>
  </r>
  <r>
    <n v="957"/>
    <s v="USD"/>
    <n v="3069.9999999999995"/>
    <n v="2640.1999999999994"/>
    <n v="3069.9999999999995"/>
    <n v="2954.36"/>
    <n v="2540.7496000000001"/>
    <n v="2954.36"/>
    <n v="2999.9999999999995"/>
    <n v="2999.9999999999995"/>
    <d v="2026-01-23T00:00:00"/>
    <d v="2025-12-24T00:00:00"/>
    <x v="7"/>
    <x v="1"/>
  </r>
  <r>
    <n v="959"/>
    <s v="MXN"/>
    <n v="30999.200000000001"/>
    <n v="1487.9616000000001"/>
    <n v="1735.9552000000001"/>
    <n v="30999.200000000001"/>
    <n v="1487.9616000000001"/>
    <n v="1735.9552000000001"/>
    <n v="0"/>
    <n v="0"/>
    <d v="2026-01-07T00:00:00"/>
    <d v="2025-12-08T00:00:00"/>
    <x v="7"/>
    <x v="1"/>
  </r>
  <r>
    <n v="960"/>
    <s v="USD"/>
    <n v="3920"/>
    <n v="3371.2"/>
    <n v="3920"/>
    <n v="3920"/>
    <n v="3371.2"/>
    <n v="3920"/>
    <n v="0"/>
    <n v="0"/>
    <d v="2026-01-13T00:00:00"/>
    <d v="2025-12-14T00:00:00"/>
    <x v="7"/>
    <x v="1"/>
  </r>
  <r>
    <n v="961"/>
    <s v="USD"/>
    <n v="70"/>
    <n v="60.199999999999996"/>
    <n v="70"/>
    <n v="13986.6"/>
    <n v="12028.476000000001"/>
    <n v="13986.6"/>
    <n v="0"/>
    <n v="0"/>
    <d v="2026-09-14T00:00:00"/>
    <d v="2026-08-15T00:00:00"/>
    <x v="6"/>
    <x v="2"/>
  </r>
  <r>
    <n v="962"/>
    <s v="USD"/>
    <n v="8535"/>
    <n v="7340.0999999999995"/>
    <n v="8535"/>
    <n v="1707"/>
    <n v="1468.02"/>
    <n v="1707"/>
    <n v="8535"/>
    <n v="8535"/>
    <d v="2026-01-06T00:00:00"/>
    <d v="2025-12-07T00:00:00"/>
    <x v="7"/>
    <x v="1"/>
  </r>
  <r>
    <n v="963"/>
    <s v="USD"/>
    <n v="0"/>
    <n v="0"/>
    <n v="0"/>
    <n v="2595"/>
    <n v="2231.6999999999998"/>
    <n v="2595"/>
    <n v="0"/>
    <n v="0"/>
    <d v="2026-01-22T00:00:00"/>
    <d v="2025-12-23T00:00:00"/>
    <x v="7"/>
    <x v="1"/>
  </r>
  <r>
    <n v="964"/>
    <s v="USD"/>
    <n v="147842"/>
    <n v="127144.12"/>
    <n v="147842"/>
    <n v="75618"/>
    <n v="65031.479999999996"/>
    <n v="75618"/>
    <n v="147842"/>
    <n v="147842"/>
    <d v="2026-06-06T00:00:00"/>
    <d v="2026-05-07T00:00:00"/>
    <x v="10"/>
    <x v="2"/>
  </r>
  <r>
    <n v="965"/>
    <s v="USD"/>
    <n v="0"/>
    <n v="0"/>
    <n v="0"/>
    <n v="2685"/>
    <n v="2309.1"/>
    <n v="2685"/>
    <n v="0"/>
    <n v="0"/>
    <d v="2025-12-17T00:00:00"/>
    <d v="2025-11-17T00:00:00"/>
    <x v="0"/>
    <x v="1"/>
  </r>
  <r>
    <n v="966"/>
    <s v="USD"/>
    <n v="0"/>
    <n v="0"/>
    <n v="0"/>
    <n v="4363"/>
    <n v="3752.18"/>
    <n v="4363"/>
    <n v="0"/>
    <n v="0"/>
    <d v="2025-12-02T00:00:00"/>
    <d v="2025-11-02T00:00:00"/>
    <x v="0"/>
    <x v="1"/>
  </r>
  <r>
    <n v="968"/>
    <s v="USD"/>
    <n v="26110.07"/>
    <n v="22454.660199999998"/>
    <n v="26110.07"/>
    <n v="41479.339999999997"/>
    <n v="35672.232399999994"/>
    <n v="41479.339999999997"/>
    <n v="17917.450000000004"/>
    <n v="17917.450000000004"/>
    <d v="2026-09-14T00:00:00"/>
    <d v="2026-08-15T00:00:00"/>
    <x v="6"/>
    <x v="2"/>
  </r>
  <r>
    <n v="969"/>
    <s v="USD"/>
    <n v="4657.45"/>
    <n v="4005.4069999999997"/>
    <n v="4657.45"/>
    <n v="4723.32"/>
    <n v="4062.0551999999998"/>
    <n v="4723.32"/>
    <n v="-65.869999999999891"/>
    <n v="-65.869999999999891"/>
    <d v="2026-02-04T00:00:00"/>
    <d v="2026-01-05T00:00:00"/>
    <x v="8"/>
    <x v="2"/>
  </r>
  <r>
    <n v="970"/>
    <s v="EUR"/>
    <n v="0"/>
    <n v="0"/>
    <n v="0"/>
    <n v="2320"/>
    <n v="2320"/>
    <n v="2691.2"/>
    <n v="0"/>
    <n v="0"/>
    <d v="2025-12-10T00:00:00"/>
    <d v="2025-11-10T00:00:00"/>
    <x v="0"/>
    <x v="1"/>
  </r>
  <r>
    <n v="971"/>
    <s v="MXN"/>
    <n v="0"/>
    <n v="0"/>
    <n v="0"/>
    <n v="90124.479999999996"/>
    <n v="4325.9750400000003"/>
    <n v="5046.9708799999999"/>
    <n v="0"/>
    <n v="0"/>
    <d v="2025-11-29T00:00:00"/>
    <d v="2025-10-30T00:00:00"/>
    <x v="2"/>
    <x v="1"/>
  </r>
  <r>
    <n v="972"/>
    <s v="GBP"/>
    <n v="0"/>
    <n v="0"/>
    <n v="0"/>
    <n v="2040"/>
    <n v="2346"/>
    <n v="2733.6000000000004"/>
    <n v="0"/>
    <n v="0"/>
    <d v="2026-01-21T00:00:00"/>
    <d v="2025-12-22T00:00:00"/>
    <x v="7"/>
    <x v="1"/>
  </r>
  <r>
    <n v="974"/>
    <s v="EUR"/>
    <n v="95200"/>
    <n v="95200"/>
    <n v="110431.99999999999"/>
    <n v="52497.61"/>
    <n v="52497.61"/>
    <n v="60897.227599999998"/>
    <n v="42702.39"/>
    <n v="49534.772399999994"/>
    <d v="2026-07-18T00:00:00"/>
    <d v="2026-06-18T00:00:00"/>
    <x v="3"/>
    <x v="2"/>
  </r>
  <r>
    <n v="975"/>
    <s v="MXN"/>
    <n v="0"/>
    <n v="0"/>
    <n v="0"/>
    <n v="11920.39"/>
    <n v="572.17872"/>
    <n v="667.54183999999998"/>
    <n v="0"/>
    <n v="0"/>
    <d v="2026-01-10T00:00:00"/>
    <d v="2025-12-11T00:00:00"/>
    <x v="7"/>
    <x v="1"/>
  </r>
  <r>
    <n v="976"/>
    <s v="EUR"/>
    <n v="38202"/>
    <n v="38202"/>
    <n v="44314.32"/>
    <n v="42461.21"/>
    <n v="42461.21"/>
    <n v="49255.003599999996"/>
    <n v="-4259.2099999999991"/>
    <n v="-4940.6835999999985"/>
    <d v="2026-06-06T00:00:00"/>
    <d v="2026-05-07T00:00:00"/>
    <x v="10"/>
    <x v="2"/>
  </r>
  <r>
    <n v="978"/>
    <s v="MXN"/>
    <n v="66000"/>
    <n v="3168"/>
    <n v="3696"/>
    <n v="66000"/>
    <n v="3168"/>
    <n v="3696"/>
    <n v="0"/>
    <n v="0"/>
    <d v="2026-02-05T00:00:00"/>
    <d v="2026-01-06T00:00:00"/>
    <x v="8"/>
    <x v="2"/>
  </r>
  <r>
    <n v="979"/>
    <s v="USD"/>
    <n v="0"/>
    <n v="0"/>
    <n v="0"/>
    <n v="2523"/>
    <n v="2169.7799999999997"/>
    <n v="2523"/>
    <n v="0"/>
    <n v="0"/>
    <d v="2025-12-09T00:00:00"/>
    <d v="2025-11-09T00:00:00"/>
    <x v="0"/>
    <x v="1"/>
  </r>
  <r>
    <n v="980"/>
    <s v="USD"/>
    <n v="0"/>
    <n v="0"/>
    <n v="0"/>
    <n v="6766"/>
    <n v="5818.76"/>
    <n v="6766"/>
    <n v="0"/>
    <n v="0"/>
    <d v="2025-12-30T00:00:00"/>
    <d v="2025-11-30T00:00:00"/>
    <x v="0"/>
    <x v="1"/>
  </r>
  <r>
    <n v="982"/>
    <s v="USD"/>
    <n v="2633"/>
    <n v="2264.38"/>
    <n v="2633"/>
    <n v="144"/>
    <n v="123.84"/>
    <n v="144"/>
    <n v="2633"/>
    <n v="2633"/>
    <d v="2026-02-02T00:00:00"/>
    <d v="2026-01-03T00:00:00"/>
    <x v="8"/>
    <x v="2"/>
  </r>
  <r>
    <n v="984"/>
    <s v="EUR"/>
    <n v="3919.9699999999993"/>
    <n v="3919.9699999999993"/>
    <n v="4547.1651999999985"/>
    <n v="6803.72"/>
    <n v="6803.72"/>
    <n v="7892.3152"/>
    <n v="3736.9299999999994"/>
    <n v="4334.8387999999986"/>
    <d v="2026-04-12T00:00:00"/>
    <d v="2026-03-13T00:00:00"/>
    <x v="9"/>
    <x v="2"/>
  </r>
  <r>
    <n v="985"/>
    <s v="USD"/>
    <n v="105"/>
    <n v="90.3"/>
    <n v="105"/>
    <n v="1332.19"/>
    <n v="1145.6834000000001"/>
    <n v="1332.19"/>
    <n v="0"/>
    <n v="0"/>
    <d v="2026-01-20T00:00:00"/>
    <d v="2025-12-21T00:00:00"/>
    <x v="7"/>
    <x v="1"/>
  </r>
  <r>
    <n v="986"/>
    <s v="EUR"/>
    <n v="0"/>
    <n v="0"/>
    <n v="0"/>
    <n v="5224"/>
    <n v="5224"/>
    <n v="6059.8399999999992"/>
    <n v="0"/>
    <n v="0"/>
    <d v="2026-01-16T00:00:00"/>
    <d v="2025-12-17T00:00:00"/>
    <x v="7"/>
    <x v="1"/>
  </r>
  <r>
    <n v="987"/>
    <s v="USD"/>
    <n v="0"/>
    <n v="0"/>
    <n v="0"/>
    <n v="5251"/>
    <n v="4515.8599999999997"/>
    <n v="5251"/>
    <n v="0"/>
    <n v="0"/>
    <d v="2025-09-04T00:00:00"/>
    <d v="2025-08-05T00:00:00"/>
    <x v="6"/>
    <x v="1"/>
  </r>
  <r>
    <n v="988"/>
    <s v="USD"/>
    <n v="2423.96"/>
    <n v="2084.6055999999999"/>
    <n v="2423.96"/>
    <n v="3625.22"/>
    <n v="3117.6891999999998"/>
    <n v="3625.22"/>
    <n v="2.2737367544323206E-13"/>
    <n v="2.2737367544323206E-13"/>
    <d v="2026-01-18T00:00:00"/>
    <d v="2025-12-19T00:00:00"/>
    <x v="7"/>
    <x v="1"/>
  </r>
  <r>
    <n v="989"/>
    <s v="USD"/>
    <n v="7025.53"/>
    <n v="6041.9557999999997"/>
    <n v="7025.53"/>
    <n v="7025.53"/>
    <n v="6041.9557999999997"/>
    <n v="7025.53"/>
    <n v="0"/>
    <n v="0"/>
    <d v="2026-01-28T00:00:00"/>
    <d v="2025-12-29T00:00:00"/>
    <x v="7"/>
    <x v="1"/>
  </r>
  <r>
    <n v="990"/>
    <s v="MXN"/>
    <n v="96922.5"/>
    <n v="4652.28"/>
    <n v="5427.66"/>
    <n v="96922"/>
    <n v="4652.2560000000003"/>
    <n v="5427.6320000000005"/>
    <n v="0.5"/>
    <n v="2.8000000000000001E-2"/>
    <d v="2026-01-30T00:00:00"/>
    <d v="2025-12-31T00:00:00"/>
    <x v="7"/>
    <x v="1"/>
  </r>
  <r>
    <n v="991"/>
    <s v="USD"/>
    <n v="140"/>
    <n v="120.39999999999999"/>
    <n v="140"/>
    <n v="14038.8"/>
    <n v="12073.367999999999"/>
    <n v="14038.8"/>
    <n v="0"/>
    <n v="0"/>
    <d v="2026-09-14T00:00:00"/>
    <d v="2026-08-15T00:00:00"/>
    <x v="6"/>
    <x v="2"/>
  </r>
  <r>
    <n v="993"/>
    <s v="USD"/>
    <n v="220"/>
    <n v="189.2"/>
    <n v="220"/>
    <n v="6793.9"/>
    <n v="5842.7539999999999"/>
    <n v="6793.9"/>
    <n v="0"/>
    <n v="0"/>
    <d v="2026-06-03T00:00:00"/>
    <d v="2026-05-04T00:00:00"/>
    <x v="10"/>
    <x v="2"/>
  </r>
  <r>
    <n v="994"/>
    <s v="MXN"/>
    <n v="271228.55"/>
    <n v="13018.9704"/>
    <n v="15188.7988"/>
    <n v="275647.68"/>
    <n v="13231.08864"/>
    <n v="15436.27008"/>
    <n v="-4419.1300000000047"/>
    <n v="-247.47128000000026"/>
    <d v="2026-06-02T00:00:00"/>
    <d v="2026-05-03T00:00:00"/>
    <x v="10"/>
    <x v="2"/>
  </r>
  <r>
    <n v="995"/>
    <s v="USD"/>
    <n v="78927"/>
    <n v="67877.22"/>
    <n v="78927"/>
    <n v="7597.04"/>
    <n v="6533.4543999999996"/>
    <n v="7597.04"/>
    <n v="71329.960000000006"/>
    <n v="71329.960000000006"/>
    <d v="2026-03-30T00:00:00"/>
    <d v="2026-02-28T00:00:00"/>
    <x v="5"/>
    <x v="2"/>
  </r>
  <r>
    <n v="996"/>
    <s v="USD"/>
    <n v="4532.0600000000004"/>
    <n v="3897.5716000000002"/>
    <n v="4532.0600000000004"/>
    <n v="5616"/>
    <n v="4829.76"/>
    <n v="5616"/>
    <n v="-1083.9399999999996"/>
    <n v="-1083.9399999999996"/>
    <d v="2026-02-26T00:00:00"/>
    <d v="2026-01-27T00:00:00"/>
    <x v="8"/>
    <x v="2"/>
  </r>
  <r>
    <n v="997"/>
    <s v="USD"/>
    <n v="0"/>
    <n v="0"/>
    <n v="0"/>
    <n v="8610"/>
    <n v="7404.5999999999995"/>
    <n v="8610"/>
    <n v="0"/>
    <n v="0"/>
    <d v="2026-02-26T00:00:00"/>
    <d v="2026-01-27T00:00:00"/>
    <x v="8"/>
    <x v="2"/>
  </r>
  <r>
    <n v="998"/>
    <s v="USD"/>
    <n v="0"/>
    <n v="0"/>
    <n v="0"/>
    <n v="494.88"/>
    <n v="425.59679999999997"/>
    <n v="494.88"/>
    <n v="0"/>
    <n v="0"/>
    <d v="2025-11-18T00:00:00"/>
    <d v="2025-10-19T00:00:00"/>
    <x v="2"/>
    <x v="1"/>
  </r>
  <r>
    <n v="1000"/>
    <s v="USD"/>
    <n v="0"/>
    <n v="0"/>
    <n v="0"/>
    <n v="7147.49"/>
    <n v="6146.8413999999993"/>
    <n v="7147.49"/>
    <n v="0"/>
    <n v="0"/>
    <d v="2026-04-08T00:00:00"/>
    <d v="2026-03-09T00:00:00"/>
    <x v="9"/>
    <x v="2"/>
  </r>
  <r>
    <n v="1002"/>
    <s v="MXN"/>
    <n v="72750"/>
    <n v="3492"/>
    <n v="4074"/>
    <n v="191228"/>
    <n v="9178.9439999999995"/>
    <n v="10708.768"/>
    <n v="-118478"/>
    <n v="-6634.768"/>
    <d v="2026-02-18T00:00:00"/>
    <d v="2026-01-19T00:00:00"/>
    <x v="8"/>
    <x v="2"/>
  </r>
  <r>
    <n v="1004"/>
    <s v="MXN"/>
    <n v="16050"/>
    <n v="770.4"/>
    <n v="898.80000000000007"/>
    <n v="16050"/>
    <n v="770.4"/>
    <n v="898.80000000000007"/>
    <n v="0"/>
    <n v="0"/>
    <d v="2026-02-05T00:00:00"/>
    <d v="2026-01-06T00:00:00"/>
    <x v="8"/>
    <x v="2"/>
  </r>
  <r>
    <n v="1005"/>
    <s v="EUR"/>
    <n v="0"/>
    <n v="0"/>
    <n v="0"/>
    <n v="20006.439999999999"/>
    <n v="20006.439999999999"/>
    <n v="23207.470399999998"/>
    <n v="0"/>
    <n v="0"/>
    <d v="2026-04-27T00:00:00"/>
    <d v="2026-03-28T00:00:00"/>
    <x v="9"/>
    <x v="2"/>
  </r>
  <r>
    <n v="1006"/>
    <s v="USD"/>
    <n v="0"/>
    <n v="0"/>
    <n v="0"/>
    <n v="12022.15"/>
    <n v="10339.048999999999"/>
    <n v="12022.15"/>
    <n v="0"/>
    <n v="0"/>
    <d v="2025-12-28T00:00:00"/>
    <d v="2025-11-28T00:00:00"/>
    <x v="0"/>
    <x v="1"/>
  </r>
  <r>
    <n v="1007"/>
    <s v="USD"/>
    <n v="0"/>
    <n v="0"/>
    <n v="0"/>
    <n v="219"/>
    <n v="188.34"/>
    <n v="219"/>
    <n v="0"/>
    <n v="0"/>
    <d v="2025-12-01T00:00:00"/>
    <d v="2025-11-01T00:00:00"/>
    <x v="0"/>
    <x v="1"/>
  </r>
  <r>
    <n v="1008"/>
    <s v="USD"/>
    <n v="0"/>
    <n v="0"/>
    <n v="0"/>
    <n v="219"/>
    <n v="188.34"/>
    <n v="219"/>
    <n v="0"/>
    <n v="0"/>
    <d v="2025-12-01T00:00:00"/>
    <d v="2025-11-01T00:00:00"/>
    <x v="0"/>
    <x v="1"/>
  </r>
  <r>
    <n v="1009"/>
    <s v="MXN"/>
    <n v="0"/>
    <n v="0"/>
    <n v="0"/>
    <n v="76952"/>
    <n v="3693.6959999999999"/>
    <n v="4309.3119999999999"/>
    <n v="0"/>
    <n v="0"/>
    <d v="2026-04-22T00:00:00"/>
    <d v="2026-03-23T00:00:00"/>
    <x v="9"/>
    <x v="2"/>
  </r>
  <r>
    <n v="1010"/>
    <s v="USD"/>
    <n v="0"/>
    <n v="0"/>
    <n v="0"/>
    <n v="9639"/>
    <n v="8289.5399999999991"/>
    <n v="9639"/>
    <n v="0"/>
    <n v="0"/>
    <d v="2026-01-03T00:00:00"/>
    <d v="2025-12-04T00:00:00"/>
    <x v="7"/>
    <x v="1"/>
  </r>
  <r>
    <n v="1011"/>
    <s v="MXN"/>
    <n v="100903.8"/>
    <n v="4843.3824000000004"/>
    <n v="5650.6127999999999"/>
    <n v="320820.5"/>
    <n v="15399.384"/>
    <n v="17965.948"/>
    <n v="-219916.7"/>
    <n v="-12315.335200000001"/>
    <d v="2026-03-28T00:00:00"/>
    <d v="2026-02-26T00:00:00"/>
    <x v="5"/>
    <x v="2"/>
  </r>
  <r>
    <n v="1012"/>
    <s v="MXN"/>
    <n v="219990"/>
    <n v="10559.52"/>
    <n v="12319.44"/>
    <n v="219990"/>
    <n v="10559.52"/>
    <n v="12319.44"/>
    <n v="0"/>
    <n v="0"/>
    <d v="2026-01-31T00:00:00"/>
    <d v="2026-01-01T00:00:00"/>
    <x v="8"/>
    <x v="2"/>
  </r>
  <r>
    <n v="1014"/>
    <s v="USD"/>
    <n v="0"/>
    <n v="0"/>
    <n v="0"/>
    <n v="3300.7"/>
    <n v="2838.6019999999999"/>
    <n v="3300.7"/>
    <n v="0"/>
    <n v="0"/>
    <d v="2025-02-11T00:00:00"/>
    <d v="2025-01-12T00:00:00"/>
    <x v="8"/>
    <x v="1"/>
  </r>
  <r>
    <n v="1016"/>
    <s v="USD"/>
    <n v="0"/>
    <n v="0"/>
    <n v="0"/>
    <n v="2644"/>
    <n v="2273.84"/>
    <n v="2644"/>
    <n v="0"/>
    <n v="0"/>
    <d v="2025-11-03T00:00:00"/>
    <d v="2025-10-04T00:00:00"/>
    <x v="2"/>
    <x v="1"/>
  </r>
  <r>
    <n v="1017"/>
    <s v="EUR"/>
    <n v="0"/>
    <n v="0"/>
    <n v="0"/>
    <n v="1386.99"/>
    <n v="1386.99"/>
    <n v="1608.9083999999998"/>
    <n v="0"/>
    <n v="0"/>
    <d v="2026-02-08T00:00:00"/>
    <d v="2026-01-09T00:00:00"/>
    <x v="8"/>
    <x v="2"/>
  </r>
  <r>
    <n v="1018"/>
    <s v="USD"/>
    <n v="0"/>
    <n v="0"/>
    <n v="0"/>
    <n v="5312"/>
    <n v="4568.32"/>
    <n v="5312"/>
    <n v="0"/>
    <n v="0"/>
    <d v="2026-01-29T00:00:00"/>
    <d v="2025-12-30T00:00:00"/>
    <x v="7"/>
    <x v="1"/>
  </r>
  <r>
    <n v="1019"/>
    <s v="USD"/>
    <n v="74493"/>
    <n v="64063.979999999996"/>
    <n v="74493"/>
    <n v="42352.76"/>
    <n v="36423.373599999999"/>
    <n v="42352.76"/>
    <n v="32140.239999999998"/>
    <n v="32140.239999999998"/>
    <d v="2026-09-25T00:00:00"/>
    <d v="2026-08-26T00:00:00"/>
    <x v="6"/>
    <x v="2"/>
  </r>
  <r>
    <n v="1020"/>
    <s v="USD"/>
    <n v="381"/>
    <n v="327.65999999999997"/>
    <n v="381"/>
    <n v="57195.37"/>
    <n v="49188.018199999999"/>
    <n v="57195.37"/>
    <n v="35"/>
    <n v="35"/>
    <d v="2025-05-21T00:00:00"/>
    <d v="2025-04-21T00:00:00"/>
    <x v="4"/>
    <x v="1"/>
  </r>
  <r>
    <n v="1022"/>
    <s v="USD"/>
    <n v="10000"/>
    <n v="8600"/>
    <n v="10000"/>
    <n v="4502.09"/>
    <n v="3871.7973999999999"/>
    <n v="4502.09"/>
    <n v="5497.91"/>
    <n v="5497.91"/>
    <d v="2026-05-06T00:00:00"/>
    <d v="2026-04-06T00:00:00"/>
    <x v="4"/>
    <x v="2"/>
  </r>
  <r>
    <n v="1023"/>
    <s v="USD"/>
    <n v="6168"/>
    <n v="5304.48"/>
    <n v="6168"/>
    <n v="6168"/>
    <n v="5304.48"/>
    <n v="6168"/>
    <n v="0"/>
    <n v="0"/>
    <d v="2026-01-23T00:00:00"/>
    <d v="2025-12-24T00:00:00"/>
    <x v="7"/>
    <x v="1"/>
  </r>
  <r>
    <n v="1024"/>
    <s v="USD"/>
    <n v="0"/>
    <n v="0"/>
    <n v="0"/>
    <n v="12996"/>
    <n v="11176.56"/>
    <n v="12996"/>
    <n v="0"/>
    <n v="0"/>
    <d v="2026-02-27T00:00:00"/>
    <d v="2026-01-28T00:00:00"/>
    <x v="8"/>
    <x v="2"/>
  </r>
  <r>
    <n v="1029"/>
    <s v="EUR"/>
    <n v="7097"/>
    <n v="7097"/>
    <n v="8232.5199999999986"/>
    <n v="7097.41"/>
    <n v="7097.41"/>
    <n v="8232.9955999999984"/>
    <n v="-0.40999999999985448"/>
    <n v="-0.47559999999983116"/>
    <d v="2026-03-21T00:00:00"/>
    <d v="2026-02-19T00:00:00"/>
    <x v="5"/>
    <x v="2"/>
  </r>
  <r>
    <n v="1030"/>
    <s v="EUR"/>
    <n v="1085.6999999999998"/>
    <n v="1085.6999999999998"/>
    <n v="1259.4119999999998"/>
    <n v="1705.05"/>
    <n v="1705.05"/>
    <n v="1977.8579999999997"/>
    <n v="-1.1368683772161603E-13"/>
    <n v="-1.3187673175707459E-13"/>
    <d v="2026-02-01T00:00:00"/>
    <d v="2026-01-02T00:00:00"/>
    <x v="8"/>
    <x v="2"/>
  </r>
  <r>
    <n v="1031"/>
    <s v="EUR"/>
    <n v="43069.88"/>
    <n v="43069.88"/>
    <n v="49961.060799999992"/>
    <n v="19979.72"/>
    <n v="19979.72"/>
    <n v="23176.475200000001"/>
    <n v="23090.159999999996"/>
    <n v="26784.585599999995"/>
    <d v="2026-03-27T00:00:00"/>
    <d v="2026-02-25T00:00:00"/>
    <x v="5"/>
    <x v="2"/>
  </r>
  <r>
    <n v="1032"/>
    <s v="EUR"/>
    <n v="11340"/>
    <n v="11340"/>
    <n v="13154.4"/>
    <n v="5817.5"/>
    <n v="5817.5"/>
    <n v="6748.2999999999993"/>
    <n v="5522.5"/>
    <n v="6406.0999999999995"/>
    <d v="2026-06-14T00:00:00"/>
    <d v="2026-05-15T00:00:00"/>
    <x v="10"/>
    <x v="2"/>
  </r>
  <r>
    <n v="1033"/>
    <s v="USD"/>
    <n v="0"/>
    <n v="0"/>
    <n v="0"/>
    <n v="3000.27"/>
    <n v="2580.2321999999999"/>
    <n v="3000.27"/>
    <n v="0"/>
    <n v="0"/>
    <d v="2026-02-06T00:00:00"/>
    <d v="2026-01-07T00:00:00"/>
    <x v="8"/>
    <x v="2"/>
  </r>
  <r>
    <n v="1036"/>
    <s v="USD"/>
    <n v="0"/>
    <n v="0"/>
    <n v="0"/>
    <n v="621.29999999999995"/>
    <n v="534.31799999999998"/>
    <n v="621.29999999999995"/>
    <n v="0"/>
    <n v="0"/>
    <d v="2026-02-22T00:00:00"/>
    <d v="2026-01-23T00:00:00"/>
    <x v="8"/>
    <x v="2"/>
  </r>
  <r>
    <n v="1037"/>
    <s v="USD"/>
    <n v="0"/>
    <n v="0"/>
    <n v="0"/>
    <n v="5589"/>
    <n v="4806.54"/>
    <n v="5589"/>
    <n v="0"/>
    <n v="0"/>
    <d v="2025-12-27T00:00:00"/>
    <d v="2025-11-27T00:00:00"/>
    <x v="0"/>
    <x v="1"/>
  </r>
  <r>
    <n v="1038"/>
    <s v="EUR"/>
    <n v="5010.96"/>
    <n v="5010.96"/>
    <n v="5812.7136"/>
    <n v="5153"/>
    <n v="5153"/>
    <n v="5977.48"/>
    <n v="-142.03999999999996"/>
    <n v="-164.76639999999995"/>
    <d v="2026-02-08T00:00:00"/>
    <d v="2026-01-09T00:00:00"/>
    <x v="8"/>
    <x v="2"/>
  </r>
  <r>
    <n v="1039"/>
    <s v="USD"/>
    <n v="0"/>
    <n v="0"/>
    <n v="0"/>
    <n v="19288"/>
    <n v="16587.68"/>
    <n v="19288"/>
    <n v="-280"/>
    <n v="-280"/>
    <d v="2026-03-25T00:00:00"/>
    <d v="2026-02-23T00:00:00"/>
    <x v="5"/>
    <x v="2"/>
  </r>
  <r>
    <n v="1041"/>
    <s v="MXN"/>
    <n v="8150"/>
    <n v="391.2"/>
    <n v="456.40000000000003"/>
    <n v="8150"/>
    <n v="391.2"/>
    <n v="456.40000000000003"/>
    <n v="0"/>
    <n v="0"/>
    <d v="2026-01-31T00:00:00"/>
    <d v="2026-01-01T00:00:00"/>
    <x v="8"/>
    <x v="2"/>
  </r>
  <r>
    <n v="1042"/>
    <s v="EUR"/>
    <n v="9283.8700000000008"/>
    <n v="9283.8700000000008"/>
    <n v="10769.289200000001"/>
    <n v="2785.16"/>
    <n v="2785.16"/>
    <n v="3230.7855999999997"/>
    <n v="6498.7100000000009"/>
    <n v="7538.5036000000009"/>
    <d v="2026-07-04T00:00:00"/>
    <d v="2026-06-04T00:00:00"/>
    <x v="3"/>
    <x v="2"/>
  </r>
  <r>
    <n v="1043"/>
    <s v="USD"/>
    <n v="32887.39"/>
    <n v="28283.1554"/>
    <n v="32887.39"/>
    <n v="30033.59"/>
    <n v="25828.8874"/>
    <n v="30033.59"/>
    <n v="2853.7999999999993"/>
    <n v="2853.7999999999993"/>
    <d v="2026-09-25T00:00:00"/>
    <d v="2026-08-26T00:00:00"/>
    <x v="6"/>
    <x v="2"/>
  </r>
  <r>
    <n v="1044"/>
    <s v="EUR"/>
    <n v="27830"/>
    <n v="27830"/>
    <n v="32282.799999999999"/>
    <n v="27830"/>
    <n v="27830"/>
    <n v="32282.799999999999"/>
    <n v="0"/>
    <n v="0"/>
    <d v="2026-02-21T00:00:00"/>
    <d v="2026-01-22T00:00:00"/>
    <x v="8"/>
    <x v="2"/>
  </r>
  <r>
    <n v="1045"/>
    <s v="USD"/>
    <n v="0"/>
    <n v="0"/>
    <n v="0"/>
    <n v="2065"/>
    <n v="1775.8999999999999"/>
    <n v="2065"/>
    <n v="0"/>
    <n v="0"/>
    <d v="2025-12-20T00:00:00"/>
    <d v="2025-11-20T00:00:00"/>
    <x v="0"/>
    <x v="1"/>
  </r>
  <r>
    <n v="1046"/>
    <s v="USD"/>
    <n v="290000"/>
    <n v="249400"/>
    <n v="290000"/>
    <n v="26292"/>
    <n v="22611.119999999999"/>
    <n v="26292"/>
    <n v="263708"/>
    <n v="263708"/>
    <d v="2026-05-09T00:00:00"/>
    <d v="2026-04-09T00:00:00"/>
    <x v="4"/>
    <x v="2"/>
  </r>
  <r>
    <n v="1047"/>
    <s v="USD"/>
    <n v="18830.240000000002"/>
    <n v="16194.006400000002"/>
    <n v="18830.240000000002"/>
    <n v="18830.240000000002"/>
    <n v="16194.006400000002"/>
    <n v="18830.240000000002"/>
    <n v="0"/>
    <n v="0"/>
    <d v="2026-03-07T00:00:00"/>
    <d v="2026-02-05T00:00:00"/>
    <x v="5"/>
    <x v="2"/>
  </r>
  <r>
    <n v="1048"/>
    <s v="MXN"/>
    <n v="79800"/>
    <n v="3830.4"/>
    <n v="4468.8"/>
    <n v="30000"/>
    <n v="1440"/>
    <n v="1680"/>
    <n v="49800"/>
    <n v="2788.8"/>
    <d v="2026-11-02T00:00:00"/>
    <d v="2026-10-03T00:00:00"/>
    <x v="2"/>
    <x v="2"/>
  </r>
  <r>
    <n v="1050"/>
    <s v="EUR"/>
    <n v="4684"/>
    <n v="4684"/>
    <n v="5433.44"/>
    <n v="4684"/>
    <n v="4684"/>
    <n v="5433.44"/>
    <n v="0"/>
    <n v="0"/>
    <d v="2026-06-13T00:00:00"/>
    <d v="2026-05-14T00:00:00"/>
    <x v="10"/>
    <x v="2"/>
  </r>
  <r>
    <n v="1051"/>
    <s v="EUR"/>
    <n v="3300"/>
    <n v="3300"/>
    <n v="3827.9999999999995"/>
    <n v="3300"/>
    <n v="3300"/>
    <n v="3827.9999999999995"/>
    <n v="0"/>
    <n v="0"/>
    <d v="2026-07-23T00:00:00"/>
    <d v="2026-06-23T00:00:00"/>
    <x v="3"/>
    <x v="2"/>
  </r>
  <r>
    <n v="1052"/>
    <s v="USD"/>
    <n v="62000"/>
    <n v="53320"/>
    <n v="62000"/>
    <n v="6450"/>
    <n v="5547"/>
    <n v="6450"/>
    <n v="55550"/>
    <n v="55550"/>
    <d v="2027-06-25T00:00:00"/>
    <d v="2027-05-26T00:00:00"/>
    <x v="10"/>
    <x v="4"/>
  </r>
  <r>
    <n v="1054"/>
    <s v="USD"/>
    <n v="6039.26"/>
    <n v="5193.7636000000002"/>
    <n v="6039.26"/>
    <n v="15000"/>
    <n v="12900"/>
    <n v="15000"/>
    <n v="-8960.74"/>
    <n v="-8960.74"/>
    <d v="2026-03-04T00:00:00"/>
    <d v="2026-02-02T00:00:00"/>
    <x v="5"/>
    <x v="2"/>
  </r>
  <r>
    <n v="1055"/>
    <s v="USD"/>
    <n v="0"/>
    <n v="0"/>
    <n v="0"/>
    <n v="447.48"/>
    <n v="384.83280000000002"/>
    <n v="447.48"/>
    <n v="0"/>
    <n v="0"/>
    <d v="2026-02-05T00:00:00"/>
    <d v="2026-01-06T00:00:00"/>
    <x v="8"/>
    <x v="2"/>
  </r>
  <r>
    <n v="1058"/>
    <s v="USD"/>
    <n v="0"/>
    <n v="0"/>
    <n v="0"/>
    <n v="7156.5"/>
    <n v="6154.59"/>
    <n v="7156.5"/>
    <n v="0"/>
    <n v="0"/>
    <d v="2026-03-27T00:00:00"/>
    <d v="2026-02-25T00:00:00"/>
    <x v="5"/>
    <x v="2"/>
  </r>
  <r>
    <n v="1059"/>
    <s v="GBP"/>
    <n v="0"/>
    <n v="0"/>
    <n v="0"/>
    <n v="873"/>
    <n v="1003.9499999999999"/>
    <n v="1169.8200000000002"/>
    <n v="0"/>
    <n v="0"/>
    <d v="2026-03-14T00:00:00"/>
    <d v="2026-02-12T00:00:00"/>
    <x v="5"/>
    <x v="2"/>
  </r>
  <r>
    <n v="1060"/>
    <s v="EUR"/>
    <n v="0"/>
    <n v="0"/>
    <n v="0"/>
    <n v="3800"/>
    <n v="3800"/>
    <n v="4408"/>
    <n v="0"/>
    <n v="0"/>
    <d v="2026-03-20T00:00:00"/>
    <d v="2026-02-18T00:00:00"/>
    <x v="5"/>
    <x v="2"/>
  </r>
  <r>
    <n v="1061"/>
    <s v="EUR"/>
    <n v="1200"/>
    <n v="1200"/>
    <n v="1392"/>
    <n v="11017"/>
    <n v="11017"/>
    <n v="12779.72"/>
    <n v="0"/>
    <n v="0"/>
    <d v="2026-03-03T00:00:00"/>
    <d v="2026-02-01T00:00:00"/>
    <x v="5"/>
    <x v="2"/>
  </r>
  <r>
    <n v="1062"/>
    <s v="EUR"/>
    <n v="4800"/>
    <n v="4800"/>
    <n v="5568"/>
    <n v="79000"/>
    <n v="79000"/>
    <n v="91640"/>
    <n v="0"/>
    <n v="0"/>
    <d v="2026-12-26T00:00:00"/>
    <d v="2026-11-26T00:00:00"/>
    <x v="0"/>
    <x v="2"/>
  </r>
  <r>
    <n v="1063"/>
    <s v="USD"/>
    <n v="0"/>
    <n v="0"/>
    <n v="0"/>
    <n v="1845.54"/>
    <n v="1587.1643999999999"/>
    <n v="1845.54"/>
    <n v="0"/>
    <n v="0"/>
    <d v="2026-02-10T00:00:00"/>
    <d v="2026-01-11T00:00:00"/>
    <x v="8"/>
    <x v="2"/>
  </r>
  <r>
    <n v="1064"/>
    <s v="EUR"/>
    <n v="31000"/>
    <n v="31000"/>
    <n v="35960"/>
    <n v="13716.99"/>
    <n v="13716.99"/>
    <n v="15911.7084"/>
    <n v="17283.010000000002"/>
    <n v="20048.2916"/>
    <d v="2026-07-25T00:00:00"/>
    <d v="2026-06-25T00:00:00"/>
    <x v="3"/>
    <x v="2"/>
  </r>
  <r>
    <n v="1065"/>
    <s v="USD"/>
    <n v="0"/>
    <n v="0"/>
    <n v="0"/>
    <n v="3014.1"/>
    <n v="2592.1259999999997"/>
    <n v="3014.1"/>
    <n v="0"/>
    <n v="0"/>
    <d v="2025-07-23T00:00:00"/>
    <d v="2025-06-23T00:00:00"/>
    <x v="3"/>
    <x v="1"/>
  </r>
  <r>
    <n v="1067"/>
    <s v="USD"/>
    <n v="0"/>
    <n v="0"/>
    <n v="0"/>
    <n v="8760"/>
    <n v="7533.5999999999995"/>
    <n v="8760"/>
    <n v="0"/>
    <n v="0"/>
    <d v="2026-02-06T00:00:00"/>
    <d v="2026-01-07T00:00:00"/>
    <x v="8"/>
    <x v="2"/>
  </r>
  <r>
    <n v="1068"/>
    <s v="EUR"/>
    <n v="7323.9900000000007"/>
    <n v="7323.9900000000007"/>
    <n v="8495.8284000000003"/>
    <n v="916.67"/>
    <n v="916.67"/>
    <n v="1063.3371999999999"/>
    <n v="7264.64"/>
    <n v="8426.982399999999"/>
    <d v="2026-06-29T00:00:00"/>
    <d v="2026-05-30T00:00:00"/>
    <x v="10"/>
    <x v="2"/>
  </r>
  <r>
    <n v="1069"/>
    <s v="USD"/>
    <n v="21425.200000000001"/>
    <n v="18425.671999999999"/>
    <n v="21425.200000000001"/>
    <n v="11891.29"/>
    <n v="10226.509400000001"/>
    <n v="11891.29"/>
    <n v="11430.91"/>
    <n v="11430.91"/>
    <d v="2026-04-27T00:00:00"/>
    <d v="2026-03-28T00:00:00"/>
    <x v="9"/>
    <x v="2"/>
  </r>
  <r>
    <n v="1070"/>
    <s v="USD"/>
    <n v="11511"/>
    <n v="9899.4599999999991"/>
    <n v="11511"/>
    <n v="11511"/>
    <n v="9899.4599999999991"/>
    <n v="11511"/>
    <n v="0"/>
    <n v="0"/>
    <d v="2026-03-15T00:00:00"/>
    <d v="2026-02-13T00:00:00"/>
    <x v="5"/>
    <x v="2"/>
  </r>
  <r>
    <n v="1071"/>
    <s v="USD"/>
    <n v="0"/>
    <n v="0"/>
    <n v="0"/>
    <n v="788.74"/>
    <n v="678.31640000000004"/>
    <n v="788.74"/>
    <n v="0"/>
    <n v="0"/>
    <d v="2026-02-05T00:00:00"/>
    <d v="2026-01-06T00:00:00"/>
    <x v="8"/>
    <x v="2"/>
  </r>
  <r>
    <n v="1072"/>
    <s v="USD"/>
    <n v="0"/>
    <n v="0"/>
    <n v="0"/>
    <n v="708.8"/>
    <n v="609.56799999999998"/>
    <n v="708.8"/>
    <n v="0"/>
    <n v="0"/>
    <d v="2025-12-25T00:00:00"/>
    <d v="2025-11-25T00:00:00"/>
    <x v="0"/>
    <x v="1"/>
  </r>
  <r>
    <n v="1073"/>
    <s v="USD"/>
    <n v="635.87000000000035"/>
    <n v="546.84820000000025"/>
    <n v="635.87000000000035"/>
    <n v="3693.22"/>
    <n v="3176.1691999999998"/>
    <n v="3693.22"/>
    <n v="495.87000000000035"/>
    <n v="495.87000000000035"/>
    <d v="2026-02-09T00:00:00"/>
    <d v="2026-01-10T00:00:00"/>
    <x v="8"/>
    <x v="2"/>
  </r>
  <r>
    <n v="1074"/>
    <s v="MXN"/>
    <n v="14395"/>
    <n v="690.96"/>
    <n v="806.12"/>
    <n v="14395"/>
    <n v="690.96"/>
    <n v="806.12"/>
    <n v="0"/>
    <n v="0"/>
    <d v="2026-02-08T00:00:00"/>
    <d v="2026-01-09T00:00:00"/>
    <x v="8"/>
    <x v="2"/>
  </r>
  <r>
    <n v="1075"/>
    <s v="EUR"/>
    <n v="4114"/>
    <n v="4114"/>
    <n v="4772.24"/>
    <n v="4000.91"/>
    <n v="4000.91"/>
    <n v="4641.0555999999997"/>
    <n v="113.09000000000015"/>
    <n v="131.18440000000015"/>
    <d v="2026-02-24T00:00:00"/>
    <d v="2026-01-25T00:00:00"/>
    <x v="8"/>
    <x v="2"/>
  </r>
  <r>
    <n v="1076"/>
    <s v="USD"/>
    <n v="22574.13"/>
    <n v="19413.751800000002"/>
    <n v="22574.13"/>
    <n v="24332"/>
    <n v="20925.52"/>
    <n v="24332"/>
    <n v="-1757.869999999999"/>
    <n v="-1757.869999999999"/>
    <d v="2026-03-20T00:00:00"/>
    <d v="2026-02-18T00:00:00"/>
    <x v="5"/>
    <x v="2"/>
  </r>
  <r>
    <n v="1077"/>
    <s v="EUR"/>
    <n v="10118.69"/>
    <n v="10118.69"/>
    <n v="11737.680399999999"/>
    <n v="10118.69"/>
    <n v="10118.69"/>
    <n v="11737.680399999999"/>
    <n v="0"/>
    <n v="0"/>
    <d v="2026-03-27T00:00:00"/>
    <d v="2026-02-25T00:00:00"/>
    <x v="5"/>
    <x v="2"/>
  </r>
  <r>
    <n v="1078"/>
    <s v="EUR"/>
    <n v="5366.86"/>
    <n v="5366.86"/>
    <n v="6225.5575999999992"/>
    <n v="585.95000000000005"/>
    <n v="585.95000000000005"/>
    <n v="679.702"/>
    <n v="5260.03"/>
    <n v="6101.6347999999989"/>
    <d v="2026-06-29T00:00:00"/>
    <d v="2026-05-30T00:00:00"/>
    <x v="10"/>
    <x v="2"/>
  </r>
  <r>
    <n v="1079"/>
    <s v="MXN"/>
    <n v="15426.5"/>
    <n v="740.47199999999998"/>
    <n v="863.88400000000001"/>
    <n v="15487.5"/>
    <n v="743.4"/>
    <n v="867.30000000000007"/>
    <n v="-61"/>
    <n v="-3.4159999999999999"/>
    <d v="2026-02-05T00:00:00"/>
    <d v="2026-01-06T00:00:00"/>
    <x v="8"/>
    <x v="2"/>
  </r>
  <r>
    <n v="1080"/>
    <s v="USD"/>
    <n v="1291.0500000000002"/>
    <n v="1110.3030000000001"/>
    <n v="1291.0500000000002"/>
    <n v="6057.79"/>
    <n v="5209.6993999999995"/>
    <n v="6057.79"/>
    <n v="1151.0500000000002"/>
    <n v="1151.0500000000002"/>
    <d v="2026-05-27T00:00:00"/>
    <d v="2026-04-27T00:00:00"/>
    <x v="4"/>
    <x v="2"/>
  </r>
  <r>
    <n v="1081"/>
    <s v="USD"/>
    <n v="0"/>
    <n v="0"/>
    <n v="0"/>
    <n v="4554.75"/>
    <n v="3917.085"/>
    <n v="4554.75"/>
    <n v="0"/>
    <n v="0"/>
    <d v="2026-08-06T00:00:00"/>
    <d v="2026-07-07T00:00:00"/>
    <x v="11"/>
    <x v="2"/>
  </r>
  <r>
    <n v="1082"/>
    <s v="USD"/>
    <n v="0"/>
    <n v="0"/>
    <n v="0"/>
    <n v="21042.880000000001"/>
    <n v="18096.876800000002"/>
    <n v="21042.880000000001"/>
    <n v="0"/>
    <n v="0"/>
    <d v="2025-12-30T00:00:00"/>
    <d v="2025-11-30T00:00:00"/>
    <x v="0"/>
    <x v="1"/>
  </r>
  <r>
    <n v="1083"/>
    <s v="USD"/>
    <n v="0"/>
    <n v="0"/>
    <n v="0"/>
    <n v="11627"/>
    <n v="9999.2199999999993"/>
    <n v="11627"/>
    <n v="0"/>
    <n v="0"/>
    <d v="2026-02-13T00:00:00"/>
    <d v="2026-01-14T00:00:00"/>
    <x v="8"/>
    <x v="2"/>
  </r>
  <r>
    <n v="1084"/>
    <s v="USD"/>
    <n v="0"/>
    <n v="0"/>
    <n v="0"/>
    <n v="4655.67"/>
    <n v="4003.8762000000002"/>
    <n v="4655.67"/>
    <n v="0"/>
    <n v="0"/>
    <d v="2026-01-07T00:00:00"/>
    <d v="2025-12-08T00:00:00"/>
    <x v="7"/>
    <x v="1"/>
  </r>
  <r>
    <n v="1088"/>
    <s v="MXN"/>
    <n v="1534152.43"/>
    <n v="73639.316640000005"/>
    <n v="85912.536080000005"/>
    <n v="1565760"/>
    <n v="75156.479999999996"/>
    <n v="87682.559999999998"/>
    <n v="-31607.570000000065"/>
    <n v="-1770.0239200000037"/>
    <d v="2026-05-17T00:00:00"/>
    <d v="2026-04-17T00:00:00"/>
    <x v="4"/>
    <x v="2"/>
  </r>
  <r>
    <n v="1090"/>
    <s v="USD"/>
    <n v="7045"/>
    <n v="6058.7"/>
    <n v="7045"/>
    <n v="12041.28"/>
    <n v="10355.5008"/>
    <n v="12041.28"/>
    <n v="-4996.2800000000007"/>
    <n v="-4996.2800000000007"/>
    <d v="2026-03-27T00:00:00"/>
    <d v="2026-02-25T00:00:00"/>
    <x v="5"/>
    <x v="2"/>
  </r>
  <r>
    <n v="1091"/>
    <s v="USD"/>
    <n v="0"/>
    <n v="0"/>
    <n v="0"/>
    <n v="59189"/>
    <n v="50902.54"/>
    <n v="59189"/>
    <n v="0"/>
    <n v="0"/>
    <d v="2026-03-20T00:00:00"/>
    <d v="2026-02-18T00:00:00"/>
    <x v="5"/>
    <x v="2"/>
  </r>
  <r>
    <n v="1092"/>
    <s v="USD"/>
    <n v="24133.08"/>
    <n v="20754.448800000002"/>
    <n v="24133.08"/>
    <n v="24133.08"/>
    <n v="20754.448800000002"/>
    <n v="24133.08"/>
    <n v="0"/>
    <n v="0"/>
    <d v="2026-03-01T00:00:00"/>
    <d v="2026-01-30T00:00:00"/>
    <x v="8"/>
    <x v="2"/>
  </r>
  <r>
    <n v="1093"/>
    <s v="EUR"/>
    <n v="21135.64"/>
    <n v="21135.64"/>
    <n v="24517.342399999998"/>
    <n v="13000"/>
    <n v="13000"/>
    <n v="15079.999999999998"/>
    <n v="8135.6399999999994"/>
    <n v="9437.3423999999995"/>
    <d v="2026-11-02T00:00:00"/>
    <d v="2026-10-03T00:00:00"/>
    <x v="2"/>
    <x v="2"/>
  </r>
  <r>
    <n v="1095"/>
    <s v="USD"/>
    <n v="15444"/>
    <n v="13281.84"/>
    <n v="15444"/>
    <n v="52636"/>
    <n v="45266.96"/>
    <n v="52636"/>
    <n v="0"/>
    <n v="0"/>
    <d v="2026-04-01T00:00:00"/>
    <d v="2026-03-02T00:00:00"/>
    <x v="9"/>
    <x v="2"/>
  </r>
  <r>
    <n v="1096"/>
    <s v="MXN"/>
    <n v="2440.1999999999971"/>
    <n v="117.12959999999987"/>
    <n v="136.65119999999985"/>
    <n v="78056.22"/>
    <n v="3746.6985600000003"/>
    <n v="4371.1483200000002"/>
    <n v="0"/>
    <n v="0"/>
    <d v="2026-04-30T00:00:00"/>
    <d v="2026-03-31T00:00:00"/>
    <x v="9"/>
    <x v="2"/>
  </r>
  <r>
    <n v="1097"/>
    <s v="EUR"/>
    <n v="3000"/>
    <n v="3000"/>
    <n v="3479.9999999999995"/>
    <n v="1985.71"/>
    <n v="1985.71"/>
    <n v="2303.4236000000001"/>
    <n v="1014.29"/>
    <n v="1176.5763999999999"/>
    <d v="2026-02-20T00:00:00"/>
    <d v="2026-01-21T00:00:00"/>
    <x v="8"/>
    <x v="2"/>
  </r>
  <r>
    <n v="1098"/>
    <s v="USD"/>
    <n v="94000"/>
    <n v="80840"/>
    <n v="94000"/>
    <n v="20000"/>
    <n v="17200"/>
    <n v="20000"/>
    <n v="74000"/>
    <n v="74000"/>
    <d v="2026-05-01T00:00:00"/>
    <d v="2026-04-01T00:00:00"/>
    <x v="4"/>
    <x v="2"/>
  </r>
  <r>
    <n v="1100"/>
    <s v="MXN"/>
    <n v="1834.3499999999985"/>
    <n v="88.048799999999929"/>
    <n v="102.72359999999992"/>
    <n v="53650.35"/>
    <n v="2575.2168000000001"/>
    <n v="3004.4196000000002"/>
    <n v="0"/>
    <n v="0"/>
    <d v="2026-03-19T00:00:00"/>
    <d v="2026-02-17T00:00:00"/>
    <x v="5"/>
    <x v="2"/>
  </r>
  <r>
    <n v="1102"/>
    <s v="EUR"/>
    <n v="0"/>
    <n v="0"/>
    <n v="0"/>
    <n v="12974"/>
    <n v="12974"/>
    <n v="15049.839999999998"/>
    <n v="0"/>
    <n v="0"/>
    <d v="2026-11-25T00:00:00"/>
    <d v="2026-10-26T00:00:00"/>
    <x v="2"/>
    <x v="2"/>
  </r>
  <r>
    <n v="1103"/>
    <s v="EUR"/>
    <n v="46039.91"/>
    <n v="46039.91"/>
    <n v="53406.295599999998"/>
    <n v="45407.23"/>
    <n v="45407.23"/>
    <n v="52672.3868"/>
    <n v="23260.63"/>
    <n v="26982.3308"/>
    <d v="2026-03-25T00:00:00"/>
    <d v="2026-02-23T00:00:00"/>
    <x v="5"/>
    <x v="2"/>
  </r>
  <r>
    <n v="1104"/>
    <s v="EUR"/>
    <n v="0"/>
    <n v="0"/>
    <n v="0"/>
    <n v="5038.09"/>
    <n v="5038.09"/>
    <n v="5844.1844000000001"/>
    <n v="0"/>
    <n v="0"/>
    <d v="2026-01-02T00:00:00"/>
    <d v="2025-12-03T00:00:00"/>
    <x v="7"/>
    <x v="1"/>
  </r>
  <r>
    <n v="1105"/>
    <s v="MXN"/>
    <n v="3045"/>
    <n v="146.16"/>
    <n v="170.52"/>
    <n v="678433"/>
    <n v="32564.784"/>
    <n v="37992.248"/>
    <n v="0"/>
    <n v="0"/>
    <d v="2026-03-28T00:00:00"/>
    <d v="2026-02-26T00:00:00"/>
    <x v="5"/>
    <x v="2"/>
  </r>
  <r>
    <n v="1107"/>
    <s v="EUR"/>
    <n v="4980.5200000000004"/>
    <n v="4980.5200000000004"/>
    <n v="5777.4031999999997"/>
    <n v="915"/>
    <n v="915"/>
    <n v="1061.3999999999999"/>
    <n v="4065.5200000000004"/>
    <n v="4716.0032000000001"/>
    <d v="2026-03-18T00:00:00"/>
    <d v="2026-02-16T00:00:00"/>
    <x v="5"/>
    <x v="2"/>
  </r>
  <r>
    <n v="1109"/>
    <s v="USD"/>
    <n v="0"/>
    <n v="0"/>
    <n v="0"/>
    <n v="4147.5"/>
    <n v="3566.85"/>
    <n v="4147.5"/>
    <n v="0"/>
    <n v="0"/>
    <d v="2026-04-17T00:00:00"/>
    <d v="2026-03-18T00:00:00"/>
    <x v="9"/>
    <x v="2"/>
  </r>
  <r>
    <n v="1110"/>
    <s v="USD"/>
    <n v="0"/>
    <n v="0"/>
    <n v="0"/>
    <n v="76516"/>
    <n v="65803.759999999995"/>
    <n v="76516"/>
    <n v="0"/>
    <n v="0"/>
    <d v="2026-07-07T00:00:00"/>
    <d v="2026-06-07T00:00:00"/>
    <x v="3"/>
    <x v="2"/>
  </r>
  <r>
    <n v="1111"/>
    <s v="MXN"/>
    <n v="0"/>
    <n v="0"/>
    <n v="0"/>
    <n v="75072"/>
    <n v="3603.4560000000001"/>
    <n v="4204.0320000000002"/>
    <n v="0"/>
    <n v="0"/>
    <d v="2025-11-13T00:00:00"/>
    <d v="2025-10-14T00:00:00"/>
    <x v="2"/>
    <x v="1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  <r>
    <m/>
    <m/>
    <m/>
    <m/>
    <m/>
    <m/>
    <m/>
    <m/>
    <m/>
    <m/>
    <m/>
    <m/>
    <x v="1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3702E-6BAF-43C7-BFA4-9648C608656D}" name="Tabla dinámica1" cacheId="65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AK5" firstHeaderRow="1" firstDataRow="3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15">
        <item x="8"/>
        <item x="5"/>
        <item x="9"/>
        <item x="4"/>
        <item x="10"/>
        <item x="3"/>
        <item x="11"/>
        <item x="6"/>
        <item x="0"/>
        <item x="2"/>
        <item x="1"/>
        <item x="7"/>
        <item h="1" x="13"/>
        <item h="1" x="12"/>
        <item t="default"/>
      </items>
    </pivotField>
    <pivotField axis="axisCol" compact="0" outline="0" showAll="0">
      <items count="7">
        <item x="0"/>
        <item x="1"/>
        <item x="2"/>
        <item x="4"/>
        <item h="1" x="5"/>
        <item h="1" x="3"/>
        <item t="default"/>
      </items>
    </pivotField>
  </pivotFields>
  <rowItems count="1">
    <i/>
  </rowItems>
  <colFields count="2">
    <field x="13"/>
    <field x="12"/>
  </colFields>
  <colItems count="36">
    <i>
      <x/>
      <x v="5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2"/>
    </i>
    <i>
      <x v="3"/>
      <x/>
    </i>
    <i r="1">
      <x v="4"/>
    </i>
    <i t="default">
      <x v="3"/>
    </i>
    <i t="grand">
      <x/>
    </i>
  </colItems>
  <dataFields count="1">
    <dataField name="Suma de Restante por pagar prov USD" fld="9" baseField="0" baseItem="0" numFmtId="165"/>
  </dataFields>
  <formats count="8">
    <format dxfId="9">
      <pivotArea outline="0" fieldPosition="0">
        <references count="2">
          <reference field="12" count="1" selected="0">
            <x v="8"/>
          </reference>
          <reference field="13" count="1" selected="0">
            <x v="0"/>
          </reference>
        </references>
      </pivotArea>
    </format>
    <format dxfId="10">
      <pivotArea outline="0" fieldPosition="0">
        <references count="2">
          <reference field="12" count="1" selected="0">
            <x v="9"/>
          </reference>
          <reference field="13" count="1" selected="0">
            <x v="0"/>
          </reference>
        </references>
      </pivotArea>
    </format>
    <format dxfId="11">
      <pivotArea outline="0" collapsedLevelsAreSubtotals="1" fieldPosition="0"/>
    </format>
    <format dxfId="12">
      <pivotArea dataOnly="0" labelOnly="1" outline="0" fieldPosition="0">
        <references count="1">
          <reference field="13" count="1" defaultSubtotal="1">
            <x v="1"/>
          </reference>
        </references>
      </pivotArea>
    </format>
    <format dxfId="13">
      <pivotArea dataOnly="0" labelOnly="1" outline="0" fieldPosition="0">
        <references count="1">
          <reference field="13" count="1" defaultSubtotal="1">
            <x v="2"/>
          </reference>
        </references>
      </pivotArea>
    </format>
    <format dxfId="14">
      <pivotArea dataOnly="0" labelOnly="1" outline="0" fieldPosition="0">
        <references count="1">
          <reference field="13" count="1" defaultSubtotal="1">
            <x v="0"/>
          </reference>
        </references>
      </pivotArea>
    </format>
    <format dxfId="15">
      <pivotArea dataOnly="0" labelOnly="1" outline="0" fieldPosition="0">
        <references count="1">
          <reference field="13" count="1" defaultSubtotal="1">
            <x v="3"/>
          </reference>
        </references>
      </pivotArea>
    </format>
    <format dxfId="16">
      <pivotArea dataOnly="0" labelOnly="1" outline="0" fieldPosition="0">
        <references count="2">
          <reference field="12" count="1">
            <x v="2"/>
          </reference>
          <reference field="1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BFA10-6E5B-4EEB-9959-1214EFC006FE}" name="Tabla dinámica3" cacheId="65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B726" firstHeaderRow="1" firstDataRow="1" firstDataCol="1"/>
  <pivotFields count="5">
    <pivotField axis="axisRow" compact="0" outline="0" showAll="0">
      <items count="7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7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 t="grand">
      <x/>
    </i>
  </rowItems>
  <colItems count="1">
    <i/>
  </colItems>
  <dataFields count="1">
    <dataField name="Suma de monto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A8AC5-971B-487E-AC0A-FE78C4567835}" name="TablaDinámica1" cacheId="65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AK5" firstHeaderRow="1" firstDataRow="3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15">
        <item x="8"/>
        <item x="5"/>
        <item x="9"/>
        <item x="4"/>
        <item x="10"/>
        <item x="3"/>
        <item x="11"/>
        <item x="6"/>
        <item x="1"/>
        <item x="2"/>
        <item x="0"/>
        <item x="7"/>
        <item h="1" x="13"/>
        <item h="1" x="12"/>
        <item t="default"/>
      </items>
    </pivotField>
    <pivotField axis="axisCol" compact="0" outline="0" showAll="0">
      <items count="7">
        <item x="0"/>
        <item x="1"/>
        <item x="2"/>
        <item x="4"/>
        <item h="1" x="5"/>
        <item h="1" x="3"/>
        <item t="default"/>
      </items>
    </pivotField>
  </pivotFields>
  <rowItems count="1">
    <i/>
  </rowItems>
  <colFields count="2">
    <field x="13"/>
    <field x="12"/>
  </colFields>
  <colItems count="36">
    <i>
      <x/>
      <x v="5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2"/>
    </i>
    <i>
      <x v="3"/>
      <x/>
    </i>
    <i r="1">
      <x v="4"/>
    </i>
    <i t="default">
      <x v="3"/>
    </i>
    <i t="grand">
      <x/>
    </i>
  </colItems>
  <dataFields count="1">
    <dataField name="Suma de Restante por pagar cliente USD" fld="9" baseField="0" baseItem="0"/>
  </dataFields>
  <formats count="9">
    <format dxfId="0">
      <pivotArea outline="0" collapsedLevelsAreSubtotals="1" fieldPosition="0"/>
    </format>
    <format dxfId="1">
      <pivotArea outline="0" fieldPosition="0">
        <references count="2">
          <reference field="12" count="4" selected="0">
            <x v="8"/>
            <x v="9"/>
            <x v="10"/>
            <x v="11"/>
          </reference>
          <reference field="13" count="1" selected="0">
            <x v="0"/>
          </reference>
        </references>
      </pivotArea>
    </format>
    <format dxfId="2">
      <pivotArea outline="0" fieldPosition="0">
        <references count="2">
          <reference field="12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3" count="1" selected="0">
            <x v="1"/>
          </reference>
        </references>
      </pivotArea>
    </format>
    <format dxfId="3">
      <pivotArea outline="0" fieldPosition="0">
        <references count="2">
          <reference field="12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  <reference field="13" count="1" selected="0">
            <x v="2"/>
          </reference>
        </references>
      </pivotArea>
    </format>
    <format dxfId="4">
      <pivotArea outline="0" fieldPosition="0">
        <references count="2">
          <reference field="12" count="2" selected="0">
            <x v="0"/>
            <x v="4"/>
          </reference>
          <reference field="13" count="1" selected="0">
            <x v="3"/>
          </reference>
        </references>
      </pivotArea>
    </format>
    <format dxfId="5">
      <pivotArea dataOnly="0" labelOnly="1" outline="0" fieldPosition="0">
        <references count="1">
          <reference field="13" count="1" defaultSubtotal="1">
            <x v="0"/>
          </reference>
        </references>
      </pivotArea>
    </format>
    <format dxfId="6">
      <pivotArea dataOnly="0" labelOnly="1" outline="0" fieldPosition="0">
        <references count="1">
          <reference field="13" count="1" defaultSubtotal="1">
            <x v="1"/>
          </reference>
        </references>
      </pivotArea>
    </format>
    <format dxfId="7">
      <pivotArea dataOnly="0" labelOnly="1" outline="0" fieldPosition="0">
        <references count="1">
          <reference field="13" count="1" defaultSubtotal="1">
            <x v="2"/>
          </reference>
        </references>
      </pivotArea>
    </format>
    <format dxfId="8">
      <pivotArea dataOnly="0" labelOnly="1" outline="0" fieldPosition="0">
        <references count="1">
          <reference field="13" count="1" defaultSubtotal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8B3EB-084B-4C18-A359-0BCD1382F82E}" name="Tabla dinámica2" cacheId="65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C632" firstHeaderRow="0" firstDataRow="1" firstDataCol="1"/>
  <pivotFields count="5">
    <pivotField axis="axisRow" compact="0" outline="0" showAll="0">
      <items count="6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t="default"/>
      </items>
    </pivotField>
    <pivotField dataField="1" compact="0" outline="0" showAll="0">
      <items count="1149">
        <item x="313"/>
        <item x="967"/>
        <item x="653"/>
        <item x="429"/>
        <item x="706"/>
        <item x="667"/>
        <item x="263"/>
        <item x="57"/>
        <item x="1109"/>
        <item x="20"/>
        <item x="394"/>
        <item x="80"/>
        <item x="155"/>
        <item x="478"/>
        <item x="104"/>
        <item x="154"/>
        <item x="108"/>
        <item x="206"/>
        <item x="475"/>
        <item x="490"/>
        <item x="622"/>
        <item x="368"/>
        <item x="786"/>
        <item x="1046"/>
        <item x="511"/>
        <item x="1058"/>
        <item x="751"/>
        <item x="819"/>
        <item x="473"/>
        <item x="871"/>
        <item x="492"/>
        <item x="476"/>
        <item x="508"/>
        <item x="245"/>
        <item x="862"/>
        <item x="880"/>
        <item x="797"/>
        <item x="540"/>
        <item x="738"/>
        <item x="28"/>
        <item x="621"/>
        <item x="488"/>
        <item x="486"/>
        <item x="489"/>
        <item x="1099"/>
        <item x="474"/>
        <item x="45"/>
        <item x="739"/>
        <item x="89"/>
        <item x="434"/>
        <item x="487"/>
        <item x="116"/>
        <item x="817"/>
        <item x="359"/>
        <item x="1016"/>
        <item x="95"/>
        <item x="68"/>
        <item x="343"/>
        <item x="1015"/>
        <item x="247"/>
        <item x="678"/>
        <item x="481"/>
        <item x="641"/>
        <item x="749"/>
        <item x="497"/>
        <item x="482"/>
        <item x="480"/>
        <item x="617"/>
        <item x="72"/>
        <item x="106"/>
        <item x="197"/>
        <item x="105"/>
        <item x="491"/>
        <item x="162"/>
        <item x="323"/>
        <item x="48"/>
        <item x="691"/>
        <item x="697"/>
        <item x="485"/>
        <item x="30"/>
        <item x="673"/>
        <item x="39"/>
        <item x="47"/>
        <item x="384"/>
        <item x="233"/>
        <item x="526"/>
        <item x="692"/>
        <item x="900"/>
        <item x="683"/>
        <item x="136"/>
        <item x="590"/>
        <item x="223"/>
        <item x="350"/>
        <item x="87"/>
        <item x="357"/>
        <item x="42"/>
        <item x="680"/>
        <item x="1084"/>
        <item x="894"/>
        <item x="293"/>
        <item x="1122"/>
        <item x="118"/>
        <item x="297"/>
        <item x="725"/>
        <item x="632"/>
        <item x="866"/>
        <item x="472"/>
        <item x="295"/>
        <item x="479"/>
        <item x="477"/>
        <item x="846"/>
        <item x="693"/>
        <item x="987"/>
        <item x="280"/>
        <item x="958"/>
        <item x="1112"/>
        <item x="224"/>
        <item x="565"/>
        <item x="773"/>
        <item x="740"/>
        <item x="302"/>
        <item x="889"/>
        <item x="618"/>
        <item x="493"/>
        <item x="597"/>
        <item x="460"/>
        <item x="96"/>
        <item x="69"/>
        <item x="56"/>
        <item x="1091"/>
        <item x="864"/>
        <item x="1019"/>
        <item x="191"/>
        <item x="285"/>
        <item x="679"/>
        <item x="1108"/>
        <item x="682"/>
        <item x="365"/>
        <item x="1001"/>
        <item x="465"/>
        <item x="843"/>
        <item x="770"/>
        <item x="300"/>
        <item x="551"/>
        <item x="81"/>
        <item x="1106"/>
        <item x="572"/>
        <item x="847"/>
        <item x="347"/>
        <item x="911"/>
        <item x="107"/>
        <item x="18"/>
        <item x="174"/>
        <item x="413"/>
        <item x="494"/>
        <item x="258"/>
        <item x="1026"/>
        <item x="704"/>
        <item x="615"/>
        <item x="562"/>
        <item x="865"/>
        <item x="43"/>
        <item x="899"/>
        <item x="1030"/>
        <item x="356"/>
        <item x="296"/>
        <item x="611"/>
        <item x="1123"/>
        <item x="727"/>
        <item x="969"/>
        <item x="321"/>
        <item x="140"/>
        <item x="282"/>
        <item x="629"/>
        <item x="130"/>
        <item x="417"/>
        <item x="78"/>
        <item x="785"/>
        <item x="320"/>
        <item x="188"/>
        <item x="33"/>
        <item x="1022"/>
        <item x="1038"/>
        <item x="355"/>
        <item x="119"/>
        <item x="265"/>
        <item x="102"/>
        <item x="541"/>
        <item x="115"/>
        <item x="876"/>
        <item x="878"/>
        <item x="51"/>
        <item x="9"/>
        <item x="446"/>
        <item x="863"/>
        <item x="606"/>
        <item x="157"/>
        <item x="226"/>
        <item x="149"/>
        <item x="589"/>
        <item x="1120"/>
        <item x="979"/>
        <item x="811"/>
        <item x="358"/>
        <item x="750"/>
        <item x="674"/>
        <item x="1113"/>
        <item x="373"/>
        <item x="234"/>
        <item x="388"/>
        <item x="294"/>
        <item x="1061"/>
        <item x="31"/>
        <item x="248"/>
        <item x="849"/>
        <item x="921"/>
        <item x="830"/>
        <item x="117"/>
        <item x="292"/>
        <item x="694"/>
        <item x="787"/>
        <item x="737"/>
        <item x="1093"/>
        <item x="153"/>
        <item x="27"/>
        <item x="311"/>
        <item x="431"/>
        <item x="114"/>
        <item x="262"/>
        <item x="122"/>
        <item x="934"/>
        <item x="609"/>
        <item x="185"/>
        <item x="298"/>
        <item x="354"/>
        <item x="44"/>
        <item x="277"/>
        <item x="743"/>
        <item x="1045"/>
        <item x="875"/>
        <item x="397"/>
        <item x="711"/>
        <item x="286"/>
        <item x="483"/>
        <item x="470"/>
        <item x="83"/>
        <item x="933"/>
        <item x="1054"/>
        <item x="581"/>
        <item x="624"/>
        <item x="94"/>
        <item x="393"/>
        <item x="278"/>
        <item x="16"/>
        <item x="137"/>
        <item x="1053"/>
        <item x="996"/>
        <item x="845"/>
        <item x="796"/>
        <item x="499"/>
        <item x="67"/>
        <item x="346"/>
        <item x="352"/>
        <item x="813"/>
        <item x="812"/>
        <item x="182"/>
        <item x="802"/>
        <item x="1089"/>
        <item x="438"/>
        <item x="284"/>
        <item x="795"/>
        <item x="783"/>
        <item x="981"/>
        <item x="909"/>
        <item x="466"/>
        <item x="61"/>
        <item x="196"/>
        <item x="857"/>
        <item x="612"/>
        <item x="742"/>
        <item x="41"/>
        <item x="125"/>
        <item x="84"/>
        <item x="839"/>
        <item x="432"/>
        <item x="895"/>
        <item x="128"/>
        <item x="17"/>
        <item x="549"/>
        <item x="141"/>
        <item x="36"/>
        <item x="1037"/>
        <item x="723"/>
        <item x="46"/>
        <item x="966"/>
        <item x="643"/>
        <item x="98"/>
        <item x="237"/>
        <item x="984"/>
        <item x="360"/>
        <item x="529"/>
        <item x="257"/>
        <item x="167"/>
        <item x="627"/>
        <item x="35"/>
        <item x="82"/>
        <item x="504"/>
        <item x="168"/>
        <item x="542"/>
        <item x="528"/>
        <item x="722"/>
        <item x="970"/>
        <item x="21"/>
        <item x="1034"/>
        <item x="349"/>
        <item x="647"/>
        <item x="752"/>
        <item x="15"/>
        <item x="801"/>
        <item x="142"/>
        <item x="852"/>
        <item x="183"/>
        <item x="306"/>
        <item x="1132"/>
        <item x="913"/>
        <item x="759"/>
        <item x="735"/>
        <item x="64"/>
        <item x="8"/>
        <item x="681"/>
        <item x="201"/>
        <item x="177"/>
        <item x="708"/>
        <item x="453"/>
        <item x="222"/>
        <item x="607"/>
        <item x="335"/>
        <item x="123"/>
        <item x="608"/>
        <item x="655"/>
        <item x="997"/>
        <item x="910"/>
        <item x="539"/>
        <item x="387"/>
        <item x="1060"/>
        <item x="273"/>
        <item x="211"/>
        <item x="166"/>
        <item x="1071"/>
        <item x="669"/>
        <item x="717"/>
        <item x="424"/>
        <item x="449"/>
        <item x="406"/>
        <item x="239"/>
        <item x="955"/>
        <item x="288"/>
        <item x="264"/>
        <item x="85"/>
        <item x="1028"/>
        <item x="414"/>
        <item x="275"/>
        <item x="808"/>
        <item x="235"/>
        <item x="940"/>
        <item x="457"/>
        <item x="184"/>
        <item x="281"/>
        <item x="1117"/>
        <item x="547"/>
        <item x="279"/>
        <item x="241"/>
        <item x="389"/>
        <item x="885"/>
        <item x="848"/>
        <item x="756"/>
        <item x="165"/>
        <item x="455"/>
        <item x="906"/>
        <item x="1121"/>
        <item x="1005"/>
        <item x="925"/>
        <item x="744"/>
        <item x="777"/>
        <item x="633"/>
        <item x="246"/>
        <item x="814"/>
        <item x="550"/>
        <item x="956"/>
        <item x="748"/>
        <item x="456"/>
        <item x="818"/>
        <item x="209"/>
        <item x="816"/>
        <item x="538"/>
        <item x="835"/>
        <item x="322"/>
        <item x="831"/>
        <item x="763"/>
        <item x="527"/>
        <item x="521"/>
        <item x="192"/>
        <item x="1079"/>
        <item x="760"/>
        <item x="1040"/>
        <item x="156"/>
        <item x="1111"/>
        <item x="688"/>
        <item x="212"/>
        <item x="912"/>
        <item x="650"/>
        <item x="440"/>
        <item x="571"/>
        <item x="588"/>
        <item x="1006"/>
        <item x="983"/>
        <item x="444"/>
        <item x="626"/>
        <item x="143"/>
        <item x="604"/>
        <item x="49"/>
        <item x="256"/>
        <item x="500"/>
        <item x="850"/>
        <item x="564"/>
        <item x="561"/>
        <item x="146"/>
        <item x="274"/>
        <item x="1008"/>
        <item x="112"/>
        <item x="873"/>
        <item x="402"/>
        <item x="121"/>
        <item x="421"/>
        <item x="776"/>
        <item x="40"/>
        <item x="334"/>
        <item x="554"/>
        <item x="553"/>
        <item x="548"/>
        <item x="150"/>
        <item x="1029"/>
        <item x="458"/>
        <item x="496"/>
        <item x="158"/>
        <item x="319"/>
        <item x="271"/>
        <item x="1056"/>
        <item x="841"/>
        <item x="32"/>
        <item x="853"/>
        <item x="1077"/>
        <item x="6"/>
        <item x="640"/>
        <item x="503"/>
        <item x="631"/>
        <item x="120"/>
        <item x="614"/>
        <item x="898"/>
        <item x="501"/>
        <item x="308"/>
        <item x="1044"/>
        <item x="714"/>
        <item x="202"/>
        <item x="907"/>
        <item x="532"/>
        <item x="385"/>
        <item x="180"/>
        <item x="276"/>
        <item x="1057"/>
        <item x="398"/>
        <item x="152"/>
        <item x="729"/>
        <item x="579"/>
        <item x="1033"/>
        <item x="715"/>
        <item x="1081"/>
        <item x="171"/>
        <item x="769"/>
        <item x="755"/>
        <item x="283"/>
        <item x="1043"/>
        <item x="390"/>
        <item x="856"/>
        <item x="625"/>
        <item x="800"/>
        <item x="163"/>
        <item x="1072"/>
        <item x="179"/>
        <item x="148"/>
        <item x="151"/>
        <item x="677"/>
        <item x="1062"/>
        <item x="1103"/>
        <item x="131"/>
        <item x="599"/>
        <item x="663"/>
        <item x="60"/>
        <item x="810"/>
        <item x="616"/>
        <item x="261"/>
        <item x="1074"/>
        <item x="923"/>
        <item x="844"/>
        <item x="422"/>
        <item x="728"/>
        <item x="395"/>
        <item x="19"/>
        <item x="666"/>
        <item x="820"/>
        <item x="399"/>
        <item x="964"/>
        <item x="870"/>
        <item x="502"/>
        <item x="173"/>
        <item x="840"/>
        <item x="126"/>
        <item x="242"/>
        <item x="1127"/>
        <item x="660"/>
        <item x="583"/>
        <item x="546"/>
        <item x="327"/>
        <item x="623"/>
        <item x="587"/>
        <item x="543"/>
        <item x="924"/>
        <item x="1018"/>
        <item x="758"/>
        <item x="668"/>
        <item x="382"/>
        <item x="855"/>
        <item x="809"/>
        <item x="874"/>
        <item x="858"/>
        <item x="391"/>
        <item x="133"/>
        <item x="176"/>
        <item x="705"/>
        <item x="775"/>
        <item x="1007"/>
        <item x="255"/>
        <item x="401"/>
        <item x="524"/>
        <item x="253"/>
        <item x="1003"/>
        <item x="578"/>
        <item x="670"/>
        <item x="558"/>
        <item x="63"/>
        <item x="563"/>
        <item x="416"/>
        <item x="1107"/>
        <item x="560"/>
        <item x="582"/>
        <item x="778"/>
        <item x="1118"/>
        <item x="799"/>
        <item x="375"/>
        <item x="92"/>
        <item x="1059"/>
        <item x="710"/>
        <item x="861"/>
        <item x="585"/>
        <item x="26"/>
        <item x="753"/>
        <item x="1063"/>
        <item x="720"/>
        <item x="316"/>
        <item x="169"/>
        <item x="392"/>
        <item x="315"/>
        <item x="570"/>
        <item x="208"/>
        <item x="838"/>
        <item x="613"/>
        <item x="305"/>
        <item x="867"/>
        <item x="1102"/>
        <item x="290"/>
        <item x="595"/>
        <item x="1000"/>
        <item x="959"/>
        <item x="445"/>
        <item x="238"/>
        <item x="0"/>
        <item x="664"/>
        <item x="1114"/>
        <item x="351"/>
        <item x="442"/>
        <item x="826"/>
        <item x="1047"/>
        <item x="636"/>
        <item x="929"/>
        <item x="353"/>
        <item x="794"/>
        <item x="768"/>
        <item x="883"/>
        <item x="326"/>
        <item x="24"/>
        <item x="132"/>
        <item x="219"/>
        <item x="517"/>
        <item x="464"/>
        <item x="101"/>
        <item x="225"/>
        <item x="299"/>
        <item x="439"/>
        <item x="960"/>
        <item x="793"/>
        <item x="724"/>
        <item x="1096"/>
        <item x="164"/>
        <item x="268"/>
        <item x="1065"/>
        <item x="832"/>
        <item x="823"/>
        <item x="1094"/>
        <item x="7"/>
        <item x="377"/>
        <item x="586"/>
        <item x="886"/>
        <item x="908"/>
        <item x="160"/>
        <item x="159"/>
        <item x="575"/>
        <item x="635"/>
        <item x="378"/>
        <item x="877"/>
        <item x="963"/>
        <item x="696"/>
        <item x="124"/>
        <item x="200"/>
        <item x="662"/>
        <item x="761"/>
        <item x="672"/>
        <item x="175"/>
        <item x="869"/>
        <item x="919"/>
        <item x="598"/>
        <item x="250"/>
        <item x="12"/>
        <item x="221"/>
        <item x="860"/>
        <item x="757"/>
        <item x="1143"/>
        <item x="436"/>
        <item x="544"/>
        <item x="338"/>
        <item x="789"/>
        <item x="764"/>
        <item x="712"/>
        <item x="29"/>
        <item x="376"/>
        <item x="774"/>
        <item x="318"/>
        <item x="1032"/>
        <item x="824"/>
        <item x="415"/>
        <item x="450"/>
        <item x="37"/>
        <item x="535"/>
        <item x="591"/>
        <item x="779"/>
        <item x="1075"/>
        <item x="207"/>
        <item x="471"/>
        <item x="100"/>
        <item x="533"/>
        <item x="199"/>
        <item x="240"/>
        <item x="992"/>
        <item x="314"/>
        <item x="603"/>
        <item x="53"/>
        <item x="138"/>
        <item x="231"/>
        <item x="111"/>
        <item x="719"/>
        <item x="995"/>
        <item x="97"/>
        <item x="788"/>
        <item x="229"/>
        <item x="834"/>
        <item x="216"/>
        <item x="754"/>
        <item x="213"/>
        <item x="815"/>
        <item x="1024"/>
        <item x="13"/>
        <item x="726"/>
        <item x="1035"/>
        <item x="888"/>
        <item x="443"/>
        <item x="634"/>
        <item x="243"/>
        <item x="4"/>
        <item x="531"/>
        <item x="447"/>
        <item x="836"/>
        <item x="23"/>
        <item x="372"/>
        <item x="576"/>
        <item x="178"/>
        <item x="86"/>
        <item x="1139"/>
        <item x="842"/>
        <item x="954"/>
        <item x="325"/>
        <item x="139"/>
        <item x="369"/>
        <item x="928"/>
        <item x="525"/>
        <item x="1087"/>
        <item x="448"/>
        <item x="187"/>
        <item x="1088"/>
        <item x="1020"/>
        <item x="918"/>
        <item x="905"/>
        <item x="145"/>
        <item x="972"/>
        <item x="1104"/>
        <item x="762"/>
        <item x="716"/>
        <item x="573"/>
        <item x="656"/>
        <item x="733"/>
        <item x="362"/>
        <item x="985"/>
        <item x="463"/>
        <item x="1052"/>
        <item x="859"/>
        <item x="990"/>
        <item x="341"/>
        <item x="1125"/>
        <item x="76"/>
        <item x="420"/>
        <item x="1110"/>
        <item x="25"/>
        <item x="887"/>
        <item x="172"/>
        <item x="709"/>
        <item x="600"/>
        <item x="686"/>
        <item x="713"/>
        <item x="637"/>
        <item x="269"/>
        <item x="252"/>
        <item x="639"/>
        <item x="217"/>
        <item x="522"/>
        <item x="1097"/>
        <item x="88"/>
        <item x="430"/>
        <item x="215"/>
        <item x="941"/>
        <item x="214"/>
        <item x="530"/>
        <item x="837"/>
        <item x="333"/>
        <item x="545"/>
        <item x="932"/>
        <item x="901"/>
        <item x="917"/>
        <item x="1126"/>
        <item x="596"/>
        <item x="657"/>
        <item x="1092"/>
        <item x="523"/>
        <item x="961"/>
        <item x="916"/>
        <item x="1083"/>
        <item x="957"/>
        <item x="11"/>
        <item x="993"/>
        <item x="659"/>
        <item x="1027"/>
        <item x="514"/>
        <item x="34"/>
        <item x="147"/>
        <item x="868"/>
        <item x="965"/>
        <item x="307"/>
        <item x="408"/>
        <item x="628"/>
        <item x="1012"/>
        <item x="505"/>
        <item x="203"/>
        <item x="732"/>
        <item x="592"/>
        <item x="342"/>
        <item x="386"/>
        <item x="687"/>
        <item x="396"/>
        <item x="1082"/>
        <item x="1066"/>
        <item x="1095"/>
        <item x="555"/>
        <item x="1086"/>
        <item x="193"/>
        <item x="266"/>
        <item x="236"/>
        <item x="602"/>
        <item x="1124"/>
        <item x="189"/>
        <item x="374"/>
        <item x="630"/>
        <item x="412"/>
        <item x="1021"/>
        <item x="922"/>
        <item x="433"/>
        <item x="684"/>
        <item x="772"/>
        <item x="220"/>
        <item x="661"/>
        <item x="459"/>
        <item x="766"/>
        <item x="452"/>
        <item x="328"/>
        <item x="339"/>
        <item x="577"/>
        <item x="651"/>
        <item x="194"/>
        <item x="127"/>
        <item x="821"/>
        <item x="646"/>
        <item x="129"/>
        <item x="518"/>
        <item x="312"/>
        <item x="825"/>
        <item x="506"/>
        <item x="383"/>
        <item x="423"/>
        <item x="348"/>
        <item x="437"/>
        <item x="205"/>
        <item x="337"/>
        <item x="370"/>
        <item x="833"/>
        <item x="336"/>
        <item x="567"/>
        <item x="620"/>
        <item x="574"/>
        <item x="227"/>
        <item x="1048"/>
        <item x="920"/>
        <item x="14"/>
        <item x="1090"/>
        <item x="914"/>
        <item x="270"/>
        <item x="103"/>
        <item x="1119"/>
        <item x="1010"/>
        <item x="736"/>
        <item x="685"/>
        <item x="65"/>
        <item x="186"/>
        <item x="441"/>
        <item x="340"/>
        <item x="170"/>
        <item x="1011"/>
        <item x="428"/>
        <item x="301"/>
        <item x="59"/>
        <item x="272"/>
        <item x="690"/>
        <item x="765"/>
        <item x="741"/>
        <item x="879"/>
        <item x="1101"/>
        <item x="903"/>
        <item x="1115"/>
        <item x="52"/>
        <item x="536"/>
        <item x="584"/>
        <item x="891"/>
        <item x="980"/>
        <item x="828"/>
        <item x="731"/>
        <item x="559"/>
        <item x="303"/>
        <item x="232"/>
        <item x="289"/>
        <item x="872"/>
        <item x="881"/>
        <item x="454"/>
        <item x="366"/>
        <item x="593"/>
        <item x="1014"/>
        <item x="411"/>
        <item x="371"/>
        <item x="435"/>
        <item x="791"/>
        <item x="884"/>
        <item x="2"/>
        <item x="645"/>
        <item x="190"/>
        <item x="986"/>
        <item x="580"/>
        <item x="746"/>
        <item x="516"/>
        <item x="854"/>
        <item x="707"/>
        <item x="38"/>
        <item x="619"/>
        <item x="161"/>
        <item x="1031"/>
        <item x="1131"/>
        <item x="135"/>
        <item x="962"/>
        <item x="926"/>
        <item x="730"/>
        <item x="1025"/>
        <item x="1080"/>
        <item x="971"/>
        <item x="1098"/>
        <item x="1070"/>
        <item x="915"/>
        <item x="890"/>
        <item x="254"/>
        <item x="249"/>
        <item x="1002"/>
        <item x="324"/>
        <item x="610"/>
        <item x="829"/>
        <item x="718"/>
        <item x="513"/>
        <item x="557"/>
        <item x="1137"/>
        <item x="1105"/>
        <item x="210"/>
        <item x="1039"/>
        <item x="745"/>
        <item x="882"/>
        <item x="409"/>
        <item x="698"/>
        <item x="90"/>
        <item x="498"/>
        <item x="73"/>
        <item x="927"/>
        <item x="851"/>
        <item x="66"/>
        <item x="734"/>
        <item x="982"/>
        <item x="310"/>
        <item x="1051"/>
        <item x="566"/>
        <item x="344"/>
        <item x="676"/>
        <item x="1145"/>
        <item x="520"/>
        <item x="10"/>
        <item x="675"/>
        <item x="1085"/>
        <item x="1067"/>
        <item x="345"/>
        <item x="512"/>
        <item x="267"/>
        <item x="654"/>
        <item x="331"/>
        <item x="1129"/>
        <item x="144"/>
        <item x="784"/>
        <item x="519"/>
        <item x="822"/>
        <item x="703"/>
        <item x="904"/>
        <item x="1042"/>
        <item x="484"/>
        <item x="638"/>
        <item x="93"/>
        <item x="938"/>
        <item x="309"/>
        <item x="989"/>
        <item x="134"/>
        <item x="902"/>
        <item x="380"/>
        <item x="569"/>
        <item x="1068"/>
        <item x="427"/>
        <item x="658"/>
        <item x="689"/>
        <item x="771"/>
        <item x="230"/>
        <item x="1136"/>
        <item x="195"/>
        <item x="495"/>
        <item x="425"/>
        <item x="1017"/>
        <item x="317"/>
        <item x="931"/>
        <item x="181"/>
        <item x="827"/>
        <item x="77"/>
        <item x="400"/>
        <item x="58"/>
        <item x="381"/>
        <item x="1130"/>
        <item x="259"/>
        <item x="1049"/>
        <item x="568"/>
        <item x="790"/>
        <item x="260"/>
        <item x="534"/>
        <item x="994"/>
        <item x="113"/>
        <item x="1128"/>
        <item x="419"/>
        <item x="649"/>
        <item x="665"/>
        <item x="55"/>
        <item x="767"/>
        <item x="605"/>
        <item x="410"/>
        <item x="198"/>
        <item x="896"/>
        <item x="468"/>
        <item x="594"/>
        <item x="405"/>
        <item x="418"/>
        <item x="892"/>
        <item x="5"/>
        <item x="62"/>
        <item x="110"/>
        <item x="287"/>
        <item x="1064"/>
        <item x="332"/>
        <item x="930"/>
        <item x="792"/>
        <item x="75"/>
        <item x="407"/>
        <item x="695"/>
        <item x="1050"/>
        <item x="1069"/>
        <item x="897"/>
        <item x="893"/>
        <item x="1036"/>
        <item x="109"/>
        <item x="1004"/>
        <item x="700"/>
        <item x="1135"/>
        <item x="507"/>
        <item x="1076"/>
        <item x="537"/>
        <item x="552"/>
        <item x="74"/>
        <item x="1013"/>
        <item x="721"/>
        <item x="367"/>
        <item x="642"/>
        <item x="1134"/>
        <item x="936"/>
        <item x="998"/>
        <item x="671"/>
        <item x="91"/>
        <item x="701"/>
        <item x="228"/>
        <item x="988"/>
        <item x="451"/>
        <item x="510"/>
        <item x="404"/>
        <item x="699"/>
        <item x="379"/>
        <item x="702"/>
        <item x="469"/>
        <item x="244"/>
        <item x="218"/>
        <item x="467"/>
        <item x="361"/>
        <item x="363"/>
        <item x="426"/>
        <item x="1133"/>
        <item x="937"/>
        <item x="644"/>
        <item x="977"/>
        <item x="1144"/>
        <item x="330"/>
        <item x="939"/>
        <item x="329"/>
        <item x="1116"/>
        <item x="1146"/>
        <item x="1073"/>
        <item x="70"/>
        <item x="1100"/>
        <item x="556"/>
        <item x="1055"/>
        <item x="601"/>
        <item x="747"/>
        <item x="1078"/>
        <item x="968"/>
        <item x="403"/>
        <item x="71"/>
        <item x="22"/>
        <item x="251"/>
        <item x="515"/>
        <item x="1142"/>
        <item x="975"/>
        <item x="79"/>
        <item x="782"/>
        <item x="50"/>
        <item x="991"/>
        <item x="1141"/>
        <item x="364"/>
        <item x="3"/>
        <item x="54"/>
        <item x="462"/>
        <item x="947"/>
        <item x="978"/>
        <item x="99"/>
        <item x="304"/>
        <item x="973"/>
        <item x="461"/>
        <item x="648"/>
        <item x="1138"/>
        <item x="509"/>
        <item x="781"/>
        <item x="949"/>
        <item x="948"/>
        <item x="652"/>
        <item x="942"/>
        <item x="806"/>
        <item x="1041"/>
        <item x="935"/>
        <item x="1"/>
        <item x="976"/>
        <item x="780"/>
        <item x="974"/>
        <item x="943"/>
        <item x="1140"/>
        <item x="291"/>
        <item x="803"/>
        <item x="999"/>
        <item x="951"/>
        <item x="807"/>
        <item x="953"/>
        <item x="1009"/>
        <item x="805"/>
        <item x="204"/>
        <item x="944"/>
        <item x="804"/>
        <item x="946"/>
        <item x="945"/>
        <item x="798"/>
        <item x="950"/>
        <item x="1023"/>
        <item x="952"/>
        <item x="1147"/>
        <item t="default"/>
      </items>
    </pivotField>
    <pivotField dataField="1" compact="0" outline="0" showAll="0">
      <items count="9">
        <item x="4"/>
        <item x="0"/>
        <item x="5"/>
        <item x="3"/>
        <item x="6"/>
        <item x="1"/>
        <item x="2"/>
        <item x="7"/>
        <item t="default"/>
      </items>
    </pivotField>
    <pivotField compact="0" outline="0" showAll="0"/>
    <pivotField compact="0" outline="0" showAll="0"/>
  </pivotFields>
  <rowFields count="1">
    <field x="0"/>
  </rowFields>
  <rowItems count="6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onto_pagado" fld="1" baseField="0" baseItem="0"/>
    <dataField name="Suma de moneda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AI1236"/>
  <sheetViews>
    <sheetView workbookViewId="0">
      <pane ySplit="1" topLeftCell="A2" activePane="bottomLeft" state="frozen"/>
      <selection pane="bottomLeft" activeCell="Z15" sqref="Z15"/>
    </sheetView>
  </sheetViews>
  <sheetFormatPr defaultColWidth="11.42578125" defaultRowHeight="15"/>
  <cols>
    <col min="3" max="3" width="13.7109375" bestFit="1" customWidth="1"/>
    <col min="4" max="4" width="15.85546875" bestFit="1" customWidth="1"/>
    <col min="5" max="5" width="16.140625" bestFit="1" customWidth="1"/>
    <col min="6" max="6" width="16.7109375" bestFit="1" customWidth="1"/>
    <col min="7" max="7" width="15.5703125" bestFit="1" customWidth="1"/>
    <col min="8" max="8" width="15.85546875" bestFit="1" customWidth="1"/>
    <col min="9" max="9" width="21.5703125" bestFit="1" customWidth="1"/>
    <col min="10" max="10" width="26.140625" bestFit="1" customWidth="1"/>
    <col min="11" max="11" width="15.140625" bestFit="1" customWidth="1"/>
    <col min="12" max="12" width="27.5703125" bestFit="1" customWidth="1"/>
    <col min="13" max="13" width="20.42578125" bestFit="1" customWidth="1"/>
    <col min="14" max="14" width="20" bestFit="1" customWidth="1"/>
    <col min="15" max="15" width="2.85546875" style="6" customWidth="1"/>
    <col min="18" max="18" width="20.42578125" bestFit="1" customWidth="1"/>
    <col min="19" max="19" width="11.42578125" style="7"/>
    <col min="20" max="20" width="19.28515625" bestFit="1" customWidth="1"/>
    <col min="22" max="25" width="14.42578125" customWidth="1"/>
    <col min="26" max="26" width="10.5703125" bestFit="1" customWidth="1"/>
    <col min="27" max="27" width="15.28515625" bestFit="1" customWidth="1"/>
    <col min="29" max="29" width="19.85546875" bestFit="1" customWidth="1"/>
  </cols>
  <sheetData>
    <row r="1" spans="1: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W1" s="8" t="s">
        <v>15</v>
      </c>
      <c r="X1" s="8" t="s">
        <v>17</v>
      </c>
      <c r="Z1" s="4" t="s">
        <v>20</v>
      </c>
      <c r="AA1" s="4" t="s">
        <v>2</v>
      </c>
      <c r="AB1" s="4" t="s">
        <v>17</v>
      </c>
      <c r="AC1" s="4" t="s">
        <v>21</v>
      </c>
      <c r="AD1" s="4" t="s">
        <v>22</v>
      </c>
      <c r="AG1" t="s">
        <v>23</v>
      </c>
      <c r="AH1" t="s">
        <v>24</v>
      </c>
      <c r="AI1" t="s">
        <v>25</v>
      </c>
    </row>
    <row r="2" spans="1:35">
      <c r="A2">
        <v>1</v>
      </c>
      <c r="B2" t="str">
        <f>_xlfn.XLOOKUP(A2,Z:Z,AB:AB,"not found")</f>
        <v>EUR</v>
      </c>
      <c r="C2">
        <f>_xlfn.XLOOKUP(A2,Z:Z,AA:AA)-_xlfn.XLOOKUP(A2,Q:Q,R:R,"0")</f>
        <v>250</v>
      </c>
      <c r="D2">
        <f>C2*_xlfn.XLOOKUP(B2,AG:AG,AH:AH)</f>
        <v>250</v>
      </c>
      <c r="E2">
        <f>C2*_xlfn.XLOOKUP(B2,AG:AG,AI:AI)</f>
        <v>290</v>
      </c>
      <c r="F2">
        <v>250</v>
      </c>
      <c r="G2">
        <f>F2*_xlfn.XLOOKUP(B2,AG:AG,AH:AH)</f>
        <v>250</v>
      </c>
      <c r="H2">
        <f>F2*_xlfn.XLOOKUP(B2,AG:AG,AI:AI)</f>
        <v>290</v>
      </c>
      <c r="I2">
        <f>C2-F2+_xlfn.XLOOKUP(A2,Q:Q,R:R,"0")</f>
        <v>0</v>
      </c>
      <c r="J2">
        <f>I2*_xlfn.XLOOKUP(B2,AG:AG,AI:AI)</f>
        <v>0</v>
      </c>
      <c r="K2" s="7">
        <f>_xlfn.XLOOKUP(A2,Z:Z,AD:AD)</f>
        <v>45568</v>
      </c>
      <c r="L2" s="7">
        <f>K2-30</f>
        <v>45538</v>
      </c>
      <c r="M2">
        <f>MONTH(L2)</f>
        <v>9</v>
      </c>
      <c r="N2">
        <f>YEAR(L2)</f>
        <v>2024</v>
      </c>
      <c r="Q2" s="22">
        <v>3</v>
      </c>
      <c r="R2" s="22">
        <v>3400</v>
      </c>
      <c r="S2" s="22" t="str">
        <f>_xlfn.XLOOKUP(Q2,W:W,X:X)</f>
        <v>EUR</v>
      </c>
      <c r="T2" s="22">
        <f>R2*_xlfn.XLOOKUP(S2,AG:AG,AI:AI)</f>
        <v>3943.9999999999995</v>
      </c>
      <c r="U2" s="22" t="s">
        <v>26</v>
      </c>
      <c r="W2" s="9">
        <v>3</v>
      </c>
      <c r="X2" s="9" t="s">
        <v>27</v>
      </c>
      <c r="Z2">
        <v>1</v>
      </c>
      <c r="AA2">
        <v>250</v>
      </c>
      <c r="AB2" s="20" t="s">
        <v>27</v>
      </c>
      <c r="AC2" s="23">
        <f>AA2*_xlfn.XLOOKUP(AB2,AG:AG,AI:AI)</f>
        <v>290</v>
      </c>
      <c r="AD2" s="7">
        <v>45568</v>
      </c>
      <c r="AG2" t="s">
        <v>27</v>
      </c>
      <c r="AH2">
        <v>1</v>
      </c>
      <c r="AI2">
        <v>1.1599999999999999</v>
      </c>
    </row>
    <row r="3" spans="1:35">
      <c r="A3">
        <v>2</v>
      </c>
      <c r="B3" t="str">
        <f>_xlfn.XLOOKUP(A3,Z:Z,AB:AB,"not found")</f>
        <v>USD</v>
      </c>
      <c r="C3">
        <f>_xlfn.XLOOKUP(A3,Z:Z,AA:AA)-_xlfn.XLOOKUP(A3,Q:Q,R:R,"0")</f>
        <v>10530.02</v>
      </c>
      <c r="D3">
        <f>C3*_xlfn.XLOOKUP(B3,AG:AG,AH:AH)</f>
        <v>9055.8171999999995</v>
      </c>
      <c r="E3">
        <f>C3*_xlfn.XLOOKUP(B3,AG:AG,AI:AI)</f>
        <v>10530.02</v>
      </c>
      <c r="F3">
        <v>10530.02</v>
      </c>
      <c r="G3">
        <f>F3*_xlfn.XLOOKUP(B3,AG:AG,AH:AH)</f>
        <v>9055.8171999999995</v>
      </c>
      <c r="H3">
        <f>F3*_xlfn.XLOOKUP(B3,AG:AG,AI:AI)</f>
        <v>10530.02</v>
      </c>
      <c r="I3">
        <f t="shared" ref="I3:I66" si="0">C3-F3+_xlfn.XLOOKUP(A3,Q:Q,R:R,"0")</f>
        <v>0</v>
      </c>
      <c r="J3">
        <f>I3*_xlfn.XLOOKUP(B3,AG:AG,AI:AI)</f>
        <v>0</v>
      </c>
      <c r="K3" s="7">
        <f>_xlfn.XLOOKUP(A3,Z:Z,AD:AD)</f>
        <v>45646</v>
      </c>
      <c r="L3" s="7">
        <f t="shared" ref="L3:L66" si="1">K3-30</f>
        <v>45616</v>
      </c>
      <c r="M3">
        <f t="shared" ref="M3:M66" si="2">MONTH(L3)</f>
        <v>11</v>
      </c>
      <c r="N3">
        <f t="shared" ref="N3:N66" si="3">YEAR(L3)</f>
        <v>2024</v>
      </c>
      <c r="Q3" s="22">
        <v>4</v>
      </c>
      <c r="R3" s="22">
        <v>354545.26</v>
      </c>
      <c r="S3" s="22" t="str">
        <f t="shared" ref="S3:S66" si="4">_xlfn.XLOOKUP(Q3,W:W,X:X)</f>
        <v>MXN</v>
      </c>
      <c r="T3" s="22">
        <f>R3*_xlfn.XLOOKUP(S3,AG:AG,AI:AI)</f>
        <v>19854.53456</v>
      </c>
      <c r="U3" s="22" t="s">
        <v>26</v>
      </c>
      <c r="W3" s="9">
        <v>4</v>
      </c>
      <c r="X3" s="9" t="s">
        <v>28</v>
      </c>
      <c r="Z3">
        <v>2</v>
      </c>
      <c r="AA3">
        <v>10530.02</v>
      </c>
      <c r="AB3" s="20" t="s">
        <v>29</v>
      </c>
      <c r="AC3" s="23">
        <f t="shared" ref="AC3:AC66" si="5">AA3*_xlfn.XLOOKUP(AB3,AG:AG,AI:AI)</f>
        <v>10530.02</v>
      </c>
      <c r="AD3" s="7">
        <v>45646</v>
      </c>
      <c r="AG3" t="s">
        <v>29</v>
      </c>
      <c r="AH3">
        <v>0.86</v>
      </c>
      <c r="AI3">
        <v>1</v>
      </c>
    </row>
    <row r="4" spans="1:35">
      <c r="A4">
        <v>3</v>
      </c>
      <c r="B4" t="str">
        <f>_xlfn.XLOOKUP(A4,Z:Z,AB:AB,"not found")</f>
        <v>EUR</v>
      </c>
      <c r="C4">
        <f>_xlfn.XLOOKUP(A4,Z:Z,AA:AA)-_xlfn.XLOOKUP(A4,Q:Q,R:R,"0")</f>
        <v>0</v>
      </c>
      <c r="D4">
        <f>C4*_xlfn.XLOOKUP(B4,AG:AG,AH:AH)</f>
        <v>0</v>
      </c>
      <c r="E4">
        <f>C4*_xlfn.XLOOKUP(B4,AG:AG,AI:AI)</f>
        <v>0</v>
      </c>
      <c r="F4">
        <v>3400</v>
      </c>
      <c r="G4">
        <f>F4*_xlfn.XLOOKUP(B4,AG:AG,AH:AH)</f>
        <v>3400</v>
      </c>
      <c r="H4">
        <f>F4*_xlfn.XLOOKUP(B4,AG:AG,AI:AI)</f>
        <v>3943.9999999999995</v>
      </c>
      <c r="I4">
        <f t="shared" si="0"/>
        <v>0</v>
      </c>
      <c r="J4">
        <f>I4*_xlfn.XLOOKUP(B4,AG:AG,AI:AI)</f>
        <v>0</v>
      </c>
      <c r="K4" s="7">
        <f>_xlfn.XLOOKUP(A4,Z:Z,AD:AD)</f>
        <v>45568</v>
      </c>
      <c r="L4" s="7">
        <f t="shared" si="1"/>
        <v>45538</v>
      </c>
      <c r="M4">
        <f t="shared" si="2"/>
        <v>9</v>
      </c>
      <c r="N4">
        <f t="shared" si="3"/>
        <v>2024</v>
      </c>
      <c r="Q4" s="22">
        <v>6</v>
      </c>
      <c r="R4" s="22">
        <v>10800</v>
      </c>
      <c r="S4" s="22" t="str">
        <f t="shared" si="4"/>
        <v>EUR</v>
      </c>
      <c r="T4" s="22">
        <f>R4*_xlfn.XLOOKUP(S4,AG:AG,AI:AI)</f>
        <v>12528</v>
      </c>
      <c r="U4" s="22" t="s">
        <v>26</v>
      </c>
      <c r="W4" s="9">
        <v>4</v>
      </c>
      <c r="X4" s="9" t="s">
        <v>28</v>
      </c>
      <c r="Z4">
        <v>3</v>
      </c>
      <c r="AA4">
        <v>3400</v>
      </c>
      <c r="AB4" s="20" t="s">
        <v>27</v>
      </c>
      <c r="AC4" s="23">
        <f t="shared" si="5"/>
        <v>3943.9999999999995</v>
      </c>
      <c r="AD4" s="7">
        <v>45568</v>
      </c>
      <c r="AG4" t="s">
        <v>30</v>
      </c>
      <c r="AH4">
        <v>1.07</v>
      </c>
      <c r="AI4">
        <v>1.25</v>
      </c>
    </row>
    <row r="5" spans="1:35">
      <c r="A5">
        <v>4</v>
      </c>
      <c r="B5" t="str">
        <f>_xlfn.XLOOKUP(A5,Z:Z,AB:AB,"not found")</f>
        <v>MXN</v>
      </c>
      <c r="C5">
        <f>_xlfn.XLOOKUP(A5,Z:Z,AA:AA)-_xlfn.XLOOKUP(A5,Q:Q,R:R,"0")</f>
        <v>0</v>
      </c>
      <c r="D5">
        <f>C5*_xlfn.XLOOKUP(B5,AG:AG,AH:AH)</f>
        <v>0</v>
      </c>
      <c r="E5">
        <f>C5*_xlfn.XLOOKUP(B5,AG:AG,AI:AI)</f>
        <v>0</v>
      </c>
      <c r="F5">
        <v>354545.26</v>
      </c>
      <c r="G5">
        <f>F5*_xlfn.XLOOKUP(B5,AG:AG,AH:AH)</f>
        <v>17018.172480000001</v>
      </c>
      <c r="H5">
        <f>F5*_xlfn.XLOOKUP(B5,AG:AG,AI:AI)</f>
        <v>19854.53456</v>
      </c>
      <c r="I5">
        <f t="shared" si="0"/>
        <v>0</v>
      </c>
      <c r="J5">
        <f>I5*_xlfn.XLOOKUP(B5,AG:AG,AI:AI)</f>
        <v>0</v>
      </c>
      <c r="K5" s="7">
        <f>_xlfn.XLOOKUP(A5,Z:Z,AD:AD)</f>
        <v>45641</v>
      </c>
      <c r="L5" s="7">
        <f t="shared" si="1"/>
        <v>45611</v>
      </c>
      <c r="M5">
        <f t="shared" si="2"/>
        <v>11</v>
      </c>
      <c r="N5">
        <f t="shared" si="3"/>
        <v>2024</v>
      </c>
      <c r="Q5" s="22">
        <v>7</v>
      </c>
      <c r="R5" s="22">
        <v>131952</v>
      </c>
      <c r="S5" s="22" t="str">
        <f t="shared" si="4"/>
        <v>EUR</v>
      </c>
      <c r="T5" s="22">
        <f>R5*_xlfn.XLOOKUP(S5,AG:AG,AI:AI)</f>
        <v>153064.31999999998</v>
      </c>
      <c r="U5" s="22" t="s">
        <v>26</v>
      </c>
      <c r="W5" s="9">
        <v>6</v>
      </c>
      <c r="X5" s="9" t="s">
        <v>27</v>
      </c>
      <c r="Z5">
        <v>4</v>
      </c>
      <c r="AA5">
        <v>354545.26</v>
      </c>
      <c r="AB5" s="20" t="s">
        <v>28</v>
      </c>
      <c r="AC5" s="23">
        <f t="shared" si="5"/>
        <v>19854.53456</v>
      </c>
      <c r="AD5" s="7">
        <v>45641</v>
      </c>
      <c r="AG5" t="s">
        <v>31</v>
      </c>
      <c r="AH5">
        <v>1.1499999999999999</v>
      </c>
      <c r="AI5">
        <v>1.34</v>
      </c>
    </row>
    <row r="6" spans="1:35">
      <c r="A6">
        <v>6</v>
      </c>
      <c r="B6" t="str">
        <f>_xlfn.XLOOKUP(A6,Z:Z,AB:AB,"not found")</f>
        <v>EUR</v>
      </c>
      <c r="C6">
        <f>_xlfn.XLOOKUP(A6,Z:Z,AA:AA)-_xlfn.XLOOKUP(A6,Q:Q,R:R,"0")</f>
        <v>5540</v>
      </c>
      <c r="D6">
        <f>C6*_xlfn.XLOOKUP(B6,AG:AG,AH:AH)</f>
        <v>5540</v>
      </c>
      <c r="E6">
        <f>C6*_xlfn.XLOOKUP(B6,AG:AG,AI:AI)</f>
        <v>6426.4</v>
      </c>
      <c r="F6">
        <v>16340</v>
      </c>
      <c r="G6">
        <f>F6*_xlfn.XLOOKUP(B6,AG:AG,AH:AH)</f>
        <v>16340</v>
      </c>
      <c r="H6">
        <f>F6*_xlfn.XLOOKUP(B6,AG:AG,AI:AI)</f>
        <v>18954.399999999998</v>
      </c>
      <c r="I6">
        <f t="shared" si="0"/>
        <v>0</v>
      </c>
      <c r="J6">
        <f>I6*_xlfn.XLOOKUP(B6,AG:AG,AI:AI)</f>
        <v>0</v>
      </c>
      <c r="K6" s="7">
        <f>_xlfn.XLOOKUP(A6,Z:Z,AD:AD)</f>
        <v>45567</v>
      </c>
      <c r="L6" s="7">
        <f t="shared" si="1"/>
        <v>45537</v>
      </c>
      <c r="M6">
        <f t="shared" si="2"/>
        <v>9</v>
      </c>
      <c r="N6">
        <f t="shared" si="3"/>
        <v>2024</v>
      </c>
      <c r="Q6" s="22">
        <v>9</v>
      </c>
      <c r="R6" s="22">
        <v>4890.32</v>
      </c>
      <c r="S6" s="22" t="str">
        <f t="shared" si="4"/>
        <v>USD</v>
      </c>
      <c r="T6" s="22">
        <f>R6*_xlfn.XLOOKUP(S6,AG:AG,AI:AI)</f>
        <v>4890.32</v>
      </c>
      <c r="U6" s="22" t="s">
        <v>26</v>
      </c>
      <c r="W6" s="9">
        <v>7</v>
      </c>
      <c r="X6" s="9" t="s">
        <v>27</v>
      </c>
      <c r="Z6">
        <v>6</v>
      </c>
      <c r="AA6">
        <v>16340</v>
      </c>
      <c r="AB6" s="20" t="s">
        <v>27</v>
      </c>
      <c r="AC6" s="23">
        <f t="shared" si="5"/>
        <v>18954.399999999998</v>
      </c>
      <c r="AD6" s="7">
        <v>45567</v>
      </c>
      <c r="AG6" t="s">
        <v>32</v>
      </c>
      <c r="AH6">
        <v>1.1499999999999999</v>
      </c>
      <c r="AI6">
        <v>1.34</v>
      </c>
    </row>
    <row r="7" spans="1:35">
      <c r="A7">
        <v>7</v>
      </c>
      <c r="B7" t="str">
        <f>_xlfn.XLOOKUP(A7,Z:Z,AB:AB,"not found")</f>
        <v>EUR</v>
      </c>
      <c r="C7">
        <f>_xlfn.XLOOKUP(A7,Z:Z,AA:AA)-_xlfn.XLOOKUP(A7,Q:Q,R:R,"0")</f>
        <v>39746.709999999992</v>
      </c>
      <c r="D7">
        <f>C7*_xlfn.XLOOKUP(B7,AG:AG,AH:AH)</f>
        <v>39746.709999999992</v>
      </c>
      <c r="E7">
        <f>C7*_xlfn.XLOOKUP(B7,AG:AG,AI:AI)</f>
        <v>46106.183599999989</v>
      </c>
      <c r="F7">
        <v>171698.76</v>
      </c>
      <c r="G7">
        <f>F7*_xlfn.XLOOKUP(B7,AG:AG,AH:AH)</f>
        <v>171698.76</v>
      </c>
      <c r="H7">
        <f>F7*_xlfn.XLOOKUP(B7,AG:AG,AI:AI)</f>
        <v>199170.56159999999</v>
      </c>
      <c r="I7">
        <f t="shared" si="0"/>
        <v>-5.0000000017462298E-2</v>
      </c>
      <c r="J7">
        <f>I7*_xlfn.XLOOKUP(B7,AG:AG,AI:AI)</f>
        <v>-5.8000000020256265E-2</v>
      </c>
      <c r="K7" s="7">
        <f>_xlfn.XLOOKUP(A7,Z:Z,AD:AD)</f>
        <v>45601</v>
      </c>
      <c r="L7" s="7">
        <f t="shared" si="1"/>
        <v>45571</v>
      </c>
      <c r="M7">
        <f t="shared" si="2"/>
        <v>10</v>
      </c>
      <c r="N7">
        <f t="shared" si="3"/>
        <v>2024</v>
      </c>
      <c r="Q7" s="22">
        <v>12</v>
      </c>
      <c r="R7" s="22">
        <v>26496.89</v>
      </c>
      <c r="S7" s="22" t="str">
        <f t="shared" si="4"/>
        <v>EUR</v>
      </c>
      <c r="T7" s="22">
        <f>R7*_xlfn.XLOOKUP(S7,AG:AG,AI:AI)</f>
        <v>30736.392399999997</v>
      </c>
      <c r="U7" s="22" t="s">
        <v>26</v>
      </c>
      <c r="W7" s="9">
        <v>7</v>
      </c>
      <c r="X7" s="9" t="s">
        <v>27</v>
      </c>
      <c r="Z7">
        <v>7</v>
      </c>
      <c r="AA7">
        <v>171698.71</v>
      </c>
      <c r="AB7" s="20" t="s">
        <v>27</v>
      </c>
      <c r="AC7" s="23">
        <f t="shared" si="5"/>
        <v>199170.50359999997</v>
      </c>
      <c r="AD7" s="7">
        <v>45601</v>
      </c>
      <c r="AG7" t="s">
        <v>33</v>
      </c>
      <c r="AH7">
        <v>5.4999999999999997E-3</v>
      </c>
      <c r="AI7">
        <v>6.4000000000000003E-3</v>
      </c>
    </row>
    <row r="8" spans="1:35">
      <c r="A8">
        <v>8</v>
      </c>
      <c r="B8" t="str">
        <f>_xlfn.XLOOKUP(A8,Z:Z,AB:AB,"not found")</f>
        <v>EUR</v>
      </c>
      <c r="C8">
        <f>_xlfn.XLOOKUP(A8,Z:Z,AA:AA)-_xlfn.XLOOKUP(A8,Q:Q,R:R,"0")</f>
        <v>4900</v>
      </c>
      <c r="D8">
        <f>C8*_xlfn.XLOOKUP(B8,AG:AG,AH:AH)</f>
        <v>4900</v>
      </c>
      <c r="E8">
        <f>C8*_xlfn.XLOOKUP(B8,AG:AG,AI:AI)</f>
        <v>5684</v>
      </c>
      <c r="F8">
        <v>4900</v>
      </c>
      <c r="G8">
        <f>F8*_xlfn.XLOOKUP(B8,AG:AG,AH:AH)</f>
        <v>4900</v>
      </c>
      <c r="H8">
        <f>F8*_xlfn.XLOOKUP(B8,AG:AG,AI:AI)</f>
        <v>5684</v>
      </c>
      <c r="I8">
        <f t="shared" si="0"/>
        <v>0</v>
      </c>
      <c r="J8">
        <f>I8*_xlfn.XLOOKUP(B8,AG:AG,AI:AI)</f>
        <v>0</v>
      </c>
      <c r="K8" s="7">
        <f>_xlfn.XLOOKUP(A8,Z:Z,AD:AD)</f>
        <v>45579</v>
      </c>
      <c r="L8" s="7">
        <f t="shared" si="1"/>
        <v>45549</v>
      </c>
      <c r="M8">
        <f t="shared" si="2"/>
        <v>9</v>
      </c>
      <c r="N8">
        <f t="shared" si="3"/>
        <v>2024</v>
      </c>
      <c r="Q8" s="22">
        <v>15</v>
      </c>
      <c r="R8" s="22">
        <v>2327</v>
      </c>
      <c r="S8" s="22" t="str">
        <f t="shared" si="4"/>
        <v>USD</v>
      </c>
      <c r="T8" s="22">
        <f>R8*_xlfn.XLOOKUP(S8,AG:AG,AI:AI)</f>
        <v>2327</v>
      </c>
      <c r="U8" s="22" t="s">
        <v>26</v>
      </c>
      <c r="W8" s="9">
        <v>9</v>
      </c>
      <c r="X8" s="9" t="s">
        <v>29</v>
      </c>
      <c r="Z8">
        <v>8</v>
      </c>
      <c r="AA8">
        <v>4900</v>
      </c>
      <c r="AB8" s="20" t="s">
        <v>27</v>
      </c>
      <c r="AC8" s="23">
        <f t="shared" si="5"/>
        <v>5684</v>
      </c>
      <c r="AD8" s="7">
        <v>45579</v>
      </c>
      <c r="AG8" t="s">
        <v>28</v>
      </c>
      <c r="AH8">
        <v>4.8000000000000001E-2</v>
      </c>
      <c r="AI8">
        <v>5.6000000000000001E-2</v>
      </c>
    </row>
    <row r="9" spans="1:35">
      <c r="A9">
        <v>9</v>
      </c>
      <c r="B9" t="str">
        <f>_xlfn.XLOOKUP(A9,Z:Z,AB:AB,"not found")</f>
        <v>USD</v>
      </c>
      <c r="C9">
        <f>_xlfn.XLOOKUP(A9,Z:Z,AA:AA)-_xlfn.XLOOKUP(A9,Q:Q,R:R,"0")</f>
        <v>30570.480000000003</v>
      </c>
      <c r="D9">
        <f>C9*_xlfn.XLOOKUP(B9,AG:AG,AH:AH)</f>
        <v>26290.612800000003</v>
      </c>
      <c r="E9">
        <f>C9*_xlfn.XLOOKUP(B9,AG:AG,AI:AI)</f>
        <v>30570.480000000003</v>
      </c>
      <c r="F9">
        <v>35460.800000000003</v>
      </c>
      <c r="G9">
        <f>F9*_xlfn.XLOOKUP(B9,AG:AG,AH:AH)</f>
        <v>30496.288</v>
      </c>
      <c r="H9">
        <f>F9*_xlfn.XLOOKUP(B9,AG:AG,AI:AI)</f>
        <v>35460.800000000003</v>
      </c>
      <c r="I9">
        <f t="shared" si="0"/>
        <v>0</v>
      </c>
      <c r="J9">
        <f>I9*_xlfn.XLOOKUP(B9,AG:AG,AI:AI)</f>
        <v>0</v>
      </c>
      <c r="K9" s="7">
        <f>_xlfn.XLOOKUP(A9,Z:Z,AD:AD)</f>
        <v>45653</v>
      </c>
      <c r="L9" s="7">
        <f t="shared" si="1"/>
        <v>45623</v>
      </c>
      <c r="M9">
        <f t="shared" si="2"/>
        <v>11</v>
      </c>
      <c r="N9">
        <f t="shared" si="3"/>
        <v>2024</v>
      </c>
      <c r="Q9" s="22">
        <v>16</v>
      </c>
      <c r="R9" s="22">
        <v>3735</v>
      </c>
      <c r="S9" s="22" t="str">
        <f t="shared" si="4"/>
        <v>USD</v>
      </c>
      <c r="T9" s="22">
        <f>R9*_xlfn.XLOOKUP(S9,AG:AG,AI:AI)</f>
        <v>3735</v>
      </c>
      <c r="U9" s="22" t="s">
        <v>26</v>
      </c>
      <c r="W9" s="9">
        <v>12</v>
      </c>
      <c r="X9" s="9" t="s">
        <v>27</v>
      </c>
      <c r="Z9">
        <v>9</v>
      </c>
      <c r="AA9">
        <v>35460.800000000003</v>
      </c>
      <c r="AB9" s="20" t="s">
        <v>29</v>
      </c>
      <c r="AC9" s="23">
        <f t="shared" si="5"/>
        <v>35460.800000000003</v>
      </c>
      <c r="AD9" s="7">
        <v>45653</v>
      </c>
    </row>
    <row r="10" spans="1:35">
      <c r="A10">
        <v>10</v>
      </c>
      <c r="B10" t="str">
        <f>_xlfn.XLOOKUP(A10,Z:Z,AB:AB,"not found")</f>
        <v>USD</v>
      </c>
      <c r="C10">
        <f>_xlfn.XLOOKUP(A10,Z:Z,AA:AA)-_xlfn.XLOOKUP(A10,Q:Q,R:R,"0")</f>
        <v>1385.62</v>
      </c>
      <c r="D10">
        <f>C10*_xlfn.XLOOKUP(B10,AG:AG,AH:AH)</f>
        <v>1191.6332</v>
      </c>
      <c r="E10">
        <f>C10*_xlfn.XLOOKUP(B10,AG:AG,AI:AI)</f>
        <v>1385.62</v>
      </c>
      <c r="F10">
        <v>1385.62</v>
      </c>
      <c r="G10">
        <f>F10*_xlfn.XLOOKUP(B10,AG:AG,AH:AH)</f>
        <v>1191.6332</v>
      </c>
      <c r="H10">
        <f>F10*_xlfn.XLOOKUP(B10,AG:AG,AI:AI)</f>
        <v>1385.62</v>
      </c>
      <c r="I10">
        <f t="shared" si="0"/>
        <v>0</v>
      </c>
      <c r="J10">
        <f>I10*_xlfn.XLOOKUP(B10,AG:AG,AI:AI)</f>
        <v>0</v>
      </c>
      <c r="K10" s="7">
        <f>_xlfn.XLOOKUP(A10,Z:Z,AD:AD)</f>
        <v>45653</v>
      </c>
      <c r="L10" s="7">
        <f t="shared" si="1"/>
        <v>45623</v>
      </c>
      <c r="M10">
        <f t="shared" si="2"/>
        <v>11</v>
      </c>
      <c r="N10">
        <f t="shared" si="3"/>
        <v>2024</v>
      </c>
      <c r="Q10" s="22">
        <v>17</v>
      </c>
      <c r="R10" s="22">
        <v>1590</v>
      </c>
      <c r="S10" s="22" t="str">
        <f t="shared" si="4"/>
        <v>EUR</v>
      </c>
      <c r="T10" s="22">
        <f>R10*_xlfn.XLOOKUP(S10,AG:AG,AI:AI)</f>
        <v>1844.3999999999999</v>
      </c>
      <c r="U10" s="22" t="s">
        <v>26</v>
      </c>
      <c r="W10" s="9">
        <v>12</v>
      </c>
      <c r="X10" s="9" t="s">
        <v>27</v>
      </c>
      <c r="Z10">
        <v>10</v>
      </c>
      <c r="AA10">
        <v>1385.62</v>
      </c>
      <c r="AB10" s="20" t="s">
        <v>29</v>
      </c>
      <c r="AC10" s="23">
        <f t="shared" si="5"/>
        <v>1385.62</v>
      </c>
      <c r="AD10" s="7">
        <v>45653</v>
      </c>
    </row>
    <row r="11" spans="1:35">
      <c r="A11">
        <v>11</v>
      </c>
      <c r="B11" t="str">
        <f>_xlfn.XLOOKUP(A11,Z:Z,AB:AB,"not found")</f>
        <v>USD</v>
      </c>
      <c r="C11">
        <f>_xlfn.XLOOKUP(A11,Z:Z,AA:AA)-_xlfn.XLOOKUP(A11,Q:Q,R:R,"0")</f>
        <v>1609.66</v>
      </c>
      <c r="D11">
        <f>C11*_xlfn.XLOOKUP(B11,AG:AG,AH:AH)</f>
        <v>1384.3076000000001</v>
      </c>
      <c r="E11">
        <f>C11*_xlfn.XLOOKUP(B11,AG:AG,AI:AI)</f>
        <v>1609.66</v>
      </c>
      <c r="F11">
        <v>1609.66</v>
      </c>
      <c r="G11">
        <f>F11*_xlfn.XLOOKUP(B11,AG:AG,AH:AH)</f>
        <v>1384.3076000000001</v>
      </c>
      <c r="H11">
        <f>F11*_xlfn.XLOOKUP(B11,AG:AG,AI:AI)</f>
        <v>1609.66</v>
      </c>
      <c r="I11">
        <f t="shared" si="0"/>
        <v>0</v>
      </c>
      <c r="J11">
        <f>I11*_xlfn.XLOOKUP(B11,AG:AG,AI:AI)</f>
        <v>0</v>
      </c>
      <c r="K11" s="7">
        <f>_xlfn.XLOOKUP(A11,Z:Z,AD:AD)</f>
        <v>45655</v>
      </c>
      <c r="L11" s="7">
        <f t="shared" si="1"/>
        <v>45625</v>
      </c>
      <c r="M11">
        <f t="shared" si="2"/>
        <v>11</v>
      </c>
      <c r="N11">
        <f t="shared" si="3"/>
        <v>2024</v>
      </c>
      <c r="Q11" s="22">
        <v>20</v>
      </c>
      <c r="R11" s="22">
        <v>803</v>
      </c>
      <c r="S11" s="22" t="str">
        <f t="shared" si="4"/>
        <v>USD</v>
      </c>
      <c r="T11" s="22">
        <f>R11*_xlfn.XLOOKUP(S11,AG:AG,AI:AI)</f>
        <v>803</v>
      </c>
      <c r="U11" s="22" t="s">
        <v>26</v>
      </c>
      <c r="W11" s="9">
        <v>12</v>
      </c>
      <c r="X11" s="9" t="s">
        <v>27</v>
      </c>
      <c r="Z11">
        <v>11</v>
      </c>
      <c r="AA11">
        <v>1609.66</v>
      </c>
      <c r="AB11" s="20" t="s">
        <v>29</v>
      </c>
      <c r="AC11" s="23">
        <f t="shared" si="5"/>
        <v>1609.66</v>
      </c>
      <c r="AD11" s="7">
        <v>45655</v>
      </c>
    </row>
    <row r="12" spans="1:35">
      <c r="A12">
        <v>12</v>
      </c>
      <c r="B12" t="str">
        <f>_xlfn.XLOOKUP(A12,Z:Z,AB:AB,"not found")</f>
        <v>EUR</v>
      </c>
      <c r="C12">
        <f>_xlfn.XLOOKUP(A12,Z:Z,AA:AA)-_xlfn.XLOOKUP(A12,Q:Q,R:R,"0")</f>
        <v>5293.0299999999988</v>
      </c>
      <c r="D12">
        <f>C12*_xlfn.XLOOKUP(B12,AG:AG,AH:AH)</f>
        <v>5293.0299999999988</v>
      </c>
      <c r="E12">
        <f>C12*_xlfn.XLOOKUP(B12,AG:AG,AI:AI)</f>
        <v>6139.9147999999986</v>
      </c>
      <c r="F12">
        <v>31789.919999999998</v>
      </c>
      <c r="G12">
        <f>F12*_xlfn.XLOOKUP(B12,AG:AG,AH:AH)</f>
        <v>31789.919999999998</v>
      </c>
      <c r="H12">
        <f>F12*_xlfn.XLOOKUP(B12,AG:AG,AI:AI)</f>
        <v>36876.307199999996</v>
      </c>
      <c r="I12">
        <f t="shared" si="0"/>
        <v>0</v>
      </c>
      <c r="J12">
        <f>I12*_xlfn.XLOOKUP(B12,AG:AG,AI:AI)</f>
        <v>0</v>
      </c>
      <c r="K12" s="7">
        <f>_xlfn.XLOOKUP(A12,Z:Z,AD:AD)</f>
        <v>45644</v>
      </c>
      <c r="L12" s="7">
        <f t="shared" si="1"/>
        <v>45614</v>
      </c>
      <c r="M12">
        <f t="shared" si="2"/>
        <v>11</v>
      </c>
      <c r="N12">
        <f t="shared" si="3"/>
        <v>2024</v>
      </c>
      <c r="Q12" s="22">
        <v>22</v>
      </c>
      <c r="R12" s="22">
        <v>15077.2</v>
      </c>
      <c r="S12" s="22" t="str">
        <f t="shared" si="4"/>
        <v>EUR</v>
      </c>
      <c r="T12" s="22">
        <f>R12*_xlfn.XLOOKUP(S12,AG:AG,AI:AI)</f>
        <v>17489.552</v>
      </c>
      <c r="U12" s="22" t="s">
        <v>26</v>
      </c>
      <c r="W12" s="9">
        <v>12</v>
      </c>
      <c r="X12" s="9" t="s">
        <v>27</v>
      </c>
      <c r="Z12">
        <v>12</v>
      </c>
      <c r="AA12">
        <v>31789.919999999998</v>
      </c>
      <c r="AB12" s="20" t="s">
        <v>27</v>
      </c>
      <c r="AC12" s="23">
        <f t="shared" si="5"/>
        <v>36876.307199999996</v>
      </c>
      <c r="AD12" s="7">
        <v>45644</v>
      </c>
    </row>
    <row r="13" spans="1:35">
      <c r="A13">
        <v>13</v>
      </c>
      <c r="B13" t="str">
        <f>_xlfn.XLOOKUP(A13,Z:Z,AB:AB,"not found")</f>
        <v>USD</v>
      </c>
      <c r="C13">
        <f>_xlfn.XLOOKUP(A13,Z:Z,AA:AA)-_xlfn.XLOOKUP(A13,Q:Q,R:R,"0")</f>
        <v>5245.16</v>
      </c>
      <c r="D13">
        <f>C13*_xlfn.XLOOKUP(B13,AG:AG,AH:AH)</f>
        <v>4510.8375999999998</v>
      </c>
      <c r="E13">
        <f>C13*_xlfn.XLOOKUP(B13,AG:AG,AI:AI)</f>
        <v>5245.16</v>
      </c>
      <c r="F13">
        <v>5245.16</v>
      </c>
      <c r="G13">
        <f>F13*_xlfn.XLOOKUP(B13,AG:AG,AH:AH)</f>
        <v>4510.8375999999998</v>
      </c>
      <c r="H13">
        <f>F13*_xlfn.XLOOKUP(B13,AG:AG,AI:AI)</f>
        <v>5245.16</v>
      </c>
      <c r="I13">
        <f t="shared" si="0"/>
        <v>0</v>
      </c>
      <c r="J13">
        <f>I13*_xlfn.XLOOKUP(B13,AG:AG,AI:AI)</f>
        <v>0</v>
      </c>
      <c r="K13" s="7">
        <f>_xlfn.XLOOKUP(A13,Z:Z,AD:AD)</f>
        <v>45618</v>
      </c>
      <c r="L13" s="7">
        <f t="shared" si="1"/>
        <v>45588</v>
      </c>
      <c r="M13">
        <f t="shared" si="2"/>
        <v>10</v>
      </c>
      <c r="N13">
        <f t="shared" si="3"/>
        <v>2024</v>
      </c>
      <c r="Q13" s="22">
        <v>26</v>
      </c>
      <c r="R13" s="22">
        <v>6384.58</v>
      </c>
      <c r="S13" s="22" t="str">
        <f t="shared" si="4"/>
        <v>USD</v>
      </c>
      <c r="T13" s="22">
        <f>R13*_xlfn.XLOOKUP(S13,AG:AG,AI:AI)</f>
        <v>6384.58</v>
      </c>
      <c r="U13" s="22" t="s">
        <v>26</v>
      </c>
      <c r="W13" s="9">
        <v>12</v>
      </c>
      <c r="X13" s="9" t="s">
        <v>27</v>
      </c>
      <c r="Z13">
        <v>13</v>
      </c>
      <c r="AA13">
        <v>5245.16</v>
      </c>
      <c r="AB13" s="20" t="s">
        <v>29</v>
      </c>
      <c r="AC13" s="23">
        <f t="shared" si="5"/>
        <v>5245.16</v>
      </c>
      <c r="AD13" s="7">
        <v>45618</v>
      </c>
    </row>
    <row r="14" spans="1:35">
      <c r="A14">
        <v>14</v>
      </c>
      <c r="B14" t="str">
        <f>_xlfn.XLOOKUP(A14,Z:Z,AB:AB,"not found")</f>
        <v>USD</v>
      </c>
      <c r="C14">
        <f>_xlfn.XLOOKUP(A14,Z:Z,AA:AA)-_xlfn.XLOOKUP(A14,Q:Q,R:R,"0")</f>
        <v>46393.48</v>
      </c>
      <c r="D14">
        <f>C14*_xlfn.XLOOKUP(B14,AG:AG,AH:AH)</f>
        <v>39898.392800000001</v>
      </c>
      <c r="E14">
        <f>C14*_xlfn.XLOOKUP(B14,AG:AG,AI:AI)</f>
        <v>46393.48</v>
      </c>
      <c r="F14">
        <v>46393.48</v>
      </c>
      <c r="G14">
        <f>F14*_xlfn.XLOOKUP(B14,AG:AG,AH:AH)</f>
        <v>39898.392800000001</v>
      </c>
      <c r="H14">
        <f>F14*_xlfn.XLOOKUP(B14,AG:AG,AI:AI)</f>
        <v>46393.48</v>
      </c>
      <c r="I14">
        <f t="shared" si="0"/>
        <v>0</v>
      </c>
      <c r="J14">
        <f>I14*_xlfn.XLOOKUP(B14,AG:AG,AI:AI)</f>
        <v>0</v>
      </c>
      <c r="K14" s="7">
        <f>_xlfn.XLOOKUP(A14,Z:Z,AD:AD)</f>
        <v>45964</v>
      </c>
      <c r="L14" s="7">
        <f t="shared" si="1"/>
        <v>45934</v>
      </c>
      <c r="M14">
        <f t="shared" si="2"/>
        <v>10</v>
      </c>
      <c r="N14">
        <f t="shared" si="3"/>
        <v>2025</v>
      </c>
      <c r="Q14" s="22">
        <v>28</v>
      </c>
      <c r="R14" s="22">
        <v>4124.09</v>
      </c>
      <c r="S14" s="22" t="str">
        <f t="shared" si="4"/>
        <v>USD</v>
      </c>
      <c r="T14" s="22">
        <f>R14*_xlfn.XLOOKUP(S14,AG:AG,AI:AI)</f>
        <v>4124.09</v>
      </c>
      <c r="U14" s="22" t="s">
        <v>26</v>
      </c>
      <c r="W14" s="9">
        <v>12</v>
      </c>
      <c r="X14" s="9" t="s">
        <v>27</v>
      </c>
      <c r="Z14">
        <v>14</v>
      </c>
      <c r="AA14">
        <v>46393.48</v>
      </c>
      <c r="AB14" s="20" t="s">
        <v>29</v>
      </c>
      <c r="AC14" s="23">
        <f t="shared" si="5"/>
        <v>46393.48</v>
      </c>
      <c r="AD14" s="7">
        <v>45964</v>
      </c>
    </row>
    <row r="15" spans="1:35">
      <c r="A15">
        <v>15</v>
      </c>
      <c r="B15" t="str">
        <f>_xlfn.XLOOKUP(A15,Z:Z,AB:AB,"not found")</f>
        <v>USD</v>
      </c>
      <c r="C15">
        <f>_xlfn.XLOOKUP(A15,Z:Z,AA:AA)-_xlfn.XLOOKUP(A15,Q:Q,R:R,"0")</f>
        <v>0</v>
      </c>
      <c r="D15">
        <f>C15*_xlfn.XLOOKUP(B15,AG:AG,AH:AH)</f>
        <v>0</v>
      </c>
      <c r="E15">
        <f>C15*_xlfn.XLOOKUP(B15,AG:AG,AI:AI)</f>
        <v>0</v>
      </c>
      <c r="F15">
        <v>2327</v>
      </c>
      <c r="G15">
        <f>F15*_xlfn.XLOOKUP(B15,AG:AG,AH:AH)</f>
        <v>2001.22</v>
      </c>
      <c r="H15">
        <f>F15*_xlfn.XLOOKUP(B15,AG:AG,AI:AI)</f>
        <v>2327</v>
      </c>
      <c r="I15">
        <f t="shared" si="0"/>
        <v>0</v>
      </c>
      <c r="J15">
        <f>I15*_xlfn.XLOOKUP(B15,AG:AG,AI:AI)</f>
        <v>0</v>
      </c>
      <c r="K15" s="7">
        <f>_xlfn.XLOOKUP(A15,Z:Z,AD:AD)</f>
        <v>45589</v>
      </c>
      <c r="L15" s="7">
        <f t="shared" si="1"/>
        <v>45559</v>
      </c>
      <c r="M15">
        <f t="shared" si="2"/>
        <v>9</v>
      </c>
      <c r="N15">
        <f t="shared" si="3"/>
        <v>2024</v>
      </c>
      <c r="Q15" s="22">
        <v>29</v>
      </c>
      <c r="R15" s="22">
        <v>4785.04</v>
      </c>
      <c r="S15" s="22" t="str">
        <f t="shared" si="4"/>
        <v>USD</v>
      </c>
      <c r="T15" s="22">
        <f>R15*_xlfn.XLOOKUP(S15,AG:AG,AI:AI)</f>
        <v>4785.04</v>
      </c>
      <c r="U15" s="22" t="s">
        <v>26</v>
      </c>
      <c r="W15" s="9">
        <v>15</v>
      </c>
      <c r="X15" s="9" t="s">
        <v>29</v>
      </c>
      <c r="Z15">
        <v>15</v>
      </c>
      <c r="AA15">
        <v>2327</v>
      </c>
      <c r="AB15" s="20" t="s">
        <v>29</v>
      </c>
      <c r="AC15" s="23">
        <f t="shared" si="5"/>
        <v>2327</v>
      </c>
      <c r="AD15" s="7">
        <v>45589</v>
      </c>
    </row>
    <row r="16" spans="1:35">
      <c r="A16">
        <v>16</v>
      </c>
      <c r="B16" t="str">
        <f>_xlfn.XLOOKUP(A16,Z:Z,AB:AB,"not found")</f>
        <v>USD</v>
      </c>
      <c r="C16">
        <f>_xlfn.XLOOKUP(A16,Z:Z,AA:AA)-_xlfn.XLOOKUP(A16,Q:Q,R:R,"0")</f>
        <v>2391.88</v>
      </c>
      <c r="D16">
        <f>C16*_xlfn.XLOOKUP(B16,AG:AG,AH:AH)</f>
        <v>2057.0167999999999</v>
      </c>
      <c r="E16">
        <f>C16*_xlfn.XLOOKUP(B16,AG:AG,AI:AI)</f>
        <v>2391.88</v>
      </c>
      <c r="F16">
        <v>6126.88</v>
      </c>
      <c r="G16">
        <f>F16*_xlfn.XLOOKUP(B16,AG:AG,AH:AH)</f>
        <v>5269.1167999999998</v>
      </c>
      <c r="H16">
        <f>F16*_xlfn.XLOOKUP(B16,AG:AG,AI:AI)</f>
        <v>6126.88</v>
      </c>
      <c r="I16">
        <f t="shared" si="0"/>
        <v>0</v>
      </c>
      <c r="J16">
        <f>I16*_xlfn.XLOOKUP(B16,AG:AG,AI:AI)</f>
        <v>0</v>
      </c>
      <c r="K16" s="7">
        <f>_xlfn.XLOOKUP(A16,Z:Z,AD:AD)</f>
        <v>45622</v>
      </c>
      <c r="L16" s="7">
        <f t="shared" si="1"/>
        <v>45592</v>
      </c>
      <c r="M16">
        <f t="shared" si="2"/>
        <v>10</v>
      </c>
      <c r="N16">
        <f t="shared" si="3"/>
        <v>2024</v>
      </c>
      <c r="Q16" s="22">
        <v>30</v>
      </c>
      <c r="R16" s="22">
        <v>8563.26</v>
      </c>
      <c r="S16" s="22" t="str">
        <f t="shared" si="4"/>
        <v>EUR</v>
      </c>
      <c r="T16" s="22">
        <f>R16*_xlfn.XLOOKUP(S16,AG:AG,AI:AI)</f>
        <v>9933.3815999999988</v>
      </c>
      <c r="U16" s="22" t="s">
        <v>26</v>
      </c>
      <c r="W16" s="9">
        <v>16</v>
      </c>
      <c r="X16" s="9" t="s">
        <v>29</v>
      </c>
      <c r="Z16">
        <v>16</v>
      </c>
      <c r="AA16">
        <v>6126.88</v>
      </c>
      <c r="AB16" s="20" t="s">
        <v>29</v>
      </c>
      <c r="AC16" s="23">
        <f t="shared" si="5"/>
        <v>6126.88</v>
      </c>
      <c r="AD16" s="7">
        <v>45622</v>
      </c>
    </row>
    <row r="17" spans="1:30">
      <c r="A17">
        <v>17</v>
      </c>
      <c r="B17" t="str">
        <f>_xlfn.XLOOKUP(A17,Z:Z,AB:AB,"not found")</f>
        <v>EUR</v>
      </c>
      <c r="C17">
        <f>_xlfn.XLOOKUP(A17,Z:Z,AA:AA)-_xlfn.XLOOKUP(A17,Q:Q,R:R,"0")</f>
        <v>0</v>
      </c>
      <c r="D17">
        <f>C17*_xlfn.XLOOKUP(B17,AG:AG,AH:AH)</f>
        <v>0</v>
      </c>
      <c r="E17">
        <f>C17*_xlfn.XLOOKUP(B17,AG:AG,AI:AI)</f>
        <v>0</v>
      </c>
      <c r="F17">
        <v>1590</v>
      </c>
      <c r="G17">
        <f>F17*_xlfn.XLOOKUP(B17,AG:AG,AH:AH)</f>
        <v>1590</v>
      </c>
      <c r="H17">
        <f>F17*_xlfn.XLOOKUP(B17,AG:AG,AI:AI)</f>
        <v>1844.3999999999999</v>
      </c>
      <c r="I17">
        <f t="shared" si="0"/>
        <v>0</v>
      </c>
      <c r="J17">
        <f>I17*_xlfn.XLOOKUP(B17,AG:AG,AI:AI)</f>
        <v>0</v>
      </c>
      <c r="K17" s="7">
        <f>_xlfn.XLOOKUP(A17,Z:Z,AD:AD)</f>
        <v>45589</v>
      </c>
      <c r="L17" s="7">
        <f t="shared" si="1"/>
        <v>45559</v>
      </c>
      <c r="M17">
        <f t="shared" si="2"/>
        <v>9</v>
      </c>
      <c r="N17">
        <f t="shared" si="3"/>
        <v>2024</v>
      </c>
      <c r="Q17" s="22">
        <v>33</v>
      </c>
      <c r="R17" s="22">
        <v>1501.68</v>
      </c>
      <c r="S17" s="22" t="str">
        <f t="shared" si="4"/>
        <v>USD</v>
      </c>
      <c r="T17" s="22">
        <f>R17*_xlfn.XLOOKUP(S17,AG:AG,AI:AI)</f>
        <v>1501.68</v>
      </c>
      <c r="U17" s="22" t="s">
        <v>26</v>
      </c>
      <c r="W17" s="9">
        <v>17</v>
      </c>
      <c r="X17" s="9" t="s">
        <v>27</v>
      </c>
      <c r="Z17">
        <v>17</v>
      </c>
      <c r="AA17">
        <v>1590</v>
      </c>
      <c r="AB17" s="20" t="s">
        <v>27</v>
      </c>
      <c r="AC17" s="23">
        <f t="shared" si="5"/>
        <v>1844.3999999999999</v>
      </c>
      <c r="AD17" s="7">
        <v>45589</v>
      </c>
    </row>
    <row r="18" spans="1:30">
      <c r="A18">
        <v>18</v>
      </c>
      <c r="B18" t="str">
        <f>_xlfn.XLOOKUP(A18,Z:Z,AB:AB,"not found")</f>
        <v>USD</v>
      </c>
      <c r="C18">
        <f>_xlfn.XLOOKUP(A18,Z:Z,AA:AA)-_xlfn.XLOOKUP(A18,Q:Q,R:R,"0")</f>
        <v>12437</v>
      </c>
      <c r="D18">
        <f>C18*_xlfn.XLOOKUP(B18,AG:AG,AH:AH)</f>
        <v>10695.82</v>
      </c>
      <c r="E18">
        <f>C18*_xlfn.XLOOKUP(B18,AG:AG,AI:AI)</f>
        <v>12437</v>
      </c>
      <c r="F18">
        <v>12437</v>
      </c>
      <c r="G18">
        <f>F18*_xlfn.XLOOKUP(B18,AG:AG,AH:AH)</f>
        <v>10695.82</v>
      </c>
      <c r="H18">
        <f>F18*_xlfn.XLOOKUP(B18,AG:AG,AI:AI)</f>
        <v>12437</v>
      </c>
      <c r="I18">
        <f t="shared" si="0"/>
        <v>0</v>
      </c>
      <c r="J18">
        <f>I18*_xlfn.XLOOKUP(B18,AG:AG,AI:AI)</f>
        <v>0</v>
      </c>
      <c r="K18" s="7">
        <f>_xlfn.XLOOKUP(A18,Z:Z,AD:AD)</f>
        <v>45591</v>
      </c>
      <c r="L18" s="7">
        <f t="shared" si="1"/>
        <v>45561</v>
      </c>
      <c r="M18">
        <f t="shared" si="2"/>
        <v>9</v>
      </c>
      <c r="N18">
        <f t="shared" si="3"/>
        <v>2024</v>
      </c>
      <c r="Q18" s="22">
        <v>34</v>
      </c>
      <c r="R18" s="22">
        <v>1133.56</v>
      </c>
      <c r="S18" s="22" t="str">
        <f t="shared" si="4"/>
        <v>USD</v>
      </c>
      <c r="T18" s="22">
        <f>R18*_xlfn.XLOOKUP(S18,AG:AG,AI:AI)</f>
        <v>1133.56</v>
      </c>
      <c r="U18" s="22" t="s">
        <v>26</v>
      </c>
      <c r="W18" s="9">
        <v>20</v>
      </c>
      <c r="X18" s="9" t="s">
        <v>29</v>
      </c>
      <c r="Z18">
        <v>18</v>
      </c>
      <c r="AA18">
        <v>12437</v>
      </c>
      <c r="AB18" s="20" t="s">
        <v>29</v>
      </c>
      <c r="AC18" s="23">
        <f t="shared" si="5"/>
        <v>12437</v>
      </c>
      <c r="AD18" s="7">
        <v>45591</v>
      </c>
    </row>
    <row r="19" spans="1:30">
      <c r="A19">
        <v>19</v>
      </c>
      <c r="B19" t="str">
        <f>_xlfn.XLOOKUP(A19,Z:Z,AB:AB,"not found")</f>
        <v>USD</v>
      </c>
      <c r="C19">
        <f>_xlfn.XLOOKUP(A19,Z:Z,AA:AA)-_xlfn.XLOOKUP(A19,Q:Q,R:R,"0")</f>
        <v>1560</v>
      </c>
      <c r="D19">
        <f>C19*_xlfn.XLOOKUP(B19,AG:AG,AH:AH)</f>
        <v>1341.6</v>
      </c>
      <c r="E19">
        <f>C19*_xlfn.XLOOKUP(B19,AG:AG,AI:AI)</f>
        <v>1560</v>
      </c>
      <c r="F19">
        <v>1560</v>
      </c>
      <c r="G19">
        <f>F19*_xlfn.XLOOKUP(B19,AG:AG,AH:AH)</f>
        <v>1341.6</v>
      </c>
      <c r="H19">
        <f>F19*_xlfn.XLOOKUP(B19,AG:AG,AI:AI)</f>
        <v>1560</v>
      </c>
      <c r="I19">
        <f t="shared" si="0"/>
        <v>0</v>
      </c>
      <c r="J19">
        <f>I19*_xlfn.XLOOKUP(B19,AG:AG,AI:AI)</f>
        <v>0</v>
      </c>
      <c r="K19" s="7">
        <f>_xlfn.XLOOKUP(A19,Z:Z,AD:AD)</f>
        <v>45598</v>
      </c>
      <c r="L19" s="7">
        <f t="shared" si="1"/>
        <v>45568</v>
      </c>
      <c r="M19">
        <f t="shared" si="2"/>
        <v>10</v>
      </c>
      <c r="N19">
        <f t="shared" si="3"/>
        <v>2024</v>
      </c>
      <c r="Q19" s="22">
        <v>35</v>
      </c>
      <c r="R19" s="22">
        <v>1359.36</v>
      </c>
      <c r="S19" s="22" t="str">
        <f t="shared" si="4"/>
        <v>USD</v>
      </c>
      <c r="T19" s="22">
        <f>R19*_xlfn.XLOOKUP(S19,AG:AG,AI:AI)</f>
        <v>1359.36</v>
      </c>
      <c r="U19" s="22" t="s">
        <v>26</v>
      </c>
      <c r="W19" s="9">
        <v>22</v>
      </c>
      <c r="X19" s="9" t="s">
        <v>27</v>
      </c>
      <c r="Z19">
        <v>19</v>
      </c>
      <c r="AA19">
        <v>1560</v>
      </c>
      <c r="AB19" s="20" t="s">
        <v>29</v>
      </c>
      <c r="AC19" s="23">
        <f t="shared" si="5"/>
        <v>1560</v>
      </c>
      <c r="AD19" s="7">
        <v>45598</v>
      </c>
    </row>
    <row r="20" spans="1:30">
      <c r="A20">
        <v>20</v>
      </c>
      <c r="B20" t="str">
        <f>_xlfn.XLOOKUP(A20,Z:Z,AB:AB,"not found")</f>
        <v>USD</v>
      </c>
      <c r="C20">
        <f>_xlfn.XLOOKUP(A20,Z:Z,AA:AA)-_xlfn.XLOOKUP(A20,Q:Q,R:R,"0")</f>
        <v>0</v>
      </c>
      <c r="D20">
        <f>C20*_xlfn.XLOOKUP(B20,AG:AG,AH:AH)</f>
        <v>0</v>
      </c>
      <c r="E20">
        <f>C20*_xlfn.XLOOKUP(B20,AG:AG,AI:AI)</f>
        <v>0</v>
      </c>
      <c r="F20">
        <v>803</v>
      </c>
      <c r="G20">
        <f>F20*_xlfn.XLOOKUP(B20,AG:AG,AH:AH)</f>
        <v>690.58</v>
      </c>
      <c r="H20">
        <f>F20*_xlfn.XLOOKUP(B20,AG:AG,AI:AI)</f>
        <v>803</v>
      </c>
      <c r="I20">
        <f t="shared" si="0"/>
        <v>0</v>
      </c>
      <c r="J20">
        <f>I20*_xlfn.XLOOKUP(B20,AG:AG,AI:AI)</f>
        <v>0</v>
      </c>
      <c r="K20" s="7">
        <f>_xlfn.XLOOKUP(A20,Z:Z,AD:AD)</f>
        <v>45597</v>
      </c>
      <c r="L20" s="7">
        <f t="shared" si="1"/>
        <v>45567</v>
      </c>
      <c r="M20">
        <f t="shared" si="2"/>
        <v>10</v>
      </c>
      <c r="N20">
        <f t="shared" si="3"/>
        <v>2024</v>
      </c>
      <c r="Q20" s="22">
        <v>40</v>
      </c>
      <c r="R20" s="22">
        <v>600</v>
      </c>
      <c r="S20" s="22" t="str">
        <f t="shared" si="4"/>
        <v>EUR</v>
      </c>
      <c r="T20" s="22">
        <f>R20*_xlfn.XLOOKUP(S20,AG:AG,AI:AI)</f>
        <v>696</v>
      </c>
      <c r="U20" s="22" t="s">
        <v>26</v>
      </c>
      <c r="W20" s="9">
        <v>26</v>
      </c>
      <c r="X20" s="9" t="s">
        <v>29</v>
      </c>
      <c r="Z20">
        <v>20</v>
      </c>
      <c r="AA20">
        <v>803</v>
      </c>
      <c r="AB20" s="20" t="s">
        <v>29</v>
      </c>
      <c r="AC20" s="23">
        <f t="shared" si="5"/>
        <v>803</v>
      </c>
      <c r="AD20" s="7">
        <v>45597</v>
      </c>
    </row>
    <row r="21" spans="1:30">
      <c r="A21">
        <v>21</v>
      </c>
      <c r="B21" t="str">
        <f>_xlfn.XLOOKUP(A21,Z:Z,AB:AB,"not found")</f>
        <v>USD</v>
      </c>
      <c r="C21">
        <f>_xlfn.XLOOKUP(A21,Z:Z,AA:AA)-_xlfn.XLOOKUP(A21,Q:Q,R:R,"0")</f>
        <v>8397.94</v>
      </c>
      <c r="D21">
        <f>C21*_xlfn.XLOOKUP(B21,AG:AG,AH:AH)</f>
        <v>7222.2284</v>
      </c>
      <c r="E21">
        <f>C21*_xlfn.XLOOKUP(B21,AG:AG,AI:AI)</f>
        <v>8397.94</v>
      </c>
      <c r="F21">
        <v>8397.93</v>
      </c>
      <c r="G21">
        <f>F21*_xlfn.XLOOKUP(B21,AG:AG,AH:AH)</f>
        <v>7222.2197999999999</v>
      </c>
      <c r="H21">
        <f>F21*_xlfn.XLOOKUP(B21,AG:AG,AI:AI)</f>
        <v>8397.93</v>
      </c>
      <c r="I21">
        <f t="shared" si="0"/>
        <v>1.0000000000218279E-2</v>
      </c>
      <c r="J21">
        <f>I21*_xlfn.XLOOKUP(B21,AG:AG,AI:AI)</f>
        <v>1.0000000000218279E-2</v>
      </c>
      <c r="K21" s="7">
        <f>_xlfn.XLOOKUP(A21,Z:Z,AD:AD)</f>
        <v>45596</v>
      </c>
      <c r="L21" s="7">
        <f t="shared" si="1"/>
        <v>45566</v>
      </c>
      <c r="M21">
        <f t="shared" si="2"/>
        <v>10</v>
      </c>
      <c r="N21">
        <f t="shared" si="3"/>
        <v>2024</v>
      </c>
      <c r="Q21" s="22">
        <v>41</v>
      </c>
      <c r="R21" s="22">
        <v>2716.1</v>
      </c>
      <c r="S21" s="22" t="str">
        <f t="shared" si="4"/>
        <v>EUR</v>
      </c>
      <c r="T21" s="22">
        <f>R21*_xlfn.XLOOKUP(S21,AG:AG,AI:AI)</f>
        <v>3150.6759999999995</v>
      </c>
      <c r="U21" s="22" t="s">
        <v>26</v>
      </c>
      <c r="W21" s="9">
        <v>26</v>
      </c>
      <c r="X21" s="9" t="s">
        <v>29</v>
      </c>
      <c r="Z21">
        <v>21</v>
      </c>
      <c r="AA21">
        <v>8397.94</v>
      </c>
      <c r="AB21" s="20" t="s">
        <v>29</v>
      </c>
      <c r="AC21" s="23">
        <f t="shared" si="5"/>
        <v>8397.94</v>
      </c>
      <c r="AD21" s="7">
        <v>45596</v>
      </c>
    </row>
    <row r="22" spans="1:30">
      <c r="A22">
        <v>22</v>
      </c>
      <c r="B22" t="str">
        <f>_xlfn.XLOOKUP(A22,Z:Z,AB:AB,"not found")</f>
        <v>EUR</v>
      </c>
      <c r="C22">
        <f>_xlfn.XLOOKUP(A22,Z:Z,AA:AA)-_xlfn.XLOOKUP(A22,Q:Q,R:R,"0")</f>
        <v>0</v>
      </c>
      <c r="D22">
        <f>C22*_xlfn.XLOOKUP(B22,AG:AG,AH:AH)</f>
        <v>0</v>
      </c>
      <c r="E22">
        <f>C22*_xlfn.XLOOKUP(B22,AG:AG,AI:AI)</f>
        <v>0</v>
      </c>
      <c r="F22">
        <v>15077.2</v>
      </c>
      <c r="G22">
        <f>F22*_xlfn.XLOOKUP(B22,AG:AG,AH:AH)</f>
        <v>15077.2</v>
      </c>
      <c r="H22">
        <f>F22*_xlfn.XLOOKUP(B22,AG:AG,AI:AI)</f>
        <v>17489.552</v>
      </c>
      <c r="I22">
        <f t="shared" si="0"/>
        <v>0</v>
      </c>
      <c r="J22">
        <f>I22*_xlfn.XLOOKUP(B22,AG:AG,AI:AI)</f>
        <v>0</v>
      </c>
      <c r="K22" s="7">
        <f>_xlfn.XLOOKUP(A22,Z:Z,AD:AD)</f>
        <v>45475</v>
      </c>
      <c r="L22" s="7">
        <f t="shared" si="1"/>
        <v>45445</v>
      </c>
      <c r="M22">
        <f t="shared" si="2"/>
        <v>6</v>
      </c>
      <c r="N22">
        <f t="shared" si="3"/>
        <v>2024</v>
      </c>
      <c r="Q22" s="22">
        <v>45</v>
      </c>
      <c r="R22" s="22">
        <v>40</v>
      </c>
      <c r="S22" s="22" t="str">
        <f t="shared" si="4"/>
        <v>USD</v>
      </c>
      <c r="T22" s="22">
        <f>R22*_xlfn.XLOOKUP(S22,AG:AG,AI:AI)</f>
        <v>40</v>
      </c>
      <c r="U22" s="22" t="s">
        <v>26</v>
      </c>
      <c r="W22" s="9">
        <v>28</v>
      </c>
      <c r="X22" s="9" t="s">
        <v>29</v>
      </c>
      <c r="Z22">
        <v>22</v>
      </c>
      <c r="AA22">
        <v>15077.2</v>
      </c>
      <c r="AB22" s="20" t="s">
        <v>27</v>
      </c>
      <c r="AC22" s="23">
        <f t="shared" si="5"/>
        <v>17489.552</v>
      </c>
      <c r="AD22" s="7">
        <v>45475</v>
      </c>
    </row>
    <row r="23" spans="1:30">
      <c r="A23">
        <v>23</v>
      </c>
      <c r="B23" t="str">
        <f>_xlfn.XLOOKUP(A23,Z:Z,AB:AB,"not found")</f>
        <v>EUR</v>
      </c>
      <c r="C23">
        <f>_xlfn.XLOOKUP(A23,Z:Z,AA:AA)-_xlfn.XLOOKUP(A23,Q:Q,R:R,"0")</f>
        <v>5910</v>
      </c>
      <c r="D23">
        <f>C23*_xlfn.XLOOKUP(B23,AG:AG,AH:AH)</f>
        <v>5910</v>
      </c>
      <c r="E23">
        <f>C23*_xlfn.XLOOKUP(B23,AG:AG,AI:AI)</f>
        <v>6855.5999999999995</v>
      </c>
      <c r="F23">
        <v>5910</v>
      </c>
      <c r="G23">
        <f>F23*_xlfn.XLOOKUP(B23,AG:AG,AH:AH)</f>
        <v>5910</v>
      </c>
      <c r="H23">
        <f>F23*_xlfn.XLOOKUP(B23,AG:AG,AI:AI)</f>
        <v>6855.5999999999995</v>
      </c>
      <c r="I23">
        <f t="shared" si="0"/>
        <v>0</v>
      </c>
      <c r="J23">
        <f>I23*_xlfn.XLOOKUP(B23,AG:AG,AI:AI)</f>
        <v>0</v>
      </c>
      <c r="K23" s="7">
        <f>_xlfn.XLOOKUP(A23,Z:Z,AD:AD)</f>
        <v>45652</v>
      </c>
      <c r="L23" s="7">
        <f t="shared" si="1"/>
        <v>45622</v>
      </c>
      <c r="M23">
        <f t="shared" si="2"/>
        <v>11</v>
      </c>
      <c r="N23">
        <f t="shared" si="3"/>
        <v>2024</v>
      </c>
      <c r="Q23" s="22">
        <v>46</v>
      </c>
      <c r="R23" s="22">
        <v>3400</v>
      </c>
      <c r="S23" s="22" t="str">
        <f t="shared" si="4"/>
        <v>EUR</v>
      </c>
      <c r="T23" s="22">
        <f>R23*_xlfn.XLOOKUP(S23,AG:AG,AI:AI)</f>
        <v>3943.9999999999995</v>
      </c>
      <c r="U23" s="22" t="s">
        <v>26</v>
      </c>
      <c r="W23" s="9">
        <v>28</v>
      </c>
      <c r="X23" s="9" t="s">
        <v>29</v>
      </c>
      <c r="Z23">
        <v>23</v>
      </c>
      <c r="AA23">
        <v>5910</v>
      </c>
      <c r="AB23" s="20" t="s">
        <v>27</v>
      </c>
      <c r="AC23" s="23">
        <f t="shared" si="5"/>
        <v>6855.5999999999995</v>
      </c>
      <c r="AD23" s="7">
        <v>45652</v>
      </c>
    </row>
    <row r="24" spans="1:30">
      <c r="A24">
        <v>24</v>
      </c>
      <c r="B24" t="str">
        <f>_xlfn.XLOOKUP(A24,Z:Z,AB:AB,"not found")</f>
        <v>USD</v>
      </c>
      <c r="C24">
        <f>_xlfn.XLOOKUP(A24,Z:Z,AA:AA)-_xlfn.XLOOKUP(A24,Q:Q,R:R,"0")</f>
        <v>618.86</v>
      </c>
      <c r="D24">
        <f>C24*_xlfn.XLOOKUP(B24,AG:AG,AH:AH)</f>
        <v>532.21960000000001</v>
      </c>
      <c r="E24">
        <f>C24*_xlfn.XLOOKUP(B24,AG:AG,AI:AI)</f>
        <v>618.86</v>
      </c>
      <c r="F24">
        <v>618.86</v>
      </c>
      <c r="G24">
        <f>F24*_xlfn.XLOOKUP(B24,AG:AG,AH:AH)</f>
        <v>532.21960000000001</v>
      </c>
      <c r="H24">
        <f>F24*_xlfn.XLOOKUP(B24,AG:AG,AI:AI)</f>
        <v>618.86</v>
      </c>
      <c r="I24">
        <f t="shared" si="0"/>
        <v>0</v>
      </c>
      <c r="J24">
        <f>I24*_xlfn.XLOOKUP(B24,AG:AG,AI:AI)</f>
        <v>0</v>
      </c>
      <c r="K24" s="7">
        <f>_xlfn.XLOOKUP(A24,Z:Z,AD:AD)</f>
        <v>45630</v>
      </c>
      <c r="L24" s="7">
        <f t="shared" si="1"/>
        <v>45600</v>
      </c>
      <c r="M24">
        <f t="shared" si="2"/>
        <v>11</v>
      </c>
      <c r="N24">
        <f t="shared" si="3"/>
        <v>2024</v>
      </c>
      <c r="Q24" s="22">
        <v>47</v>
      </c>
      <c r="R24" s="22">
        <v>1475.78</v>
      </c>
      <c r="S24" s="22" t="str">
        <f t="shared" si="4"/>
        <v>MXN</v>
      </c>
      <c r="T24" s="22">
        <f>R24*_xlfn.XLOOKUP(S24,AG:AG,AI:AI)</f>
        <v>82.643680000000003</v>
      </c>
      <c r="U24" s="22" t="s">
        <v>26</v>
      </c>
      <c r="W24" s="9">
        <v>28</v>
      </c>
      <c r="X24" s="9" t="s">
        <v>29</v>
      </c>
      <c r="Z24">
        <v>24</v>
      </c>
      <c r="AA24">
        <v>618.86</v>
      </c>
      <c r="AB24" s="20" t="s">
        <v>29</v>
      </c>
      <c r="AC24" s="23">
        <f t="shared" si="5"/>
        <v>618.86</v>
      </c>
      <c r="AD24" s="7">
        <v>45630</v>
      </c>
    </row>
    <row r="25" spans="1:30">
      <c r="A25">
        <v>25</v>
      </c>
      <c r="B25" t="str">
        <f>_xlfn.XLOOKUP(A25,Z:Z,AB:AB,"not found")</f>
        <v>EUR</v>
      </c>
      <c r="C25">
        <f>_xlfn.XLOOKUP(A25,Z:Z,AA:AA)-_xlfn.XLOOKUP(A25,Q:Q,R:R,"0")</f>
        <v>5370</v>
      </c>
      <c r="D25">
        <f>C25*_xlfn.XLOOKUP(B25,AG:AG,AH:AH)</f>
        <v>5370</v>
      </c>
      <c r="E25">
        <f>C25*_xlfn.XLOOKUP(B25,AG:AG,AI:AI)</f>
        <v>6229.2</v>
      </c>
      <c r="F25">
        <v>5370</v>
      </c>
      <c r="G25">
        <f>F25*_xlfn.XLOOKUP(B25,AG:AG,AH:AH)</f>
        <v>5370</v>
      </c>
      <c r="H25">
        <f>F25*_xlfn.XLOOKUP(B25,AG:AG,AI:AI)</f>
        <v>6229.2</v>
      </c>
      <c r="I25">
        <f t="shared" si="0"/>
        <v>0</v>
      </c>
      <c r="J25">
        <f>I25*_xlfn.XLOOKUP(B25,AG:AG,AI:AI)</f>
        <v>0</v>
      </c>
      <c r="K25" s="7">
        <f>_xlfn.XLOOKUP(A25,Z:Z,AD:AD)</f>
        <v>45651</v>
      </c>
      <c r="L25" s="7">
        <f t="shared" si="1"/>
        <v>45621</v>
      </c>
      <c r="M25">
        <f t="shared" si="2"/>
        <v>11</v>
      </c>
      <c r="N25">
        <f t="shared" si="3"/>
        <v>2024</v>
      </c>
      <c r="Q25" s="22">
        <v>48</v>
      </c>
      <c r="R25" s="22">
        <v>99000</v>
      </c>
      <c r="S25" s="22" t="str">
        <f t="shared" si="4"/>
        <v>USD</v>
      </c>
      <c r="T25" s="22">
        <f>R25*_xlfn.XLOOKUP(S25,AG:AG,AI:AI)</f>
        <v>99000</v>
      </c>
      <c r="U25" s="22" t="s">
        <v>26</v>
      </c>
      <c r="W25" s="9">
        <v>28</v>
      </c>
      <c r="X25" s="9" t="s">
        <v>29</v>
      </c>
      <c r="Z25">
        <v>25</v>
      </c>
      <c r="AA25">
        <v>5370</v>
      </c>
      <c r="AB25" s="20" t="s">
        <v>27</v>
      </c>
      <c r="AC25" s="23">
        <f t="shared" si="5"/>
        <v>6229.2</v>
      </c>
      <c r="AD25" s="7">
        <v>45651</v>
      </c>
    </row>
    <row r="26" spans="1:30">
      <c r="A26">
        <v>26</v>
      </c>
      <c r="B26" t="str">
        <f>_xlfn.XLOOKUP(A26,Z:Z,AB:AB,"not found")</f>
        <v>USD</v>
      </c>
      <c r="C26">
        <f>_xlfn.XLOOKUP(A26,Z:Z,AA:AA)-_xlfn.XLOOKUP(A26,Q:Q,R:R,"0")</f>
        <v>2894.91</v>
      </c>
      <c r="D26">
        <f>C26*_xlfn.XLOOKUP(B26,AG:AG,AH:AH)</f>
        <v>2489.6225999999997</v>
      </c>
      <c r="E26">
        <f>C26*_xlfn.XLOOKUP(B26,AG:AG,AI:AI)</f>
        <v>2894.91</v>
      </c>
      <c r="F26">
        <v>9279.49</v>
      </c>
      <c r="G26">
        <f>F26*_xlfn.XLOOKUP(B26,AG:AG,AH:AH)</f>
        <v>7980.3613999999998</v>
      </c>
      <c r="H26">
        <f>F26*_xlfn.XLOOKUP(B26,AG:AG,AI:AI)</f>
        <v>9279.49</v>
      </c>
      <c r="I26">
        <f t="shared" si="0"/>
        <v>0</v>
      </c>
      <c r="J26">
        <f>I26*_xlfn.XLOOKUP(B26,AG:AG,AI:AI)</f>
        <v>0</v>
      </c>
      <c r="K26" s="7">
        <f>_xlfn.XLOOKUP(A26,Z:Z,AD:AD)</f>
        <v>45623</v>
      </c>
      <c r="L26" s="7">
        <f t="shared" si="1"/>
        <v>45593</v>
      </c>
      <c r="M26">
        <f t="shared" si="2"/>
        <v>10</v>
      </c>
      <c r="N26">
        <f t="shared" si="3"/>
        <v>2024</v>
      </c>
      <c r="Q26" s="22">
        <v>49</v>
      </c>
      <c r="R26" s="22">
        <v>4997.26</v>
      </c>
      <c r="S26" s="22" t="str">
        <f t="shared" si="4"/>
        <v>USD</v>
      </c>
      <c r="T26" s="22">
        <f>R26*_xlfn.XLOOKUP(S26,AG:AG,AI:AI)</f>
        <v>4997.26</v>
      </c>
      <c r="U26" s="22" t="s">
        <v>26</v>
      </c>
      <c r="W26" s="9">
        <v>28</v>
      </c>
      <c r="X26" s="9" t="s">
        <v>29</v>
      </c>
      <c r="Z26">
        <v>26</v>
      </c>
      <c r="AA26">
        <v>9279.49</v>
      </c>
      <c r="AB26" s="20" t="s">
        <v>29</v>
      </c>
      <c r="AC26" s="23">
        <f t="shared" si="5"/>
        <v>9279.49</v>
      </c>
      <c r="AD26" s="7">
        <v>45623</v>
      </c>
    </row>
    <row r="27" spans="1:30">
      <c r="A27">
        <v>27</v>
      </c>
      <c r="B27" t="str">
        <f>_xlfn.XLOOKUP(A27,Z:Z,AB:AB,"not found")</f>
        <v>USD</v>
      </c>
      <c r="C27">
        <f>_xlfn.XLOOKUP(A27,Z:Z,AA:AA)-_xlfn.XLOOKUP(A27,Q:Q,R:R,"0")</f>
        <v>8150.2</v>
      </c>
      <c r="D27">
        <f>C27*_xlfn.XLOOKUP(B27,AG:AG,AH:AH)</f>
        <v>7009.1719999999996</v>
      </c>
      <c r="E27">
        <f>C27*_xlfn.XLOOKUP(B27,AG:AG,AI:AI)</f>
        <v>8150.2</v>
      </c>
      <c r="F27">
        <v>8150.2</v>
      </c>
      <c r="G27">
        <f>F27*_xlfn.XLOOKUP(B27,AG:AG,AH:AH)</f>
        <v>7009.1719999999996</v>
      </c>
      <c r="H27">
        <f>F27*_xlfn.XLOOKUP(B27,AG:AG,AI:AI)</f>
        <v>8150.2</v>
      </c>
      <c r="I27">
        <f t="shared" si="0"/>
        <v>0</v>
      </c>
      <c r="J27">
        <f>I27*_xlfn.XLOOKUP(B27,AG:AG,AI:AI)</f>
        <v>0</v>
      </c>
      <c r="K27" s="7">
        <f>_xlfn.XLOOKUP(A27,Z:Z,AD:AD)</f>
        <v>45626</v>
      </c>
      <c r="L27" s="7">
        <f t="shared" si="1"/>
        <v>45596</v>
      </c>
      <c r="M27">
        <f t="shared" si="2"/>
        <v>10</v>
      </c>
      <c r="N27">
        <f t="shared" si="3"/>
        <v>2024</v>
      </c>
      <c r="Q27" s="22">
        <v>54</v>
      </c>
      <c r="R27" s="22">
        <v>3567</v>
      </c>
      <c r="S27" s="22" t="str">
        <f t="shared" si="4"/>
        <v>MXN</v>
      </c>
      <c r="T27" s="22">
        <f>R27*_xlfn.XLOOKUP(S27,AG:AG,AI:AI)</f>
        <v>199.75200000000001</v>
      </c>
      <c r="U27" s="22" t="s">
        <v>26</v>
      </c>
      <c r="W27" s="9">
        <v>29</v>
      </c>
      <c r="X27" s="9" t="s">
        <v>29</v>
      </c>
      <c r="Z27">
        <v>27</v>
      </c>
      <c r="AA27">
        <v>8150.2</v>
      </c>
      <c r="AB27" s="20" t="s">
        <v>29</v>
      </c>
      <c r="AC27" s="23">
        <f t="shared" si="5"/>
        <v>8150.2</v>
      </c>
      <c r="AD27" s="7">
        <v>45626</v>
      </c>
    </row>
    <row r="28" spans="1:30">
      <c r="A28">
        <v>28</v>
      </c>
      <c r="B28" t="str">
        <f>_xlfn.XLOOKUP(A28,Z:Z,AB:AB,"not found")</f>
        <v>USD</v>
      </c>
      <c r="C28">
        <f>_xlfn.XLOOKUP(A28,Z:Z,AA:AA)-_xlfn.XLOOKUP(A28,Q:Q,R:R,"0")</f>
        <v>12739.84</v>
      </c>
      <c r="D28">
        <f>C28*_xlfn.XLOOKUP(B28,AG:AG,AH:AH)</f>
        <v>10956.2624</v>
      </c>
      <c r="E28">
        <f>C28*_xlfn.XLOOKUP(B28,AG:AG,AI:AI)</f>
        <v>12739.84</v>
      </c>
      <c r="F28">
        <v>16863.93</v>
      </c>
      <c r="G28">
        <f>F28*_xlfn.XLOOKUP(B28,AG:AG,AH:AH)</f>
        <v>14502.979799999999</v>
      </c>
      <c r="H28">
        <f>F28*_xlfn.XLOOKUP(B28,AG:AG,AI:AI)</f>
        <v>16863.93</v>
      </c>
      <c r="I28">
        <f t="shared" si="0"/>
        <v>0</v>
      </c>
      <c r="J28">
        <f>I28*_xlfn.XLOOKUP(B28,AG:AG,AI:AI)</f>
        <v>0</v>
      </c>
      <c r="K28" s="7">
        <f>_xlfn.XLOOKUP(A28,Z:Z,AD:AD)</f>
        <v>45792</v>
      </c>
      <c r="L28" s="7">
        <f t="shared" si="1"/>
        <v>45762</v>
      </c>
      <c r="M28">
        <f t="shared" si="2"/>
        <v>4</v>
      </c>
      <c r="N28">
        <f t="shared" si="3"/>
        <v>2025</v>
      </c>
      <c r="Q28" s="22">
        <v>58</v>
      </c>
      <c r="R28" s="22">
        <v>8714.41</v>
      </c>
      <c r="S28" s="22" t="str">
        <f t="shared" si="4"/>
        <v>USD</v>
      </c>
      <c r="T28" s="22">
        <f>R28*_xlfn.XLOOKUP(S28,AG:AG,AI:AI)</f>
        <v>8714.41</v>
      </c>
      <c r="U28" s="22" t="s">
        <v>26</v>
      </c>
      <c r="W28" s="9">
        <v>29</v>
      </c>
      <c r="X28" s="9" t="s">
        <v>29</v>
      </c>
      <c r="Z28">
        <v>28</v>
      </c>
      <c r="AA28">
        <v>16863.93</v>
      </c>
      <c r="AB28" s="20" t="s">
        <v>29</v>
      </c>
      <c r="AC28" s="23">
        <f t="shared" si="5"/>
        <v>16863.93</v>
      </c>
      <c r="AD28" s="7">
        <v>45792</v>
      </c>
    </row>
    <row r="29" spans="1:30">
      <c r="A29">
        <v>29</v>
      </c>
      <c r="B29" t="str">
        <f>_xlfn.XLOOKUP(A29,Z:Z,AB:AB,"not found")</f>
        <v>USD</v>
      </c>
      <c r="C29">
        <f>_xlfn.XLOOKUP(A29,Z:Z,AA:AA)-_xlfn.XLOOKUP(A29,Q:Q,R:R,"0")</f>
        <v>0</v>
      </c>
      <c r="D29">
        <f>C29*_xlfn.XLOOKUP(B29,AG:AG,AH:AH)</f>
        <v>0</v>
      </c>
      <c r="E29">
        <f>C29*_xlfn.XLOOKUP(B29,AG:AG,AI:AI)</f>
        <v>0</v>
      </c>
      <c r="F29">
        <v>4785.04</v>
      </c>
      <c r="G29">
        <f>F29*_xlfn.XLOOKUP(B29,AG:AG,AH:AH)</f>
        <v>4115.1343999999999</v>
      </c>
      <c r="H29">
        <f>F29*_xlfn.XLOOKUP(B29,AG:AG,AI:AI)</f>
        <v>4785.04</v>
      </c>
      <c r="I29">
        <f t="shared" si="0"/>
        <v>0</v>
      </c>
      <c r="J29">
        <f>I29*_xlfn.XLOOKUP(B29,AG:AG,AI:AI)</f>
        <v>0</v>
      </c>
      <c r="K29" s="7">
        <f>_xlfn.XLOOKUP(A29,Z:Z,AD:AD)</f>
        <v>45616</v>
      </c>
      <c r="L29" s="7">
        <f t="shared" si="1"/>
        <v>45586</v>
      </c>
      <c r="M29">
        <f t="shared" si="2"/>
        <v>10</v>
      </c>
      <c r="N29">
        <f t="shared" si="3"/>
        <v>2024</v>
      </c>
      <c r="Q29" s="22">
        <v>59</v>
      </c>
      <c r="R29" s="22">
        <v>981.77</v>
      </c>
      <c r="S29" s="22" t="str">
        <f t="shared" si="4"/>
        <v>USD</v>
      </c>
      <c r="T29" s="22">
        <f>R29*_xlfn.XLOOKUP(S29,AG:AG,AI:AI)</f>
        <v>981.77</v>
      </c>
      <c r="U29" s="22" t="s">
        <v>26</v>
      </c>
      <c r="W29" s="9">
        <v>29</v>
      </c>
      <c r="X29" s="9" t="s">
        <v>29</v>
      </c>
      <c r="Z29">
        <v>29</v>
      </c>
      <c r="AA29">
        <v>4785.04</v>
      </c>
      <c r="AB29" s="20" t="s">
        <v>29</v>
      </c>
      <c r="AC29" s="23">
        <f t="shared" si="5"/>
        <v>4785.04</v>
      </c>
      <c r="AD29" s="7">
        <v>45616</v>
      </c>
    </row>
    <row r="30" spans="1:30">
      <c r="A30">
        <v>30</v>
      </c>
      <c r="B30" t="str">
        <f>_xlfn.XLOOKUP(A30,Z:Z,AB:AB,"not found")</f>
        <v>EUR</v>
      </c>
      <c r="C30">
        <f>_xlfn.XLOOKUP(A30,Z:Z,AA:AA)-_xlfn.XLOOKUP(A30,Q:Q,R:R,"0")</f>
        <v>0</v>
      </c>
      <c r="D30">
        <f>C30*_xlfn.XLOOKUP(B30,AG:AG,AH:AH)</f>
        <v>0</v>
      </c>
      <c r="E30">
        <f>C30*_xlfn.XLOOKUP(B30,AG:AG,AI:AI)</f>
        <v>0</v>
      </c>
      <c r="F30">
        <v>8563.26</v>
      </c>
      <c r="G30">
        <f>F30*_xlfn.XLOOKUP(B30,AG:AG,AH:AH)</f>
        <v>8563.26</v>
      </c>
      <c r="H30">
        <f>F30*_xlfn.XLOOKUP(B30,AG:AG,AI:AI)</f>
        <v>9933.3815999999988</v>
      </c>
      <c r="I30">
        <f t="shared" si="0"/>
        <v>0</v>
      </c>
      <c r="J30">
        <f>I30*_xlfn.XLOOKUP(B30,AG:AG,AI:AI)</f>
        <v>0</v>
      </c>
      <c r="K30" s="7">
        <f>_xlfn.XLOOKUP(A30,Z:Z,AD:AD)</f>
        <v>45577</v>
      </c>
      <c r="L30" s="7">
        <f t="shared" si="1"/>
        <v>45547</v>
      </c>
      <c r="M30">
        <f t="shared" si="2"/>
        <v>9</v>
      </c>
      <c r="N30">
        <f t="shared" si="3"/>
        <v>2024</v>
      </c>
      <c r="Q30" s="22">
        <v>60</v>
      </c>
      <c r="R30" s="22">
        <v>206.9</v>
      </c>
      <c r="S30" s="22" t="str">
        <f t="shared" si="4"/>
        <v>USD</v>
      </c>
      <c r="T30" s="22">
        <f>R30*_xlfn.XLOOKUP(S30,AG:AG,AI:AI)</f>
        <v>206.9</v>
      </c>
      <c r="U30" s="22" t="s">
        <v>26</v>
      </c>
      <c r="W30" s="9">
        <v>30</v>
      </c>
      <c r="X30" s="9" t="s">
        <v>27</v>
      </c>
      <c r="Z30">
        <v>30</v>
      </c>
      <c r="AA30">
        <v>8563.26</v>
      </c>
      <c r="AB30" s="20" t="s">
        <v>27</v>
      </c>
      <c r="AC30" s="23">
        <f t="shared" si="5"/>
        <v>9933.3815999999988</v>
      </c>
      <c r="AD30" s="7">
        <v>45577</v>
      </c>
    </row>
    <row r="31" spans="1:30">
      <c r="A31">
        <v>31</v>
      </c>
      <c r="B31" t="str">
        <f>_xlfn.XLOOKUP(A31,Z:Z,AB:AB,"not found")</f>
        <v>EUR</v>
      </c>
      <c r="C31">
        <f>_xlfn.XLOOKUP(A31,Z:Z,AA:AA)-_xlfn.XLOOKUP(A31,Q:Q,R:R,"0")</f>
        <v>19938.64</v>
      </c>
      <c r="D31">
        <f>C31*_xlfn.XLOOKUP(B31,AG:AG,AH:AH)</f>
        <v>19938.64</v>
      </c>
      <c r="E31">
        <f>C31*_xlfn.XLOOKUP(B31,AG:AG,AI:AI)</f>
        <v>23128.822399999997</v>
      </c>
      <c r="F31">
        <v>19938.64</v>
      </c>
      <c r="G31">
        <f>F31*_xlfn.XLOOKUP(B31,AG:AG,AH:AH)</f>
        <v>19938.64</v>
      </c>
      <c r="H31">
        <f>F31*_xlfn.XLOOKUP(B31,AG:AG,AI:AI)</f>
        <v>23128.822399999997</v>
      </c>
      <c r="I31">
        <f t="shared" si="0"/>
        <v>0</v>
      </c>
      <c r="J31">
        <f>I31*_xlfn.XLOOKUP(B31,AG:AG,AI:AI)</f>
        <v>0</v>
      </c>
      <c r="K31" s="7">
        <f>_xlfn.XLOOKUP(A31,Z:Z,AD:AD)</f>
        <v>45608</v>
      </c>
      <c r="L31" s="7">
        <f t="shared" si="1"/>
        <v>45578</v>
      </c>
      <c r="M31">
        <f t="shared" si="2"/>
        <v>10</v>
      </c>
      <c r="N31">
        <f t="shared" si="3"/>
        <v>2024</v>
      </c>
      <c r="Q31" s="22">
        <v>61</v>
      </c>
      <c r="R31" s="22">
        <v>4265.6099999999997</v>
      </c>
      <c r="S31" s="22" t="str">
        <f t="shared" si="4"/>
        <v>USD</v>
      </c>
      <c r="T31" s="22">
        <f>R31*_xlfn.XLOOKUP(S31,AG:AG,AI:AI)</f>
        <v>4265.6099999999997</v>
      </c>
      <c r="U31" s="22" t="s">
        <v>26</v>
      </c>
      <c r="W31" s="9">
        <v>33</v>
      </c>
      <c r="X31" s="9" t="s">
        <v>29</v>
      </c>
      <c r="Z31">
        <v>31</v>
      </c>
      <c r="AA31">
        <v>19938.64</v>
      </c>
      <c r="AB31" s="20" t="s">
        <v>27</v>
      </c>
      <c r="AC31" s="23">
        <f t="shared" si="5"/>
        <v>23128.822399999997</v>
      </c>
      <c r="AD31" s="7">
        <v>45608</v>
      </c>
    </row>
    <row r="32" spans="1:30">
      <c r="A32">
        <v>32</v>
      </c>
      <c r="B32" t="str">
        <f>_xlfn.XLOOKUP(A32,Z:Z,AB:AB,"not found")</f>
        <v>USD</v>
      </c>
      <c r="C32">
        <f>_xlfn.XLOOKUP(A32,Z:Z,AA:AA)-_xlfn.XLOOKUP(A32,Q:Q,R:R,"0")</f>
        <v>14529.13</v>
      </c>
      <c r="D32">
        <f>C32*_xlfn.XLOOKUP(B32,AG:AG,AH:AH)</f>
        <v>12495.051799999999</v>
      </c>
      <c r="E32">
        <f>C32*_xlfn.XLOOKUP(B32,AG:AG,AI:AI)</f>
        <v>14529.13</v>
      </c>
      <c r="F32">
        <v>14529.13</v>
      </c>
      <c r="G32">
        <f>F32*_xlfn.XLOOKUP(B32,AG:AG,AH:AH)</f>
        <v>12495.051799999999</v>
      </c>
      <c r="H32">
        <f>F32*_xlfn.XLOOKUP(B32,AG:AG,AI:AI)</f>
        <v>14529.13</v>
      </c>
      <c r="I32">
        <f t="shared" si="0"/>
        <v>0</v>
      </c>
      <c r="J32">
        <f>I32*_xlfn.XLOOKUP(B32,AG:AG,AI:AI)</f>
        <v>0</v>
      </c>
      <c r="K32" s="7">
        <f>_xlfn.XLOOKUP(A32,Z:Z,AD:AD)</f>
        <v>45652</v>
      </c>
      <c r="L32" s="7">
        <f t="shared" si="1"/>
        <v>45622</v>
      </c>
      <c r="M32">
        <f t="shared" si="2"/>
        <v>11</v>
      </c>
      <c r="N32">
        <f t="shared" si="3"/>
        <v>2024</v>
      </c>
      <c r="Q32" s="22">
        <v>62</v>
      </c>
      <c r="R32" s="22">
        <v>12206.75</v>
      </c>
      <c r="S32" s="22" t="str">
        <f t="shared" si="4"/>
        <v>USD</v>
      </c>
      <c r="T32" s="22">
        <f>R32*_xlfn.XLOOKUP(S32,AG:AG,AI:AI)</f>
        <v>12206.75</v>
      </c>
      <c r="U32" s="22" t="s">
        <v>26</v>
      </c>
      <c r="W32" s="9">
        <v>34</v>
      </c>
      <c r="X32" s="9" t="s">
        <v>29</v>
      </c>
      <c r="Z32">
        <v>32</v>
      </c>
      <c r="AA32">
        <v>14529.13</v>
      </c>
      <c r="AB32" s="20" t="s">
        <v>29</v>
      </c>
      <c r="AC32" s="23">
        <f t="shared" si="5"/>
        <v>14529.13</v>
      </c>
      <c r="AD32" s="7">
        <v>45652</v>
      </c>
    </row>
    <row r="33" spans="1:30">
      <c r="A33">
        <v>33</v>
      </c>
      <c r="B33" t="str">
        <f>_xlfn.XLOOKUP(A33,Z:Z,AB:AB,"not found")</f>
        <v>USD</v>
      </c>
      <c r="C33">
        <f>_xlfn.XLOOKUP(A33,Z:Z,AA:AA)-_xlfn.XLOOKUP(A33,Q:Q,R:R,"0")</f>
        <v>53800.67</v>
      </c>
      <c r="D33">
        <f>C33*_xlfn.XLOOKUP(B33,AG:AG,AH:AH)</f>
        <v>46268.576199999996</v>
      </c>
      <c r="E33">
        <f>C33*_xlfn.XLOOKUP(B33,AG:AG,AI:AI)</f>
        <v>53800.67</v>
      </c>
      <c r="F33">
        <v>55302.35</v>
      </c>
      <c r="G33">
        <f>F33*_xlfn.XLOOKUP(B33,AG:AG,AH:AH)</f>
        <v>47560.021000000001</v>
      </c>
      <c r="H33">
        <f>F33*_xlfn.XLOOKUP(B33,AG:AG,AI:AI)</f>
        <v>55302.35</v>
      </c>
      <c r="I33">
        <f t="shared" si="0"/>
        <v>0</v>
      </c>
      <c r="J33">
        <f>I33*_xlfn.XLOOKUP(B33,AG:AG,AI:AI)</f>
        <v>0</v>
      </c>
      <c r="K33" s="7">
        <f>_xlfn.XLOOKUP(A33,Z:Z,AD:AD)</f>
        <v>45722</v>
      </c>
      <c r="L33" s="7">
        <f t="shared" si="1"/>
        <v>45692</v>
      </c>
      <c r="M33">
        <f t="shared" si="2"/>
        <v>2</v>
      </c>
      <c r="N33">
        <f t="shared" si="3"/>
        <v>2025</v>
      </c>
      <c r="Q33" s="22">
        <v>69</v>
      </c>
      <c r="R33" s="22">
        <v>1366</v>
      </c>
      <c r="S33" s="22" t="str">
        <f t="shared" si="4"/>
        <v>USD</v>
      </c>
      <c r="T33" s="22">
        <f>R33*_xlfn.XLOOKUP(S33,AG:AG,AI:AI)</f>
        <v>1366</v>
      </c>
      <c r="U33" s="22" t="s">
        <v>26</v>
      </c>
      <c r="W33" s="9">
        <v>35</v>
      </c>
      <c r="X33" s="9" t="s">
        <v>29</v>
      </c>
      <c r="Z33">
        <v>33</v>
      </c>
      <c r="AA33">
        <v>55302.35</v>
      </c>
      <c r="AB33" s="20" t="s">
        <v>29</v>
      </c>
      <c r="AC33" s="23">
        <f t="shared" si="5"/>
        <v>55302.35</v>
      </c>
      <c r="AD33" s="7">
        <v>45722</v>
      </c>
    </row>
    <row r="34" spans="1:30">
      <c r="A34">
        <v>34</v>
      </c>
      <c r="B34" t="str">
        <f>_xlfn.XLOOKUP(A34,Z:Z,AB:AB,"not found")</f>
        <v>USD</v>
      </c>
      <c r="C34">
        <f>_xlfn.XLOOKUP(A34,Z:Z,AA:AA)-_xlfn.XLOOKUP(A34,Q:Q,R:R,"0")</f>
        <v>9261.33</v>
      </c>
      <c r="D34">
        <f>C34*_xlfn.XLOOKUP(B34,AG:AG,AH:AH)</f>
        <v>7964.7438000000002</v>
      </c>
      <c r="E34">
        <f>C34*_xlfn.XLOOKUP(B34,AG:AG,AI:AI)</f>
        <v>9261.33</v>
      </c>
      <c r="F34">
        <v>10394.89</v>
      </c>
      <c r="G34">
        <f>F34*_xlfn.XLOOKUP(B34,AG:AG,AH:AH)</f>
        <v>8939.6053999999986</v>
      </c>
      <c r="H34">
        <f>F34*_xlfn.XLOOKUP(B34,AG:AG,AI:AI)</f>
        <v>10394.89</v>
      </c>
      <c r="I34">
        <f t="shared" si="0"/>
        <v>0</v>
      </c>
      <c r="J34">
        <f>I34*_xlfn.XLOOKUP(B34,AG:AG,AI:AI)</f>
        <v>0</v>
      </c>
      <c r="K34" s="7">
        <f>_xlfn.XLOOKUP(A34,Z:Z,AD:AD)</f>
        <v>45608</v>
      </c>
      <c r="L34" s="7">
        <f t="shared" si="1"/>
        <v>45578</v>
      </c>
      <c r="M34">
        <f t="shared" si="2"/>
        <v>10</v>
      </c>
      <c r="N34">
        <f t="shared" si="3"/>
        <v>2024</v>
      </c>
      <c r="Q34" s="22">
        <v>71</v>
      </c>
      <c r="R34" s="22">
        <v>4335.6000000000004</v>
      </c>
      <c r="S34" s="22" t="str">
        <f t="shared" si="4"/>
        <v>USD</v>
      </c>
      <c r="T34" s="22">
        <f>R34*_xlfn.XLOOKUP(S34,AG:AG,AI:AI)</f>
        <v>4335.6000000000004</v>
      </c>
      <c r="U34" s="22" t="s">
        <v>26</v>
      </c>
      <c r="W34" s="9">
        <v>40</v>
      </c>
      <c r="X34" s="9" t="s">
        <v>27</v>
      </c>
      <c r="Z34">
        <v>34</v>
      </c>
      <c r="AA34">
        <v>10394.89</v>
      </c>
      <c r="AB34" s="20" t="s">
        <v>29</v>
      </c>
      <c r="AC34" s="23">
        <f t="shared" si="5"/>
        <v>10394.89</v>
      </c>
      <c r="AD34" s="7">
        <v>45608</v>
      </c>
    </row>
    <row r="35" spans="1:30">
      <c r="A35">
        <v>35</v>
      </c>
      <c r="B35" t="str">
        <f>_xlfn.XLOOKUP(A35,Z:Z,AB:AB,"not found")</f>
        <v>USD</v>
      </c>
      <c r="C35">
        <f>_xlfn.XLOOKUP(A35,Z:Z,AA:AA)-_xlfn.XLOOKUP(A35,Q:Q,R:R,"0")</f>
        <v>14200.83</v>
      </c>
      <c r="D35">
        <f>C35*_xlfn.XLOOKUP(B35,AG:AG,AH:AH)</f>
        <v>12212.7138</v>
      </c>
      <c r="E35">
        <f>C35*_xlfn.XLOOKUP(B35,AG:AG,AI:AI)</f>
        <v>14200.83</v>
      </c>
      <c r="F35">
        <v>15560.19</v>
      </c>
      <c r="G35">
        <f>F35*_xlfn.XLOOKUP(B35,AG:AG,AH:AH)</f>
        <v>13381.7634</v>
      </c>
      <c r="H35">
        <f>F35*_xlfn.XLOOKUP(B35,AG:AG,AI:AI)</f>
        <v>15560.19</v>
      </c>
      <c r="I35">
        <f t="shared" si="0"/>
        <v>0</v>
      </c>
      <c r="J35">
        <f>I35*_xlfn.XLOOKUP(B35,AG:AG,AI:AI)</f>
        <v>0</v>
      </c>
      <c r="K35" s="7">
        <f>_xlfn.XLOOKUP(A35,Z:Z,AD:AD)</f>
        <v>45610</v>
      </c>
      <c r="L35" s="7">
        <f t="shared" si="1"/>
        <v>45580</v>
      </c>
      <c r="M35">
        <f t="shared" si="2"/>
        <v>10</v>
      </c>
      <c r="N35">
        <f t="shared" si="3"/>
        <v>2024</v>
      </c>
      <c r="Q35" s="22">
        <v>73</v>
      </c>
      <c r="R35" s="22">
        <v>11485.71</v>
      </c>
      <c r="S35" s="22" t="str">
        <f t="shared" si="4"/>
        <v>USD</v>
      </c>
      <c r="T35" s="22">
        <f>R35*_xlfn.XLOOKUP(S35,AG:AG,AI:AI)</f>
        <v>11485.71</v>
      </c>
      <c r="U35" s="22" t="s">
        <v>26</v>
      </c>
      <c r="W35" s="9">
        <v>41</v>
      </c>
      <c r="X35" s="9" t="s">
        <v>27</v>
      </c>
      <c r="Z35">
        <v>35</v>
      </c>
      <c r="AA35">
        <v>15560.19</v>
      </c>
      <c r="AB35" s="20" t="s">
        <v>29</v>
      </c>
      <c r="AC35" s="23">
        <f t="shared" si="5"/>
        <v>15560.19</v>
      </c>
      <c r="AD35" s="7">
        <v>45610</v>
      </c>
    </row>
    <row r="36" spans="1:30">
      <c r="A36">
        <v>36</v>
      </c>
      <c r="B36" t="str">
        <f>_xlfn.XLOOKUP(A36,Z:Z,AB:AB,"not found")</f>
        <v>USD</v>
      </c>
      <c r="C36">
        <f>_xlfn.XLOOKUP(A36,Z:Z,AA:AA)-_xlfn.XLOOKUP(A36,Q:Q,R:R,"0")</f>
        <v>3516.4</v>
      </c>
      <c r="D36">
        <f>C36*_xlfn.XLOOKUP(B36,AG:AG,AH:AH)</f>
        <v>3024.1039999999998</v>
      </c>
      <c r="E36">
        <f>C36*_xlfn.XLOOKUP(B36,AG:AG,AI:AI)</f>
        <v>3516.4</v>
      </c>
      <c r="F36">
        <v>3516.4</v>
      </c>
      <c r="G36">
        <f>F36*_xlfn.XLOOKUP(B36,AG:AG,AH:AH)</f>
        <v>3024.1039999999998</v>
      </c>
      <c r="H36">
        <f>F36*_xlfn.XLOOKUP(B36,AG:AG,AI:AI)</f>
        <v>3516.4</v>
      </c>
      <c r="I36">
        <f t="shared" si="0"/>
        <v>0</v>
      </c>
      <c r="J36">
        <f>I36*_xlfn.XLOOKUP(B36,AG:AG,AI:AI)</f>
        <v>0</v>
      </c>
      <c r="K36" s="7">
        <f>_xlfn.XLOOKUP(A36,Z:Z,AD:AD)</f>
        <v>45624</v>
      </c>
      <c r="L36" s="7">
        <f t="shared" si="1"/>
        <v>45594</v>
      </c>
      <c r="M36">
        <f t="shared" si="2"/>
        <v>10</v>
      </c>
      <c r="N36">
        <f t="shared" si="3"/>
        <v>2024</v>
      </c>
      <c r="Q36" s="22">
        <v>76</v>
      </c>
      <c r="R36" s="22">
        <v>4288.9699999999993</v>
      </c>
      <c r="S36" s="22" t="str">
        <f t="shared" si="4"/>
        <v>USD</v>
      </c>
      <c r="T36" s="22">
        <f>R36*_xlfn.XLOOKUP(S36,AG:AG,AI:AI)</f>
        <v>4288.9699999999993</v>
      </c>
      <c r="U36" s="22" t="s">
        <v>26</v>
      </c>
      <c r="W36" s="9">
        <v>41</v>
      </c>
      <c r="X36" s="9" t="s">
        <v>27</v>
      </c>
      <c r="Z36">
        <v>36</v>
      </c>
      <c r="AA36">
        <v>3516.4</v>
      </c>
      <c r="AB36" s="20" t="s">
        <v>29</v>
      </c>
      <c r="AC36" s="23">
        <f t="shared" si="5"/>
        <v>3516.4</v>
      </c>
      <c r="AD36" s="7">
        <v>45624</v>
      </c>
    </row>
    <row r="37" spans="1:30">
      <c r="A37">
        <v>37</v>
      </c>
      <c r="B37" t="str">
        <f>_xlfn.XLOOKUP(A37,Z:Z,AB:AB,"not found")</f>
        <v>USD</v>
      </c>
      <c r="C37">
        <f>_xlfn.XLOOKUP(A37,Z:Z,AA:AA)-_xlfn.XLOOKUP(A37,Q:Q,R:R,"0")</f>
        <v>8954.92</v>
      </c>
      <c r="D37">
        <f>C37*_xlfn.XLOOKUP(B37,AG:AG,AH:AH)</f>
        <v>7701.2312000000002</v>
      </c>
      <c r="E37">
        <f>C37*_xlfn.XLOOKUP(B37,AG:AG,AI:AI)</f>
        <v>8954.92</v>
      </c>
      <c r="F37">
        <v>8954.92</v>
      </c>
      <c r="G37">
        <f>F37*_xlfn.XLOOKUP(B37,AG:AG,AH:AH)</f>
        <v>7701.2312000000002</v>
      </c>
      <c r="H37">
        <f>F37*_xlfn.XLOOKUP(B37,AG:AG,AI:AI)</f>
        <v>8954.92</v>
      </c>
      <c r="I37">
        <f t="shared" si="0"/>
        <v>0</v>
      </c>
      <c r="J37">
        <f>I37*_xlfn.XLOOKUP(B37,AG:AG,AI:AI)</f>
        <v>0</v>
      </c>
      <c r="K37" s="7">
        <f>_xlfn.XLOOKUP(A37,Z:Z,AD:AD)</f>
        <v>45611</v>
      </c>
      <c r="L37" s="7">
        <f t="shared" si="1"/>
        <v>45581</v>
      </c>
      <c r="M37">
        <f t="shared" si="2"/>
        <v>10</v>
      </c>
      <c r="N37">
        <f t="shared" si="3"/>
        <v>2024</v>
      </c>
      <c r="Q37" s="22">
        <v>78</v>
      </c>
      <c r="R37" s="22">
        <v>688</v>
      </c>
      <c r="S37" s="22" t="str">
        <f t="shared" si="4"/>
        <v>USD</v>
      </c>
      <c r="T37" s="22">
        <f>R37*_xlfn.XLOOKUP(S37,AG:AG,AI:AI)</f>
        <v>688</v>
      </c>
      <c r="U37" s="22" t="s">
        <v>26</v>
      </c>
      <c r="W37" s="9">
        <v>45</v>
      </c>
      <c r="X37" s="9" t="s">
        <v>29</v>
      </c>
      <c r="Z37">
        <v>37</v>
      </c>
      <c r="AA37">
        <v>8954.92</v>
      </c>
      <c r="AB37" s="20" t="s">
        <v>29</v>
      </c>
      <c r="AC37" s="23">
        <f t="shared" si="5"/>
        <v>8954.92</v>
      </c>
      <c r="AD37" s="7">
        <v>45611</v>
      </c>
    </row>
    <row r="38" spans="1:30">
      <c r="A38">
        <v>38</v>
      </c>
      <c r="B38" t="str">
        <f>_xlfn.XLOOKUP(A38,Z:Z,AB:AB,"not found")</f>
        <v>MXN</v>
      </c>
      <c r="C38">
        <f>_xlfn.XLOOKUP(A38,Z:Z,AA:AA)-_xlfn.XLOOKUP(A38,Q:Q,R:R,"0")</f>
        <v>60452.52</v>
      </c>
      <c r="D38">
        <f>C38*_xlfn.XLOOKUP(B38,AG:AG,AH:AH)</f>
        <v>2901.7209600000001</v>
      </c>
      <c r="E38">
        <f>C38*_xlfn.XLOOKUP(B38,AG:AG,AI:AI)</f>
        <v>3385.34112</v>
      </c>
      <c r="F38">
        <v>60452.52</v>
      </c>
      <c r="G38">
        <f>F38*_xlfn.XLOOKUP(B38,AG:AG,AH:AH)</f>
        <v>2901.7209600000001</v>
      </c>
      <c r="H38">
        <f>F38*_xlfn.XLOOKUP(B38,AG:AG,AI:AI)</f>
        <v>3385.34112</v>
      </c>
      <c r="I38">
        <f t="shared" si="0"/>
        <v>0</v>
      </c>
      <c r="J38">
        <f>I38*_xlfn.XLOOKUP(B38,AG:AG,AI:AI)</f>
        <v>0</v>
      </c>
      <c r="K38" s="7">
        <f>_xlfn.XLOOKUP(A38,Z:Z,AD:AD)</f>
        <v>45648</v>
      </c>
      <c r="L38" s="7">
        <f t="shared" si="1"/>
        <v>45618</v>
      </c>
      <c r="M38">
        <f t="shared" si="2"/>
        <v>11</v>
      </c>
      <c r="N38">
        <f t="shared" si="3"/>
        <v>2024</v>
      </c>
      <c r="Q38" s="22">
        <v>79</v>
      </c>
      <c r="R38" s="22">
        <v>3295.4</v>
      </c>
      <c r="S38" s="22" t="str">
        <f t="shared" si="4"/>
        <v>USD</v>
      </c>
      <c r="T38" s="22">
        <f>R38*_xlfn.XLOOKUP(S38,AG:AG,AI:AI)</f>
        <v>3295.4</v>
      </c>
      <c r="U38" s="22" t="s">
        <v>26</v>
      </c>
      <c r="W38" s="9">
        <v>46</v>
      </c>
      <c r="X38" s="9" t="s">
        <v>27</v>
      </c>
      <c r="Z38">
        <v>38</v>
      </c>
      <c r="AA38">
        <v>60452.52</v>
      </c>
      <c r="AB38" s="20" t="s">
        <v>28</v>
      </c>
      <c r="AC38" s="23">
        <f t="shared" si="5"/>
        <v>3385.34112</v>
      </c>
      <c r="AD38" s="7">
        <v>45648</v>
      </c>
    </row>
    <row r="39" spans="1:30">
      <c r="A39">
        <v>39</v>
      </c>
      <c r="B39" t="str">
        <f>_xlfn.XLOOKUP(A39,Z:Z,AB:AB,"not found")</f>
        <v>MXN</v>
      </c>
      <c r="C39">
        <f>_xlfn.XLOOKUP(A39,Z:Z,AA:AA)-_xlfn.XLOOKUP(A39,Q:Q,R:R,"0")</f>
        <v>40255.75</v>
      </c>
      <c r="D39">
        <f>C39*_xlfn.XLOOKUP(B39,AG:AG,AH:AH)</f>
        <v>1932.2760000000001</v>
      </c>
      <c r="E39">
        <f>C39*_xlfn.XLOOKUP(B39,AG:AG,AI:AI)</f>
        <v>2254.3220000000001</v>
      </c>
      <c r="F39">
        <v>40255.75</v>
      </c>
      <c r="G39">
        <f>F39*_xlfn.XLOOKUP(B39,AG:AG,AH:AH)</f>
        <v>1932.2760000000001</v>
      </c>
      <c r="H39">
        <f>F39*_xlfn.XLOOKUP(B39,AG:AG,AI:AI)</f>
        <v>2254.3220000000001</v>
      </c>
      <c r="I39">
        <f t="shared" si="0"/>
        <v>0</v>
      </c>
      <c r="J39">
        <f>I39*_xlfn.XLOOKUP(B39,AG:AG,AI:AI)</f>
        <v>0</v>
      </c>
      <c r="K39" s="7">
        <f>_xlfn.XLOOKUP(A39,Z:Z,AD:AD)</f>
        <v>45620</v>
      </c>
      <c r="L39" s="7">
        <f t="shared" si="1"/>
        <v>45590</v>
      </c>
      <c r="M39">
        <f t="shared" si="2"/>
        <v>10</v>
      </c>
      <c r="N39">
        <f t="shared" si="3"/>
        <v>2024</v>
      </c>
      <c r="Q39" s="22">
        <v>81</v>
      </c>
      <c r="R39" s="22">
        <v>2265</v>
      </c>
      <c r="S39" s="22" t="str">
        <f t="shared" si="4"/>
        <v>USD</v>
      </c>
      <c r="T39" s="22">
        <f>R39*_xlfn.XLOOKUP(S39,AG:AG,AI:AI)</f>
        <v>2265</v>
      </c>
      <c r="U39" s="22" t="s">
        <v>26</v>
      </c>
      <c r="W39" s="9">
        <v>47</v>
      </c>
      <c r="X39" s="9" t="s">
        <v>28</v>
      </c>
      <c r="Z39">
        <v>39</v>
      </c>
      <c r="AA39">
        <v>40255.75</v>
      </c>
      <c r="AB39" s="20" t="s">
        <v>28</v>
      </c>
      <c r="AC39" s="23">
        <f t="shared" si="5"/>
        <v>2254.3220000000001</v>
      </c>
      <c r="AD39" s="7">
        <v>45620</v>
      </c>
    </row>
    <row r="40" spans="1:30">
      <c r="A40">
        <v>40</v>
      </c>
      <c r="B40" t="str">
        <f>_xlfn.XLOOKUP(A40,Z:Z,AB:AB,"not found")</f>
        <v>EUR</v>
      </c>
      <c r="C40">
        <f>_xlfn.XLOOKUP(A40,Z:Z,AA:AA)-_xlfn.XLOOKUP(A40,Q:Q,R:R,"0")</f>
        <v>0</v>
      </c>
      <c r="D40">
        <f>C40*_xlfn.XLOOKUP(B40,AG:AG,AH:AH)</f>
        <v>0</v>
      </c>
      <c r="E40">
        <f>C40*_xlfn.XLOOKUP(B40,AG:AG,AI:AI)</f>
        <v>0</v>
      </c>
      <c r="F40">
        <v>600</v>
      </c>
      <c r="G40">
        <f>F40*_xlfn.XLOOKUP(B40,AG:AG,AH:AH)</f>
        <v>600</v>
      </c>
      <c r="H40">
        <f>F40*_xlfn.XLOOKUP(B40,AG:AG,AI:AI)</f>
        <v>696</v>
      </c>
      <c r="I40">
        <f t="shared" si="0"/>
        <v>0</v>
      </c>
      <c r="J40">
        <f>I40*_xlfn.XLOOKUP(B40,AG:AG,AI:AI)</f>
        <v>0</v>
      </c>
      <c r="K40" s="7">
        <f>_xlfn.XLOOKUP(A40,Z:Z,AD:AD)</f>
        <v>45563</v>
      </c>
      <c r="L40" s="7">
        <f t="shared" si="1"/>
        <v>45533</v>
      </c>
      <c r="M40">
        <f t="shared" si="2"/>
        <v>8</v>
      </c>
      <c r="N40">
        <f t="shared" si="3"/>
        <v>2024</v>
      </c>
      <c r="Q40" s="22">
        <v>83</v>
      </c>
      <c r="R40" s="22">
        <v>229</v>
      </c>
      <c r="S40" s="22" t="str">
        <f t="shared" si="4"/>
        <v>USD</v>
      </c>
      <c r="T40" s="22">
        <f>R40*_xlfn.XLOOKUP(S40,AG:AG,AI:AI)</f>
        <v>229</v>
      </c>
      <c r="U40" s="22" t="s">
        <v>26</v>
      </c>
      <c r="W40" s="9">
        <v>48</v>
      </c>
      <c r="X40" s="9" t="s">
        <v>29</v>
      </c>
      <c r="Z40">
        <v>40</v>
      </c>
      <c r="AA40">
        <v>600</v>
      </c>
      <c r="AB40" s="20" t="s">
        <v>27</v>
      </c>
      <c r="AC40" s="23">
        <f t="shared" si="5"/>
        <v>696</v>
      </c>
      <c r="AD40" s="7">
        <v>45563</v>
      </c>
    </row>
    <row r="41" spans="1:30">
      <c r="A41">
        <v>41</v>
      </c>
      <c r="B41" t="str">
        <f>_xlfn.XLOOKUP(A41,Z:Z,AB:AB,"not found")</f>
        <v>EUR</v>
      </c>
      <c r="C41">
        <f>_xlfn.XLOOKUP(A41,Z:Z,AA:AA)-_xlfn.XLOOKUP(A41,Q:Q,R:R,"0")</f>
        <v>0</v>
      </c>
      <c r="D41">
        <f>C41*_xlfn.XLOOKUP(B41,AG:AG,AH:AH)</f>
        <v>0</v>
      </c>
      <c r="E41">
        <f>C41*_xlfn.XLOOKUP(B41,AG:AG,AI:AI)</f>
        <v>0</v>
      </c>
      <c r="F41">
        <v>2716.1</v>
      </c>
      <c r="G41">
        <f>F41*_xlfn.XLOOKUP(B41,AG:AG,AH:AH)</f>
        <v>2716.1</v>
      </c>
      <c r="H41">
        <f>F41*_xlfn.XLOOKUP(B41,AG:AG,AI:AI)</f>
        <v>3150.6759999999995</v>
      </c>
      <c r="I41">
        <f t="shared" si="0"/>
        <v>0</v>
      </c>
      <c r="J41">
        <f>I41*_xlfn.XLOOKUP(B41,AG:AG,AI:AI)</f>
        <v>0</v>
      </c>
      <c r="K41" s="7">
        <f>_xlfn.XLOOKUP(A41,Z:Z,AD:AD)</f>
        <v>45574</v>
      </c>
      <c r="L41" s="7">
        <f t="shared" si="1"/>
        <v>45544</v>
      </c>
      <c r="M41">
        <f t="shared" si="2"/>
        <v>9</v>
      </c>
      <c r="N41">
        <f t="shared" si="3"/>
        <v>2024</v>
      </c>
      <c r="Q41" s="22">
        <v>84</v>
      </c>
      <c r="R41" s="22">
        <v>1708.68</v>
      </c>
      <c r="S41" s="22" t="str">
        <f t="shared" si="4"/>
        <v>USD</v>
      </c>
      <c r="T41" s="22">
        <f>R41*_xlfn.XLOOKUP(S41,AG:AG,AI:AI)</f>
        <v>1708.68</v>
      </c>
      <c r="U41" s="22" t="s">
        <v>26</v>
      </c>
      <c r="W41" s="9">
        <v>48</v>
      </c>
      <c r="X41" s="9" t="s">
        <v>29</v>
      </c>
      <c r="Z41">
        <v>41</v>
      </c>
      <c r="AA41">
        <v>2716.1</v>
      </c>
      <c r="AB41" s="20" t="s">
        <v>27</v>
      </c>
      <c r="AC41" s="23">
        <f t="shared" si="5"/>
        <v>3150.6759999999995</v>
      </c>
      <c r="AD41" s="7">
        <v>45574</v>
      </c>
    </row>
    <row r="42" spans="1:30">
      <c r="A42">
        <v>43</v>
      </c>
      <c r="B42" t="str">
        <f>_xlfn.XLOOKUP(A42,Z:Z,AB:AB,"not found")</f>
        <v>USD</v>
      </c>
      <c r="C42">
        <f>_xlfn.XLOOKUP(A42,Z:Z,AA:AA)-_xlfn.XLOOKUP(A42,Q:Q,R:R,"0")</f>
        <v>24986.880000000001</v>
      </c>
      <c r="D42">
        <f>C42*_xlfn.XLOOKUP(B42,AG:AG,AH:AH)</f>
        <v>21488.716800000002</v>
      </c>
      <c r="E42">
        <f>C42*_xlfn.XLOOKUP(B42,AG:AG,AI:AI)</f>
        <v>24986.880000000001</v>
      </c>
      <c r="F42">
        <v>24986.880000000001</v>
      </c>
      <c r="G42">
        <f>F42*_xlfn.XLOOKUP(B42,AG:AG,AH:AH)</f>
        <v>21488.716800000002</v>
      </c>
      <c r="H42">
        <f>F42*_xlfn.XLOOKUP(B42,AG:AG,AI:AI)</f>
        <v>24986.880000000001</v>
      </c>
      <c r="I42">
        <f t="shared" si="0"/>
        <v>0</v>
      </c>
      <c r="J42">
        <f>I42*_xlfn.XLOOKUP(B42,AG:AG,AI:AI)</f>
        <v>0</v>
      </c>
      <c r="K42" s="7">
        <f>_xlfn.XLOOKUP(A42,Z:Z,AD:AD)</f>
        <v>45663</v>
      </c>
      <c r="L42" s="7">
        <f t="shared" si="1"/>
        <v>45633</v>
      </c>
      <c r="M42">
        <f t="shared" si="2"/>
        <v>12</v>
      </c>
      <c r="N42">
        <f t="shared" si="3"/>
        <v>2024</v>
      </c>
      <c r="Q42" s="22">
        <v>85</v>
      </c>
      <c r="R42" s="22">
        <v>118302.05</v>
      </c>
      <c r="S42" s="22" t="str">
        <f t="shared" si="4"/>
        <v>USD</v>
      </c>
      <c r="T42" s="22">
        <f>R42*_xlfn.XLOOKUP(S42,AG:AG,AI:AI)</f>
        <v>118302.05</v>
      </c>
      <c r="U42" s="22" t="s">
        <v>26</v>
      </c>
      <c r="W42" s="9">
        <v>49</v>
      </c>
      <c r="X42" s="9" t="s">
        <v>29</v>
      </c>
      <c r="Z42">
        <v>43</v>
      </c>
      <c r="AA42">
        <v>24986.880000000001</v>
      </c>
      <c r="AB42" s="20" t="s">
        <v>29</v>
      </c>
      <c r="AC42" s="23">
        <f t="shared" si="5"/>
        <v>24986.880000000001</v>
      </c>
      <c r="AD42" s="7">
        <v>45663</v>
      </c>
    </row>
    <row r="43" spans="1:30">
      <c r="A43">
        <v>44</v>
      </c>
      <c r="B43" t="str">
        <f>_xlfn.XLOOKUP(A43,Z:Z,AB:AB,"not found")</f>
        <v>USD</v>
      </c>
      <c r="C43">
        <f>_xlfn.XLOOKUP(A43,Z:Z,AA:AA)-_xlfn.XLOOKUP(A43,Q:Q,R:R,"0")</f>
        <v>32389.06</v>
      </c>
      <c r="D43">
        <f>C43*_xlfn.XLOOKUP(B43,AG:AG,AH:AH)</f>
        <v>27854.5916</v>
      </c>
      <c r="E43">
        <f>C43*_xlfn.XLOOKUP(B43,AG:AG,AI:AI)</f>
        <v>32389.06</v>
      </c>
      <c r="F43">
        <v>32389.06</v>
      </c>
      <c r="G43">
        <f>F43*_xlfn.XLOOKUP(B43,AG:AG,AH:AH)</f>
        <v>27854.5916</v>
      </c>
      <c r="H43">
        <f>F43*_xlfn.XLOOKUP(B43,AG:AG,AI:AI)</f>
        <v>32389.06</v>
      </c>
      <c r="I43">
        <f t="shared" si="0"/>
        <v>0</v>
      </c>
      <c r="J43">
        <f>I43*_xlfn.XLOOKUP(B43,AG:AG,AI:AI)</f>
        <v>0</v>
      </c>
      <c r="K43" s="7">
        <f>_xlfn.XLOOKUP(A43,Z:Z,AD:AD)</f>
        <v>45651</v>
      </c>
      <c r="L43" s="7">
        <f t="shared" si="1"/>
        <v>45621</v>
      </c>
      <c r="M43">
        <f t="shared" si="2"/>
        <v>11</v>
      </c>
      <c r="N43">
        <f t="shared" si="3"/>
        <v>2024</v>
      </c>
      <c r="Q43" s="22">
        <v>88</v>
      </c>
      <c r="R43" s="22">
        <v>800</v>
      </c>
      <c r="S43" s="22" t="str">
        <f t="shared" si="4"/>
        <v>USD</v>
      </c>
      <c r="T43" s="22">
        <f>R43*_xlfn.XLOOKUP(S43,AG:AG,AI:AI)</f>
        <v>800</v>
      </c>
      <c r="U43" s="22" t="s">
        <v>26</v>
      </c>
      <c r="W43" s="9">
        <v>54</v>
      </c>
      <c r="X43" s="9" t="s">
        <v>28</v>
      </c>
      <c r="Z43">
        <v>44</v>
      </c>
      <c r="AA43">
        <v>32389.06</v>
      </c>
      <c r="AB43" s="20" t="s">
        <v>29</v>
      </c>
      <c r="AC43" s="23">
        <f t="shared" si="5"/>
        <v>32389.06</v>
      </c>
      <c r="AD43" s="7">
        <v>45651</v>
      </c>
    </row>
    <row r="44" spans="1:30">
      <c r="A44">
        <v>45</v>
      </c>
      <c r="B44" t="str">
        <f>_xlfn.XLOOKUP(A44,Z:Z,AB:AB,"not found")</f>
        <v>USD</v>
      </c>
      <c r="C44">
        <f>_xlfn.XLOOKUP(A44,Z:Z,AA:AA)-_xlfn.XLOOKUP(A44,Q:Q,R:R,"0")</f>
        <v>15659.59</v>
      </c>
      <c r="D44">
        <f>C44*_xlfn.XLOOKUP(B44,AG:AG,AH:AH)</f>
        <v>13467.2474</v>
      </c>
      <c r="E44">
        <f>C44*_xlfn.XLOOKUP(B44,AG:AG,AI:AI)</f>
        <v>15659.59</v>
      </c>
      <c r="F44">
        <v>15699.59</v>
      </c>
      <c r="G44">
        <f>F44*_xlfn.XLOOKUP(B44,AG:AG,AH:AH)</f>
        <v>13501.6474</v>
      </c>
      <c r="H44">
        <f>F44*_xlfn.XLOOKUP(B44,AG:AG,AI:AI)</f>
        <v>15699.59</v>
      </c>
      <c r="I44">
        <f t="shared" si="0"/>
        <v>0</v>
      </c>
      <c r="J44">
        <f>I44*_xlfn.XLOOKUP(B44,AG:AG,AI:AI)</f>
        <v>0</v>
      </c>
      <c r="K44" s="7">
        <f>_xlfn.XLOOKUP(A44,Z:Z,AD:AD)</f>
        <v>45716</v>
      </c>
      <c r="L44" s="7">
        <f t="shared" si="1"/>
        <v>45686</v>
      </c>
      <c r="M44">
        <f t="shared" si="2"/>
        <v>1</v>
      </c>
      <c r="N44">
        <f t="shared" si="3"/>
        <v>2025</v>
      </c>
      <c r="Q44" s="22">
        <v>89</v>
      </c>
      <c r="R44" s="22">
        <v>800</v>
      </c>
      <c r="S44" s="22" t="str">
        <f t="shared" si="4"/>
        <v>USD</v>
      </c>
      <c r="T44" s="22">
        <f>R44*_xlfn.XLOOKUP(S44,AG:AG,AI:AI)</f>
        <v>800</v>
      </c>
      <c r="U44" s="22" t="s">
        <v>26</v>
      </c>
      <c r="W44" s="9">
        <v>58</v>
      </c>
      <c r="X44" s="9" t="s">
        <v>29</v>
      </c>
      <c r="Z44">
        <v>45</v>
      </c>
      <c r="AA44">
        <v>15699.59</v>
      </c>
      <c r="AB44" s="20" t="s">
        <v>29</v>
      </c>
      <c r="AC44" s="23">
        <f t="shared" si="5"/>
        <v>15699.59</v>
      </c>
      <c r="AD44" s="7">
        <v>45716</v>
      </c>
    </row>
    <row r="45" spans="1:30">
      <c r="A45">
        <v>46</v>
      </c>
      <c r="B45" t="str">
        <f>_xlfn.XLOOKUP(A45,Z:Z,AB:AB,"not found")</f>
        <v>EUR</v>
      </c>
      <c r="C45">
        <f>_xlfn.XLOOKUP(A45,Z:Z,AA:AA)-_xlfn.XLOOKUP(A45,Q:Q,R:R,"0")</f>
        <v>0</v>
      </c>
      <c r="D45">
        <f>C45*_xlfn.XLOOKUP(B45,AG:AG,AH:AH)</f>
        <v>0</v>
      </c>
      <c r="E45">
        <f>C45*_xlfn.XLOOKUP(B45,AG:AG,AI:AI)</f>
        <v>0</v>
      </c>
      <c r="F45">
        <v>3400</v>
      </c>
      <c r="G45">
        <f>F45*_xlfn.XLOOKUP(B45,AG:AG,AH:AH)</f>
        <v>3400</v>
      </c>
      <c r="H45">
        <f>F45*_xlfn.XLOOKUP(B45,AG:AG,AI:AI)</f>
        <v>3943.9999999999995</v>
      </c>
      <c r="I45">
        <f t="shared" si="0"/>
        <v>0</v>
      </c>
      <c r="J45">
        <f>I45*_xlfn.XLOOKUP(B45,AG:AG,AI:AI)</f>
        <v>0</v>
      </c>
      <c r="K45" s="7">
        <f>_xlfn.XLOOKUP(A45,Z:Z,AD:AD)</f>
        <v>45568</v>
      </c>
      <c r="L45" s="7">
        <f t="shared" si="1"/>
        <v>45538</v>
      </c>
      <c r="M45">
        <f t="shared" si="2"/>
        <v>9</v>
      </c>
      <c r="N45">
        <f t="shared" si="3"/>
        <v>2024</v>
      </c>
      <c r="Q45" s="22">
        <v>91</v>
      </c>
      <c r="R45" s="22">
        <v>9904</v>
      </c>
      <c r="S45" s="22" t="str">
        <f t="shared" si="4"/>
        <v>MXN</v>
      </c>
      <c r="T45" s="22">
        <f>R45*_xlfn.XLOOKUP(S45,AG:AG,AI:AI)</f>
        <v>554.62400000000002</v>
      </c>
      <c r="U45" s="22" t="s">
        <v>26</v>
      </c>
      <c r="W45" s="9">
        <v>58</v>
      </c>
      <c r="X45" s="9" t="s">
        <v>29</v>
      </c>
      <c r="Z45">
        <v>46</v>
      </c>
      <c r="AA45">
        <v>3400</v>
      </c>
      <c r="AB45" s="20" t="s">
        <v>27</v>
      </c>
      <c r="AC45" s="23">
        <f t="shared" si="5"/>
        <v>3943.9999999999995</v>
      </c>
      <c r="AD45" s="7">
        <v>45568</v>
      </c>
    </row>
    <row r="46" spans="1:30">
      <c r="A46">
        <v>47</v>
      </c>
      <c r="B46" t="str">
        <f>_xlfn.XLOOKUP(A46,Z:Z,AB:AB,"not found")</f>
        <v>MXN</v>
      </c>
      <c r="C46">
        <f>_xlfn.XLOOKUP(A46,Z:Z,AA:AA)-_xlfn.XLOOKUP(A46,Q:Q,R:R,"0")</f>
        <v>449936.00999999995</v>
      </c>
      <c r="D46">
        <f>C46*_xlfn.XLOOKUP(B46,AG:AG,AH:AH)</f>
        <v>21596.928479999999</v>
      </c>
      <c r="E46">
        <f>C46*_xlfn.XLOOKUP(B46,AG:AG,AI:AI)</f>
        <v>25196.416559999998</v>
      </c>
      <c r="F46">
        <v>451411.78</v>
      </c>
      <c r="G46">
        <f>F46*_xlfn.XLOOKUP(B46,AG:AG,AH:AH)</f>
        <v>21667.765440000003</v>
      </c>
      <c r="H46">
        <f>F46*_xlfn.XLOOKUP(B46,AG:AG,AI:AI)</f>
        <v>25279.059680000002</v>
      </c>
      <c r="I46">
        <f t="shared" si="0"/>
        <v>9.9999999231386028E-3</v>
      </c>
      <c r="J46">
        <f>I46*_xlfn.XLOOKUP(B46,AG:AG,AI:AI)</f>
        <v>5.5999999569576178E-4</v>
      </c>
      <c r="K46" s="7">
        <f>_xlfn.XLOOKUP(A46,Z:Z,AD:AD)</f>
        <v>45697</v>
      </c>
      <c r="L46" s="7">
        <f t="shared" si="1"/>
        <v>45667</v>
      </c>
      <c r="M46">
        <f t="shared" si="2"/>
        <v>1</v>
      </c>
      <c r="N46">
        <f t="shared" si="3"/>
        <v>2025</v>
      </c>
      <c r="Q46" s="22">
        <v>93</v>
      </c>
      <c r="R46" s="22">
        <v>4440</v>
      </c>
      <c r="S46" s="22" t="str">
        <f t="shared" si="4"/>
        <v>EUR</v>
      </c>
      <c r="T46" s="22">
        <f>R46*_xlfn.XLOOKUP(S46,AG:AG,AI:AI)</f>
        <v>5150.3999999999996</v>
      </c>
      <c r="U46" s="22" t="s">
        <v>26</v>
      </c>
      <c r="W46" s="9">
        <v>59</v>
      </c>
      <c r="X46" s="9" t="s">
        <v>29</v>
      </c>
      <c r="Z46">
        <v>47</v>
      </c>
      <c r="AA46">
        <v>451411.79</v>
      </c>
      <c r="AB46" s="20" t="s">
        <v>28</v>
      </c>
      <c r="AC46" s="23">
        <f t="shared" si="5"/>
        <v>25279.060239999999</v>
      </c>
      <c r="AD46" s="7">
        <v>45697</v>
      </c>
    </row>
    <row r="47" spans="1:30">
      <c r="A47">
        <v>48</v>
      </c>
      <c r="B47" t="str">
        <f>_xlfn.XLOOKUP(A47,Z:Z,AB:AB,"not found")</f>
        <v>USD</v>
      </c>
      <c r="C47">
        <f>_xlfn.XLOOKUP(A47,Z:Z,AA:AA)-_xlfn.XLOOKUP(A47,Q:Q,R:R,"0")</f>
        <v>0</v>
      </c>
      <c r="D47">
        <f>C47*_xlfn.XLOOKUP(B47,AG:AG,AH:AH)</f>
        <v>0</v>
      </c>
      <c r="E47">
        <f>C47*_xlfn.XLOOKUP(B47,AG:AG,AI:AI)</f>
        <v>0</v>
      </c>
      <c r="F47">
        <v>99000</v>
      </c>
      <c r="G47">
        <f>F47*_xlfn.XLOOKUP(B47,AG:AG,AH:AH)</f>
        <v>85140</v>
      </c>
      <c r="H47">
        <f>F47*_xlfn.XLOOKUP(B47,AG:AG,AI:AI)</f>
        <v>99000</v>
      </c>
      <c r="I47">
        <f t="shared" si="0"/>
        <v>0</v>
      </c>
      <c r="J47">
        <f>I47*_xlfn.XLOOKUP(B47,AG:AG,AI:AI)</f>
        <v>0</v>
      </c>
      <c r="K47" s="7">
        <f>_xlfn.XLOOKUP(A47,Z:Z,AD:AD)</f>
        <v>45620</v>
      </c>
      <c r="L47" s="7">
        <f t="shared" si="1"/>
        <v>45590</v>
      </c>
      <c r="M47">
        <f t="shared" si="2"/>
        <v>10</v>
      </c>
      <c r="N47">
        <f t="shared" si="3"/>
        <v>2024</v>
      </c>
      <c r="Q47" s="22">
        <v>94</v>
      </c>
      <c r="R47" s="22">
        <v>135027</v>
      </c>
      <c r="S47" s="22" t="str">
        <f t="shared" si="4"/>
        <v>MXN</v>
      </c>
      <c r="T47" s="22">
        <f>R47*_xlfn.XLOOKUP(S47,AG:AG,AI:AI)</f>
        <v>7561.5119999999997</v>
      </c>
      <c r="U47" s="22" t="s">
        <v>26</v>
      </c>
      <c r="W47" s="9">
        <v>60</v>
      </c>
      <c r="X47" s="9" t="s">
        <v>29</v>
      </c>
      <c r="Z47">
        <v>48</v>
      </c>
      <c r="AA47">
        <v>99000</v>
      </c>
      <c r="AB47" s="20" t="s">
        <v>29</v>
      </c>
      <c r="AC47" s="23">
        <f t="shared" si="5"/>
        <v>99000</v>
      </c>
      <c r="AD47" s="7">
        <v>45620</v>
      </c>
    </row>
    <row r="48" spans="1:30">
      <c r="A48">
        <v>49</v>
      </c>
      <c r="B48" t="str">
        <f>_xlfn.XLOOKUP(A48,Z:Z,AB:AB,"not found")</f>
        <v>USD</v>
      </c>
      <c r="C48">
        <f>_xlfn.XLOOKUP(A48,Z:Z,AA:AA)-_xlfn.XLOOKUP(A48,Q:Q,R:R,"0")</f>
        <v>0</v>
      </c>
      <c r="D48">
        <f>C48*_xlfn.XLOOKUP(B48,AG:AG,AH:AH)</f>
        <v>0</v>
      </c>
      <c r="E48">
        <f>C48*_xlfn.XLOOKUP(B48,AG:AG,AI:AI)</f>
        <v>0</v>
      </c>
      <c r="F48">
        <v>4997.26</v>
      </c>
      <c r="G48">
        <f>F48*_xlfn.XLOOKUP(B48,AG:AG,AH:AH)</f>
        <v>4297.6436000000003</v>
      </c>
      <c r="H48">
        <f>F48*_xlfn.XLOOKUP(B48,AG:AG,AI:AI)</f>
        <v>4997.26</v>
      </c>
      <c r="I48">
        <f t="shared" si="0"/>
        <v>0</v>
      </c>
      <c r="J48">
        <f>I48*_xlfn.XLOOKUP(B48,AG:AG,AI:AI)</f>
        <v>0</v>
      </c>
      <c r="K48" s="7">
        <f>_xlfn.XLOOKUP(A48,Z:Z,AD:AD)</f>
        <v>45676</v>
      </c>
      <c r="L48" s="7">
        <f t="shared" si="1"/>
        <v>45646</v>
      </c>
      <c r="M48">
        <f t="shared" si="2"/>
        <v>12</v>
      </c>
      <c r="N48">
        <f t="shared" si="3"/>
        <v>2024</v>
      </c>
      <c r="Q48" s="22">
        <v>95</v>
      </c>
      <c r="R48" s="22">
        <v>23614.400000000001</v>
      </c>
      <c r="S48" s="22" t="str">
        <f t="shared" si="4"/>
        <v>MXN</v>
      </c>
      <c r="T48" s="22">
        <f>R48*_xlfn.XLOOKUP(S48,AG:AG,AI:AI)</f>
        <v>1322.4064000000001</v>
      </c>
      <c r="U48" s="22" t="s">
        <v>26</v>
      </c>
      <c r="W48" s="9">
        <v>61</v>
      </c>
      <c r="X48" s="9" t="s">
        <v>29</v>
      </c>
      <c r="Z48">
        <v>49</v>
      </c>
      <c r="AA48">
        <v>4997.26</v>
      </c>
      <c r="AB48" s="20" t="s">
        <v>29</v>
      </c>
      <c r="AC48" s="23">
        <f t="shared" si="5"/>
        <v>4997.26</v>
      </c>
      <c r="AD48" s="7">
        <v>45676</v>
      </c>
    </row>
    <row r="49" spans="1:30">
      <c r="A49">
        <v>50</v>
      </c>
      <c r="B49" t="str">
        <f>_xlfn.XLOOKUP(A49,Z:Z,AB:AB,"not found")</f>
        <v>USD</v>
      </c>
      <c r="C49">
        <f>_xlfn.XLOOKUP(A49,Z:Z,AA:AA)-_xlfn.XLOOKUP(A49,Q:Q,R:R,"0")</f>
        <v>7875.75</v>
      </c>
      <c r="D49">
        <f>C49*_xlfn.XLOOKUP(B49,AG:AG,AH:AH)</f>
        <v>6773.1449999999995</v>
      </c>
      <c r="E49">
        <f>C49*_xlfn.XLOOKUP(B49,AG:AG,AI:AI)</f>
        <v>7875.75</v>
      </c>
      <c r="F49">
        <v>7875.75</v>
      </c>
      <c r="G49">
        <f>F49*_xlfn.XLOOKUP(B49,AG:AG,AH:AH)</f>
        <v>6773.1449999999995</v>
      </c>
      <c r="H49">
        <f>F49*_xlfn.XLOOKUP(B49,AG:AG,AI:AI)</f>
        <v>7875.75</v>
      </c>
      <c r="I49">
        <f t="shared" si="0"/>
        <v>0</v>
      </c>
      <c r="J49">
        <f>I49*_xlfn.XLOOKUP(B49,AG:AG,AI:AI)</f>
        <v>0</v>
      </c>
      <c r="K49" s="7">
        <f>_xlfn.XLOOKUP(A49,Z:Z,AD:AD)</f>
        <v>45669</v>
      </c>
      <c r="L49" s="7">
        <f t="shared" si="1"/>
        <v>45639</v>
      </c>
      <c r="M49">
        <f t="shared" si="2"/>
        <v>12</v>
      </c>
      <c r="N49">
        <f t="shared" si="3"/>
        <v>2024</v>
      </c>
      <c r="Q49" s="22">
        <v>97</v>
      </c>
      <c r="R49" s="22">
        <v>494.4</v>
      </c>
      <c r="S49" s="22" t="str">
        <f t="shared" si="4"/>
        <v>EUR</v>
      </c>
      <c r="T49" s="22">
        <f>R49*_xlfn.XLOOKUP(S49,AG:AG,AI:AI)</f>
        <v>573.50399999999991</v>
      </c>
      <c r="U49" s="22" t="s">
        <v>26</v>
      </c>
      <c r="W49" s="9">
        <v>62</v>
      </c>
      <c r="X49" s="9" t="s">
        <v>29</v>
      </c>
      <c r="Z49">
        <v>50</v>
      </c>
      <c r="AA49">
        <v>7875.75</v>
      </c>
      <c r="AB49" s="20" t="s">
        <v>29</v>
      </c>
      <c r="AC49" s="23">
        <f t="shared" si="5"/>
        <v>7875.75</v>
      </c>
      <c r="AD49" s="7">
        <v>45669</v>
      </c>
    </row>
    <row r="50" spans="1:30">
      <c r="A50">
        <v>51</v>
      </c>
      <c r="B50" t="str">
        <f>_xlfn.XLOOKUP(A50,Z:Z,AB:AB,"not found")</f>
        <v>USD</v>
      </c>
      <c r="C50">
        <f>_xlfn.XLOOKUP(A50,Z:Z,AA:AA)-_xlfn.XLOOKUP(A50,Q:Q,R:R,"0")</f>
        <v>28820.799999999999</v>
      </c>
      <c r="D50">
        <f>C50*_xlfn.XLOOKUP(B50,AG:AG,AH:AH)</f>
        <v>24785.887999999999</v>
      </c>
      <c r="E50">
        <f>C50*_xlfn.XLOOKUP(B50,AG:AG,AI:AI)</f>
        <v>28820.799999999999</v>
      </c>
      <c r="F50">
        <v>28820.799999999999</v>
      </c>
      <c r="G50">
        <f>F50*_xlfn.XLOOKUP(B50,AG:AG,AH:AH)</f>
        <v>24785.887999999999</v>
      </c>
      <c r="H50">
        <f>F50*_xlfn.XLOOKUP(B50,AG:AG,AI:AI)</f>
        <v>28820.799999999999</v>
      </c>
      <c r="I50">
        <f t="shared" si="0"/>
        <v>0</v>
      </c>
      <c r="J50">
        <f>I50*_xlfn.XLOOKUP(B50,AG:AG,AI:AI)</f>
        <v>0</v>
      </c>
      <c r="K50" s="7">
        <f>_xlfn.XLOOKUP(A50,Z:Z,AD:AD)</f>
        <v>45676</v>
      </c>
      <c r="L50" s="7">
        <f t="shared" si="1"/>
        <v>45646</v>
      </c>
      <c r="M50">
        <f t="shared" si="2"/>
        <v>12</v>
      </c>
      <c r="N50">
        <f t="shared" si="3"/>
        <v>2024</v>
      </c>
      <c r="Q50" s="22">
        <v>98</v>
      </c>
      <c r="R50" s="22">
        <v>33897.49</v>
      </c>
      <c r="S50" s="22" t="str">
        <f t="shared" si="4"/>
        <v>EUR</v>
      </c>
      <c r="T50" s="22">
        <f>R50*_xlfn.XLOOKUP(S50,AG:AG,AI:AI)</f>
        <v>39321.088399999993</v>
      </c>
      <c r="U50" s="22" t="s">
        <v>26</v>
      </c>
      <c r="W50" s="9">
        <v>62</v>
      </c>
      <c r="X50" s="9" t="s">
        <v>29</v>
      </c>
      <c r="Z50">
        <v>51</v>
      </c>
      <c r="AA50">
        <v>28820.799999999999</v>
      </c>
      <c r="AB50" s="20" t="s">
        <v>29</v>
      </c>
      <c r="AC50" s="23">
        <f t="shared" si="5"/>
        <v>28820.799999999999</v>
      </c>
      <c r="AD50" s="7">
        <v>45676</v>
      </c>
    </row>
    <row r="51" spans="1:30">
      <c r="A51">
        <v>52</v>
      </c>
      <c r="B51" t="str">
        <f>_xlfn.XLOOKUP(A51,Z:Z,AB:AB,"not found")</f>
        <v>USD</v>
      </c>
      <c r="C51">
        <f>_xlfn.XLOOKUP(A51,Z:Z,AA:AA)-_xlfn.XLOOKUP(A51,Q:Q,R:R,"0")</f>
        <v>12860.97</v>
      </c>
      <c r="D51">
        <f>C51*_xlfn.XLOOKUP(B51,AG:AG,AH:AH)</f>
        <v>11060.4342</v>
      </c>
      <c r="E51">
        <f>C51*_xlfn.XLOOKUP(B51,AG:AG,AI:AI)</f>
        <v>12860.97</v>
      </c>
      <c r="F51">
        <v>12860.97</v>
      </c>
      <c r="G51">
        <f>F51*_xlfn.XLOOKUP(B51,AG:AG,AH:AH)</f>
        <v>11060.4342</v>
      </c>
      <c r="H51">
        <f>F51*_xlfn.XLOOKUP(B51,AG:AG,AI:AI)</f>
        <v>12860.97</v>
      </c>
      <c r="I51">
        <f t="shared" si="0"/>
        <v>0</v>
      </c>
      <c r="J51">
        <f>I51*_xlfn.XLOOKUP(B51,AG:AG,AI:AI)</f>
        <v>0</v>
      </c>
      <c r="K51" s="7">
        <f>_xlfn.XLOOKUP(A51,Z:Z,AD:AD)</f>
        <v>45630</v>
      </c>
      <c r="L51" s="7">
        <f t="shared" si="1"/>
        <v>45600</v>
      </c>
      <c r="M51">
        <f t="shared" si="2"/>
        <v>11</v>
      </c>
      <c r="N51">
        <f t="shared" si="3"/>
        <v>2024</v>
      </c>
      <c r="Q51" s="22">
        <v>99</v>
      </c>
      <c r="R51" s="22">
        <v>26938.799999999999</v>
      </c>
      <c r="S51" s="22" t="str">
        <f t="shared" si="4"/>
        <v>EUR</v>
      </c>
      <c r="T51" s="22">
        <f>R51*_xlfn.XLOOKUP(S51,AG:AG,AI:AI)</f>
        <v>31249.007999999998</v>
      </c>
      <c r="U51" s="22" t="s">
        <v>26</v>
      </c>
      <c r="W51" s="9">
        <v>62</v>
      </c>
      <c r="X51" s="9" t="s">
        <v>29</v>
      </c>
      <c r="Z51">
        <v>52</v>
      </c>
      <c r="AA51">
        <v>12860.97</v>
      </c>
      <c r="AB51" s="20" t="s">
        <v>29</v>
      </c>
      <c r="AC51" s="23">
        <f t="shared" si="5"/>
        <v>12860.97</v>
      </c>
      <c r="AD51" s="7">
        <v>45630</v>
      </c>
    </row>
    <row r="52" spans="1:30">
      <c r="A52">
        <v>53</v>
      </c>
      <c r="B52" t="str">
        <f>_xlfn.XLOOKUP(A52,Z:Z,AB:AB,"not found")</f>
        <v>USD</v>
      </c>
      <c r="C52">
        <f>_xlfn.XLOOKUP(A52,Z:Z,AA:AA)-_xlfn.XLOOKUP(A52,Q:Q,R:R,"0")</f>
        <v>677.63</v>
      </c>
      <c r="D52">
        <f>C52*_xlfn.XLOOKUP(B52,AG:AG,AH:AH)</f>
        <v>582.76179999999999</v>
      </c>
      <c r="E52">
        <f>C52*_xlfn.XLOOKUP(B52,AG:AG,AI:AI)</f>
        <v>677.63</v>
      </c>
      <c r="F52">
        <v>677.63</v>
      </c>
      <c r="G52">
        <f>F52*_xlfn.XLOOKUP(B52,AG:AG,AH:AH)</f>
        <v>582.76179999999999</v>
      </c>
      <c r="H52">
        <f>F52*_xlfn.XLOOKUP(B52,AG:AG,AI:AI)</f>
        <v>677.63</v>
      </c>
      <c r="I52">
        <f t="shared" si="0"/>
        <v>0</v>
      </c>
      <c r="J52">
        <f>I52*_xlfn.XLOOKUP(B52,AG:AG,AI:AI)</f>
        <v>0</v>
      </c>
      <c r="K52" s="7">
        <f>_xlfn.XLOOKUP(A52,Z:Z,AD:AD)</f>
        <v>45628</v>
      </c>
      <c r="L52" s="7">
        <f t="shared" si="1"/>
        <v>45598</v>
      </c>
      <c r="M52">
        <f t="shared" si="2"/>
        <v>11</v>
      </c>
      <c r="N52">
        <f t="shared" si="3"/>
        <v>2024</v>
      </c>
      <c r="Q52" s="22">
        <v>100</v>
      </c>
      <c r="R52" s="22">
        <v>4583</v>
      </c>
      <c r="S52" s="22" t="str">
        <f t="shared" si="4"/>
        <v>USD</v>
      </c>
      <c r="T52" s="22">
        <f>R52*_xlfn.XLOOKUP(S52,AG:AG,AI:AI)</f>
        <v>4583</v>
      </c>
      <c r="U52" s="22" t="s">
        <v>26</v>
      </c>
      <c r="W52" s="9">
        <v>62</v>
      </c>
      <c r="X52" s="9" t="s">
        <v>29</v>
      </c>
      <c r="Z52">
        <v>53</v>
      </c>
      <c r="AA52">
        <v>677.63</v>
      </c>
      <c r="AB52" s="20" t="s">
        <v>29</v>
      </c>
      <c r="AC52" s="23">
        <f t="shared" si="5"/>
        <v>677.63</v>
      </c>
      <c r="AD52" s="7">
        <v>45628</v>
      </c>
    </row>
    <row r="53" spans="1:30">
      <c r="A53">
        <v>54</v>
      </c>
      <c r="B53" t="str">
        <f>_xlfn.XLOOKUP(A53,Z:Z,AB:AB,"not found")</f>
        <v>MXN</v>
      </c>
      <c r="C53">
        <f>_xlfn.XLOOKUP(A53,Z:Z,AA:AA)-_xlfn.XLOOKUP(A53,Q:Q,R:R,"0")</f>
        <v>0</v>
      </c>
      <c r="D53">
        <f>C53*_xlfn.XLOOKUP(B53,AG:AG,AH:AH)</f>
        <v>0</v>
      </c>
      <c r="E53">
        <f>C53*_xlfn.XLOOKUP(B53,AG:AG,AI:AI)</f>
        <v>0</v>
      </c>
      <c r="F53">
        <v>3567</v>
      </c>
      <c r="G53">
        <f>F53*_xlfn.XLOOKUP(B53,AG:AG,AH:AH)</f>
        <v>171.21600000000001</v>
      </c>
      <c r="H53">
        <f>F53*_xlfn.XLOOKUP(B53,AG:AG,AI:AI)</f>
        <v>199.75200000000001</v>
      </c>
      <c r="I53">
        <f t="shared" si="0"/>
        <v>0</v>
      </c>
      <c r="J53">
        <f>I53*_xlfn.XLOOKUP(B53,AG:AG,AI:AI)</f>
        <v>0</v>
      </c>
      <c r="K53" s="7">
        <f>_xlfn.XLOOKUP(A53,Z:Z,AD:AD)</f>
        <v>45651</v>
      </c>
      <c r="L53" s="7">
        <f t="shared" si="1"/>
        <v>45621</v>
      </c>
      <c r="M53">
        <f t="shared" si="2"/>
        <v>11</v>
      </c>
      <c r="N53">
        <f t="shared" si="3"/>
        <v>2024</v>
      </c>
      <c r="Q53" s="22">
        <v>102</v>
      </c>
      <c r="R53" s="22">
        <v>8979.2000000000007</v>
      </c>
      <c r="S53" s="22" t="str">
        <f t="shared" si="4"/>
        <v>USD</v>
      </c>
      <c r="T53" s="22">
        <f>R53*_xlfn.XLOOKUP(S53,AG:AG,AI:AI)</f>
        <v>8979.2000000000007</v>
      </c>
      <c r="U53" s="22" t="s">
        <v>26</v>
      </c>
      <c r="W53" s="9">
        <v>62</v>
      </c>
      <c r="X53" s="9" t="s">
        <v>29</v>
      </c>
      <c r="Z53">
        <v>54</v>
      </c>
      <c r="AA53">
        <v>3567</v>
      </c>
      <c r="AB53" s="20" t="s">
        <v>28</v>
      </c>
      <c r="AC53" s="23">
        <f t="shared" si="5"/>
        <v>199.75200000000001</v>
      </c>
      <c r="AD53" s="7">
        <v>45651</v>
      </c>
    </row>
    <row r="54" spans="1:30">
      <c r="A54">
        <v>55</v>
      </c>
      <c r="B54" t="str">
        <f>_xlfn.XLOOKUP(A54,Z:Z,AB:AB,"not found")</f>
        <v>USD</v>
      </c>
      <c r="C54">
        <f>_xlfn.XLOOKUP(A54,Z:Z,AA:AA)-_xlfn.XLOOKUP(A54,Q:Q,R:R,"0")</f>
        <v>5154.6899999999996</v>
      </c>
      <c r="D54">
        <f>C54*_xlfn.XLOOKUP(B54,AG:AG,AH:AH)</f>
        <v>4433.0333999999993</v>
      </c>
      <c r="E54">
        <f>C54*_xlfn.XLOOKUP(B54,AG:AG,AI:AI)</f>
        <v>5154.6899999999996</v>
      </c>
      <c r="F54">
        <v>5154.6899999999996</v>
      </c>
      <c r="G54">
        <f>F54*_xlfn.XLOOKUP(B54,AG:AG,AH:AH)</f>
        <v>4433.0333999999993</v>
      </c>
      <c r="H54">
        <f>F54*_xlfn.XLOOKUP(B54,AG:AG,AI:AI)</f>
        <v>5154.6899999999996</v>
      </c>
      <c r="I54">
        <f t="shared" si="0"/>
        <v>0</v>
      </c>
      <c r="J54">
        <f>I54*_xlfn.XLOOKUP(B54,AG:AG,AI:AI)</f>
        <v>0</v>
      </c>
      <c r="K54" s="7">
        <f>_xlfn.XLOOKUP(A54,Z:Z,AD:AD)</f>
        <v>45802</v>
      </c>
      <c r="L54" s="7">
        <f t="shared" si="1"/>
        <v>45772</v>
      </c>
      <c r="M54">
        <f t="shared" si="2"/>
        <v>4</v>
      </c>
      <c r="N54">
        <f t="shared" si="3"/>
        <v>2025</v>
      </c>
      <c r="Q54" s="22">
        <v>104</v>
      </c>
      <c r="R54" s="22">
        <v>15213.21</v>
      </c>
      <c r="S54" s="22" t="str">
        <f t="shared" si="4"/>
        <v>USD</v>
      </c>
      <c r="T54" s="22">
        <f>R54*_xlfn.XLOOKUP(S54,AG:AG,AI:AI)</f>
        <v>15213.21</v>
      </c>
      <c r="U54" s="22" t="s">
        <v>26</v>
      </c>
      <c r="W54" s="9">
        <v>62</v>
      </c>
      <c r="X54" s="9" t="s">
        <v>29</v>
      </c>
      <c r="Z54">
        <v>55</v>
      </c>
      <c r="AA54">
        <v>5154.6899999999996</v>
      </c>
      <c r="AB54" s="20" t="s">
        <v>29</v>
      </c>
      <c r="AC54" s="23">
        <f t="shared" si="5"/>
        <v>5154.6899999999996</v>
      </c>
      <c r="AD54" s="7">
        <v>45802</v>
      </c>
    </row>
    <row r="55" spans="1:30">
      <c r="A55">
        <v>56</v>
      </c>
      <c r="B55" t="str">
        <f>_xlfn.XLOOKUP(A55,Z:Z,AB:AB,"not found")</f>
        <v>USD</v>
      </c>
      <c r="C55">
        <f>_xlfn.XLOOKUP(A55,Z:Z,AA:AA)-_xlfn.XLOOKUP(A55,Q:Q,R:R,"0")</f>
        <v>102799.99</v>
      </c>
      <c r="D55">
        <f>C55*_xlfn.XLOOKUP(B55,AG:AG,AH:AH)</f>
        <v>88407.991399999999</v>
      </c>
      <c r="E55">
        <f>C55*_xlfn.XLOOKUP(B55,AG:AG,AI:AI)</f>
        <v>102799.99</v>
      </c>
      <c r="F55">
        <v>102799.99</v>
      </c>
      <c r="G55">
        <f>F55*_xlfn.XLOOKUP(B55,AG:AG,AH:AH)</f>
        <v>88407.991399999999</v>
      </c>
      <c r="H55">
        <f>F55*_xlfn.XLOOKUP(B55,AG:AG,AI:AI)</f>
        <v>102799.99</v>
      </c>
      <c r="I55">
        <f t="shared" si="0"/>
        <v>0</v>
      </c>
      <c r="J55">
        <f>I55*_xlfn.XLOOKUP(B55,AG:AG,AI:AI)</f>
        <v>0</v>
      </c>
      <c r="K55" s="7">
        <f>_xlfn.XLOOKUP(A55,Z:Z,AD:AD)</f>
        <v>45643</v>
      </c>
      <c r="L55" s="7">
        <f t="shared" si="1"/>
        <v>45613</v>
      </c>
      <c r="M55">
        <f t="shared" si="2"/>
        <v>11</v>
      </c>
      <c r="N55">
        <f t="shared" si="3"/>
        <v>2024</v>
      </c>
      <c r="Q55" s="22">
        <v>105</v>
      </c>
      <c r="R55" s="22">
        <v>268</v>
      </c>
      <c r="S55" s="22" t="str">
        <f t="shared" si="4"/>
        <v>USD</v>
      </c>
      <c r="T55" s="22">
        <f>R55*_xlfn.XLOOKUP(S55,AG:AG,AI:AI)</f>
        <v>268</v>
      </c>
      <c r="U55" s="22" t="s">
        <v>26</v>
      </c>
      <c r="W55" s="9">
        <v>69</v>
      </c>
      <c r="X55" s="9" t="s">
        <v>29</v>
      </c>
      <c r="Z55">
        <v>56</v>
      </c>
      <c r="AA55">
        <v>102799.99</v>
      </c>
      <c r="AB55" s="20" t="s">
        <v>29</v>
      </c>
      <c r="AC55" s="23">
        <f t="shared" si="5"/>
        <v>102799.99</v>
      </c>
      <c r="AD55" s="7">
        <v>45643</v>
      </c>
    </row>
    <row r="56" spans="1:30">
      <c r="A56">
        <v>57</v>
      </c>
      <c r="B56" t="str">
        <f>_xlfn.XLOOKUP(A56,Z:Z,AB:AB,"not found")</f>
        <v>USD</v>
      </c>
      <c r="C56">
        <f>_xlfn.XLOOKUP(A56,Z:Z,AA:AA)-_xlfn.XLOOKUP(A56,Q:Q,R:R,"0")</f>
        <v>151085.92000000001</v>
      </c>
      <c r="D56">
        <f>C56*_xlfn.XLOOKUP(B56,AG:AG,AH:AH)</f>
        <v>129933.89120000001</v>
      </c>
      <c r="E56">
        <f>C56*_xlfn.XLOOKUP(B56,AG:AG,AI:AI)</f>
        <v>151085.92000000001</v>
      </c>
      <c r="F56">
        <v>151085.92000000001</v>
      </c>
      <c r="G56">
        <f>F56*_xlfn.XLOOKUP(B56,AG:AG,AH:AH)</f>
        <v>129933.89120000001</v>
      </c>
      <c r="H56">
        <f>F56*_xlfn.XLOOKUP(B56,AG:AG,AI:AI)</f>
        <v>151085.92000000001</v>
      </c>
      <c r="I56">
        <f t="shared" si="0"/>
        <v>0</v>
      </c>
      <c r="J56">
        <f>I56*_xlfn.XLOOKUP(B56,AG:AG,AI:AI)</f>
        <v>0</v>
      </c>
      <c r="K56" s="7">
        <f>_xlfn.XLOOKUP(A56,Z:Z,AD:AD)</f>
        <v>45994</v>
      </c>
      <c r="L56" s="7">
        <f t="shared" si="1"/>
        <v>45964</v>
      </c>
      <c r="M56">
        <f t="shared" si="2"/>
        <v>11</v>
      </c>
      <c r="N56">
        <f t="shared" si="3"/>
        <v>2025</v>
      </c>
      <c r="Q56" s="22">
        <v>106</v>
      </c>
      <c r="R56" s="22">
        <v>268</v>
      </c>
      <c r="S56" s="22" t="str">
        <f t="shared" si="4"/>
        <v>USD</v>
      </c>
      <c r="T56" s="22">
        <f>R56*_xlfn.XLOOKUP(S56,AG:AG,AI:AI)</f>
        <v>268</v>
      </c>
      <c r="U56" s="22" t="s">
        <v>26</v>
      </c>
      <c r="W56" s="9">
        <v>71</v>
      </c>
      <c r="X56" s="9" t="s">
        <v>29</v>
      </c>
      <c r="Z56">
        <v>57</v>
      </c>
      <c r="AA56">
        <v>151085.92000000001</v>
      </c>
      <c r="AB56" s="20" t="s">
        <v>29</v>
      </c>
      <c r="AC56" s="23">
        <f t="shared" si="5"/>
        <v>151085.92000000001</v>
      </c>
      <c r="AD56" s="7">
        <v>45994</v>
      </c>
    </row>
    <row r="57" spans="1:30">
      <c r="A57">
        <v>58</v>
      </c>
      <c r="B57" t="str">
        <f>_xlfn.XLOOKUP(A57,Z:Z,AB:AB,"not found")</f>
        <v>USD</v>
      </c>
      <c r="C57">
        <f>_xlfn.XLOOKUP(A57,Z:Z,AA:AA)-_xlfn.XLOOKUP(A57,Q:Q,R:R,"0")</f>
        <v>20154.78</v>
      </c>
      <c r="D57">
        <f>C57*_xlfn.XLOOKUP(B57,AG:AG,AH:AH)</f>
        <v>17333.110799999999</v>
      </c>
      <c r="E57">
        <f>C57*_xlfn.XLOOKUP(B57,AG:AG,AI:AI)</f>
        <v>20154.78</v>
      </c>
      <c r="F57">
        <v>28869.19</v>
      </c>
      <c r="G57">
        <f>F57*_xlfn.XLOOKUP(B57,AG:AG,AH:AH)</f>
        <v>24827.503399999998</v>
      </c>
      <c r="H57">
        <f>F57*_xlfn.XLOOKUP(B57,AG:AG,AI:AI)</f>
        <v>28869.19</v>
      </c>
      <c r="I57">
        <f t="shared" si="0"/>
        <v>0</v>
      </c>
      <c r="J57">
        <f>I57*_xlfn.XLOOKUP(B57,AG:AG,AI:AI)</f>
        <v>0</v>
      </c>
      <c r="K57" s="7">
        <f>_xlfn.XLOOKUP(A57,Z:Z,AD:AD)</f>
        <v>45651</v>
      </c>
      <c r="L57" s="7">
        <f t="shared" si="1"/>
        <v>45621</v>
      </c>
      <c r="M57">
        <f t="shared" si="2"/>
        <v>11</v>
      </c>
      <c r="N57">
        <f t="shared" si="3"/>
        <v>2024</v>
      </c>
      <c r="Q57" s="22">
        <v>107</v>
      </c>
      <c r="R57" s="22">
        <v>494</v>
      </c>
      <c r="S57" s="22" t="str">
        <f t="shared" si="4"/>
        <v>USD</v>
      </c>
      <c r="T57" s="22">
        <f>R57*_xlfn.XLOOKUP(S57,AG:AG,AI:AI)</f>
        <v>494</v>
      </c>
      <c r="U57" s="22" t="s">
        <v>26</v>
      </c>
      <c r="W57" s="9">
        <v>73</v>
      </c>
      <c r="X57" s="9" t="s">
        <v>29</v>
      </c>
      <c r="Z57">
        <v>58</v>
      </c>
      <c r="AA57">
        <v>28869.19</v>
      </c>
      <c r="AB57" s="20" t="s">
        <v>29</v>
      </c>
      <c r="AC57" s="23">
        <f t="shared" si="5"/>
        <v>28869.19</v>
      </c>
      <c r="AD57" s="7">
        <v>45651</v>
      </c>
    </row>
    <row r="58" spans="1:30">
      <c r="A58">
        <v>59</v>
      </c>
      <c r="B58" t="str">
        <f>_xlfn.XLOOKUP(A58,Z:Z,AB:AB,"not found")</f>
        <v>USD</v>
      </c>
      <c r="C58">
        <f>_xlfn.XLOOKUP(A58,Z:Z,AA:AA)-_xlfn.XLOOKUP(A58,Q:Q,R:R,"0")</f>
        <v>0</v>
      </c>
      <c r="D58">
        <f>C58*_xlfn.XLOOKUP(B58,AG:AG,AH:AH)</f>
        <v>0</v>
      </c>
      <c r="E58">
        <f>C58*_xlfn.XLOOKUP(B58,AG:AG,AI:AI)</f>
        <v>0</v>
      </c>
      <c r="F58">
        <v>981.77</v>
      </c>
      <c r="G58">
        <f>F58*_xlfn.XLOOKUP(B58,AG:AG,AH:AH)</f>
        <v>844.32219999999995</v>
      </c>
      <c r="H58">
        <f>F58*_xlfn.XLOOKUP(B58,AG:AG,AI:AI)</f>
        <v>981.77</v>
      </c>
      <c r="I58">
        <f t="shared" si="0"/>
        <v>0</v>
      </c>
      <c r="J58">
        <f>I58*_xlfn.XLOOKUP(B58,AG:AG,AI:AI)</f>
        <v>0</v>
      </c>
      <c r="K58" s="7">
        <f>_xlfn.XLOOKUP(A58,Z:Z,AD:AD)</f>
        <v>45648</v>
      </c>
      <c r="L58" s="7">
        <f t="shared" si="1"/>
        <v>45618</v>
      </c>
      <c r="M58">
        <f t="shared" si="2"/>
        <v>11</v>
      </c>
      <c r="N58">
        <f t="shared" si="3"/>
        <v>2024</v>
      </c>
      <c r="Q58" s="22">
        <v>108</v>
      </c>
      <c r="R58" s="22">
        <v>76619.67</v>
      </c>
      <c r="S58" s="22" t="str">
        <f t="shared" si="4"/>
        <v>USD</v>
      </c>
      <c r="T58" s="22">
        <f>R58*_xlfn.XLOOKUP(S58,AG:AG,AI:AI)</f>
        <v>76619.67</v>
      </c>
      <c r="U58" s="22" t="s">
        <v>26</v>
      </c>
      <c r="W58" s="9">
        <v>76</v>
      </c>
      <c r="X58" s="9" t="s">
        <v>29</v>
      </c>
      <c r="Z58">
        <v>59</v>
      </c>
      <c r="AA58">
        <v>981.77</v>
      </c>
      <c r="AB58" s="20" t="s">
        <v>29</v>
      </c>
      <c r="AC58" s="23">
        <f t="shared" si="5"/>
        <v>981.77</v>
      </c>
      <c r="AD58" s="7">
        <v>45648</v>
      </c>
    </row>
    <row r="59" spans="1:30">
      <c r="A59">
        <v>60</v>
      </c>
      <c r="B59" t="str">
        <f>_xlfn.XLOOKUP(A59,Z:Z,AB:AB,"not found")</f>
        <v>USD</v>
      </c>
      <c r="C59">
        <f>_xlfn.XLOOKUP(A59,Z:Z,AA:AA)-_xlfn.XLOOKUP(A59,Q:Q,R:R,"0")</f>
        <v>0</v>
      </c>
      <c r="D59">
        <f>C59*_xlfn.XLOOKUP(B59,AG:AG,AH:AH)</f>
        <v>0</v>
      </c>
      <c r="E59">
        <f>C59*_xlfn.XLOOKUP(B59,AG:AG,AI:AI)</f>
        <v>0</v>
      </c>
      <c r="F59">
        <v>206.9</v>
      </c>
      <c r="G59">
        <f>F59*_xlfn.XLOOKUP(B59,AG:AG,AH:AH)</f>
        <v>177.934</v>
      </c>
      <c r="H59">
        <f>F59*_xlfn.XLOOKUP(B59,AG:AG,AI:AI)</f>
        <v>206.9</v>
      </c>
      <c r="I59">
        <f t="shared" si="0"/>
        <v>0</v>
      </c>
      <c r="J59">
        <f>I59*_xlfn.XLOOKUP(B59,AG:AG,AI:AI)</f>
        <v>0</v>
      </c>
      <c r="K59" s="7">
        <f>_xlfn.XLOOKUP(A59,Z:Z,AD:AD)</f>
        <v>45631</v>
      </c>
      <c r="L59" s="7">
        <f t="shared" si="1"/>
        <v>45601</v>
      </c>
      <c r="M59">
        <f t="shared" si="2"/>
        <v>11</v>
      </c>
      <c r="N59">
        <f t="shared" si="3"/>
        <v>2024</v>
      </c>
      <c r="Q59" s="22">
        <v>109</v>
      </c>
      <c r="R59" s="22">
        <v>95573</v>
      </c>
      <c r="S59" s="22" t="str">
        <f t="shared" si="4"/>
        <v>MXN</v>
      </c>
      <c r="T59" s="22">
        <f>R59*_xlfn.XLOOKUP(S59,AG:AG,AI:AI)</f>
        <v>5352.0879999999997</v>
      </c>
      <c r="U59" s="22" t="s">
        <v>26</v>
      </c>
      <c r="W59" s="9">
        <v>76</v>
      </c>
      <c r="X59" s="9" t="s">
        <v>29</v>
      </c>
      <c r="Z59">
        <v>60</v>
      </c>
      <c r="AA59">
        <v>206.9</v>
      </c>
      <c r="AB59" s="20" t="s">
        <v>29</v>
      </c>
      <c r="AC59" s="23">
        <f t="shared" si="5"/>
        <v>206.9</v>
      </c>
      <c r="AD59" s="7">
        <v>45631</v>
      </c>
    </row>
    <row r="60" spans="1:30">
      <c r="A60">
        <v>61</v>
      </c>
      <c r="B60" t="str">
        <f>_xlfn.XLOOKUP(A60,Z:Z,AB:AB,"not found")</f>
        <v>USD</v>
      </c>
      <c r="C60">
        <f>_xlfn.XLOOKUP(A60,Z:Z,AA:AA)-_xlfn.XLOOKUP(A60,Q:Q,R:R,"0")</f>
        <v>0</v>
      </c>
      <c r="D60">
        <f>C60*_xlfn.XLOOKUP(B60,AG:AG,AH:AH)</f>
        <v>0</v>
      </c>
      <c r="E60">
        <f>C60*_xlfn.XLOOKUP(B60,AG:AG,AI:AI)</f>
        <v>0</v>
      </c>
      <c r="F60">
        <v>4265.6099999999997</v>
      </c>
      <c r="G60">
        <f>F60*_xlfn.XLOOKUP(B60,AG:AG,AH:AH)</f>
        <v>3668.4245999999998</v>
      </c>
      <c r="H60">
        <f>F60*_xlfn.XLOOKUP(B60,AG:AG,AI:AI)</f>
        <v>4265.6099999999997</v>
      </c>
      <c r="I60">
        <f t="shared" si="0"/>
        <v>0</v>
      </c>
      <c r="J60">
        <f>I60*_xlfn.XLOOKUP(B60,AG:AG,AI:AI)</f>
        <v>0</v>
      </c>
      <c r="K60" s="7">
        <f>_xlfn.XLOOKUP(A60,Z:Z,AD:AD)</f>
        <v>45730</v>
      </c>
      <c r="L60" s="7">
        <f t="shared" si="1"/>
        <v>45700</v>
      </c>
      <c r="M60">
        <f t="shared" si="2"/>
        <v>2</v>
      </c>
      <c r="N60">
        <f t="shared" si="3"/>
        <v>2025</v>
      </c>
      <c r="Q60" s="22">
        <v>110</v>
      </c>
      <c r="R60" s="22">
        <v>302.2</v>
      </c>
      <c r="S60" s="22" t="str">
        <f t="shared" si="4"/>
        <v>USD</v>
      </c>
      <c r="T60" s="22">
        <f>R60*_xlfn.XLOOKUP(S60,AG:AG,AI:AI)</f>
        <v>302.2</v>
      </c>
      <c r="U60" s="22" t="s">
        <v>26</v>
      </c>
      <c r="W60" s="9">
        <v>76</v>
      </c>
      <c r="X60" s="9" t="s">
        <v>29</v>
      </c>
      <c r="Z60">
        <v>61</v>
      </c>
      <c r="AA60">
        <v>4265.6099999999997</v>
      </c>
      <c r="AB60" s="20" t="s">
        <v>29</v>
      </c>
      <c r="AC60" s="23">
        <f t="shared" si="5"/>
        <v>4265.6099999999997</v>
      </c>
      <c r="AD60" s="7">
        <v>45730</v>
      </c>
    </row>
    <row r="61" spans="1:30">
      <c r="A61">
        <v>62</v>
      </c>
      <c r="B61" t="str">
        <f>_xlfn.XLOOKUP(A61,Z:Z,AB:AB,"not found")</f>
        <v>USD</v>
      </c>
      <c r="C61">
        <f>_xlfn.XLOOKUP(A61,Z:Z,AA:AA)-_xlfn.XLOOKUP(A61,Q:Q,R:R,"0")</f>
        <v>1070</v>
      </c>
      <c r="D61">
        <f>C61*_xlfn.XLOOKUP(B61,AG:AG,AH:AH)</f>
        <v>920.19999999999993</v>
      </c>
      <c r="E61">
        <f>C61*_xlfn.XLOOKUP(B61,AG:AG,AI:AI)</f>
        <v>1070</v>
      </c>
      <c r="F61">
        <v>13276.75</v>
      </c>
      <c r="G61">
        <f>F61*_xlfn.XLOOKUP(B61,AG:AG,AH:AH)</f>
        <v>11418.004999999999</v>
      </c>
      <c r="H61">
        <f>F61*_xlfn.XLOOKUP(B61,AG:AG,AI:AI)</f>
        <v>13276.75</v>
      </c>
      <c r="I61">
        <f t="shared" si="0"/>
        <v>0</v>
      </c>
      <c r="J61">
        <f>I61*_xlfn.XLOOKUP(B61,AG:AG,AI:AI)</f>
        <v>0</v>
      </c>
      <c r="K61" s="7">
        <f>_xlfn.XLOOKUP(A61,Z:Z,AD:AD)</f>
        <v>45737</v>
      </c>
      <c r="L61" s="7">
        <f t="shared" si="1"/>
        <v>45707</v>
      </c>
      <c r="M61">
        <f t="shared" si="2"/>
        <v>2</v>
      </c>
      <c r="N61">
        <f t="shared" si="3"/>
        <v>2025</v>
      </c>
      <c r="Q61" s="22">
        <v>111</v>
      </c>
      <c r="R61" s="22">
        <v>82419</v>
      </c>
      <c r="S61" s="22" t="str">
        <f t="shared" si="4"/>
        <v>GPB</v>
      </c>
      <c r="T61" s="22">
        <f>R61*_xlfn.XLOOKUP(S61,AG:AG,AI:AI)</f>
        <v>110441.46</v>
      </c>
      <c r="U61" s="22" t="s">
        <v>26</v>
      </c>
      <c r="W61" s="9">
        <v>76</v>
      </c>
      <c r="X61" s="9" t="s">
        <v>29</v>
      </c>
      <c r="Z61">
        <v>62</v>
      </c>
      <c r="AA61">
        <v>13276.75</v>
      </c>
      <c r="AB61" s="20" t="s">
        <v>29</v>
      </c>
      <c r="AC61" s="23">
        <f t="shared" si="5"/>
        <v>13276.75</v>
      </c>
      <c r="AD61" s="7">
        <v>45737</v>
      </c>
    </row>
    <row r="62" spans="1:30">
      <c r="A62">
        <v>63</v>
      </c>
      <c r="B62" t="str">
        <f>_xlfn.XLOOKUP(A62,Z:Z,AB:AB,"not found")</f>
        <v>EUR</v>
      </c>
      <c r="C62">
        <f>_xlfn.XLOOKUP(A62,Z:Z,AA:AA)-_xlfn.XLOOKUP(A62,Q:Q,R:R,"0")</f>
        <v>2268</v>
      </c>
      <c r="D62">
        <f>C62*_xlfn.XLOOKUP(B62,AG:AG,AH:AH)</f>
        <v>2268</v>
      </c>
      <c r="E62">
        <f>C62*_xlfn.XLOOKUP(B62,AG:AG,AI:AI)</f>
        <v>2630.8799999999997</v>
      </c>
      <c r="F62">
        <v>2268</v>
      </c>
      <c r="G62">
        <f>F62*_xlfn.XLOOKUP(B62,AG:AG,AH:AH)</f>
        <v>2268</v>
      </c>
      <c r="H62">
        <f>F62*_xlfn.XLOOKUP(B62,AG:AG,AI:AI)</f>
        <v>2630.8799999999997</v>
      </c>
      <c r="I62">
        <f t="shared" si="0"/>
        <v>0</v>
      </c>
      <c r="J62">
        <f>I62*_xlfn.XLOOKUP(B62,AG:AG,AI:AI)</f>
        <v>0</v>
      </c>
      <c r="K62" s="7">
        <f>_xlfn.XLOOKUP(A62,Z:Z,AD:AD)</f>
        <v>45682</v>
      </c>
      <c r="L62" s="7">
        <f t="shared" si="1"/>
        <v>45652</v>
      </c>
      <c r="M62">
        <f t="shared" si="2"/>
        <v>12</v>
      </c>
      <c r="N62">
        <f t="shared" si="3"/>
        <v>2024</v>
      </c>
      <c r="Q62" s="22">
        <v>113</v>
      </c>
      <c r="R62" s="22">
        <v>20777.39</v>
      </c>
      <c r="S62" s="22" t="str">
        <f t="shared" si="4"/>
        <v>USD</v>
      </c>
      <c r="T62" s="22">
        <f>R62*_xlfn.XLOOKUP(S62,AG:AG,AI:AI)</f>
        <v>20777.39</v>
      </c>
      <c r="U62" s="22" t="s">
        <v>26</v>
      </c>
      <c r="W62" s="9">
        <v>78</v>
      </c>
      <c r="X62" s="9" t="s">
        <v>29</v>
      </c>
      <c r="Z62">
        <v>63</v>
      </c>
      <c r="AA62">
        <v>2268</v>
      </c>
      <c r="AB62" s="20" t="s">
        <v>27</v>
      </c>
      <c r="AC62" s="23">
        <f t="shared" si="5"/>
        <v>2630.8799999999997</v>
      </c>
      <c r="AD62" s="7">
        <v>45682</v>
      </c>
    </row>
    <row r="63" spans="1:30">
      <c r="A63">
        <v>64</v>
      </c>
      <c r="B63" t="str">
        <f>_xlfn.XLOOKUP(A63,Z:Z,AB:AB,"not found")</f>
        <v>USD</v>
      </c>
      <c r="C63">
        <f>_xlfn.XLOOKUP(A63,Z:Z,AA:AA)-_xlfn.XLOOKUP(A63,Q:Q,R:R,"0")</f>
        <v>1062</v>
      </c>
      <c r="D63">
        <f>C63*_xlfn.XLOOKUP(B63,AG:AG,AH:AH)</f>
        <v>913.31999999999994</v>
      </c>
      <c r="E63">
        <f>C63*_xlfn.XLOOKUP(B63,AG:AG,AI:AI)</f>
        <v>1062</v>
      </c>
      <c r="F63">
        <v>1062</v>
      </c>
      <c r="G63">
        <f>F63*_xlfn.XLOOKUP(B63,AG:AG,AH:AH)</f>
        <v>913.31999999999994</v>
      </c>
      <c r="H63">
        <f>F63*_xlfn.XLOOKUP(B63,AG:AG,AI:AI)</f>
        <v>1062</v>
      </c>
      <c r="I63">
        <f t="shared" si="0"/>
        <v>0</v>
      </c>
      <c r="J63">
        <f>I63*_xlfn.XLOOKUP(B63,AG:AG,AI:AI)</f>
        <v>0</v>
      </c>
      <c r="K63" s="7">
        <f>_xlfn.XLOOKUP(A63,Z:Z,AD:AD)</f>
        <v>45639</v>
      </c>
      <c r="L63" s="7">
        <f t="shared" si="1"/>
        <v>45609</v>
      </c>
      <c r="M63">
        <f t="shared" si="2"/>
        <v>11</v>
      </c>
      <c r="N63">
        <f t="shared" si="3"/>
        <v>2024</v>
      </c>
      <c r="Q63" s="22">
        <v>114</v>
      </c>
      <c r="R63" s="22">
        <v>113312.48</v>
      </c>
      <c r="S63" s="22" t="str">
        <f t="shared" si="4"/>
        <v>MXN</v>
      </c>
      <c r="T63" s="22">
        <f>R63*_xlfn.XLOOKUP(S63,AG:AG,AI:AI)</f>
        <v>6345.4988800000001</v>
      </c>
      <c r="U63" s="22" t="s">
        <v>26</v>
      </c>
      <c r="W63" s="9">
        <v>79</v>
      </c>
      <c r="X63" s="9" t="s">
        <v>29</v>
      </c>
      <c r="Z63">
        <v>64</v>
      </c>
      <c r="AA63">
        <v>1062</v>
      </c>
      <c r="AB63" s="20" t="s">
        <v>29</v>
      </c>
      <c r="AC63" s="23">
        <f t="shared" si="5"/>
        <v>1062</v>
      </c>
      <c r="AD63" s="7">
        <v>45639</v>
      </c>
    </row>
    <row r="64" spans="1:30">
      <c r="A64">
        <v>65</v>
      </c>
      <c r="B64" t="str">
        <f>_xlfn.XLOOKUP(A64,Z:Z,AB:AB,"not found")</f>
        <v>USD</v>
      </c>
      <c r="C64">
        <f>_xlfn.XLOOKUP(A64,Z:Z,AA:AA)-_xlfn.XLOOKUP(A64,Q:Q,R:R,"0")</f>
        <v>2952.07</v>
      </c>
      <c r="D64">
        <f>C64*_xlfn.XLOOKUP(B64,AG:AG,AH:AH)</f>
        <v>2538.7802000000001</v>
      </c>
      <c r="E64">
        <f>C64*_xlfn.XLOOKUP(B64,AG:AG,AI:AI)</f>
        <v>2952.07</v>
      </c>
      <c r="F64">
        <v>2952.07</v>
      </c>
      <c r="G64">
        <f>F64*_xlfn.XLOOKUP(B64,AG:AG,AH:AH)</f>
        <v>2538.7802000000001</v>
      </c>
      <c r="H64">
        <f>F64*_xlfn.XLOOKUP(B64,AG:AG,AI:AI)</f>
        <v>2952.07</v>
      </c>
      <c r="I64">
        <f t="shared" si="0"/>
        <v>0</v>
      </c>
      <c r="J64">
        <f>I64*_xlfn.XLOOKUP(B64,AG:AG,AI:AI)</f>
        <v>0</v>
      </c>
      <c r="K64" s="7">
        <f>_xlfn.XLOOKUP(A64,Z:Z,AD:AD)</f>
        <v>45688</v>
      </c>
      <c r="L64" s="7">
        <f t="shared" si="1"/>
        <v>45658</v>
      </c>
      <c r="M64">
        <f t="shared" si="2"/>
        <v>1</v>
      </c>
      <c r="N64">
        <f t="shared" si="3"/>
        <v>2025</v>
      </c>
      <c r="Q64" s="22">
        <v>117</v>
      </c>
      <c r="R64" s="22">
        <v>606.17999999999995</v>
      </c>
      <c r="S64" s="22" t="str">
        <f t="shared" si="4"/>
        <v>EUR</v>
      </c>
      <c r="T64" s="22">
        <f>R64*_xlfn.XLOOKUP(S64,AG:AG,AI:AI)</f>
        <v>703.16879999999992</v>
      </c>
      <c r="U64" s="22" t="s">
        <v>26</v>
      </c>
      <c r="W64" s="9">
        <v>79</v>
      </c>
      <c r="X64" s="9" t="s">
        <v>29</v>
      </c>
      <c r="Z64">
        <v>65</v>
      </c>
      <c r="AA64">
        <v>2952.07</v>
      </c>
      <c r="AB64" s="20" t="s">
        <v>29</v>
      </c>
      <c r="AC64" s="23">
        <f t="shared" si="5"/>
        <v>2952.07</v>
      </c>
      <c r="AD64" s="7">
        <v>45688</v>
      </c>
    </row>
    <row r="65" spans="1:30">
      <c r="A65">
        <v>66</v>
      </c>
      <c r="B65" t="str">
        <f>_xlfn.XLOOKUP(A65,Z:Z,AB:AB,"not found")</f>
        <v>USD</v>
      </c>
      <c r="C65">
        <f>_xlfn.XLOOKUP(A65,Z:Z,AA:AA)-_xlfn.XLOOKUP(A65,Q:Q,R:R,"0")</f>
        <v>2776.97</v>
      </c>
      <c r="D65">
        <f>C65*_xlfn.XLOOKUP(B65,AG:AG,AH:AH)</f>
        <v>2388.1941999999999</v>
      </c>
      <c r="E65">
        <f>C65*_xlfn.XLOOKUP(B65,AG:AG,AI:AI)</f>
        <v>2776.97</v>
      </c>
      <c r="F65">
        <v>2776.97</v>
      </c>
      <c r="G65">
        <f>F65*_xlfn.XLOOKUP(B65,AG:AG,AH:AH)</f>
        <v>2388.1941999999999</v>
      </c>
      <c r="H65">
        <f>F65*_xlfn.XLOOKUP(B65,AG:AG,AI:AI)</f>
        <v>2776.97</v>
      </c>
      <c r="I65">
        <f t="shared" si="0"/>
        <v>0</v>
      </c>
      <c r="J65">
        <f>I65*_xlfn.XLOOKUP(B65,AG:AG,AI:AI)</f>
        <v>0</v>
      </c>
      <c r="K65" s="7">
        <f>_xlfn.XLOOKUP(A65,Z:Z,AD:AD)</f>
        <v>45687</v>
      </c>
      <c r="L65" s="7">
        <f t="shared" si="1"/>
        <v>45657</v>
      </c>
      <c r="M65">
        <f t="shared" si="2"/>
        <v>12</v>
      </c>
      <c r="N65">
        <f t="shared" si="3"/>
        <v>2024</v>
      </c>
      <c r="Q65" s="22">
        <v>119</v>
      </c>
      <c r="R65" s="22">
        <v>1432.1</v>
      </c>
      <c r="S65" s="22" t="str">
        <f t="shared" si="4"/>
        <v>EUR</v>
      </c>
      <c r="T65" s="22">
        <f>R65*_xlfn.XLOOKUP(S65,AG:AG,AI:AI)</f>
        <v>1661.2359999999999</v>
      </c>
      <c r="U65" s="22" t="s">
        <v>26</v>
      </c>
      <c r="W65" s="9">
        <v>81</v>
      </c>
      <c r="X65" s="9" t="s">
        <v>29</v>
      </c>
      <c r="Z65">
        <v>66</v>
      </c>
      <c r="AA65">
        <v>2776.97</v>
      </c>
      <c r="AB65" s="20" t="s">
        <v>29</v>
      </c>
      <c r="AC65" s="23">
        <f t="shared" si="5"/>
        <v>2776.97</v>
      </c>
      <c r="AD65" s="7">
        <v>45687</v>
      </c>
    </row>
    <row r="66" spans="1:30">
      <c r="A66">
        <v>67</v>
      </c>
      <c r="B66" t="str">
        <f>_xlfn.XLOOKUP(A66,Z:Z,AB:AB,"not found")</f>
        <v>USD</v>
      </c>
      <c r="C66">
        <f>_xlfn.XLOOKUP(A66,Z:Z,AA:AA)-_xlfn.XLOOKUP(A66,Q:Q,R:R,"0")</f>
        <v>2776.97</v>
      </c>
      <c r="D66">
        <f>C66*_xlfn.XLOOKUP(B66,AG:AG,AH:AH)</f>
        <v>2388.1941999999999</v>
      </c>
      <c r="E66">
        <f>C66*_xlfn.XLOOKUP(B66,AG:AG,AI:AI)</f>
        <v>2776.97</v>
      </c>
      <c r="F66">
        <v>2776.97</v>
      </c>
      <c r="G66">
        <f>F66*_xlfn.XLOOKUP(B66,AG:AG,AH:AH)</f>
        <v>2388.1941999999999</v>
      </c>
      <c r="H66">
        <f>F66*_xlfn.XLOOKUP(B66,AG:AG,AI:AI)</f>
        <v>2776.97</v>
      </c>
      <c r="I66">
        <f t="shared" si="0"/>
        <v>0</v>
      </c>
      <c r="J66">
        <f>I66*_xlfn.XLOOKUP(B66,AG:AG,AI:AI)</f>
        <v>0</v>
      </c>
      <c r="K66" s="7">
        <f>_xlfn.XLOOKUP(A66,Z:Z,AD:AD)</f>
        <v>45687</v>
      </c>
      <c r="L66" s="7">
        <f t="shared" si="1"/>
        <v>45657</v>
      </c>
      <c r="M66">
        <f t="shared" si="2"/>
        <v>12</v>
      </c>
      <c r="N66">
        <f t="shared" si="3"/>
        <v>2024</v>
      </c>
      <c r="Q66" s="22">
        <v>120</v>
      </c>
      <c r="R66" s="22">
        <v>2383.6799999999998</v>
      </c>
      <c r="S66" s="22" t="str">
        <f t="shared" si="4"/>
        <v>USD</v>
      </c>
      <c r="T66" s="22">
        <f>R66*_xlfn.XLOOKUP(S66,AG:AG,AI:AI)</f>
        <v>2383.6799999999998</v>
      </c>
      <c r="U66" s="22" t="s">
        <v>26</v>
      </c>
      <c r="W66" s="9">
        <v>83</v>
      </c>
      <c r="X66" s="9" t="s">
        <v>29</v>
      </c>
      <c r="Z66">
        <v>67</v>
      </c>
      <c r="AA66">
        <v>2776.97</v>
      </c>
      <c r="AB66" s="20" t="s">
        <v>29</v>
      </c>
      <c r="AC66" s="23">
        <f t="shared" si="5"/>
        <v>2776.97</v>
      </c>
      <c r="AD66" s="7">
        <v>45687</v>
      </c>
    </row>
    <row r="67" spans="1:30">
      <c r="A67">
        <v>68</v>
      </c>
      <c r="B67" t="str">
        <f>_xlfn.XLOOKUP(A67,Z:Z,AB:AB,"not found")</f>
        <v>USD</v>
      </c>
      <c r="C67">
        <f>_xlfn.XLOOKUP(A67,Z:Z,AA:AA)-_xlfn.XLOOKUP(A67,Q:Q,R:R,"0")</f>
        <v>2818.86</v>
      </c>
      <c r="D67">
        <f>C67*_xlfn.XLOOKUP(B67,AG:AG,AH:AH)</f>
        <v>2424.2195999999999</v>
      </c>
      <c r="E67">
        <f>C67*_xlfn.XLOOKUP(B67,AG:AG,AI:AI)</f>
        <v>2818.86</v>
      </c>
      <c r="F67">
        <v>2818.86</v>
      </c>
      <c r="G67">
        <f>F67*_xlfn.XLOOKUP(B67,AG:AG,AH:AH)</f>
        <v>2424.2195999999999</v>
      </c>
      <c r="H67">
        <f>F67*_xlfn.XLOOKUP(B67,AG:AG,AI:AI)</f>
        <v>2818.86</v>
      </c>
      <c r="I67">
        <f t="shared" ref="I67:I130" si="6">C67-F67+_xlfn.XLOOKUP(A67,Q:Q,R:R,"0")</f>
        <v>0</v>
      </c>
      <c r="J67">
        <f>I67*_xlfn.XLOOKUP(B67,AG:AG,AI:AI)</f>
        <v>0</v>
      </c>
      <c r="K67" s="7">
        <f>_xlfn.XLOOKUP(A67,Z:Z,AD:AD)</f>
        <v>45687</v>
      </c>
      <c r="L67" s="7">
        <f t="shared" ref="L67:L130" si="7">K67-30</f>
        <v>45657</v>
      </c>
      <c r="M67">
        <f t="shared" ref="M67:M130" si="8">MONTH(L67)</f>
        <v>12</v>
      </c>
      <c r="N67">
        <f t="shared" ref="N67:N130" si="9">YEAR(L67)</f>
        <v>2024</v>
      </c>
      <c r="Q67" s="22">
        <v>121</v>
      </c>
      <c r="R67" s="22">
        <v>1791.72</v>
      </c>
      <c r="S67" s="22" t="str">
        <f t="shared" ref="S67:S130" si="10">_xlfn.XLOOKUP(Q67,W:W,X:X)</f>
        <v>USD</v>
      </c>
      <c r="T67" s="22">
        <f>R67*_xlfn.XLOOKUP(S67,AG:AG,AI:AI)</f>
        <v>1791.72</v>
      </c>
      <c r="U67" s="22" t="s">
        <v>26</v>
      </c>
      <c r="W67" s="9">
        <v>84</v>
      </c>
      <c r="X67" s="9" t="s">
        <v>29</v>
      </c>
      <c r="Z67">
        <v>68</v>
      </c>
      <c r="AA67">
        <v>2818.86</v>
      </c>
      <c r="AB67" s="20" t="s">
        <v>29</v>
      </c>
      <c r="AC67" s="23">
        <f t="shared" ref="AC67:AC108" si="11">AA67*_xlfn.XLOOKUP(AB67,AG:AG,AI:AI)</f>
        <v>2818.86</v>
      </c>
      <c r="AD67" s="7">
        <v>45687</v>
      </c>
    </row>
    <row r="68" spans="1:30">
      <c r="A68">
        <v>69</v>
      </c>
      <c r="B68" t="str">
        <f>_xlfn.XLOOKUP(A68,Z:Z,AB:AB,"not found")</f>
        <v>USD</v>
      </c>
      <c r="C68">
        <f>_xlfn.XLOOKUP(A68,Z:Z,AA:AA)-_xlfn.XLOOKUP(A68,Q:Q,R:R,"0")</f>
        <v>0</v>
      </c>
      <c r="D68">
        <f>C68*_xlfn.XLOOKUP(B68,AG:AG,AH:AH)</f>
        <v>0</v>
      </c>
      <c r="E68">
        <f>C68*_xlfn.XLOOKUP(B68,AG:AG,AI:AI)</f>
        <v>0</v>
      </c>
      <c r="F68">
        <v>1366</v>
      </c>
      <c r="G68">
        <f>F68*_xlfn.XLOOKUP(B68,AG:AG,AH:AH)</f>
        <v>1174.76</v>
      </c>
      <c r="H68">
        <f>F68*_xlfn.XLOOKUP(B68,AG:AG,AI:AI)</f>
        <v>1366</v>
      </c>
      <c r="I68">
        <f t="shared" si="6"/>
        <v>0</v>
      </c>
      <c r="J68">
        <f>I68*_xlfn.XLOOKUP(B68,AG:AG,AI:AI)</f>
        <v>0</v>
      </c>
      <c r="K68" s="7">
        <f>_xlfn.XLOOKUP(A68,Z:Z,AD:AD)</f>
        <v>45653</v>
      </c>
      <c r="L68" s="7">
        <f t="shared" si="7"/>
        <v>45623</v>
      </c>
      <c r="M68">
        <f t="shared" si="8"/>
        <v>11</v>
      </c>
      <c r="N68">
        <f t="shared" si="9"/>
        <v>2024</v>
      </c>
      <c r="Q68" s="22">
        <v>122</v>
      </c>
      <c r="R68" s="22">
        <v>11500.66</v>
      </c>
      <c r="S68" s="22" t="str">
        <f t="shared" si="10"/>
        <v>EUR</v>
      </c>
      <c r="T68" s="22">
        <f>R68*_xlfn.XLOOKUP(S68,AG:AG,AI:AI)</f>
        <v>13340.765599999999</v>
      </c>
      <c r="U68" s="22" t="s">
        <v>26</v>
      </c>
      <c r="W68" s="9">
        <v>84</v>
      </c>
      <c r="X68" s="9" t="s">
        <v>29</v>
      </c>
      <c r="Z68">
        <v>69</v>
      </c>
      <c r="AA68">
        <v>1366</v>
      </c>
      <c r="AB68" s="20" t="s">
        <v>29</v>
      </c>
      <c r="AC68" s="23">
        <f t="shared" si="11"/>
        <v>1366</v>
      </c>
      <c r="AD68" s="7">
        <v>45653</v>
      </c>
    </row>
    <row r="69" spans="1:30">
      <c r="A69">
        <v>70</v>
      </c>
      <c r="B69" t="str">
        <f>_xlfn.XLOOKUP(A69,Z:Z,AB:AB,"not found")</f>
        <v>USD</v>
      </c>
      <c r="C69">
        <f>_xlfn.XLOOKUP(A69,Z:Z,AA:AA)-_xlfn.XLOOKUP(A69,Q:Q,R:R,"0")</f>
        <v>9091.1</v>
      </c>
      <c r="D69">
        <f>C69*_xlfn.XLOOKUP(B69,AG:AG,AH:AH)</f>
        <v>7818.3460000000005</v>
      </c>
      <c r="E69">
        <f>C69*_xlfn.XLOOKUP(B69,AG:AG,AI:AI)</f>
        <v>9091.1</v>
      </c>
      <c r="F69">
        <v>9091.1</v>
      </c>
      <c r="G69">
        <f>F69*_xlfn.XLOOKUP(B69,AG:AG,AH:AH)</f>
        <v>7818.3460000000005</v>
      </c>
      <c r="H69">
        <f>F69*_xlfn.XLOOKUP(B69,AG:AG,AI:AI)</f>
        <v>9091.1</v>
      </c>
      <c r="I69">
        <f t="shared" si="6"/>
        <v>0</v>
      </c>
      <c r="J69">
        <f>I69*_xlfn.XLOOKUP(B69,AG:AG,AI:AI)</f>
        <v>0</v>
      </c>
      <c r="K69" s="7">
        <f>_xlfn.XLOOKUP(A69,Z:Z,AD:AD)</f>
        <v>45738</v>
      </c>
      <c r="L69" s="7">
        <f t="shared" si="7"/>
        <v>45708</v>
      </c>
      <c r="M69">
        <f t="shared" si="8"/>
        <v>2</v>
      </c>
      <c r="N69">
        <f t="shared" si="9"/>
        <v>2025</v>
      </c>
      <c r="Q69" s="22">
        <v>124</v>
      </c>
      <c r="R69" s="22">
        <v>57724</v>
      </c>
      <c r="S69" s="22" t="str">
        <f t="shared" si="10"/>
        <v>USD</v>
      </c>
      <c r="T69" s="22">
        <f>R69*_xlfn.XLOOKUP(S69,AG:AG,AI:AI)</f>
        <v>57724</v>
      </c>
      <c r="U69" s="22" t="s">
        <v>26</v>
      </c>
      <c r="W69" s="9">
        <v>85</v>
      </c>
      <c r="X69" s="9" t="s">
        <v>29</v>
      </c>
      <c r="Z69">
        <v>70</v>
      </c>
      <c r="AA69">
        <v>9091.1</v>
      </c>
      <c r="AB69" s="20" t="s">
        <v>29</v>
      </c>
      <c r="AC69" s="23">
        <f t="shared" si="11"/>
        <v>9091.1</v>
      </c>
      <c r="AD69" s="7">
        <v>45738</v>
      </c>
    </row>
    <row r="70" spans="1:30">
      <c r="A70">
        <v>71</v>
      </c>
      <c r="B70" t="str">
        <f>_xlfn.XLOOKUP(A70,Z:Z,AB:AB,"not found")</f>
        <v>USD</v>
      </c>
      <c r="C70">
        <f>_xlfn.XLOOKUP(A70,Z:Z,AA:AA)-_xlfn.XLOOKUP(A70,Q:Q,R:R,"0")</f>
        <v>107596.07999999999</v>
      </c>
      <c r="D70">
        <f>C70*_xlfn.XLOOKUP(B70,AG:AG,AH:AH)</f>
        <v>92532.628799999991</v>
      </c>
      <c r="E70">
        <f>C70*_xlfn.XLOOKUP(B70,AG:AG,AI:AI)</f>
        <v>107596.07999999999</v>
      </c>
      <c r="F70">
        <v>111931.7</v>
      </c>
      <c r="G70">
        <f>F70*_xlfn.XLOOKUP(B70,AG:AG,AH:AH)</f>
        <v>96261.262000000002</v>
      </c>
      <c r="H70">
        <f>F70*_xlfn.XLOOKUP(B70,AG:AG,AI:AI)</f>
        <v>111931.7</v>
      </c>
      <c r="I70">
        <f t="shared" si="6"/>
        <v>-2.0000000009531504E-2</v>
      </c>
      <c r="J70">
        <f>I70*_xlfn.XLOOKUP(B70,AG:AG,AI:AI)</f>
        <v>-2.0000000009531504E-2</v>
      </c>
      <c r="K70" s="7">
        <f>_xlfn.XLOOKUP(A70,Z:Z,AD:AD)</f>
        <v>45917</v>
      </c>
      <c r="L70" s="7">
        <f t="shared" si="7"/>
        <v>45887</v>
      </c>
      <c r="M70">
        <f t="shared" si="8"/>
        <v>8</v>
      </c>
      <c r="N70">
        <f t="shared" si="9"/>
        <v>2025</v>
      </c>
      <c r="Q70" s="22">
        <v>126</v>
      </c>
      <c r="R70" s="22">
        <v>21416.959999999999</v>
      </c>
      <c r="S70" s="22" t="str">
        <f t="shared" si="10"/>
        <v>EUR</v>
      </c>
      <c r="T70" s="22">
        <f>R70*_xlfn.XLOOKUP(S70,AG:AG,AI:AI)</f>
        <v>24843.673599999998</v>
      </c>
      <c r="U70" s="22" t="s">
        <v>26</v>
      </c>
      <c r="W70" s="9">
        <v>85</v>
      </c>
      <c r="X70" s="9" t="s">
        <v>29</v>
      </c>
      <c r="Z70">
        <v>71</v>
      </c>
      <c r="AA70">
        <v>111931.68</v>
      </c>
      <c r="AB70" s="20" t="s">
        <v>29</v>
      </c>
      <c r="AC70" s="23">
        <f t="shared" si="11"/>
        <v>111931.68</v>
      </c>
      <c r="AD70" s="7">
        <v>45917</v>
      </c>
    </row>
    <row r="71" spans="1:30">
      <c r="A71">
        <v>72</v>
      </c>
      <c r="B71" t="str">
        <f>_xlfn.XLOOKUP(A71,Z:Z,AB:AB,"not found")</f>
        <v>USD</v>
      </c>
      <c r="C71">
        <f>_xlfn.XLOOKUP(A71,Z:Z,AA:AA)-_xlfn.XLOOKUP(A71,Q:Q,R:R,"0")</f>
        <v>201</v>
      </c>
      <c r="D71">
        <f>C71*_xlfn.XLOOKUP(B71,AG:AG,AH:AH)</f>
        <v>172.85999999999999</v>
      </c>
      <c r="E71">
        <f>C71*_xlfn.XLOOKUP(B71,AG:AG,AI:AI)</f>
        <v>201</v>
      </c>
      <c r="F71">
        <v>201</v>
      </c>
      <c r="G71">
        <f>F71*_xlfn.XLOOKUP(B71,AG:AG,AH:AH)</f>
        <v>172.85999999999999</v>
      </c>
      <c r="H71">
        <f>F71*_xlfn.XLOOKUP(B71,AG:AG,AI:AI)</f>
        <v>201</v>
      </c>
      <c r="I71">
        <f t="shared" si="6"/>
        <v>0</v>
      </c>
      <c r="J71">
        <f>I71*_xlfn.XLOOKUP(B71,AG:AG,AI:AI)</f>
        <v>0</v>
      </c>
      <c r="K71" s="7">
        <f>_xlfn.XLOOKUP(A71,Z:Z,AD:AD)</f>
        <v>45632</v>
      </c>
      <c r="L71" s="7">
        <f t="shared" si="7"/>
        <v>45602</v>
      </c>
      <c r="M71">
        <f t="shared" si="8"/>
        <v>11</v>
      </c>
      <c r="N71">
        <f t="shared" si="9"/>
        <v>2024</v>
      </c>
      <c r="Q71" s="22">
        <v>127</v>
      </c>
      <c r="R71" s="22">
        <v>5088</v>
      </c>
      <c r="S71" s="22" t="str">
        <f t="shared" si="10"/>
        <v>USD</v>
      </c>
      <c r="T71" s="22">
        <f>R71*_xlfn.XLOOKUP(S71,AG:AG,AI:AI)</f>
        <v>5088</v>
      </c>
      <c r="U71" s="22" t="s">
        <v>26</v>
      </c>
      <c r="W71" s="9">
        <v>85</v>
      </c>
      <c r="X71" s="9" t="s">
        <v>29</v>
      </c>
      <c r="Z71">
        <v>72</v>
      </c>
      <c r="AA71">
        <v>201</v>
      </c>
      <c r="AB71" s="20" t="s">
        <v>29</v>
      </c>
      <c r="AC71" s="23">
        <f t="shared" si="11"/>
        <v>201</v>
      </c>
      <c r="AD71" s="7">
        <v>45632</v>
      </c>
    </row>
    <row r="72" spans="1:30">
      <c r="A72">
        <v>73</v>
      </c>
      <c r="B72" t="str">
        <f>_xlfn.XLOOKUP(A72,Z:Z,AB:AB,"not found")</f>
        <v>USD</v>
      </c>
      <c r="C72">
        <f>_xlfn.XLOOKUP(A72,Z:Z,AA:AA)-_xlfn.XLOOKUP(A72,Q:Q,R:R,"0")</f>
        <v>0</v>
      </c>
      <c r="D72">
        <f>C72*_xlfn.XLOOKUP(B72,AG:AG,AH:AH)</f>
        <v>0</v>
      </c>
      <c r="E72">
        <f>C72*_xlfn.XLOOKUP(B72,AG:AG,AI:AI)</f>
        <v>0</v>
      </c>
      <c r="F72">
        <v>11485.71</v>
      </c>
      <c r="G72">
        <f>F72*_xlfn.XLOOKUP(B72,AG:AG,AH:AH)</f>
        <v>9877.7105999999985</v>
      </c>
      <c r="H72">
        <f>F72*_xlfn.XLOOKUP(B72,AG:AG,AI:AI)</f>
        <v>11485.71</v>
      </c>
      <c r="I72">
        <f t="shared" si="6"/>
        <v>0</v>
      </c>
      <c r="J72">
        <f>I72*_xlfn.XLOOKUP(B72,AG:AG,AI:AI)</f>
        <v>0</v>
      </c>
      <c r="K72" s="7">
        <f>_xlfn.XLOOKUP(A72,Z:Z,AD:AD)</f>
        <v>45763</v>
      </c>
      <c r="L72" s="7">
        <f t="shared" si="7"/>
        <v>45733</v>
      </c>
      <c r="M72">
        <f t="shared" si="8"/>
        <v>3</v>
      </c>
      <c r="N72">
        <f t="shared" si="9"/>
        <v>2025</v>
      </c>
      <c r="Q72" s="22">
        <v>128</v>
      </c>
      <c r="R72" s="22">
        <v>1389.53</v>
      </c>
      <c r="S72" s="22" t="str">
        <f t="shared" si="10"/>
        <v>USD</v>
      </c>
      <c r="T72" s="22">
        <f>R72*_xlfn.XLOOKUP(S72,AG:AG,AI:AI)</f>
        <v>1389.53</v>
      </c>
      <c r="U72" s="22" t="s">
        <v>26</v>
      </c>
      <c r="W72" s="9">
        <v>88</v>
      </c>
      <c r="X72" s="9" t="s">
        <v>29</v>
      </c>
      <c r="Z72">
        <v>73</v>
      </c>
      <c r="AA72">
        <v>11485.71</v>
      </c>
      <c r="AB72" s="20" t="s">
        <v>29</v>
      </c>
      <c r="AC72" s="23">
        <f t="shared" si="11"/>
        <v>11485.71</v>
      </c>
      <c r="AD72" s="7">
        <v>45763</v>
      </c>
    </row>
    <row r="73" spans="1:30">
      <c r="A73">
        <v>74</v>
      </c>
      <c r="B73" t="str">
        <f>_xlfn.XLOOKUP(A73,Z:Z,AB:AB,"not found")</f>
        <v>USD</v>
      </c>
      <c r="C73">
        <f>_xlfn.XLOOKUP(A73,Z:Z,AA:AA)-_xlfn.XLOOKUP(A73,Q:Q,R:R,"0")</f>
        <v>260</v>
      </c>
      <c r="D73">
        <f>C73*_xlfn.XLOOKUP(B73,AG:AG,AH:AH)</f>
        <v>223.6</v>
      </c>
      <c r="E73">
        <f>C73*_xlfn.XLOOKUP(B73,AG:AG,AI:AI)</f>
        <v>260</v>
      </c>
      <c r="F73">
        <v>260</v>
      </c>
      <c r="G73">
        <f>F73*_xlfn.XLOOKUP(B73,AG:AG,AH:AH)</f>
        <v>223.6</v>
      </c>
      <c r="H73">
        <f>F73*_xlfn.XLOOKUP(B73,AG:AG,AI:AI)</f>
        <v>260</v>
      </c>
      <c r="I73">
        <f t="shared" si="6"/>
        <v>0</v>
      </c>
      <c r="J73">
        <f>I73*_xlfn.XLOOKUP(B73,AG:AG,AI:AI)</f>
        <v>0</v>
      </c>
      <c r="K73" s="7">
        <f>_xlfn.XLOOKUP(A73,Z:Z,AD:AD)</f>
        <v>45648</v>
      </c>
      <c r="L73" s="7">
        <f t="shared" si="7"/>
        <v>45618</v>
      </c>
      <c r="M73">
        <f t="shared" si="8"/>
        <v>11</v>
      </c>
      <c r="N73">
        <f t="shared" si="9"/>
        <v>2024</v>
      </c>
      <c r="Q73" s="22">
        <v>129</v>
      </c>
      <c r="R73" s="22">
        <v>166662</v>
      </c>
      <c r="S73" s="22" t="str">
        <f t="shared" si="10"/>
        <v>USD</v>
      </c>
      <c r="T73" s="22">
        <f>R73*_xlfn.XLOOKUP(S73,AG:AG,AI:AI)</f>
        <v>166662</v>
      </c>
      <c r="U73" s="22" t="s">
        <v>26</v>
      </c>
      <c r="W73" s="9">
        <v>89</v>
      </c>
      <c r="X73" s="9" t="s">
        <v>29</v>
      </c>
      <c r="Z73">
        <v>74</v>
      </c>
      <c r="AA73">
        <v>260</v>
      </c>
      <c r="AB73" s="20" t="s">
        <v>29</v>
      </c>
      <c r="AC73" s="23">
        <f t="shared" si="11"/>
        <v>260</v>
      </c>
      <c r="AD73" s="7">
        <v>45648</v>
      </c>
    </row>
    <row r="74" spans="1:30">
      <c r="A74">
        <v>75</v>
      </c>
      <c r="B74" t="str">
        <f>_xlfn.XLOOKUP(A74,Z:Z,AB:AB,"not found")</f>
        <v>USD</v>
      </c>
      <c r="C74">
        <f>_xlfn.XLOOKUP(A74,Z:Z,AA:AA)-_xlfn.XLOOKUP(A74,Q:Q,R:R,"0")</f>
        <v>2250</v>
      </c>
      <c r="D74">
        <f>C74*_xlfn.XLOOKUP(B74,AG:AG,AH:AH)</f>
        <v>1935</v>
      </c>
      <c r="E74">
        <f>C74*_xlfn.XLOOKUP(B74,AG:AG,AI:AI)</f>
        <v>2250</v>
      </c>
      <c r="F74">
        <v>2250</v>
      </c>
      <c r="G74">
        <f>F74*_xlfn.XLOOKUP(B74,AG:AG,AH:AH)</f>
        <v>1935</v>
      </c>
      <c r="H74">
        <f>F74*_xlfn.XLOOKUP(B74,AG:AG,AI:AI)</f>
        <v>2250</v>
      </c>
      <c r="I74">
        <f t="shared" si="6"/>
        <v>0</v>
      </c>
      <c r="J74">
        <f>I74*_xlfn.XLOOKUP(B74,AG:AG,AI:AI)</f>
        <v>0</v>
      </c>
      <c r="K74" s="7">
        <f>_xlfn.XLOOKUP(A74,Z:Z,AD:AD)</f>
        <v>45738</v>
      </c>
      <c r="L74" s="7">
        <f t="shared" si="7"/>
        <v>45708</v>
      </c>
      <c r="M74">
        <f t="shared" si="8"/>
        <v>2</v>
      </c>
      <c r="N74">
        <f t="shared" si="9"/>
        <v>2025</v>
      </c>
      <c r="Q74" s="22">
        <v>130</v>
      </c>
      <c r="R74" s="22">
        <v>4389</v>
      </c>
      <c r="S74" s="22" t="str">
        <f t="shared" si="10"/>
        <v>USD</v>
      </c>
      <c r="T74" s="22">
        <f>R74*_xlfn.XLOOKUP(S74,AG:AG,AI:AI)</f>
        <v>4389</v>
      </c>
      <c r="U74" s="22" t="s">
        <v>26</v>
      </c>
      <c r="W74" s="9">
        <v>91</v>
      </c>
      <c r="X74" s="9" t="s">
        <v>28</v>
      </c>
      <c r="Z74">
        <v>75</v>
      </c>
      <c r="AA74">
        <v>2250</v>
      </c>
      <c r="AB74" s="20" t="s">
        <v>29</v>
      </c>
      <c r="AC74" s="23">
        <f t="shared" si="11"/>
        <v>2250</v>
      </c>
      <c r="AD74" s="7">
        <v>45738</v>
      </c>
    </row>
    <row r="75" spans="1:30">
      <c r="A75">
        <v>76</v>
      </c>
      <c r="B75" t="str">
        <f>_xlfn.XLOOKUP(A75,Z:Z,AB:AB,"not found")</f>
        <v>USD</v>
      </c>
      <c r="C75">
        <f>_xlfn.XLOOKUP(A75,Z:Z,AA:AA)-_xlfn.XLOOKUP(A75,Q:Q,R:R,"0")</f>
        <v>0</v>
      </c>
      <c r="D75">
        <f>C75*_xlfn.XLOOKUP(B75,AG:AG,AH:AH)</f>
        <v>0</v>
      </c>
      <c r="E75">
        <f>C75*_xlfn.XLOOKUP(B75,AG:AG,AI:AI)</f>
        <v>0</v>
      </c>
      <c r="F75">
        <v>4288.97</v>
      </c>
      <c r="G75">
        <f>F75*_xlfn.XLOOKUP(B75,AG:AG,AH:AH)</f>
        <v>3688.5142000000001</v>
      </c>
      <c r="H75">
        <f>F75*_xlfn.XLOOKUP(B75,AG:AG,AI:AI)</f>
        <v>4288.97</v>
      </c>
      <c r="I75">
        <f t="shared" si="6"/>
        <v>0</v>
      </c>
      <c r="J75">
        <f>I75*_xlfn.XLOOKUP(B75,AG:AG,AI:AI)</f>
        <v>0</v>
      </c>
      <c r="K75" s="7">
        <f>_xlfn.XLOOKUP(A75,Z:Z,AD:AD)</f>
        <v>45688</v>
      </c>
      <c r="L75" s="7">
        <f t="shared" si="7"/>
        <v>45658</v>
      </c>
      <c r="M75">
        <f t="shared" si="8"/>
        <v>1</v>
      </c>
      <c r="N75">
        <f t="shared" si="9"/>
        <v>2025</v>
      </c>
      <c r="Q75" s="22">
        <v>132</v>
      </c>
      <c r="R75" s="22">
        <v>4378.88</v>
      </c>
      <c r="S75" s="22" t="str">
        <f t="shared" si="10"/>
        <v>USD</v>
      </c>
      <c r="T75" s="22">
        <f>R75*_xlfn.XLOOKUP(S75,AG:AG,AI:AI)</f>
        <v>4378.88</v>
      </c>
      <c r="U75" s="22" t="s">
        <v>26</v>
      </c>
      <c r="W75" s="9">
        <v>93</v>
      </c>
      <c r="X75" s="9" t="s">
        <v>27</v>
      </c>
      <c r="Z75">
        <v>76</v>
      </c>
      <c r="AA75">
        <v>4288.97</v>
      </c>
      <c r="AB75" s="20" t="s">
        <v>29</v>
      </c>
      <c r="AC75" s="23">
        <f t="shared" si="11"/>
        <v>4288.97</v>
      </c>
      <c r="AD75" s="7">
        <v>45688</v>
      </c>
    </row>
    <row r="76" spans="1:30">
      <c r="A76">
        <v>77</v>
      </c>
      <c r="B76" t="str">
        <f>_xlfn.XLOOKUP(A76,Z:Z,AB:AB,"not found")</f>
        <v>USD</v>
      </c>
      <c r="C76">
        <f>_xlfn.XLOOKUP(A76,Z:Z,AA:AA)-_xlfn.XLOOKUP(A76,Q:Q,R:R,"0")</f>
        <v>688</v>
      </c>
      <c r="D76">
        <f>C76*_xlfn.XLOOKUP(B76,AG:AG,AH:AH)</f>
        <v>591.67999999999995</v>
      </c>
      <c r="E76">
        <f>C76*_xlfn.XLOOKUP(B76,AG:AG,AI:AI)</f>
        <v>688</v>
      </c>
      <c r="F76">
        <v>688</v>
      </c>
      <c r="G76">
        <f>F76*_xlfn.XLOOKUP(B76,AG:AG,AH:AH)</f>
        <v>591.67999999999995</v>
      </c>
      <c r="H76">
        <f>F76*_xlfn.XLOOKUP(B76,AG:AG,AI:AI)</f>
        <v>688</v>
      </c>
      <c r="I76">
        <f t="shared" si="6"/>
        <v>0</v>
      </c>
      <c r="J76">
        <f>I76*_xlfn.XLOOKUP(B76,AG:AG,AI:AI)</f>
        <v>0</v>
      </c>
      <c r="K76" s="7">
        <f>_xlfn.XLOOKUP(A76,Z:Z,AD:AD)</f>
        <v>45688</v>
      </c>
      <c r="L76" s="7">
        <f t="shared" si="7"/>
        <v>45658</v>
      </c>
      <c r="M76">
        <f t="shared" si="8"/>
        <v>1</v>
      </c>
      <c r="N76">
        <f t="shared" si="9"/>
        <v>2025</v>
      </c>
      <c r="Q76" s="22">
        <v>133</v>
      </c>
      <c r="R76" s="22">
        <v>8756.25</v>
      </c>
      <c r="S76" s="22" t="str">
        <f t="shared" si="10"/>
        <v>USD</v>
      </c>
      <c r="T76" s="22">
        <f>R76*_xlfn.XLOOKUP(S76,AG:AG,AI:AI)</f>
        <v>8756.25</v>
      </c>
      <c r="U76" s="22" t="s">
        <v>26</v>
      </c>
      <c r="W76" s="9">
        <v>94</v>
      </c>
      <c r="X76" s="9" t="s">
        <v>28</v>
      </c>
      <c r="Z76">
        <v>77</v>
      </c>
      <c r="AA76">
        <v>688</v>
      </c>
      <c r="AB76" s="20" t="s">
        <v>29</v>
      </c>
      <c r="AC76" s="23">
        <f t="shared" si="11"/>
        <v>688</v>
      </c>
      <c r="AD76" s="7">
        <v>45688</v>
      </c>
    </row>
    <row r="77" spans="1:30">
      <c r="A77">
        <v>78</v>
      </c>
      <c r="B77" t="str">
        <f>_xlfn.XLOOKUP(A77,Z:Z,AB:AB,"not found")</f>
        <v>USD</v>
      </c>
      <c r="C77">
        <f>_xlfn.XLOOKUP(A77,Z:Z,AA:AA)-_xlfn.XLOOKUP(A77,Q:Q,R:R,"0")</f>
        <v>0</v>
      </c>
      <c r="D77">
        <f>C77*_xlfn.XLOOKUP(B77,AG:AG,AH:AH)</f>
        <v>0</v>
      </c>
      <c r="E77">
        <f>C77*_xlfn.XLOOKUP(B77,AG:AG,AI:AI)</f>
        <v>0</v>
      </c>
      <c r="F77">
        <v>688</v>
      </c>
      <c r="G77">
        <f>F77*_xlfn.XLOOKUP(B77,AG:AG,AH:AH)</f>
        <v>591.67999999999995</v>
      </c>
      <c r="H77">
        <f>F77*_xlfn.XLOOKUP(B77,AG:AG,AI:AI)</f>
        <v>688</v>
      </c>
      <c r="I77">
        <f t="shared" si="6"/>
        <v>0</v>
      </c>
      <c r="J77">
        <f>I77*_xlfn.XLOOKUP(B77,AG:AG,AI:AI)</f>
        <v>0</v>
      </c>
      <c r="K77" s="7">
        <f>_xlfn.XLOOKUP(A77,Z:Z,AD:AD)</f>
        <v>45688</v>
      </c>
      <c r="L77" s="7">
        <f t="shared" si="7"/>
        <v>45658</v>
      </c>
      <c r="M77">
        <f t="shared" si="8"/>
        <v>1</v>
      </c>
      <c r="N77">
        <f t="shared" si="9"/>
        <v>2025</v>
      </c>
      <c r="Q77" s="22">
        <v>134</v>
      </c>
      <c r="R77" s="22">
        <v>1205</v>
      </c>
      <c r="S77" s="22" t="str">
        <f t="shared" si="10"/>
        <v>USD</v>
      </c>
      <c r="T77" s="22">
        <f>R77*_xlfn.XLOOKUP(S77,AG:AG,AI:AI)</f>
        <v>1205</v>
      </c>
      <c r="U77" s="22" t="s">
        <v>26</v>
      </c>
      <c r="W77" s="9">
        <v>95</v>
      </c>
      <c r="X77" s="9" t="s">
        <v>28</v>
      </c>
      <c r="Z77">
        <v>78</v>
      </c>
      <c r="AA77">
        <v>688</v>
      </c>
      <c r="AB77" s="20" t="s">
        <v>29</v>
      </c>
      <c r="AC77" s="23">
        <f t="shared" si="11"/>
        <v>688</v>
      </c>
      <c r="AD77" s="7">
        <v>45688</v>
      </c>
    </row>
    <row r="78" spans="1:30">
      <c r="A78">
        <v>79</v>
      </c>
      <c r="B78" t="str">
        <f>_xlfn.XLOOKUP(A78,Z:Z,AB:AB,"not found")</f>
        <v>USD</v>
      </c>
      <c r="C78">
        <f>_xlfn.XLOOKUP(A78,Z:Z,AA:AA)-_xlfn.XLOOKUP(A78,Q:Q,R:R,"0")</f>
        <v>0</v>
      </c>
      <c r="D78">
        <f>C78*_xlfn.XLOOKUP(B78,AG:AG,AH:AH)</f>
        <v>0</v>
      </c>
      <c r="E78">
        <f>C78*_xlfn.XLOOKUP(B78,AG:AG,AI:AI)</f>
        <v>0</v>
      </c>
      <c r="F78">
        <v>3295.4</v>
      </c>
      <c r="G78">
        <f>F78*_xlfn.XLOOKUP(B78,AG:AG,AH:AH)</f>
        <v>2834.0439999999999</v>
      </c>
      <c r="H78">
        <f>F78*_xlfn.XLOOKUP(B78,AG:AG,AI:AI)</f>
        <v>3295.4</v>
      </c>
      <c r="I78">
        <f t="shared" si="6"/>
        <v>0</v>
      </c>
      <c r="J78">
        <f>I78*_xlfn.XLOOKUP(B78,AG:AG,AI:AI)</f>
        <v>0</v>
      </c>
      <c r="K78" s="7">
        <f>_xlfn.XLOOKUP(A78,Z:Z,AD:AD)</f>
        <v>45690</v>
      </c>
      <c r="L78" s="7">
        <f t="shared" si="7"/>
        <v>45660</v>
      </c>
      <c r="M78">
        <f t="shared" si="8"/>
        <v>1</v>
      </c>
      <c r="N78">
        <f t="shared" si="9"/>
        <v>2025</v>
      </c>
      <c r="Q78" s="22">
        <v>136</v>
      </c>
      <c r="R78" s="22">
        <v>57454.65</v>
      </c>
      <c r="S78" s="22" t="str">
        <f t="shared" si="10"/>
        <v>USD</v>
      </c>
      <c r="T78" s="22">
        <f>R78*_xlfn.XLOOKUP(S78,AG:AG,AI:AI)</f>
        <v>57454.65</v>
      </c>
      <c r="U78" s="22" t="s">
        <v>26</v>
      </c>
      <c r="W78" s="9">
        <v>97</v>
      </c>
      <c r="X78" s="9" t="s">
        <v>27</v>
      </c>
      <c r="Z78">
        <v>79</v>
      </c>
      <c r="AA78">
        <v>3295.4</v>
      </c>
      <c r="AB78" s="20" t="s">
        <v>29</v>
      </c>
      <c r="AC78" s="23">
        <f t="shared" si="11"/>
        <v>3295.4</v>
      </c>
      <c r="AD78" s="7">
        <v>45690</v>
      </c>
    </row>
    <row r="79" spans="1:30">
      <c r="A79">
        <v>81</v>
      </c>
      <c r="B79" t="str">
        <f>_xlfn.XLOOKUP(A79,Z:Z,AB:AB,"not found")</f>
        <v>USD</v>
      </c>
      <c r="C79">
        <f>_xlfn.XLOOKUP(A79,Z:Z,AA:AA)-_xlfn.XLOOKUP(A79,Q:Q,R:R,"0")</f>
        <v>2723</v>
      </c>
      <c r="D79">
        <f>C79*_xlfn.XLOOKUP(B79,AG:AG,AH:AH)</f>
        <v>2341.7799999999997</v>
      </c>
      <c r="E79">
        <f>C79*_xlfn.XLOOKUP(B79,AG:AG,AI:AI)</f>
        <v>2723</v>
      </c>
      <c r="F79">
        <v>4988</v>
      </c>
      <c r="G79">
        <f>F79*_xlfn.XLOOKUP(B79,AG:AG,AH:AH)</f>
        <v>4289.68</v>
      </c>
      <c r="H79">
        <f>F79*_xlfn.XLOOKUP(B79,AG:AG,AI:AI)</f>
        <v>4988</v>
      </c>
      <c r="I79">
        <f t="shared" si="6"/>
        <v>0</v>
      </c>
      <c r="J79">
        <f>I79*_xlfn.XLOOKUP(B79,AG:AG,AI:AI)</f>
        <v>0</v>
      </c>
      <c r="K79" s="7">
        <f>_xlfn.XLOOKUP(A79,Z:Z,AD:AD)</f>
        <v>45690</v>
      </c>
      <c r="L79" s="7">
        <f t="shared" si="7"/>
        <v>45660</v>
      </c>
      <c r="M79">
        <f t="shared" si="8"/>
        <v>1</v>
      </c>
      <c r="N79">
        <f t="shared" si="9"/>
        <v>2025</v>
      </c>
      <c r="Q79" s="22">
        <v>137</v>
      </c>
      <c r="R79" s="22">
        <v>4574.1099999999997</v>
      </c>
      <c r="S79" s="22" t="str">
        <f t="shared" si="10"/>
        <v>USD</v>
      </c>
      <c r="T79" s="22">
        <f>R79*_xlfn.XLOOKUP(S79,AG:AG,AI:AI)</f>
        <v>4574.1099999999997</v>
      </c>
      <c r="U79" s="22" t="s">
        <v>26</v>
      </c>
      <c r="W79" s="9">
        <v>98</v>
      </c>
      <c r="X79" s="9" t="s">
        <v>27</v>
      </c>
      <c r="Z79">
        <v>81</v>
      </c>
      <c r="AA79">
        <v>4988</v>
      </c>
      <c r="AB79" s="20" t="s">
        <v>29</v>
      </c>
      <c r="AC79" s="23">
        <f t="shared" si="11"/>
        <v>4988</v>
      </c>
      <c r="AD79" s="7">
        <v>45690</v>
      </c>
    </row>
    <row r="80" spans="1:30">
      <c r="A80">
        <v>82</v>
      </c>
      <c r="B80" t="str">
        <f>_xlfn.XLOOKUP(A80,Z:Z,AB:AB,"not found")</f>
        <v>USD</v>
      </c>
      <c r="C80">
        <f>_xlfn.XLOOKUP(A80,Z:Z,AA:AA)-_xlfn.XLOOKUP(A80,Q:Q,R:R,"0")</f>
        <v>343174.85</v>
      </c>
      <c r="D80">
        <f>C80*_xlfn.XLOOKUP(B80,AG:AG,AH:AH)</f>
        <v>295130.37099999998</v>
      </c>
      <c r="E80">
        <f>C80*_xlfn.XLOOKUP(B80,AG:AG,AI:AI)</f>
        <v>343174.85</v>
      </c>
      <c r="F80">
        <v>343174.85</v>
      </c>
      <c r="G80">
        <f>F80*_xlfn.XLOOKUP(B80,AG:AG,AH:AH)</f>
        <v>295130.37099999998</v>
      </c>
      <c r="H80">
        <f>F80*_xlfn.XLOOKUP(B80,AG:AG,AI:AI)</f>
        <v>343174.85</v>
      </c>
      <c r="I80">
        <f t="shared" si="6"/>
        <v>0</v>
      </c>
      <c r="J80">
        <f>I80*_xlfn.XLOOKUP(B80,AG:AG,AI:AI)</f>
        <v>0</v>
      </c>
      <c r="K80" s="7">
        <f>_xlfn.XLOOKUP(A80,Z:Z,AD:AD)</f>
        <v>45720</v>
      </c>
      <c r="L80" s="7">
        <f t="shared" si="7"/>
        <v>45690</v>
      </c>
      <c r="M80">
        <f t="shared" si="8"/>
        <v>2</v>
      </c>
      <c r="N80">
        <f t="shared" si="9"/>
        <v>2025</v>
      </c>
      <c r="Q80" s="22">
        <v>139</v>
      </c>
      <c r="R80" s="22">
        <v>2232</v>
      </c>
      <c r="S80" s="22" t="str">
        <f t="shared" si="10"/>
        <v>USD</v>
      </c>
      <c r="T80" s="22">
        <f>R80*_xlfn.XLOOKUP(S80,AG:AG,AI:AI)</f>
        <v>2232</v>
      </c>
      <c r="U80" s="22" t="s">
        <v>26</v>
      </c>
      <c r="W80" s="9">
        <v>98</v>
      </c>
      <c r="X80" s="9" t="s">
        <v>27</v>
      </c>
      <c r="Z80">
        <v>82</v>
      </c>
      <c r="AA80">
        <v>343174.85</v>
      </c>
      <c r="AB80" s="20" t="s">
        <v>29</v>
      </c>
      <c r="AC80" s="23">
        <f t="shared" si="11"/>
        <v>343174.85</v>
      </c>
      <c r="AD80" s="7">
        <v>45720</v>
      </c>
    </row>
    <row r="81" spans="1:30">
      <c r="A81">
        <v>83</v>
      </c>
      <c r="B81" t="str">
        <f>_xlfn.XLOOKUP(A81,Z:Z,AB:AB,"not found")</f>
        <v>USD</v>
      </c>
      <c r="C81">
        <f>_xlfn.XLOOKUP(A81,Z:Z,AA:AA)-_xlfn.XLOOKUP(A81,Q:Q,R:R,"0")</f>
        <v>0</v>
      </c>
      <c r="D81">
        <f>C81*_xlfn.XLOOKUP(B81,AG:AG,AH:AH)</f>
        <v>0</v>
      </c>
      <c r="E81">
        <f>C81*_xlfn.XLOOKUP(B81,AG:AG,AI:AI)</f>
        <v>0</v>
      </c>
      <c r="F81">
        <v>229</v>
      </c>
      <c r="G81">
        <f>F81*_xlfn.XLOOKUP(B81,AG:AG,AH:AH)</f>
        <v>196.94</v>
      </c>
      <c r="H81">
        <f>F81*_xlfn.XLOOKUP(B81,AG:AG,AI:AI)</f>
        <v>229</v>
      </c>
      <c r="I81">
        <f t="shared" si="6"/>
        <v>0</v>
      </c>
      <c r="J81">
        <f>I81*_xlfn.XLOOKUP(B81,AG:AG,AI:AI)</f>
        <v>0</v>
      </c>
      <c r="K81" s="7">
        <f>_xlfn.XLOOKUP(A81,Z:Z,AD:AD)</f>
        <v>45645</v>
      </c>
      <c r="L81" s="7">
        <f t="shared" si="7"/>
        <v>45615</v>
      </c>
      <c r="M81">
        <f t="shared" si="8"/>
        <v>11</v>
      </c>
      <c r="N81">
        <f t="shared" si="9"/>
        <v>2024</v>
      </c>
      <c r="Q81" s="22">
        <v>140</v>
      </c>
      <c r="R81" s="22">
        <v>23910.84</v>
      </c>
      <c r="S81" s="22" t="str">
        <f t="shared" si="10"/>
        <v>USD</v>
      </c>
      <c r="T81" s="22">
        <f>R81*_xlfn.XLOOKUP(S81,AG:AG,AI:AI)</f>
        <v>23910.84</v>
      </c>
      <c r="U81" s="22" t="s">
        <v>26</v>
      </c>
      <c r="W81" s="9">
        <v>98</v>
      </c>
      <c r="X81" s="9" t="s">
        <v>27</v>
      </c>
      <c r="Z81">
        <v>83</v>
      </c>
      <c r="AA81">
        <v>229</v>
      </c>
      <c r="AB81" s="20" t="s">
        <v>29</v>
      </c>
      <c r="AC81" s="23">
        <f t="shared" si="11"/>
        <v>229</v>
      </c>
      <c r="AD81" s="7">
        <v>45645</v>
      </c>
    </row>
    <row r="82" spans="1:30">
      <c r="A82">
        <v>84</v>
      </c>
      <c r="B82" t="str">
        <f>_xlfn.XLOOKUP(A82,Z:Z,AB:AB,"not found")</f>
        <v>USD</v>
      </c>
      <c r="C82">
        <f>_xlfn.XLOOKUP(A82,Z:Z,AA:AA)-_xlfn.XLOOKUP(A82,Q:Q,R:R,"0")</f>
        <v>0</v>
      </c>
      <c r="D82">
        <f>C82*_xlfn.XLOOKUP(B82,AG:AG,AH:AH)</f>
        <v>0</v>
      </c>
      <c r="E82">
        <f>C82*_xlfn.XLOOKUP(B82,AG:AG,AI:AI)</f>
        <v>0</v>
      </c>
      <c r="F82">
        <v>1708.68</v>
      </c>
      <c r="G82">
        <f>F82*_xlfn.XLOOKUP(B82,AG:AG,AH:AH)</f>
        <v>1469.4648</v>
      </c>
      <c r="H82">
        <f>F82*_xlfn.XLOOKUP(B82,AG:AG,AI:AI)</f>
        <v>1708.68</v>
      </c>
      <c r="I82">
        <f t="shared" si="6"/>
        <v>0</v>
      </c>
      <c r="J82">
        <f>I82*_xlfn.XLOOKUP(B82,AG:AG,AI:AI)</f>
        <v>0</v>
      </c>
      <c r="K82" s="7">
        <f>_xlfn.XLOOKUP(A82,Z:Z,AD:AD)</f>
        <v>45685</v>
      </c>
      <c r="L82" s="7">
        <f t="shared" si="7"/>
        <v>45655</v>
      </c>
      <c r="M82">
        <f t="shared" si="8"/>
        <v>12</v>
      </c>
      <c r="N82">
        <f t="shared" si="9"/>
        <v>2024</v>
      </c>
      <c r="Q82" s="22">
        <v>141</v>
      </c>
      <c r="R82" s="22">
        <v>3158.37</v>
      </c>
      <c r="S82" s="22" t="str">
        <f t="shared" si="10"/>
        <v>EUR</v>
      </c>
      <c r="T82" s="22">
        <f>R82*_xlfn.XLOOKUP(S82,AG:AG,AI:AI)</f>
        <v>3663.7091999999998</v>
      </c>
      <c r="U82" s="22" t="s">
        <v>26</v>
      </c>
      <c r="W82" s="9">
        <v>98</v>
      </c>
      <c r="X82" s="9" t="s">
        <v>27</v>
      </c>
      <c r="Z82">
        <v>84</v>
      </c>
      <c r="AA82">
        <v>1708.68</v>
      </c>
      <c r="AB82" s="20" t="s">
        <v>29</v>
      </c>
      <c r="AC82" s="23">
        <f t="shared" si="11"/>
        <v>1708.68</v>
      </c>
      <c r="AD82" s="7">
        <v>45685</v>
      </c>
    </row>
    <row r="83" spans="1:30">
      <c r="A83">
        <v>85</v>
      </c>
      <c r="B83" t="str">
        <f>_xlfn.XLOOKUP(A83,Z:Z,AB:AB,"not found")</f>
        <v>USD</v>
      </c>
      <c r="C83">
        <f>_xlfn.XLOOKUP(A83,Z:Z,AA:AA)-_xlfn.XLOOKUP(A83,Q:Q,R:R,"0")</f>
        <v>6785.9700000000012</v>
      </c>
      <c r="D83">
        <f>C83*_xlfn.XLOOKUP(B83,AG:AG,AH:AH)</f>
        <v>5835.9342000000006</v>
      </c>
      <c r="E83">
        <f>C83*_xlfn.XLOOKUP(B83,AG:AG,AI:AI)</f>
        <v>6785.9700000000012</v>
      </c>
      <c r="F83">
        <v>125088.02</v>
      </c>
      <c r="G83">
        <f>F83*_xlfn.XLOOKUP(B83,AG:AG,AH:AH)</f>
        <v>107575.6972</v>
      </c>
      <c r="H83">
        <f>F83*_xlfn.XLOOKUP(B83,AG:AG,AI:AI)</f>
        <v>125088.02</v>
      </c>
      <c r="I83">
        <f t="shared" si="6"/>
        <v>0</v>
      </c>
      <c r="J83">
        <f>I83*_xlfn.XLOOKUP(B83,AG:AG,AI:AI)</f>
        <v>0</v>
      </c>
      <c r="K83" s="7">
        <f>_xlfn.XLOOKUP(A83,Z:Z,AD:AD)</f>
        <v>45655</v>
      </c>
      <c r="L83" s="7">
        <f t="shared" si="7"/>
        <v>45625</v>
      </c>
      <c r="M83">
        <f t="shared" si="8"/>
        <v>11</v>
      </c>
      <c r="N83">
        <f t="shared" si="9"/>
        <v>2024</v>
      </c>
      <c r="Q83" s="22">
        <v>142</v>
      </c>
      <c r="R83" s="22">
        <v>2390</v>
      </c>
      <c r="S83" s="22" t="str">
        <f t="shared" si="10"/>
        <v>USD</v>
      </c>
      <c r="T83" s="22">
        <f>R83*_xlfn.XLOOKUP(S83,AG:AG,AI:AI)</f>
        <v>2390</v>
      </c>
      <c r="U83" s="22" t="s">
        <v>26</v>
      </c>
      <c r="W83" s="9">
        <v>98</v>
      </c>
      <c r="X83" s="9" t="s">
        <v>27</v>
      </c>
      <c r="Z83">
        <v>85</v>
      </c>
      <c r="AA83">
        <v>125088.02</v>
      </c>
      <c r="AB83" s="20" t="s">
        <v>29</v>
      </c>
      <c r="AC83" s="23">
        <f t="shared" si="11"/>
        <v>125088.02</v>
      </c>
      <c r="AD83" s="7">
        <v>45655</v>
      </c>
    </row>
    <row r="84" spans="1:30">
      <c r="A84">
        <v>86</v>
      </c>
      <c r="B84" t="str">
        <f>_xlfn.XLOOKUP(A84,Z:Z,AB:AB,"not found")</f>
        <v>USD</v>
      </c>
      <c r="C84">
        <f>_xlfn.XLOOKUP(A84,Z:Z,AA:AA)-_xlfn.XLOOKUP(A84,Q:Q,R:R,"0")</f>
        <v>281219.98</v>
      </c>
      <c r="D84">
        <f>C84*_xlfn.XLOOKUP(B84,AG:AG,AH:AH)</f>
        <v>241849.18279999998</v>
      </c>
      <c r="E84">
        <f>C84*_xlfn.XLOOKUP(B84,AG:AG,AI:AI)</f>
        <v>281219.98</v>
      </c>
      <c r="F84">
        <v>281219.98</v>
      </c>
      <c r="G84">
        <f>F84*_xlfn.XLOOKUP(B84,AG:AG,AH:AH)</f>
        <v>241849.18279999998</v>
      </c>
      <c r="H84">
        <f>F84*_xlfn.XLOOKUP(B84,AG:AG,AI:AI)</f>
        <v>281219.98</v>
      </c>
      <c r="I84">
        <f t="shared" si="6"/>
        <v>0</v>
      </c>
      <c r="J84">
        <f>I84*_xlfn.XLOOKUP(B84,AG:AG,AI:AI)</f>
        <v>0</v>
      </c>
      <c r="K84" s="7">
        <f>_xlfn.XLOOKUP(A84,Z:Z,AD:AD)</f>
        <v>45922</v>
      </c>
      <c r="L84" s="7">
        <f t="shared" si="7"/>
        <v>45892</v>
      </c>
      <c r="M84">
        <f t="shared" si="8"/>
        <v>8</v>
      </c>
      <c r="N84">
        <f t="shared" si="9"/>
        <v>2025</v>
      </c>
      <c r="Q84" s="22">
        <v>143</v>
      </c>
      <c r="R84" s="22">
        <v>4874.42</v>
      </c>
      <c r="S84" s="22" t="str">
        <f t="shared" si="10"/>
        <v>EUR</v>
      </c>
      <c r="T84" s="22">
        <f>R84*_xlfn.XLOOKUP(S84,AG:AG,AI:AI)</f>
        <v>5654.3271999999997</v>
      </c>
      <c r="U84" s="22" t="s">
        <v>26</v>
      </c>
      <c r="W84" s="9">
        <v>99</v>
      </c>
      <c r="X84" s="9" t="s">
        <v>27</v>
      </c>
      <c r="Z84">
        <v>86</v>
      </c>
      <c r="AA84">
        <v>281219.98</v>
      </c>
      <c r="AB84" s="20" t="s">
        <v>29</v>
      </c>
      <c r="AC84" s="23">
        <f t="shared" si="11"/>
        <v>281219.98</v>
      </c>
      <c r="AD84" s="7">
        <v>45922</v>
      </c>
    </row>
    <row r="85" spans="1:30">
      <c r="A85">
        <v>87</v>
      </c>
      <c r="B85" t="str">
        <f>_xlfn.XLOOKUP(A85,Z:Z,AB:AB,"not found")</f>
        <v>USD</v>
      </c>
      <c r="C85">
        <f>_xlfn.XLOOKUP(A85,Z:Z,AA:AA)-_xlfn.XLOOKUP(A85,Q:Q,R:R,"0")</f>
        <v>3630</v>
      </c>
      <c r="D85">
        <f>C85*_xlfn.XLOOKUP(B85,AG:AG,AH:AH)</f>
        <v>3121.7999999999997</v>
      </c>
      <c r="E85">
        <f>C85*_xlfn.XLOOKUP(B85,AG:AG,AI:AI)</f>
        <v>3630</v>
      </c>
      <c r="F85">
        <v>3630</v>
      </c>
      <c r="G85">
        <f>F85*_xlfn.XLOOKUP(B85,AG:AG,AH:AH)</f>
        <v>3121.7999999999997</v>
      </c>
      <c r="H85">
        <f>F85*_xlfn.XLOOKUP(B85,AG:AG,AI:AI)</f>
        <v>3630</v>
      </c>
      <c r="I85">
        <f t="shared" si="6"/>
        <v>0</v>
      </c>
      <c r="J85">
        <f>I85*_xlfn.XLOOKUP(B85,AG:AG,AI:AI)</f>
        <v>0</v>
      </c>
      <c r="K85" s="7">
        <f>_xlfn.XLOOKUP(A85,Z:Z,AD:AD)</f>
        <v>45677</v>
      </c>
      <c r="L85" s="7">
        <f t="shared" si="7"/>
        <v>45647</v>
      </c>
      <c r="M85">
        <f t="shared" si="8"/>
        <v>12</v>
      </c>
      <c r="N85">
        <f t="shared" si="9"/>
        <v>2024</v>
      </c>
      <c r="Q85" s="22">
        <v>144</v>
      </c>
      <c r="R85" s="22">
        <v>3993.6</v>
      </c>
      <c r="S85" s="22" t="str">
        <f t="shared" si="10"/>
        <v>USD</v>
      </c>
      <c r="T85" s="22">
        <f>R85*_xlfn.XLOOKUP(S85,AG:AG,AI:AI)</f>
        <v>3993.6</v>
      </c>
      <c r="U85" s="22" t="s">
        <v>26</v>
      </c>
      <c r="W85" s="9">
        <v>100</v>
      </c>
      <c r="X85" s="9" t="s">
        <v>29</v>
      </c>
      <c r="Z85">
        <v>87</v>
      </c>
      <c r="AA85">
        <v>3630</v>
      </c>
      <c r="AB85" s="20" t="s">
        <v>29</v>
      </c>
      <c r="AC85" s="23">
        <f t="shared" si="11"/>
        <v>3630</v>
      </c>
      <c r="AD85" s="7">
        <v>45677</v>
      </c>
    </row>
    <row r="86" spans="1:30">
      <c r="A86">
        <v>88</v>
      </c>
      <c r="B86" t="str">
        <f>_xlfn.XLOOKUP(A86,Z:Z,AB:AB,"not found")</f>
        <v>USD</v>
      </c>
      <c r="C86">
        <f>_xlfn.XLOOKUP(A86,Z:Z,AA:AA)-_xlfn.XLOOKUP(A86,Q:Q,R:R,"0")</f>
        <v>0</v>
      </c>
      <c r="D86">
        <f>C86*_xlfn.XLOOKUP(B86,AG:AG,AH:AH)</f>
        <v>0</v>
      </c>
      <c r="E86">
        <f>C86*_xlfn.XLOOKUP(B86,AG:AG,AI:AI)</f>
        <v>0</v>
      </c>
      <c r="F86">
        <v>800</v>
      </c>
      <c r="G86">
        <f>F86*_xlfn.XLOOKUP(B86,AG:AG,AH:AH)</f>
        <v>688</v>
      </c>
      <c r="H86">
        <f>F86*_xlfn.XLOOKUP(B86,AG:AG,AI:AI)</f>
        <v>800</v>
      </c>
      <c r="I86">
        <f t="shared" si="6"/>
        <v>0</v>
      </c>
      <c r="J86">
        <f>I86*_xlfn.XLOOKUP(B86,AG:AG,AI:AI)</f>
        <v>0</v>
      </c>
      <c r="K86" s="7">
        <f>_xlfn.XLOOKUP(A86,Z:Z,AD:AD)</f>
        <v>45667</v>
      </c>
      <c r="L86" s="7">
        <f t="shared" si="7"/>
        <v>45637</v>
      </c>
      <c r="M86">
        <f t="shared" si="8"/>
        <v>12</v>
      </c>
      <c r="N86">
        <f t="shared" si="9"/>
        <v>2024</v>
      </c>
      <c r="Q86" s="22">
        <v>145</v>
      </c>
      <c r="R86" s="22">
        <v>4101.6000000000004</v>
      </c>
      <c r="S86" s="22" t="str">
        <f t="shared" si="10"/>
        <v>EUR</v>
      </c>
      <c r="T86" s="22">
        <f>R86*_xlfn.XLOOKUP(S86,AG:AG,AI:AI)</f>
        <v>4757.8559999999998</v>
      </c>
      <c r="U86" s="22" t="s">
        <v>26</v>
      </c>
      <c r="W86" s="9">
        <v>100</v>
      </c>
      <c r="X86" s="9" t="s">
        <v>29</v>
      </c>
      <c r="Z86">
        <v>88</v>
      </c>
      <c r="AA86">
        <v>800</v>
      </c>
      <c r="AB86" s="20" t="s">
        <v>29</v>
      </c>
      <c r="AC86" s="23">
        <f t="shared" si="11"/>
        <v>800</v>
      </c>
      <c r="AD86" s="7">
        <v>45667</v>
      </c>
    </row>
    <row r="87" spans="1:30">
      <c r="A87">
        <v>89</v>
      </c>
      <c r="B87" t="str">
        <f>_xlfn.XLOOKUP(A87,Z:Z,AB:AB,"not found")</f>
        <v>USD</v>
      </c>
      <c r="C87">
        <f>_xlfn.XLOOKUP(A87,Z:Z,AA:AA)-_xlfn.XLOOKUP(A87,Q:Q,R:R,"0")</f>
        <v>0</v>
      </c>
      <c r="D87">
        <f>C87*_xlfn.XLOOKUP(B87,AG:AG,AH:AH)</f>
        <v>0</v>
      </c>
      <c r="E87">
        <f>C87*_xlfn.XLOOKUP(B87,AG:AG,AI:AI)</f>
        <v>0</v>
      </c>
      <c r="F87">
        <v>800</v>
      </c>
      <c r="G87">
        <f>F87*_xlfn.XLOOKUP(B87,AG:AG,AH:AH)</f>
        <v>688</v>
      </c>
      <c r="H87">
        <f>F87*_xlfn.XLOOKUP(B87,AG:AG,AI:AI)</f>
        <v>800</v>
      </c>
      <c r="I87">
        <f t="shared" si="6"/>
        <v>0</v>
      </c>
      <c r="J87">
        <f>I87*_xlfn.XLOOKUP(B87,AG:AG,AI:AI)</f>
        <v>0</v>
      </c>
      <c r="K87" s="7">
        <f>_xlfn.XLOOKUP(A87,Z:Z,AD:AD)</f>
        <v>45670</v>
      </c>
      <c r="L87" s="7">
        <f t="shared" si="7"/>
        <v>45640</v>
      </c>
      <c r="M87">
        <f t="shared" si="8"/>
        <v>12</v>
      </c>
      <c r="N87">
        <f t="shared" si="9"/>
        <v>2024</v>
      </c>
      <c r="Q87" s="22">
        <v>148</v>
      </c>
      <c r="R87" s="22">
        <v>7786</v>
      </c>
      <c r="S87" s="22" t="str">
        <f t="shared" si="10"/>
        <v>USD</v>
      </c>
      <c r="T87" s="22">
        <f>R87*_xlfn.XLOOKUP(S87,AG:AG,AI:AI)</f>
        <v>7786</v>
      </c>
      <c r="U87" s="22" t="s">
        <v>26</v>
      </c>
      <c r="W87" s="9">
        <v>102</v>
      </c>
      <c r="X87" s="9" t="s">
        <v>29</v>
      </c>
      <c r="Z87">
        <v>89</v>
      </c>
      <c r="AA87">
        <v>800</v>
      </c>
      <c r="AB87" s="20" t="s">
        <v>29</v>
      </c>
      <c r="AC87" s="23">
        <f t="shared" si="11"/>
        <v>800</v>
      </c>
      <c r="AD87" s="7">
        <v>45670</v>
      </c>
    </row>
    <row r="88" spans="1:30">
      <c r="A88">
        <v>90</v>
      </c>
      <c r="B88" t="str">
        <f>_xlfn.XLOOKUP(A88,Z:Z,AB:AB,"not found")</f>
        <v>MXN</v>
      </c>
      <c r="C88">
        <f>_xlfn.XLOOKUP(A88,Z:Z,AA:AA)-_xlfn.XLOOKUP(A88,Q:Q,R:R,"0")</f>
        <v>87954</v>
      </c>
      <c r="D88">
        <f>C88*_xlfn.XLOOKUP(B88,AG:AG,AH:AH)</f>
        <v>4221.7920000000004</v>
      </c>
      <c r="E88">
        <f>C88*_xlfn.XLOOKUP(B88,AG:AG,AI:AI)</f>
        <v>4925.424</v>
      </c>
      <c r="F88">
        <v>87954</v>
      </c>
      <c r="G88">
        <f>F88*_xlfn.XLOOKUP(B88,AG:AG,AH:AH)</f>
        <v>4221.7920000000004</v>
      </c>
      <c r="H88">
        <f>F88*_xlfn.XLOOKUP(B88,AG:AG,AI:AI)</f>
        <v>4925.424</v>
      </c>
      <c r="I88">
        <f t="shared" si="6"/>
        <v>0</v>
      </c>
      <c r="J88">
        <f>I88*_xlfn.XLOOKUP(B88,AG:AG,AI:AI)</f>
        <v>0</v>
      </c>
      <c r="K88" s="7">
        <f>_xlfn.XLOOKUP(A88,Z:Z,AD:AD)</f>
        <v>45668</v>
      </c>
      <c r="L88" s="7">
        <f t="shared" si="7"/>
        <v>45638</v>
      </c>
      <c r="M88">
        <f t="shared" si="8"/>
        <v>12</v>
      </c>
      <c r="N88">
        <f t="shared" si="9"/>
        <v>2024</v>
      </c>
      <c r="Q88" s="22">
        <v>149</v>
      </c>
      <c r="R88" s="22">
        <v>16232.089999999998</v>
      </c>
      <c r="S88" s="22" t="str">
        <f t="shared" si="10"/>
        <v>USD</v>
      </c>
      <c r="T88" s="22">
        <f>R88*_xlfn.XLOOKUP(S88,AG:AG,AI:AI)</f>
        <v>16232.089999999998</v>
      </c>
      <c r="U88" s="22" t="s">
        <v>26</v>
      </c>
      <c r="W88" s="9">
        <v>104</v>
      </c>
      <c r="X88" s="9" t="s">
        <v>29</v>
      </c>
      <c r="Z88">
        <v>90</v>
      </c>
      <c r="AA88">
        <v>87954</v>
      </c>
      <c r="AB88" s="20" t="s">
        <v>28</v>
      </c>
      <c r="AC88" s="23">
        <f t="shared" si="11"/>
        <v>4925.424</v>
      </c>
      <c r="AD88" s="7">
        <v>45668</v>
      </c>
    </row>
    <row r="89" spans="1:30">
      <c r="A89">
        <v>91</v>
      </c>
      <c r="B89" t="str">
        <f>_xlfn.XLOOKUP(A89,Z:Z,AB:AB,"not found")</f>
        <v>MXN</v>
      </c>
      <c r="C89">
        <f>_xlfn.XLOOKUP(A89,Z:Z,AA:AA)-_xlfn.XLOOKUP(A89,Q:Q,R:R,"0")</f>
        <v>0</v>
      </c>
      <c r="D89">
        <f>C89*_xlfn.XLOOKUP(B89,AG:AG,AH:AH)</f>
        <v>0</v>
      </c>
      <c r="E89">
        <f>C89*_xlfn.XLOOKUP(B89,AG:AG,AI:AI)</f>
        <v>0</v>
      </c>
      <c r="F89">
        <v>9904</v>
      </c>
      <c r="G89">
        <f>F89*_xlfn.XLOOKUP(B89,AG:AG,AH:AH)</f>
        <v>475.392</v>
      </c>
      <c r="H89">
        <f>F89*_xlfn.XLOOKUP(B89,AG:AG,AI:AI)</f>
        <v>554.62400000000002</v>
      </c>
      <c r="I89">
        <f t="shared" si="6"/>
        <v>0</v>
      </c>
      <c r="J89">
        <f>I89*_xlfn.XLOOKUP(B89,AG:AG,AI:AI)</f>
        <v>0</v>
      </c>
      <c r="K89" s="7">
        <f>_xlfn.XLOOKUP(A89,Z:Z,AD:AD)</f>
        <v>45676</v>
      </c>
      <c r="L89" s="7">
        <f t="shared" si="7"/>
        <v>45646</v>
      </c>
      <c r="M89">
        <f t="shared" si="8"/>
        <v>12</v>
      </c>
      <c r="N89">
        <f t="shared" si="9"/>
        <v>2024</v>
      </c>
      <c r="Q89" s="22">
        <v>150</v>
      </c>
      <c r="R89" s="22">
        <v>2898.5</v>
      </c>
      <c r="S89" s="22" t="str">
        <f t="shared" si="10"/>
        <v>USD</v>
      </c>
      <c r="T89" s="22">
        <f>R89*_xlfn.XLOOKUP(S89,AG:AG,AI:AI)</f>
        <v>2898.5</v>
      </c>
      <c r="U89" s="22" t="s">
        <v>26</v>
      </c>
      <c r="W89" s="9">
        <v>104</v>
      </c>
      <c r="X89" s="9" t="s">
        <v>29</v>
      </c>
      <c r="Z89">
        <v>91</v>
      </c>
      <c r="AA89">
        <v>9904</v>
      </c>
      <c r="AB89" s="20" t="s">
        <v>28</v>
      </c>
      <c r="AC89" s="23">
        <f t="shared" si="11"/>
        <v>554.62400000000002</v>
      </c>
      <c r="AD89" s="7">
        <v>45676</v>
      </c>
    </row>
    <row r="90" spans="1:30">
      <c r="A90">
        <v>93</v>
      </c>
      <c r="B90" t="str">
        <f>_xlfn.XLOOKUP(A90,Z:Z,AB:AB,"not found")</f>
        <v>EUR</v>
      </c>
      <c r="C90">
        <f>_xlfn.XLOOKUP(A90,Z:Z,AA:AA)-_xlfn.XLOOKUP(A90,Q:Q,R:R,"0")</f>
        <v>0</v>
      </c>
      <c r="D90">
        <f>C90*_xlfn.XLOOKUP(B90,AG:AG,AH:AH)</f>
        <v>0</v>
      </c>
      <c r="E90">
        <f>C90*_xlfn.XLOOKUP(B90,AG:AG,AI:AI)</f>
        <v>0</v>
      </c>
      <c r="F90">
        <v>4440</v>
      </c>
      <c r="G90">
        <f>F90*_xlfn.XLOOKUP(B90,AG:AG,AH:AH)</f>
        <v>4440</v>
      </c>
      <c r="H90">
        <f>F90*_xlfn.XLOOKUP(B90,AG:AG,AI:AI)</f>
        <v>5150.3999999999996</v>
      </c>
      <c r="I90">
        <f t="shared" si="6"/>
        <v>0</v>
      </c>
      <c r="J90">
        <f>I90*_xlfn.XLOOKUP(B90,AG:AG,AI:AI)</f>
        <v>0</v>
      </c>
      <c r="K90" s="7">
        <f>_xlfn.XLOOKUP(A90,Z:Z,AD:AD)</f>
        <v>45674</v>
      </c>
      <c r="L90" s="7">
        <f t="shared" si="7"/>
        <v>45644</v>
      </c>
      <c r="M90">
        <f t="shared" si="8"/>
        <v>12</v>
      </c>
      <c r="N90">
        <f t="shared" si="9"/>
        <v>2024</v>
      </c>
      <c r="Q90" s="22">
        <v>151</v>
      </c>
      <c r="R90" s="22">
        <v>29132.639999999999</v>
      </c>
      <c r="S90" s="22" t="str">
        <f t="shared" si="10"/>
        <v>EUR</v>
      </c>
      <c r="T90" s="22">
        <f>R90*_xlfn.XLOOKUP(S90,AG:AG,AI:AI)</f>
        <v>33793.862399999998</v>
      </c>
      <c r="U90" s="22" t="s">
        <v>26</v>
      </c>
      <c r="W90" s="9">
        <v>105</v>
      </c>
      <c r="X90" s="9" t="s">
        <v>29</v>
      </c>
      <c r="Z90">
        <v>93</v>
      </c>
      <c r="AA90">
        <v>4440</v>
      </c>
      <c r="AB90" s="20" t="s">
        <v>27</v>
      </c>
      <c r="AC90" s="23">
        <f t="shared" si="11"/>
        <v>5150.3999999999996</v>
      </c>
      <c r="AD90" s="7">
        <v>45674</v>
      </c>
    </row>
    <row r="91" spans="1:30">
      <c r="A91">
        <v>94</v>
      </c>
      <c r="B91" t="str">
        <f>_xlfn.XLOOKUP(A91,Z:Z,AB:AB,"not found")</f>
        <v>MXN</v>
      </c>
      <c r="C91">
        <f>_xlfn.XLOOKUP(A91,Z:Z,AA:AA)-_xlfn.XLOOKUP(A91,Q:Q,R:R,"0")</f>
        <v>0</v>
      </c>
      <c r="D91">
        <f>C91*_xlfn.XLOOKUP(B91,AG:AG,AH:AH)</f>
        <v>0</v>
      </c>
      <c r="E91">
        <f>C91*_xlfn.XLOOKUP(B91,AG:AG,AI:AI)</f>
        <v>0</v>
      </c>
      <c r="F91">
        <v>135027</v>
      </c>
      <c r="G91">
        <f>F91*_xlfn.XLOOKUP(B91,AG:AG,AH:AH)</f>
        <v>6481.2960000000003</v>
      </c>
      <c r="H91">
        <f>F91*_xlfn.XLOOKUP(B91,AG:AG,AI:AI)</f>
        <v>7561.5119999999997</v>
      </c>
      <c r="I91">
        <f t="shared" si="6"/>
        <v>0</v>
      </c>
      <c r="J91">
        <f>I91*_xlfn.XLOOKUP(B91,AG:AG,AI:AI)</f>
        <v>0</v>
      </c>
      <c r="K91" s="7">
        <f>_xlfn.XLOOKUP(A91,Z:Z,AD:AD)</f>
        <v>45690</v>
      </c>
      <c r="L91" s="7">
        <f t="shared" si="7"/>
        <v>45660</v>
      </c>
      <c r="M91">
        <f t="shared" si="8"/>
        <v>1</v>
      </c>
      <c r="N91">
        <f t="shared" si="9"/>
        <v>2025</v>
      </c>
      <c r="Q91" s="22">
        <v>153</v>
      </c>
      <c r="R91" s="22">
        <v>355.5</v>
      </c>
      <c r="S91" s="22" t="str">
        <f t="shared" si="10"/>
        <v>USD</v>
      </c>
      <c r="T91" s="22">
        <f>R91*_xlfn.XLOOKUP(S91,AG:AG,AI:AI)</f>
        <v>355.5</v>
      </c>
      <c r="U91" s="22" t="s">
        <v>26</v>
      </c>
      <c r="W91" s="9">
        <v>106</v>
      </c>
      <c r="X91" s="9" t="s">
        <v>29</v>
      </c>
      <c r="Z91">
        <v>94</v>
      </c>
      <c r="AA91">
        <v>135027</v>
      </c>
      <c r="AB91" s="20" t="s">
        <v>28</v>
      </c>
      <c r="AC91" s="23">
        <f t="shared" si="11"/>
        <v>7561.5119999999997</v>
      </c>
      <c r="AD91" s="7">
        <v>45690</v>
      </c>
    </row>
    <row r="92" spans="1:30">
      <c r="A92">
        <v>95</v>
      </c>
      <c r="B92" t="str">
        <f>_xlfn.XLOOKUP(A92,Z:Z,AB:AB,"not found")</f>
        <v>MXN</v>
      </c>
      <c r="C92">
        <f>_xlfn.XLOOKUP(A92,Z:Z,AA:AA)-_xlfn.XLOOKUP(A92,Q:Q,R:R,"0")</f>
        <v>0</v>
      </c>
      <c r="D92">
        <f>C92*_xlfn.XLOOKUP(B92,AG:AG,AH:AH)</f>
        <v>0</v>
      </c>
      <c r="E92">
        <f>C92*_xlfn.XLOOKUP(B92,AG:AG,AI:AI)</f>
        <v>0</v>
      </c>
      <c r="F92">
        <v>23614.400000000001</v>
      </c>
      <c r="G92">
        <f>F92*_xlfn.XLOOKUP(B92,AG:AG,AH:AH)</f>
        <v>1133.4912000000002</v>
      </c>
      <c r="H92">
        <f>F92*_xlfn.XLOOKUP(B92,AG:AG,AI:AI)</f>
        <v>1322.4064000000001</v>
      </c>
      <c r="I92">
        <f t="shared" si="6"/>
        <v>0</v>
      </c>
      <c r="J92">
        <f>I92*_xlfn.XLOOKUP(B92,AG:AG,AI:AI)</f>
        <v>0</v>
      </c>
      <c r="K92" s="7">
        <f>_xlfn.XLOOKUP(A92,Z:Z,AD:AD)</f>
        <v>45689</v>
      </c>
      <c r="L92" s="7">
        <f t="shared" si="7"/>
        <v>45659</v>
      </c>
      <c r="M92">
        <f t="shared" si="8"/>
        <v>1</v>
      </c>
      <c r="N92">
        <f t="shared" si="9"/>
        <v>2025</v>
      </c>
      <c r="Q92" s="22">
        <v>161</v>
      </c>
      <c r="R92" s="22">
        <v>6724</v>
      </c>
      <c r="S92" s="22" t="str">
        <f t="shared" si="10"/>
        <v>USD</v>
      </c>
      <c r="T92" s="22">
        <f>R92*_xlfn.XLOOKUP(S92,AG:AG,AI:AI)</f>
        <v>6724</v>
      </c>
      <c r="U92" s="22" t="s">
        <v>26</v>
      </c>
      <c r="W92" s="9">
        <v>107</v>
      </c>
      <c r="X92" s="9" t="s">
        <v>29</v>
      </c>
      <c r="Z92">
        <v>95</v>
      </c>
      <c r="AA92">
        <v>23614.400000000001</v>
      </c>
      <c r="AB92" s="20" t="s">
        <v>28</v>
      </c>
      <c r="AC92" s="23">
        <f t="shared" si="11"/>
        <v>1322.4064000000001</v>
      </c>
      <c r="AD92" s="7">
        <v>45689</v>
      </c>
    </row>
    <row r="93" spans="1:30">
      <c r="A93">
        <v>96</v>
      </c>
      <c r="B93" t="str">
        <f>_xlfn.XLOOKUP(A93,Z:Z,AB:AB,"not found")</f>
        <v>EUR</v>
      </c>
      <c r="C93">
        <f>_xlfn.XLOOKUP(A93,Z:Z,AA:AA)-_xlfn.XLOOKUP(A93,Q:Q,R:R,"0")</f>
        <v>17010</v>
      </c>
      <c r="D93">
        <f>C93*_xlfn.XLOOKUP(B93,AG:AG,AH:AH)</f>
        <v>17010</v>
      </c>
      <c r="E93">
        <f>C93*_xlfn.XLOOKUP(B93,AG:AG,AI:AI)</f>
        <v>19731.599999999999</v>
      </c>
      <c r="F93">
        <v>17010</v>
      </c>
      <c r="G93">
        <f>F93*_xlfn.XLOOKUP(B93,AG:AG,AH:AH)</f>
        <v>17010</v>
      </c>
      <c r="H93">
        <f>F93*_xlfn.XLOOKUP(B93,AG:AG,AI:AI)</f>
        <v>19731.599999999999</v>
      </c>
      <c r="I93">
        <f t="shared" si="6"/>
        <v>0</v>
      </c>
      <c r="J93">
        <f>I93*_xlfn.XLOOKUP(B93,AG:AG,AI:AI)</f>
        <v>0</v>
      </c>
      <c r="K93" s="7">
        <f>_xlfn.XLOOKUP(A93,Z:Z,AD:AD)</f>
        <v>45834</v>
      </c>
      <c r="L93" s="7">
        <f t="shared" si="7"/>
        <v>45804</v>
      </c>
      <c r="M93">
        <f t="shared" si="8"/>
        <v>5</v>
      </c>
      <c r="N93">
        <f t="shared" si="9"/>
        <v>2025</v>
      </c>
      <c r="Q93" s="22">
        <v>162</v>
      </c>
      <c r="R93" s="22">
        <v>5106.96</v>
      </c>
      <c r="S93" s="22" t="str">
        <f t="shared" si="10"/>
        <v>USD</v>
      </c>
      <c r="T93" s="22">
        <f>R93*_xlfn.XLOOKUP(S93,AG:AG,AI:AI)</f>
        <v>5106.96</v>
      </c>
      <c r="U93" s="22" t="s">
        <v>26</v>
      </c>
      <c r="W93" s="9">
        <v>108</v>
      </c>
      <c r="X93" s="9" t="s">
        <v>29</v>
      </c>
      <c r="Z93">
        <v>96</v>
      </c>
      <c r="AA93">
        <v>17010</v>
      </c>
      <c r="AB93" s="20" t="s">
        <v>27</v>
      </c>
      <c r="AC93" s="23">
        <f t="shared" si="11"/>
        <v>19731.599999999999</v>
      </c>
      <c r="AD93" s="7">
        <v>45834</v>
      </c>
    </row>
    <row r="94" spans="1:30">
      <c r="A94">
        <v>97</v>
      </c>
      <c r="B94" t="str">
        <f>_xlfn.XLOOKUP(A94,Z:Z,AB:AB,"not found")</f>
        <v>EUR</v>
      </c>
      <c r="C94">
        <f>_xlfn.XLOOKUP(A94,Z:Z,AA:AA)-_xlfn.XLOOKUP(A94,Q:Q,R:R,"0")</f>
        <v>0</v>
      </c>
      <c r="D94">
        <f>C94*_xlfn.XLOOKUP(B94,AG:AG,AH:AH)</f>
        <v>0</v>
      </c>
      <c r="E94">
        <f>C94*_xlfn.XLOOKUP(B94,AG:AG,AI:AI)</f>
        <v>0</v>
      </c>
      <c r="F94">
        <v>494.4</v>
      </c>
      <c r="G94">
        <f>F94*_xlfn.XLOOKUP(B94,AG:AG,AH:AH)</f>
        <v>494.4</v>
      </c>
      <c r="H94">
        <f>F94*_xlfn.XLOOKUP(B94,AG:AG,AI:AI)</f>
        <v>573.50399999999991</v>
      </c>
      <c r="I94">
        <f t="shared" si="6"/>
        <v>0</v>
      </c>
      <c r="J94">
        <f>I94*_xlfn.XLOOKUP(B94,AG:AG,AI:AI)</f>
        <v>0</v>
      </c>
      <c r="K94" s="7">
        <f>_xlfn.XLOOKUP(A94,Z:Z,AD:AD)</f>
        <v>45703</v>
      </c>
      <c r="L94" s="7">
        <f t="shared" si="7"/>
        <v>45673</v>
      </c>
      <c r="M94">
        <f t="shared" si="8"/>
        <v>1</v>
      </c>
      <c r="N94">
        <f t="shared" si="9"/>
        <v>2025</v>
      </c>
      <c r="Q94" s="22">
        <v>163</v>
      </c>
      <c r="R94" s="22">
        <v>35653.269999999997</v>
      </c>
      <c r="S94" s="22" t="str">
        <f t="shared" si="10"/>
        <v>EUR</v>
      </c>
      <c r="T94" s="22">
        <f>R94*_xlfn.XLOOKUP(S94,AG:AG,AI:AI)</f>
        <v>41357.793199999993</v>
      </c>
      <c r="U94" s="22" t="s">
        <v>26</v>
      </c>
      <c r="W94" s="9">
        <v>109</v>
      </c>
      <c r="X94" s="9" t="s">
        <v>28</v>
      </c>
      <c r="Z94">
        <v>97</v>
      </c>
      <c r="AA94">
        <v>494.4</v>
      </c>
      <c r="AB94" s="20" t="s">
        <v>27</v>
      </c>
      <c r="AC94" s="23">
        <f t="shared" si="11"/>
        <v>573.50399999999991</v>
      </c>
      <c r="AD94" s="7">
        <v>45703</v>
      </c>
    </row>
    <row r="95" spans="1:30">
      <c r="A95">
        <v>98</v>
      </c>
      <c r="B95" t="str">
        <f>_xlfn.XLOOKUP(A95,Z:Z,AB:AB,"not found")</f>
        <v>EUR</v>
      </c>
      <c r="C95">
        <f>_xlfn.XLOOKUP(A95,Z:Z,AA:AA)-_xlfn.XLOOKUP(A95,Q:Q,R:R,"0")</f>
        <v>23592.950000000004</v>
      </c>
      <c r="D95">
        <f>C95*_xlfn.XLOOKUP(B95,AG:AG,AH:AH)</f>
        <v>23592.950000000004</v>
      </c>
      <c r="E95">
        <f>C95*_xlfn.XLOOKUP(B95,AG:AG,AI:AI)</f>
        <v>27367.822000000004</v>
      </c>
      <c r="F95">
        <v>57490.44</v>
      </c>
      <c r="G95">
        <f>F95*_xlfn.XLOOKUP(B95,AG:AG,AH:AH)</f>
        <v>57490.44</v>
      </c>
      <c r="H95">
        <f>F95*_xlfn.XLOOKUP(B95,AG:AG,AI:AI)</f>
        <v>66688.910399999993</v>
      </c>
      <c r="I95">
        <f t="shared" si="6"/>
        <v>0</v>
      </c>
      <c r="J95">
        <f>I95*_xlfn.XLOOKUP(B95,AG:AG,AI:AI)</f>
        <v>0</v>
      </c>
      <c r="K95" s="7">
        <f>_xlfn.XLOOKUP(A95,Z:Z,AD:AD)</f>
        <v>45759</v>
      </c>
      <c r="L95" s="7">
        <f t="shared" si="7"/>
        <v>45729</v>
      </c>
      <c r="M95">
        <f t="shared" si="8"/>
        <v>3</v>
      </c>
      <c r="N95">
        <f t="shared" si="9"/>
        <v>2025</v>
      </c>
      <c r="Q95" s="22">
        <v>164</v>
      </c>
      <c r="R95" s="22">
        <v>3445.65</v>
      </c>
      <c r="S95" s="22" t="str">
        <f t="shared" si="10"/>
        <v>EUR</v>
      </c>
      <c r="T95" s="22">
        <f>R95*_xlfn.XLOOKUP(S95,AG:AG,AI:AI)</f>
        <v>3996.9539999999997</v>
      </c>
      <c r="U95" s="22" t="s">
        <v>26</v>
      </c>
      <c r="W95" s="9">
        <v>110</v>
      </c>
      <c r="X95" s="9" t="s">
        <v>29</v>
      </c>
      <c r="Z95">
        <v>98</v>
      </c>
      <c r="AA95">
        <v>57490.44</v>
      </c>
      <c r="AB95" s="20" t="s">
        <v>27</v>
      </c>
      <c r="AC95" s="23">
        <f t="shared" si="11"/>
        <v>66688.910399999993</v>
      </c>
      <c r="AD95" s="7">
        <v>45759</v>
      </c>
    </row>
    <row r="96" spans="1:30">
      <c r="A96">
        <v>99</v>
      </c>
      <c r="B96" t="str">
        <f>_xlfn.XLOOKUP(A96,Z:Z,AB:AB,"not found")</f>
        <v>EUR</v>
      </c>
      <c r="C96">
        <f>_xlfn.XLOOKUP(A96,Z:Z,AA:AA)-_xlfn.XLOOKUP(A96,Q:Q,R:R,"0")</f>
        <v>0</v>
      </c>
      <c r="D96">
        <f>C96*_xlfn.XLOOKUP(B96,AG:AG,AH:AH)</f>
        <v>0</v>
      </c>
      <c r="E96">
        <f>C96*_xlfn.XLOOKUP(B96,AG:AG,AI:AI)</f>
        <v>0</v>
      </c>
      <c r="F96">
        <v>26938.799999999999</v>
      </c>
      <c r="G96">
        <f>F96*_xlfn.XLOOKUP(B96,AG:AG,AH:AH)</f>
        <v>26938.799999999999</v>
      </c>
      <c r="H96">
        <f>F96*_xlfn.XLOOKUP(B96,AG:AG,AI:AI)</f>
        <v>31249.007999999998</v>
      </c>
      <c r="I96">
        <f t="shared" si="6"/>
        <v>0</v>
      </c>
      <c r="J96">
        <f>I96*_xlfn.XLOOKUP(B96,AG:AG,AI:AI)</f>
        <v>0</v>
      </c>
      <c r="K96" s="7">
        <f>_xlfn.XLOOKUP(A96,Z:Z,AD:AD)</f>
        <v>45661</v>
      </c>
      <c r="L96" s="7">
        <f t="shared" si="7"/>
        <v>45631</v>
      </c>
      <c r="M96">
        <f t="shared" si="8"/>
        <v>12</v>
      </c>
      <c r="N96">
        <f t="shared" si="9"/>
        <v>2024</v>
      </c>
      <c r="Q96" s="22">
        <v>165</v>
      </c>
      <c r="R96" s="22">
        <v>2277.39</v>
      </c>
      <c r="S96" s="22" t="str">
        <f t="shared" si="10"/>
        <v>USD</v>
      </c>
      <c r="T96" s="22">
        <f>R96*_xlfn.XLOOKUP(S96,AG:AG,AI:AI)</f>
        <v>2277.39</v>
      </c>
      <c r="U96" s="22" t="s">
        <v>26</v>
      </c>
      <c r="W96" s="9">
        <v>111</v>
      </c>
      <c r="X96" s="9" t="s">
        <v>32</v>
      </c>
      <c r="Z96">
        <v>99</v>
      </c>
      <c r="AA96">
        <v>26938.799999999999</v>
      </c>
      <c r="AB96" s="20" t="s">
        <v>27</v>
      </c>
      <c r="AC96" s="23">
        <f t="shared" si="11"/>
        <v>31249.007999999998</v>
      </c>
      <c r="AD96" s="7">
        <v>45661</v>
      </c>
    </row>
    <row r="97" spans="1:30">
      <c r="A97">
        <v>100</v>
      </c>
      <c r="B97" t="str">
        <f>_xlfn.XLOOKUP(A97,Z:Z,AB:AB,"not found")</f>
        <v>USD</v>
      </c>
      <c r="C97">
        <f>_xlfn.XLOOKUP(A97,Z:Z,AA:AA)-_xlfn.XLOOKUP(A97,Q:Q,R:R,"0")</f>
        <v>8991</v>
      </c>
      <c r="D97">
        <f>C97*_xlfn.XLOOKUP(B97,AG:AG,AH:AH)</f>
        <v>7732.26</v>
      </c>
      <c r="E97">
        <f>C97*_xlfn.XLOOKUP(B97,AG:AG,AI:AI)</f>
        <v>8991</v>
      </c>
      <c r="F97">
        <v>13574</v>
      </c>
      <c r="G97">
        <f>F97*_xlfn.XLOOKUP(B97,AG:AG,AH:AH)</f>
        <v>11673.64</v>
      </c>
      <c r="H97">
        <f>F97*_xlfn.XLOOKUP(B97,AG:AG,AI:AI)</f>
        <v>13574</v>
      </c>
      <c r="I97">
        <f t="shared" si="6"/>
        <v>0</v>
      </c>
      <c r="J97">
        <f>I97*_xlfn.XLOOKUP(B97,AG:AG,AI:AI)</f>
        <v>0</v>
      </c>
      <c r="K97" s="7">
        <f>_xlfn.XLOOKUP(A97,Z:Z,AD:AD)</f>
        <v>45829</v>
      </c>
      <c r="L97" s="7">
        <f t="shared" si="7"/>
        <v>45799</v>
      </c>
      <c r="M97">
        <f t="shared" si="8"/>
        <v>5</v>
      </c>
      <c r="N97">
        <f t="shared" si="9"/>
        <v>2025</v>
      </c>
      <c r="Q97" s="22">
        <v>167</v>
      </c>
      <c r="R97" s="22">
        <v>2611.4299999999998</v>
      </c>
      <c r="S97" s="22" t="str">
        <f t="shared" si="10"/>
        <v>USD</v>
      </c>
      <c r="T97" s="22">
        <f>R97*_xlfn.XLOOKUP(S97,AG:AG,AI:AI)</f>
        <v>2611.4299999999998</v>
      </c>
      <c r="U97" s="22" t="s">
        <v>26</v>
      </c>
      <c r="W97" s="9">
        <v>111</v>
      </c>
      <c r="X97" s="9" t="s">
        <v>32</v>
      </c>
      <c r="Z97">
        <v>100</v>
      </c>
      <c r="AA97">
        <v>13574</v>
      </c>
      <c r="AB97" s="20" t="s">
        <v>29</v>
      </c>
      <c r="AC97" s="23">
        <f t="shared" si="11"/>
        <v>13574</v>
      </c>
      <c r="AD97" s="7">
        <v>45829</v>
      </c>
    </row>
    <row r="98" spans="1:30">
      <c r="A98">
        <v>101</v>
      </c>
      <c r="B98" t="str">
        <f>_xlfn.XLOOKUP(A98,Z:Z,AB:AB,"not found")</f>
        <v>USD</v>
      </c>
      <c r="C98">
        <f>_xlfn.XLOOKUP(A98,Z:Z,AA:AA)-_xlfn.XLOOKUP(A98,Q:Q,R:R,"0")</f>
        <v>43259.77</v>
      </c>
      <c r="D98">
        <f>C98*_xlfn.XLOOKUP(B98,AG:AG,AH:AH)</f>
        <v>37203.402199999997</v>
      </c>
      <c r="E98">
        <f>C98*_xlfn.XLOOKUP(B98,AG:AG,AI:AI)</f>
        <v>43259.77</v>
      </c>
      <c r="F98">
        <v>43259.77</v>
      </c>
      <c r="G98">
        <f>F98*_xlfn.XLOOKUP(B98,AG:AG,AH:AH)</f>
        <v>37203.402199999997</v>
      </c>
      <c r="H98">
        <f>F98*_xlfn.XLOOKUP(B98,AG:AG,AI:AI)</f>
        <v>43259.77</v>
      </c>
      <c r="I98">
        <f t="shared" si="6"/>
        <v>0</v>
      </c>
      <c r="J98">
        <f>I98*_xlfn.XLOOKUP(B98,AG:AG,AI:AI)</f>
        <v>0</v>
      </c>
      <c r="K98" s="7">
        <f>_xlfn.XLOOKUP(A98,Z:Z,AD:AD)</f>
        <v>45787</v>
      </c>
      <c r="L98" s="7">
        <f t="shared" si="7"/>
        <v>45757</v>
      </c>
      <c r="M98">
        <f t="shared" si="8"/>
        <v>4</v>
      </c>
      <c r="N98">
        <f t="shared" si="9"/>
        <v>2025</v>
      </c>
      <c r="Q98" s="22">
        <v>168</v>
      </c>
      <c r="R98" s="22">
        <v>7312.54</v>
      </c>
      <c r="S98" s="22" t="str">
        <f t="shared" si="10"/>
        <v>USD</v>
      </c>
      <c r="T98" s="22">
        <f>R98*_xlfn.XLOOKUP(S98,AG:AG,AI:AI)</f>
        <v>7312.54</v>
      </c>
      <c r="U98" s="22" t="s">
        <v>26</v>
      </c>
      <c r="W98" s="9">
        <v>111</v>
      </c>
      <c r="X98" s="9" t="s">
        <v>32</v>
      </c>
      <c r="Z98">
        <v>101</v>
      </c>
      <c r="AA98">
        <v>43259.77</v>
      </c>
      <c r="AB98" s="20" t="s">
        <v>29</v>
      </c>
      <c r="AC98" s="23">
        <f t="shared" si="11"/>
        <v>43259.77</v>
      </c>
      <c r="AD98" s="7">
        <v>45787</v>
      </c>
    </row>
    <row r="99" spans="1:30">
      <c r="A99">
        <v>102</v>
      </c>
      <c r="B99" t="str">
        <f>_xlfn.XLOOKUP(A99,Z:Z,AB:AB,"not found")</f>
        <v>USD</v>
      </c>
      <c r="C99">
        <f>_xlfn.XLOOKUP(A99,Z:Z,AA:AA)-_xlfn.XLOOKUP(A99,Q:Q,R:R,"0")</f>
        <v>54070.2</v>
      </c>
      <c r="D99">
        <f>C99*_xlfn.XLOOKUP(B99,AG:AG,AH:AH)</f>
        <v>46500.371999999996</v>
      </c>
      <c r="E99">
        <f>C99*_xlfn.XLOOKUP(B99,AG:AG,AI:AI)</f>
        <v>54070.2</v>
      </c>
      <c r="F99">
        <v>63049.4</v>
      </c>
      <c r="G99">
        <f>F99*_xlfn.XLOOKUP(B99,AG:AG,AH:AH)</f>
        <v>54222.484000000004</v>
      </c>
      <c r="H99">
        <f>F99*_xlfn.XLOOKUP(B99,AG:AG,AI:AI)</f>
        <v>63049.4</v>
      </c>
      <c r="I99">
        <f t="shared" si="6"/>
        <v>0</v>
      </c>
      <c r="J99">
        <f>I99*_xlfn.XLOOKUP(B99,AG:AG,AI:AI)</f>
        <v>0</v>
      </c>
      <c r="K99" s="7">
        <f>_xlfn.XLOOKUP(A99,Z:Z,AD:AD)</f>
        <v>45678</v>
      </c>
      <c r="L99" s="7">
        <f t="shared" si="7"/>
        <v>45648</v>
      </c>
      <c r="M99">
        <f t="shared" si="8"/>
        <v>12</v>
      </c>
      <c r="N99">
        <f t="shared" si="9"/>
        <v>2024</v>
      </c>
      <c r="Q99" s="22">
        <v>170</v>
      </c>
      <c r="R99" s="22">
        <v>31657.67</v>
      </c>
      <c r="S99" s="22" t="str">
        <f t="shared" si="10"/>
        <v>EUR</v>
      </c>
      <c r="T99" s="22">
        <f>R99*_xlfn.XLOOKUP(S99,AG:AG,AI:AI)</f>
        <v>36722.897199999992</v>
      </c>
      <c r="U99" s="22" t="s">
        <v>26</v>
      </c>
      <c r="W99" s="9">
        <v>111</v>
      </c>
      <c r="X99" s="9" t="s">
        <v>32</v>
      </c>
      <c r="Z99">
        <v>102</v>
      </c>
      <c r="AA99">
        <v>63049.4</v>
      </c>
      <c r="AB99" s="20" t="s">
        <v>29</v>
      </c>
      <c r="AC99" s="23">
        <f t="shared" si="11"/>
        <v>63049.4</v>
      </c>
      <c r="AD99" s="7">
        <v>45678</v>
      </c>
    </row>
    <row r="100" spans="1:30">
      <c r="A100">
        <v>103</v>
      </c>
      <c r="B100" t="str">
        <f>_xlfn.XLOOKUP(A100,Z:Z,AB:AB,"not found")</f>
        <v>USD</v>
      </c>
      <c r="C100">
        <f>_xlfn.XLOOKUP(A100,Z:Z,AA:AA)-_xlfn.XLOOKUP(A100,Q:Q,R:R,"0")</f>
        <v>9011.2000000000007</v>
      </c>
      <c r="D100">
        <f>C100*_xlfn.XLOOKUP(B100,AG:AG,AH:AH)</f>
        <v>7749.6320000000005</v>
      </c>
      <c r="E100">
        <f>C100*_xlfn.XLOOKUP(B100,AG:AG,AI:AI)</f>
        <v>9011.2000000000007</v>
      </c>
      <c r="F100">
        <v>9011.2000000000007</v>
      </c>
      <c r="G100">
        <f>F100*_xlfn.XLOOKUP(B100,AG:AG,AH:AH)</f>
        <v>7749.6320000000005</v>
      </c>
      <c r="H100">
        <f>F100*_xlfn.XLOOKUP(B100,AG:AG,AI:AI)</f>
        <v>9011.2000000000007</v>
      </c>
      <c r="I100">
        <f t="shared" si="6"/>
        <v>0</v>
      </c>
      <c r="J100">
        <f>I100*_xlfn.XLOOKUP(B100,AG:AG,AI:AI)</f>
        <v>0</v>
      </c>
      <c r="K100" s="7">
        <f>_xlfn.XLOOKUP(A100,Z:Z,AD:AD)</f>
        <v>45699</v>
      </c>
      <c r="L100" s="7">
        <f t="shared" si="7"/>
        <v>45669</v>
      </c>
      <c r="M100">
        <f t="shared" si="8"/>
        <v>1</v>
      </c>
      <c r="N100">
        <f t="shared" si="9"/>
        <v>2025</v>
      </c>
      <c r="Q100" s="22">
        <v>171</v>
      </c>
      <c r="R100" s="22">
        <v>5992.4400000000005</v>
      </c>
      <c r="S100" s="22" t="str">
        <f t="shared" si="10"/>
        <v>USD</v>
      </c>
      <c r="T100" s="22">
        <f>R100*_xlfn.XLOOKUP(S100,AG:AG,AI:AI)</f>
        <v>5992.4400000000005</v>
      </c>
      <c r="U100" s="22" t="s">
        <v>26</v>
      </c>
      <c r="W100" s="9">
        <v>113</v>
      </c>
      <c r="X100" s="9" t="s">
        <v>29</v>
      </c>
      <c r="Z100">
        <v>103</v>
      </c>
      <c r="AA100">
        <v>9011.2000000000007</v>
      </c>
      <c r="AB100" s="20" t="s">
        <v>29</v>
      </c>
      <c r="AC100" s="23">
        <f t="shared" si="11"/>
        <v>9011.2000000000007</v>
      </c>
      <c r="AD100" s="7">
        <v>45699</v>
      </c>
    </row>
    <row r="101" spans="1:30">
      <c r="A101">
        <v>104</v>
      </c>
      <c r="B101" t="str">
        <f>_xlfn.XLOOKUP(A101,Z:Z,AB:AB,"not found")</f>
        <v>USD</v>
      </c>
      <c r="C101">
        <f>_xlfn.XLOOKUP(A101,Z:Z,AA:AA)-_xlfn.XLOOKUP(A101,Q:Q,R:R,"0")</f>
        <v>0</v>
      </c>
      <c r="D101">
        <f>C101*_xlfn.XLOOKUP(B101,AG:AG,AH:AH)</f>
        <v>0</v>
      </c>
      <c r="E101">
        <f>C101*_xlfn.XLOOKUP(B101,AG:AG,AI:AI)</f>
        <v>0</v>
      </c>
      <c r="F101">
        <v>15213.21</v>
      </c>
      <c r="G101">
        <f>F101*_xlfn.XLOOKUP(B101,AG:AG,AH:AH)</f>
        <v>13083.360599999998</v>
      </c>
      <c r="H101">
        <f>F101*_xlfn.XLOOKUP(B101,AG:AG,AI:AI)</f>
        <v>15213.21</v>
      </c>
      <c r="I101">
        <f t="shared" si="6"/>
        <v>0</v>
      </c>
      <c r="J101">
        <f>I101*_xlfn.XLOOKUP(B101,AG:AG,AI:AI)</f>
        <v>0</v>
      </c>
      <c r="K101" s="7">
        <f>_xlfn.XLOOKUP(A101,Z:Z,AD:AD)</f>
        <v>45700</v>
      </c>
      <c r="L101" s="7">
        <f t="shared" si="7"/>
        <v>45670</v>
      </c>
      <c r="M101">
        <f t="shared" si="8"/>
        <v>1</v>
      </c>
      <c r="N101">
        <f t="shared" si="9"/>
        <v>2025</v>
      </c>
      <c r="Q101" s="22">
        <v>172</v>
      </c>
      <c r="R101" s="22">
        <v>17256.21</v>
      </c>
      <c r="S101" s="22" t="str">
        <f t="shared" si="10"/>
        <v>USD</v>
      </c>
      <c r="T101" s="22">
        <f>R101*_xlfn.XLOOKUP(S101,AG:AG,AI:AI)</f>
        <v>17256.21</v>
      </c>
      <c r="U101" s="22" t="s">
        <v>26</v>
      </c>
      <c r="W101" s="9">
        <v>113</v>
      </c>
      <c r="X101" s="9" t="s">
        <v>29</v>
      </c>
      <c r="Z101">
        <v>104</v>
      </c>
      <c r="AA101">
        <v>15213.21</v>
      </c>
      <c r="AB101" s="20" t="s">
        <v>29</v>
      </c>
      <c r="AC101" s="23">
        <f t="shared" si="11"/>
        <v>15213.21</v>
      </c>
      <c r="AD101" s="7">
        <v>45700</v>
      </c>
    </row>
    <row r="102" spans="1:30">
      <c r="A102">
        <v>105</v>
      </c>
      <c r="B102" t="str">
        <f>_xlfn.XLOOKUP(A102,Z:Z,AB:AB,"not found")</f>
        <v>USD</v>
      </c>
      <c r="C102">
        <f>_xlfn.XLOOKUP(A102,Z:Z,AA:AA)-_xlfn.XLOOKUP(A102,Q:Q,R:R,"0")</f>
        <v>0</v>
      </c>
      <c r="D102">
        <f>C102*_xlfn.XLOOKUP(B102,AG:AG,AH:AH)</f>
        <v>0</v>
      </c>
      <c r="E102">
        <f>C102*_xlfn.XLOOKUP(B102,AG:AG,AI:AI)</f>
        <v>0</v>
      </c>
      <c r="F102">
        <v>268</v>
      </c>
      <c r="G102">
        <f>F102*_xlfn.XLOOKUP(B102,AG:AG,AH:AH)</f>
        <v>230.48</v>
      </c>
      <c r="H102">
        <f>F102*_xlfn.XLOOKUP(B102,AG:AG,AI:AI)</f>
        <v>268</v>
      </c>
      <c r="I102">
        <f t="shared" si="6"/>
        <v>0</v>
      </c>
      <c r="J102">
        <f>I102*_xlfn.XLOOKUP(B102,AG:AG,AI:AI)</f>
        <v>0</v>
      </c>
      <c r="K102" s="7">
        <f>_xlfn.XLOOKUP(A102,Z:Z,AD:AD)</f>
        <v>45674</v>
      </c>
      <c r="L102" s="7">
        <f t="shared" si="7"/>
        <v>45644</v>
      </c>
      <c r="M102">
        <f t="shared" si="8"/>
        <v>12</v>
      </c>
      <c r="N102">
        <f t="shared" si="9"/>
        <v>2024</v>
      </c>
      <c r="Q102" s="22">
        <v>173</v>
      </c>
      <c r="R102" s="22">
        <v>11952.239999999998</v>
      </c>
      <c r="S102" s="22" t="str">
        <f t="shared" si="10"/>
        <v>USD</v>
      </c>
      <c r="T102" s="22">
        <f>R102*_xlfn.XLOOKUP(S102,AG:AG,AI:AI)</f>
        <v>11952.239999999998</v>
      </c>
      <c r="U102" s="22" t="s">
        <v>26</v>
      </c>
      <c r="W102" s="9">
        <v>114</v>
      </c>
      <c r="X102" s="9" t="s">
        <v>28</v>
      </c>
      <c r="Z102">
        <v>105</v>
      </c>
      <c r="AA102">
        <v>268</v>
      </c>
      <c r="AB102" s="20" t="s">
        <v>29</v>
      </c>
      <c r="AC102" s="23">
        <f t="shared" si="11"/>
        <v>268</v>
      </c>
      <c r="AD102" s="7">
        <v>45674</v>
      </c>
    </row>
    <row r="103" spans="1:30">
      <c r="A103">
        <v>106</v>
      </c>
      <c r="B103" t="str">
        <f>_xlfn.XLOOKUP(A103,Z:Z,AB:AB,"not found")</f>
        <v>USD</v>
      </c>
      <c r="C103">
        <f>_xlfn.XLOOKUP(A103,Z:Z,AA:AA)-_xlfn.XLOOKUP(A103,Q:Q,R:R,"0")</f>
        <v>0</v>
      </c>
      <c r="D103">
        <f>C103*_xlfn.XLOOKUP(B103,AG:AG,AH:AH)</f>
        <v>0</v>
      </c>
      <c r="E103">
        <f>C103*_xlfn.XLOOKUP(B103,AG:AG,AI:AI)</f>
        <v>0</v>
      </c>
      <c r="F103">
        <v>268</v>
      </c>
      <c r="G103">
        <f>F103*_xlfn.XLOOKUP(B103,AG:AG,AH:AH)</f>
        <v>230.48</v>
      </c>
      <c r="H103">
        <f>F103*_xlfn.XLOOKUP(B103,AG:AG,AI:AI)</f>
        <v>268</v>
      </c>
      <c r="I103">
        <f t="shared" si="6"/>
        <v>0</v>
      </c>
      <c r="J103">
        <f>I103*_xlfn.XLOOKUP(B103,AG:AG,AI:AI)</f>
        <v>0</v>
      </c>
      <c r="K103" s="7">
        <f>_xlfn.XLOOKUP(A103,Z:Z,AD:AD)</f>
        <v>45674</v>
      </c>
      <c r="L103" s="7">
        <f t="shared" si="7"/>
        <v>45644</v>
      </c>
      <c r="M103">
        <f t="shared" si="8"/>
        <v>12</v>
      </c>
      <c r="N103">
        <f t="shared" si="9"/>
        <v>2024</v>
      </c>
      <c r="Q103" s="22">
        <v>176</v>
      </c>
      <c r="R103" s="22">
        <v>4998.51</v>
      </c>
      <c r="S103" s="22" t="str">
        <f t="shared" si="10"/>
        <v>USD</v>
      </c>
      <c r="T103" s="22">
        <f>R103*_xlfn.XLOOKUP(S103,AG:AG,AI:AI)</f>
        <v>4998.51</v>
      </c>
      <c r="U103" s="22" t="s">
        <v>26</v>
      </c>
      <c r="W103" s="9">
        <v>117</v>
      </c>
      <c r="X103" s="9" t="s">
        <v>27</v>
      </c>
      <c r="Z103">
        <v>106</v>
      </c>
      <c r="AA103">
        <v>268</v>
      </c>
      <c r="AB103" s="20" t="s">
        <v>29</v>
      </c>
      <c r="AC103" s="23">
        <f t="shared" si="11"/>
        <v>268</v>
      </c>
      <c r="AD103" s="7">
        <v>45674</v>
      </c>
    </row>
    <row r="104" spans="1:30">
      <c r="A104">
        <v>107</v>
      </c>
      <c r="B104" t="str">
        <f>_xlfn.XLOOKUP(A104,Z:Z,AB:AB,"not found")</f>
        <v>USD</v>
      </c>
      <c r="C104">
        <f>_xlfn.XLOOKUP(A104,Z:Z,AA:AA)-_xlfn.XLOOKUP(A104,Q:Q,R:R,"0")</f>
        <v>0</v>
      </c>
      <c r="D104">
        <f>C104*_xlfn.XLOOKUP(B104,AG:AG,AH:AH)</f>
        <v>0</v>
      </c>
      <c r="E104">
        <f>C104*_xlfn.XLOOKUP(B104,AG:AG,AI:AI)</f>
        <v>0</v>
      </c>
      <c r="F104">
        <v>494</v>
      </c>
      <c r="G104">
        <f>F104*_xlfn.XLOOKUP(B104,AG:AG,AH:AH)</f>
        <v>424.84</v>
      </c>
      <c r="H104">
        <f>F104*_xlfn.XLOOKUP(B104,AG:AG,AI:AI)</f>
        <v>494</v>
      </c>
      <c r="I104">
        <f t="shared" si="6"/>
        <v>0</v>
      </c>
      <c r="J104">
        <f>I104*_xlfn.XLOOKUP(B104,AG:AG,AI:AI)</f>
        <v>0</v>
      </c>
      <c r="K104" s="7">
        <f>_xlfn.XLOOKUP(A104,Z:Z,AD:AD)</f>
        <v>45674</v>
      </c>
      <c r="L104" s="7">
        <f t="shared" si="7"/>
        <v>45644</v>
      </c>
      <c r="M104">
        <f t="shared" si="8"/>
        <v>12</v>
      </c>
      <c r="N104">
        <f t="shared" si="9"/>
        <v>2024</v>
      </c>
      <c r="Q104" s="22">
        <v>179</v>
      </c>
      <c r="R104" s="22">
        <v>2598.7600000000002</v>
      </c>
      <c r="S104" s="22" t="str">
        <f t="shared" si="10"/>
        <v>USD</v>
      </c>
      <c r="T104" s="22">
        <f>R104*_xlfn.XLOOKUP(S104,AG:AG,AI:AI)</f>
        <v>2598.7600000000002</v>
      </c>
      <c r="U104" s="22" t="s">
        <v>26</v>
      </c>
      <c r="W104" s="9">
        <v>117</v>
      </c>
      <c r="X104" s="9" t="s">
        <v>27</v>
      </c>
      <c r="Z104">
        <v>107</v>
      </c>
      <c r="AA104">
        <v>494</v>
      </c>
      <c r="AB104" s="20" t="s">
        <v>29</v>
      </c>
      <c r="AC104" s="23">
        <f t="shared" si="11"/>
        <v>494</v>
      </c>
      <c r="AD104" s="7">
        <v>45674</v>
      </c>
    </row>
    <row r="105" spans="1:30">
      <c r="A105">
        <v>108</v>
      </c>
      <c r="B105" t="str">
        <f>_xlfn.XLOOKUP(A105,Z:Z,AB:AB,"not found")</f>
        <v>USD</v>
      </c>
      <c r="C105">
        <f>_xlfn.XLOOKUP(A105,Z:Z,AA:AA)-_xlfn.XLOOKUP(A105,Q:Q,R:R,"0")</f>
        <v>0</v>
      </c>
      <c r="D105">
        <f>C105*_xlfn.XLOOKUP(B105,AG:AG,AH:AH)</f>
        <v>0</v>
      </c>
      <c r="E105">
        <f>C105*_xlfn.XLOOKUP(B105,AG:AG,AI:AI)</f>
        <v>0</v>
      </c>
      <c r="F105">
        <v>76619.67</v>
      </c>
      <c r="G105">
        <f>F105*_xlfn.XLOOKUP(B105,AG:AG,AH:AH)</f>
        <v>65892.916199999992</v>
      </c>
      <c r="H105">
        <f>F105*_xlfn.XLOOKUP(B105,AG:AG,AI:AI)</f>
        <v>76619.67</v>
      </c>
      <c r="I105">
        <f t="shared" si="6"/>
        <v>0</v>
      </c>
      <c r="J105">
        <f>I105*_xlfn.XLOOKUP(B105,AG:AG,AI:AI)</f>
        <v>0</v>
      </c>
      <c r="K105" s="7">
        <f>_xlfn.XLOOKUP(A105,Z:Z,AD:AD)</f>
        <v>45647</v>
      </c>
      <c r="L105" s="7">
        <f t="shared" si="7"/>
        <v>45617</v>
      </c>
      <c r="M105">
        <f t="shared" si="8"/>
        <v>11</v>
      </c>
      <c r="N105">
        <f t="shared" si="9"/>
        <v>2024</v>
      </c>
      <c r="Q105" s="22">
        <v>180</v>
      </c>
      <c r="R105" s="22">
        <v>2458.9</v>
      </c>
      <c r="S105" s="22" t="str">
        <f t="shared" si="10"/>
        <v>USD</v>
      </c>
      <c r="T105" s="22">
        <f>R105*_xlfn.XLOOKUP(S105,AG:AG,AI:AI)</f>
        <v>2458.9</v>
      </c>
      <c r="U105" s="22" t="s">
        <v>26</v>
      </c>
      <c r="W105" s="9">
        <v>119</v>
      </c>
      <c r="X105" s="9" t="s">
        <v>27</v>
      </c>
      <c r="Z105">
        <v>108</v>
      </c>
      <c r="AA105">
        <v>76619.67</v>
      </c>
      <c r="AB105" s="20" t="s">
        <v>29</v>
      </c>
      <c r="AC105" s="23">
        <f t="shared" si="11"/>
        <v>76619.67</v>
      </c>
      <c r="AD105" s="7">
        <v>45647</v>
      </c>
    </row>
    <row r="106" spans="1:30">
      <c r="A106">
        <v>109</v>
      </c>
      <c r="B106" t="str">
        <f>_xlfn.XLOOKUP(A106,Z:Z,AB:AB,"not found")</f>
        <v>MXN</v>
      </c>
      <c r="C106">
        <f>_xlfn.XLOOKUP(A106,Z:Z,AA:AA)-_xlfn.XLOOKUP(A106,Q:Q,R:R,"0")</f>
        <v>0</v>
      </c>
      <c r="D106">
        <f>C106*_xlfn.XLOOKUP(B106,AG:AG,AH:AH)</f>
        <v>0</v>
      </c>
      <c r="E106">
        <f>C106*_xlfn.XLOOKUP(B106,AG:AG,AI:AI)</f>
        <v>0</v>
      </c>
      <c r="F106">
        <v>95573</v>
      </c>
      <c r="G106">
        <f>F106*_xlfn.XLOOKUP(B106,AG:AG,AH:AH)</f>
        <v>4587.5039999999999</v>
      </c>
      <c r="H106">
        <f>F106*_xlfn.XLOOKUP(B106,AG:AG,AI:AI)</f>
        <v>5352.0879999999997</v>
      </c>
      <c r="I106">
        <f t="shared" si="6"/>
        <v>0</v>
      </c>
      <c r="J106">
        <f>I106*_xlfn.XLOOKUP(B106,AG:AG,AI:AI)</f>
        <v>0</v>
      </c>
      <c r="K106" s="7">
        <f>_xlfn.XLOOKUP(A106,Z:Z,AD:AD)</f>
        <v>45701</v>
      </c>
      <c r="L106" s="7">
        <f t="shared" si="7"/>
        <v>45671</v>
      </c>
      <c r="M106">
        <f t="shared" si="8"/>
        <v>1</v>
      </c>
      <c r="N106">
        <f t="shared" si="9"/>
        <v>2025</v>
      </c>
      <c r="Q106" s="22">
        <v>181</v>
      </c>
      <c r="R106" s="22">
        <v>19706</v>
      </c>
      <c r="S106" s="22" t="str">
        <f t="shared" si="10"/>
        <v>USD</v>
      </c>
      <c r="T106" s="22">
        <f>R106*_xlfn.XLOOKUP(S106,AG:AG,AI:AI)</f>
        <v>19706</v>
      </c>
      <c r="U106" s="22" t="s">
        <v>26</v>
      </c>
      <c r="W106" s="9">
        <v>120</v>
      </c>
      <c r="X106" s="9" t="s">
        <v>29</v>
      </c>
      <c r="Z106">
        <v>109</v>
      </c>
      <c r="AA106">
        <v>95573</v>
      </c>
      <c r="AB106" s="20" t="s">
        <v>28</v>
      </c>
      <c r="AC106" s="23">
        <f t="shared" si="11"/>
        <v>5352.0879999999997</v>
      </c>
      <c r="AD106" s="7">
        <v>45701</v>
      </c>
    </row>
    <row r="107" spans="1:30">
      <c r="A107">
        <v>110</v>
      </c>
      <c r="B107" t="str">
        <f>_xlfn.XLOOKUP(A107,Z:Z,AB:AB,"not found")</f>
        <v>USD</v>
      </c>
      <c r="C107">
        <f>_xlfn.XLOOKUP(A107,Z:Z,AA:AA)-_xlfn.XLOOKUP(A107,Q:Q,R:R,"0")</f>
        <v>0</v>
      </c>
      <c r="D107">
        <f>C107*_xlfn.XLOOKUP(B107,AG:AG,AH:AH)</f>
        <v>0</v>
      </c>
      <c r="E107">
        <f>C107*_xlfn.XLOOKUP(B107,AG:AG,AI:AI)</f>
        <v>0</v>
      </c>
      <c r="F107">
        <v>302.2</v>
      </c>
      <c r="G107">
        <f>F107*_xlfn.XLOOKUP(B107,AG:AG,AH:AH)</f>
        <v>259.892</v>
      </c>
      <c r="H107">
        <f>F107*_xlfn.XLOOKUP(B107,AG:AG,AI:AI)</f>
        <v>302.2</v>
      </c>
      <c r="I107">
        <f t="shared" si="6"/>
        <v>0</v>
      </c>
      <c r="J107">
        <f>I107*_xlfn.XLOOKUP(B107,AG:AG,AI:AI)</f>
        <v>0</v>
      </c>
      <c r="K107" s="7">
        <f>_xlfn.XLOOKUP(A107,Z:Z,AD:AD)</f>
        <v>45689</v>
      </c>
      <c r="L107" s="7">
        <f t="shared" si="7"/>
        <v>45659</v>
      </c>
      <c r="M107">
        <f t="shared" si="8"/>
        <v>1</v>
      </c>
      <c r="N107">
        <f t="shared" si="9"/>
        <v>2025</v>
      </c>
      <c r="Q107" s="22">
        <v>185</v>
      </c>
      <c r="R107" s="22">
        <v>1196</v>
      </c>
      <c r="S107" s="22" t="str">
        <f t="shared" si="10"/>
        <v>USD</v>
      </c>
      <c r="T107" s="22">
        <f>R107*_xlfn.XLOOKUP(S107,AG:AG,AI:AI)</f>
        <v>1196</v>
      </c>
      <c r="U107" s="22" t="s">
        <v>26</v>
      </c>
      <c r="W107" s="9">
        <v>120</v>
      </c>
      <c r="X107" s="9" t="s">
        <v>29</v>
      </c>
      <c r="Z107">
        <v>110</v>
      </c>
      <c r="AA107">
        <v>302.2</v>
      </c>
      <c r="AB107" s="20" t="s">
        <v>29</v>
      </c>
      <c r="AC107" s="23">
        <f t="shared" si="11"/>
        <v>302.2</v>
      </c>
      <c r="AD107" s="7">
        <v>45689</v>
      </c>
    </row>
    <row r="108" spans="1:30">
      <c r="A108">
        <v>111</v>
      </c>
      <c r="B108" t="str">
        <f>_xlfn.XLOOKUP(A108,Z:Z,AB:AB,"not found")</f>
        <v>GPB</v>
      </c>
      <c r="C108">
        <f>_xlfn.XLOOKUP(A108,Z:Z,AA:AA)-_xlfn.XLOOKUP(A108,Q:Q,R:R,"0")</f>
        <v>0</v>
      </c>
      <c r="D108">
        <f>C108*_xlfn.XLOOKUP(B108,AG:AG,AH:AH)</f>
        <v>0</v>
      </c>
      <c r="E108">
        <f>C108*_xlfn.XLOOKUP(B108,AG:AG,AI:AI)</f>
        <v>0</v>
      </c>
      <c r="F108">
        <v>82419</v>
      </c>
      <c r="G108">
        <f>F108*_xlfn.XLOOKUP(B108,AG:AG,AH:AH)</f>
        <v>94781.849999999991</v>
      </c>
      <c r="H108">
        <f>F108*_xlfn.XLOOKUP(B108,AG:AG,AI:AI)</f>
        <v>110441.46</v>
      </c>
      <c r="I108">
        <f t="shared" si="6"/>
        <v>0</v>
      </c>
      <c r="J108">
        <f>I108*_xlfn.XLOOKUP(B108,AG:AG,AI:AI)</f>
        <v>0</v>
      </c>
      <c r="K108" s="7">
        <f>_xlfn.XLOOKUP(A108,Z:Z,AD:AD)</f>
        <v>45647</v>
      </c>
      <c r="L108" s="7">
        <f t="shared" si="7"/>
        <v>45617</v>
      </c>
      <c r="M108">
        <f t="shared" si="8"/>
        <v>11</v>
      </c>
      <c r="N108">
        <f t="shared" si="9"/>
        <v>2024</v>
      </c>
      <c r="Q108" s="22">
        <v>187</v>
      </c>
      <c r="R108" s="22">
        <v>3382.8</v>
      </c>
      <c r="S108" s="22" t="str">
        <f t="shared" si="10"/>
        <v>USD</v>
      </c>
      <c r="T108" s="22">
        <f>R108*_xlfn.XLOOKUP(S108,AG:AG,AI:AI)</f>
        <v>3382.8</v>
      </c>
      <c r="U108" s="22" t="s">
        <v>26</v>
      </c>
      <c r="W108" s="9">
        <v>121</v>
      </c>
      <c r="X108" s="9" t="s">
        <v>29</v>
      </c>
      <c r="Z108">
        <v>111</v>
      </c>
      <c r="AA108">
        <v>82419</v>
      </c>
      <c r="AB108" s="20" t="s">
        <v>32</v>
      </c>
      <c r="AC108" s="23">
        <f t="shared" si="11"/>
        <v>110441.46</v>
      </c>
      <c r="AD108" s="7">
        <v>45647</v>
      </c>
    </row>
    <row r="109" spans="1:30">
      <c r="A109">
        <v>112</v>
      </c>
      <c r="B109" t="str">
        <f>_xlfn.XLOOKUP(A109,Z:Z,AB:AB,"not found")</f>
        <v>USD</v>
      </c>
      <c r="C109">
        <f>_xlfn.XLOOKUP(A109,Z:Z,AA:AA)-_xlfn.XLOOKUP(A109,Q:Q,R:R,"0")</f>
        <v>3820</v>
      </c>
      <c r="D109">
        <f>C109*_xlfn.XLOOKUP(B109,AG:AG,AH:AH)</f>
        <v>3285.2</v>
      </c>
      <c r="E109">
        <f>C109*_xlfn.XLOOKUP(B109,AG:AG,AI:AI)</f>
        <v>3820</v>
      </c>
      <c r="F109">
        <v>3820</v>
      </c>
      <c r="G109">
        <f>F109*_xlfn.XLOOKUP(B109,AG:AG,AH:AH)</f>
        <v>3285.2</v>
      </c>
      <c r="H109">
        <f>F109*_xlfn.XLOOKUP(B109,AG:AG,AI:AI)</f>
        <v>3820</v>
      </c>
      <c r="I109">
        <f t="shared" si="6"/>
        <v>0</v>
      </c>
      <c r="J109">
        <f>I109*_xlfn.XLOOKUP(B109,AG:AG,AI:AI)</f>
        <v>0</v>
      </c>
      <c r="K109" s="7">
        <f>_xlfn.XLOOKUP(A109,Z:Z,AD:AD)</f>
        <v>45678</v>
      </c>
      <c r="L109" s="7">
        <f t="shared" si="7"/>
        <v>45648</v>
      </c>
      <c r="M109">
        <f t="shared" si="8"/>
        <v>12</v>
      </c>
      <c r="N109">
        <f t="shared" si="9"/>
        <v>2024</v>
      </c>
      <c r="Q109" s="22">
        <v>188</v>
      </c>
      <c r="R109" s="22">
        <v>10019.209999999999</v>
      </c>
      <c r="S109" s="22" t="str">
        <f t="shared" si="10"/>
        <v>USD</v>
      </c>
      <c r="T109" s="22">
        <f>R109*_xlfn.XLOOKUP(S109,AG:AG,AI:AI)</f>
        <v>10019.209999999999</v>
      </c>
      <c r="U109" s="22" t="s">
        <v>26</v>
      </c>
      <c r="W109" s="9">
        <v>122</v>
      </c>
      <c r="X109" s="9" t="s">
        <v>27</v>
      </c>
      <c r="Z109">
        <v>112</v>
      </c>
      <c r="AA109">
        <v>3820</v>
      </c>
      <c r="AB109" s="20" t="s">
        <v>29</v>
      </c>
      <c r="AC109" s="20"/>
      <c r="AD109" s="20">
        <v>45678</v>
      </c>
    </row>
    <row r="110" spans="1:30">
      <c r="A110">
        <v>113</v>
      </c>
      <c r="B110" t="str">
        <f>_xlfn.XLOOKUP(A110,Z:Z,AB:AB,"not found")</f>
        <v>USD</v>
      </c>
      <c r="C110">
        <f>_xlfn.XLOOKUP(A110,Z:Z,AA:AA)-_xlfn.XLOOKUP(A110,Q:Q,R:R,"0")</f>
        <v>0</v>
      </c>
      <c r="D110">
        <f>C110*_xlfn.XLOOKUP(B110,AG:AG,AH:AH)</f>
        <v>0</v>
      </c>
      <c r="E110">
        <f>C110*_xlfn.XLOOKUP(B110,AG:AG,AI:AI)</f>
        <v>0</v>
      </c>
      <c r="F110">
        <v>20777.39</v>
      </c>
      <c r="G110">
        <f>F110*_xlfn.XLOOKUP(B110,AG:AG,AH:AH)</f>
        <v>17868.555399999997</v>
      </c>
      <c r="H110">
        <f>F110*_xlfn.XLOOKUP(B110,AG:AG,AI:AI)</f>
        <v>20777.39</v>
      </c>
      <c r="I110">
        <f t="shared" si="6"/>
        <v>0</v>
      </c>
      <c r="J110">
        <f>I110*_xlfn.XLOOKUP(B110,AG:AG,AI:AI)</f>
        <v>0</v>
      </c>
      <c r="K110" s="7">
        <f>_xlfn.XLOOKUP(A110,Z:Z,AD:AD)</f>
        <v>45652</v>
      </c>
      <c r="L110" s="7">
        <f t="shared" si="7"/>
        <v>45622</v>
      </c>
      <c r="M110">
        <f t="shared" si="8"/>
        <v>11</v>
      </c>
      <c r="N110">
        <f t="shared" si="9"/>
        <v>2024</v>
      </c>
      <c r="Q110" s="22">
        <v>192</v>
      </c>
      <c r="R110" s="22">
        <v>5250</v>
      </c>
      <c r="S110" s="22" t="str">
        <f t="shared" si="10"/>
        <v>USD</v>
      </c>
      <c r="T110" s="22">
        <f>R110*_xlfn.XLOOKUP(S110,AG:AG,AI:AI)</f>
        <v>5250</v>
      </c>
      <c r="U110" s="22" t="s">
        <v>26</v>
      </c>
      <c r="W110" s="9">
        <v>122</v>
      </c>
      <c r="X110" s="9" t="s">
        <v>27</v>
      </c>
      <c r="Z110">
        <v>113</v>
      </c>
      <c r="AA110">
        <v>20777.39</v>
      </c>
      <c r="AB110" s="20" t="s">
        <v>29</v>
      </c>
      <c r="AC110" s="20"/>
      <c r="AD110" s="20">
        <v>45652</v>
      </c>
    </row>
    <row r="111" spans="1:30">
      <c r="A111">
        <v>114</v>
      </c>
      <c r="B111" t="str">
        <f>_xlfn.XLOOKUP(A111,Z:Z,AB:AB,"not found")</f>
        <v>MXN</v>
      </c>
      <c r="C111">
        <f>_xlfn.XLOOKUP(A111,Z:Z,AA:AA)-_xlfn.XLOOKUP(A111,Q:Q,R:R,"0")</f>
        <v>0</v>
      </c>
      <c r="D111">
        <f>C111*_xlfn.XLOOKUP(B111,AG:AG,AH:AH)</f>
        <v>0</v>
      </c>
      <c r="E111">
        <f>C111*_xlfn.XLOOKUP(B111,AG:AG,AI:AI)</f>
        <v>0</v>
      </c>
      <c r="F111">
        <v>113312.48</v>
      </c>
      <c r="G111">
        <f>F111*_xlfn.XLOOKUP(B111,AG:AG,AH:AH)</f>
        <v>5438.9990399999997</v>
      </c>
      <c r="H111">
        <f>F111*_xlfn.XLOOKUP(B111,AG:AG,AI:AI)</f>
        <v>6345.4988800000001</v>
      </c>
      <c r="I111">
        <f t="shared" si="6"/>
        <v>0</v>
      </c>
      <c r="J111">
        <f>I111*_xlfn.XLOOKUP(B111,AG:AG,AI:AI)</f>
        <v>0</v>
      </c>
      <c r="K111" s="7">
        <f>_xlfn.XLOOKUP(A111,Z:Z,AD:AD)</f>
        <v>45796</v>
      </c>
      <c r="L111" s="7">
        <f t="shared" si="7"/>
        <v>45766</v>
      </c>
      <c r="M111">
        <f t="shared" si="8"/>
        <v>4</v>
      </c>
      <c r="N111">
        <f t="shared" si="9"/>
        <v>2025</v>
      </c>
      <c r="Q111" s="22">
        <v>193</v>
      </c>
      <c r="R111" s="22">
        <v>7725.5</v>
      </c>
      <c r="S111" s="22" t="str">
        <f t="shared" si="10"/>
        <v>USD</v>
      </c>
      <c r="T111" s="22">
        <f>R111*_xlfn.XLOOKUP(S111,AG:AG,AI:AI)</f>
        <v>7725.5</v>
      </c>
      <c r="U111" s="22" t="s">
        <v>26</v>
      </c>
      <c r="W111" s="9">
        <v>122</v>
      </c>
      <c r="X111" s="9" t="s">
        <v>27</v>
      </c>
      <c r="Z111">
        <v>114</v>
      </c>
      <c r="AA111">
        <v>113312.48</v>
      </c>
      <c r="AB111" s="20" t="s">
        <v>28</v>
      </c>
      <c r="AC111" s="20"/>
      <c r="AD111" s="20">
        <v>45796</v>
      </c>
    </row>
    <row r="112" spans="1:30">
      <c r="A112">
        <v>115</v>
      </c>
      <c r="B112" t="str">
        <f>_xlfn.XLOOKUP(A112,Z:Z,AB:AB,"not found")</f>
        <v>USD</v>
      </c>
      <c r="C112">
        <f>_xlfn.XLOOKUP(A112,Z:Z,AA:AA)-_xlfn.XLOOKUP(A112,Q:Q,R:R,"0")</f>
        <v>202730.82</v>
      </c>
      <c r="D112">
        <f>C112*_xlfn.XLOOKUP(B112,AG:AG,AH:AH)</f>
        <v>174348.50520000001</v>
      </c>
      <c r="E112">
        <f>C112*_xlfn.XLOOKUP(B112,AG:AG,AI:AI)</f>
        <v>202730.82</v>
      </c>
      <c r="F112">
        <v>202730.82</v>
      </c>
      <c r="G112">
        <f>F112*_xlfn.XLOOKUP(B112,AG:AG,AH:AH)</f>
        <v>174348.50520000001</v>
      </c>
      <c r="H112">
        <f>F112*_xlfn.XLOOKUP(B112,AG:AG,AI:AI)</f>
        <v>202730.82</v>
      </c>
      <c r="I112">
        <f t="shared" si="6"/>
        <v>0</v>
      </c>
      <c r="J112">
        <f>I112*_xlfn.XLOOKUP(B112,AG:AG,AI:AI)</f>
        <v>0</v>
      </c>
      <c r="K112" s="7">
        <f>_xlfn.XLOOKUP(A112,Z:Z,AD:AD)</f>
        <v>45934</v>
      </c>
      <c r="L112" s="7">
        <f t="shared" si="7"/>
        <v>45904</v>
      </c>
      <c r="M112">
        <f t="shared" si="8"/>
        <v>9</v>
      </c>
      <c r="N112">
        <f t="shared" si="9"/>
        <v>2025</v>
      </c>
      <c r="Q112" s="22">
        <v>195</v>
      </c>
      <c r="R112" s="22">
        <v>11080</v>
      </c>
      <c r="S112" s="22" t="str">
        <f t="shared" si="10"/>
        <v>EUR</v>
      </c>
      <c r="T112" s="22">
        <f>R112*_xlfn.XLOOKUP(S112,AG:AG,AI:AI)</f>
        <v>12852.8</v>
      </c>
      <c r="U112" s="22" t="s">
        <v>26</v>
      </c>
      <c r="W112" s="9">
        <v>122</v>
      </c>
      <c r="X112" s="9" t="s">
        <v>27</v>
      </c>
      <c r="Z112">
        <v>115</v>
      </c>
      <c r="AA112">
        <v>202730.82</v>
      </c>
      <c r="AB112" t="s">
        <v>29</v>
      </c>
      <c r="AD112" s="20">
        <v>45934</v>
      </c>
    </row>
    <row r="113" spans="1:30">
      <c r="A113">
        <v>116</v>
      </c>
      <c r="B113" t="str">
        <f>_xlfn.XLOOKUP(A113,Z:Z,AB:AB,"not found")</f>
        <v>USD</v>
      </c>
      <c r="C113">
        <f>_xlfn.XLOOKUP(A113,Z:Z,AA:AA)-_xlfn.XLOOKUP(A113,Q:Q,R:R,"0")</f>
        <v>14720</v>
      </c>
      <c r="D113">
        <f>C113*_xlfn.XLOOKUP(B113,AG:AG,AH:AH)</f>
        <v>12659.199999999999</v>
      </c>
      <c r="E113">
        <f>C113*_xlfn.XLOOKUP(B113,AG:AG,AI:AI)</f>
        <v>14720</v>
      </c>
      <c r="F113">
        <v>14720</v>
      </c>
      <c r="G113">
        <f>F113*_xlfn.XLOOKUP(B113,AG:AG,AH:AH)</f>
        <v>12659.199999999999</v>
      </c>
      <c r="H113">
        <f>F113*_xlfn.XLOOKUP(B113,AG:AG,AI:AI)</f>
        <v>14720</v>
      </c>
      <c r="I113">
        <f t="shared" si="6"/>
        <v>0</v>
      </c>
      <c r="J113">
        <f>I113*_xlfn.XLOOKUP(B113,AG:AG,AI:AI)</f>
        <v>0</v>
      </c>
      <c r="K113" s="7">
        <f>_xlfn.XLOOKUP(A113,Z:Z,AD:AD)</f>
        <v>45607</v>
      </c>
      <c r="L113" s="7">
        <f t="shared" si="7"/>
        <v>45577</v>
      </c>
      <c r="M113">
        <f t="shared" si="8"/>
        <v>10</v>
      </c>
      <c r="N113">
        <f t="shared" si="9"/>
        <v>2024</v>
      </c>
      <c r="Q113" s="22">
        <v>196</v>
      </c>
      <c r="R113" s="22">
        <v>9402.06</v>
      </c>
      <c r="S113" s="22" t="str">
        <f t="shared" si="10"/>
        <v>USD</v>
      </c>
      <c r="T113" s="22">
        <f>R113*_xlfn.XLOOKUP(S113,AG:AG,AI:AI)</f>
        <v>9402.06</v>
      </c>
      <c r="U113" s="22" t="s">
        <v>26</v>
      </c>
      <c r="W113" s="9">
        <v>124</v>
      </c>
      <c r="X113" s="9" t="s">
        <v>29</v>
      </c>
      <c r="Z113">
        <v>116</v>
      </c>
      <c r="AA113">
        <v>14720</v>
      </c>
      <c r="AB113" t="s">
        <v>29</v>
      </c>
      <c r="AD113" s="20">
        <v>45607</v>
      </c>
    </row>
    <row r="114" spans="1:30">
      <c r="A114">
        <v>117</v>
      </c>
      <c r="B114" t="str">
        <f>_xlfn.XLOOKUP(A114,Z:Z,AB:AB,"not found")</f>
        <v>EUR</v>
      </c>
      <c r="C114">
        <f>_xlfn.XLOOKUP(A114,Z:Z,AA:AA)-_xlfn.XLOOKUP(A114,Q:Q,R:R,"0")</f>
        <v>0</v>
      </c>
      <c r="D114">
        <f>C114*_xlfn.XLOOKUP(B114,AG:AG,AH:AH)</f>
        <v>0</v>
      </c>
      <c r="E114">
        <f>C114*_xlfn.XLOOKUP(B114,AG:AG,AI:AI)</f>
        <v>0</v>
      </c>
      <c r="F114">
        <v>606.17999999999995</v>
      </c>
      <c r="G114">
        <f>F114*_xlfn.XLOOKUP(B114,AG:AG,AH:AH)</f>
        <v>606.17999999999995</v>
      </c>
      <c r="H114">
        <f>F114*_xlfn.XLOOKUP(B114,AG:AG,AI:AI)</f>
        <v>703.16879999999992</v>
      </c>
      <c r="I114">
        <f t="shared" si="6"/>
        <v>0</v>
      </c>
      <c r="J114">
        <f>I114*_xlfn.XLOOKUP(B114,AG:AG,AI:AI)</f>
        <v>0</v>
      </c>
      <c r="K114" s="7">
        <f>_xlfn.XLOOKUP(A114,Z:Z,AD:AD)</f>
        <v>45662</v>
      </c>
      <c r="L114" s="7">
        <f t="shared" si="7"/>
        <v>45632</v>
      </c>
      <c r="M114">
        <f t="shared" si="8"/>
        <v>12</v>
      </c>
      <c r="N114">
        <f t="shared" si="9"/>
        <v>2024</v>
      </c>
      <c r="Q114" s="22">
        <v>198</v>
      </c>
      <c r="R114" s="22">
        <v>52744.09</v>
      </c>
      <c r="S114" s="22" t="str">
        <f t="shared" si="10"/>
        <v>USD</v>
      </c>
      <c r="T114" s="22">
        <f>R114*_xlfn.XLOOKUP(S114,AG:AG,AI:AI)</f>
        <v>52744.09</v>
      </c>
      <c r="U114" s="22" t="s">
        <v>26</v>
      </c>
      <c r="W114" s="9">
        <v>124</v>
      </c>
      <c r="X114" s="9" t="s">
        <v>29</v>
      </c>
      <c r="Z114">
        <v>117</v>
      </c>
      <c r="AA114">
        <v>606.17999999999995</v>
      </c>
      <c r="AB114" t="s">
        <v>27</v>
      </c>
      <c r="AD114" s="20">
        <v>45662</v>
      </c>
    </row>
    <row r="115" spans="1:30">
      <c r="A115">
        <v>118</v>
      </c>
      <c r="B115" t="str">
        <f>_xlfn.XLOOKUP(A115,Z:Z,AB:AB,"not found")</f>
        <v>USD</v>
      </c>
      <c r="C115">
        <f>_xlfn.XLOOKUP(A115,Z:Z,AA:AA)-_xlfn.XLOOKUP(A115,Q:Q,R:R,"0")</f>
        <v>179120.49</v>
      </c>
      <c r="D115">
        <f>C115*_xlfn.XLOOKUP(B115,AG:AG,AH:AH)</f>
        <v>154043.6214</v>
      </c>
      <c r="E115">
        <f>C115*_xlfn.XLOOKUP(B115,AG:AG,AI:AI)</f>
        <v>179120.49</v>
      </c>
      <c r="F115">
        <v>179120.49</v>
      </c>
      <c r="G115">
        <f>F115*_xlfn.XLOOKUP(B115,AG:AG,AH:AH)</f>
        <v>154043.6214</v>
      </c>
      <c r="H115">
        <f>F115*_xlfn.XLOOKUP(B115,AG:AG,AI:AI)</f>
        <v>179120.49</v>
      </c>
      <c r="I115">
        <f t="shared" si="6"/>
        <v>0</v>
      </c>
      <c r="J115">
        <f>I115*_xlfn.XLOOKUP(B115,AG:AG,AI:AI)</f>
        <v>0</v>
      </c>
      <c r="K115" s="7">
        <f>_xlfn.XLOOKUP(A115,Z:Z,AD:AD)</f>
        <v>45756</v>
      </c>
      <c r="L115" s="7">
        <f t="shared" si="7"/>
        <v>45726</v>
      </c>
      <c r="M115">
        <f t="shared" si="8"/>
        <v>3</v>
      </c>
      <c r="N115">
        <f t="shared" si="9"/>
        <v>2025</v>
      </c>
      <c r="Q115" s="22">
        <v>199</v>
      </c>
      <c r="R115" s="22">
        <v>4395</v>
      </c>
      <c r="S115" s="22" t="str">
        <f t="shared" si="10"/>
        <v>USD</v>
      </c>
      <c r="T115" s="22">
        <f>R115*_xlfn.XLOOKUP(S115,AG:AG,AI:AI)</f>
        <v>4395</v>
      </c>
      <c r="U115" s="22" t="s">
        <v>26</v>
      </c>
      <c r="W115" s="9">
        <v>126</v>
      </c>
      <c r="X115" s="9" t="s">
        <v>27</v>
      </c>
      <c r="Z115">
        <v>118</v>
      </c>
      <c r="AA115">
        <v>179120.49</v>
      </c>
      <c r="AB115" t="s">
        <v>29</v>
      </c>
      <c r="AD115" s="20">
        <v>45756</v>
      </c>
    </row>
    <row r="116" spans="1:30">
      <c r="A116">
        <v>119</v>
      </c>
      <c r="B116" t="str">
        <f>_xlfn.XLOOKUP(A116,Z:Z,AB:AB,"not found")</f>
        <v>EUR</v>
      </c>
      <c r="C116">
        <f>_xlfn.XLOOKUP(A116,Z:Z,AA:AA)-_xlfn.XLOOKUP(A116,Q:Q,R:R,"0")</f>
        <v>35970</v>
      </c>
      <c r="D116">
        <f>C116*_xlfn.XLOOKUP(B116,AG:AG,AH:AH)</f>
        <v>35970</v>
      </c>
      <c r="E116">
        <f>C116*_xlfn.XLOOKUP(B116,AG:AG,AI:AI)</f>
        <v>41725.199999999997</v>
      </c>
      <c r="F116">
        <v>37402.1</v>
      </c>
      <c r="G116">
        <f>F116*_xlfn.XLOOKUP(B116,AG:AG,AH:AH)</f>
        <v>37402.1</v>
      </c>
      <c r="H116">
        <f>F116*_xlfn.XLOOKUP(B116,AG:AG,AI:AI)</f>
        <v>43386.435999999994</v>
      </c>
      <c r="I116">
        <f t="shared" si="6"/>
        <v>0</v>
      </c>
      <c r="J116">
        <f>I116*_xlfn.XLOOKUP(B116,AG:AG,AI:AI)</f>
        <v>0</v>
      </c>
      <c r="K116" s="7">
        <f>_xlfn.XLOOKUP(A116,Z:Z,AD:AD)</f>
        <v>45714</v>
      </c>
      <c r="L116" s="7">
        <f t="shared" si="7"/>
        <v>45684</v>
      </c>
      <c r="M116">
        <f t="shared" si="8"/>
        <v>1</v>
      </c>
      <c r="N116">
        <f t="shared" si="9"/>
        <v>2025</v>
      </c>
      <c r="Q116" s="22">
        <v>200</v>
      </c>
      <c r="R116" s="22">
        <v>3998.77</v>
      </c>
      <c r="S116" s="22" t="str">
        <f t="shared" si="10"/>
        <v>USD</v>
      </c>
      <c r="T116" s="22">
        <f>R116*_xlfn.XLOOKUP(S116,AG:AG,AI:AI)</f>
        <v>3998.77</v>
      </c>
      <c r="U116" s="22" t="s">
        <v>26</v>
      </c>
      <c r="W116" s="9">
        <v>126</v>
      </c>
      <c r="X116" s="9" t="s">
        <v>27</v>
      </c>
      <c r="Z116">
        <v>119</v>
      </c>
      <c r="AA116">
        <v>37402.1</v>
      </c>
      <c r="AB116" t="s">
        <v>27</v>
      </c>
      <c r="AD116" s="20">
        <v>45714</v>
      </c>
    </row>
    <row r="117" spans="1:30">
      <c r="A117">
        <v>120</v>
      </c>
      <c r="B117" t="str">
        <f>_xlfn.XLOOKUP(A117,Z:Z,AB:AB,"not found")</f>
        <v>USD</v>
      </c>
      <c r="C117">
        <f>_xlfn.XLOOKUP(A117,Z:Z,AA:AA)-_xlfn.XLOOKUP(A117,Q:Q,R:R,"0")</f>
        <v>0</v>
      </c>
      <c r="D117">
        <f>C117*_xlfn.XLOOKUP(B117,AG:AG,AH:AH)</f>
        <v>0</v>
      </c>
      <c r="E117">
        <f>C117*_xlfn.XLOOKUP(B117,AG:AG,AI:AI)</f>
        <v>0</v>
      </c>
      <c r="F117">
        <v>2383.6799999999998</v>
      </c>
      <c r="G117">
        <f>F117*_xlfn.XLOOKUP(B117,AG:AG,AH:AH)</f>
        <v>2049.9647999999997</v>
      </c>
      <c r="H117">
        <f>F117*_xlfn.XLOOKUP(B117,AG:AG,AI:AI)</f>
        <v>2383.6799999999998</v>
      </c>
      <c r="I117">
        <f t="shared" si="6"/>
        <v>0</v>
      </c>
      <c r="J117">
        <f>I117*_xlfn.XLOOKUP(B117,AG:AG,AI:AI)</f>
        <v>0</v>
      </c>
      <c r="K117" s="7">
        <f>_xlfn.XLOOKUP(A117,Z:Z,AD:AD)</f>
        <v>45762</v>
      </c>
      <c r="L117" s="7">
        <f t="shared" si="7"/>
        <v>45732</v>
      </c>
      <c r="M117">
        <f t="shared" si="8"/>
        <v>3</v>
      </c>
      <c r="N117">
        <f t="shared" si="9"/>
        <v>2025</v>
      </c>
      <c r="Q117" s="22">
        <v>201</v>
      </c>
      <c r="R117" s="22">
        <v>3998.77</v>
      </c>
      <c r="S117" s="22" t="str">
        <f t="shared" si="10"/>
        <v>USD</v>
      </c>
      <c r="T117" s="22">
        <f>R117*_xlfn.XLOOKUP(S117,AG:AG,AI:AI)</f>
        <v>3998.77</v>
      </c>
      <c r="U117" s="22" t="s">
        <v>26</v>
      </c>
      <c r="W117" s="9">
        <v>126</v>
      </c>
      <c r="X117" s="9" t="s">
        <v>27</v>
      </c>
      <c r="Z117">
        <v>120</v>
      </c>
      <c r="AA117">
        <v>2383.6799999999998</v>
      </c>
      <c r="AB117" t="s">
        <v>29</v>
      </c>
      <c r="AD117" s="20">
        <v>45762</v>
      </c>
    </row>
    <row r="118" spans="1:30">
      <c r="A118">
        <v>121</v>
      </c>
      <c r="B118" t="str">
        <f>_xlfn.XLOOKUP(A118,Z:Z,AB:AB,"not found")</f>
        <v>USD</v>
      </c>
      <c r="C118">
        <f>_xlfn.XLOOKUP(A118,Z:Z,AA:AA)-_xlfn.XLOOKUP(A118,Q:Q,R:R,"0")</f>
        <v>0</v>
      </c>
      <c r="D118">
        <f>C118*_xlfn.XLOOKUP(B118,AG:AG,AH:AH)</f>
        <v>0</v>
      </c>
      <c r="E118">
        <f>C118*_xlfn.XLOOKUP(B118,AG:AG,AI:AI)</f>
        <v>0</v>
      </c>
      <c r="F118">
        <v>1791.72</v>
      </c>
      <c r="G118">
        <f>F118*_xlfn.XLOOKUP(B118,AG:AG,AH:AH)</f>
        <v>1540.8792000000001</v>
      </c>
      <c r="H118">
        <f>F118*_xlfn.XLOOKUP(B118,AG:AG,AI:AI)</f>
        <v>1791.72</v>
      </c>
      <c r="I118">
        <f t="shared" si="6"/>
        <v>0</v>
      </c>
      <c r="J118">
        <f>I118*_xlfn.XLOOKUP(B118,AG:AG,AI:AI)</f>
        <v>0</v>
      </c>
      <c r="K118" s="7">
        <f>_xlfn.XLOOKUP(A118,Z:Z,AD:AD)</f>
        <v>45813</v>
      </c>
      <c r="L118" s="7">
        <f t="shared" si="7"/>
        <v>45783</v>
      </c>
      <c r="M118">
        <f t="shared" si="8"/>
        <v>5</v>
      </c>
      <c r="N118">
        <f t="shared" si="9"/>
        <v>2025</v>
      </c>
      <c r="Q118" s="22">
        <v>203</v>
      </c>
      <c r="R118" s="22">
        <v>4045.64</v>
      </c>
      <c r="S118" s="22" t="str">
        <f t="shared" si="10"/>
        <v>USD</v>
      </c>
      <c r="T118" s="22">
        <f>R118*_xlfn.XLOOKUP(S118,AG:AG,AI:AI)</f>
        <v>4045.64</v>
      </c>
      <c r="U118" s="22" t="s">
        <v>26</v>
      </c>
      <c r="W118" s="9">
        <v>126</v>
      </c>
      <c r="X118" s="9" t="s">
        <v>27</v>
      </c>
      <c r="Z118">
        <v>121</v>
      </c>
      <c r="AA118">
        <v>1791.72</v>
      </c>
      <c r="AB118" t="s">
        <v>29</v>
      </c>
      <c r="AD118" s="20">
        <v>45813</v>
      </c>
    </row>
    <row r="119" spans="1:30">
      <c r="A119">
        <v>122</v>
      </c>
      <c r="B119" t="str">
        <f>_xlfn.XLOOKUP(A119,Z:Z,AB:AB,"not found")</f>
        <v>EUR</v>
      </c>
      <c r="C119">
        <f>_xlfn.XLOOKUP(A119,Z:Z,AA:AA)-_xlfn.XLOOKUP(A119,Q:Q,R:R,"0")</f>
        <v>0</v>
      </c>
      <c r="D119">
        <f>C119*_xlfn.XLOOKUP(B119,AG:AG,AH:AH)</f>
        <v>0</v>
      </c>
      <c r="E119">
        <f>C119*_xlfn.XLOOKUP(B119,AG:AG,AI:AI)</f>
        <v>0</v>
      </c>
      <c r="F119">
        <v>11500.66</v>
      </c>
      <c r="G119">
        <f>F119*_xlfn.XLOOKUP(B119,AG:AG,AH:AH)</f>
        <v>11500.66</v>
      </c>
      <c r="H119">
        <f>F119*_xlfn.XLOOKUP(B119,AG:AG,AI:AI)</f>
        <v>13340.765599999999</v>
      </c>
      <c r="I119">
        <f t="shared" si="6"/>
        <v>0</v>
      </c>
      <c r="J119">
        <f>I119*_xlfn.XLOOKUP(B119,AG:AG,AI:AI)</f>
        <v>0</v>
      </c>
      <c r="K119" s="7">
        <f>_xlfn.XLOOKUP(A119,Z:Z,AD:AD)</f>
        <v>45677</v>
      </c>
      <c r="L119" s="7">
        <f t="shared" si="7"/>
        <v>45647</v>
      </c>
      <c r="M119">
        <f t="shared" si="8"/>
        <v>12</v>
      </c>
      <c r="N119">
        <f t="shared" si="9"/>
        <v>2024</v>
      </c>
      <c r="Q119" s="22">
        <v>204</v>
      </c>
      <c r="R119" s="22">
        <v>6615</v>
      </c>
      <c r="S119" s="22" t="str">
        <f t="shared" si="10"/>
        <v>EUR</v>
      </c>
      <c r="T119" s="22">
        <f>R119*_xlfn.XLOOKUP(S119,AG:AG,AI:AI)</f>
        <v>7673.4</v>
      </c>
      <c r="U119" s="22" t="s">
        <v>26</v>
      </c>
      <c r="W119" s="9">
        <v>127</v>
      </c>
      <c r="X119" s="9" t="s">
        <v>29</v>
      </c>
      <c r="Z119">
        <v>122</v>
      </c>
      <c r="AA119">
        <v>11500.66</v>
      </c>
      <c r="AB119" t="s">
        <v>27</v>
      </c>
      <c r="AD119" s="20">
        <v>45677</v>
      </c>
    </row>
    <row r="120" spans="1:30">
      <c r="A120">
        <v>123</v>
      </c>
      <c r="B120" t="str">
        <f>_xlfn.XLOOKUP(A120,Z:Z,AB:AB,"not found")</f>
        <v>MXN</v>
      </c>
      <c r="C120">
        <f>_xlfn.XLOOKUP(A120,Z:Z,AA:AA)-_xlfn.XLOOKUP(A120,Q:Q,R:R,"0")</f>
        <v>6934.95</v>
      </c>
      <c r="D120">
        <f>C120*_xlfn.XLOOKUP(B120,AG:AG,AH:AH)</f>
        <v>332.87759999999997</v>
      </c>
      <c r="E120">
        <f>C120*_xlfn.XLOOKUP(B120,AG:AG,AI:AI)</f>
        <v>388.35719999999998</v>
      </c>
      <c r="F120">
        <v>6630.75</v>
      </c>
      <c r="G120">
        <f>F120*_xlfn.XLOOKUP(B120,AG:AG,AH:AH)</f>
        <v>318.27600000000001</v>
      </c>
      <c r="H120">
        <f>F120*_xlfn.XLOOKUP(B120,AG:AG,AI:AI)</f>
        <v>371.322</v>
      </c>
      <c r="I120">
        <f t="shared" si="6"/>
        <v>304.19999999999982</v>
      </c>
      <c r="J120">
        <f>I120*_xlfn.XLOOKUP(B120,AG:AG,AI:AI)</f>
        <v>17.035199999999989</v>
      </c>
      <c r="K120" s="7">
        <f>_xlfn.XLOOKUP(A120,Z:Z,AD:AD)</f>
        <v>45700</v>
      </c>
      <c r="L120" s="7">
        <f t="shared" si="7"/>
        <v>45670</v>
      </c>
      <c r="M120">
        <f t="shared" si="8"/>
        <v>1</v>
      </c>
      <c r="N120">
        <f t="shared" si="9"/>
        <v>2025</v>
      </c>
      <c r="Q120" s="22">
        <v>205</v>
      </c>
      <c r="R120" s="22">
        <v>868193.33</v>
      </c>
      <c r="S120" s="22" t="str">
        <f t="shared" si="10"/>
        <v>MXN</v>
      </c>
      <c r="T120" s="22">
        <f>R120*_xlfn.XLOOKUP(S120,AG:AG,AI:AI)</f>
        <v>48618.826479999996</v>
      </c>
      <c r="U120" s="22" t="s">
        <v>26</v>
      </c>
      <c r="W120" s="9">
        <v>127</v>
      </c>
      <c r="X120" s="9" t="s">
        <v>29</v>
      </c>
      <c r="Z120">
        <v>123</v>
      </c>
      <c r="AA120">
        <v>6934.95</v>
      </c>
      <c r="AB120" t="s">
        <v>28</v>
      </c>
      <c r="AD120" s="20">
        <v>45700</v>
      </c>
    </row>
    <row r="121" spans="1:30">
      <c r="A121">
        <v>124</v>
      </c>
      <c r="B121" t="str">
        <f>_xlfn.XLOOKUP(A121,Z:Z,AB:AB,"not found")</f>
        <v>USD</v>
      </c>
      <c r="C121">
        <f>_xlfn.XLOOKUP(A121,Z:Z,AA:AA)-_xlfn.XLOOKUP(A121,Q:Q,R:R,"0")</f>
        <v>0</v>
      </c>
      <c r="D121">
        <f>C121*_xlfn.XLOOKUP(B121,AG:AG,AH:AH)</f>
        <v>0</v>
      </c>
      <c r="E121">
        <f>C121*_xlfn.XLOOKUP(B121,AG:AG,AI:AI)</f>
        <v>0</v>
      </c>
      <c r="F121">
        <v>57724</v>
      </c>
      <c r="G121">
        <f>F121*_xlfn.XLOOKUP(B121,AG:AG,AH:AH)</f>
        <v>49642.64</v>
      </c>
      <c r="H121">
        <f>F121*_xlfn.XLOOKUP(B121,AG:AG,AI:AI)</f>
        <v>57724</v>
      </c>
      <c r="I121">
        <f t="shared" si="6"/>
        <v>0</v>
      </c>
      <c r="J121">
        <f>I121*_xlfn.XLOOKUP(B121,AG:AG,AI:AI)</f>
        <v>0</v>
      </c>
      <c r="K121" s="7">
        <f>_xlfn.XLOOKUP(A121,Z:Z,AD:AD)</f>
        <v>45832</v>
      </c>
      <c r="L121" s="7">
        <f t="shared" si="7"/>
        <v>45802</v>
      </c>
      <c r="M121">
        <f t="shared" si="8"/>
        <v>5</v>
      </c>
      <c r="N121">
        <f t="shared" si="9"/>
        <v>2025</v>
      </c>
      <c r="Q121" s="22">
        <v>206</v>
      </c>
      <c r="R121" s="22">
        <v>8210</v>
      </c>
      <c r="S121" s="22" t="str">
        <f t="shared" si="10"/>
        <v>USD</v>
      </c>
      <c r="T121" s="22">
        <f>R121*_xlfn.XLOOKUP(S121,AG:AG,AI:AI)</f>
        <v>8210</v>
      </c>
      <c r="U121" s="22" t="s">
        <v>26</v>
      </c>
      <c r="W121" s="9">
        <v>128</v>
      </c>
      <c r="X121" s="9" t="s">
        <v>29</v>
      </c>
      <c r="Z121">
        <v>124</v>
      </c>
      <c r="AA121">
        <v>57724</v>
      </c>
      <c r="AB121" t="s">
        <v>29</v>
      </c>
      <c r="AD121" s="20">
        <v>45832</v>
      </c>
    </row>
    <row r="122" spans="1:30">
      <c r="A122">
        <v>126</v>
      </c>
      <c r="B122" t="str">
        <f>_xlfn.XLOOKUP(A122,Z:Z,AB:AB,"not found")</f>
        <v>EUR</v>
      </c>
      <c r="C122">
        <f>_xlfn.XLOOKUP(A122,Z:Z,AA:AA)-_xlfn.XLOOKUP(A122,Q:Q,R:R,"0")</f>
        <v>122352.09</v>
      </c>
      <c r="D122">
        <f>C122*_xlfn.XLOOKUP(B122,AG:AG,AH:AH)</f>
        <v>122352.09</v>
      </c>
      <c r="E122">
        <f>C122*_xlfn.XLOOKUP(B122,AG:AG,AI:AI)</f>
        <v>141928.42439999999</v>
      </c>
      <c r="F122">
        <v>143769.04999999999</v>
      </c>
      <c r="G122">
        <f>F122*_xlfn.XLOOKUP(B122,AG:AG,AH:AH)</f>
        <v>143769.04999999999</v>
      </c>
      <c r="H122">
        <f>F122*_xlfn.XLOOKUP(B122,AG:AG,AI:AI)</f>
        <v>166772.09799999997</v>
      </c>
      <c r="I122">
        <f t="shared" si="6"/>
        <v>0</v>
      </c>
      <c r="J122">
        <f>I122*_xlfn.XLOOKUP(B122,AG:AG,AI:AI)</f>
        <v>0</v>
      </c>
      <c r="K122" s="7">
        <f>_xlfn.XLOOKUP(A122,Z:Z,AD:AD)</f>
        <v>45809</v>
      </c>
      <c r="L122" s="7">
        <f t="shared" si="7"/>
        <v>45779</v>
      </c>
      <c r="M122">
        <f t="shared" si="8"/>
        <v>5</v>
      </c>
      <c r="N122">
        <f t="shared" si="9"/>
        <v>2025</v>
      </c>
      <c r="Q122" s="22">
        <v>207</v>
      </c>
      <c r="R122" s="22">
        <v>4370.66</v>
      </c>
      <c r="S122" s="22" t="str">
        <f t="shared" si="10"/>
        <v>USD</v>
      </c>
      <c r="T122" s="22">
        <f>R122*_xlfn.XLOOKUP(S122,AG:AG,AI:AI)</f>
        <v>4370.66</v>
      </c>
      <c r="U122" s="22" t="s">
        <v>26</v>
      </c>
      <c r="W122" s="9">
        <v>129</v>
      </c>
      <c r="X122" s="9" t="s">
        <v>29</v>
      </c>
      <c r="Z122">
        <v>126</v>
      </c>
      <c r="AA122">
        <v>143769.04999999999</v>
      </c>
      <c r="AB122" t="s">
        <v>27</v>
      </c>
      <c r="AD122" s="20">
        <v>45809</v>
      </c>
    </row>
    <row r="123" spans="1:30">
      <c r="A123">
        <v>127</v>
      </c>
      <c r="B123" t="str">
        <f>_xlfn.XLOOKUP(A123,Z:Z,AB:AB,"not found")</f>
        <v>USD</v>
      </c>
      <c r="C123">
        <f>_xlfn.XLOOKUP(A123,Z:Z,AA:AA)-_xlfn.XLOOKUP(A123,Q:Q,R:R,"0")</f>
        <v>0</v>
      </c>
      <c r="D123">
        <f>C123*_xlfn.XLOOKUP(B123,AG:AG,AH:AH)</f>
        <v>0</v>
      </c>
      <c r="E123">
        <f>C123*_xlfn.XLOOKUP(B123,AG:AG,AI:AI)</f>
        <v>0</v>
      </c>
      <c r="F123">
        <v>5088</v>
      </c>
      <c r="G123">
        <f>F123*_xlfn.XLOOKUP(B123,AG:AG,AH:AH)</f>
        <v>4375.68</v>
      </c>
      <c r="H123">
        <f>F123*_xlfn.XLOOKUP(B123,AG:AG,AI:AI)</f>
        <v>5088</v>
      </c>
      <c r="I123">
        <f t="shared" si="6"/>
        <v>0</v>
      </c>
      <c r="J123">
        <f>I123*_xlfn.XLOOKUP(B123,AG:AG,AI:AI)</f>
        <v>0</v>
      </c>
      <c r="K123" s="7">
        <f>_xlfn.XLOOKUP(A123,Z:Z,AD:AD)</f>
        <v>45648</v>
      </c>
      <c r="L123" s="7">
        <f t="shared" si="7"/>
        <v>45618</v>
      </c>
      <c r="M123">
        <f t="shared" si="8"/>
        <v>11</v>
      </c>
      <c r="N123">
        <f t="shared" si="9"/>
        <v>2024</v>
      </c>
      <c r="Q123" s="22">
        <v>208</v>
      </c>
      <c r="R123" s="22">
        <v>4370.66</v>
      </c>
      <c r="S123" s="22" t="str">
        <f t="shared" si="10"/>
        <v>USD</v>
      </c>
      <c r="T123" s="22">
        <f>R123*_xlfn.XLOOKUP(S123,AG:AG,AI:AI)</f>
        <v>4370.66</v>
      </c>
      <c r="U123" s="22" t="s">
        <v>26</v>
      </c>
      <c r="W123" s="9">
        <v>130</v>
      </c>
      <c r="X123" s="9" t="s">
        <v>29</v>
      </c>
      <c r="Z123">
        <v>127</v>
      </c>
      <c r="AA123">
        <v>5088</v>
      </c>
      <c r="AB123" t="s">
        <v>29</v>
      </c>
      <c r="AD123" s="20">
        <v>45648</v>
      </c>
    </row>
    <row r="124" spans="1:30">
      <c r="A124">
        <v>128</v>
      </c>
      <c r="B124" t="str">
        <f>_xlfn.XLOOKUP(A124,Z:Z,AB:AB,"not found")</f>
        <v>USD</v>
      </c>
      <c r="C124">
        <f>_xlfn.XLOOKUP(A124,Z:Z,AA:AA)-_xlfn.XLOOKUP(A124,Q:Q,R:R,"0")</f>
        <v>0</v>
      </c>
      <c r="D124">
        <f>C124*_xlfn.XLOOKUP(B124,AG:AG,AH:AH)</f>
        <v>0</v>
      </c>
      <c r="E124">
        <f>C124*_xlfn.XLOOKUP(B124,AG:AG,AI:AI)</f>
        <v>0</v>
      </c>
      <c r="F124">
        <v>1389.53</v>
      </c>
      <c r="G124">
        <f>F124*_xlfn.XLOOKUP(B124,AG:AG,AH:AH)</f>
        <v>1194.9957999999999</v>
      </c>
      <c r="H124">
        <f>F124*_xlfn.XLOOKUP(B124,AG:AG,AI:AI)</f>
        <v>1389.53</v>
      </c>
      <c r="I124">
        <f t="shared" si="6"/>
        <v>0</v>
      </c>
      <c r="J124">
        <f>I124*_xlfn.XLOOKUP(B124,AG:AG,AI:AI)</f>
        <v>0</v>
      </c>
      <c r="K124" s="7">
        <f>_xlfn.XLOOKUP(A124,Z:Z,AD:AD)</f>
        <v>45688</v>
      </c>
      <c r="L124" s="7">
        <f t="shared" si="7"/>
        <v>45658</v>
      </c>
      <c r="M124">
        <f t="shared" si="8"/>
        <v>1</v>
      </c>
      <c r="N124">
        <f t="shared" si="9"/>
        <v>2025</v>
      </c>
      <c r="Q124" s="22">
        <v>213</v>
      </c>
      <c r="R124" s="22">
        <v>19903.2</v>
      </c>
      <c r="S124" s="22" t="str">
        <f t="shared" si="10"/>
        <v>USD</v>
      </c>
      <c r="T124" s="22">
        <f>R124*_xlfn.XLOOKUP(S124,AG:AG,AI:AI)</f>
        <v>19903.2</v>
      </c>
      <c r="U124" s="22" t="s">
        <v>26</v>
      </c>
      <c r="W124" s="9">
        <v>132</v>
      </c>
      <c r="X124" s="9" t="s">
        <v>29</v>
      </c>
      <c r="Z124">
        <v>128</v>
      </c>
      <c r="AA124">
        <v>1389.53</v>
      </c>
      <c r="AB124" t="s">
        <v>29</v>
      </c>
      <c r="AD124" s="20">
        <v>45688</v>
      </c>
    </row>
    <row r="125" spans="1:30">
      <c r="A125">
        <v>129</v>
      </c>
      <c r="B125" t="str">
        <f>_xlfn.XLOOKUP(A125,Z:Z,AB:AB,"not found")</f>
        <v>USD</v>
      </c>
      <c r="C125">
        <f>_xlfn.XLOOKUP(A125,Z:Z,AA:AA)-_xlfn.XLOOKUP(A125,Q:Q,R:R,"0")</f>
        <v>0</v>
      </c>
      <c r="D125">
        <f>C125*_xlfn.XLOOKUP(B125,AG:AG,AH:AH)</f>
        <v>0</v>
      </c>
      <c r="E125">
        <f>C125*_xlfn.XLOOKUP(B125,AG:AG,AI:AI)</f>
        <v>0</v>
      </c>
      <c r="F125">
        <v>166662</v>
      </c>
      <c r="G125">
        <f>F125*_xlfn.XLOOKUP(B125,AG:AG,AH:AH)</f>
        <v>143329.32</v>
      </c>
      <c r="H125">
        <f>F125*_xlfn.XLOOKUP(B125,AG:AG,AI:AI)</f>
        <v>166662</v>
      </c>
      <c r="I125">
        <f t="shared" si="6"/>
        <v>0</v>
      </c>
      <c r="J125">
        <f>I125*_xlfn.XLOOKUP(B125,AG:AG,AI:AI)</f>
        <v>0</v>
      </c>
      <c r="K125" s="7">
        <f>_xlfn.XLOOKUP(A125,Z:Z,AD:AD)</f>
        <v>45735</v>
      </c>
      <c r="L125" s="7">
        <f t="shared" si="7"/>
        <v>45705</v>
      </c>
      <c r="M125">
        <f t="shared" si="8"/>
        <v>2</v>
      </c>
      <c r="N125">
        <f t="shared" si="9"/>
        <v>2025</v>
      </c>
      <c r="Q125" s="22">
        <v>214</v>
      </c>
      <c r="R125" s="22">
        <v>2074.1999999999998</v>
      </c>
      <c r="S125" s="22" t="str">
        <f t="shared" si="10"/>
        <v>USD</v>
      </c>
      <c r="T125" s="22">
        <f>R125*_xlfn.XLOOKUP(S125,AG:AG,AI:AI)</f>
        <v>2074.1999999999998</v>
      </c>
      <c r="U125" s="22" t="s">
        <v>26</v>
      </c>
      <c r="W125" s="9">
        <v>132</v>
      </c>
      <c r="X125" s="9" t="s">
        <v>29</v>
      </c>
      <c r="Z125">
        <v>129</v>
      </c>
      <c r="AA125">
        <v>166662</v>
      </c>
      <c r="AB125" t="s">
        <v>29</v>
      </c>
      <c r="AD125" s="20">
        <v>45735</v>
      </c>
    </row>
    <row r="126" spans="1:30">
      <c r="A126">
        <v>130</v>
      </c>
      <c r="B126" t="str">
        <f>_xlfn.XLOOKUP(A126,Z:Z,AB:AB,"not found")</f>
        <v>USD</v>
      </c>
      <c r="C126">
        <f>_xlfn.XLOOKUP(A126,Z:Z,AA:AA)-_xlfn.XLOOKUP(A126,Q:Q,R:R,"0")</f>
        <v>0</v>
      </c>
      <c r="D126">
        <f>C126*_xlfn.XLOOKUP(B126,AG:AG,AH:AH)</f>
        <v>0</v>
      </c>
      <c r="E126">
        <f>C126*_xlfn.XLOOKUP(B126,AG:AG,AI:AI)</f>
        <v>0</v>
      </c>
      <c r="F126">
        <v>4389</v>
      </c>
      <c r="G126">
        <f>F126*_xlfn.XLOOKUP(B126,AG:AG,AH:AH)</f>
        <v>3774.54</v>
      </c>
      <c r="H126">
        <f>F126*_xlfn.XLOOKUP(B126,AG:AG,AI:AI)</f>
        <v>4389</v>
      </c>
      <c r="I126">
        <f t="shared" si="6"/>
        <v>0</v>
      </c>
      <c r="J126">
        <f>I126*_xlfn.XLOOKUP(B126,AG:AG,AI:AI)</f>
        <v>0</v>
      </c>
      <c r="K126" s="7">
        <f>_xlfn.XLOOKUP(A126,Z:Z,AD:AD)</f>
        <v>45735</v>
      </c>
      <c r="L126" s="7">
        <f t="shared" si="7"/>
        <v>45705</v>
      </c>
      <c r="M126">
        <f t="shared" si="8"/>
        <v>2</v>
      </c>
      <c r="N126">
        <f t="shared" si="9"/>
        <v>2025</v>
      </c>
      <c r="Q126" s="22">
        <v>215</v>
      </c>
      <c r="R126" s="22">
        <v>21316.400000000001</v>
      </c>
      <c r="S126" s="22" t="str">
        <f t="shared" si="10"/>
        <v>EUR</v>
      </c>
      <c r="T126" s="22">
        <f>R126*_xlfn.XLOOKUP(S126,AG:AG,AI:AI)</f>
        <v>24727.024000000001</v>
      </c>
      <c r="U126" s="22" t="s">
        <v>26</v>
      </c>
      <c r="W126" s="9">
        <v>133</v>
      </c>
      <c r="X126" s="9" t="s">
        <v>29</v>
      </c>
      <c r="Z126">
        <v>130</v>
      </c>
      <c r="AA126">
        <v>4389</v>
      </c>
      <c r="AB126" t="s">
        <v>29</v>
      </c>
      <c r="AD126" s="20">
        <v>45735</v>
      </c>
    </row>
    <row r="127" spans="1:30">
      <c r="A127">
        <v>131</v>
      </c>
      <c r="B127" t="str">
        <f>_xlfn.XLOOKUP(A127,Z:Z,AB:AB,"not found")</f>
        <v>USD</v>
      </c>
      <c r="C127">
        <f>_xlfn.XLOOKUP(A127,Z:Z,AA:AA)-_xlfn.XLOOKUP(A127,Q:Q,R:R,"0")</f>
        <v>11343.61</v>
      </c>
      <c r="D127">
        <f>C127*_xlfn.XLOOKUP(B127,AG:AG,AH:AH)</f>
        <v>9755.5046000000002</v>
      </c>
      <c r="E127">
        <f>C127*_xlfn.XLOOKUP(B127,AG:AG,AI:AI)</f>
        <v>11343.61</v>
      </c>
      <c r="F127">
        <v>11343.61</v>
      </c>
      <c r="G127">
        <f>F127*_xlfn.XLOOKUP(B127,AG:AG,AH:AH)</f>
        <v>9755.5046000000002</v>
      </c>
      <c r="H127">
        <f>F127*_xlfn.XLOOKUP(B127,AG:AG,AI:AI)</f>
        <v>11343.61</v>
      </c>
      <c r="I127">
        <f t="shared" si="6"/>
        <v>0</v>
      </c>
      <c r="J127">
        <f>I127*_xlfn.XLOOKUP(B127,AG:AG,AI:AI)</f>
        <v>0</v>
      </c>
      <c r="K127" s="7">
        <f>_xlfn.XLOOKUP(A127,Z:Z,AD:AD)</f>
        <v>45742</v>
      </c>
      <c r="L127" s="7">
        <f t="shared" si="7"/>
        <v>45712</v>
      </c>
      <c r="M127">
        <f t="shared" si="8"/>
        <v>2</v>
      </c>
      <c r="N127">
        <f t="shared" si="9"/>
        <v>2025</v>
      </c>
      <c r="Q127" s="22">
        <v>216</v>
      </c>
      <c r="R127" s="22">
        <v>58328.6</v>
      </c>
      <c r="S127" s="22" t="str">
        <f t="shared" si="10"/>
        <v>USD</v>
      </c>
      <c r="T127" s="22">
        <f>R127*_xlfn.XLOOKUP(S127,AG:AG,AI:AI)</f>
        <v>58328.6</v>
      </c>
      <c r="U127" s="22" t="s">
        <v>26</v>
      </c>
      <c r="W127" s="9">
        <v>133</v>
      </c>
      <c r="X127" s="9" t="s">
        <v>29</v>
      </c>
      <c r="Z127">
        <v>131</v>
      </c>
      <c r="AA127">
        <v>11343.61</v>
      </c>
      <c r="AB127" t="s">
        <v>29</v>
      </c>
      <c r="AD127" s="20">
        <v>45742</v>
      </c>
    </row>
    <row r="128" spans="1:30">
      <c r="A128">
        <v>132</v>
      </c>
      <c r="B128" t="str">
        <f>_xlfn.XLOOKUP(A128,Z:Z,AB:AB,"not found")</f>
        <v>USD</v>
      </c>
      <c r="C128">
        <f>_xlfn.XLOOKUP(A128,Z:Z,AA:AA)-_xlfn.XLOOKUP(A128,Q:Q,R:R,"0")</f>
        <v>0</v>
      </c>
      <c r="D128">
        <f>C128*_xlfn.XLOOKUP(B128,AG:AG,AH:AH)</f>
        <v>0</v>
      </c>
      <c r="E128">
        <f>C128*_xlfn.XLOOKUP(B128,AG:AG,AI:AI)</f>
        <v>0</v>
      </c>
      <c r="F128">
        <v>4378.88</v>
      </c>
      <c r="G128">
        <f>F128*_xlfn.XLOOKUP(B128,AG:AG,AH:AH)</f>
        <v>3765.8368</v>
      </c>
      <c r="H128">
        <f>F128*_xlfn.XLOOKUP(B128,AG:AG,AI:AI)</f>
        <v>4378.88</v>
      </c>
      <c r="I128">
        <f t="shared" si="6"/>
        <v>0</v>
      </c>
      <c r="J128">
        <f>I128*_xlfn.XLOOKUP(B128,AG:AG,AI:AI)</f>
        <v>0</v>
      </c>
      <c r="K128" s="7">
        <f>_xlfn.XLOOKUP(A128,Z:Z,AD:AD)</f>
        <v>45700</v>
      </c>
      <c r="L128" s="7">
        <f t="shared" si="7"/>
        <v>45670</v>
      </c>
      <c r="M128">
        <f t="shared" si="8"/>
        <v>1</v>
      </c>
      <c r="N128">
        <f t="shared" si="9"/>
        <v>2025</v>
      </c>
      <c r="Q128" s="22">
        <v>217</v>
      </c>
      <c r="R128" s="22">
        <v>3574</v>
      </c>
      <c r="S128" s="22" t="str">
        <f t="shared" si="10"/>
        <v>USD</v>
      </c>
      <c r="T128" s="22">
        <f>R128*_xlfn.XLOOKUP(S128,AG:AG,AI:AI)</f>
        <v>3574</v>
      </c>
      <c r="U128" s="22" t="s">
        <v>26</v>
      </c>
      <c r="W128" s="9">
        <v>134</v>
      </c>
      <c r="X128" s="9" t="s">
        <v>29</v>
      </c>
      <c r="Z128">
        <v>132</v>
      </c>
      <c r="AA128">
        <v>4378.88</v>
      </c>
      <c r="AB128" t="s">
        <v>29</v>
      </c>
      <c r="AD128" s="20">
        <v>45700</v>
      </c>
    </row>
    <row r="129" spans="1:30">
      <c r="A129">
        <v>133</v>
      </c>
      <c r="B129" t="str">
        <f>_xlfn.XLOOKUP(A129,Z:Z,AB:AB,"not found")</f>
        <v>USD</v>
      </c>
      <c r="C129">
        <f>_xlfn.XLOOKUP(A129,Z:Z,AA:AA)-_xlfn.XLOOKUP(A129,Q:Q,R:R,"0")</f>
        <v>0</v>
      </c>
      <c r="D129">
        <f>C129*_xlfn.XLOOKUP(B129,AG:AG,AH:AH)</f>
        <v>0</v>
      </c>
      <c r="E129">
        <f>C129*_xlfn.XLOOKUP(B129,AG:AG,AI:AI)</f>
        <v>0</v>
      </c>
      <c r="F129">
        <v>8756.25</v>
      </c>
      <c r="G129">
        <f>F129*_xlfn.XLOOKUP(B129,AG:AG,AH:AH)</f>
        <v>7530.375</v>
      </c>
      <c r="H129">
        <f>F129*_xlfn.XLOOKUP(B129,AG:AG,AI:AI)</f>
        <v>8756.25</v>
      </c>
      <c r="I129">
        <f t="shared" si="6"/>
        <v>0</v>
      </c>
      <c r="J129">
        <f>I129*_xlfn.XLOOKUP(B129,AG:AG,AI:AI)</f>
        <v>0</v>
      </c>
      <c r="K129" s="7">
        <f>_xlfn.XLOOKUP(A129,Z:Z,AD:AD)</f>
        <v>45675</v>
      </c>
      <c r="L129" s="7">
        <f t="shared" si="7"/>
        <v>45645</v>
      </c>
      <c r="M129">
        <f t="shared" si="8"/>
        <v>12</v>
      </c>
      <c r="N129">
        <f t="shared" si="9"/>
        <v>2024</v>
      </c>
      <c r="Q129" s="22">
        <v>218</v>
      </c>
      <c r="R129" s="22">
        <v>7247.7</v>
      </c>
      <c r="S129" s="22" t="str">
        <f t="shared" si="10"/>
        <v>USD</v>
      </c>
      <c r="T129" s="22">
        <f>R129*_xlfn.XLOOKUP(S129,AG:AG,AI:AI)</f>
        <v>7247.7</v>
      </c>
      <c r="U129" s="22" t="s">
        <v>26</v>
      </c>
      <c r="W129" s="9">
        <v>134</v>
      </c>
      <c r="X129" s="9" t="s">
        <v>29</v>
      </c>
      <c r="Z129">
        <v>133</v>
      </c>
      <c r="AA129">
        <v>8756.25</v>
      </c>
      <c r="AB129" t="s">
        <v>29</v>
      </c>
      <c r="AD129" s="20">
        <v>45675</v>
      </c>
    </row>
    <row r="130" spans="1:30">
      <c r="A130">
        <v>134</v>
      </c>
      <c r="B130" t="str">
        <f>_xlfn.XLOOKUP(A130,Z:Z,AB:AB,"not found")</f>
        <v>USD</v>
      </c>
      <c r="C130">
        <f>_xlfn.XLOOKUP(A130,Z:Z,AA:AA)-_xlfn.XLOOKUP(A130,Q:Q,R:R,"0")</f>
        <v>27450.52</v>
      </c>
      <c r="D130">
        <f>C130*_xlfn.XLOOKUP(B130,AG:AG,AH:AH)</f>
        <v>23607.447199999999</v>
      </c>
      <c r="E130">
        <f>C130*_xlfn.XLOOKUP(B130,AG:AG,AI:AI)</f>
        <v>27450.52</v>
      </c>
      <c r="F130">
        <v>28655.52</v>
      </c>
      <c r="G130">
        <f>F130*_xlfn.XLOOKUP(B130,AG:AG,AH:AH)</f>
        <v>24643.747200000002</v>
      </c>
      <c r="H130">
        <f>F130*_xlfn.XLOOKUP(B130,AG:AG,AI:AI)</f>
        <v>28655.52</v>
      </c>
      <c r="I130">
        <f t="shared" si="6"/>
        <v>0</v>
      </c>
      <c r="J130">
        <f>I130*_xlfn.XLOOKUP(B130,AG:AG,AI:AI)</f>
        <v>0</v>
      </c>
      <c r="K130" s="7">
        <f>_xlfn.XLOOKUP(A130,Z:Z,AD:AD)</f>
        <v>45792</v>
      </c>
      <c r="L130" s="7">
        <f t="shared" si="7"/>
        <v>45762</v>
      </c>
      <c r="M130">
        <f t="shared" si="8"/>
        <v>4</v>
      </c>
      <c r="N130">
        <f t="shared" si="9"/>
        <v>2025</v>
      </c>
      <c r="Q130" s="22">
        <v>219</v>
      </c>
      <c r="R130" s="22">
        <v>10185.200000000001</v>
      </c>
      <c r="S130" s="22" t="str">
        <f t="shared" si="10"/>
        <v>EUR</v>
      </c>
      <c r="T130" s="22">
        <f>R130*_xlfn.XLOOKUP(S130,AG:AG,AI:AI)</f>
        <v>11814.832</v>
      </c>
      <c r="U130" s="22" t="s">
        <v>26</v>
      </c>
      <c r="W130" s="9">
        <v>134</v>
      </c>
      <c r="X130" s="9" t="s">
        <v>29</v>
      </c>
      <c r="Z130">
        <v>134</v>
      </c>
      <c r="AA130">
        <v>28655.52</v>
      </c>
      <c r="AB130" t="s">
        <v>29</v>
      </c>
      <c r="AD130" s="20">
        <v>45792</v>
      </c>
    </row>
    <row r="131" spans="1:30">
      <c r="A131">
        <v>135</v>
      </c>
      <c r="B131" t="str">
        <f>_xlfn.XLOOKUP(A131,Z:Z,AB:AB,"not found")</f>
        <v>USD</v>
      </c>
      <c r="C131">
        <f>_xlfn.XLOOKUP(A131,Z:Z,AA:AA)-_xlfn.XLOOKUP(A131,Q:Q,R:R,"0")</f>
        <v>87186.8</v>
      </c>
      <c r="D131">
        <f>C131*_xlfn.XLOOKUP(B131,AG:AG,AH:AH)</f>
        <v>74980.648000000001</v>
      </c>
      <c r="E131">
        <f>C131*_xlfn.XLOOKUP(B131,AG:AG,AI:AI)</f>
        <v>87186.8</v>
      </c>
      <c r="F131">
        <v>87186.8</v>
      </c>
      <c r="G131">
        <f>F131*_xlfn.XLOOKUP(B131,AG:AG,AH:AH)</f>
        <v>74980.648000000001</v>
      </c>
      <c r="H131">
        <f>F131*_xlfn.XLOOKUP(B131,AG:AG,AI:AI)</f>
        <v>87186.8</v>
      </c>
      <c r="I131">
        <f t="shared" ref="I131:I194" si="12">C131-F131+_xlfn.XLOOKUP(A131,Q:Q,R:R,"0")</f>
        <v>0</v>
      </c>
      <c r="J131">
        <f>I131*_xlfn.XLOOKUP(B131,AG:AG,AI:AI)</f>
        <v>0</v>
      </c>
      <c r="K131" s="7">
        <f>_xlfn.XLOOKUP(A131,Z:Z,AD:AD)</f>
        <v>45779</v>
      </c>
      <c r="L131" s="7">
        <f t="shared" ref="L131:L194" si="13">K131-30</f>
        <v>45749</v>
      </c>
      <c r="M131">
        <f t="shared" ref="M131:M194" si="14">MONTH(L131)</f>
        <v>4</v>
      </c>
      <c r="N131">
        <f t="shared" ref="N131:N194" si="15">YEAR(L131)</f>
        <v>2025</v>
      </c>
      <c r="Q131" s="22">
        <v>220</v>
      </c>
      <c r="R131" s="22">
        <v>9173.7000000000007</v>
      </c>
      <c r="S131" s="22" t="str">
        <f t="shared" ref="S131:S194" si="16">_xlfn.XLOOKUP(Q131,W:W,X:X)</f>
        <v>EUR</v>
      </c>
      <c r="T131" s="22">
        <f>R131*_xlfn.XLOOKUP(S131,AG:AG,AI:AI)</f>
        <v>10641.492</v>
      </c>
      <c r="U131" s="22" t="s">
        <v>26</v>
      </c>
      <c r="W131" s="9">
        <v>136</v>
      </c>
      <c r="X131" s="9" t="s">
        <v>29</v>
      </c>
      <c r="Z131">
        <v>135</v>
      </c>
      <c r="AA131">
        <v>87186.8</v>
      </c>
      <c r="AB131" t="s">
        <v>29</v>
      </c>
      <c r="AD131" s="20">
        <v>45779</v>
      </c>
    </row>
    <row r="132" spans="1:30">
      <c r="A132">
        <v>136</v>
      </c>
      <c r="B132" t="str">
        <f>_xlfn.XLOOKUP(A132,Z:Z,AB:AB,"not found")</f>
        <v>USD</v>
      </c>
      <c r="C132">
        <f>_xlfn.XLOOKUP(A132,Z:Z,AA:AA)-_xlfn.XLOOKUP(A132,Q:Q,R:R,"0")</f>
        <v>155010.57</v>
      </c>
      <c r="D132">
        <f>C132*_xlfn.XLOOKUP(B132,AG:AG,AH:AH)</f>
        <v>133309.09020000001</v>
      </c>
      <c r="E132">
        <f>C132*_xlfn.XLOOKUP(B132,AG:AG,AI:AI)</f>
        <v>155010.57</v>
      </c>
      <c r="F132">
        <v>212465.22</v>
      </c>
      <c r="G132">
        <f>F132*_xlfn.XLOOKUP(B132,AG:AG,AH:AH)</f>
        <v>182720.08919999999</v>
      </c>
      <c r="H132">
        <f>F132*_xlfn.XLOOKUP(B132,AG:AG,AI:AI)</f>
        <v>212465.22</v>
      </c>
      <c r="I132">
        <f t="shared" si="12"/>
        <v>0</v>
      </c>
      <c r="J132">
        <f>I132*_xlfn.XLOOKUP(B132,AG:AG,AI:AI)</f>
        <v>0</v>
      </c>
      <c r="K132" s="7">
        <f>_xlfn.XLOOKUP(A132,Z:Z,AD:AD)</f>
        <v>45757</v>
      </c>
      <c r="L132" s="7">
        <f t="shared" si="13"/>
        <v>45727</v>
      </c>
      <c r="M132">
        <f t="shared" si="14"/>
        <v>3</v>
      </c>
      <c r="N132">
        <f t="shared" si="15"/>
        <v>2025</v>
      </c>
      <c r="Q132" s="22">
        <v>222</v>
      </c>
      <c r="R132" s="22">
        <v>84169.550000000017</v>
      </c>
      <c r="S132" s="22" t="str">
        <f t="shared" si="16"/>
        <v>USD</v>
      </c>
      <c r="T132" s="22">
        <f>R132*_xlfn.XLOOKUP(S132,AG:AG,AI:AI)</f>
        <v>84169.550000000017</v>
      </c>
      <c r="U132" s="22" t="s">
        <v>26</v>
      </c>
      <c r="W132" s="9">
        <v>136</v>
      </c>
      <c r="X132" s="9" t="s">
        <v>29</v>
      </c>
      <c r="Z132">
        <v>136</v>
      </c>
      <c r="AA132">
        <v>212465.22</v>
      </c>
      <c r="AB132" t="s">
        <v>29</v>
      </c>
      <c r="AD132" s="20">
        <v>45757</v>
      </c>
    </row>
    <row r="133" spans="1:30">
      <c r="A133">
        <v>137</v>
      </c>
      <c r="B133" t="str">
        <f>_xlfn.XLOOKUP(A133,Z:Z,AB:AB,"not found")</f>
        <v>USD</v>
      </c>
      <c r="C133">
        <f>_xlfn.XLOOKUP(A133,Z:Z,AA:AA)-_xlfn.XLOOKUP(A133,Q:Q,R:R,"0")</f>
        <v>28228.14</v>
      </c>
      <c r="D133">
        <f>C133*_xlfn.XLOOKUP(B133,AG:AG,AH:AH)</f>
        <v>24276.200399999998</v>
      </c>
      <c r="E133">
        <f>C133*_xlfn.XLOOKUP(B133,AG:AG,AI:AI)</f>
        <v>28228.14</v>
      </c>
      <c r="F133">
        <v>32802.25</v>
      </c>
      <c r="G133">
        <f>F133*_xlfn.XLOOKUP(B133,AG:AG,AH:AH)</f>
        <v>28209.935000000001</v>
      </c>
      <c r="H133">
        <f>F133*_xlfn.XLOOKUP(B133,AG:AG,AI:AI)</f>
        <v>32802.25</v>
      </c>
      <c r="I133">
        <f t="shared" si="12"/>
        <v>0</v>
      </c>
      <c r="J133">
        <f>I133*_xlfn.XLOOKUP(B133,AG:AG,AI:AI)</f>
        <v>0</v>
      </c>
      <c r="K133" s="7">
        <f>_xlfn.XLOOKUP(A133,Z:Z,AD:AD)</f>
        <v>45702</v>
      </c>
      <c r="L133" s="7">
        <f t="shared" si="13"/>
        <v>45672</v>
      </c>
      <c r="M133">
        <f t="shared" si="14"/>
        <v>1</v>
      </c>
      <c r="N133">
        <f t="shared" si="15"/>
        <v>2025</v>
      </c>
      <c r="Q133" s="22">
        <v>226</v>
      </c>
      <c r="R133" s="22">
        <v>1000</v>
      </c>
      <c r="S133" s="22" t="str">
        <f t="shared" si="16"/>
        <v>USD</v>
      </c>
      <c r="T133" s="22">
        <f>R133*_xlfn.XLOOKUP(S133,AG:AG,AI:AI)</f>
        <v>1000</v>
      </c>
      <c r="U133" s="22" t="s">
        <v>26</v>
      </c>
      <c r="W133" s="9">
        <v>136</v>
      </c>
      <c r="X133" s="9" t="s">
        <v>29</v>
      </c>
      <c r="Z133">
        <v>137</v>
      </c>
      <c r="AA133">
        <v>32802.25</v>
      </c>
      <c r="AB133" t="s">
        <v>29</v>
      </c>
      <c r="AD133" s="20">
        <v>45702</v>
      </c>
    </row>
    <row r="134" spans="1:30">
      <c r="A134">
        <v>138</v>
      </c>
      <c r="B134" t="str">
        <f>_xlfn.XLOOKUP(A134,Z:Z,AB:AB,"not found")</f>
        <v>MXN</v>
      </c>
      <c r="C134">
        <f>_xlfn.XLOOKUP(A134,Z:Z,AA:AA)-_xlfn.XLOOKUP(A134,Q:Q,R:R,"0")</f>
        <v>100439.4</v>
      </c>
      <c r="D134">
        <f>C134*_xlfn.XLOOKUP(B134,AG:AG,AH:AH)</f>
        <v>4821.0911999999998</v>
      </c>
      <c r="E134">
        <f>C134*_xlfn.XLOOKUP(B134,AG:AG,AI:AI)</f>
        <v>5624.6063999999997</v>
      </c>
      <c r="F134">
        <v>100439.4</v>
      </c>
      <c r="G134">
        <f>F134*_xlfn.XLOOKUP(B134,AG:AG,AH:AH)</f>
        <v>4821.0911999999998</v>
      </c>
      <c r="H134">
        <f>F134*_xlfn.XLOOKUP(B134,AG:AG,AI:AI)</f>
        <v>5624.6063999999997</v>
      </c>
      <c r="I134">
        <f t="shared" si="12"/>
        <v>0</v>
      </c>
      <c r="J134">
        <f>I134*_xlfn.XLOOKUP(B134,AG:AG,AI:AI)</f>
        <v>0</v>
      </c>
      <c r="K134" s="7">
        <f>_xlfn.XLOOKUP(A134,Z:Z,AD:AD)</f>
        <v>45975</v>
      </c>
      <c r="L134" s="7">
        <f t="shared" si="13"/>
        <v>45945</v>
      </c>
      <c r="M134">
        <f t="shared" si="14"/>
        <v>10</v>
      </c>
      <c r="N134">
        <f t="shared" si="15"/>
        <v>2025</v>
      </c>
      <c r="Q134" s="22">
        <v>227</v>
      </c>
      <c r="R134" s="22">
        <v>1822.35</v>
      </c>
      <c r="S134" s="22" t="str">
        <f t="shared" si="16"/>
        <v>USD</v>
      </c>
      <c r="T134" s="22">
        <f>R134*_xlfn.XLOOKUP(S134,AG:AG,AI:AI)</f>
        <v>1822.35</v>
      </c>
      <c r="U134" s="22" t="s">
        <v>26</v>
      </c>
      <c r="W134" s="9">
        <v>137</v>
      </c>
      <c r="X134" s="9" t="s">
        <v>29</v>
      </c>
      <c r="Z134">
        <v>138</v>
      </c>
      <c r="AA134">
        <v>100439.4</v>
      </c>
      <c r="AB134" t="s">
        <v>28</v>
      </c>
      <c r="AD134" s="20">
        <v>45975</v>
      </c>
    </row>
    <row r="135" spans="1:30">
      <c r="A135">
        <v>139</v>
      </c>
      <c r="B135" t="str">
        <f>_xlfn.XLOOKUP(A135,Z:Z,AB:AB,"not found")</f>
        <v>USD</v>
      </c>
      <c r="C135">
        <f>_xlfn.XLOOKUP(A135,Z:Z,AA:AA)-_xlfn.XLOOKUP(A135,Q:Q,R:R,"0")</f>
        <v>0</v>
      </c>
      <c r="D135">
        <f>C135*_xlfn.XLOOKUP(B135,AG:AG,AH:AH)</f>
        <v>0</v>
      </c>
      <c r="E135">
        <f>C135*_xlfn.XLOOKUP(B135,AG:AG,AI:AI)</f>
        <v>0</v>
      </c>
      <c r="F135">
        <v>2232</v>
      </c>
      <c r="G135">
        <f>F135*_xlfn.XLOOKUP(B135,AG:AG,AH:AH)</f>
        <v>1919.52</v>
      </c>
      <c r="H135">
        <f>F135*_xlfn.XLOOKUP(B135,AG:AG,AI:AI)</f>
        <v>2232</v>
      </c>
      <c r="I135">
        <f t="shared" si="12"/>
        <v>0</v>
      </c>
      <c r="J135">
        <f>I135*_xlfn.XLOOKUP(B135,AG:AG,AI:AI)</f>
        <v>0</v>
      </c>
      <c r="K135" s="7">
        <f>_xlfn.XLOOKUP(A135,Z:Z,AD:AD)</f>
        <v>45704</v>
      </c>
      <c r="L135" s="7">
        <f t="shared" si="13"/>
        <v>45674</v>
      </c>
      <c r="M135">
        <f t="shared" si="14"/>
        <v>1</v>
      </c>
      <c r="N135">
        <f t="shared" si="15"/>
        <v>2025</v>
      </c>
      <c r="Q135" s="22">
        <v>228</v>
      </c>
      <c r="R135" s="22">
        <v>6942</v>
      </c>
      <c r="S135" s="22" t="str">
        <f t="shared" si="16"/>
        <v>USD</v>
      </c>
      <c r="T135" s="22">
        <f>R135*_xlfn.XLOOKUP(S135,AG:AG,AI:AI)</f>
        <v>6942</v>
      </c>
      <c r="U135" s="22" t="s">
        <v>26</v>
      </c>
      <c r="W135" s="9">
        <v>139</v>
      </c>
      <c r="X135" s="9" t="s">
        <v>29</v>
      </c>
      <c r="Z135">
        <v>139</v>
      </c>
      <c r="AA135">
        <v>2232</v>
      </c>
      <c r="AB135" t="s">
        <v>29</v>
      </c>
      <c r="AD135" s="20">
        <v>45704</v>
      </c>
    </row>
    <row r="136" spans="1:30">
      <c r="A136">
        <v>140</v>
      </c>
      <c r="B136" t="str">
        <f>_xlfn.XLOOKUP(A136,Z:Z,AB:AB,"not found")</f>
        <v>USD</v>
      </c>
      <c r="C136">
        <f>_xlfn.XLOOKUP(A136,Z:Z,AA:AA)-_xlfn.XLOOKUP(A136,Q:Q,R:R,"0")</f>
        <v>0</v>
      </c>
      <c r="D136">
        <f>C136*_xlfn.XLOOKUP(B136,AG:AG,AH:AH)</f>
        <v>0</v>
      </c>
      <c r="E136">
        <f>C136*_xlfn.XLOOKUP(B136,AG:AG,AI:AI)</f>
        <v>0</v>
      </c>
      <c r="F136">
        <v>23910.84</v>
      </c>
      <c r="G136">
        <f>F136*_xlfn.XLOOKUP(B136,AG:AG,AH:AH)</f>
        <v>20563.322400000001</v>
      </c>
      <c r="H136">
        <f>F136*_xlfn.XLOOKUP(B136,AG:AG,AI:AI)</f>
        <v>23910.84</v>
      </c>
      <c r="I136">
        <f t="shared" si="12"/>
        <v>0</v>
      </c>
      <c r="J136">
        <f>I136*_xlfn.XLOOKUP(B136,AG:AG,AI:AI)</f>
        <v>0</v>
      </c>
      <c r="K136" s="7">
        <f>_xlfn.XLOOKUP(A136,Z:Z,AD:AD)</f>
        <v>45650</v>
      </c>
      <c r="L136" s="7">
        <f t="shared" si="13"/>
        <v>45620</v>
      </c>
      <c r="M136">
        <f t="shared" si="14"/>
        <v>11</v>
      </c>
      <c r="N136">
        <f t="shared" si="15"/>
        <v>2024</v>
      </c>
      <c r="Q136" s="22">
        <v>229</v>
      </c>
      <c r="R136" s="22">
        <v>20446.189999999999</v>
      </c>
      <c r="S136" s="22" t="str">
        <f t="shared" si="16"/>
        <v>USD</v>
      </c>
      <c r="T136" s="22">
        <f>R136*_xlfn.XLOOKUP(S136,AG:AG,AI:AI)</f>
        <v>20446.189999999999</v>
      </c>
      <c r="U136" s="22" t="s">
        <v>26</v>
      </c>
      <c r="W136" s="9">
        <v>140</v>
      </c>
      <c r="X136" s="9" t="s">
        <v>29</v>
      </c>
      <c r="Z136">
        <v>140</v>
      </c>
      <c r="AA136">
        <v>23910.84</v>
      </c>
      <c r="AB136" t="s">
        <v>29</v>
      </c>
      <c r="AD136" s="20">
        <v>45650</v>
      </c>
    </row>
    <row r="137" spans="1:30">
      <c r="A137">
        <v>141</v>
      </c>
      <c r="B137" t="str">
        <f>_xlfn.XLOOKUP(A137,Z:Z,AB:AB,"not found")</f>
        <v>EUR</v>
      </c>
      <c r="C137">
        <f>_xlfn.XLOOKUP(A137,Z:Z,AA:AA)-_xlfn.XLOOKUP(A137,Q:Q,R:R,"0")</f>
        <v>0</v>
      </c>
      <c r="D137">
        <f>C137*_xlfn.XLOOKUP(B137,AG:AG,AH:AH)</f>
        <v>0</v>
      </c>
      <c r="E137">
        <f>C137*_xlfn.XLOOKUP(B137,AG:AG,AI:AI)</f>
        <v>0</v>
      </c>
      <c r="F137">
        <v>3158.37</v>
      </c>
      <c r="G137">
        <f>F137*_xlfn.XLOOKUP(B137,AG:AG,AH:AH)</f>
        <v>3158.37</v>
      </c>
      <c r="H137">
        <f>F137*_xlfn.XLOOKUP(B137,AG:AG,AI:AI)</f>
        <v>3663.7091999999998</v>
      </c>
      <c r="I137">
        <f t="shared" si="12"/>
        <v>0</v>
      </c>
      <c r="J137">
        <f>I137*_xlfn.XLOOKUP(B137,AG:AG,AI:AI)</f>
        <v>0</v>
      </c>
      <c r="K137" s="7">
        <f>_xlfn.XLOOKUP(A137,Z:Z,AD:AD)</f>
        <v>45689</v>
      </c>
      <c r="L137" s="7">
        <f t="shared" si="13"/>
        <v>45659</v>
      </c>
      <c r="M137">
        <f t="shared" si="14"/>
        <v>1</v>
      </c>
      <c r="N137">
        <f t="shared" si="15"/>
        <v>2025</v>
      </c>
      <c r="Q137" s="22">
        <v>232</v>
      </c>
      <c r="R137" s="22">
        <v>51558.95</v>
      </c>
      <c r="S137" s="22" t="str">
        <f t="shared" si="16"/>
        <v>MXN</v>
      </c>
      <c r="T137" s="22">
        <f>R137*_xlfn.XLOOKUP(S137,AG:AG,AI:AI)</f>
        <v>2887.3011999999999</v>
      </c>
      <c r="U137" s="22" t="s">
        <v>26</v>
      </c>
      <c r="W137" s="9">
        <v>140</v>
      </c>
      <c r="X137" s="9" t="s">
        <v>29</v>
      </c>
      <c r="Z137">
        <v>141</v>
      </c>
      <c r="AA137">
        <v>3158.37</v>
      </c>
      <c r="AB137" t="s">
        <v>27</v>
      </c>
      <c r="AD137" s="20">
        <v>45689</v>
      </c>
    </row>
    <row r="138" spans="1:30">
      <c r="A138">
        <v>142</v>
      </c>
      <c r="B138" t="str">
        <f>_xlfn.XLOOKUP(A138,Z:Z,AB:AB,"not found")</f>
        <v>USD</v>
      </c>
      <c r="C138">
        <f>_xlfn.XLOOKUP(A138,Z:Z,AA:AA)-_xlfn.XLOOKUP(A138,Q:Q,R:R,"0")</f>
        <v>0</v>
      </c>
      <c r="D138">
        <f>C138*_xlfn.XLOOKUP(B138,AG:AG,AH:AH)</f>
        <v>0</v>
      </c>
      <c r="E138">
        <f>C138*_xlfn.XLOOKUP(B138,AG:AG,AI:AI)</f>
        <v>0</v>
      </c>
      <c r="F138">
        <v>2390</v>
      </c>
      <c r="G138">
        <f>F138*_xlfn.XLOOKUP(B138,AG:AG,AH:AH)</f>
        <v>2055.4</v>
      </c>
      <c r="H138">
        <f>F138*_xlfn.XLOOKUP(B138,AG:AG,AI:AI)</f>
        <v>2390</v>
      </c>
      <c r="I138">
        <f t="shared" si="12"/>
        <v>0</v>
      </c>
      <c r="J138">
        <f>I138*_xlfn.XLOOKUP(B138,AG:AG,AI:AI)</f>
        <v>0</v>
      </c>
      <c r="K138" s="7">
        <f>_xlfn.XLOOKUP(A138,Z:Z,AD:AD)</f>
        <v>45781</v>
      </c>
      <c r="L138" s="7">
        <f t="shared" si="13"/>
        <v>45751</v>
      </c>
      <c r="M138">
        <f t="shared" si="14"/>
        <v>4</v>
      </c>
      <c r="N138">
        <f t="shared" si="15"/>
        <v>2025</v>
      </c>
      <c r="Q138" s="22">
        <v>235</v>
      </c>
      <c r="R138" s="22">
        <v>2120.8000000000002</v>
      </c>
      <c r="S138" s="22" t="str">
        <f t="shared" si="16"/>
        <v>USD</v>
      </c>
      <c r="T138" s="22">
        <f>R138*_xlfn.XLOOKUP(S138,AG:AG,AI:AI)</f>
        <v>2120.8000000000002</v>
      </c>
      <c r="U138" s="22" t="s">
        <v>26</v>
      </c>
      <c r="W138" s="9">
        <v>141</v>
      </c>
      <c r="X138" s="9" t="s">
        <v>27</v>
      </c>
      <c r="Z138">
        <v>142</v>
      </c>
      <c r="AA138">
        <v>2390</v>
      </c>
      <c r="AB138" t="s">
        <v>29</v>
      </c>
      <c r="AD138" s="20">
        <v>45781</v>
      </c>
    </row>
    <row r="139" spans="1:30">
      <c r="A139">
        <v>143</v>
      </c>
      <c r="B139" t="str">
        <f>_xlfn.XLOOKUP(A139,Z:Z,AB:AB,"not found")</f>
        <v>EUR</v>
      </c>
      <c r="C139">
        <f>_xlfn.XLOOKUP(A139,Z:Z,AA:AA)-_xlfn.XLOOKUP(A139,Q:Q,R:R,"0")</f>
        <v>0</v>
      </c>
      <c r="D139">
        <f>C139*_xlfn.XLOOKUP(B139,AG:AG,AH:AH)</f>
        <v>0</v>
      </c>
      <c r="E139">
        <f>C139*_xlfn.XLOOKUP(B139,AG:AG,AI:AI)</f>
        <v>0</v>
      </c>
      <c r="F139">
        <v>4874.42</v>
      </c>
      <c r="G139">
        <f>F139*_xlfn.XLOOKUP(B139,AG:AG,AH:AH)</f>
        <v>4874.42</v>
      </c>
      <c r="H139">
        <f>F139*_xlfn.XLOOKUP(B139,AG:AG,AI:AI)</f>
        <v>5654.3271999999997</v>
      </c>
      <c r="I139">
        <f t="shared" si="12"/>
        <v>0</v>
      </c>
      <c r="J139">
        <f>I139*_xlfn.XLOOKUP(B139,AG:AG,AI:AI)</f>
        <v>0</v>
      </c>
      <c r="K139" s="7">
        <f>_xlfn.XLOOKUP(A139,Z:Z,AD:AD)</f>
        <v>45683</v>
      </c>
      <c r="L139" s="7">
        <f t="shared" si="13"/>
        <v>45653</v>
      </c>
      <c r="M139">
        <f t="shared" si="14"/>
        <v>12</v>
      </c>
      <c r="N139">
        <f t="shared" si="15"/>
        <v>2024</v>
      </c>
      <c r="Q139" s="22">
        <v>236</v>
      </c>
      <c r="R139" s="22">
        <v>13318.8</v>
      </c>
      <c r="S139" s="22" t="str">
        <f t="shared" si="16"/>
        <v>USD</v>
      </c>
      <c r="T139" s="22">
        <f>R139*_xlfn.XLOOKUP(S139,AG:AG,AI:AI)</f>
        <v>13318.8</v>
      </c>
      <c r="U139" s="22" t="s">
        <v>26</v>
      </c>
      <c r="W139" s="9">
        <v>141</v>
      </c>
      <c r="X139" s="9" t="s">
        <v>27</v>
      </c>
      <c r="Z139">
        <v>143</v>
      </c>
      <c r="AA139">
        <v>4874.42</v>
      </c>
      <c r="AB139" t="s">
        <v>27</v>
      </c>
      <c r="AD139" s="20">
        <v>45683</v>
      </c>
    </row>
    <row r="140" spans="1:30">
      <c r="A140">
        <v>144</v>
      </c>
      <c r="B140" t="str">
        <f>_xlfn.XLOOKUP(A140,Z:Z,AB:AB,"not found")</f>
        <v>USD</v>
      </c>
      <c r="C140">
        <f>_xlfn.XLOOKUP(A140,Z:Z,AA:AA)-_xlfn.XLOOKUP(A140,Q:Q,R:R,"0")</f>
        <v>0</v>
      </c>
      <c r="D140">
        <f>C140*_xlfn.XLOOKUP(B140,AG:AG,AH:AH)</f>
        <v>0</v>
      </c>
      <c r="E140">
        <f>C140*_xlfn.XLOOKUP(B140,AG:AG,AI:AI)</f>
        <v>0</v>
      </c>
      <c r="F140">
        <v>3993.6</v>
      </c>
      <c r="G140">
        <f>F140*_xlfn.XLOOKUP(B140,AG:AG,AH:AH)</f>
        <v>3434.4960000000001</v>
      </c>
      <c r="H140">
        <f>F140*_xlfn.XLOOKUP(B140,AG:AG,AI:AI)</f>
        <v>3993.6</v>
      </c>
      <c r="I140">
        <f t="shared" si="12"/>
        <v>0</v>
      </c>
      <c r="J140">
        <f>I140*_xlfn.XLOOKUP(B140,AG:AG,AI:AI)</f>
        <v>0</v>
      </c>
      <c r="K140" s="7">
        <f>_xlfn.XLOOKUP(A140,Z:Z,AD:AD)</f>
        <v>45654</v>
      </c>
      <c r="L140" s="7">
        <f t="shared" si="13"/>
        <v>45624</v>
      </c>
      <c r="M140">
        <f t="shared" si="14"/>
        <v>11</v>
      </c>
      <c r="N140">
        <f t="shared" si="15"/>
        <v>2024</v>
      </c>
      <c r="Q140" s="22">
        <v>237</v>
      </c>
      <c r="R140" s="22">
        <v>4100</v>
      </c>
      <c r="S140" s="22" t="str">
        <f t="shared" si="16"/>
        <v>EUR</v>
      </c>
      <c r="T140" s="22">
        <f>R140*_xlfn.XLOOKUP(S140,AG:AG,AI:AI)</f>
        <v>4756</v>
      </c>
      <c r="U140" s="22" t="s">
        <v>26</v>
      </c>
      <c r="W140" s="9">
        <v>141</v>
      </c>
      <c r="X140" s="9" t="s">
        <v>27</v>
      </c>
      <c r="Z140">
        <v>144</v>
      </c>
      <c r="AA140">
        <v>3993.6</v>
      </c>
      <c r="AB140" t="s">
        <v>29</v>
      </c>
      <c r="AD140" s="20">
        <v>45654</v>
      </c>
    </row>
    <row r="141" spans="1:30">
      <c r="A141">
        <v>145</v>
      </c>
      <c r="B141" t="str">
        <f>_xlfn.XLOOKUP(A141,Z:Z,AB:AB,"not found")</f>
        <v>EUR</v>
      </c>
      <c r="C141">
        <f>_xlfn.XLOOKUP(A141,Z:Z,AA:AA)-_xlfn.XLOOKUP(A141,Q:Q,R:R,"0")</f>
        <v>0</v>
      </c>
      <c r="D141">
        <f>C141*_xlfn.XLOOKUP(B141,AG:AG,AH:AH)</f>
        <v>0</v>
      </c>
      <c r="E141">
        <f>C141*_xlfn.XLOOKUP(B141,AG:AG,AI:AI)</f>
        <v>0</v>
      </c>
      <c r="F141">
        <v>4101.6000000000004</v>
      </c>
      <c r="G141">
        <f>F141*_xlfn.XLOOKUP(B141,AG:AG,AH:AH)</f>
        <v>4101.6000000000004</v>
      </c>
      <c r="H141">
        <f>F141*_xlfn.XLOOKUP(B141,AG:AG,AI:AI)</f>
        <v>4757.8559999999998</v>
      </c>
      <c r="I141">
        <f t="shared" si="12"/>
        <v>0</v>
      </c>
      <c r="J141">
        <f>I141*_xlfn.XLOOKUP(B141,AG:AG,AI:AI)</f>
        <v>0</v>
      </c>
      <c r="K141" s="7">
        <f>_xlfn.XLOOKUP(A141,Z:Z,AD:AD)</f>
        <v>45636</v>
      </c>
      <c r="L141" s="7">
        <f t="shared" si="13"/>
        <v>45606</v>
      </c>
      <c r="M141">
        <f t="shared" si="14"/>
        <v>11</v>
      </c>
      <c r="N141">
        <f t="shared" si="15"/>
        <v>2024</v>
      </c>
      <c r="Q141" s="22">
        <v>238</v>
      </c>
      <c r="R141" s="22">
        <v>131813.85</v>
      </c>
      <c r="S141" s="22" t="str">
        <f t="shared" si="16"/>
        <v>USD</v>
      </c>
      <c r="T141" s="22">
        <f>R141*_xlfn.XLOOKUP(S141,AG:AG,AI:AI)</f>
        <v>131813.85</v>
      </c>
      <c r="U141" s="22" t="s">
        <v>26</v>
      </c>
      <c r="W141" s="9">
        <v>141</v>
      </c>
      <c r="X141" s="9" t="s">
        <v>27</v>
      </c>
      <c r="Z141">
        <v>145</v>
      </c>
      <c r="AA141">
        <v>4101.6000000000004</v>
      </c>
      <c r="AB141" t="s">
        <v>27</v>
      </c>
      <c r="AD141" s="20">
        <v>45636</v>
      </c>
    </row>
    <row r="142" spans="1:30">
      <c r="A142">
        <v>146</v>
      </c>
      <c r="B142" t="str">
        <f>_xlfn.XLOOKUP(A142,Z:Z,AB:AB,"not found")</f>
        <v>USD</v>
      </c>
      <c r="C142">
        <f>_xlfn.XLOOKUP(A142,Z:Z,AA:AA)-_xlfn.XLOOKUP(A142,Q:Q,R:R,"0")</f>
        <v>10481.040000000001</v>
      </c>
      <c r="D142">
        <f>C142*_xlfn.XLOOKUP(B142,AG:AG,AH:AH)</f>
        <v>9013.6944000000003</v>
      </c>
      <c r="E142">
        <f>C142*_xlfn.XLOOKUP(B142,AG:AG,AI:AI)</f>
        <v>10481.040000000001</v>
      </c>
      <c r="F142">
        <v>10481.040000000001</v>
      </c>
      <c r="G142">
        <f>F142*_xlfn.XLOOKUP(B142,AG:AG,AH:AH)</f>
        <v>9013.6944000000003</v>
      </c>
      <c r="H142">
        <f>F142*_xlfn.XLOOKUP(B142,AG:AG,AI:AI)</f>
        <v>10481.040000000001</v>
      </c>
      <c r="I142">
        <f t="shared" si="12"/>
        <v>0</v>
      </c>
      <c r="J142">
        <f>I142*_xlfn.XLOOKUP(B142,AG:AG,AI:AI)</f>
        <v>0</v>
      </c>
      <c r="K142" s="7">
        <f>_xlfn.XLOOKUP(A142,Z:Z,AD:AD)</f>
        <v>45685</v>
      </c>
      <c r="L142" s="7">
        <f t="shared" si="13"/>
        <v>45655</v>
      </c>
      <c r="M142">
        <f t="shared" si="14"/>
        <v>12</v>
      </c>
      <c r="N142">
        <f t="shared" si="15"/>
        <v>2024</v>
      </c>
      <c r="Q142" s="22">
        <v>239</v>
      </c>
      <c r="R142" s="22">
        <v>4212.6499999999996</v>
      </c>
      <c r="S142" s="22" t="str">
        <f t="shared" si="16"/>
        <v>USD</v>
      </c>
      <c r="T142" s="22">
        <f>R142*_xlfn.XLOOKUP(S142,AG:AG,AI:AI)</f>
        <v>4212.6499999999996</v>
      </c>
      <c r="U142" s="22" t="s">
        <v>26</v>
      </c>
      <c r="W142" s="9">
        <v>141</v>
      </c>
      <c r="X142" s="9" t="s">
        <v>27</v>
      </c>
      <c r="Z142">
        <v>146</v>
      </c>
      <c r="AA142">
        <v>10481.040000000001</v>
      </c>
      <c r="AB142" t="s">
        <v>29</v>
      </c>
      <c r="AD142" s="20">
        <v>45685</v>
      </c>
    </row>
    <row r="143" spans="1:30">
      <c r="A143">
        <v>147</v>
      </c>
      <c r="B143" t="str">
        <f>_xlfn.XLOOKUP(A143,Z:Z,AB:AB,"not found")</f>
        <v>USD</v>
      </c>
      <c r="C143">
        <f>_xlfn.XLOOKUP(A143,Z:Z,AA:AA)-_xlfn.XLOOKUP(A143,Q:Q,R:R,"0")</f>
        <v>10481.040000000001</v>
      </c>
      <c r="D143">
        <f>C143*_xlfn.XLOOKUP(B143,AG:AG,AH:AH)</f>
        <v>9013.6944000000003</v>
      </c>
      <c r="E143">
        <f>C143*_xlfn.XLOOKUP(B143,AG:AG,AI:AI)</f>
        <v>10481.040000000001</v>
      </c>
      <c r="F143">
        <v>10481.040000000001</v>
      </c>
      <c r="G143">
        <f>F143*_xlfn.XLOOKUP(B143,AG:AG,AH:AH)</f>
        <v>9013.6944000000003</v>
      </c>
      <c r="H143">
        <f>F143*_xlfn.XLOOKUP(B143,AG:AG,AI:AI)</f>
        <v>10481.040000000001</v>
      </c>
      <c r="I143">
        <f t="shared" si="12"/>
        <v>0</v>
      </c>
      <c r="J143">
        <f>I143*_xlfn.XLOOKUP(B143,AG:AG,AI:AI)</f>
        <v>0</v>
      </c>
      <c r="K143" s="7">
        <f>_xlfn.XLOOKUP(A143,Z:Z,AD:AD)</f>
        <v>45685</v>
      </c>
      <c r="L143" s="7">
        <f t="shared" si="13"/>
        <v>45655</v>
      </c>
      <c r="M143">
        <f t="shared" si="14"/>
        <v>12</v>
      </c>
      <c r="N143">
        <f t="shared" si="15"/>
        <v>2024</v>
      </c>
      <c r="Q143" s="22">
        <v>241</v>
      </c>
      <c r="R143" s="22">
        <v>43358.15</v>
      </c>
      <c r="S143" s="22" t="str">
        <f t="shared" si="16"/>
        <v>USD</v>
      </c>
      <c r="T143" s="22">
        <f>R143*_xlfn.XLOOKUP(S143,AG:AG,AI:AI)</f>
        <v>43358.15</v>
      </c>
      <c r="U143" s="22" t="s">
        <v>26</v>
      </c>
      <c r="W143" s="9">
        <v>142</v>
      </c>
      <c r="X143" s="9" t="s">
        <v>29</v>
      </c>
      <c r="Z143">
        <v>147</v>
      </c>
      <c r="AA143">
        <v>10481.040000000001</v>
      </c>
      <c r="AB143" t="s">
        <v>29</v>
      </c>
      <c r="AD143" s="20">
        <v>45685</v>
      </c>
    </row>
    <row r="144" spans="1:30">
      <c r="A144">
        <v>148</v>
      </c>
      <c r="B144" t="str">
        <f>_xlfn.XLOOKUP(A144,Z:Z,AB:AB,"not found")</f>
        <v>USD</v>
      </c>
      <c r="C144">
        <f>_xlfn.XLOOKUP(A144,Z:Z,AA:AA)-_xlfn.XLOOKUP(A144,Q:Q,R:R,"0")</f>
        <v>0</v>
      </c>
      <c r="D144">
        <f>C144*_xlfn.XLOOKUP(B144,AG:AG,AH:AH)</f>
        <v>0</v>
      </c>
      <c r="E144">
        <f>C144*_xlfn.XLOOKUP(B144,AG:AG,AI:AI)</f>
        <v>0</v>
      </c>
      <c r="F144">
        <v>7786</v>
      </c>
      <c r="G144">
        <f>F144*_xlfn.XLOOKUP(B144,AG:AG,AH:AH)</f>
        <v>6695.96</v>
      </c>
      <c r="H144">
        <f>F144*_xlfn.XLOOKUP(B144,AG:AG,AI:AI)</f>
        <v>7786</v>
      </c>
      <c r="I144">
        <f t="shared" si="12"/>
        <v>0</v>
      </c>
      <c r="J144">
        <f>I144*_xlfn.XLOOKUP(B144,AG:AG,AI:AI)</f>
        <v>0</v>
      </c>
      <c r="K144" s="7">
        <f>_xlfn.XLOOKUP(A144,Z:Z,AD:AD)</f>
        <v>45685</v>
      </c>
      <c r="L144" s="7">
        <f t="shared" si="13"/>
        <v>45655</v>
      </c>
      <c r="M144">
        <f t="shared" si="14"/>
        <v>12</v>
      </c>
      <c r="N144">
        <f t="shared" si="15"/>
        <v>2024</v>
      </c>
      <c r="Q144" s="22">
        <v>243</v>
      </c>
      <c r="R144" s="22">
        <v>3693.34</v>
      </c>
      <c r="S144" s="22" t="str">
        <f t="shared" si="16"/>
        <v>EUR</v>
      </c>
      <c r="T144" s="22">
        <f>R144*_xlfn.XLOOKUP(S144,AG:AG,AI:AI)</f>
        <v>4284.2744000000002</v>
      </c>
      <c r="U144" s="22" t="s">
        <v>26</v>
      </c>
      <c r="W144" s="9">
        <v>143</v>
      </c>
      <c r="X144" s="9" t="s">
        <v>27</v>
      </c>
      <c r="Z144">
        <v>148</v>
      </c>
      <c r="AA144">
        <v>7786</v>
      </c>
      <c r="AB144" t="s">
        <v>29</v>
      </c>
      <c r="AD144" s="20">
        <v>45685</v>
      </c>
    </row>
    <row r="145" spans="1:30">
      <c r="A145">
        <v>149</v>
      </c>
      <c r="B145" t="str">
        <f>_xlfn.XLOOKUP(A145,Z:Z,AB:AB,"not found")</f>
        <v>USD</v>
      </c>
      <c r="C145">
        <f>_xlfn.XLOOKUP(A145,Z:Z,AA:AA)-_xlfn.XLOOKUP(A145,Q:Q,R:R,"0")</f>
        <v>25292.780000000006</v>
      </c>
      <c r="D145">
        <f>C145*_xlfn.XLOOKUP(B145,AG:AG,AH:AH)</f>
        <v>21751.790800000006</v>
      </c>
      <c r="E145">
        <f>C145*_xlfn.XLOOKUP(B145,AG:AG,AI:AI)</f>
        <v>25292.780000000006</v>
      </c>
      <c r="F145">
        <v>41524.870000000003</v>
      </c>
      <c r="G145">
        <f>F145*_xlfn.XLOOKUP(B145,AG:AG,AH:AH)</f>
        <v>35711.388200000001</v>
      </c>
      <c r="H145">
        <f>F145*_xlfn.XLOOKUP(B145,AG:AG,AI:AI)</f>
        <v>41524.870000000003</v>
      </c>
      <c r="I145">
        <f t="shared" si="12"/>
        <v>0</v>
      </c>
      <c r="J145">
        <f>I145*_xlfn.XLOOKUP(B145,AG:AG,AI:AI)</f>
        <v>0</v>
      </c>
      <c r="K145" s="7">
        <f>_xlfn.XLOOKUP(A145,Z:Z,AD:AD)</f>
        <v>45816</v>
      </c>
      <c r="L145" s="7">
        <f t="shared" si="13"/>
        <v>45786</v>
      </c>
      <c r="M145">
        <f t="shared" si="14"/>
        <v>5</v>
      </c>
      <c r="N145">
        <f t="shared" si="15"/>
        <v>2025</v>
      </c>
      <c r="Q145" s="22">
        <v>244</v>
      </c>
      <c r="R145" s="22">
        <v>2565.88</v>
      </c>
      <c r="S145" s="22" t="str">
        <f t="shared" si="16"/>
        <v>EUR</v>
      </c>
      <c r="T145" s="22">
        <f>R145*_xlfn.XLOOKUP(S145,AG:AG,AI:AI)</f>
        <v>2976.4207999999999</v>
      </c>
      <c r="U145" s="22" t="s">
        <v>26</v>
      </c>
      <c r="W145" s="9">
        <v>143</v>
      </c>
      <c r="X145" s="9" t="s">
        <v>27</v>
      </c>
      <c r="Z145">
        <v>149</v>
      </c>
      <c r="AA145">
        <v>41524.870000000003</v>
      </c>
      <c r="AB145" t="s">
        <v>29</v>
      </c>
      <c r="AD145" s="20">
        <v>45816</v>
      </c>
    </row>
    <row r="146" spans="1:30">
      <c r="A146">
        <v>150</v>
      </c>
      <c r="B146" t="str">
        <f>_xlfn.XLOOKUP(A146,Z:Z,AB:AB,"not found")</f>
        <v>USD</v>
      </c>
      <c r="C146">
        <f>_xlfn.XLOOKUP(A146,Z:Z,AA:AA)-_xlfn.XLOOKUP(A146,Q:Q,R:R,"0")</f>
        <v>65712.02</v>
      </c>
      <c r="D146">
        <f>C146*_xlfn.XLOOKUP(B146,AG:AG,AH:AH)</f>
        <v>56512.337200000002</v>
      </c>
      <c r="E146">
        <f>C146*_xlfn.XLOOKUP(B146,AG:AG,AI:AI)</f>
        <v>65712.02</v>
      </c>
      <c r="F146">
        <v>68610.52</v>
      </c>
      <c r="G146">
        <f>F146*_xlfn.XLOOKUP(B146,AG:AG,AH:AH)</f>
        <v>59005.047200000001</v>
      </c>
      <c r="H146">
        <f>F146*_xlfn.XLOOKUP(B146,AG:AG,AI:AI)</f>
        <v>68610.52</v>
      </c>
      <c r="I146">
        <f t="shared" si="12"/>
        <v>0</v>
      </c>
      <c r="J146">
        <f>I146*_xlfn.XLOOKUP(B146,AG:AG,AI:AI)</f>
        <v>0</v>
      </c>
      <c r="K146" s="7">
        <f>_xlfn.XLOOKUP(A146,Z:Z,AD:AD)</f>
        <v>45755</v>
      </c>
      <c r="L146" s="7">
        <f t="shared" si="13"/>
        <v>45725</v>
      </c>
      <c r="M146">
        <f t="shared" si="14"/>
        <v>3</v>
      </c>
      <c r="N146">
        <f t="shared" si="15"/>
        <v>2025</v>
      </c>
      <c r="Q146" s="22">
        <v>245</v>
      </c>
      <c r="R146" s="22">
        <v>31938.760000000002</v>
      </c>
      <c r="S146" s="22" t="str">
        <f t="shared" si="16"/>
        <v>EUR</v>
      </c>
      <c r="T146" s="22">
        <f>R146*_xlfn.XLOOKUP(S146,AG:AG,AI:AI)</f>
        <v>37048.961600000002</v>
      </c>
      <c r="U146" s="22" t="s">
        <v>26</v>
      </c>
      <c r="W146" s="9">
        <v>143</v>
      </c>
      <c r="X146" s="9" t="s">
        <v>27</v>
      </c>
      <c r="Z146">
        <v>150</v>
      </c>
      <c r="AA146">
        <v>68610.52</v>
      </c>
      <c r="AB146" t="s">
        <v>29</v>
      </c>
      <c r="AD146" s="20">
        <v>45755</v>
      </c>
    </row>
    <row r="147" spans="1:30">
      <c r="A147">
        <v>151</v>
      </c>
      <c r="B147" t="str">
        <f>_xlfn.XLOOKUP(A147,Z:Z,AB:AB,"not found")</f>
        <v>EUR</v>
      </c>
      <c r="C147">
        <f>_xlfn.XLOOKUP(A147,Z:Z,AA:AA)-_xlfn.XLOOKUP(A147,Q:Q,R:R,"0")</f>
        <v>1301</v>
      </c>
      <c r="D147">
        <f>C147*_xlfn.XLOOKUP(B147,AG:AG,AH:AH)</f>
        <v>1301</v>
      </c>
      <c r="E147">
        <f>C147*_xlfn.XLOOKUP(B147,AG:AG,AI:AI)</f>
        <v>1509.1599999999999</v>
      </c>
      <c r="F147">
        <v>30433.64</v>
      </c>
      <c r="G147">
        <f>F147*_xlfn.XLOOKUP(B147,AG:AG,AH:AH)</f>
        <v>30433.64</v>
      </c>
      <c r="H147">
        <f>F147*_xlfn.XLOOKUP(B147,AG:AG,AI:AI)</f>
        <v>35303.022399999994</v>
      </c>
      <c r="I147">
        <f t="shared" si="12"/>
        <v>0</v>
      </c>
      <c r="J147">
        <f>I147*_xlfn.XLOOKUP(B147,AG:AG,AI:AI)</f>
        <v>0</v>
      </c>
      <c r="K147" s="7">
        <f>_xlfn.XLOOKUP(A147,Z:Z,AD:AD)</f>
        <v>45814</v>
      </c>
      <c r="L147" s="7">
        <f t="shared" si="13"/>
        <v>45784</v>
      </c>
      <c r="M147">
        <f t="shared" si="14"/>
        <v>5</v>
      </c>
      <c r="N147">
        <f t="shared" si="15"/>
        <v>2025</v>
      </c>
      <c r="Q147" s="22">
        <v>246</v>
      </c>
      <c r="R147" s="22">
        <v>8683</v>
      </c>
      <c r="S147" s="22" t="str">
        <f t="shared" si="16"/>
        <v>USD</v>
      </c>
      <c r="T147" s="22">
        <f>R147*_xlfn.XLOOKUP(S147,AG:AG,AI:AI)</f>
        <v>8683</v>
      </c>
      <c r="U147" s="22" t="s">
        <v>26</v>
      </c>
      <c r="W147" s="9">
        <v>144</v>
      </c>
      <c r="X147" s="9" t="s">
        <v>29</v>
      </c>
      <c r="Z147">
        <v>151</v>
      </c>
      <c r="AA147">
        <v>30433.64</v>
      </c>
      <c r="AB147" t="s">
        <v>27</v>
      </c>
      <c r="AD147" s="20">
        <v>45814</v>
      </c>
    </row>
    <row r="148" spans="1:30">
      <c r="A148">
        <v>152</v>
      </c>
      <c r="B148" t="str">
        <f>_xlfn.XLOOKUP(A148,Z:Z,AB:AB,"not found")</f>
        <v>USD</v>
      </c>
      <c r="C148">
        <f>_xlfn.XLOOKUP(A148,Z:Z,AA:AA)-_xlfn.XLOOKUP(A148,Q:Q,R:R,"0")</f>
        <v>2949</v>
      </c>
      <c r="D148">
        <f>C148*_xlfn.XLOOKUP(B148,AG:AG,AH:AH)</f>
        <v>2536.14</v>
      </c>
      <c r="E148">
        <f>C148*_xlfn.XLOOKUP(B148,AG:AG,AI:AI)</f>
        <v>2949</v>
      </c>
      <c r="F148">
        <v>2949</v>
      </c>
      <c r="G148">
        <f>F148*_xlfn.XLOOKUP(B148,AG:AG,AH:AH)</f>
        <v>2536.14</v>
      </c>
      <c r="H148">
        <f>F148*_xlfn.XLOOKUP(B148,AG:AG,AI:AI)</f>
        <v>2949</v>
      </c>
      <c r="I148">
        <f t="shared" si="12"/>
        <v>0</v>
      </c>
      <c r="J148">
        <f>I148*_xlfn.XLOOKUP(B148,AG:AG,AI:AI)</f>
        <v>0</v>
      </c>
      <c r="K148" s="7">
        <f>_xlfn.XLOOKUP(A148,Z:Z,AD:AD)</f>
        <v>45701</v>
      </c>
      <c r="L148" s="7">
        <f t="shared" si="13"/>
        <v>45671</v>
      </c>
      <c r="M148">
        <f t="shared" si="14"/>
        <v>1</v>
      </c>
      <c r="N148">
        <f t="shared" si="15"/>
        <v>2025</v>
      </c>
      <c r="Q148" s="22">
        <v>248</v>
      </c>
      <c r="R148" s="22">
        <v>2300</v>
      </c>
      <c r="S148" s="22" t="str">
        <f t="shared" si="16"/>
        <v>USD</v>
      </c>
      <c r="T148" s="22">
        <f>R148*_xlfn.XLOOKUP(S148,AG:AG,AI:AI)</f>
        <v>2300</v>
      </c>
      <c r="U148" s="22" t="s">
        <v>26</v>
      </c>
      <c r="W148" s="9">
        <v>145</v>
      </c>
      <c r="X148" s="9" t="s">
        <v>27</v>
      </c>
      <c r="Z148">
        <v>152</v>
      </c>
      <c r="AA148">
        <v>2949</v>
      </c>
      <c r="AB148" t="s">
        <v>29</v>
      </c>
      <c r="AD148" s="20">
        <v>45701</v>
      </c>
    </row>
    <row r="149" spans="1:30">
      <c r="A149">
        <v>153</v>
      </c>
      <c r="B149" t="str">
        <f>_xlfn.XLOOKUP(A149,Z:Z,AB:AB,"not found")</f>
        <v>USD</v>
      </c>
      <c r="C149">
        <f>_xlfn.XLOOKUP(A149,Z:Z,AA:AA)-_xlfn.XLOOKUP(A149,Q:Q,R:R,"0")</f>
        <v>46041.29</v>
      </c>
      <c r="D149">
        <f>C149*_xlfn.XLOOKUP(B149,AG:AG,AH:AH)</f>
        <v>39595.509400000003</v>
      </c>
      <c r="E149">
        <f>C149*_xlfn.XLOOKUP(B149,AG:AG,AI:AI)</f>
        <v>46041.29</v>
      </c>
      <c r="F149">
        <v>46396.79</v>
      </c>
      <c r="G149">
        <f>F149*_xlfn.XLOOKUP(B149,AG:AG,AH:AH)</f>
        <v>39901.239399999999</v>
      </c>
      <c r="H149">
        <f>F149*_xlfn.XLOOKUP(B149,AG:AG,AI:AI)</f>
        <v>46396.79</v>
      </c>
      <c r="I149">
        <f t="shared" si="12"/>
        <v>0</v>
      </c>
      <c r="J149">
        <f>I149*_xlfn.XLOOKUP(B149,AG:AG,AI:AI)</f>
        <v>0</v>
      </c>
      <c r="K149" s="7">
        <f>_xlfn.XLOOKUP(A149,Z:Z,AD:AD)</f>
        <v>46010</v>
      </c>
      <c r="L149" s="7">
        <f t="shared" si="13"/>
        <v>45980</v>
      </c>
      <c r="M149">
        <f t="shared" si="14"/>
        <v>11</v>
      </c>
      <c r="N149">
        <f t="shared" si="15"/>
        <v>2025</v>
      </c>
      <c r="Q149" s="22">
        <v>249</v>
      </c>
      <c r="R149" s="22">
        <v>9332.16</v>
      </c>
      <c r="S149" s="22" t="str">
        <f t="shared" si="16"/>
        <v>USD</v>
      </c>
      <c r="T149" s="22">
        <f>R149*_xlfn.XLOOKUP(S149,AG:AG,AI:AI)</f>
        <v>9332.16</v>
      </c>
      <c r="U149" s="22" t="s">
        <v>26</v>
      </c>
      <c r="W149" s="9">
        <v>145</v>
      </c>
      <c r="X149" s="9" t="s">
        <v>27</v>
      </c>
      <c r="Z149">
        <v>153</v>
      </c>
      <c r="AA149">
        <v>46396.79</v>
      </c>
      <c r="AB149" t="s">
        <v>29</v>
      </c>
      <c r="AD149" s="20">
        <v>46010</v>
      </c>
    </row>
    <row r="150" spans="1:30">
      <c r="A150">
        <v>154</v>
      </c>
      <c r="B150" t="str">
        <f>_xlfn.XLOOKUP(A150,Z:Z,AB:AB,"not found")</f>
        <v>USD</v>
      </c>
      <c r="C150">
        <f>_xlfn.XLOOKUP(A150,Z:Z,AA:AA)-_xlfn.XLOOKUP(A150,Q:Q,R:R,"0")</f>
        <v>37573.33</v>
      </c>
      <c r="D150">
        <f>C150*_xlfn.XLOOKUP(B150,AG:AG,AH:AH)</f>
        <v>32313.0638</v>
      </c>
      <c r="E150">
        <f>C150*_xlfn.XLOOKUP(B150,AG:AG,AI:AI)</f>
        <v>37573.33</v>
      </c>
      <c r="F150">
        <v>37573.33</v>
      </c>
      <c r="G150">
        <f>F150*_xlfn.XLOOKUP(B150,AG:AG,AH:AH)</f>
        <v>32313.0638</v>
      </c>
      <c r="H150">
        <f>F150*_xlfn.XLOOKUP(B150,AG:AG,AI:AI)</f>
        <v>37573.33</v>
      </c>
      <c r="I150">
        <f t="shared" si="12"/>
        <v>0</v>
      </c>
      <c r="J150">
        <f>I150*_xlfn.XLOOKUP(B150,AG:AG,AI:AI)</f>
        <v>0</v>
      </c>
      <c r="K150" s="7">
        <f>_xlfn.XLOOKUP(A150,Z:Z,AD:AD)</f>
        <v>45758</v>
      </c>
      <c r="L150" s="7">
        <f t="shared" si="13"/>
        <v>45728</v>
      </c>
      <c r="M150">
        <f t="shared" si="14"/>
        <v>3</v>
      </c>
      <c r="N150">
        <f t="shared" si="15"/>
        <v>2025</v>
      </c>
      <c r="Q150" s="22">
        <v>251</v>
      </c>
      <c r="R150" s="22">
        <v>9187.42</v>
      </c>
      <c r="S150" s="22" t="str">
        <f t="shared" si="16"/>
        <v>EUR</v>
      </c>
      <c r="T150" s="22">
        <f>R150*_xlfn.XLOOKUP(S150,AG:AG,AI:AI)</f>
        <v>10657.4072</v>
      </c>
      <c r="U150" s="22" t="s">
        <v>26</v>
      </c>
      <c r="W150" s="9">
        <v>148</v>
      </c>
      <c r="X150" s="9" t="s">
        <v>29</v>
      </c>
      <c r="Z150">
        <v>154</v>
      </c>
      <c r="AA150">
        <v>37573.33</v>
      </c>
      <c r="AB150" t="s">
        <v>29</v>
      </c>
      <c r="AD150" s="20">
        <v>45758</v>
      </c>
    </row>
    <row r="151" spans="1:30">
      <c r="A151">
        <v>155</v>
      </c>
      <c r="B151" t="str">
        <f>_xlfn.XLOOKUP(A151,Z:Z,AB:AB,"not found")</f>
        <v>USD</v>
      </c>
      <c r="C151">
        <f>_xlfn.XLOOKUP(A151,Z:Z,AA:AA)-_xlfn.XLOOKUP(A151,Q:Q,R:R,"0")</f>
        <v>13174.26</v>
      </c>
      <c r="D151">
        <f>C151*_xlfn.XLOOKUP(B151,AG:AG,AH:AH)</f>
        <v>11329.863600000001</v>
      </c>
      <c r="E151">
        <f>C151*_xlfn.XLOOKUP(B151,AG:AG,AI:AI)</f>
        <v>13174.26</v>
      </c>
      <c r="F151">
        <v>10503.76</v>
      </c>
      <c r="G151">
        <f>F151*_xlfn.XLOOKUP(B151,AG:AG,AH:AH)</f>
        <v>9033.2335999999996</v>
      </c>
      <c r="H151">
        <f>F151*_xlfn.XLOOKUP(B151,AG:AG,AI:AI)</f>
        <v>10503.76</v>
      </c>
      <c r="I151">
        <f t="shared" si="12"/>
        <v>2670.5</v>
      </c>
      <c r="J151">
        <f>I151*_xlfn.XLOOKUP(B151,AG:AG,AI:AI)</f>
        <v>2670.5</v>
      </c>
      <c r="K151" s="7">
        <f>_xlfn.XLOOKUP(A151,Z:Z,AD:AD)</f>
        <v>45738</v>
      </c>
      <c r="L151" s="7">
        <f t="shared" si="13"/>
        <v>45708</v>
      </c>
      <c r="M151">
        <f t="shared" si="14"/>
        <v>2</v>
      </c>
      <c r="N151">
        <f t="shared" si="15"/>
        <v>2025</v>
      </c>
      <c r="Q151" s="22">
        <v>252</v>
      </c>
      <c r="R151" s="22">
        <v>5259.58</v>
      </c>
      <c r="S151" s="22" t="str">
        <f t="shared" si="16"/>
        <v>USD</v>
      </c>
      <c r="T151" s="22">
        <f>R151*_xlfn.XLOOKUP(S151,AG:AG,AI:AI)</f>
        <v>5259.58</v>
      </c>
      <c r="U151" s="22" t="s">
        <v>26</v>
      </c>
      <c r="W151" s="9">
        <v>149</v>
      </c>
      <c r="X151" s="9" t="s">
        <v>29</v>
      </c>
      <c r="Z151">
        <v>155</v>
      </c>
      <c r="AA151">
        <v>13174.26</v>
      </c>
      <c r="AB151" t="s">
        <v>29</v>
      </c>
      <c r="AD151" s="20">
        <v>45738</v>
      </c>
    </row>
    <row r="152" spans="1:30">
      <c r="A152">
        <v>156</v>
      </c>
      <c r="B152" t="str">
        <f>_xlfn.XLOOKUP(A152,Z:Z,AB:AB,"not found")</f>
        <v>MXN</v>
      </c>
      <c r="C152">
        <f>_xlfn.XLOOKUP(A152,Z:Z,AA:AA)-_xlfn.XLOOKUP(A152,Q:Q,R:R,"0")</f>
        <v>1472492.45</v>
      </c>
      <c r="D152">
        <f>C152*_xlfn.XLOOKUP(B152,AG:AG,AH:AH)</f>
        <v>70679.637600000002</v>
      </c>
      <c r="E152">
        <f>C152*_xlfn.XLOOKUP(B152,AG:AG,AI:AI)</f>
        <v>82459.5772</v>
      </c>
      <c r="F152">
        <v>1472492.44</v>
      </c>
      <c r="G152">
        <f>F152*_xlfn.XLOOKUP(B152,AG:AG,AH:AH)</f>
        <v>70679.637119999999</v>
      </c>
      <c r="H152">
        <f>F152*_xlfn.XLOOKUP(B152,AG:AG,AI:AI)</f>
        <v>82459.576639999999</v>
      </c>
      <c r="I152">
        <f t="shared" si="12"/>
        <v>1.0000000009313226E-2</v>
      </c>
      <c r="J152">
        <f>I152*_xlfn.XLOOKUP(B152,AG:AG,AI:AI)</f>
        <v>5.6000000052154066E-4</v>
      </c>
      <c r="K152" s="7">
        <f>_xlfn.XLOOKUP(A152,Z:Z,AD:AD)</f>
        <v>45806</v>
      </c>
      <c r="L152" s="7">
        <f t="shared" si="13"/>
        <v>45776</v>
      </c>
      <c r="M152">
        <f t="shared" si="14"/>
        <v>4</v>
      </c>
      <c r="N152">
        <f t="shared" si="15"/>
        <v>2025</v>
      </c>
      <c r="Q152" s="22">
        <v>253</v>
      </c>
      <c r="R152" s="22">
        <v>733.5</v>
      </c>
      <c r="S152" s="22" t="str">
        <f t="shared" si="16"/>
        <v>USD</v>
      </c>
      <c r="T152" s="22">
        <f>R152*_xlfn.XLOOKUP(S152,AG:AG,AI:AI)</f>
        <v>733.5</v>
      </c>
      <c r="U152" s="22" t="s">
        <v>26</v>
      </c>
      <c r="W152" s="9">
        <v>149</v>
      </c>
      <c r="X152" s="9" t="s">
        <v>29</v>
      </c>
      <c r="Z152">
        <v>156</v>
      </c>
      <c r="AA152">
        <v>1472492.45</v>
      </c>
      <c r="AB152" t="s">
        <v>28</v>
      </c>
      <c r="AD152" s="20">
        <v>45806</v>
      </c>
    </row>
    <row r="153" spans="1:30">
      <c r="A153">
        <v>157</v>
      </c>
      <c r="B153" t="str">
        <f>_xlfn.XLOOKUP(A153,Z:Z,AB:AB,"not found")</f>
        <v>USD</v>
      </c>
      <c r="C153">
        <f>_xlfn.XLOOKUP(A153,Z:Z,AA:AA)-_xlfn.XLOOKUP(A153,Q:Q,R:R,"0")</f>
        <v>86266.240000000005</v>
      </c>
      <c r="D153">
        <f>C153*_xlfn.XLOOKUP(B153,AG:AG,AH:AH)</f>
        <v>74188.966400000005</v>
      </c>
      <c r="E153">
        <f>C153*_xlfn.XLOOKUP(B153,AG:AG,AI:AI)</f>
        <v>86266.240000000005</v>
      </c>
      <c r="F153">
        <v>86266.240000000005</v>
      </c>
      <c r="G153">
        <f>F153*_xlfn.XLOOKUP(B153,AG:AG,AH:AH)</f>
        <v>74188.966400000005</v>
      </c>
      <c r="H153">
        <f>F153*_xlfn.XLOOKUP(B153,AG:AG,AI:AI)</f>
        <v>86266.240000000005</v>
      </c>
      <c r="I153">
        <f t="shared" si="12"/>
        <v>0</v>
      </c>
      <c r="J153">
        <f>I153*_xlfn.XLOOKUP(B153,AG:AG,AI:AI)</f>
        <v>0</v>
      </c>
      <c r="K153" s="7">
        <f>_xlfn.XLOOKUP(A153,Z:Z,AD:AD)</f>
        <v>46010</v>
      </c>
      <c r="L153" s="7">
        <f t="shared" si="13"/>
        <v>45980</v>
      </c>
      <c r="M153">
        <f t="shared" si="14"/>
        <v>11</v>
      </c>
      <c r="N153">
        <f t="shared" si="15"/>
        <v>2025</v>
      </c>
      <c r="Q153" s="22">
        <v>258</v>
      </c>
      <c r="R153" s="22">
        <v>2530</v>
      </c>
      <c r="S153" s="22" t="str">
        <f t="shared" si="16"/>
        <v>EUR</v>
      </c>
      <c r="T153" s="22">
        <f>R153*_xlfn.XLOOKUP(S153,AG:AG,AI:AI)</f>
        <v>2934.7999999999997</v>
      </c>
      <c r="U153" s="22" t="s">
        <v>26</v>
      </c>
      <c r="W153" s="9">
        <v>149</v>
      </c>
      <c r="X153" s="9" t="s">
        <v>29</v>
      </c>
      <c r="Z153">
        <v>157</v>
      </c>
      <c r="AA153">
        <v>86266.240000000005</v>
      </c>
      <c r="AB153" t="s">
        <v>29</v>
      </c>
      <c r="AD153" s="20">
        <v>46010</v>
      </c>
    </row>
    <row r="154" spans="1:30">
      <c r="A154">
        <v>158</v>
      </c>
      <c r="B154" t="str">
        <f>_xlfn.XLOOKUP(A154,Z:Z,AB:AB,"not found")</f>
        <v>EUR</v>
      </c>
      <c r="C154">
        <f>_xlfn.XLOOKUP(A154,Z:Z,AA:AA)-_xlfn.XLOOKUP(A154,Q:Q,R:R,"0")</f>
        <v>30201.200000000001</v>
      </c>
      <c r="D154">
        <f>C154*_xlfn.XLOOKUP(B154,AG:AG,AH:AH)</f>
        <v>30201.200000000001</v>
      </c>
      <c r="E154">
        <f>C154*_xlfn.XLOOKUP(B154,AG:AG,AI:AI)</f>
        <v>35033.392</v>
      </c>
      <c r="F154">
        <v>30201.200000000001</v>
      </c>
      <c r="G154">
        <f>F154*_xlfn.XLOOKUP(B154,AG:AG,AH:AH)</f>
        <v>30201.200000000001</v>
      </c>
      <c r="H154">
        <f>F154*_xlfn.XLOOKUP(B154,AG:AG,AI:AI)</f>
        <v>35033.392</v>
      </c>
      <c r="I154">
        <f t="shared" si="12"/>
        <v>0</v>
      </c>
      <c r="J154">
        <f>I154*_xlfn.XLOOKUP(B154,AG:AG,AI:AI)</f>
        <v>0</v>
      </c>
      <c r="K154" s="7">
        <f>_xlfn.XLOOKUP(A154,Z:Z,AD:AD)</f>
        <v>45809</v>
      </c>
      <c r="L154" s="7">
        <f t="shared" si="13"/>
        <v>45779</v>
      </c>
      <c r="M154">
        <f t="shared" si="14"/>
        <v>5</v>
      </c>
      <c r="N154">
        <f t="shared" si="15"/>
        <v>2025</v>
      </c>
      <c r="Q154" s="22">
        <v>259</v>
      </c>
      <c r="R154" s="22">
        <v>2779.8</v>
      </c>
      <c r="S154" s="22" t="str">
        <f t="shared" si="16"/>
        <v>USD</v>
      </c>
      <c r="T154" s="22">
        <f>R154*_xlfn.XLOOKUP(S154,AG:AG,AI:AI)</f>
        <v>2779.8</v>
      </c>
      <c r="U154" s="22" t="s">
        <v>26</v>
      </c>
      <c r="W154" s="9">
        <v>149</v>
      </c>
      <c r="X154" s="9" t="s">
        <v>29</v>
      </c>
      <c r="Z154">
        <v>158</v>
      </c>
      <c r="AA154">
        <v>30201.200000000001</v>
      </c>
      <c r="AB154" t="s">
        <v>27</v>
      </c>
      <c r="AD154" s="20">
        <v>45809</v>
      </c>
    </row>
    <row r="155" spans="1:30">
      <c r="A155">
        <v>159</v>
      </c>
      <c r="B155" t="str">
        <f>_xlfn.XLOOKUP(A155,Z:Z,AB:AB,"not found")</f>
        <v>EUR</v>
      </c>
      <c r="C155">
        <f>_xlfn.XLOOKUP(A155,Z:Z,AA:AA)-_xlfn.XLOOKUP(A155,Q:Q,R:R,"0")</f>
        <v>3190</v>
      </c>
      <c r="D155">
        <f>C155*_xlfn.XLOOKUP(B155,AG:AG,AH:AH)</f>
        <v>3190</v>
      </c>
      <c r="E155">
        <f>C155*_xlfn.XLOOKUP(B155,AG:AG,AI:AI)</f>
        <v>3700.3999999999996</v>
      </c>
      <c r="F155">
        <v>3190</v>
      </c>
      <c r="G155">
        <f>F155*_xlfn.XLOOKUP(B155,AG:AG,AH:AH)</f>
        <v>3190</v>
      </c>
      <c r="H155">
        <f>F155*_xlfn.XLOOKUP(B155,AG:AG,AI:AI)</f>
        <v>3700.3999999999996</v>
      </c>
      <c r="I155">
        <f t="shared" si="12"/>
        <v>0</v>
      </c>
      <c r="J155">
        <f>I155*_xlfn.XLOOKUP(B155,AG:AG,AI:AI)</f>
        <v>0</v>
      </c>
      <c r="K155" s="7">
        <f>_xlfn.XLOOKUP(A155,Z:Z,AD:AD)</f>
        <v>45709</v>
      </c>
      <c r="L155" s="7">
        <f t="shared" si="13"/>
        <v>45679</v>
      </c>
      <c r="M155">
        <f t="shared" si="14"/>
        <v>1</v>
      </c>
      <c r="N155">
        <f t="shared" si="15"/>
        <v>2025</v>
      </c>
      <c r="Q155" s="22">
        <v>260</v>
      </c>
      <c r="R155" s="22">
        <v>42478.42</v>
      </c>
      <c r="S155" s="22" t="str">
        <f t="shared" si="16"/>
        <v>USD</v>
      </c>
      <c r="T155" s="22">
        <f>R155*_xlfn.XLOOKUP(S155,AG:AG,AI:AI)</f>
        <v>42478.42</v>
      </c>
      <c r="U155" s="22" t="s">
        <v>26</v>
      </c>
      <c r="W155" s="9">
        <v>149</v>
      </c>
      <c r="X155" s="9" t="s">
        <v>29</v>
      </c>
      <c r="Z155">
        <v>159</v>
      </c>
      <c r="AA155">
        <v>3190</v>
      </c>
      <c r="AB155" t="s">
        <v>27</v>
      </c>
      <c r="AD155" s="20">
        <v>45709</v>
      </c>
    </row>
    <row r="156" spans="1:30">
      <c r="A156">
        <v>160</v>
      </c>
      <c r="B156" t="str">
        <f>_xlfn.XLOOKUP(A156,Z:Z,AB:AB,"not found")</f>
        <v>USD</v>
      </c>
      <c r="C156">
        <f>_xlfn.XLOOKUP(A156,Z:Z,AA:AA)-_xlfn.XLOOKUP(A156,Q:Q,R:R,"0")</f>
        <v>3366.84</v>
      </c>
      <c r="D156">
        <f>C156*_xlfn.XLOOKUP(B156,AG:AG,AH:AH)</f>
        <v>2895.4823999999999</v>
      </c>
      <c r="E156">
        <f>C156*_xlfn.XLOOKUP(B156,AG:AG,AI:AI)</f>
        <v>3366.84</v>
      </c>
      <c r="F156">
        <v>3366.84</v>
      </c>
      <c r="G156">
        <f>F156*_xlfn.XLOOKUP(B156,AG:AG,AH:AH)</f>
        <v>2895.4823999999999</v>
      </c>
      <c r="H156">
        <f>F156*_xlfn.XLOOKUP(B156,AG:AG,AI:AI)</f>
        <v>3366.84</v>
      </c>
      <c r="I156">
        <f t="shared" si="12"/>
        <v>0</v>
      </c>
      <c r="J156">
        <f>I156*_xlfn.XLOOKUP(B156,AG:AG,AI:AI)</f>
        <v>0</v>
      </c>
      <c r="K156" s="7">
        <f>_xlfn.XLOOKUP(A156,Z:Z,AD:AD)</f>
        <v>45758</v>
      </c>
      <c r="L156" s="7">
        <f t="shared" si="13"/>
        <v>45728</v>
      </c>
      <c r="M156">
        <f t="shared" si="14"/>
        <v>3</v>
      </c>
      <c r="N156">
        <f t="shared" si="15"/>
        <v>2025</v>
      </c>
      <c r="Q156" s="22">
        <v>263</v>
      </c>
      <c r="R156" s="22">
        <v>465327.21</v>
      </c>
      <c r="S156" s="22" t="str">
        <f t="shared" si="16"/>
        <v>MXN</v>
      </c>
      <c r="T156" s="22">
        <f>R156*_xlfn.XLOOKUP(S156,AG:AG,AI:AI)</f>
        <v>26058.323760000003</v>
      </c>
      <c r="U156" s="22" t="s">
        <v>26</v>
      </c>
      <c r="W156" s="9">
        <v>150</v>
      </c>
      <c r="X156" s="9" t="s">
        <v>29</v>
      </c>
      <c r="Z156">
        <v>160</v>
      </c>
      <c r="AA156">
        <v>3366.84</v>
      </c>
      <c r="AB156" t="s">
        <v>29</v>
      </c>
      <c r="AD156" s="20">
        <v>45758</v>
      </c>
    </row>
    <row r="157" spans="1:30">
      <c r="A157">
        <v>161</v>
      </c>
      <c r="B157" t="str">
        <f>_xlfn.XLOOKUP(A157,Z:Z,AB:AB,"not found")</f>
        <v>USD</v>
      </c>
      <c r="C157">
        <f>_xlfn.XLOOKUP(A157,Z:Z,AA:AA)-_xlfn.XLOOKUP(A157,Q:Q,R:R,"0")</f>
        <v>0</v>
      </c>
      <c r="D157">
        <f>C157*_xlfn.XLOOKUP(B157,AG:AG,AH:AH)</f>
        <v>0</v>
      </c>
      <c r="E157">
        <f>C157*_xlfn.XLOOKUP(B157,AG:AG,AI:AI)</f>
        <v>0</v>
      </c>
      <c r="F157">
        <v>6724</v>
      </c>
      <c r="G157">
        <f>F157*_xlfn.XLOOKUP(B157,AG:AG,AH:AH)</f>
        <v>5782.64</v>
      </c>
      <c r="H157">
        <f>F157*_xlfn.XLOOKUP(B157,AG:AG,AI:AI)</f>
        <v>6724</v>
      </c>
      <c r="I157">
        <f t="shared" si="12"/>
        <v>0</v>
      </c>
      <c r="J157">
        <f>I157*_xlfn.XLOOKUP(B157,AG:AG,AI:AI)</f>
        <v>0</v>
      </c>
      <c r="K157" s="7">
        <f>_xlfn.XLOOKUP(A157,Z:Z,AD:AD)</f>
        <v>45853</v>
      </c>
      <c r="L157" s="7">
        <f t="shared" si="13"/>
        <v>45823</v>
      </c>
      <c r="M157">
        <f t="shared" si="14"/>
        <v>6</v>
      </c>
      <c r="N157">
        <f t="shared" si="15"/>
        <v>2025</v>
      </c>
      <c r="Q157" s="22">
        <v>264</v>
      </c>
      <c r="R157" s="22">
        <v>953.5</v>
      </c>
      <c r="S157" s="22" t="str">
        <f t="shared" si="16"/>
        <v>CHF</v>
      </c>
      <c r="T157" s="22">
        <f>R157*_xlfn.XLOOKUP(S157,AG:AG,AI:AI)</f>
        <v>1191.875</v>
      </c>
      <c r="U157" s="22" t="s">
        <v>26</v>
      </c>
      <c r="W157" s="9">
        <v>151</v>
      </c>
      <c r="X157" s="9" t="s">
        <v>27</v>
      </c>
      <c r="Z157">
        <v>161</v>
      </c>
      <c r="AA157">
        <v>6724</v>
      </c>
      <c r="AB157" t="s">
        <v>29</v>
      </c>
      <c r="AD157" s="20">
        <v>45853</v>
      </c>
    </row>
    <row r="158" spans="1:30">
      <c r="A158">
        <v>162</v>
      </c>
      <c r="B158" t="str">
        <f>_xlfn.XLOOKUP(A158,Z:Z,AB:AB,"not found")</f>
        <v>USD</v>
      </c>
      <c r="C158">
        <f>_xlfn.XLOOKUP(A158,Z:Z,AA:AA)-_xlfn.XLOOKUP(A158,Q:Q,R:R,"0")</f>
        <v>0</v>
      </c>
      <c r="D158">
        <f>C158*_xlfn.XLOOKUP(B158,AG:AG,AH:AH)</f>
        <v>0</v>
      </c>
      <c r="E158">
        <f>C158*_xlfn.XLOOKUP(B158,AG:AG,AI:AI)</f>
        <v>0</v>
      </c>
      <c r="F158">
        <v>5106.96</v>
      </c>
      <c r="G158">
        <f>F158*_xlfn.XLOOKUP(B158,AG:AG,AH:AH)</f>
        <v>4391.9856</v>
      </c>
      <c r="H158">
        <f>F158*_xlfn.XLOOKUP(B158,AG:AG,AI:AI)</f>
        <v>5106.96</v>
      </c>
      <c r="I158">
        <f t="shared" si="12"/>
        <v>0</v>
      </c>
      <c r="J158">
        <f>I158*_xlfn.XLOOKUP(B158,AG:AG,AI:AI)</f>
        <v>0</v>
      </c>
      <c r="K158" s="7">
        <f>_xlfn.XLOOKUP(A158,Z:Z,AD:AD)</f>
        <v>45798</v>
      </c>
      <c r="L158" s="7">
        <f t="shared" si="13"/>
        <v>45768</v>
      </c>
      <c r="M158">
        <f t="shared" si="14"/>
        <v>4</v>
      </c>
      <c r="N158">
        <f t="shared" si="15"/>
        <v>2025</v>
      </c>
      <c r="Q158" s="22">
        <v>266</v>
      </c>
      <c r="R158" s="22">
        <v>390</v>
      </c>
      <c r="S158" s="22" t="str">
        <f t="shared" si="16"/>
        <v>USD</v>
      </c>
      <c r="T158" s="22">
        <f>R158*_xlfn.XLOOKUP(S158,AG:AG,AI:AI)</f>
        <v>390</v>
      </c>
      <c r="U158" s="22" t="s">
        <v>26</v>
      </c>
      <c r="W158" s="9">
        <v>151</v>
      </c>
      <c r="X158" s="9" t="s">
        <v>27</v>
      </c>
      <c r="Z158">
        <v>162</v>
      </c>
      <c r="AA158">
        <v>5106.96</v>
      </c>
      <c r="AB158" t="s">
        <v>29</v>
      </c>
      <c r="AD158" s="20">
        <v>45798</v>
      </c>
    </row>
    <row r="159" spans="1:30">
      <c r="A159">
        <v>163</v>
      </c>
      <c r="B159" t="str">
        <f>_xlfn.XLOOKUP(A159,Z:Z,AB:AB,"not found")</f>
        <v>EUR</v>
      </c>
      <c r="C159">
        <f>_xlfn.XLOOKUP(A159,Z:Z,AA:AA)-_xlfn.XLOOKUP(A159,Q:Q,R:R,"0")</f>
        <v>15254.960000000006</v>
      </c>
      <c r="D159">
        <f>C159*_xlfn.XLOOKUP(B159,AG:AG,AH:AH)</f>
        <v>15254.960000000006</v>
      </c>
      <c r="E159">
        <f>C159*_xlfn.XLOOKUP(B159,AG:AG,AI:AI)</f>
        <v>17695.753600000007</v>
      </c>
      <c r="F159">
        <v>50908.23</v>
      </c>
      <c r="G159">
        <f>F159*_xlfn.XLOOKUP(B159,AG:AG,AH:AH)</f>
        <v>50908.23</v>
      </c>
      <c r="H159">
        <f>F159*_xlfn.XLOOKUP(B159,AG:AG,AI:AI)</f>
        <v>59053.546799999996</v>
      </c>
      <c r="I159">
        <f t="shared" si="12"/>
        <v>0</v>
      </c>
      <c r="J159">
        <f>I159*_xlfn.XLOOKUP(B159,AG:AG,AI:AI)</f>
        <v>0</v>
      </c>
      <c r="K159" s="7">
        <f>_xlfn.XLOOKUP(A159,Z:Z,AD:AD)</f>
        <v>45832</v>
      </c>
      <c r="L159" s="7">
        <f t="shared" si="13"/>
        <v>45802</v>
      </c>
      <c r="M159">
        <f t="shared" si="14"/>
        <v>5</v>
      </c>
      <c r="N159">
        <f t="shared" si="15"/>
        <v>2025</v>
      </c>
      <c r="Q159" s="22">
        <v>267</v>
      </c>
      <c r="R159" s="22">
        <v>926.6</v>
      </c>
      <c r="S159" s="22" t="str">
        <f t="shared" si="16"/>
        <v>USD</v>
      </c>
      <c r="T159" s="22">
        <f>R159*_xlfn.XLOOKUP(S159,AG:AG,AI:AI)</f>
        <v>926.6</v>
      </c>
      <c r="U159" s="22" t="s">
        <v>26</v>
      </c>
      <c r="W159" s="9">
        <v>153</v>
      </c>
      <c r="X159" s="9" t="s">
        <v>29</v>
      </c>
      <c r="Z159">
        <v>163</v>
      </c>
      <c r="AA159">
        <v>50908.23</v>
      </c>
      <c r="AB159" t="s">
        <v>27</v>
      </c>
      <c r="AD159" s="20">
        <v>45832</v>
      </c>
    </row>
    <row r="160" spans="1:30">
      <c r="A160">
        <v>164</v>
      </c>
      <c r="B160" t="str">
        <f>_xlfn.XLOOKUP(A160,Z:Z,AB:AB,"not found")</f>
        <v>EUR</v>
      </c>
      <c r="C160">
        <f>_xlfn.XLOOKUP(A160,Z:Z,AA:AA)-_xlfn.XLOOKUP(A160,Q:Q,R:R,"0")</f>
        <v>0</v>
      </c>
      <c r="D160">
        <f>C160*_xlfn.XLOOKUP(B160,AG:AG,AH:AH)</f>
        <v>0</v>
      </c>
      <c r="E160">
        <f>C160*_xlfn.XLOOKUP(B160,AG:AG,AI:AI)</f>
        <v>0</v>
      </c>
      <c r="F160">
        <v>3445.65</v>
      </c>
      <c r="G160">
        <f>F160*_xlfn.XLOOKUP(B160,AG:AG,AH:AH)</f>
        <v>3445.65</v>
      </c>
      <c r="H160">
        <f>F160*_xlfn.XLOOKUP(B160,AG:AG,AI:AI)</f>
        <v>3996.9539999999997</v>
      </c>
      <c r="I160">
        <f t="shared" si="12"/>
        <v>0</v>
      </c>
      <c r="J160">
        <f>I160*_xlfn.XLOOKUP(B160,AG:AG,AI:AI)</f>
        <v>0</v>
      </c>
      <c r="K160" s="7">
        <f>_xlfn.XLOOKUP(A160,Z:Z,AD:AD)</f>
        <v>45759</v>
      </c>
      <c r="L160" s="7">
        <f t="shared" si="13"/>
        <v>45729</v>
      </c>
      <c r="M160">
        <f t="shared" si="14"/>
        <v>3</v>
      </c>
      <c r="N160">
        <f t="shared" si="15"/>
        <v>2025</v>
      </c>
      <c r="Q160" s="22">
        <v>268</v>
      </c>
      <c r="R160" s="22">
        <v>417</v>
      </c>
      <c r="S160" s="22" t="str">
        <f t="shared" si="16"/>
        <v>USD</v>
      </c>
      <c r="T160" s="22">
        <f>R160*_xlfn.XLOOKUP(S160,AG:AG,AI:AI)</f>
        <v>417</v>
      </c>
      <c r="U160" s="22" t="s">
        <v>26</v>
      </c>
      <c r="W160" s="9">
        <v>161</v>
      </c>
      <c r="X160" s="9" t="s">
        <v>29</v>
      </c>
      <c r="Z160">
        <v>164</v>
      </c>
      <c r="AA160">
        <v>3445.65</v>
      </c>
      <c r="AB160" t="s">
        <v>27</v>
      </c>
      <c r="AD160" s="20">
        <v>45759</v>
      </c>
    </row>
    <row r="161" spans="1:30">
      <c r="A161">
        <v>165</v>
      </c>
      <c r="B161" t="str">
        <f>_xlfn.XLOOKUP(A161,Z:Z,AB:AB,"not found")</f>
        <v>USD</v>
      </c>
      <c r="C161">
        <f>_xlfn.XLOOKUP(A161,Z:Z,AA:AA)-_xlfn.XLOOKUP(A161,Q:Q,R:R,"0")</f>
        <v>0</v>
      </c>
      <c r="D161">
        <f>C161*_xlfn.XLOOKUP(B161,AG:AG,AH:AH)</f>
        <v>0</v>
      </c>
      <c r="E161">
        <f>C161*_xlfn.XLOOKUP(B161,AG:AG,AI:AI)</f>
        <v>0</v>
      </c>
      <c r="F161">
        <v>2277.39</v>
      </c>
      <c r="G161">
        <f>F161*_xlfn.XLOOKUP(B161,AG:AG,AH:AH)</f>
        <v>1958.5554</v>
      </c>
      <c r="H161">
        <f>F161*_xlfn.XLOOKUP(B161,AG:AG,AI:AI)</f>
        <v>2277.39</v>
      </c>
      <c r="I161">
        <f t="shared" si="12"/>
        <v>0</v>
      </c>
      <c r="J161">
        <f>I161*_xlfn.XLOOKUP(B161,AG:AG,AI:AI)</f>
        <v>0</v>
      </c>
      <c r="K161" s="7">
        <f>_xlfn.XLOOKUP(A161,Z:Z,AD:AD)</f>
        <v>45730</v>
      </c>
      <c r="L161" s="7">
        <f t="shared" si="13"/>
        <v>45700</v>
      </c>
      <c r="M161">
        <f t="shared" si="14"/>
        <v>2</v>
      </c>
      <c r="N161">
        <f t="shared" si="15"/>
        <v>2025</v>
      </c>
      <c r="Q161" s="22">
        <v>269</v>
      </c>
      <c r="R161" s="22">
        <v>698</v>
      </c>
      <c r="S161" s="22" t="str">
        <f t="shared" si="16"/>
        <v>USD</v>
      </c>
      <c r="T161" s="22">
        <f>R161*_xlfn.XLOOKUP(S161,AG:AG,AI:AI)</f>
        <v>698</v>
      </c>
      <c r="U161" s="22" t="s">
        <v>26</v>
      </c>
      <c r="W161" s="9">
        <v>161</v>
      </c>
      <c r="X161" s="9" t="s">
        <v>29</v>
      </c>
      <c r="Z161">
        <v>165</v>
      </c>
      <c r="AA161">
        <v>2277.39</v>
      </c>
      <c r="AB161" t="s">
        <v>29</v>
      </c>
      <c r="AD161" s="20">
        <v>45730</v>
      </c>
    </row>
    <row r="162" spans="1:30">
      <c r="A162">
        <v>166</v>
      </c>
      <c r="B162" t="str">
        <f>_xlfn.XLOOKUP(A162,Z:Z,AB:AB,"not found")</f>
        <v>MXN</v>
      </c>
      <c r="C162">
        <f>_xlfn.XLOOKUP(A162,Z:Z,AA:AA)-_xlfn.XLOOKUP(A162,Q:Q,R:R,"0")</f>
        <v>6814</v>
      </c>
      <c r="D162">
        <f>C162*_xlfn.XLOOKUP(B162,AG:AG,AH:AH)</f>
        <v>327.072</v>
      </c>
      <c r="E162">
        <f>C162*_xlfn.XLOOKUP(B162,AG:AG,AI:AI)</f>
        <v>381.584</v>
      </c>
      <c r="F162">
        <v>13673.8</v>
      </c>
      <c r="G162">
        <f>F162*_xlfn.XLOOKUP(B162,AG:AG,AH:AH)</f>
        <v>656.3424</v>
      </c>
      <c r="H162">
        <f>F162*_xlfn.XLOOKUP(B162,AG:AG,AI:AI)</f>
        <v>765.7328</v>
      </c>
      <c r="I162">
        <f t="shared" si="12"/>
        <v>-6859.7999999999993</v>
      </c>
      <c r="J162">
        <f>I162*_xlfn.XLOOKUP(B162,AG:AG,AI:AI)</f>
        <v>-384.14879999999999</v>
      </c>
      <c r="K162" s="7">
        <f>_xlfn.XLOOKUP(A162,Z:Z,AD:AD)</f>
        <v>45716</v>
      </c>
      <c r="L162" s="7">
        <f t="shared" si="13"/>
        <v>45686</v>
      </c>
      <c r="M162">
        <f t="shared" si="14"/>
        <v>1</v>
      </c>
      <c r="N162">
        <f t="shared" si="15"/>
        <v>2025</v>
      </c>
      <c r="Q162" s="22">
        <v>270</v>
      </c>
      <c r="R162" s="22">
        <v>396.07</v>
      </c>
      <c r="S162" s="22" t="str">
        <f t="shared" si="16"/>
        <v>USD</v>
      </c>
      <c r="T162" s="22">
        <f>R162*_xlfn.XLOOKUP(S162,AG:AG,AI:AI)</f>
        <v>396.07</v>
      </c>
      <c r="U162" s="22" t="s">
        <v>26</v>
      </c>
      <c r="W162" s="9">
        <v>161</v>
      </c>
      <c r="X162" s="9" t="s">
        <v>29</v>
      </c>
      <c r="Z162">
        <v>166</v>
      </c>
      <c r="AA162">
        <v>6814</v>
      </c>
      <c r="AB162" t="s">
        <v>28</v>
      </c>
      <c r="AD162" s="20">
        <v>45716</v>
      </c>
    </row>
    <row r="163" spans="1:30">
      <c r="A163">
        <v>167</v>
      </c>
      <c r="B163" t="str">
        <f>_xlfn.XLOOKUP(A163,Z:Z,AB:AB,"not found")</f>
        <v>USD</v>
      </c>
      <c r="C163">
        <f>_xlfn.XLOOKUP(A163,Z:Z,AA:AA)-_xlfn.XLOOKUP(A163,Q:Q,R:R,"0")</f>
        <v>0</v>
      </c>
      <c r="D163">
        <f>C163*_xlfn.XLOOKUP(B163,AG:AG,AH:AH)</f>
        <v>0</v>
      </c>
      <c r="E163">
        <f>C163*_xlfn.XLOOKUP(B163,AG:AG,AI:AI)</f>
        <v>0</v>
      </c>
      <c r="F163">
        <v>2611.4299999999998</v>
      </c>
      <c r="G163">
        <f>F163*_xlfn.XLOOKUP(B163,AG:AG,AH:AH)</f>
        <v>2245.8298</v>
      </c>
      <c r="H163">
        <f>F163*_xlfn.XLOOKUP(B163,AG:AG,AI:AI)</f>
        <v>2611.4299999999998</v>
      </c>
      <c r="I163">
        <f t="shared" si="12"/>
        <v>0</v>
      </c>
      <c r="J163">
        <f>I163*_xlfn.XLOOKUP(B163,AG:AG,AI:AI)</f>
        <v>0</v>
      </c>
      <c r="K163" s="7">
        <f>_xlfn.XLOOKUP(A163,Z:Z,AD:AD)</f>
        <v>45722</v>
      </c>
      <c r="L163" s="7">
        <f t="shared" si="13"/>
        <v>45692</v>
      </c>
      <c r="M163">
        <f t="shared" si="14"/>
        <v>2</v>
      </c>
      <c r="N163">
        <f t="shared" si="15"/>
        <v>2025</v>
      </c>
      <c r="Q163" s="22">
        <v>271</v>
      </c>
      <c r="R163" s="22">
        <v>1019.5</v>
      </c>
      <c r="S163" s="22" t="str">
        <f t="shared" si="16"/>
        <v>USD</v>
      </c>
      <c r="T163" s="22">
        <f>R163*_xlfn.XLOOKUP(S163,AG:AG,AI:AI)</f>
        <v>1019.5</v>
      </c>
      <c r="U163" s="22" t="s">
        <v>26</v>
      </c>
      <c r="W163" s="9">
        <v>162</v>
      </c>
      <c r="X163" s="9" t="s">
        <v>29</v>
      </c>
      <c r="Z163">
        <v>167</v>
      </c>
      <c r="AA163">
        <v>2611.4299999999998</v>
      </c>
      <c r="AB163" t="s">
        <v>29</v>
      </c>
      <c r="AD163" s="20">
        <v>45722</v>
      </c>
    </row>
    <row r="164" spans="1:30">
      <c r="A164">
        <v>168</v>
      </c>
      <c r="B164" t="str">
        <f>_xlfn.XLOOKUP(A164,Z:Z,AB:AB,"not found")</f>
        <v>USD</v>
      </c>
      <c r="C164">
        <f>_xlfn.XLOOKUP(A164,Z:Z,AA:AA)-_xlfn.XLOOKUP(A164,Q:Q,R:R,"0")</f>
        <v>483.0600000000004</v>
      </c>
      <c r="D164">
        <f>C164*_xlfn.XLOOKUP(B164,AG:AG,AH:AH)</f>
        <v>415.43160000000034</v>
      </c>
      <c r="E164">
        <f>C164*_xlfn.XLOOKUP(B164,AG:AG,AI:AI)</f>
        <v>483.0600000000004</v>
      </c>
      <c r="F164">
        <v>7795.6</v>
      </c>
      <c r="G164">
        <f>F164*_xlfn.XLOOKUP(B164,AG:AG,AH:AH)</f>
        <v>6704.2160000000003</v>
      </c>
      <c r="H164">
        <f>F164*_xlfn.XLOOKUP(B164,AG:AG,AI:AI)</f>
        <v>7795.6</v>
      </c>
      <c r="I164">
        <f t="shared" si="12"/>
        <v>0</v>
      </c>
      <c r="J164">
        <f>I164*_xlfn.XLOOKUP(B164,AG:AG,AI:AI)</f>
        <v>0</v>
      </c>
      <c r="K164" s="7">
        <f>_xlfn.XLOOKUP(A164,Z:Z,AD:AD)</f>
        <v>45730</v>
      </c>
      <c r="L164" s="7">
        <f t="shared" si="13"/>
        <v>45700</v>
      </c>
      <c r="M164">
        <f t="shared" si="14"/>
        <v>2</v>
      </c>
      <c r="N164">
        <f t="shared" si="15"/>
        <v>2025</v>
      </c>
      <c r="Q164" s="22">
        <v>273</v>
      </c>
      <c r="R164" s="22">
        <v>3613.5</v>
      </c>
      <c r="S164" s="22" t="str">
        <f t="shared" si="16"/>
        <v>EUR</v>
      </c>
      <c r="T164" s="22">
        <f>R164*_xlfn.XLOOKUP(S164,AG:AG,AI:AI)</f>
        <v>4191.66</v>
      </c>
      <c r="U164" s="22" t="s">
        <v>26</v>
      </c>
      <c r="W164" s="9">
        <v>163</v>
      </c>
      <c r="X164" s="9" t="s">
        <v>27</v>
      </c>
      <c r="Z164">
        <v>168</v>
      </c>
      <c r="AA164">
        <v>7795.6</v>
      </c>
      <c r="AB164" t="s">
        <v>29</v>
      </c>
      <c r="AD164" s="20">
        <v>45730</v>
      </c>
    </row>
    <row r="165" spans="1:30">
      <c r="A165">
        <v>169</v>
      </c>
      <c r="B165" t="str">
        <f>_xlfn.XLOOKUP(A165,Z:Z,AB:AB,"not found")</f>
        <v>USD</v>
      </c>
      <c r="C165">
        <f>_xlfn.XLOOKUP(A165,Z:Z,AA:AA)-_xlfn.XLOOKUP(A165,Q:Q,R:R,"0")</f>
        <v>22670</v>
      </c>
      <c r="D165">
        <f>C165*_xlfn.XLOOKUP(B165,AG:AG,AH:AH)</f>
        <v>19496.2</v>
      </c>
      <c r="E165">
        <f>C165*_xlfn.XLOOKUP(B165,AG:AG,AI:AI)</f>
        <v>22670</v>
      </c>
      <c r="F165">
        <v>22670</v>
      </c>
      <c r="G165">
        <f>F165*_xlfn.XLOOKUP(B165,AG:AG,AH:AH)</f>
        <v>19496.2</v>
      </c>
      <c r="H165">
        <f>F165*_xlfn.XLOOKUP(B165,AG:AG,AI:AI)</f>
        <v>22670</v>
      </c>
      <c r="I165">
        <f t="shared" si="12"/>
        <v>0</v>
      </c>
      <c r="J165">
        <f>I165*_xlfn.XLOOKUP(B165,AG:AG,AI:AI)</f>
        <v>0</v>
      </c>
      <c r="K165" s="7">
        <f>_xlfn.XLOOKUP(A165,Z:Z,AD:AD)</f>
        <v>45795</v>
      </c>
      <c r="L165" s="7">
        <f t="shared" si="13"/>
        <v>45765</v>
      </c>
      <c r="M165">
        <f t="shared" si="14"/>
        <v>4</v>
      </c>
      <c r="N165">
        <f t="shared" si="15"/>
        <v>2025</v>
      </c>
      <c r="Q165" s="22">
        <v>274</v>
      </c>
      <c r="R165" s="22">
        <v>555.49</v>
      </c>
      <c r="S165" s="22" t="str">
        <f t="shared" si="16"/>
        <v>USD</v>
      </c>
      <c r="T165" s="22">
        <f>R165*_xlfn.XLOOKUP(S165,AG:AG,AI:AI)</f>
        <v>555.49</v>
      </c>
      <c r="U165" s="22" t="s">
        <v>26</v>
      </c>
      <c r="W165" s="9">
        <v>163</v>
      </c>
      <c r="X165" s="9" t="s">
        <v>27</v>
      </c>
      <c r="Z165">
        <v>169</v>
      </c>
      <c r="AA165">
        <v>22670</v>
      </c>
      <c r="AB165" t="s">
        <v>29</v>
      </c>
      <c r="AD165" s="20">
        <v>45795</v>
      </c>
    </row>
    <row r="166" spans="1:30">
      <c r="A166">
        <v>170</v>
      </c>
      <c r="B166" t="str">
        <f>_xlfn.XLOOKUP(A166,Z:Z,AB:AB,"not found")</f>
        <v>EUR</v>
      </c>
      <c r="C166">
        <f>_xlfn.XLOOKUP(A166,Z:Z,AA:AA)-_xlfn.XLOOKUP(A166,Q:Q,R:R,"0")</f>
        <v>21109</v>
      </c>
      <c r="D166">
        <f>C166*_xlfn.XLOOKUP(B166,AG:AG,AH:AH)</f>
        <v>21109</v>
      </c>
      <c r="E166">
        <f>C166*_xlfn.XLOOKUP(B166,AG:AG,AI:AI)</f>
        <v>24486.44</v>
      </c>
      <c r="F166">
        <v>52766.67</v>
      </c>
      <c r="G166">
        <f>F166*_xlfn.XLOOKUP(B166,AG:AG,AH:AH)</f>
        <v>52766.67</v>
      </c>
      <c r="H166">
        <f>F166*_xlfn.XLOOKUP(B166,AG:AG,AI:AI)</f>
        <v>61209.337199999994</v>
      </c>
      <c r="I166">
        <f t="shared" si="12"/>
        <v>0</v>
      </c>
      <c r="J166">
        <f>I166*_xlfn.XLOOKUP(B166,AG:AG,AI:AI)</f>
        <v>0</v>
      </c>
      <c r="K166" s="7">
        <f>_xlfn.XLOOKUP(A166,Z:Z,AD:AD)</f>
        <v>45818</v>
      </c>
      <c r="L166" s="7">
        <f t="shared" si="13"/>
        <v>45788</v>
      </c>
      <c r="M166">
        <f t="shared" si="14"/>
        <v>5</v>
      </c>
      <c r="N166">
        <f t="shared" si="15"/>
        <v>2025</v>
      </c>
      <c r="Q166" s="22">
        <v>275</v>
      </c>
      <c r="R166" s="22">
        <v>9724.7999999999993</v>
      </c>
      <c r="S166" s="22" t="str">
        <f t="shared" si="16"/>
        <v>EUR</v>
      </c>
      <c r="T166" s="22">
        <f>R166*_xlfn.XLOOKUP(S166,AG:AG,AI:AI)</f>
        <v>11280.767999999998</v>
      </c>
      <c r="U166" s="22" t="s">
        <v>26</v>
      </c>
      <c r="W166" s="9">
        <v>163</v>
      </c>
      <c r="X166" s="9" t="s">
        <v>27</v>
      </c>
      <c r="Z166">
        <v>170</v>
      </c>
      <c r="AA166">
        <v>52766.67</v>
      </c>
      <c r="AB166" t="s">
        <v>27</v>
      </c>
      <c r="AD166" s="20">
        <v>45818</v>
      </c>
    </row>
    <row r="167" spans="1:30">
      <c r="A167">
        <v>171</v>
      </c>
      <c r="B167" t="str">
        <f>_xlfn.XLOOKUP(A167,Z:Z,AB:AB,"not found")</f>
        <v>USD</v>
      </c>
      <c r="C167">
        <f>_xlfn.XLOOKUP(A167,Z:Z,AA:AA)-_xlfn.XLOOKUP(A167,Q:Q,R:R,"0")</f>
        <v>158651.49</v>
      </c>
      <c r="D167">
        <f>C167*_xlfn.XLOOKUP(B167,AG:AG,AH:AH)</f>
        <v>136440.28139999998</v>
      </c>
      <c r="E167">
        <f>C167*_xlfn.XLOOKUP(B167,AG:AG,AI:AI)</f>
        <v>158651.49</v>
      </c>
      <c r="F167">
        <v>164643.53</v>
      </c>
      <c r="G167">
        <f>F167*_xlfn.XLOOKUP(B167,AG:AG,AH:AH)</f>
        <v>141593.43580000001</v>
      </c>
      <c r="H167">
        <f>F167*_xlfn.XLOOKUP(B167,AG:AG,AI:AI)</f>
        <v>164643.53</v>
      </c>
      <c r="I167">
        <f t="shared" si="12"/>
        <v>0.39999999999236024</v>
      </c>
      <c r="J167">
        <f>I167*_xlfn.XLOOKUP(B167,AG:AG,AI:AI)</f>
        <v>0.39999999999236024</v>
      </c>
      <c r="K167" s="7">
        <f>_xlfn.XLOOKUP(A167,Z:Z,AD:AD)</f>
        <v>45750</v>
      </c>
      <c r="L167" s="7">
        <f t="shared" si="13"/>
        <v>45720</v>
      </c>
      <c r="M167">
        <f t="shared" si="14"/>
        <v>3</v>
      </c>
      <c r="N167">
        <f t="shared" si="15"/>
        <v>2025</v>
      </c>
      <c r="Q167" s="22">
        <v>276</v>
      </c>
      <c r="R167" s="22">
        <v>187114.16</v>
      </c>
      <c r="S167" s="22" t="str">
        <f t="shared" si="16"/>
        <v>MXN</v>
      </c>
      <c r="T167" s="22">
        <f>R167*_xlfn.XLOOKUP(S167,AG:AG,AI:AI)</f>
        <v>10478.392960000001</v>
      </c>
      <c r="U167" s="22" t="s">
        <v>26</v>
      </c>
      <c r="W167" s="9">
        <v>163</v>
      </c>
      <c r="X167" s="9" t="s">
        <v>27</v>
      </c>
      <c r="Z167">
        <v>171</v>
      </c>
      <c r="AA167">
        <v>164643.93</v>
      </c>
      <c r="AB167" t="s">
        <v>29</v>
      </c>
      <c r="AD167" s="20">
        <v>45750</v>
      </c>
    </row>
    <row r="168" spans="1:30">
      <c r="A168">
        <v>172</v>
      </c>
      <c r="B168" t="str">
        <f>_xlfn.XLOOKUP(A168,Z:Z,AB:AB,"not found")</f>
        <v>USD</v>
      </c>
      <c r="C168">
        <f>_xlfn.XLOOKUP(A168,Z:Z,AA:AA)-_xlfn.XLOOKUP(A168,Q:Q,R:R,"0")</f>
        <v>15414.64</v>
      </c>
      <c r="D168">
        <f>C168*_xlfn.XLOOKUP(B168,AG:AG,AH:AH)</f>
        <v>13256.590399999999</v>
      </c>
      <c r="E168">
        <f>C168*_xlfn.XLOOKUP(B168,AG:AG,AI:AI)</f>
        <v>15414.64</v>
      </c>
      <c r="F168">
        <v>32670.880000000001</v>
      </c>
      <c r="G168">
        <f>F168*_xlfn.XLOOKUP(B168,AG:AG,AH:AH)</f>
        <v>28096.9568</v>
      </c>
      <c r="H168">
        <f>F168*_xlfn.XLOOKUP(B168,AG:AG,AI:AI)</f>
        <v>32670.880000000001</v>
      </c>
      <c r="I168">
        <f t="shared" si="12"/>
        <v>-3.0000000002473826E-2</v>
      </c>
      <c r="J168">
        <f>I168*_xlfn.XLOOKUP(B168,AG:AG,AI:AI)</f>
        <v>-3.0000000002473826E-2</v>
      </c>
      <c r="K168" s="7">
        <f>_xlfn.XLOOKUP(A168,Z:Z,AD:AD)</f>
        <v>45937</v>
      </c>
      <c r="L168" s="7">
        <f t="shared" si="13"/>
        <v>45907</v>
      </c>
      <c r="M168">
        <f t="shared" si="14"/>
        <v>9</v>
      </c>
      <c r="N168">
        <f t="shared" si="15"/>
        <v>2025</v>
      </c>
      <c r="Q168" s="22">
        <v>278</v>
      </c>
      <c r="R168" s="22">
        <v>13702</v>
      </c>
      <c r="S168" s="22" t="str">
        <f t="shared" si="16"/>
        <v>USD</v>
      </c>
      <c r="T168" s="22">
        <f>R168*_xlfn.XLOOKUP(S168,AG:AG,AI:AI)</f>
        <v>13702</v>
      </c>
      <c r="U168" s="22" t="s">
        <v>26</v>
      </c>
      <c r="W168" s="9">
        <v>163</v>
      </c>
      <c r="X168" s="9" t="s">
        <v>27</v>
      </c>
      <c r="Z168">
        <v>172</v>
      </c>
      <c r="AA168">
        <v>32670.85</v>
      </c>
      <c r="AB168" t="s">
        <v>29</v>
      </c>
      <c r="AD168" s="20">
        <v>45937</v>
      </c>
    </row>
    <row r="169" spans="1:30">
      <c r="A169">
        <v>173</v>
      </c>
      <c r="B169" t="str">
        <f>_xlfn.XLOOKUP(A169,Z:Z,AB:AB,"not found")</f>
        <v>USD</v>
      </c>
      <c r="C169">
        <f>_xlfn.XLOOKUP(A169,Z:Z,AA:AA)-_xlfn.XLOOKUP(A169,Q:Q,R:R,"0")</f>
        <v>16888.230000000003</v>
      </c>
      <c r="D169">
        <f>C169*_xlfn.XLOOKUP(B169,AG:AG,AH:AH)</f>
        <v>14523.877800000002</v>
      </c>
      <c r="E169">
        <f>C169*_xlfn.XLOOKUP(B169,AG:AG,AI:AI)</f>
        <v>16888.230000000003</v>
      </c>
      <c r="F169">
        <v>28840.47</v>
      </c>
      <c r="G169">
        <f>F169*_xlfn.XLOOKUP(B169,AG:AG,AH:AH)</f>
        <v>24802.804200000002</v>
      </c>
      <c r="H169">
        <f>F169*_xlfn.XLOOKUP(B169,AG:AG,AI:AI)</f>
        <v>28840.47</v>
      </c>
      <c r="I169">
        <f t="shared" si="12"/>
        <v>0</v>
      </c>
      <c r="J169">
        <f>I169*_xlfn.XLOOKUP(B169,AG:AG,AI:AI)</f>
        <v>0</v>
      </c>
      <c r="K169" s="7">
        <f>_xlfn.XLOOKUP(A169,Z:Z,AD:AD)</f>
        <v>45855</v>
      </c>
      <c r="L169" s="7">
        <f t="shared" si="13"/>
        <v>45825</v>
      </c>
      <c r="M169">
        <f t="shared" si="14"/>
        <v>6</v>
      </c>
      <c r="N169">
        <f t="shared" si="15"/>
        <v>2025</v>
      </c>
      <c r="Q169" s="22">
        <v>279</v>
      </c>
      <c r="R169" s="22">
        <v>36199.170000000006</v>
      </c>
      <c r="S169" s="22" t="str">
        <f t="shared" si="16"/>
        <v>USD</v>
      </c>
      <c r="T169" s="22">
        <f>R169*_xlfn.XLOOKUP(S169,AG:AG,AI:AI)</f>
        <v>36199.170000000006</v>
      </c>
      <c r="U169" s="22" t="s">
        <v>26</v>
      </c>
      <c r="W169" s="9">
        <v>163</v>
      </c>
      <c r="X169" s="9" t="s">
        <v>27</v>
      </c>
      <c r="Z169">
        <v>173</v>
      </c>
      <c r="AA169">
        <v>28840.47</v>
      </c>
      <c r="AB169" t="s">
        <v>29</v>
      </c>
      <c r="AD169" s="20">
        <v>45855</v>
      </c>
    </row>
    <row r="170" spans="1:30">
      <c r="A170">
        <v>174</v>
      </c>
      <c r="B170" t="str">
        <f>_xlfn.XLOOKUP(A170,Z:Z,AB:AB,"not found")</f>
        <v>USD</v>
      </c>
      <c r="C170">
        <f>_xlfn.XLOOKUP(A170,Z:Z,AA:AA)-_xlfn.XLOOKUP(A170,Q:Q,R:R,"0")</f>
        <v>24997.71</v>
      </c>
      <c r="D170">
        <f>C170*_xlfn.XLOOKUP(B170,AG:AG,AH:AH)</f>
        <v>21498.030599999998</v>
      </c>
      <c r="E170">
        <f>C170*_xlfn.XLOOKUP(B170,AG:AG,AI:AI)</f>
        <v>24997.71</v>
      </c>
      <c r="F170">
        <v>24997.71</v>
      </c>
      <c r="G170">
        <f>F170*_xlfn.XLOOKUP(B170,AG:AG,AH:AH)</f>
        <v>21498.030599999998</v>
      </c>
      <c r="H170">
        <f>F170*_xlfn.XLOOKUP(B170,AG:AG,AI:AI)</f>
        <v>24997.71</v>
      </c>
      <c r="I170">
        <f t="shared" si="12"/>
        <v>0</v>
      </c>
      <c r="J170">
        <f>I170*_xlfn.XLOOKUP(B170,AG:AG,AI:AI)</f>
        <v>0</v>
      </c>
      <c r="K170" s="7">
        <f>_xlfn.XLOOKUP(A170,Z:Z,AD:AD)</f>
        <v>45708</v>
      </c>
      <c r="L170" s="7">
        <f t="shared" si="13"/>
        <v>45678</v>
      </c>
      <c r="M170">
        <f t="shared" si="14"/>
        <v>1</v>
      </c>
      <c r="N170">
        <f t="shared" si="15"/>
        <v>2025</v>
      </c>
      <c r="Q170" s="22">
        <v>281</v>
      </c>
      <c r="R170" s="22">
        <v>4403.08</v>
      </c>
      <c r="S170" s="22" t="str">
        <f t="shared" si="16"/>
        <v>USD</v>
      </c>
      <c r="T170" s="22">
        <f>R170*_xlfn.XLOOKUP(S170,AG:AG,AI:AI)</f>
        <v>4403.08</v>
      </c>
      <c r="U170" s="22" t="s">
        <v>26</v>
      </c>
      <c r="W170" s="9">
        <v>163</v>
      </c>
      <c r="X170" s="9" t="s">
        <v>27</v>
      </c>
      <c r="Z170">
        <v>174</v>
      </c>
      <c r="AA170">
        <v>24997.71</v>
      </c>
      <c r="AB170" t="s">
        <v>29</v>
      </c>
      <c r="AD170" s="20">
        <v>45708</v>
      </c>
    </row>
    <row r="171" spans="1:30">
      <c r="A171">
        <v>175</v>
      </c>
      <c r="B171" t="str">
        <f>_xlfn.XLOOKUP(A171,Z:Z,AB:AB,"not found")</f>
        <v>USD</v>
      </c>
      <c r="C171">
        <f>_xlfn.XLOOKUP(A171,Z:Z,AA:AA)-_xlfn.XLOOKUP(A171,Q:Q,R:R,"0")</f>
        <v>63907</v>
      </c>
      <c r="D171">
        <f>C171*_xlfn.XLOOKUP(B171,AG:AG,AH:AH)</f>
        <v>54960.02</v>
      </c>
      <c r="E171">
        <f>C171*_xlfn.XLOOKUP(B171,AG:AG,AI:AI)</f>
        <v>63907</v>
      </c>
      <c r="F171">
        <v>63907</v>
      </c>
      <c r="G171">
        <f>F171*_xlfn.XLOOKUP(B171,AG:AG,AH:AH)</f>
        <v>54960.02</v>
      </c>
      <c r="H171">
        <f>F171*_xlfn.XLOOKUP(B171,AG:AG,AI:AI)</f>
        <v>63907</v>
      </c>
      <c r="I171">
        <f t="shared" si="12"/>
        <v>0</v>
      </c>
      <c r="J171">
        <f>I171*_xlfn.XLOOKUP(B171,AG:AG,AI:AI)</f>
        <v>0</v>
      </c>
      <c r="K171" s="7">
        <f>_xlfn.XLOOKUP(A171,Z:Z,AD:AD)</f>
        <v>45799</v>
      </c>
      <c r="L171" s="7">
        <f t="shared" si="13"/>
        <v>45769</v>
      </c>
      <c r="M171">
        <f t="shared" si="14"/>
        <v>4</v>
      </c>
      <c r="N171">
        <f t="shared" si="15"/>
        <v>2025</v>
      </c>
      <c r="Q171" s="22">
        <v>282</v>
      </c>
      <c r="R171" s="22">
        <v>3206.5</v>
      </c>
      <c r="S171" s="22" t="str">
        <f t="shared" si="16"/>
        <v>USD</v>
      </c>
      <c r="T171" s="22">
        <f>R171*_xlfn.XLOOKUP(S171,AG:AG,AI:AI)</f>
        <v>3206.5</v>
      </c>
      <c r="U171" s="22" t="s">
        <v>26</v>
      </c>
      <c r="W171" s="9">
        <v>163</v>
      </c>
      <c r="X171" s="9" t="s">
        <v>27</v>
      </c>
      <c r="Z171">
        <v>175</v>
      </c>
      <c r="AA171">
        <v>63907</v>
      </c>
      <c r="AB171" t="s">
        <v>29</v>
      </c>
      <c r="AD171" s="20">
        <v>45799</v>
      </c>
    </row>
    <row r="172" spans="1:30">
      <c r="A172">
        <v>176</v>
      </c>
      <c r="B172" t="str">
        <f>_xlfn.XLOOKUP(A172,Z:Z,AB:AB,"not found")</f>
        <v>USD</v>
      </c>
      <c r="C172">
        <f>_xlfn.XLOOKUP(A172,Z:Z,AA:AA)-_xlfn.XLOOKUP(A172,Q:Q,R:R,"0")</f>
        <v>0</v>
      </c>
      <c r="D172">
        <f>C172*_xlfn.XLOOKUP(B172,AG:AG,AH:AH)</f>
        <v>0</v>
      </c>
      <c r="E172">
        <f>C172*_xlfn.XLOOKUP(B172,AG:AG,AI:AI)</f>
        <v>0</v>
      </c>
      <c r="F172">
        <v>4998.51</v>
      </c>
      <c r="G172">
        <f>F172*_xlfn.XLOOKUP(B172,AG:AG,AH:AH)</f>
        <v>4298.7186000000002</v>
      </c>
      <c r="H172">
        <f>F172*_xlfn.XLOOKUP(B172,AG:AG,AI:AI)</f>
        <v>4998.51</v>
      </c>
      <c r="I172">
        <f t="shared" si="12"/>
        <v>0</v>
      </c>
      <c r="J172">
        <f>I172*_xlfn.XLOOKUP(B172,AG:AG,AI:AI)</f>
        <v>0</v>
      </c>
      <c r="K172" s="7">
        <f>_xlfn.XLOOKUP(A172,Z:Z,AD:AD)</f>
        <v>45764</v>
      </c>
      <c r="L172" s="7">
        <f t="shared" si="13"/>
        <v>45734</v>
      </c>
      <c r="M172">
        <f t="shared" si="14"/>
        <v>3</v>
      </c>
      <c r="N172">
        <f t="shared" si="15"/>
        <v>2025</v>
      </c>
      <c r="Q172" s="22">
        <v>283</v>
      </c>
      <c r="R172" s="22">
        <v>3108</v>
      </c>
      <c r="S172" s="22" t="str">
        <f t="shared" si="16"/>
        <v>USD</v>
      </c>
      <c r="T172" s="22">
        <f>R172*_xlfn.XLOOKUP(S172,AG:AG,AI:AI)</f>
        <v>3108</v>
      </c>
      <c r="U172" s="22" t="s">
        <v>26</v>
      </c>
      <c r="W172" s="9">
        <v>164</v>
      </c>
      <c r="X172" s="9" t="s">
        <v>27</v>
      </c>
      <c r="Z172">
        <v>176</v>
      </c>
      <c r="AA172">
        <v>4998.51</v>
      </c>
      <c r="AB172" t="s">
        <v>29</v>
      </c>
      <c r="AD172" s="20">
        <v>45764</v>
      </c>
    </row>
    <row r="173" spans="1:30">
      <c r="A173">
        <v>177</v>
      </c>
      <c r="B173" t="str">
        <f>_xlfn.XLOOKUP(A173,Z:Z,AB:AB,"not found")</f>
        <v>USD</v>
      </c>
      <c r="C173">
        <f>_xlfn.XLOOKUP(A173,Z:Z,AA:AA)-_xlfn.XLOOKUP(A173,Q:Q,R:R,"0")</f>
        <v>16919.28</v>
      </c>
      <c r="D173">
        <f>C173*_xlfn.XLOOKUP(B173,AG:AG,AH:AH)</f>
        <v>14550.580799999998</v>
      </c>
      <c r="E173">
        <f>C173*_xlfn.XLOOKUP(B173,AG:AG,AI:AI)</f>
        <v>16919.28</v>
      </c>
      <c r="F173">
        <v>16919.28</v>
      </c>
      <c r="G173">
        <f>F173*_xlfn.XLOOKUP(B173,AG:AG,AH:AH)</f>
        <v>14550.580799999998</v>
      </c>
      <c r="H173">
        <f>F173*_xlfn.XLOOKUP(B173,AG:AG,AI:AI)</f>
        <v>16919.28</v>
      </c>
      <c r="I173">
        <f t="shared" si="12"/>
        <v>0</v>
      </c>
      <c r="J173">
        <f>I173*_xlfn.XLOOKUP(B173,AG:AG,AI:AI)</f>
        <v>0</v>
      </c>
      <c r="K173" s="7">
        <f>_xlfn.XLOOKUP(A173,Z:Z,AD:AD)</f>
        <v>45759</v>
      </c>
      <c r="L173" s="7">
        <f t="shared" si="13"/>
        <v>45729</v>
      </c>
      <c r="M173">
        <f t="shared" si="14"/>
        <v>3</v>
      </c>
      <c r="N173">
        <f t="shared" si="15"/>
        <v>2025</v>
      </c>
      <c r="Q173" s="22">
        <v>284</v>
      </c>
      <c r="R173" s="22">
        <v>19328.54</v>
      </c>
      <c r="S173" s="22" t="str">
        <f t="shared" si="16"/>
        <v>USD</v>
      </c>
      <c r="T173" s="22">
        <f>R173*_xlfn.XLOOKUP(S173,AG:AG,AI:AI)</f>
        <v>19328.54</v>
      </c>
      <c r="U173" s="22" t="s">
        <v>26</v>
      </c>
      <c r="W173" s="9">
        <v>164</v>
      </c>
      <c r="X173" s="9" t="s">
        <v>27</v>
      </c>
      <c r="Z173">
        <v>177</v>
      </c>
      <c r="AA173">
        <v>16919.28</v>
      </c>
      <c r="AB173" t="s">
        <v>29</v>
      </c>
      <c r="AD173" s="20">
        <v>45759</v>
      </c>
    </row>
    <row r="174" spans="1:30">
      <c r="A174">
        <v>178</v>
      </c>
      <c r="B174" t="str">
        <f>_xlfn.XLOOKUP(A174,Z:Z,AB:AB,"not found")</f>
        <v>USD</v>
      </c>
      <c r="C174">
        <f>_xlfn.XLOOKUP(A174,Z:Z,AA:AA)-_xlfn.XLOOKUP(A174,Q:Q,R:R,"0")</f>
        <v>10859.41</v>
      </c>
      <c r="D174">
        <f>C174*_xlfn.XLOOKUP(B174,AG:AG,AH:AH)</f>
        <v>9339.0925999999999</v>
      </c>
      <c r="E174">
        <f>C174*_xlfn.XLOOKUP(B174,AG:AG,AI:AI)</f>
        <v>10859.41</v>
      </c>
      <c r="F174">
        <v>10859.41</v>
      </c>
      <c r="G174">
        <f>F174*_xlfn.XLOOKUP(B174,AG:AG,AH:AH)</f>
        <v>9339.0925999999999</v>
      </c>
      <c r="H174">
        <f>F174*_xlfn.XLOOKUP(B174,AG:AG,AI:AI)</f>
        <v>10859.41</v>
      </c>
      <c r="I174">
        <f t="shared" si="12"/>
        <v>0</v>
      </c>
      <c r="J174">
        <f>I174*_xlfn.XLOOKUP(B174,AG:AG,AI:AI)</f>
        <v>0</v>
      </c>
      <c r="K174" s="7">
        <f>_xlfn.XLOOKUP(A174,Z:Z,AD:AD)</f>
        <v>45733</v>
      </c>
      <c r="L174" s="7">
        <f t="shared" si="13"/>
        <v>45703</v>
      </c>
      <c r="M174">
        <f t="shared" si="14"/>
        <v>2</v>
      </c>
      <c r="N174">
        <f t="shared" si="15"/>
        <v>2025</v>
      </c>
      <c r="Q174" s="22">
        <v>285</v>
      </c>
      <c r="R174" s="22">
        <v>4276.47</v>
      </c>
      <c r="S174" s="22" t="str">
        <f t="shared" si="16"/>
        <v>USD</v>
      </c>
      <c r="T174" s="22">
        <f>R174*_xlfn.XLOOKUP(S174,AG:AG,AI:AI)</f>
        <v>4276.47</v>
      </c>
      <c r="U174" s="22" t="s">
        <v>26</v>
      </c>
      <c r="W174" s="9">
        <v>165</v>
      </c>
      <c r="X174" s="9" t="s">
        <v>29</v>
      </c>
      <c r="Z174">
        <v>178</v>
      </c>
      <c r="AA174">
        <v>10859.41</v>
      </c>
      <c r="AB174" t="s">
        <v>29</v>
      </c>
      <c r="AD174" s="20">
        <v>45733</v>
      </c>
    </row>
    <row r="175" spans="1:30">
      <c r="A175">
        <v>179</v>
      </c>
      <c r="B175" t="str">
        <f>_xlfn.XLOOKUP(A175,Z:Z,AB:AB,"not found")</f>
        <v>USD</v>
      </c>
      <c r="C175">
        <f>_xlfn.XLOOKUP(A175,Z:Z,AA:AA)-_xlfn.XLOOKUP(A175,Q:Q,R:R,"0")</f>
        <v>0</v>
      </c>
      <c r="D175">
        <f>C175*_xlfn.XLOOKUP(B175,AG:AG,AH:AH)</f>
        <v>0</v>
      </c>
      <c r="E175">
        <f>C175*_xlfn.XLOOKUP(B175,AG:AG,AI:AI)</f>
        <v>0</v>
      </c>
      <c r="F175">
        <v>2598.7600000000002</v>
      </c>
      <c r="G175">
        <f>F175*_xlfn.XLOOKUP(B175,AG:AG,AH:AH)</f>
        <v>2234.9336000000003</v>
      </c>
      <c r="H175">
        <f>F175*_xlfn.XLOOKUP(B175,AG:AG,AI:AI)</f>
        <v>2598.7600000000002</v>
      </c>
      <c r="I175">
        <f t="shared" si="12"/>
        <v>0</v>
      </c>
      <c r="J175">
        <f>I175*_xlfn.XLOOKUP(B175,AG:AG,AI:AI)</f>
        <v>0</v>
      </c>
      <c r="K175" s="7">
        <f>_xlfn.XLOOKUP(A175,Z:Z,AD:AD)</f>
        <v>45779</v>
      </c>
      <c r="L175" s="7">
        <f t="shared" si="13"/>
        <v>45749</v>
      </c>
      <c r="M175">
        <f t="shared" si="14"/>
        <v>4</v>
      </c>
      <c r="N175">
        <f t="shared" si="15"/>
        <v>2025</v>
      </c>
      <c r="Q175" s="22">
        <v>286</v>
      </c>
      <c r="R175" s="22">
        <v>2297.91</v>
      </c>
      <c r="S175" s="22" t="str">
        <f t="shared" si="16"/>
        <v>USD</v>
      </c>
      <c r="T175" s="22">
        <f>R175*_xlfn.XLOOKUP(S175,AG:AG,AI:AI)</f>
        <v>2297.91</v>
      </c>
      <c r="U175" s="22" t="s">
        <v>26</v>
      </c>
      <c r="W175" s="9">
        <v>167</v>
      </c>
      <c r="X175" s="9" t="s">
        <v>29</v>
      </c>
      <c r="Z175">
        <v>179</v>
      </c>
      <c r="AA175">
        <v>2598.7600000000002</v>
      </c>
      <c r="AB175" t="s">
        <v>29</v>
      </c>
      <c r="AD175" s="20">
        <v>45779</v>
      </c>
    </row>
    <row r="176" spans="1:30">
      <c r="A176">
        <v>180</v>
      </c>
      <c r="B176" t="str">
        <f>_xlfn.XLOOKUP(A176,Z:Z,AB:AB,"not found")</f>
        <v>USD</v>
      </c>
      <c r="C176">
        <f>_xlfn.XLOOKUP(A176,Z:Z,AA:AA)-_xlfn.XLOOKUP(A176,Q:Q,R:R,"0")</f>
        <v>0</v>
      </c>
      <c r="D176">
        <f>C176*_xlfn.XLOOKUP(B176,AG:AG,AH:AH)</f>
        <v>0</v>
      </c>
      <c r="E176">
        <f>C176*_xlfn.XLOOKUP(B176,AG:AG,AI:AI)</f>
        <v>0</v>
      </c>
      <c r="F176">
        <v>2458.9</v>
      </c>
      <c r="G176">
        <f>F176*_xlfn.XLOOKUP(B176,AG:AG,AH:AH)</f>
        <v>2114.654</v>
      </c>
      <c r="H176">
        <f>F176*_xlfn.XLOOKUP(B176,AG:AG,AI:AI)</f>
        <v>2458.9</v>
      </c>
      <c r="I176">
        <f t="shared" si="12"/>
        <v>0</v>
      </c>
      <c r="J176">
        <f>I176*_xlfn.XLOOKUP(B176,AG:AG,AI:AI)</f>
        <v>0</v>
      </c>
      <c r="K176" s="7">
        <f>_xlfn.XLOOKUP(A176,Z:Z,AD:AD)</f>
        <v>45751</v>
      </c>
      <c r="L176" s="7">
        <f t="shared" si="13"/>
        <v>45721</v>
      </c>
      <c r="M176">
        <f t="shared" si="14"/>
        <v>3</v>
      </c>
      <c r="N176">
        <f t="shared" si="15"/>
        <v>2025</v>
      </c>
      <c r="Q176" s="22">
        <v>287</v>
      </c>
      <c r="R176" s="22">
        <v>3806.23</v>
      </c>
      <c r="S176" s="22" t="str">
        <f t="shared" si="16"/>
        <v>EUR</v>
      </c>
      <c r="T176" s="22">
        <f>R176*_xlfn.XLOOKUP(S176,AG:AG,AI:AI)</f>
        <v>4415.2267999999995</v>
      </c>
      <c r="U176" s="22" t="s">
        <v>26</v>
      </c>
      <c r="W176" s="9">
        <v>168</v>
      </c>
      <c r="X176" s="9" t="s">
        <v>29</v>
      </c>
      <c r="Z176">
        <v>180</v>
      </c>
      <c r="AA176">
        <v>2458.9</v>
      </c>
      <c r="AB176" t="s">
        <v>29</v>
      </c>
      <c r="AD176" s="20">
        <v>45751</v>
      </c>
    </row>
    <row r="177" spans="1:30">
      <c r="A177">
        <v>181</v>
      </c>
      <c r="B177" t="str">
        <f>_xlfn.XLOOKUP(A177,Z:Z,AB:AB,"not found")</f>
        <v>USD</v>
      </c>
      <c r="C177">
        <f>_xlfn.XLOOKUP(A177,Z:Z,AA:AA)-_xlfn.XLOOKUP(A177,Q:Q,R:R,"0")</f>
        <v>0</v>
      </c>
      <c r="D177">
        <f>C177*_xlfn.XLOOKUP(B177,AG:AG,AH:AH)</f>
        <v>0</v>
      </c>
      <c r="E177">
        <f>C177*_xlfn.XLOOKUP(B177,AG:AG,AI:AI)</f>
        <v>0</v>
      </c>
      <c r="F177">
        <v>19706</v>
      </c>
      <c r="G177">
        <f>F177*_xlfn.XLOOKUP(B177,AG:AG,AH:AH)</f>
        <v>16947.16</v>
      </c>
      <c r="H177">
        <f>F177*_xlfn.XLOOKUP(B177,AG:AG,AI:AI)</f>
        <v>19706</v>
      </c>
      <c r="I177">
        <f t="shared" si="12"/>
        <v>0</v>
      </c>
      <c r="J177">
        <f>I177*_xlfn.XLOOKUP(B177,AG:AG,AI:AI)</f>
        <v>0</v>
      </c>
      <c r="K177" s="7">
        <f>_xlfn.XLOOKUP(A177,Z:Z,AD:AD)</f>
        <v>45859</v>
      </c>
      <c r="L177" s="7">
        <f t="shared" si="13"/>
        <v>45829</v>
      </c>
      <c r="M177">
        <f t="shared" si="14"/>
        <v>6</v>
      </c>
      <c r="N177">
        <f t="shared" si="15"/>
        <v>2025</v>
      </c>
      <c r="Q177" s="22">
        <v>288</v>
      </c>
      <c r="R177" s="22">
        <v>23781.279999999995</v>
      </c>
      <c r="S177" s="22" t="str">
        <f t="shared" si="16"/>
        <v>USD</v>
      </c>
      <c r="T177" s="22">
        <f>R177*_xlfn.XLOOKUP(S177,AG:AG,AI:AI)</f>
        <v>23781.279999999995</v>
      </c>
      <c r="U177" s="22" t="s">
        <v>26</v>
      </c>
      <c r="W177" s="9">
        <v>168</v>
      </c>
      <c r="X177" s="9" t="s">
        <v>29</v>
      </c>
      <c r="Z177">
        <v>181</v>
      </c>
      <c r="AA177">
        <v>19706</v>
      </c>
      <c r="AB177" t="s">
        <v>29</v>
      </c>
      <c r="AD177" s="20">
        <v>45859</v>
      </c>
    </row>
    <row r="178" spans="1:30">
      <c r="A178">
        <v>183</v>
      </c>
      <c r="B178" t="str">
        <f>_xlfn.XLOOKUP(A178,Z:Z,AB:AB,"not found")</f>
        <v>USD</v>
      </c>
      <c r="C178">
        <f>_xlfn.XLOOKUP(A178,Z:Z,AA:AA)-_xlfn.XLOOKUP(A178,Q:Q,R:R,"0")</f>
        <v>36475.160000000003</v>
      </c>
      <c r="D178">
        <f>C178*_xlfn.XLOOKUP(B178,AG:AG,AH:AH)</f>
        <v>31368.637600000002</v>
      </c>
      <c r="E178">
        <f>C178*_xlfn.XLOOKUP(B178,AG:AG,AI:AI)</f>
        <v>36475.160000000003</v>
      </c>
      <c r="F178">
        <v>36475.160000000003</v>
      </c>
      <c r="G178">
        <f>F178*_xlfn.XLOOKUP(B178,AG:AG,AH:AH)</f>
        <v>31368.637600000002</v>
      </c>
      <c r="H178">
        <f>F178*_xlfn.XLOOKUP(B178,AG:AG,AI:AI)</f>
        <v>36475.160000000003</v>
      </c>
      <c r="I178">
        <f t="shared" si="12"/>
        <v>0</v>
      </c>
      <c r="J178">
        <f>I178*_xlfn.XLOOKUP(B178,AG:AG,AI:AI)</f>
        <v>0</v>
      </c>
      <c r="K178" s="7">
        <f>_xlfn.XLOOKUP(A178,Z:Z,AD:AD)</f>
        <v>45847</v>
      </c>
      <c r="L178" s="7">
        <f t="shared" si="13"/>
        <v>45817</v>
      </c>
      <c r="M178">
        <f t="shared" si="14"/>
        <v>6</v>
      </c>
      <c r="N178">
        <f t="shared" si="15"/>
        <v>2025</v>
      </c>
      <c r="Q178" s="22">
        <v>292</v>
      </c>
      <c r="R178" s="22">
        <v>7500</v>
      </c>
      <c r="S178" s="22" t="str">
        <f t="shared" si="16"/>
        <v>EUR</v>
      </c>
      <c r="T178" s="22">
        <f>R178*_xlfn.XLOOKUP(S178,AG:AG,AI:AI)</f>
        <v>8700</v>
      </c>
      <c r="U178" s="22" t="s">
        <v>26</v>
      </c>
      <c r="W178" s="9">
        <v>168</v>
      </c>
      <c r="X178" s="9" t="s">
        <v>29</v>
      </c>
      <c r="Z178">
        <v>183</v>
      </c>
      <c r="AA178">
        <v>36475.160000000003</v>
      </c>
      <c r="AB178" t="s">
        <v>29</v>
      </c>
      <c r="AD178" s="20">
        <v>45847</v>
      </c>
    </row>
    <row r="179" spans="1:30">
      <c r="A179">
        <v>185</v>
      </c>
      <c r="B179" t="str">
        <f>_xlfn.XLOOKUP(A179,Z:Z,AB:AB,"not found")</f>
        <v>USD</v>
      </c>
      <c r="C179">
        <f>_xlfn.XLOOKUP(A179,Z:Z,AA:AA)-_xlfn.XLOOKUP(A179,Q:Q,R:R,"0")</f>
        <v>0</v>
      </c>
      <c r="D179">
        <f>C179*_xlfn.XLOOKUP(B179,AG:AG,AH:AH)</f>
        <v>0</v>
      </c>
      <c r="E179">
        <f>C179*_xlfn.XLOOKUP(B179,AG:AG,AI:AI)</f>
        <v>0</v>
      </c>
      <c r="F179">
        <v>1196</v>
      </c>
      <c r="G179">
        <f>F179*_xlfn.XLOOKUP(B179,AG:AG,AH:AH)</f>
        <v>1028.56</v>
      </c>
      <c r="H179">
        <f>F179*_xlfn.XLOOKUP(B179,AG:AG,AI:AI)</f>
        <v>1196</v>
      </c>
      <c r="I179">
        <f t="shared" si="12"/>
        <v>0</v>
      </c>
      <c r="J179">
        <f>I179*_xlfn.XLOOKUP(B179,AG:AG,AI:AI)</f>
        <v>0</v>
      </c>
      <c r="K179" s="7">
        <f>_xlfn.XLOOKUP(A179,Z:Z,AD:AD)</f>
        <v>45682</v>
      </c>
      <c r="L179" s="7">
        <f t="shared" si="13"/>
        <v>45652</v>
      </c>
      <c r="M179">
        <f t="shared" si="14"/>
        <v>12</v>
      </c>
      <c r="N179">
        <f t="shared" si="15"/>
        <v>2024</v>
      </c>
      <c r="Q179" s="22">
        <v>295</v>
      </c>
      <c r="R179" s="22">
        <v>180980.6</v>
      </c>
      <c r="S179" s="22" t="str">
        <f t="shared" si="16"/>
        <v>USD</v>
      </c>
      <c r="T179" s="22">
        <f>R179*_xlfn.XLOOKUP(S179,AG:AG,AI:AI)</f>
        <v>180980.6</v>
      </c>
      <c r="U179" s="22" t="s">
        <v>26</v>
      </c>
      <c r="W179" s="9">
        <v>168</v>
      </c>
      <c r="X179" s="9" t="s">
        <v>29</v>
      </c>
      <c r="Z179">
        <v>185</v>
      </c>
      <c r="AA179">
        <v>1196</v>
      </c>
      <c r="AB179" t="s">
        <v>29</v>
      </c>
      <c r="AD179" s="20">
        <v>45682</v>
      </c>
    </row>
    <row r="180" spans="1:30">
      <c r="A180">
        <v>186</v>
      </c>
      <c r="B180" t="str">
        <f>_xlfn.XLOOKUP(A180,Z:Z,AB:AB,"not found")</f>
        <v>MXN</v>
      </c>
      <c r="C180">
        <f>_xlfn.XLOOKUP(A180,Z:Z,AA:AA)-_xlfn.XLOOKUP(A180,Q:Q,R:R,"0")</f>
        <v>108783.48</v>
      </c>
      <c r="D180">
        <f>C180*_xlfn.XLOOKUP(B180,AG:AG,AH:AH)</f>
        <v>5221.6070399999999</v>
      </c>
      <c r="E180">
        <f>C180*_xlfn.XLOOKUP(B180,AG:AG,AI:AI)</f>
        <v>6091.8748800000003</v>
      </c>
      <c r="F180">
        <v>108783.48</v>
      </c>
      <c r="G180">
        <f>F180*_xlfn.XLOOKUP(B180,AG:AG,AH:AH)</f>
        <v>5221.6070399999999</v>
      </c>
      <c r="H180">
        <f>F180*_xlfn.XLOOKUP(B180,AG:AG,AI:AI)</f>
        <v>6091.8748800000003</v>
      </c>
      <c r="I180">
        <f t="shared" si="12"/>
        <v>0</v>
      </c>
      <c r="J180">
        <f>I180*_xlfn.XLOOKUP(B180,AG:AG,AI:AI)</f>
        <v>0</v>
      </c>
      <c r="K180" s="7">
        <f>_xlfn.XLOOKUP(A180,Z:Z,AD:AD)</f>
        <v>45692</v>
      </c>
      <c r="L180" s="7">
        <f t="shared" si="13"/>
        <v>45662</v>
      </c>
      <c r="M180">
        <f t="shared" si="14"/>
        <v>1</v>
      </c>
      <c r="N180">
        <f t="shared" si="15"/>
        <v>2025</v>
      </c>
      <c r="Q180" s="22">
        <v>297</v>
      </c>
      <c r="R180" s="22">
        <v>3897.34</v>
      </c>
      <c r="S180" s="22" t="str">
        <f t="shared" si="16"/>
        <v>USD</v>
      </c>
      <c r="T180" s="22">
        <f>R180*_xlfn.XLOOKUP(S180,AG:AG,AI:AI)</f>
        <v>3897.34</v>
      </c>
      <c r="U180" s="22" t="s">
        <v>26</v>
      </c>
      <c r="W180" s="9">
        <v>168</v>
      </c>
      <c r="X180" s="9" t="s">
        <v>29</v>
      </c>
      <c r="Z180">
        <v>186</v>
      </c>
      <c r="AA180">
        <v>108783.48</v>
      </c>
      <c r="AB180" t="s">
        <v>28</v>
      </c>
      <c r="AD180" s="20">
        <v>45692</v>
      </c>
    </row>
    <row r="181" spans="1:30">
      <c r="A181">
        <v>187</v>
      </c>
      <c r="B181" t="str">
        <f>_xlfn.XLOOKUP(A181,Z:Z,AB:AB,"not found")</f>
        <v>USD</v>
      </c>
      <c r="C181">
        <f>_xlfn.XLOOKUP(A181,Z:Z,AA:AA)-_xlfn.XLOOKUP(A181,Q:Q,R:R,"0")</f>
        <v>0</v>
      </c>
      <c r="D181">
        <f>C181*_xlfn.XLOOKUP(B181,AG:AG,AH:AH)</f>
        <v>0</v>
      </c>
      <c r="E181">
        <f>C181*_xlfn.XLOOKUP(B181,AG:AG,AI:AI)</f>
        <v>0</v>
      </c>
      <c r="F181">
        <v>3382.8</v>
      </c>
      <c r="G181">
        <f>F181*_xlfn.XLOOKUP(B181,AG:AG,AH:AH)</f>
        <v>2909.2080000000001</v>
      </c>
      <c r="H181">
        <f>F181*_xlfn.XLOOKUP(B181,AG:AG,AI:AI)</f>
        <v>3382.8</v>
      </c>
      <c r="I181">
        <f t="shared" si="12"/>
        <v>0</v>
      </c>
      <c r="J181">
        <f>I181*_xlfn.XLOOKUP(B181,AG:AG,AI:AI)</f>
        <v>0</v>
      </c>
      <c r="K181" s="7">
        <f>_xlfn.XLOOKUP(A181,Z:Z,AD:AD)</f>
        <v>45722</v>
      </c>
      <c r="L181" s="7">
        <f t="shared" si="13"/>
        <v>45692</v>
      </c>
      <c r="M181">
        <f t="shared" si="14"/>
        <v>2</v>
      </c>
      <c r="N181">
        <f t="shared" si="15"/>
        <v>2025</v>
      </c>
      <c r="Q181" s="22">
        <v>298</v>
      </c>
      <c r="R181" s="22">
        <v>8244</v>
      </c>
      <c r="S181" s="22" t="str">
        <f t="shared" si="16"/>
        <v>USD</v>
      </c>
      <c r="T181" s="22">
        <f>R181*_xlfn.XLOOKUP(S181,AG:AG,AI:AI)</f>
        <v>8244</v>
      </c>
      <c r="U181" s="22" t="s">
        <v>26</v>
      </c>
      <c r="W181" s="9">
        <v>168</v>
      </c>
      <c r="X181" s="9" t="s">
        <v>29</v>
      </c>
      <c r="Z181">
        <v>187</v>
      </c>
      <c r="AA181">
        <v>3382.8</v>
      </c>
      <c r="AB181" t="s">
        <v>29</v>
      </c>
      <c r="AD181" s="20">
        <v>45722</v>
      </c>
    </row>
    <row r="182" spans="1:30">
      <c r="A182">
        <v>188</v>
      </c>
      <c r="B182" t="str">
        <f>_xlfn.XLOOKUP(A182,Z:Z,AB:AB,"not found")</f>
        <v>USD</v>
      </c>
      <c r="C182">
        <f>_xlfn.XLOOKUP(A182,Z:Z,AA:AA)-_xlfn.XLOOKUP(A182,Q:Q,R:R,"0")</f>
        <v>0</v>
      </c>
      <c r="D182">
        <f>C182*_xlfn.XLOOKUP(B182,AG:AG,AH:AH)</f>
        <v>0</v>
      </c>
      <c r="E182">
        <f>C182*_xlfn.XLOOKUP(B182,AG:AG,AI:AI)</f>
        <v>0</v>
      </c>
      <c r="F182">
        <v>10019.209999999999</v>
      </c>
      <c r="G182">
        <f>F182*_xlfn.XLOOKUP(B182,AG:AG,AH:AH)</f>
        <v>8616.5205999999998</v>
      </c>
      <c r="H182">
        <f>F182*_xlfn.XLOOKUP(B182,AG:AG,AI:AI)</f>
        <v>10019.209999999999</v>
      </c>
      <c r="I182">
        <f t="shared" si="12"/>
        <v>0</v>
      </c>
      <c r="J182">
        <f>I182*_xlfn.XLOOKUP(B182,AG:AG,AI:AI)</f>
        <v>0</v>
      </c>
      <c r="K182" s="7">
        <f>_xlfn.XLOOKUP(A182,Z:Z,AD:AD)</f>
        <v>45689</v>
      </c>
      <c r="L182" s="7">
        <f t="shared" si="13"/>
        <v>45659</v>
      </c>
      <c r="M182">
        <f t="shared" si="14"/>
        <v>1</v>
      </c>
      <c r="N182">
        <f t="shared" si="15"/>
        <v>2025</v>
      </c>
      <c r="Q182" s="22">
        <v>299</v>
      </c>
      <c r="R182" s="22">
        <v>8185</v>
      </c>
      <c r="S182" s="22" t="str">
        <f t="shared" si="16"/>
        <v>EUR</v>
      </c>
      <c r="T182" s="22">
        <f>R182*_xlfn.XLOOKUP(S182,AG:AG,AI:AI)</f>
        <v>9494.5999999999985</v>
      </c>
      <c r="U182" s="22" t="s">
        <v>26</v>
      </c>
      <c r="W182" s="9">
        <v>168</v>
      </c>
      <c r="X182" s="9" t="s">
        <v>29</v>
      </c>
      <c r="Z182">
        <v>188</v>
      </c>
      <c r="AA182">
        <v>10019.209999999999</v>
      </c>
      <c r="AB182" t="s">
        <v>29</v>
      </c>
      <c r="AD182" s="20">
        <v>45689</v>
      </c>
    </row>
    <row r="183" spans="1:30">
      <c r="A183">
        <v>189</v>
      </c>
      <c r="B183" t="str">
        <f>_xlfn.XLOOKUP(A183,Z:Z,AB:AB,"not found")</f>
        <v>USD</v>
      </c>
      <c r="C183">
        <f>_xlfn.XLOOKUP(A183,Z:Z,AA:AA)-_xlfn.XLOOKUP(A183,Q:Q,R:R,"0")</f>
        <v>33001.120000000003</v>
      </c>
      <c r="D183">
        <f>C183*_xlfn.XLOOKUP(B183,AG:AG,AH:AH)</f>
        <v>28380.963200000002</v>
      </c>
      <c r="E183">
        <f>C183*_xlfn.XLOOKUP(B183,AG:AG,AI:AI)</f>
        <v>33001.120000000003</v>
      </c>
      <c r="F183">
        <v>33001.120000000003</v>
      </c>
      <c r="G183">
        <f>F183*_xlfn.XLOOKUP(B183,AG:AG,AH:AH)</f>
        <v>28380.963200000002</v>
      </c>
      <c r="H183">
        <f>F183*_xlfn.XLOOKUP(B183,AG:AG,AI:AI)</f>
        <v>33001.120000000003</v>
      </c>
      <c r="I183">
        <f t="shared" si="12"/>
        <v>0</v>
      </c>
      <c r="J183">
        <f>I183*_xlfn.XLOOKUP(B183,AG:AG,AI:AI)</f>
        <v>0</v>
      </c>
      <c r="K183" s="7">
        <f>_xlfn.XLOOKUP(A183,Z:Z,AD:AD)</f>
        <v>45760</v>
      </c>
      <c r="L183" s="7">
        <f t="shared" si="13"/>
        <v>45730</v>
      </c>
      <c r="M183">
        <f t="shared" si="14"/>
        <v>3</v>
      </c>
      <c r="N183">
        <f t="shared" si="15"/>
        <v>2025</v>
      </c>
      <c r="Q183" s="22">
        <v>300</v>
      </c>
      <c r="R183" s="22">
        <v>48161.65</v>
      </c>
      <c r="S183" s="22" t="str">
        <f t="shared" si="16"/>
        <v>USD</v>
      </c>
      <c r="T183" s="22">
        <f>R183*_xlfn.XLOOKUP(S183,AG:AG,AI:AI)</f>
        <v>48161.65</v>
      </c>
      <c r="U183" s="22" t="s">
        <v>26</v>
      </c>
      <c r="W183" s="9">
        <v>170</v>
      </c>
      <c r="X183" s="9" t="s">
        <v>27</v>
      </c>
      <c r="Z183">
        <v>189</v>
      </c>
      <c r="AA183">
        <v>33001.120000000003</v>
      </c>
      <c r="AB183" t="s">
        <v>29</v>
      </c>
      <c r="AD183" s="20">
        <v>45760</v>
      </c>
    </row>
    <row r="184" spans="1:30">
      <c r="A184">
        <v>190</v>
      </c>
      <c r="B184" t="str">
        <f>_xlfn.XLOOKUP(A184,Z:Z,AB:AB,"not found")</f>
        <v>USD</v>
      </c>
      <c r="C184">
        <f>_xlfn.XLOOKUP(A184,Z:Z,AA:AA)-_xlfn.XLOOKUP(A184,Q:Q,R:R,"0")</f>
        <v>5626.99</v>
      </c>
      <c r="D184">
        <f>C184*_xlfn.XLOOKUP(B184,AG:AG,AH:AH)</f>
        <v>4839.2114000000001</v>
      </c>
      <c r="E184">
        <f>C184*_xlfn.XLOOKUP(B184,AG:AG,AI:AI)</f>
        <v>5626.99</v>
      </c>
      <c r="F184">
        <v>5626.99</v>
      </c>
      <c r="G184">
        <f>F184*_xlfn.XLOOKUP(B184,AG:AG,AH:AH)</f>
        <v>4839.2114000000001</v>
      </c>
      <c r="H184">
        <f>F184*_xlfn.XLOOKUP(B184,AG:AG,AI:AI)</f>
        <v>5626.99</v>
      </c>
      <c r="I184">
        <f t="shared" si="12"/>
        <v>0</v>
      </c>
      <c r="J184">
        <f>I184*_xlfn.XLOOKUP(B184,AG:AG,AI:AI)</f>
        <v>0</v>
      </c>
      <c r="K184" s="7">
        <f>_xlfn.XLOOKUP(A184,Z:Z,AD:AD)</f>
        <v>45757</v>
      </c>
      <c r="L184" s="7">
        <f t="shared" si="13"/>
        <v>45727</v>
      </c>
      <c r="M184">
        <f t="shared" si="14"/>
        <v>3</v>
      </c>
      <c r="N184">
        <f t="shared" si="15"/>
        <v>2025</v>
      </c>
      <c r="Q184" s="22">
        <v>305</v>
      </c>
      <c r="R184" s="22">
        <v>16692.39</v>
      </c>
      <c r="S184" s="22" t="str">
        <f t="shared" si="16"/>
        <v>USD</v>
      </c>
      <c r="T184" s="22">
        <f>R184*_xlfn.XLOOKUP(S184,AG:AG,AI:AI)</f>
        <v>16692.39</v>
      </c>
      <c r="U184" s="22" t="s">
        <v>26</v>
      </c>
      <c r="W184" s="9">
        <v>170</v>
      </c>
      <c r="X184" s="9" t="s">
        <v>27</v>
      </c>
      <c r="Z184">
        <v>190</v>
      </c>
      <c r="AA184">
        <v>5626.99</v>
      </c>
      <c r="AB184" t="s">
        <v>29</v>
      </c>
      <c r="AD184" s="20">
        <v>45757</v>
      </c>
    </row>
    <row r="185" spans="1:30">
      <c r="A185">
        <v>191</v>
      </c>
      <c r="B185" t="str">
        <f>_xlfn.XLOOKUP(A185,Z:Z,AB:AB,"not found")</f>
        <v>EUR</v>
      </c>
      <c r="C185">
        <f>_xlfn.XLOOKUP(A185,Z:Z,AA:AA)-_xlfn.XLOOKUP(A185,Q:Q,R:R,"0")</f>
        <v>720</v>
      </c>
      <c r="D185">
        <f>C185*_xlfn.XLOOKUP(B185,AG:AG,AH:AH)</f>
        <v>720</v>
      </c>
      <c r="E185">
        <f>C185*_xlfn.XLOOKUP(B185,AG:AG,AI:AI)</f>
        <v>835.19999999999993</v>
      </c>
      <c r="F185">
        <v>720</v>
      </c>
      <c r="G185">
        <f>F185*_xlfn.XLOOKUP(B185,AG:AG,AH:AH)</f>
        <v>720</v>
      </c>
      <c r="H185">
        <f>F185*_xlfn.XLOOKUP(B185,AG:AG,AI:AI)</f>
        <v>835.19999999999993</v>
      </c>
      <c r="I185">
        <f t="shared" si="12"/>
        <v>0</v>
      </c>
      <c r="J185">
        <f>I185*_xlfn.XLOOKUP(B185,AG:AG,AI:AI)</f>
        <v>0</v>
      </c>
      <c r="K185" s="7">
        <f>_xlfn.XLOOKUP(A185,Z:Z,AD:AD)</f>
        <v>45730</v>
      </c>
      <c r="L185" s="7">
        <f t="shared" si="13"/>
        <v>45700</v>
      </c>
      <c r="M185">
        <f t="shared" si="14"/>
        <v>2</v>
      </c>
      <c r="N185">
        <f t="shared" si="15"/>
        <v>2025</v>
      </c>
      <c r="Q185" s="22">
        <v>306</v>
      </c>
      <c r="R185" s="22">
        <v>575</v>
      </c>
      <c r="S185" s="22" t="str">
        <f t="shared" si="16"/>
        <v>USD</v>
      </c>
      <c r="T185" s="22">
        <f>R185*_xlfn.XLOOKUP(S185,AG:AG,AI:AI)</f>
        <v>575</v>
      </c>
      <c r="U185" s="22" t="s">
        <v>26</v>
      </c>
      <c r="W185" s="9">
        <v>170</v>
      </c>
      <c r="X185" s="9" t="s">
        <v>27</v>
      </c>
      <c r="Z185">
        <v>191</v>
      </c>
      <c r="AA185">
        <v>720</v>
      </c>
      <c r="AB185" t="s">
        <v>27</v>
      </c>
      <c r="AD185" s="20">
        <v>45730</v>
      </c>
    </row>
    <row r="186" spans="1:30">
      <c r="A186">
        <v>192</v>
      </c>
      <c r="B186" t="str">
        <f>_xlfn.XLOOKUP(A186,Z:Z,AB:AB,"not found")</f>
        <v>USD</v>
      </c>
      <c r="C186">
        <f>_xlfn.XLOOKUP(A186,Z:Z,AA:AA)-_xlfn.XLOOKUP(A186,Q:Q,R:R,"0")</f>
        <v>0</v>
      </c>
      <c r="D186">
        <f>C186*_xlfn.XLOOKUP(B186,AG:AG,AH:AH)</f>
        <v>0</v>
      </c>
      <c r="E186">
        <f>C186*_xlfn.XLOOKUP(B186,AG:AG,AI:AI)</f>
        <v>0</v>
      </c>
      <c r="F186">
        <v>5250</v>
      </c>
      <c r="G186">
        <f>F186*_xlfn.XLOOKUP(B186,AG:AG,AH:AH)</f>
        <v>4515</v>
      </c>
      <c r="H186">
        <f>F186*_xlfn.XLOOKUP(B186,AG:AG,AI:AI)</f>
        <v>5250</v>
      </c>
      <c r="I186">
        <f t="shared" si="12"/>
        <v>0</v>
      </c>
      <c r="J186">
        <f>I186*_xlfn.XLOOKUP(B186,AG:AG,AI:AI)</f>
        <v>0</v>
      </c>
      <c r="K186" s="7">
        <f>_xlfn.XLOOKUP(A186,Z:Z,AD:AD)</f>
        <v>45632</v>
      </c>
      <c r="L186" s="7">
        <f t="shared" si="13"/>
        <v>45602</v>
      </c>
      <c r="M186">
        <f t="shared" si="14"/>
        <v>11</v>
      </c>
      <c r="N186">
        <f t="shared" si="15"/>
        <v>2024</v>
      </c>
      <c r="Q186" s="22">
        <v>307</v>
      </c>
      <c r="R186" s="22">
        <v>8076</v>
      </c>
      <c r="S186" s="22" t="str">
        <f t="shared" si="16"/>
        <v>USD</v>
      </c>
      <c r="T186" s="22">
        <f>R186*_xlfn.XLOOKUP(S186,AG:AG,AI:AI)</f>
        <v>8076</v>
      </c>
      <c r="U186" s="22" t="s">
        <v>26</v>
      </c>
      <c r="W186" s="9">
        <v>170</v>
      </c>
      <c r="X186" s="9" t="s">
        <v>27</v>
      </c>
      <c r="Z186">
        <v>192</v>
      </c>
      <c r="AA186">
        <v>5250</v>
      </c>
      <c r="AB186" t="s">
        <v>29</v>
      </c>
      <c r="AD186" s="20">
        <v>45632</v>
      </c>
    </row>
    <row r="187" spans="1:30">
      <c r="A187">
        <v>193</v>
      </c>
      <c r="B187" t="str">
        <f>_xlfn.XLOOKUP(A187,Z:Z,AB:AB,"not found")</f>
        <v>USD</v>
      </c>
      <c r="C187">
        <f>_xlfn.XLOOKUP(A187,Z:Z,AA:AA)-_xlfn.XLOOKUP(A187,Q:Q,R:R,"0")</f>
        <v>49937.919999999998</v>
      </c>
      <c r="D187">
        <f>C187*_xlfn.XLOOKUP(B187,AG:AG,AH:AH)</f>
        <v>42946.611199999999</v>
      </c>
      <c r="E187">
        <f>C187*_xlfn.XLOOKUP(B187,AG:AG,AI:AI)</f>
        <v>49937.919999999998</v>
      </c>
      <c r="F187">
        <v>57663.42</v>
      </c>
      <c r="G187">
        <f>F187*_xlfn.XLOOKUP(B187,AG:AG,AH:AH)</f>
        <v>49590.5412</v>
      </c>
      <c r="H187">
        <f>F187*_xlfn.XLOOKUP(B187,AG:AG,AI:AI)</f>
        <v>57663.42</v>
      </c>
      <c r="I187">
        <f t="shared" si="12"/>
        <v>0</v>
      </c>
      <c r="J187">
        <f>I187*_xlfn.XLOOKUP(B187,AG:AG,AI:AI)</f>
        <v>0</v>
      </c>
      <c r="K187" s="7">
        <f>_xlfn.XLOOKUP(A187,Z:Z,AD:AD)</f>
        <v>45751</v>
      </c>
      <c r="L187" s="7">
        <f t="shared" si="13"/>
        <v>45721</v>
      </c>
      <c r="M187">
        <f t="shared" si="14"/>
        <v>3</v>
      </c>
      <c r="N187">
        <f t="shared" si="15"/>
        <v>2025</v>
      </c>
      <c r="Q187" s="22">
        <v>308</v>
      </c>
      <c r="R187" s="22">
        <v>1869.15</v>
      </c>
      <c r="S187" s="22" t="str">
        <f t="shared" si="16"/>
        <v>USD</v>
      </c>
      <c r="T187" s="22">
        <f>R187*_xlfn.XLOOKUP(S187,AG:AG,AI:AI)</f>
        <v>1869.15</v>
      </c>
      <c r="U187" s="22" t="s">
        <v>26</v>
      </c>
      <c r="W187" s="9">
        <v>170</v>
      </c>
      <c r="X187" s="9" t="s">
        <v>27</v>
      </c>
      <c r="Z187">
        <v>193</v>
      </c>
      <c r="AA187">
        <v>57663.42</v>
      </c>
      <c r="AB187" t="s">
        <v>29</v>
      </c>
      <c r="AD187" s="20">
        <v>45751</v>
      </c>
    </row>
    <row r="188" spans="1:30">
      <c r="A188">
        <v>194</v>
      </c>
      <c r="B188" t="str">
        <f>_xlfn.XLOOKUP(A188,Z:Z,AB:AB,"not found")</f>
        <v>USD</v>
      </c>
      <c r="C188">
        <f>_xlfn.XLOOKUP(A188,Z:Z,AA:AA)-_xlfn.XLOOKUP(A188,Q:Q,R:R,"0")</f>
        <v>8470.11</v>
      </c>
      <c r="D188">
        <f>C188*_xlfn.XLOOKUP(B188,AG:AG,AH:AH)</f>
        <v>7284.2946000000002</v>
      </c>
      <c r="E188">
        <f>C188*_xlfn.XLOOKUP(B188,AG:AG,AI:AI)</f>
        <v>8470.11</v>
      </c>
      <c r="F188">
        <v>8470.11</v>
      </c>
      <c r="G188">
        <f>F188*_xlfn.XLOOKUP(B188,AG:AG,AH:AH)</f>
        <v>7284.2946000000002</v>
      </c>
      <c r="H188">
        <f>F188*_xlfn.XLOOKUP(B188,AG:AG,AI:AI)</f>
        <v>8470.11</v>
      </c>
      <c r="I188">
        <f t="shared" si="12"/>
        <v>0</v>
      </c>
      <c r="J188">
        <f>I188*_xlfn.XLOOKUP(B188,AG:AG,AI:AI)</f>
        <v>0</v>
      </c>
      <c r="K188" s="7">
        <f>_xlfn.XLOOKUP(A188,Z:Z,AD:AD)</f>
        <v>45799</v>
      </c>
      <c r="L188" s="7">
        <f t="shared" si="13"/>
        <v>45769</v>
      </c>
      <c r="M188">
        <f t="shared" si="14"/>
        <v>4</v>
      </c>
      <c r="N188">
        <f t="shared" si="15"/>
        <v>2025</v>
      </c>
      <c r="Q188" s="22">
        <v>309</v>
      </c>
      <c r="R188" s="22">
        <v>8125.75</v>
      </c>
      <c r="S188" s="22" t="str">
        <f t="shared" si="16"/>
        <v>USD</v>
      </c>
      <c r="T188" s="22">
        <f>R188*_xlfn.XLOOKUP(S188,AG:AG,AI:AI)</f>
        <v>8125.75</v>
      </c>
      <c r="U188" s="22" t="s">
        <v>26</v>
      </c>
      <c r="W188" s="9">
        <v>170</v>
      </c>
      <c r="X188" s="9" t="s">
        <v>27</v>
      </c>
      <c r="Z188">
        <v>194</v>
      </c>
      <c r="AA188">
        <v>8470.11</v>
      </c>
      <c r="AB188" t="s">
        <v>29</v>
      </c>
      <c r="AD188" s="20">
        <v>45799</v>
      </c>
    </row>
    <row r="189" spans="1:30">
      <c r="A189">
        <v>195</v>
      </c>
      <c r="B189" t="str">
        <f>_xlfn.XLOOKUP(A189,Z:Z,AB:AB,"not found")</f>
        <v>EUR</v>
      </c>
      <c r="C189">
        <f>_xlfn.XLOOKUP(A189,Z:Z,AA:AA)-_xlfn.XLOOKUP(A189,Q:Q,R:R,"0")</f>
        <v>4920</v>
      </c>
      <c r="D189">
        <f>C189*_xlfn.XLOOKUP(B189,AG:AG,AH:AH)</f>
        <v>4920</v>
      </c>
      <c r="E189">
        <f>C189*_xlfn.XLOOKUP(B189,AG:AG,AI:AI)</f>
        <v>5707.2</v>
      </c>
      <c r="F189">
        <v>16000</v>
      </c>
      <c r="G189">
        <f>F189*_xlfn.XLOOKUP(B189,AG:AG,AH:AH)</f>
        <v>16000</v>
      </c>
      <c r="H189">
        <f>F189*_xlfn.XLOOKUP(B189,AG:AG,AI:AI)</f>
        <v>18560</v>
      </c>
      <c r="I189">
        <f t="shared" si="12"/>
        <v>0</v>
      </c>
      <c r="J189">
        <f>I189*_xlfn.XLOOKUP(B189,AG:AG,AI:AI)</f>
        <v>0</v>
      </c>
      <c r="K189" s="7">
        <f>_xlfn.XLOOKUP(A189,Z:Z,AD:AD)</f>
        <v>45850</v>
      </c>
      <c r="L189" s="7">
        <f t="shared" si="13"/>
        <v>45820</v>
      </c>
      <c r="M189">
        <f t="shared" si="14"/>
        <v>6</v>
      </c>
      <c r="N189">
        <f t="shared" si="15"/>
        <v>2025</v>
      </c>
      <c r="Q189" s="22">
        <v>314</v>
      </c>
      <c r="R189" s="22">
        <v>1029.26</v>
      </c>
      <c r="S189" s="22" t="str">
        <f t="shared" si="16"/>
        <v>USD</v>
      </c>
      <c r="T189" s="22">
        <f>R189*_xlfn.XLOOKUP(S189,AG:AG,AI:AI)</f>
        <v>1029.26</v>
      </c>
      <c r="U189" s="22" t="s">
        <v>26</v>
      </c>
      <c r="W189" s="9">
        <v>170</v>
      </c>
      <c r="X189" s="9" t="s">
        <v>27</v>
      </c>
      <c r="Z189">
        <v>195</v>
      </c>
      <c r="AA189">
        <v>16000</v>
      </c>
      <c r="AB189" t="s">
        <v>27</v>
      </c>
      <c r="AD189" s="20">
        <v>45850</v>
      </c>
    </row>
    <row r="190" spans="1:30">
      <c r="A190">
        <v>196</v>
      </c>
      <c r="B190" t="str">
        <f>_xlfn.XLOOKUP(A190,Z:Z,AB:AB,"not found")</f>
        <v>USD</v>
      </c>
      <c r="C190">
        <f>_xlfn.XLOOKUP(A190,Z:Z,AA:AA)-_xlfn.XLOOKUP(A190,Q:Q,R:R,"0")</f>
        <v>5480.2800000000007</v>
      </c>
      <c r="D190">
        <f>C190*_xlfn.XLOOKUP(B190,AG:AG,AH:AH)</f>
        <v>4713.0408000000007</v>
      </c>
      <c r="E190">
        <f>C190*_xlfn.XLOOKUP(B190,AG:AG,AI:AI)</f>
        <v>5480.2800000000007</v>
      </c>
      <c r="F190">
        <v>14882.34</v>
      </c>
      <c r="G190">
        <f>F190*_xlfn.XLOOKUP(B190,AG:AG,AH:AH)</f>
        <v>12798.812400000001</v>
      </c>
      <c r="H190">
        <f>F190*_xlfn.XLOOKUP(B190,AG:AG,AI:AI)</f>
        <v>14882.34</v>
      </c>
      <c r="I190">
        <f t="shared" si="12"/>
        <v>0</v>
      </c>
      <c r="J190">
        <f>I190*_xlfn.XLOOKUP(B190,AG:AG,AI:AI)</f>
        <v>0</v>
      </c>
      <c r="K190" s="7">
        <f>_xlfn.XLOOKUP(A190,Z:Z,AD:AD)</f>
        <v>45791</v>
      </c>
      <c r="L190" s="7">
        <f t="shared" si="13"/>
        <v>45761</v>
      </c>
      <c r="M190">
        <f t="shared" si="14"/>
        <v>4</v>
      </c>
      <c r="N190">
        <f t="shared" si="15"/>
        <v>2025</v>
      </c>
      <c r="Q190" s="22">
        <v>315</v>
      </c>
      <c r="R190" s="22">
        <v>769.8</v>
      </c>
      <c r="S190" s="22" t="str">
        <f t="shared" si="16"/>
        <v>USD</v>
      </c>
      <c r="T190" s="22">
        <f>R190*_xlfn.XLOOKUP(S190,AG:AG,AI:AI)</f>
        <v>769.8</v>
      </c>
      <c r="U190" s="22" t="s">
        <v>26</v>
      </c>
      <c r="W190" s="9">
        <v>170</v>
      </c>
      <c r="X190" s="9" t="s">
        <v>27</v>
      </c>
      <c r="Z190">
        <v>196</v>
      </c>
      <c r="AA190">
        <v>14882.34</v>
      </c>
      <c r="AB190" t="s">
        <v>29</v>
      </c>
      <c r="AD190" s="20">
        <v>45791</v>
      </c>
    </row>
    <row r="191" spans="1:30">
      <c r="A191">
        <v>197</v>
      </c>
      <c r="B191" t="str">
        <f>_xlfn.XLOOKUP(A191,Z:Z,AB:AB,"not found")</f>
        <v>USD</v>
      </c>
      <c r="C191">
        <f>_xlfn.XLOOKUP(A191,Z:Z,AA:AA)-_xlfn.XLOOKUP(A191,Q:Q,R:R,"0")</f>
        <v>8116.89</v>
      </c>
      <c r="D191">
        <f>C191*_xlfn.XLOOKUP(B191,AG:AG,AH:AH)</f>
        <v>6980.5254000000004</v>
      </c>
      <c r="E191">
        <f>C191*_xlfn.XLOOKUP(B191,AG:AG,AI:AI)</f>
        <v>8116.89</v>
      </c>
      <c r="F191">
        <v>8116.89</v>
      </c>
      <c r="G191">
        <f>F191*_xlfn.XLOOKUP(B191,AG:AG,AH:AH)</f>
        <v>6980.5254000000004</v>
      </c>
      <c r="H191">
        <f>F191*_xlfn.XLOOKUP(B191,AG:AG,AI:AI)</f>
        <v>8116.89</v>
      </c>
      <c r="I191">
        <f t="shared" si="12"/>
        <v>0</v>
      </c>
      <c r="J191">
        <f>I191*_xlfn.XLOOKUP(B191,AG:AG,AI:AI)</f>
        <v>0</v>
      </c>
      <c r="K191" s="7">
        <f>_xlfn.XLOOKUP(A191,Z:Z,AD:AD)</f>
        <v>45731</v>
      </c>
      <c r="L191" s="7">
        <f t="shared" si="13"/>
        <v>45701</v>
      </c>
      <c r="M191">
        <f t="shared" si="14"/>
        <v>2</v>
      </c>
      <c r="N191">
        <f t="shared" si="15"/>
        <v>2025</v>
      </c>
      <c r="Q191" s="22">
        <v>317</v>
      </c>
      <c r="R191" s="22">
        <v>695.8</v>
      </c>
      <c r="S191" s="22" t="str">
        <f t="shared" si="16"/>
        <v>USD</v>
      </c>
      <c r="T191" s="22">
        <f>R191*_xlfn.XLOOKUP(S191,AG:AG,AI:AI)</f>
        <v>695.8</v>
      </c>
      <c r="U191" s="22" t="s">
        <v>26</v>
      </c>
      <c r="W191" s="9">
        <v>170</v>
      </c>
      <c r="X191" s="9" t="s">
        <v>27</v>
      </c>
      <c r="Z191">
        <v>197</v>
      </c>
      <c r="AA191">
        <v>8116.89</v>
      </c>
      <c r="AB191" t="s">
        <v>29</v>
      </c>
      <c r="AD191" s="20">
        <v>45731</v>
      </c>
    </row>
    <row r="192" spans="1:30">
      <c r="A192">
        <v>198</v>
      </c>
      <c r="B192" t="str">
        <f>_xlfn.XLOOKUP(A192,Z:Z,AB:AB,"not found")</f>
        <v>USD</v>
      </c>
      <c r="C192">
        <f>_xlfn.XLOOKUP(A192,Z:Z,AA:AA)-_xlfn.XLOOKUP(A192,Q:Q,R:R,"0")</f>
        <v>28055.360000000001</v>
      </c>
      <c r="D192">
        <f>C192*_xlfn.XLOOKUP(B192,AG:AG,AH:AH)</f>
        <v>24127.6096</v>
      </c>
      <c r="E192">
        <f>C192*_xlfn.XLOOKUP(B192,AG:AG,AI:AI)</f>
        <v>28055.360000000001</v>
      </c>
      <c r="F192">
        <v>80799.45</v>
      </c>
      <c r="G192">
        <f>F192*_xlfn.XLOOKUP(B192,AG:AG,AH:AH)</f>
        <v>69487.527000000002</v>
      </c>
      <c r="H192">
        <f>F192*_xlfn.XLOOKUP(B192,AG:AG,AI:AI)</f>
        <v>80799.45</v>
      </c>
      <c r="I192">
        <f t="shared" si="12"/>
        <v>0</v>
      </c>
      <c r="J192">
        <f>I192*_xlfn.XLOOKUP(B192,AG:AG,AI:AI)</f>
        <v>0</v>
      </c>
      <c r="K192" s="7">
        <f>_xlfn.XLOOKUP(A192,Z:Z,AD:AD)</f>
        <v>45952</v>
      </c>
      <c r="L192" s="7">
        <f t="shared" si="13"/>
        <v>45922</v>
      </c>
      <c r="M192">
        <f t="shared" si="14"/>
        <v>9</v>
      </c>
      <c r="N192">
        <f t="shared" si="15"/>
        <v>2025</v>
      </c>
      <c r="Q192" s="22">
        <v>318</v>
      </c>
      <c r="R192" s="22">
        <v>379</v>
      </c>
      <c r="S192" s="22" t="str">
        <f t="shared" si="16"/>
        <v>USD</v>
      </c>
      <c r="T192" s="22">
        <f>R192*_xlfn.XLOOKUP(S192,AG:AG,AI:AI)</f>
        <v>379</v>
      </c>
      <c r="U192" s="22" t="s">
        <v>26</v>
      </c>
      <c r="W192" s="9">
        <v>171</v>
      </c>
      <c r="X192" s="9" t="s">
        <v>29</v>
      </c>
      <c r="Z192">
        <v>198</v>
      </c>
      <c r="AA192">
        <v>80799.45</v>
      </c>
      <c r="AB192" t="s">
        <v>29</v>
      </c>
      <c r="AD192" s="20">
        <v>45952</v>
      </c>
    </row>
    <row r="193" spans="1:30">
      <c r="A193">
        <v>199</v>
      </c>
      <c r="B193" t="str">
        <f>_xlfn.XLOOKUP(A193,Z:Z,AB:AB,"not found")</f>
        <v>USD</v>
      </c>
      <c r="C193">
        <f>_xlfn.XLOOKUP(A193,Z:Z,AA:AA)-_xlfn.XLOOKUP(A193,Q:Q,R:R,"0")</f>
        <v>0</v>
      </c>
      <c r="D193">
        <f>C193*_xlfn.XLOOKUP(B193,AG:AG,AH:AH)</f>
        <v>0</v>
      </c>
      <c r="E193">
        <f>C193*_xlfn.XLOOKUP(B193,AG:AG,AI:AI)</f>
        <v>0</v>
      </c>
      <c r="F193">
        <v>4395</v>
      </c>
      <c r="G193">
        <f>F193*_xlfn.XLOOKUP(B193,AG:AG,AH:AH)</f>
        <v>3779.7</v>
      </c>
      <c r="H193">
        <f>F193*_xlfn.XLOOKUP(B193,AG:AG,AI:AI)</f>
        <v>4395</v>
      </c>
      <c r="I193">
        <f t="shared" si="12"/>
        <v>0</v>
      </c>
      <c r="J193">
        <f>I193*_xlfn.XLOOKUP(B193,AG:AG,AI:AI)</f>
        <v>0</v>
      </c>
      <c r="K193" s="7">
        <f>_xlfn.XLOOKUP(A193,Z:Z,AD:AD)</f>
        <v>45697</v>
      </c>
      <c r="L193" s="7">
        <f t="shared" si="13"/>
        <v>45667</v>
      </c>
      <c r="M193">
        <f t="shared" si="14"/>
        <v>1</v>
      </c>
      <c r="N193">
        <f t="shared" si="15"/>
        <v>2025</v>
      </c>
      <c r="Q193" s="22">
        <v>319</v>
      </c>
      <c r="R193" s="22">
        <v>866.4</v>
      </c>
      <c r="S193" s="22" t="str">
        <f t="shared" si="16"/>
        <v>USD</v>
      </c>
      <c r="T193" s="22">
        <f>R193*_xlfn.XLOOKUP(S193,AG:AG,AI:AI)</f>
        <v>866.4</v>
      </c>
      <c r="U193" s="22" t="s">
        <v>26</v>
      </c>
      <c r="W193" s="9">
        <v>171</v>
      </c>
      <c r="X193" s="9" t="s">
        <v>29</v>
      </c>
      <c r="Z193">
        <v>199</v>
      </c>
      <c r="AA193">
        <v>4395</v>
      </c>
      <c r="AB193" t="s">
        <v>29</v>
      </c>
      <c r="AD193" s="20">
        <v>45697</v>
      </c>
    </row>
    <row r="194" spans="1:30">
      <c r="A194">
        <v>200</v>
      </c>
      <c r="B194" t="str">
        <f>_xlfn.XLOOKUP(A194,Z:Z,AB:AB,"not found")</f>
        <v>USD</v>
      </c>
      <c r="C194">
        <f>_xlfn.XLOOKUP(A194,Z:Z,AA:AA)-_xlfn.XLOOKUP(A194,Q:Q,R:R,"0")</f>
        <v>0</v>
      </c>
      <c r="D194">
        <f>C194*_xlfn.XLOOKUP(B194,AG:AG,AH:AH)</f>
        <v>0</v>
      </c>
      <c r="E194">
        <f>C194*_xlfn.XLOOKUP(B194,AG:AG,AI:AI)</f>
        <v>0</v>
      </c>
      <c r="F194">
        <v>3998.77</v>
      </c>
      <c r="G194">
        <f>F194*_xlfn.XLOOKUP(B194,AG:AG,AH:AH)</f>
        <v>3438.9422</v>
      </c>
      <c r="H194">
        <f>F194*_xlfn.XLOOKUP(B194,AG:AG,AI:AI)</f>
        <v>3998.77</v>
      </c>
      <c r="I194">
        <f t="shared" si="12"/>
        <v>0</v>
      </c>
      <c r="J194">
        <f>I194*_xlfn.XLOOKUP(B194,AG:AG,AI:AI)</f>
        <v>0</v>
      </c>
      <c r="K194" s="7">
        <f>_xlfn.XLOOKUP(A194,Z:Z,AD:AD)</f>
        <v>45735</v>
      </c>
      <c r="L194" s="7">
        <f t="shared" si="13"/>
        <v>45705</v>
      </c>
      <c r="M194">
        <f t="shared" si="14"/>
        <v>2</v>
      </c>
      <c r="N194">
        <f t="shared" si="15"/>
        <v>2025</v>
      </c>
      <c r="Q194" s="22">
        <v>321</v>
      </c>
      <c r="R194" s="22">
        <v>261.60000000000002</v>
      </c>
      <c r="S194" s="22" t="str">
        <f t="shared" si="16"/>
        <v>USD</v>
      </c>
      <c r="T194" s="22">
        <f>R194*_xlfn.XLOOKUP(S194,AG:AG,AI:AI)</f>
        <v>261.60000000000002</v>
      </c>
      <c r="U194" s="22" t="s">
        <v>26</v>
      </c>
      <c r="W194" s="9">
        <v>171</v>
      </c>
      <c r="X194" s="9" t="s">
        <v>29</v>
      </c>
      <c r="Z194">
        <v>200</v>
      </c>
      <c r="AA194">
        <v>3998.77</v>
      </c>
      <c r="AB194" t="s">
        <v>29</v>
      </c>
      <c r="AD194" s="20">
        <v>45735</v>
      </c>
    </row>
    <row r="195" spans="1:30">
      <c r="A195">
        <v>201</v>
      </c>
      <c r="B195" t="str">
        <f>_xlfn.XLOOKUP(A195,Z:Z,AB:AB,"not found")</f>
        <v>USD</v>
      </c>
      <c r="C195">
        <f>_xlfn.XLOOKUP(A195,Z:Z,AA:AA)-_xlfn.XLOOKUP(A195,Q:Q,R:R,"0")</f>
        <v>0</v>
      </c>
      <c r="D195">
        <f>C195*_xlfn.XLOOKUP(B195,AG:AG,AH:AH)</f>
        <v>0</v>
      </c>
      <c r="E195">
        <f>C195*_xlfn.XLOOKUP(B195,AG:AG,AI:AI)</f>
        <v>0</v>
      </c>
      <c r="F195">
        <v>3998.77</v>
      </c>
      <c r="G195">
        <f>F195*_xlfn.XLOOKUP(B195,AG:AG,AH:AH)</f>
        <v>3438.9422</v>
      </c>
      <c r="H195">
        <f>F195*_xlfn.XLOOKUP(B195,AG:AG,AI:AI)</f>
        <v>3998.77</v>
      </c>
      <c r="I195">
        <f t="shared" ref="I195:I258" si="17">C195-F195+_xlfn.XLOOKUP(A195,Q:Q,R:R,"0")</f>
        <v>0</v>
      </c>
      <c r="J195">
        <f>I195*_xlfn.XLOOKUP(B195,AG:AG,AI:AI)</f>
        <v>0</v>
      </c>
      <c r="K195" s="7">
        <f>_xlfn.XLOOKUP(A195,Z:Z,AD:AD)</f>
        <v>45735</v>
      </c>
      <c r="L195" s="7">
        <f t="shared" ref="L195:L258" si="18">K195-30</f>
        <v>45705</v>
      </c>
      <c r="M195">
        <f t="shared" ref="M195:M258" si="19">MONTH(L195)</f>
        <v>2</v>
      </c>
      <c r="N195">
        <f t="shared" ref="N195:N258" si="20">YEAR(L195)</f>
        <v>2025</v>
      </c>
      <c r="Q195" s="22">
        <v>322</v>
      </c>
      <c r="R195" s="22">
        <v>1401</v>
      </c>
      <c r="S195" s="22" t="str">
        <f t="shared" ref="S195:S258" si="21">_xlfn.XLOOKUP(Q195,W:W,X:X)</f>
        <v>USD</v>
      </c>
      <c r="T195" s="22">
        <f>R195*_xlfn.XLOOKUP(S195,AG:AG,AI:AI)</f>
        <v>1401</v>
      </c>
      <c r="U195" s="22" t="s">
        <v>26</v>
      </c>
      <c r="W195" s="9">
        <v>172</v>
      </c>
      <c r="X195" s="9" t="s">
        <v>29</v>
      </c>
      <c r="Z195">
        <v>201</v>
      </c>
      <c r="AA195">
        <v>3998.77</v>
      </c>
      <c r="AB195" t="s">
        <v>29</v>
      </c>
      <c r="AD195" s="20">
        <v>45735</v>
      </c>
    </row>
    <row r="196" spans="1:30">
      <c r="A196">
        <v>202</v>
      </c>
      <c r="B196" t="str">
        <f>_xlfn.XLOOKUP(A196,Z:Z,AB:AB,"not found")</f>
        <v>USD</v>
      </c>
      <c r="C196">
        <f>_xlfn.XLOOKUP(A196,Z:Z,AA:AA)-_xlfn.XLOOKUP(A196,Q:Q,R:R,"0")</f>
        <v>27535.31</v>
      </c>
      <c r="D196">
        <f>C196*_xlfn.XLOOKUP(B196,AG:AG,AH:AH)</f>
        <v>23680.366600000001</v>
      </c>
      <c r="E196">
        <f>C196*_xlfn.XLOOKUP(B196,AG:AG,AI:AI)</f>
        <v>27535.31</v>
      </c>
      <c r="F196">
        <v>27535.31</v>
      </c>
      <c r="G196">
        <f>F196*_xlfn.XLOOKUP(B196,AG:AG,AH:AH)</f>
        <v>23680.366600000001</v>
      </c>
      <c r="H196">
        <f>F196*_xlfn.XLOOKUP(B196,AG:AG,AI:AI)</f>
        <v>27535.31</v>
      </c>
      <c r="I196">
        <f t="shared" si="17"/>
        <v>0</v>
      </c>
      <c r="J196">
        <f>I196*_xlfn.XLOOKUP(B196,AG:AG,AI:AI)</f>
        <v>0</v>
      </c>
      <c r="K196" s="7">
        <f>_xlfn.XLOOKUP(A196,Z:Z,AD:AD)</f>
        <v>45940</v>
      </c>
      <c r="L196" s="7">
        <f t="shared" si="18"/>
        <v>45910</v>
      </c>
      <c r="M196">
        <f t="shared" si="19"/>
        <v>9</v>
      </c>
      <c r="N196">
        <f t="shared" si="20"/>
        <v>2025</v>
      </c>
      <c r="Q196" s="22">
        <v>323</v>
      </c>
      <c r="R196" s="22">
        <v>59530</v>
      </c>
      <c r="S196" s="22" t="str">
        <f t="shared" si="21"/>
        <v>MXN</v>
      </c>
      <c r="T196" s="22">
        <f>R196*_xlfn.XLOOKUP(S196,AG:AG,AI:AI)</f>
        <v>3333.6800000000003</v>
      </c>
      <c r="U196" s="22" t="s">
        <v>26</v>
      </c>
      <c r="W196" s="9">
        <v>172</v>
      </c>
      <c r="X196" s="9" t="s">
        <v>29</v>
      </c>
      <c r="Z196">
        <v>202</v>
      </c>
      <c r="AA196">
        <v>27535.31</v>
      </c>
      <c r="AB196" t="s">
        <v>29</v>
      </c>
      <c r="AD196" s="20">
        <v>45940</v>
      </c>
    </row>
    <row r="197" spans="1:30">
      <c r="A197">
        <v>203</v>
      </c>
      <c r="B197" t="str">
        <f>_xlfn.XLOOKUP(A197,Z:Z,AB:AB,"not found")</f>
        <v>USD</v>
      </c>
      <c r="C197">
        <f>_xlfn.XLOOKUP(A197,Z:Z,AA:AA)-_xlfn.XLOOKUP(A197,Q:Q,R:R,"0")</f>
        <v>0</v>
      </c>
      <c r="D197">
        <f>C197*_xlfn.XLOOKUP(B197,AG:AG,AH:AH)</f>
        <v>0</v>
      </c>
      <c r="E197">
        <f>C197*_xlfn.XLOOKUP(B197,AG:AG,AI:AI)</f>
        <v>0</v>
      </c>
      <c r="F197">
        <v>4045.64</v>
      </c>
      <c r="G197">
        <f>F197*_xlfn.XLOOKUP(B197,AG:AG,AH:AH)</f>
        <v>3479.2503999999999</v>
      </c>
      <c r="H197">
        <f>F197*_xlfn.XLOOKUP(B197,AG:AG,AI:AI)</f>
        <v>4045.64</v>
      </c>
      <c r="I197">
        <f t="shared" si="17"/>
        <v>0</v>
      </c>
      <c r="J197">
        <f>I197*_xlfn.XLOOKUP(B197,AG:AG,AI:AI)</f>
        <v>0</v>
      </c>
      <c r="K197" s="7">
        <f>_xlfn.XLOOKUP(A197,Z:Z,AD:AD)</f>
        <v>45798</v>
      </c>
      <c r="L197" s="7">
        <f t="shared" si="18"/>
        <v>45768</v>
      </c>
      <c r="M197">
        <f t="shared" si="19"/>
        <v>4</v>
      </c>
      <c r="N197">
        <f t="shared" si="20"/>
        <v>2025</v>
      </c>
      <c r="Q197" s="22">
        <v>324</v>
      </c>
      <c r="R197" s="22">
        <v>54735</v>
      </c>
      <c r="S197" s="22" t="str">
        <f t="shared" si="21"/>
        <v>MXN</v>
      </c>
      <c r="T197" s="22">
        <f>R197*_xlfn.XLOOKUP(S197,AG:AG,AI:AI)</f>
        <v>3065.16</v>
      </c>
      <c r="U197" s="22" t="s">
        <v>26</v>
      </c>
      <c r="W197" s="9">
        <v>172</v>
      </c>
      <c r="X197" s="9" t="s">
        <v>29</v>
      </c>
      <c r="Z197">
        <v>203</v>
      </c>
      <c r="AA197">
        <v>4045.64</v>
      </c>
      <c r="AB197" t="s">
        <v>29</v>
      </c>
      <c r="AD197" s="20">
        <v>45798</v>
      </c>
    </row>
    <row r="198" spans="1:30">
      <c r="A198">
        <v>204</v>
      </c>
      <c r="B198" t="str">
        <f>_xlfn.XLOOKUP(A198,Z:Z,AB:AB,"not found")</f>
        <v>EUR</v>
      </c>
      <c r="C198">
        <f>_xlfn.XLOOKUP(A198,Z:Z,AA:AA)-_xlfn.XLOOKUP(A198,Q:Q,R:R,"0")</f>
        <v>113650.44</v>
      </c>
      <c r="D198">
        <f>C198*_xlfn.XLOOKUP(B198,AG:AG,AH:AH)</f>
        <v>113650.44</v>
      </c>
      <c r="E198">
        <f>C198*_xlfn.XLOOKUP(B198,AG:AG,AI:AI)</f>
        <v>131834.5104</v>
      </c>
      <c r="F198">
        <v>120265.44</v>
      </c>
      <c r="G198">
        <f>F198*_xlfn.XLOOKUP(B198,AG:AG,AH:AH)</f>
        <v>120265.44</v>
      </c>
      <c r="H198">
        <f>F198*_xlfn.XLOOKUP(B198,AG:AG,AI:AI)</f>
        <v>139507.91039999999</v>
      </c>
      <c r="I198">
        <f t="shared" si="17"/>
        <v>0</v>
      </c>
      <c r="J198">
        <f>I198*_xlfn.XLOOKUP(B198,AG:AG,AI:AI)</f>
        <v>0</v>
      </c>
      <c r="K198" s="7">
        <f>_xlfn.XLOOKUP(A198,Z:Z,AD:AD)</f>
        <v>45822</v>
      </c>
      <c r="L198" s="7">
        <f t="shared" si="18"/>
        <v>45792</v>
      </c>
      <c r="M198">
        <f t="shared" si="19"/>
        <v>5</v>
      </c>
      <c r="N198">
        <f t="shared" si="20"/>
        <v>2025</v>
      </c>
      <c r="Q198" s="22">
        <v>325</v>
      </c>
      <c r="R198" s="22">
        <v>127330</v>
      </c>
      <c r="S198" s="22" t="str">
        <f t="shared" si="21"/>
        <v>MXN</v>
      </c>
      <c r="T198" s="22">
        <f>R198*_xlfn.XLOOKUP(S198,AG:AG,AI:AI)</f>
        <v>7130.4800000000005</v>
      </c>
      <c r="U198" s="22" t="s">
        <v>26</v>
      </c>
      <c r="W198" s="9">
        <v>173</v>
      </c>
      <c r="X198" s="9" t="s">
        <v>29</v>
      </c>
      <c r="Z198">
        <v>204</v>
      </c>
      <c r="AA198">
        <v>120265.44</v>
      </c>
      <c r="AB198" t="s">
        <v>27</v>
      </c>
      <c r="AD198" s="20">
        <v>45822</v>
      </c>
    </row>
    <row r="199" spans="1:30">
      <c r="A199">
        <v>205</v>
      </c>
      <c r="B199" t="str">
        <f>_xlfn.XLOOKUP(A199,Z:Z,AB:AB,"not found")</f>
        <v>MXN</v>
      </c>
      <c r="C199">
        <f>_xlfn.XLOOKUP(A199,Z:Z,AA:AA)-_xlfn.XLOOKUP(A199,Q:Q,R:R,"0")</f>
        <v>0</v>
      </c>
      <c r="D199">
        <f>C199*_xlfn.XLOOKUP(B199,AG:AG,AH:AH)</f>
        <v>0</v>
      </c>
      <c r="E199">
        <f>C199*_xlfn.XLOOKUP(B199,AG:AG,AI:AI)</f>
        <v>0</v>
      </c>
      <c r="F199">
        <v>868193.33</v>
      </c>
      <c r="G199">
        <f>F199*_xlfn.XLOOKUP(B199,AG:AG,AH:AH)</f>
        <v>41673.279839999996</v>
      </c>
      <c r="H199">
        <f>F199*_xlfn.XLOOKUP(B199,AG:AG,AI:AI)</f>
        <v>48618.826479999996</v>
      </c>
      <c r="I199">
        <f t="shared" si="17"/>
        <v>0</v>
      </c>
      <c r="J199">
        <f>I199*_xlfn.XLOOKUP(B199,AG:AG,AI:AI)</f>
        <v>0</v>
      </c>
      <c r="K199" s="7">
        <f>_xlfn.XLOOKUP(A199,Z:Z,AD:AD)</f>
        <v>45764</v>
      </c>
      <c r="L199" s="7">
        <f t="shared" si="18"/>
        <v>45734</v>
      </c>
      <c r="M199">
        <f t="shared" si="19"/>
        <v>3</v>
      </c>
      <c r="N199">
        <f t="shared" si="20"/>
        <v>2025</v>
      </c>
      <c r="Q199" s="22">
        <v>326</v>
      </c>
      <c r="R199" s="22">
        <v>525</v>
      </c>
      <c r="S199" s="22" t="str">
        <f t="shared" si="21"/>
        <v>EUR</v>
      </c>
      <c r="T199" s="22">
        <f>R199*_xlfn.XLOOKUP(S199,AG:AG,AI:AI)</f>
        <v>609</v>
      </c>
      <c r="U199" s="22" t="s">
        <v>26</v>
      </c>
      <c r="W199" s="9">
        <v>173</v>
      </c>
      <c r="X199" s="9" t="s">
        <v>29</v>
      </c>
      <c r="Z199">
        <v>205</v>
      </c>
      <c r="AA199">
        <v>868193.33</v>
      </c>
      <c r="AB199" t="s">
        <v>28</v>
      </c>
      <c r="AD199" s="20">
        <v>45764</v>
      </c>
    </row>
    <row r="200" spans="1:30">
      <c r="A200">
        <v>206</v>
      </c>
      <c r="B200" t="str">
        <f>_xlfn.XLOOKUP(A200,Z:Z,AB:AB,"not found")</f>
        <v>USD</v>
      </c>
      <c r="C200">
        <f>_xlfn.XLOOKUP(A200,Z:Z,AA:AA)-_xlfn.XLOOKUP(A200,Q:Q,R:R,"0")</f>
        <v>0</v>
      </c>
      <c r="D200">
        <f>C200*_xlfn.XLOOKUP(B200,AG:AG,AH:AH)</f>
        <v>0</v>
      </c>
      <c r="E200">
        <f>C200*_xlfn.XLOOKUP(B200,AG:AG,AI:AI)</f>
        <v>0</v>
      </c>
      <c r="F200">
        <v>8210</v>
      </c>
      <c r="G200">
        <f>F200*_xlfn.XLOOKUP(B200,AG:AG,AH:AH)</f>
        <v>7060.5999999999995</v>
      </c>
      <c r="H200">
        <f>F200*_xlfn.XLOOKUP(B200,AG:AG,AI:AI)</f>
        <v>8210</v>
      </c>
      <c r="I200">
        <f t="shared" si="17"/>
        <v>0</v>
      </c>
      <c r="J200">
        <f>I200*_xlfn.XLOOKUP(B200,AG:AG,AI:AI)</f>
        <v>0</v>
      </c>
      <c r="K200" s="7">
        <f>_xlfn.XLOOKUP(A200,Z:Z,AD:AD)</f>
        <v>45735</v>
      </c>
      <c r="L200" s="7">
        <f t="shared" si="18"/>
        <v>45705</v>
      </c>
      <c r="M200">
        <f t="shared" si="19"/>
        <v>2</v>
      </c>
      <c r="N200">
        <f t="shared" si="20"/>
        <v>2025</v>
      </c>
      <c r="Q200" s="22">
        <v>327</v>
      </c>
      <c r="R200" s="22">
        <v>10449.41</v>
      </c>
      <c r="S200" s="22" t="str">
        <f t="shared" si="21"/>
        <v>USD</v>
      </c>
      <c r="T200" s="22">
        <f>R200*_xlfn.XLOOKUP(S200,AG:AG,AI:AI)</f>
        <v>10449.41</v>
      </c>
      <c r="U200" s="22" t="s">
        <v>26</v>
      </c>
      <c r="W200" s="9">
        <v>173</v>
      </c>
      <c r="X200" s="9" t="s">
        <v>29</v>
      </c>
      <c r="Z200">
        <v>206</v>
      </c>
      <c r="AA200">
        <v>8210</v>
      </c>
      <c r="AB200" t="s">
        <v>29</v>
      </c>
      <c r="AD200" s="20">
        <v>45735</v>
      </c>
    </row>
    <row r="201" spans="1:30">
      <c r="A201">
        <v>207</v>
      </c>
      <c r="B201" t="str">
        <f>_xlfn.XLOOKUP(A201,Z:Z,AB:AB,"not found")</f>
        <v>USD</v>
      </c>
      <c r="C201">
        <f>_xlfn.XLOOKUP(A201,Z:Z,AA:AA)-_xlfn.XLOOKUP(A201,Q:Q,R:R,"0")</f>
        <v>0</v>
      </c>
      <c r="D201">
        <f>C201*_xlfn.XLOOKUP(B201,AG:AG,AH:AH)</f>
        <v>0</v>
      </c>
      <c r="E201">
        <f>C201*_xlfn.XLOOKUP(B201,AG:AG,AI:AI)</f>
        <v>0</v>
      </c>
      <c r="F201">
        <v>4370.66</v>
      </c>
      <c r="G201">
        <f>F201*_xlfn.XLOOKUP(B201,AG:AG,AH:AH)</f>
        <v>3758.7675999999997</v>
      </c>
      <c r="H201">
        <f>F201*_xlfn.XLOOKUP(B201,AG:AG,AI:AI)</f>
        <v>4370.66</v>
      </c>
      <c r="I201">
        <f t="shared" si="17"/>
        <v>0</v>
      </c>
      <c r="J201">
        <f>I201*_xlfn.XLOOKUP(B201,AG:AG,AI:AI)</f>
        <v>0</v>
      </c>
      <c r="K201" s="7">
        <f>_xlfn.XLOOKUP(A201,Z:Z,AD:AD)</f>
        <v>45832</v>
      </c>
      <c r="L201" s="7">
        <f t="shared" si="18"/>
        <v>45802</v>
      </c>
      <c r="M201">
        <f t="shared" si="19"/>
        <v>5</v>
      </c>
      <c r="N201">
        <f t="shared" si="20"/>
        <v>2025</v>
      </c>
      <c r="Q201" s="22">
        <v>329</v>
      </c>
      <c r="R201" s="22">
        <v>36910</v>
      </c>
      <c r="S201" s="22" t="str">
        <f t="shared" si="21"/>
        <v>MXN</v>
      </c>
      <c r="T201" s="22">
        <f>R201*_xlfn.XLOOKUP(S201,AG:AG,AI:AI)</f>
        <v>2066.96</v>
      </c>
      <c r="U201" s="22" t="s">
        <v>26</v>
      </c>
      <c r="W201" s="9">
        <v>173</v>
      </c>
      <c r="X201" s="9" t="s">
        <v>29</v>
      </c>
      <c r="Z201">
        <v>207</v>
      </c>
      <c r="AA201">
        <v>4370.66</v>
      </c>
      <c r="AB201" t="s">
        <v>29</v>
      </c>
      <c r="AD201" s="20">
        <v>45832</v>
      </c>
    </row>
    <row r="202" spans="1:30">
      <c r="A202">
        <v>208</v>
      </c>
      <c r="B202" t="str">
        <f>_xlfn.XLOOKUP(A202,Z:Z,AB:AB,"not found")</f>
        <v>USD</v>
      </c>
      <c r="C202">
        <f>_xlfn.XLOOKUP(A202,Z:Z,AA:AA)-_xlfn.XLOOKUP(A202,Q:Q,R:R,"0")</f>
        <v>0</v>
      </c>
      <c r="D202">
        <f>C202*_xlfn.XLOOKUP(B202,AG:AG,AH:AH)</f>
        <v>0</v>
      </c>
      <c r="E202">
        <f>C202*_xlfn.XLOOKUP(B202,AG:AG,AI:AI)</f>
        <v>0</v>
      </c>
      <c r="F202">
        <v>4370.66</v>
      </c>
      <c r="G202">
        <f>F202*_xlfn.XLOOKUP(B202,AG:AG,AH:AH)</f>
        <v>3758.7675999999997</v>
      </c>
      <c r="H202">
        <f>F202*_xlfn.XLOOKUP(B202,AG:AG,AI:AI)</f>
        <v>4370.66</v>
      </c>
      <c r="I202">
        <f t="shared" si="17"/>
        <v>0</v>
      </c>
      <c r="J202">
        <f>I202*_xlfn.XLOOKUP(B202,AG:AG,AI:AI)</f>
        <v>0</v>
      </c>
      <c r="K202" s="7">
        <f>_xlfn.XLOOKUP(A202,Z:Z,AD:AD)</f>
        <v>45832</v>
      </c>
      <c r="L202" s="7">
        <f t="shared" si="18"/>
        <v>45802</v>
      </c>
      <c r="M202">
        <f t="shared" si="19"/>
        <v>5</v>
      </c>
      <c r="N202">
        <f t="shared" si="20"/>
        <v>2025</v>
      </c>
      <c r="Q202" s="22">
        <v>337</v>
      </c>
      <c r="R202" s="22">
        <v>127.5</v>
      </c>
      <c r="S202" s="22" t="str">
        <f t="shared" si="21"/>
        <v>USD</v>
      </c>
      <c r="T202" s="22">
        <f>R202*_xlfn.XLOOKUP(S202,AG:AG,AI:AI)</f>
        <v>127.5</v>
      </c>
      <c r="U202" s="22" t="s">
        <v>26</v>
      </c>
      <c r="W202" s="9">
        <v>173</v>
      </c>
      <c r="X202" s="9" t="s">
        <v>29</v>
      </c>
      <c r="Z202">
        <v>208</v>
      </c>
      <c r="AA202">
        <v>4370.66</v>
      </c>
      <c r="AB202" t="s">
        <v>29</v>
      </c>
      <c r="AD202" s="20">
        <v>45832</v>
      </c>
    </row>
    <row r="203" spans="1:30">
      <c r="A203">
        <v>209</v>
      </c>
      <c r="B203" t="str">
        <f>_xlfn.XLOOKUP(A203,Z:Z,AB:AB,"not found")</f>
        <v>EUR</v>
      </c>
      <c r="C203">
        <f>_xlfn.XLOOKUP(A203,Z:Z,AA:AA)-_xlfn.XLOOKUP(A203,Q:Q,R:R,"0")</f>
        <v>1673</v>
      </c>
      <c r="D203">
        <f>C203*_xlfn.XLOOKUP(B203,AG:AG,AH:AH)</f>
        <v>1673</v>
      </c>
      <c r="E203">
        <f>C203*_xlfn.XLOOKUP(B203,AG:AG,AI:AI)</f>
        <v>1940.6799999999998</v>
      </c>
      <c r="F203">
        <v>1673</v>
      </c>
      <c r="G203">
        <f>F203*_xlfn.XLOOKUP(B203,AG:AG,AH:AH)</f>
        <v>1673</v>
      </c>
      <c r="H203">
        <f>F203*_xlfn.XLOOKUP(B203,AG:AG,AI:AI)</f>
        <v>1940.6799999999998</v>
      </c>
      <c r="I203">
        <f t="shared" si="17"/>
        <v>0</v>
      </c>
      <c r="J203">
        <f>I203*_xlfn.XLOOKUP(B203,AG:AG,AI:AI)</f>
        <v>0</v>
      </c>
      <c r="K203" s="7">
        <f>_xlfn.XLOOKUP(A203,Z:Z,AD:AD)</f>
        <v>45771</v>
      </c>
      <c r="L203" s="7">
        <f t="shared" si="18"/>
        <v>45741</v>
      </c>
      <c r="M203">
        <f t="shared" si="19"/>
        <v>3</v>
      </c>
      <c r="N203">
        <f t="shared" si="20"/>
        <v>2025</v>
      </c>
      <c r="Q203" s="22">
        <v>340</v>
      </c>
      <c r="R203" s="22">
        <v>13392.07</v>
      </c>
      <c r="S203" s="22" t="str">
        <f t="shared" si="21"/>
        <v>USD</v>
      </c>
      <c r="T203" s="22">
        <f>R203*_xlfn.XLOOKUP(S203,AG:AG,AI:AI)</f>
        <v>13392.07</v>
      </c>
      <c r="U203" s="22" t="s">
        <v>26</v>
      </c>
      <c r="W203" s="9">
        <v>176</v>
      </c>
      <c r="X203" s="9" t="s">
        <v>29</v>
      </c>
      <c r="Z203">
        <v>209</v>
      </c>
      <c r="AA203">
        <v>1673</v>
      </c>
      <c r="AB203" t="s">
        <v>27</v>
      </c>
      <c r="AD203" s="20">
        <v>45771</v>
      </c>
    </row>
    <row r="204" spans="1:30">
      <c r="A204">
        <v>210</v>
      </c>
      <c r="B204" t="str">
        <f>_xlfn.XLOOKUP(A204,Z:Z,AB:AB,"not found")</f>
        <v>USD</v>
      </c>
      <c r="C204">
        <f>_xlfn.XLOOKUP(A204,Z:Z,AA:AA)-_xlfn.XLOOKUP(A204,Q:Q,R:R,"0")</f>
        <v>20882.560000000001</v>
      </c>
      <c r="D204">
        <f>C204*_xlfn.XLOOKUP(B204,AG:AG,AH:AH)</f>
        <v>17959.0016</v>
      </c>
      <c r="E204">
        <f>C204*_xlfn.XLOOKUP(B204,AG:AG,AI:AI)</f>
        <v>20882.560000000001</v>
      </c>
      <c r="F204">
        <v>20882.560000000001</v>
      </c>
      <c r="G204">
        <f>F204*_xlfn.XLOOKUP(B204,AG:AG,AH:AH)</f>
        <v>17959.0016</v>
      </c>
      <c r="H204">
        <f>F204*_xlfn.XLOOKUP(B204,AG:AG,AI:AI)</f>
        <v>20882.560000000001</v>
      </c>
      <c r="I204">
        <f t="shared" si="17"/>
        <v>0</v>
      </c>
      <c r="J204">
        <f>I204*_xlfn.XLOOKUP(B204,AG:AG,AI:AI)</f>
        <v>0</v>
      </c>
      <c r="K204" s="7">
        <f>_xlfn.XLOOKUP(A204,Z:Z,AD:AD)</f>
        <v>45758</v>
      </c>
      <c r="L204" s="7">
        <f t="shared" si="18"/>
        <v>45728</v>
      </c>
      <c r="M204">
        <f t="shared" si="19"/>
        <v>3</v>
      </c>
      <c r="N204">
        <f t="shared" si="20"/>
        <v>2025</v>
      </c>
      <c r="Q204" s="22">
        <v>342</v>
      </c>
      <c r="R204" s="22">
        <v>15715.41</v>
      </c>
      <c r="S204" s="22" t="str">
        <f t="shared" si="21"/>
        <v>MXN</v>
      </c>
      <c r="T204" s="22">
        <f>R204*_xlfn.XLOOKUP(S204,AG:AG,AI:AI)</f>
        <v>880.06295999999998</v>
      </c>
      <c r="U204" s="22" t="s">
        <v>26</v>
      </c>
      <c r="W204" s="9">
        <v>179</v>
      </c>
      <c r="X204" s="9" t="s">
        <v>29</v>
      </c>
      <c r="Z204">
        <v>210</v>
      </c>
      <c r="AA204">
        <v>20882.560000000001</v>
      </c>
      <c r="AB204" t="s">
        <v>29</v>
      </c>
      <c r="AD204" s="20">
        <v>45758</v>
      </c>
    </row>
    <row r="205" spans="1:30">
      <c r="A205">
        <v>211</v>
      </c>
      <c r="B205" t="str">
        <f>_xlfn.XLOOKUP(A205,Z:Z,AB:AB,"not found")</f>
        <v>USD</v>
      </c>
      <c r="C205">
        <f>_xlfn.XLOOKUP(A205,Z:Z,AA:AA)-_xlfn.XLOOKUP(A205,Q:Q,R:R,"0")</f>
        <v>3020</v>
      </c>
      <c r="D205">
        <f>C205*_xlfn.XLOOKUP(B205,AG:AG,AH:AH)</f>
        <v>2597.1999999999998</v>
      </c>
      <c r="E205">
        <f>C205*_xlfn.XLOOKUP(B205,AG:AG,AI:AI)</f>
        <v>3020</v>
      </c>
      <c r="F205">
        <v>3020.17</v>
      </c>
      <c r="G205">
        <f>F205*_xlfn.XLOOKUP(B205,AG:AG,AH:AH)</f>
        <v>2597.3462</v>
      </c>
      <c r="H205">
        <f>F205*_xlfn.XLOOKUP(B205,AG:AG,AI:AI)</f>
        <v>3020.17</v>
      </c>
      <c r="I205">
        <f t="shared" si="17"/>
        <v>-0.17000000000007276</v>
      </c>
      <c r="J205">
        <f>I205*_xlfn.XLOOKUP(B205,AG:AG,AI:AI)</f>
        <v>-0.17000000000007276</v>
      </c>
      <c r="K205" s="7">
        <f>_xlfn.XLOOKUP(A205,Z:Z,AD:AD)</f>
        <v>45719</v>
      </c>
      <c r="L205" s="7">
        <f t="shared" si="18"/>
        <v>45689</v>
      </c>
      <c r="M205">
        <f t="shared" si="19"/>
        <v>2</v>
      </c>
      <c r="N205">
        <f t="shared" si="20"/>
        <v>2025</v>
      </c>
      <c r="Q205" s="22">
        <v>345</v>
      </c>
      <c r="R205" s="22">
        <v>900</v>
      </c>
      <c r="S205" s="22" t="str">
        <f t="shared" si="21"/>
        <v>EUR</v>
      </c>
      <c r="T205" s="22">
        <f>R205*_xlfn.XLOOKUP(S205,AG:AG,AI:AI)</f>
        <v>1044</v>
      </c>
      <c r="U205" s="22" t="s">
        <v>26</v>
      </c>
      <c r="W205" s="9">
        <v>180</v>
      </c>
      <c r="X205" s="9" t="s">
        <v>29</v>
      </c>
      <c r="Z205">
        <v>211</v>
      </c>
      <c r="AA205">
        <v>3020</v>
      </c>
      <c r="AB205" t="s">
        <v>29</v>
      </c>
      <c r="AD205" s="20">
        <v>45719</v>
      </c>
    </row>
    <row r="206" spans="1:30">
      <c r="A206">
        <v>212</v>
      </c>
      <c r="B206" t="str">
        <f>_xlfn.XLOOKUP(A206,Z:Z,AB:AB,"not found")</f>
        <v>USD</v>
      </c>
      <c r="C206">
        <f>_xlfn.XLOOKUP(A206,Z:Z,AA:AA)-_xlfn.XLOOKUP(A206,Q:Q,R:R,"0")</f>
        <v>17186.09</v>
      </c>
      <c r="D206">
        <f>C206*_xlfn.XLOOKUP(B206,AG:AG,AH:AH)</f>
        <v>14780.037399999999</v>
      </c>
      <c r="E206">
        <f>C206*_xlfn.XLOOKUP(B206,AG:AG,AI:AI)</f>
        <v>17186.09</v>
      </c>
      <c r="F206">
        <v>17186.09</v>
      </c>
      <c r="G206">
        <f>F206*_xlfn.XLOOKUP(B206,AG:AG,AH:AH)</f>
        <v>14780.037399999999</v>
      </c>
      <c r="H206">
        <f>F206*_xlfn.XLOOKUP(B206,AG:AG,AI:AI)</f>
        <v>17186.09</v>
      </c>
      <c r="I206">
        <f t="shared" si="17"/>
        <v>0</v>
      </c>
      <c r="J206">
        <f>I206*_xlfn.XLOOKUP(B206,AG:AG,AI:AI)</f>
        <v>0</v>
      </c>
      <c r="K206" s="7">
        <f>_xlfn.XLOOKUP(A206,Z:Z,AD:AD)</f>
        <v>45759</v>
      </c>
      <c r="L206" s="7">
        <f t="shared" si="18"/>
        <v>45729</v>
      </c>
      <c r="M206">
        <f t="shared" si="19"/>
        <v>3</v>
      </c>
      <c r="N206">
        <f t="shared" si="20"/>
        <v>2025</v>
      </c>
      <c r="Q206" s="22">
        <v>346</v>
      </c>
      <c r="R206" s="22">
        <v>7100</v>
      </c>
      <c r="S206" s="22" t="str">
        <f t="shared" si="21"/>
        <v>USD</v>
      </c>
      <c r="T206" s="22">
        <f>R206*_xlfn.XLOOKUP(S206,AG:AG,AI:AI)</f>
        <v>7100</v>
      </c>
      <c r="U206" s="22" t="s">
        <v>26</v>
      </c>
      <c r="W206" s="9">
        <v>181</v>
      </c>
      <c r="X206" s="9" t="s">
        <v>29</v>
      </c>
      <c r="Z206">
        <v>212</v>
      </c>
      <c r="AA206">
        <v>17186.09</v>
      </c>
      <c r="AB206" t="s">
        <v>29</v>
      </c>
      <c r="AD206" s="20">
        <v>45759</v>
      </c>
    </row>
    <row r="207" spans="1:30">
      <c r="A207">
        <v>213</v>
      </c>
      <c r="B207" t="str">
        <f>_xlfn.XLOOKUP(A207,Z:Z,AB:AB,"not found")</f>
        <v>USD</v>
      </c>
      <c r="C207">
        <f>_xlfn.XLOOKUP(A207,Z:Z,AA:AA)-_xlfn.XLOOKUP(A207,Q:Q,R:R,"0")</f>
        <v>0</v>
      </c>
      <c r="D207">
        <f>C207*_xlfn.XLOOKUP(B207,AG:AG,AH:AH)</f>
        <v>0</v>
      </c>
      <c r="E207">
        <f>C207*_xlfn.XLOOKUP(B207,AG:AG,AI:AI)</f>
        <v>0</v>
      </c>
      <c r="F207">
        <v>19903.2</v>
      </c>
      <c r="G207">
        <f>F207*_xlfn.XLOOKUP(B207,AG:AG,AH:AH)</f>
        <v>17116.752</v>
      </c>
      <c r="H207">
        <f>F207*_xlfn.XLOOKUP(B207,AG:AG,AI:AI)</f>
        <v>19903.2</v>
      </c>
      <c r="I207">
        <f t="shared" si="17"/>
        <v>0</v>
      </c>
      <c r="J207">
        <f>I207*_xlfn.XLOOKUP(B207,AG:AG,AI:AI)</f>
        <v>0</v>
      </c>
      <c r="K207" s="7">
        <f>_xlfn.XLOOKUP(A207,Z:Z,AD:AD)</f>
        <v>45765</v>
      </c>
      <c r="L207" s="7">
        <f t="shared" si="18"/>
        <v>45735</v>
      </c>
      <c r="M207">
        <f t="shared" si="19"/>
        <v>3</v>
      </c>
      <c r="N207">
        <f t="shared" si="20"/>
        <v>2025</v>
      </c>
      <c r="Q207" s="22">
        <v>348</v>
      </c>
      <c r="R207" s="22">
        <v>3045</v>
      </c>
      <c r="S207" s="22" t="str">
        <f t="shared" si="21"/>
        <v>USD</v>
      </c>
      <c r="T207" s="22">
        <f>R207*_xlfn.XLOOKUP(S207,AG:AG,AI:AI)</f>
        <v>3045</v>
      </c>
      <c r="U207" s="22" t="s">
        <v>26</v>
      </c>
      <c r="W207" s="9">
        <v>185</v>
      </c>
      <c r="X207" s="9" t="s">
        <v>29</v>
      </c>
      <c r="Z207">
        <v>213</v>
      </c>
      <c r="AA207">
        <v>19903.2</v>
      </c>
      <c r="AB207" t="s">
        <v>29</v>
      </c>
      <c r="AD207" s="20">
        <v>45765</v>
      </c>
    </row>
    <row r="208" spans="1:30">
      <c r="A208">
        <v>214</v>
      </c>
      <c r="B208" t="str">
        <f>_xlfn.XLOOKUP(A208,Z:Z,AB:AB,"not found")</f>
        <v>USD</v>
      </c>
      <c r="C208">
        <f>_xlfn.XLOOKUP(A208,Z:Z,AA:AA)-_xlfn.XLOOKUP(A208,Q:Q,R:R,"0")</f>
        <v>20010.809999999998</v>
      </c>
      <c r="D208">
        <f>C208*_xlfn.XLOOKUP(B208,AG:AG,AH:AH)</f>
        <v>17209.296599999998</v>
      </c>
      <c r="E208">
        <f>C208*_xlfn.XLOOKUP(B208,AG:AG,AI:AI)</f>
        <v>20010.809999999998</v>
      </c>
      <c r="F208">
        <v>22085.01</v>
      </c>
      <c r="G208">
        <f>F208*_xlfn.XLOOKUP(B208,AG:AG,AH:AH)</f>
        <v>18993.1086</v>
      </c>
      <c r="H208">
        <f>F208*_xlfn.XLOOKUP(B208,AG:AG,AI:AI)</f>
        <v>22085.01</v>
      </c>
      <c r="I208">
        <f t="shared" si="17"/>
        <v>0</v>
      </c>
      <c r="J208">
        <f>I208*_xlfn.XLOOKUP(B208,AG:AG,AI:AI)</f>
        <v>0</v>
      </c>
      <c r="K208" s="7">
        <f>_xlfn.XLOOKUP(A208,Z:Z,AD:AD)</f>
        <v>45767</v>
      </c>
      <c r="L208" s="7">
        <f t="shared" si="18"/>
        <v>45737</v>
      </c>
      <c r="M208">
        <f t="shared" si="19"/>
        <v>3</v>
      </c>
      <c r="N208">
        <f t="shared" si="20"/>
        <v>2025</v>
      </c>
      <c r="Q208" s="22">
        <v>350</v>
      </c>
      <c r="R208" s="22">
        <v>8009.27</v>
      </c>
      <c r="S208" s="22" t="str">
        <f t="shared" si="21"/>
        <v>USD</v>
      </c>
      <c r="T208" s="22">
        <f>R208*_xlfn.XLOOKUP(S208,AG:AG,AI:AI)</f>
        <v>8009.27</v>
      </c>
      <c r="U208" s="22" t="s">
        <v>26</v>
      </c>
      <c r="W208" s="9">
        <v>187</v>
      </c>
      <c r="X208" s="9" t="s">
        <v>29</v>
      </c>
      <c r="Z208">
        <v>214</v>
      </c>
      <c r="AA208">
        <v>22085.01</v>
      </c>
      <c r="AB208" t="s">
        <v>29</v>
      </c>
      <c r="AD208" s="20">
        <v>45767</v>
      </c>
    </row>
    <row r="209" spans="1:30">
      <c r="A209">
        <v>215</v>
      </c>
      <c r="B209" t="str">
        <f>_xlfn.XLOOKUP(A209,Z:Z,AB:AB,"not found")</f>
        <v>EUR</v>
      </c>
      <c r="C209">
        <f>_xlfn.XLOOKUP(A209,Z:Z,AA:AA)-_xlfn.XLOOKUP(A209,Q:Q,R:R,"0")</f>
        <v>10007.039999999997</v>
      </c>
      <c r="D209">
        <f>C209*_xlfn.XLOOKUP(B209,AG:AG,AH:AH)</f>
        <v>10007.039999999997</v>
      </c>
      <c r="E209">
        <f>C209*_xlfn.XLOOKUP(B209,AG:AG,AI:AI)</f>
        <v>11608.166399999996</v>
      </c>
      <c r="F209">
        <v>31323.439999999999</v>
      </c>
      <c r="G209">
        <f>F209*_xlfn.XLOOKUP(B209,AG:AG,AH:AH)</f>
        <v>31323.439999999999</v>
      </c>
      <c r="H209">
        <f>F209*_xlfn.XLOOKUP(B209,AG:AG,AI:AI)</f>
        <v>36335.190399999999</v>
      </c>
      <c r="I209">
        <f t="shared" si="17"/>
        <v>0</v>
      </c>
      <c r="J209">
        <f>I209*_xlfn.XLOOKUP(B209,AG:AG,AI:AI)</f>
        <v>0</v>
      </c>
      <c r="K209" s="7">
        <f>_xlfn.XLOOKUP(A209,Z:Z,AD:AD)</f>
        <v>45708</v>
      </c>
      <c r="L209" s="7">
        <f t="shared" si="18"/>
        <v>45678</v>
      </c>
      <c r="M209">
        <f t="shared" si="19"/>
        <v>1</v>
      </c>
      <c r="N209">
        <f t="shared" si="20"/>
        <v>2025</v>
      </c>
      <c r="Q209" s="22">
        <v>352</v>
      </c>
      <c r="R209" s="22">
        <v>3904</v>
      </c>
      <c r="S209" s="22" t="str">
        <f t="shared" si="21"/>
        <v>USD</v>
      </c>
      <c r="T209" s="22">
        <f>R209*_xlfn.XLOOKUP(S209,AG:AG,AI:AI)</f>
        <v>3904</v>
      </c>
      <c r="U209" s="22" t="s">
        <v>26</v>
      </c>
      <c r="W209" s="9">
        <v>187</v>
      </c>
      <c r="X209" s="9" t="s">
        <v>29</v>
      </c>
      <c r="Z209">
        <v>215</v>
      </c>
      <c r="AA209">
        <v>31323.439999999999</v>
      </c>
      <c r="AB209" t="s">
        <v>27</v>
      </c>
      <c r="AD209" s="20">
        <v>45708</v>
      </c>
    </row>
    <row r="210" spans="1:30">
      <c r="A210">
        <v>216</v>
      </c>
      <c r="B210" t="str">
        <f>_xlfn.XLOOKUP(A210,Z:Z,AB:AB,"not found")</f>
        <v>USD</v>
      </c>
      <c r="C210">
        <f>_xlfn.XLOOKUP(A210,Z:Z,AA:AA)-_xlfn.XLOOKUP(A210,Q:Q,R:R,"0")</f>
        <v>0</v>
      </c>
      <c r="D210">
        <f>C210*_xlfn.XLOOKUP(B210,AG:AG,AH:AH)</f>
        <v>0</v>
      </c>
      <c r="E210">
        <f>C210*_xlfn.XLOOKUP(B210,AG:AG,AI:AI)</f>
        <v>0</v>
      </c>
      <c r="F210">
        <v>58328.6</v>
      </c>
      <c r="G210">
        <f>F210*_xlfn.XLOOKUP(B210,AG:AG,AH:AH)</f>
        <v>50162.595999999998</v>
      </c>
      <c r="H210">
        <f>F210*_xlfn.XLOOKUP(B210,AG:AG,AI:AI)</f>
        <v>58328.6</v>
      </c>
      <c r="I210">
        <f t="shared" si="17"/>
        <v>0</v>
      </c>
      <c r="J210">
        <f>I210*_xlfn.XLOOKUP(B210,AG:AG,AI:AI)</f>
        <v>0</v>
      </c>
      <c r="K210" s="7">
        <f>_xlfn.XLOOKUP(A210,Z:Z,AD:AD)</f>
        <v>45733</v>
      </c>
      <c r="L210" s="7">
        <f t="shared" si="18"/>
        <v>45703</v>
      </c>
      <c r="M210">
        <f t="shared" si="19"/>
        <v>2</v>
      </c>
      <c r="N210">
        <f t="shared" si="20"/>
        <v>2025</v>
      </c>
      <c r="Q210" s="22">
        <v>355</v>
      </c>
      <c r="R210" s="22">
        <v>67515</v>
      </c>
      <c r="S210" s="22" t="str">
        <f t="shared" si="21"/>
        <v>USD</v>
      </c>
      <c r="T210" s="22">
        <f>R210*_xlfn.XLOOKUP(S210,AG:AG,AI:AI)</f>
        <v>67515</v>
      </c>
      <c r="U210" s="22" t="s">
        <v>26</v>
      </c>
      <c r="W210" s="9">
        <v>188</v>
      </c>
      <c r="X210" s="9" t="s">
        <v>29</v>
      </c>
      <c r="Z210">
        <v>216</v>
      </c>
      <c r="AA210">
        <v>58328.6</v>
      </c>
      <c r="AB210" t="s">
        <v>29</v>
      </c>
      <c r="AD210" s="20">
        <v>45733</v>
      </c>
    </row>
    <row r="211" spans="1:30">
      <c r="A211">
        <v>217</v>
      </c>
      <c r="B211" t="str">
        <f>_xlfn.XLOOKUP(A211,Z:Z,AB:AB,"not found")</f>
        <v>USD</v>
      </c>
      <c r="C211">
        <f>_xlfn.XLOOKUP(A211,Z:Z,AA:AA)-_xlfn.XLOOKUP(A211,Q:Q,R:R,"0")</f>
        <v>0</v>
      </c>
      <c r="D211">
        <f>C211*_xlfn.XLOOKUP(B211,AG:AG,AH:AH)</f>
        <v>0</v>
      </c>
      <c r="E211">
        <f>C211*_xlfn.XLOOKUP(B211,AG:AG,AI:AI)</f>
        <v>0</v>
      </c>
      <c r="F211">
        <v>3574</v>
      </c>
      <c r="G211">
        <f>F211*_xlfn.XLOOKUP(B211,AG:AG,AH:AH)</f>
        <v>3073.64</v>
      </c>
      <c r="H211">
        <f>F211*_xlfn.XLOOKUP(B211,AG:AG,AI:AI)</f>
        <v>3574</v>
      </c>
      <c r="I211">
        <f t="shared" si="17"/>
        <v>0</v>
      </c>
      <c r="J211">
        <f>I211*_xlfn.XLOOKUP(B211,AG:AG,AI:AI)</f>
        <v>0</v>
      </c>
      <c r="K211" s="7">
        <f>_xlfn.XLOOKUP(A211,Z:Z,AD:AD)</f>
        <v>45743</v>
      </c>
      <c r="L211" s="7">
        <f t="shared" si="18"/>
        <v>45713</v>
      </c>
      <c r="M211">
        <f t="shared" si="19"/>
        <v>2</v>
      </c>
      <c r="N211">
        <f t="shared" si="20"/>
        <v>2025</v>
      </c>
      <c r="Q211" s="22">
        <v>363</v>
      </c>
      <c r="R211" s="22">
        <v>20818</v>
      </c>
      <c r="S211" s="22" t="str">
        <f t="shared" si="21"/>
        <v>MXN</v>
      </c>
      <c r="T211" s="22">
        <f>R211*_xlfn.XLOOKUP(S211,AG:AG,AI:AI)</f>
        <v>1165.808</v>
      </c>
      <c r="U211" s="22" t="s">
        <v>26</v>
      </c>
      <c r="W211" s="9">
        <v>188</v>
      </c>
      <c r="X211" s="9" t="s">
        <v>29</v>
      </c>
      <c r="Z211">
        <v>217</v>
      </c>
      <c r="AA211">
        <v>3574</v>
      </c>
      <c r="AB211" t="s">
        <v>29</v>
      </c>
      <c r="AD211" s="20">
        <v>45743</v>
      </c>
    </row>
    <row r="212" spans="1:30">
      <c r="A212">
        <v>218</v>
      </c>
      <c r="B212" t="str">
        <f>_xlfn.XLOOKUP(A212,Z:Z,AB:AB,"not found")</f>
        <v>USD</v>
      </c>
      <c r="C212">
        <f>_xlfn.XLOOKUP(A212,Z:Z,AA:AA)-_xlfn.XLOOKUP(A212,Q:Q,R:R,"0")</f>
        <v>77361.81</v>
      </c>
      <c r="D212">
        <f>C212*_xlfn.XLOOKUP(B212,AG:AG,AH:AH)</f>
        <v>66531.156600000002</v>
      </c>
      <c r="E212">
        <f>C212*_xlfn.XLOOKUP(B212,AG:AG,AI:AI)</f>
        <v>77361.81</v>
      </c>
      <c r="F212">
        <v>84609.51</v>
      </c>
      <c r="G212">
        <f>F212*_xlfn.XLOOKUP(B212,AG:AG,AH:AH)</f>
        <v>72764.178599999999</v>
      </c>
      <c r="H212">
        <f>F212*_xlfn.XLOOKUP(B212,AG:AG,AI:AI)</f>
        <v>84609.51</v>
      </c>
      <c r="I212">
        <f t="shared" si="17"/>
        <v>0</v>
      </c>
      <c r="J212">
        <f>I212*_xlfn.XLOOKUP(B212,AG:AG,AI:AI)</f>
        <v>0</v>
      </c>
      <c r="K212" s="7">
        <f>_xlfn.XLOOKUP(A212,Z:Z,AD:AD)</f>
        <v>45865</v>
      </c>
      <c r="L212" s="7">
        <f t="shared" si="18"/>
        <v>45835</v>
      </c>
      <c r="M212">
        <f t="shared" si="19"/>
        <v>6</v>
      </c>
      <c r="N212">
        <f t="shared" si="20"/>
        <v>2025</v>
      </c>
      <c r="Q212" s="22">
        <v>364</v>
      </c>
      <c r="R212" s="22">
        <v>20431.39</v>
      </c>
      <c r="S212" s="22" t="str">
        <f t="shared" si="21"/>
        <v>USD</v>
      </c>
      <c r="T212" s="22">
        <f>R212*_xlfn.XLOOKUP(S212,AG:AG,AI:AI)</f>
        <v>20431.39</v>
      </c>
      <c r="U212" s="22" t="s">
        <v>26</v>
      </c>
      <c r="W212" s="9">
        <v>192</v>
      </c>
      <c r="X212" s="9" t="s">
        <v>29</v>
      </c>
      <c r="Z212">
        <v>218</v>
      </c>
      <c r="AA212">
        <v>84609.51</v>
      </c>
      <c r="AB212" t="s">
        <v>29</v>
      </c>
      <c r="AD212" s="20">
        <v>45865</v>
      </c>
    </row>
    <row r="213" spans="1:30">
      <c r="A213">
        <v>219</v>
      </c>
      <c r="B213" t="str">
        <f>_xlfn.XLOOKUP(A213,Z:Z,AB:AB,"not found")</f>
        <v>EUR</v>
      </c>
      <c r="C213">
        <f>_xlfn.XLOOKUP(A213,Z:Z,AA:AA)-_xlfn.XLOOKUP(A213,Q:Q,R:R,"0")</f>
        <v>0</v>
      </c>
      <c r="D213">
        <f>C213*_xlfn.XLOOKUP(B213,AG:AG,AH:AH)</f>
        <v>0</v>
      </c>
      <c r="E213">
        <f>C213*_xlfn.XLOOKUP(B213,AG:AG,AI:AI)</f>
        <v>0</v>
      </c>
      <c r="F213">
        <v>10185.200000000001</v>
      </c>
      <c r="G213">
        <f>F213*_xlfn.XLOOKUP(B213,AG:AG,AH:AH)</f>
        <v>10185.200000000001</v>
      </c>
      <c r="H213">
        <f>F213*_xlfn.XLOOKUP(B213,AG:AG,AI:AI)</f>
        <v>11814.832</v>
      </c>
      <c r="I213">
        <f t="shared" si="17"/>
        <v>0</v>
      </c>
      <c r="J213">
        <f>I213*_xlfn.XLOOKUP(B213,AG:AG,AI:AI)</f>
        <v>0</v>
      </c>
      <c r="K213" s="7">
        <f>_xlfn.XLOOKUP(A213,Z:Z,AD:AD)</f>
        <v>45813</v>
      </c>
      <c r="L213" s="7">
        <f t="shared" si="18"/>
        <v>45783</v>
      </c>
      <c r="M213">
        <f t="shared" si="19"/>
        <v>5</v>
      </c>
      <c r="N213">
        <f t="shared" si="20"/>
        <v>2025</v>
      </c>
      <c r="Q213" s="22">
        <v>368</v>
      </c>
      <c r="R213" s="22">
        <v>1680</v>
      </c>
      <c r="S213" s="22" t="str">
        <f t="shared" si="21"/>
        <v>USD</v>
      </c>
      <c r="T213" s="22">
        <f>R213*_xlfn.XLOOKUP(S213,AG:AG,AI:AI)</f>
        <v>1680</v>
      </c>
      <c r="U213" s="22" t="s">
        <v>26</v>
      </c>
      <c r="W213" s="9">
        <v>193</v>
      </c>
      <c r="X213" s="9" t="s">
        <v>29</v>
      </c>
      <c r="Z213">
        <v>219</v>
      </c>
      <c r="AA213">
        <v>10185.200000000001</v>
      </c>
      <c r="AB213" t="s">
        <v>27</v>
      </c>
      <c r="AD213" s="20">
        <v>45813</v>
      </c>
    </row>
    <row r="214" spans="1:30">
      <c r="A214">
        <v>220</v>
      </c>
      <c r="B214" t="str">
        <f>_xlfn.XLOOKUP(A214,Z:Z,AB:AB,"not found")</f>
        <v>EUR</v>
      </c>
      <c r="C214">
        <f>_xlfn.XLOOKUP(A214,Z:Z,AA:AA)-_xlfn.XLOOKUP(A214,Q:Q,R:R,"0")</f>
        <v>0</v>
      </c>
      <c r="D214">
        <f>C214*_xlfn.XLOOKUP(B214,AG:AG,AH:AH)</f>
        <v>0</v>
      </c>
      <c r="E214">
        <f>C214*_xlfn.XLOOKUP(B214,AG:AG,AI:AI)</f>
        <v>0</v>
      </c>
      <c r="F214">
        <v>9173.7000000000007</v>
      </c>
      <c r="G214">
        <f>F214*_xlfn.XLOOKUP(B214,AG:AG,AH:AH)</f>
        <v>9173.7000000000007</v>
      </c>
      <c r="H214">
        <f>F214*_xlfn.XLOOKUP(B214,AG:AG,AI:AI)</f>
        <v>10641.492</v>
      </c>
      <c r="I214">
        <f t="shared" si="17"/>
        <v>0</v>
      </c>
      <c r="J214">
        <f>I214*_xlfn.XLOOKUP(B214,AG:AG,AI:AI)</f>
        <v>0</v>
      </c>
      <c r="K214" s="7">
        <f>_xlfn.XLOOKUP(A214,Z:Z,AD:AD)</f>
        <v>45777</v>
      </c>
      <c r="L214" s="7">
        <f t="shared" si="18"/>
        <v>45747</v>
      </c>
      <c r="M214">
        <f t="shared" si="19"/>
        <v>3</v>
      </c>
      <c r="N214">
        <f t="shared" si="20"/>
        <v>2025</v>
      </c>
      <c r="Q214" s="22">
        <v>369</v>
      </c>
      <c r="R214" s="22">
        <v>8223.9</v>
      </c>
      <c r="S214" s="22" t="str">
        <f t="shared" si="21"/>
        <v>USD</v>
      </c>
      <c r="T214" s="22">
        <f>R214*_xlfn.XLOOKUP(S214,AG:AG,AI:AI)</f>
        <v>8223.9</v>
      </c>
      <c r="U214" s="22" t="s">
        <v>26</v>
      </c>
      <c r="W214" s="9">
        <v>193</v>
      </c>
      <c r="X214" s="9" t="s">
        <v>29</v>
      </c>
      <c r="Z214">
        <v>220</v>
      </c>
      <c r="AA214">
        <v>9173.7000000000007</v>
      </c>
      <c r="AB214" t="s">
        <v>27</v>
      </c>
      <c r="AD214" s="20">
        <v>45777</v>
      </c>
    </row>
    <row r="215" spans="1:30">
      <c r="A215">
        <v>221</v>
      </c>
      <c r="B215" t="str">
        <f>_xlfn.XLOOKUP(A215,Z:Z,AB:AB,"not found")</f>
        <v>USD</v>
      </c>
      <c r="C215">
        <f>_xlfn.XLOOKUP(A215,Z:Z,AA:AA)-_xlfn.XLOOKUP(A215,Q:Q,R:R,"0")</f>
        <v>20982.84</v>
      </c>
      <c r="D215">
        <f>C215*_xlfn.XLOOKUP(B215,AG:AG,AH:AH)</f>
        <v>18045.242399999999</v>
      </c>
      <c r="E215">
        <f>C215*_xlfn.XLOOKUP(B215,AG:AG,AI:AI)</f>
        <v>20982.84</v>
      </c>
      <c r="F215">
        <v>20982.84</v>
      </c>
      <c r="G215">
        <f>F215*_xlfn.XLOOKUP(B215,AG:AG,AH:AH)</f>
        <v>18045.242399999999</v>
      </c>
      <c r="H215">
        <f>F215*_xlfn.XLOOKUP(B215,AG:AG,AI:AI)</f>
        <v>20982.84</v>
      </c>
      <c r="I215">
        <f t="shared" si="17"/>
        <v>0</v>
      </c>
      <c r="J215">
        <f>I215*_xlfn.XLOOKUP(B215,AG:AG,AI:AI)</f>
        <v>0</v>
      </c>
      <c r="K215" s="7">
        <f>_xlfn.XLOOKUP(A215,Z:Z,AD:AD)</f>
        <v>45837</v>
      </c>
      <c r="L215" s="7">
        <f t="shared" si="18"/>
        <v>45807</v>
      </c>
      <c r="M215">
        <f t="shared" si="19"/>
        <v>5</v>
      </c>
      <c r="N215">
        <f t="shared" si="20"/>
        <v>2025</v>
      </c>
      <c r="Q215" s="22">
        <v>370</v>
      </c>
      <c r="R215" s="22">
        <v>13755.52</v>
      </c>
      <c r="S215" s="22" t="str">
        <f t="shared" si="21"/>
        <v>USD</v>
      </c>
      <c r="T215" s="22">
        <f>R215*_xlfn.XLOOKUP(S215,AG:AG,AI:AI)</f>
        <v>13755.52</v>
      </c>
      <c r="U215" s="22" t="s">
        <v>26</v>
      </c>
      <c r="W215" s="9">
        <v>195</v>
      </c>
      <c r="X215" s="9" t="s">
        <v>27</v>
      </c>
      <c r="Z215">
        <v>221</v>
      </c>
      <c r="AA215">
        <v>20982.84</v>
      </c>
      <c r="AB215" t="s">
        <v>29</v>
      </c>
      <c r="AD215" s="20">
        <v>45837</v>
      </c>
    </row>
    <row r="216" spans="1:30">
      <c r="A216">
        <v>222</v>
      </c>
      <c r="B216" t="str">
        <f>_xlfn.XLOOKUP(A216,Z:Z,AB:AB,"not found")</f>
        <v>USD</v>
      </c>
      <c r="C216">
        <f>_xlfn.XLOOKUP(A216,Z:Z,AA:AA)-_xlfn.XLOOKUP(A216,Q:Q,R:R,"0")</f>
        <v>0</v>
      </c>
      <c r="D216">
        <f>C216*_xlfn.XLOOKUP(B216,AG:AG,AH:AH)</f>
        <v>0</v>
      </c>
      <c r="E216">
        <f>C216*_xlfn.XLOOKUP(B216,AG:AG,AI:AI)</f>
        <v>0</v>
      </c>
      <c r="F216">
        <v>84169.55</v>
      </c>
      <c r="G216">
        <f>F216*_xlfn.XLOOKUP(B216,AG:AG,AH:AH)</f>
        <v>72385.812999999995</v>
      </c>
      <c r="H216">
        <f>F216*_xlfn.XLOOKUP(B216,AG:AG,AI:AI)</f>
        <v>84169.55</v>
      </c>
      <c r="I216">
        <f t="shared" si="17"/>
        <v>0</v>
      </c>
      <c r="J216">
        <f>I216*_xlfn.XLOOKUP(B216,AG:AG,AI:AI)</f>
        <v>0</v>
      </c>
      <c r="K216" s="7">
        <f>_xlfn.XLOOKUP(A216,Z:Z,AD:AD)</f>
        <v>45853</v>
      </c>
      <c r="L216" s="7">
        <f t="shared" si="18"/>
        <v>45823</v>
      </c>
      <c r="M216">
        <f t="shared" si="19"/>
        <v>6</v>
      </c>
      <c r="N216">
        <f t="shared" si="20"/>
        <v>2025</v>
      </c>
      <c r="Q216" s="22">
        <v>371</v>
      </c>
      <c r="R216" s="22">
        <v>32039.649999999998</v>
      </c>
      <c r="S216" s="22" t="str">
        <f t="shared" si="21"/>
        <v>USD</v>
      </c>
      <c r="T216" s="22">
        <f>R216*_xlfn.XLOOKUP(S216,AG:AG,AI:AI)</f>
        <v>32039.649999999998</v>
      </c>
      <c r="U216" s="22" t="s">
        <v>26</v>
      </c>
      <c r="W216" s="9">
        <v>196</v>
      </c>
      <c r="X216" s="9" t="s">
        <v>29</v>
      </c>
      <c r="Z216">
        <v>222</v>
      </c>
      <c r="AA216">
        <v>84169.55</v>
      </c>
      <c r="AB216" t="s">
        <v>29</v>
      </c>
      <c r="AD216" s="20">
        <v>45853</v>
      </c>
    </row>
    <row r="217" spans="1:30">
      <c r="A217">
        <v>223</v>
      </c>
      <c r="B217" t="str">
        <f>_xlfn.XLOOKUP(A217,Z:Z,AB:AB,"not found")</f>
        <v>USD</v>
      </c>
      <c r="C217">
        <f>_xlfn.XLOOKUP(A217,Z:Z,AA:AA)-_xlfn.XLOOKUP(A217,Q:Q,R:R,"0")</f>
        <v>12539.51</v>
      </c>
      <c r="D217">
        <f>C217*_xlfn.XLOOKUP(B217,AG:AG,AH:AH)</f>
        <v>10783.9786</v>
      </c>
      <c r="E217">
        <f>C217*_xlfn.XLOOKUP(B217,AG:AG,AI:AI)</f>
        <v>12539.51</v>
      </c>
      <c r="F217">
        <v>12539.51</v>
      </c>
      <c r="G217">
        <f>F217*_xlfn.XLOOKUP(B217,AG:AG,AH:AH)</f>
        <v>10783.9786</v>
      </c>
      <c r="H217">
        <f>F217*_xlfn.XLOOKUP(B217,AG:AG,AI:AI)</f>
        <v>12539.51</v>
      </c>
      <c r="I217">
        <f t="shared" si="17"/>
        <v>0</v>
      </c>
      <c r="J217">
        <f>I217*_xlfn.XLOOKUP(B217,AG:AG,AI:AI)</f>
        <v>0</v>
      </c>
      <c r="K217" s="7">
        <f>_xlfn.XLOOKUP(A217,Z:Z,AD:AD)</f>
        <v>45768</v>
      </c>
      <c r="L217" s="7">
        <f t="shared" si="18"/>
        <v>45738</v>
      </c>
      <c r="M217">
        <f t="shared" si="19"/>
        <v>3</v>
      </c>
      <c r="N217">
        <f t="shared" si="20"/>
        <v>2025</v>
      </c>
      <c r="Q217" s="22">
        <v>374</v>
      </c>
      <c r="R217" s="22">
        <v>138570</v>
      </c>
      <c r="S217" s="22" t="str">
        <f t="shared" si="21"/>
        <v>MXN</v>
      </c>
      <c r="T217" s="22">
        <f>R217*_xlfn.XLOOKUP(S217,AG:AG,AI:AI)</f>
        <v>7759.92</v>
      </c>
      <c r="U217" s="22" t="s">
        <v>26</v>
      </c>
      <c r="W217" s="9">
        <v>196</v>
      </c>
      <c r="X217" s="9" t="s">
        <v>29</v>
      </c>
      <c r="Z217">
        <v>223</v>
      </c>
      <c r="AA217">
        <v>12539.51</v>
      </c>
      <c r="AB217" t="s">
        <v>29</v>
      </c>
      <c r="AD217" s="20">
        <v>45768</v>
      </c>
    </row>
    <row r="218" spans="1:30">
      <c r="A218">
        <v>225</v>
      </c>
      <c r="B218" t="str">
        <f>_xlfn.XLOOKUP(A218,Z:Z,AB:AB,"not found")</f>
        <v>EUR</v>
      </c>
      <c r="C218">
        <f>_xlfn.XLOOKUP(A218,Z:Z,AA:AA)-_xlfn.XLOOKUP(A218,Q:Q,R:R,"0")</f>
        <v>1752.12</v>
      </c>
      <c r="D218">
        <f>C218*_xlfn.XLOOKUP(B218,AG:AG,AH:AH)</f>
        <v>1752.12</v>
      </c>
      <c r="E218">
        <f>C218*_xlfn.XLOOKUP(B218,AG:AG,AI:AI)</f>
        <v>2032.4591999999998</v>
      </c>
      <c r="F218">
        <v>1679.92</v>
      </c>
      <c r="G218">
        <f>F218*_xlfn.XLOOKUP(B218,AG:AG,AH:AH)</f>
        <v>1679.92</v>
      </c>
      <c r="H218">
        <f>F218*_xlfn.XLOOKUP(B218,AG:AG,AI:AI)</f>
        <v>1948.7072000000001</v>
      </c>
      <c r="I218">
        <f t="shared" si="17"/>
        <v>72.199999999999818</v>
      </c>
      <c r="J218">
        <f>I218*_xlfn.XLOOKUP(B218,AG:AG,AI:AI)</f>
        <v>83.751999999999782</v>
      </c>
      <c r="K218" s="7">
        <f>_xlfn.XLOOKUP(A218,Z:Z,AD:AD)</f>
        <v>45764</v>
      </c>
      <c r="L218" s="7">
        <f t="shared" si="18"/>
        <v>45734</v>
      </c>
      <c r="M218">
        <f t="shared" si="19"/>
        <v>3</v>
      </c>
      <c r="N218">
        <f t="shared" si="20"/>
        <v>2025</v>
      </c>
      <c r="Q218" s="22">
        <v>375</v>
      </c>
      <c r="R218" s="22">
        <v>25529</v>
      </c>
      <c r="S218" s="22" t="str">
        <f t="shared" si="21"/>
        <v>MXN</v>
      </c>
      <c r="T218" s="22">
        <f>R218*_xlfn.XLOOKUP(S218,AG:AG,AI:AI)</f>
        <v>1429.624</v>
      </c>
      <c r="U218" s="22" t="s">
        <v>26</v>
      </c>
      <c r="W218" s="9">
        <v>196</v>
      </c>
      <c r="X218" s="9" t="s">
        <v>29</v>
      </c>
      <c r="Z218">
        <v>225</v>
      </c>
      <c r="AA218">
        <v>1752.12</v>
      </c>
      <c r="AB218" t="s">
        <v>27</v>
      </c>
      <c r="AD218" s="20">
        <v>45764</v>
      </c>
    </row>
    <row r="219" spans="1:30">
      <c r="A219">
        <v>226</v>
      </c>
      <c r="B219" t="str">
        <f>_xlfn.XLOOKUP(A219,Z:Z,AB:AB,"not found")</f>
        <v>USD</v>
      </c>
      <c r="C219">
        <f>_xlfn.XLOOKUP(A219,Z:Z,AA:AA)-_xlfn.XLOOKUP(A219,Q:Q,R:R,"0")</f>
        <v>27601.040000000001</v>
      </c>
      <c r="D219">
        <f>C219*_xlfn.XLOOKUP(B219,AG:AG,AH:AH)</f>
        <v>23736.894400000001</v>
      </c>
      <c r="E219">
        <f>C219*_xlfn.XLOOKUP(B219,AG:AG,AI:AI)</f>
        <v>27601.040000000001</v>
      </c>
      <c r="F219">
        <v>28601.040000000001</v>
      </c>
      <c r="G219">
        <f>F219*_xlfn.XLOOKUP(B219,AG:AG,AH:AH)</f>
        <v>24596.894400000001</v>
      </c>
      <c r="H219">
        <f>F219*_xlfn.XLOOKUP(B219,AG:AG,AI:AI)</f>
        <v>28601.040000000001</v>
      </c>
      <c r="I219">
        <f t="shared" si="17"/>
        <v>0</v>
      </c>
      <c r="J219">
        <f>I219*_xlfn.XLOOKUP(B219,AG:AG,AI:AI)</f>
        <v>0</v>
      </c>
      <c r="K219" s="7">
        <f>_xlfn.XLOOKUP(A219,Z:Z,AD:AD)</f>
        <v>45825</v>
      </c>
      <c r="L219" s="7">
        <f t="shared" si="18"/>
        <v>45795</v>
      </c>
      <c r="M219">
        <f t="shared" si="19"/>
        <v>5</v>
      </c>
      <c r="N219">
        <f t="shared" si="20"/>
        <v>2025</v>
      </c>
      <c r="Q219" s="22">
        <v>376</v>
      </c>
      <c r="R219" s="22">
        <v>1750</v>
      </c>
      <c r="S219" s="22" t="str">
        <f t="shared" si="21"/>
        <v>USD</v>
      </c>
      <c r="T219" s="22">
        <f>R219*_xlfn.XLOOKUP(S219,AG:AG,AI:AI)</f>
        <v>1750</v>
      </c>
      <c r="U219" s="22" t="s">
        <v>26</v>
      </c>
      <c r="W219" s="9">
        <v>198</v>
      </c>
      <c r="X219" s="9" t="s">
        <v>29</v>
      </c>
      <c r="Z219">
        <v>226</v>
      </c>
      <c r="AA219">
        <v>28601.040000000001</v>
      </c>
      <c r="AB219" t="s">
        <v>29</v>
      </c>
      <c r="AD219" s="20">
        <v>45825</v>
      </c>
    </row>
    <row r="220" spans="1:30">
      <c r="A220">
        <v>227</v>
      </c>
      <c r="B220" t="str">
        <f>_xlfn.XLOOKUP(A220,Z:Z,AB:AB,"not found")</f>
        <v>USD</v>
      </c>
      <c r="C220">
        <f>_xlfn.XLOOKUP(A220,Z:Z,AA:AA)-_xlfn.XLOOKUP(A220,Q:Q,R:R,"0")</f>
        <v>0</v>
      </c>
      <c r="D220">
        <f>C220*_xlfn.XLOOKUP(B220,AG:AG,AH:AH)</f>
        <v>0</v>
      </c>
      <c r="E220">
        <f>C220*_xlfn.XLOOKUP(B220,AG:AG,AI:AI)</f>
        <v>0</v>
      </c>
      <c r="F220">
        <v>1822.35</v>
      </c>
      <c r="G220">
        <f>F220*_xlfn.XLOOKUP(B220,AG:AG,AH:AH)</f>
        <v>1567.221</v>
      </c>
      <c r="H220">
        <f>F220*_xlfn.XLOOKUP(B220,AG:AG,AI:AI)</f>
        <v>1822.35</v>
      </c>
      <c r="I220">
        <f t="shared" si="17"/>
        <v>0</v>
      </c>
      <c r="J220">
        <f>I220*_xlfn.XLOOKUP(B220,AG:AG,AI:AI)</f>
        <v>0</v>
      </c>
      <c r="K220" s="7">
        <f>_xlfn.XLOOKUP(A220,Z:Z,AD:AD)</f>
        <v>45824</v>
      </c>
      <c r="L220" s="7">
        <f t="shared" si="18"/>
        <v>45794</v>
      </c>
      <c r="M220">
        <f t="shared" si="19"/>
        <v>5</v>
      </c>
      <c r="N220">
        <f t="shared" si="20"/>
        <v>2025</v>
      </c>
      <c r="Q220" s="22">
        <v>377</v>
      </c>
      <c r="R220" s="22">
        <v>28779.599999999999</v>
      </c>
      <c r="S220" s="22" t="str">
        <f t="shared" si="21"/>
        <v>USD</v>
      </c>
      <c r="T220" s="22">
        <f>R220*_xlfn.XLOOKUP(S220,AG:AG,AI:AI)</f>
        <v>28779.599999999999</v>
      </c>
      <c r="U220" s="22" t="s">
        <v>26</v>
      </c>
      <c r="W220" s="9">
        <v>198</v>
      </c>
      <c r="X220" s="9" t="s">
        <v>29</v>
      </c>
      <c r="Z220">
        <v>227</v>
      </c>
      <c r="AA220">
        <v>1822.35</v>
      </c>
      <c r="AB220" t="s">
        <v>29</v>
      </c>
      <c r="AD220" s="20">
        <v>45824</v>
      </c>
    </row>
    <row r="221" spans="1:30">
      <c r="A221">
        <v>228</v>
      </c>
      <c r="B221" t="str">
        <f>_xlfn.XLOOKUP(A221,Z:Z,AB:AB,"not found")</f>
        <v>USD</v>
      </c>
      <c r="C221">
        <f>_xlfn.XLOOKUP(A221,Z:Z,AA:AA)-_xlfn.XLOOKUP(A221,Q:Q,R:R,"0")</f>
        <v>20207</v>
      </c>
      <c r="D221">
        <f>C221*_xlfn.XLOOKUP(B221,AG:AG,AH:AH)</f>
        <v>17378.02</v>
      </c>
      <c r="E221">
        <f>C221*_xlfn.XLOOKUP(B221,AG:AG,AI:AI)</f>
        <v>20207</v>
      </c>
      <c r="F221">
        <v>27149</v>
      </c>
      <c r="G221">
        <f>F221*_xlfn.XLOOKUP(B221,AG:AG,AH:AH)</f>
        <v>23348.14</v>
      </c>
      <c r="H221">
        <f>F221*_xlfn.XLOOKUP(B221,AG:AG,AI:AI)</f>
        <v>27149</v>
      </c>
      <c r="I221">
        <f t="shared" si="17"/>
        <v>0</v>
      </c>
      <c r="J221">
        <f>I221*_xlfn.XLOOKUP(B221,AG:AG,AI:AI)</f>
        <v>0</v>
      </c>
      <c r="K221" s="7">
        <f>_xlfn.XLOOKUP(A221,Z:Z,AD:AD)</f>
        <v>45761</v>
      </c>
      <c r="L221" s="7">
        <f t="shared" si="18"/>
        <v>45731</v>
      </c>
      <c r="M221">
        <f t="shared" si="19"/>
        <v>3</v>
      </c>
      <c r="N221">
        <f t="shared" si="20"/>
        <v>2025</v>
      </c>
      <c r="Q221" s="22">
        <v>378</v>
      </c>
      <c r="R221" s="22">
        <v>6500</v>
      </c>
      <c r="S221" s="22" t="str">
        <f t="shared" si="21"/>
        <v>USD</v>
      </c>
      <c r="T221" s="22">
        <f>R221*_xlfn.XLOOKUP(S221,AG:AG,AI:AI)</f>
        <v>6500</v>
      </c>
      <c r="U221" s="22" t="s">
        <v>26</v>
      </c>
      <c r="W221" s="9">
        <v>198</v>
      </c>
      <c r="X221" s="9" t="s">
        <v>29</v>
      </c>
      <c r="Z221">
        <v>228</v>
      </c>
      <c r="AA221">
        <v>27149</v>
      </c>
      <c r="AB221" t="s">
        <v>29</v>
      </c>
      <c r="AD221" s="20">
        <v>45761</v>
      </c>
    </row>
    <row r="222" spans="1:30">
      <c r="A222">
        <v>229</v>
      </c>
      <c r="B222" t="str">
        <f>_xlfn.XLOOKUP(A222,Z:Z,AB:AB,"not found")</f>
        <v>USD</v>
      </c>
      <c r="C222">
        <f>_xlfn.XLOOKUP(A222,Z:Z,AA:AA)-_xlfn.XLOOKUP(A222,Q:Q,R:R,"0")</f>
        <v>0</v>
      </c>
      <c r="D222">
        <f>C222*_xlfn.XLOOKUP(B222,AG:AG,AH:AH)</f>
        <v>0</v>
      </c>
      <c r="E222">
        <f>C222*_xlfn.XLOOKUP(B222,AG:AG,AI:AI)</f>
        <v>0</v>
      </c>
      <c r="F222">
        <v>20446.189999999999</v>
      </c>
      <c r="G222">
        <f>F222*_xlfn.XLOOKUP(B222,AG:AG,AH:AH)</f>
        <v>17583.723399999999</v>
      </c>
      <c r="H222">
        <f>F222*_xlfn.XLOOKUP(B222,AG:AG,AI:AI)</f>
        <v>20446.189999999999</v>
      </c>
      <c r="I222">
        <f t="shared" si="17"/>
        <v>0</v>
      </c>
      <c r="J222">
        <f>I222*_xlfn.XLOOKUP(B222,AG:AG,AI:AI)</f>
        <v>0</v>
      </c>
      <c r="K222" s="7">
        <f>_xlfn.XLOOKUP(A222,Z:Z,AD:AD)</f>
        <v>45903</v>
      </c>
      <c r="L222" s="7">
        <f t="shared" si="18"/>
        <v>45873</v>
      </c>
      <c r="M222">
        <f t="shared" si="19"/>
        <v>8</v>
      </c>
      <c r="N222">
        <f t="shared" si="20"/>
        <v>2025</v>
      </c>
      <c r="Q222" s="22">
        <v>379</v>
      </c>
      <c r="R222" s="22">
        <v>48164.24</v>
      </c>
      <c r="S222" s="22" t="str">
        <f t="shared" si="21"/>
        <v>USD</v>
      </c>
      <c r="T222" s="22">
        <f>R222*_xlfn.XLOOKUP(S222,AG:AG,AI:AI)</f>
        <v>48164.24</v>
      </c>
      <c r="U222" s="22" t="s">
        <v>26</v>
      </c>
      <c r="W222" s="9">
        <v>198</v>
      </c>
      <c r="X222" s="9" t="s">
        <v>29</v>
      </c>
      <c r="Z222">
        <v>229</v>
      </c>
      <c r="AA222">
        <v>20446.189999999999</v>
      </c>
      <c r="AB222" t="s">
        <v>29</v>
      </c>
      <c r="AD222" s="20">
        <v>45903</v>
      </c>
    </row>
    <row r="223" spans="1:30">
      <c r="A223">
        <v>230</v>
      </c>
      <c r="B223" t="str">
        <f>_xlfn.XLOOKUP(A223,Z:Z,AB:AB,"not found")</f>
        <v>USD</v>
      </c>
      <c r="C223">
        <f>_xlfn.XLOOKUP(A223,Z:Z,AA:AA)-_xlfn.XLOOKUP(A223,Q:Q,R:R,"0")</f>
        <v>643.16</v>
      </c>
      <c r="D223">
        <f>C223*_xlfn.XLOOKUP(B223,AG:AG,AH:AH)</f>
        <v>553.11759999999992</v>
      </c>
      <c r="E223">
        <f>C223*_xlfn.XLOOKUP(B223,AG:AG,AI:AI)</f>
        <v>643.16</v>
      </c>
      <c r="F223">
        <v>643.16</v>
      </c>
      <c r="G223">
        <f>F223*_xlfn.XLOOKUP(B223,AG:AG,AH:AH)</f>
        <v>553.11759999999992</v>
      </c>
      <c r="H223">
        <f>F223*_xlfn.XLOOKUP(B223,AG:AG,AI:AI)</f>
        <v>643.16</v>
      </c>
      <c r="I223">
        <f t="shared" si="17"/>
        <v>0</v>
      </c>
      <c r="J223">
        <f>I223*_xlfn.XLOOKUP(B223,AG:AG,AI:AI)</f>
        <v>0</v>
      </c>
      <c r="K223" s="7">
        <f>_xlfn.XLOOKUP(A223,Z:Z,AD:AD)</f>
        <v>45751</v>
      </c>
      <c r="L223" s="7">
        <f t="shared" si="18"/>
        <v>45721</v>
      </c>
      <c r="M223">
        <f t="shared" si="19"/>
        <v>3</v>
      </c>
      <c r="N223">
        <f t="shared" si="20"/>
        <v>2025</v>
      </c>
      <c r="Q223" s="22">
        <v>380</v>
      </c>
      <c r="R223" s="22">
        <v>7136.4</v>
      </c>
      <c r="S223" s="22" t="str">
        <f t="shared" si="21"/>
        <v>USD</v>
      </c>
      <c r="T223" s="22">
        <f>R223*_xlfn.XLOOKUP(S223,AG:AG,AI:AI)</f>
        <v>7136.4</v>
      </c>
      <c r="U223" s="22" t="s">
        <v>26</v>
      </c>
      <c r="W223" s="9">
        <v>198</v>
      </c>
      <c r="X223" s="9" t="s">
        <v>29</v>
      </c>
      <c r="Z223">
        <v>230</v>
      </c>
      <c r="AA223">
        <v>643.16</v>
      </c>
      <c r="AB223" t="s">
        <v>29</v>
      </c>
      <c r="AD223" s="20">
        <v>45751</v>
      </c>
    </row>
    <row r="224" spans="1:30">
      <c r="A224">
        <v>232</v>
      </c>
      <c r="B224" t="str">
        <f>_xlfn.XLOOKUP(A224,Z:Z,AB:AB,"not found")</f>
        <v>MXN</v>
      </c>
      <c r="C224">
        <f>_xlfn.XLOOKUP(A224,Z:Z,AA:AA)-_xlfn.XLOOKUP(A224,Q:Q,R:R,"0")</f>
        <v>0</v>
      </c>
      <c r="D224">
        <f>C224*_xlfn.XLOOKUP(B224,AG:AG,AH:AH)</f>
        <v>0</v>
      </c>
      <c r="E224">
        <f>C224*_xlfn.XLOOKUP(B224,AG:AG,AI:AI)</f>
        <v>0</v>
      </c>
      <c r="F224">
        <v>51558.95</v>
      </c>
      <c r="G224">
        <f>F224*_xlfn.XLOOKUP(B224,AG:AG,AH:AH)</f>
        <v>2474.8296</v>
      </c>
      <c r="H224">
        <f>F224*_xlfn.XLOOKUP(B224,AG:AG,AI:AI)</f>
        <v>2887.3011999999999</v>
      </c>
      <c r="I224">
        <f t="shared" si="17"/>
        <v>0</v>
      </c>
      <c r="J224">
        <f>I224*_xlfn.XLOOKUP(B224,AG:AG,AI:AI)</f>
        <v>0</v>
      </c>
      <c r="K224" s="7">
        <f>_xlfn.XLOOKUP(A224,Z:Z,AD:AD)</f>
        <v>45713</v>
      </c>
      <c r="L224" s="7">
        <f t="shared" si="18"/>
        <v>45683</v>
      </c>
      <c r="M224">
        <f t="shared" si="19"/>
        <v>1</v>
      </c>
      <c r="N224">
        <f t="shared" si="20"/>
        <v>2025</v>
      </c>
      <c r="Q224" s="22">
        <v>382</v>
      </c>
      <c r="R224" s="22">
        <v>2443.84</v>
      </c>
      <c r="S224" s="22" t="str">
        <f t="shared" si="21"/>
        <v>USD</v>
      </c>
      <c r="T224" s="22">
        <f>R224*_xlfn.XLOOKUP(S224,AG:AG,AI:AI)</f>
        <v>2443.84</v>
      </c>
      <c r="U224" s="22" t="s">
        <v>26</v>
      </c>
      <c r="W224" s="9">
        <v>199</v>
      </c>
      <c r="X224" s="9" t="s">
        <v>29</v>
      </c>
      <c r="Z224">
        <v>232</v>
      </c>
      <c r="AA224">
        <v>51558.95</v>
      </c>
      <c r="AB224" t="s">
        <v>28</v>
      </c>
      <c r="AD224" s="20">
        <v>45713</v>
      </c>
    </row>
    <row r="225" spans="1:30">
      <c r="A225">
        <v>235</v>
      </c>
      <c r="B225" t="str">
        <f>_xlfn.XLOOKUP(A225,Z:Z,AB:AB,"not found")</f>
        <v>USD</v>
      </c>
      <c r="C225">
        <f>_xlfn.XLOOKUP(A225,Z:Z,AA:AA)-_xlfn.XLOOKUP(A225,Q:Q,R:R,"0")</f>
        <v>0</v>
      </c>
      <c r="D225">
        <f>C225*_xlfn.XLOOKUP(B225,AG:AG,AH:AH)</f>
        <v>0</v>
      </c>
      <c r="E225">
        <f>C225*_xlfn.XLOOKUP(B225,AG:AG,AI:AI)</f>
        <v>0</v>
      </c>
      <c r="F225">
        <v>2120.8000000000002</v>
      </c>
      <c r="G225">
        <f>F225*_xlfn.XLOOKUP(B225,AG:AG,AH:AH)</f>
        <v>1823.8880000000001</v>
      </c>
      <c r="H225">
        <f>F225*_xlfn.XLOOKUP(B225,AG:AG,AI:AI)</f>
        <v>2120.8000000000002</v>
      </c>
      <c r="I225">
        <f t="shared" si="17"/>
        <v>0</v>
      </c>
      <c r="J225">
        <f>I225*_xlfn.XLOOKUP(B225,AG:AG,AI:AI)</f>
        <v>0</v>
      </c>
      <c r="K225" s="7">
        <f>_xlfn.XLOOKUP(A225,Z:Z,AD:AD)</f>
        <v>45708</v>
      </c>
      <c r="L225" s="7">
        <f t="shared" si="18"/>
        <v>45678</v>
      </c>
      <c r="M225">
        <f t="shared" si="19"/>
        <v>1</v>
      </c>
      <c r="N225">
        <f t="shared" si="20"/>
        <v>2025</v>
      </c>
      <c r="Q225" s="22">
        <v>384</v>
      </c>
      <c r="R225" s="22">
        <v>4324.59</v>
      </c>
      <c r="S225" s="22" t="str">
        <f t="shared" si="21"/>
        <v>USD</v>
      </c>
      <c r="T225" s="22">
        <f>R225*_xlfn.XLOOKUP(S225,AG:AG,AI:AI)</f>
        <v>4324.59</v>
      </c>
      <c r="U225" s="22" t="s">
        <v>26</v>
      </c>
      <c r="W225" s="9">
        <v>200</v>
      </c>
      <c r="X225" s="9" t="s">
        <v>29</v>
      </c>
      <c r="Z225">
        <v>235</v>
      </c>
      <c r="AA225">
        <v>2120.8000000000002</v>
      </c>
      <c r="AB225" t="s">
        <v>29</v>
      </c>
      <c r="AD225" s="20">
        <v>45708</v>
      </c>
    </row>
    <row r="226" spans="1:30">
      <c r="A226">
        <v>236</v>
      </c>
      <c r="B226" t="str">
        <f>_xlfn.XLOOKUP(A226,Z:Z,AB:AB,"not found")</f>
        <v>USD</v>
      </c>
      <c r="C226">
        <f>_xlfn.XLOOKUP(A226,Z:Z,AA:AA)-_xlfn.XLOOKUP(A226,Q:Q,R:R,"0")</f>
        <v>0</v>
      </c>
      <c r="D226">
        <f>C226*_xlfn.XLOOKUP(B226,AG:AG,AH:AH)</f>
        <v>0</v>
      </c>
      <c r="E226">
        <f>C226*_xlfn.XLOOKUP(B226,AG:AG,AI:AI)</f>
        <v>0</v>
      </c>
      <c r="F226">
        <v>13318.8</v>
      </c>
      <c r="G226">
        <f>F226*_xlfn.XLOOKUP(B226,AG:AG,AH:AH)</f>
        <v>11454.168</v>
      </c>
      <c r="H226">
        <f>F226*_xlfn.XLOOKUP(B226,AG:AG,AI:AI)</f>
        <v>13318.8</v>
      </c>
      <c r="I226">
        <f t="shared" si="17"/>
        <v>0</v>
      </c>
      <c r="J226">
        <f>I226*_xlfn.XLOOKUP(B226,AG:AG,AI:AI)</f>
        <v>0</v>
      </c>
      <c r="K226" s="7">
        <f>_xlfn.XLOOKUP(A226,Z:Z,AD:AD)</f>
        <v>45659</v>
      </c>
      <c r="L226" s="7">
        <f t="shared" si="18"/>
        <v>45629</v>
      </c>
      <c r="M226">
        <f t="shared" si="19"/>
        <v>12</v>
      </c>
      <c r="N226">
        <f t="shared" si="20"/>
        <v>2024</v>
      </c>
      <c r="Q226" s="22">
        <v>385</v>
      </c>
      <c r="R226" s="22">
        <v>3000</v>
      </c>
      <c r="S226" s="22" t="str">
        <f t="shared" si="21"/>
        <v>USD</v>
      </c>
      <c r="T226" s="22">
        <f>R226*_xlfn.XLOOKUP(S226,AG:AG,AI:AI)</f>
        <v>3000</v>
      </c>
      <c r="U226" s="22" t="s">
        <v>26</v>
      </c>
      <c r="W226" s="9">
        <v>201</v>
      </c>
      <c r="X226" s="9" t="s">
        <v>29</v>
      </c>
      <c r="Z226">
        <v>236</v>
      </c>
      <c r="AA226">
        <v>13318.8</v>
      </c>
      <c r="AB226" t="s">
        <v>29</v>
      </c>
      <c r="AD226" s="20">
        <v>45659</v>
      </c>
    </row>
    <row r="227" spans="1:30">
      <c r="A227">
        <v>237</v>
      </c>
      <c r="B227" t="str">
        <f>_xlfn.XLOOKUP(A227,Z:Z,AB:AB,"not found")</f>
        <v>EUR</v>
      </c>
      <c r="C227">
        <f>_xlfn.XLOOKUP(A227,Z:Z,AA:AA)-_xlfn.XLOOKUP(A227,Q:Q,R:R,"0")</f>
        <v>0</v>
      </c>
      <c r="D227">
        <f>C227*_xlfn.XLOOKUP(B227,AG:AG,AH:AH)</f>
        <v>0</v>
      </c>
      <c r="E227">
        <f>C227*_xlfn.XLOOKUP(B227,AG:AG,AI:AI)</f>
        <v>0</v>
      </c>
      <c r="F227">
        <v>4100</v>
      </c>
      <c r="G227">
        <f>F227*_xlfn.XLOOKUP(B227,AG:AG,AH:AH)</f>
        <v>4100</v>
      </c>
      <c r="H227">
        <f>F227*_xlfn.XLOOKUP(B227,AG:AG,AI:AI)</f>
        <v>4756</v>
      </c>
      <c r="I227">
        <f t="shared" si="17"/>
        <v>0</v>
      </c>
      <c r="J227">
        <f>I227*_xlfn.XLOOKUP(B227,AG:AG,AI:AI)</f>
        <v>0</v>
      </c>
      <c r="K227" s="7">
        <f>_xlfn.XLOOKUP(A227,Z:Z,AD:AD)</f>
        <v>45697</v>
      </c>
      <c r="L227" s="7">
        <f t="shared" si="18"/>
        <v>45667</v>
      </c>
      <c r="M227">
        <f t="shared" si="19"/>
        <v>1</v>
      </c>
      <c r="N227">
        <f t="shared" si="20"/>
        <v>2025</v>
      </c>
      <c r="Q227" s="22">
        <v>386</v>
      </c>
      <c r="R227" s="22">
        <v>740</v>
      </c>
      <c r="S227" s="22" t="str">
        <f t="shared" si="21"/>
        <v>USD</v>
      </c>
      <c r="T227" s="22">
        <f>R227*_xlfn.XLOOKUP(S227,AG:AG,AI:AI)</f>
        <v>740</v>
      </c>
      <c r="U227" s="22" t="s">
        <v>26</v>
      </c>
      <c r="W227" s="9">
        <v>203</v>
      </c>
      <c r="X227" s="9" t="s">
        <v>29</v>
      </c>
      <c r="Z227">
        <v>237</v>
      </c>
      <c r="AA227">
        <v>4100</v>
      </c>
      <c r="AB227" t="s">
        <v>27</v>
      </c>
      <c r="AD227" s="20">
        <v>45697</v>
      </c>
    </row>
    <row r="228" spans="1:30">
      <c r="A228">
        <v>238</v>
      </c>
      <c r="B228" t="str">
        <f>_xlfn.XLOOKUP(A228,Z:Z,AB:AB,"not found")</f>
        <v>USD</v>
      </c>
      <c r="C228">
        <f>_xlfn.XLOOKUP(A228,Z:Z,AA:AA)-_xlfn.XLOOKUP(A228,Q:Q,R:R,"0")</f>
        <v>1569.1999999999825</v>
      </c>
      <c r="D228">
        <f>C228*_xlfn.XLOOKUP(B228,AG:AG,AH:AH)</f>
        <v>1349.5119999999849</v>
      </c>
      <c r="E228">
        <f>C228*_xlfn.XLOOKUP(B228,AG:AG,AI:AI)</f>
        <v>1569.1999999999825</v>
      </c>
      <c r="F228">
        <v>133383.04999999999</v>
      </c>
      <c r="G228">
        <f>F228*_xlfn.XLOOKUP(B228,AG:AG,AH:AH)</f>
        <v>114709.423</v>
      </c>
      <c r="H228">
        <f>F228*_xlfn.XLOOKUP(B228,AG:AG,AI:AI)</f>
        <v>133383.04999999999</v>
      </c>
      <c r="I228">
        <f t="shared" si="17"/>
        <v>0</v>
      </c>
      <c r="J228">
        <f>I228*_xlfn.XLOOKUP(B228,AG:AG,AI:AI)</f>
        <v>0</v>
      </c>
      <c r="K228" s="7">
        <f>_xlfn.XLOOKUP(A228,Z:Z,AD:AD)</f>
        <v>45856</v>
      </c>
      <c r="L228" s="7">
        <f t="shared" si="18"/>
        <v>45826</v>
      </c>
      <c r="M228">
        <f t="shared" si="19"/>
        <v>6</v>
      </c>
      <c r="N228">
        <f t="shared" si="20"/>
        <v>2025</v>
      </c>
      <c r="Q228" s="22">
        <v>387</v>
      </c>
      <c r="R228" s="22">
        <v>25787.64</v>
      </c>
      <c r="S228" s="22" t="str">
        <f t="shared" si="21"/>
        <v>USD</v>
      </c>
      <c r="T228" s="22">
        <f>R228*_xlfn.XLOOKUP(S228,AG:AG,AI:AI)</f>
        <v>25787.64</v>
      </c>
      <c r="U228" s="22" t="s">
        <v>26</v>
      </c>
      <c r="W228" s="9">
        <v>203</v>
      </c>
      <c r="X228" s="9" t="s">
        <v>29</v>
      </c>
      <c r="Z228">
        <v>238</v>
      </c>
      <c r="AA228">
        <v>133383.04999999999</v>
      </c>
      <c r="AB228" t="s">
        <v>29</v>
      </c>
      <c r="AD228" s="20">
        <v>45856</v>
      </c>
    </row>
    <row r="229" spans="1:30">
      <c r="A229">
        <v>239</v>
      </c>
      <c r="B229" t="str">
        <f>_xlfn.XLOOKUP(A229,Z:Z,AB:AB,"not found")</f>
        <v>USD</v>
      </c>
      <c r="C229">
        <f>_xlfn.XLOOKUP(A229,Z:Z,AA:AA)-_xlfn.XLOOKUP(A229,Q:Q,R:R,"0")</f>
        <v>96181.62000000001</v>
      </c>
      <c r="D229">
        <f>C229*_xlfn.XLOOKUP(B229,AG:AG,AH:AH)</f>
        <v>82716.193200000009</v>
      </c>
      <c r="E229">
        <f>C229*_xlfn.XLOOKUP(B229,AG:AG,AI:AI)</f>
        <v>96181.62000000001</v>
      </c>
      <c r="F229">
        <v>97253.48</v>
      </c>
      <c r="G229">
        <f>F229*_xlfn.XLOOKUP(B229,AG:AG,AH:AH)</f>
        <v>83637.992799999993</v>
      </c>
      <c r="H229">
        <f>F229*_xlfn.XLOOKUP(B229,AG:AG,AI:AI)</f>
        <v>97253.48</v>
      </c>
      <c r="I229">
        <f t="shared" si="17"/>
        <v>3140.7900000000136</v>
      </c>
      <c r="J229">
        <f>I229*_xlfn.XLOOKUP(B229,AG:AG,AI:AI)</f>
        <v>3140.7900000000136</v>
      </c>
      <c r="K229" s="7">
        <f>_xlfn.XLOOKUP(A229,Z:Z,AD:AD)</f>
        <v>45749</v>
      </c>
      <c r="L229" s="7">
        <f t="shared" si="18"/>
        <v>45719</v>
      </c>
      <c r="M229">
        <f t="shared" si="19"/>
        <v>3</v>
      </c>
      <c r="N229">
        <f t="shared" si="20"/>
        <v>2025</v>
      </c>
      <c r="Q229" s="22">
        <v>388</v>
      </c>
      <c r="R229" s="22">
        <v>43559.47</v>
      </c>
      <c r="S229" s="22" t="str">
        <f t="shared" si="21"/>
        <v>USD</v>
      </c>
      <c r="T229" s="22">
        <f>R229*_xlfn.XLOOKUP(S229,AG:AG,AI:AI)</f>
        <v>43559.47</v>
      </c>
      <c r="U229" s="22" t="s">
        <v>26</v>
      </c>
      <c r="W229" s="9">
        <v>204</v>
      </c>
      <c r="X229" s="9" t="s">
        <v>27</v>
      </c>
      <c r="Z229">
        <v>239</v>
      </c>
      <c r="AA229">
        <v>100394.27</v>
      </c>
      <c r="AB229" t="s">
        <v>29</v>
      </c>
      <c r="AD229" s="20">
        <v>45749</v>
      </c>
    </row>
    <row r="230" spans="1:30">
      <c r="A230">
        <v>241</v>
      </c>
      <c r="B230" t="str">
        <f>_xlfn.XLOOKUP(A230,Z:Z,AB:AB,"not found")</f>
        <v>USD</v>
      </c>
      <c r="C230">
        <f>_xlfn.XLOOKUP(A230,Z:Z,AA:AA)-_xlfn.XLOOKUP(A230,Q:Q,R:R,"0")</f>
        <v>6360</v>
      </c>
      <c r="D230">
        <f>C230*_xlfn.XLOOKUP(B230,AG:AG,AH:AH)</f>
        <v>5469.6</v>
      </c>
      <c r="E230">
        <f>C230*_xlfn.XLOOKUP(B230,AG:AG,AI:AI)</f>
        <v>6360</v>
      </c>
      <c r="F230">
        <v>49718.15</v>
      </c>
      <c r="G230">
        <f>F230*_xlfn.XLOOKUP(B230,AG:AG,AH:AH)</f>
        <v>42757.609000000004</v>
      </c>
      <c r="H230">
        <f>F230*_xlfn.XLOOKUP(B230,AG:AG,AI:AI)</f>
        <v>49718.15</v>
      </c>
      <c r="I230">
        <f t="shared" si="17"/>
        <v>0</v>
      </c>
      <c r="J230">
        <f>I230*_xlfn.XLOOKUP(B230,AG:AG,AI:AI)</f>
        <v>0</v>
      </c>
      <c r="K230" s="7">
        <f>_xlfn.XLOOKUP(A230,Z:Z,AD:AD)</f>
        <v>45776</v>
      </c>
      <c r="L230" s="7">
        <f t="shared" si="18"/>
        <v>45746</v>
      </c>
      <c r="M230">
        <f t="shared" si="19"/>
        <v>3</v>
      </c>
      <c r="N230">
        <f t="shared" si="20"/>
        <v>2025</v>
      </c>
      <c r="Q230" s="22">
        <v>389</v>
      </c>
      <c r="R230" s="22">
        <v>39431.770000000004</v>
      </c>
      <c r="S230" s="22" t="str">
        <f t="shared" si="21"/>
        <v>USD</v>
      </c>
      <c r="T230" s="22">
        <f>R230*_xlfn.XLOOKUP(S230,AG:AG,AI:AI)</f>
        <v>39431.770000000004</v>
      </c>
      <c r="U230" s="22" t="s">
        <v>26</v>
      </c>
      <c r="W230" s="9">
        <v>205</v>
      </c>
      <c r="X230" s="9" t="s">
        <v>28</v>
      </c>
      <c r="Z230">
        <v>241</v>
      </c>
      <c r="AA230">
        <v>49718.15</v>
      </c>
      <c r="AB230" t="s">
        <v>29</v>
      </c>
      <c r="AD230" s="20">
        <v>45776</v>
      </c>
    </row>
    <row r="231" spans="1:30">
      <c r="A231">
        <v>243</v>
      </c>
      <c r="B231" t="str">
        <f>_xlfn.XLOOKUP(A231,Z:Z,AB:AB,"not found")</f>
        <v>EUR</v>
      </c>
      <c r="C231">
        <f>_xlfn.XLOOKUP(A231,Z:Z,AA:AA)-_xlfn.XLOOKUP(A231,Q:Q,R:R,"0")</f>
        <v>0</v>
      </c>
      <c r="D231">
        <f>C231*_xlfn.XLOOKUP(B231,AG:AG,AH:AH)</f>
        <v>0</v>
      </c>
      <c r="E231">
        <f>C231*_xlfn.XLOOKUP(B231,AG:AG,AI:AI)</f>
        <v>0</v>
      </c>
      <c r="F231">
        <v>3693.34</v>
      </c>
      <c r="G231">
        <f>F231*_xlfn.XLOOKUP(B231,AG:AG,AH:AH)</f>
        <v>3693.34</v>
      </c>
      <c r="H231">
        <f>F231*_xlfn.XLOOKUP(B231,AG:AG,AI:AI)</f>
        <v>4284.2744000000002</v>
      </c>
      <c r="I231">
        <f t="shared" si="17"/>
        <v>0</v>
      </c>
      <c r="J231">
        <f>I231*_xlfn.XLOOKUP(B231,AG:AG,AI:AI)</f>
        <v>0</v>
      </c>
      <c r="K231" s="7">
        <f>_xlfn.XLOOKUP(A231,Z:Z,AD:AD)</f>
        <v>45790</v>
      </c>
      <c r="L231" s="7">
        <f t="shared" si="18"/>
        <v>45760</v>
      </c>
      <c r="M231">
        <f t="shared" si="19"/>
        <v>4</v>
      </c>
      <c r="N231">
        <f t="shared" si="20"/>
        <v>2025</v>
      </c>
      <c r="Q231" s="22">
        <v>390</v>
      </c>
      <c r="R231" s="22">
        <v>82479.939999999988</v>
      </c>
      <c r="S231" s="22" t="str">
        <f t="shared" si="21"/>
        <v>MXN</v>
      </c>
      <c r="T231" s="22">
        <f>R231*_xlfn.XLOOKUP(S231,AG:AG,AI:AI)</f>
        <v>4618.8766399999995</v>
      </c>
      <c r="U231" s="22" t="s">
        <v>26</v>
      </c>
      <c r="W231" s="9">
        <v>206</v>
      </c>
      <c r="X231" s="9" t="s">
        <v>29</v>
      </c>
      <c r="Z231">
        <v>243</v>
      </c>
      <c r="AA231">
        <v>3693.34</v>
      </c>
      <c r="AB231" t="s">
        <v>27</v>
      </c>
      <c r="AD231" s="20">
        <v>45790</v>
      </c>
    </row>
    <row r="232" spans="1:30">
      <c r="A232">
        <v>244</v>
      </c>
      <c r="B232" t="str">
        <f>_xlfn.XLOOKUP(A232,Z:Z,AB:AB,"not found")</f>
        <v>EUR</v>
      </c>
      <c r="C232">
        <f>_xlfn.XLOOKUP(A232,Z:Z,AA:AA)-_xlfn.XLOOKUP(A232,Q:Q,R:R,"0")</f>
        <v>4418.8900000000003</v>
      </c>
      <c r="D232">
        <f>C232*_xlfn.XLOOKUP(B232,AG:AG,AH:AH)</f>
        <v>4418.8900000000003</v>
      </c>
      <c r="E232">
        <f>C232*_xlfn.XLOOKUP(B232,AG:AG,AI:AI)</f>
        <v>5125.9124000000002</v>
      </c>
      <c r="F232">
        <v>6984.77</v>
      </c>
      <c r="G232">
        <f>F232*_xlfn.XLOOKUP(B232,AG:AG,AH:AH)</f>
        <v>6984.77</v>
      </c>
      <c r="H232">
        <f>F232*_xlfn.XLOOKUP(B232,AG:AG,AI:AI)</f>
        <v>8102.3332</v>
      </c>
      <c r="I232">
        <f t="shared" si="17"/>
        <v>0</v>
      </c>
      <c r="J232">
        <f>I232*_xlfn.XLOOKUP(B232,AG:AG,AI:AI)</f>
        <v>0</v>
      </c>
      <c r="K232" s="7">
        <f>_xlfn.XLOOKUP(A232,Z:Z,AD:AD)</f>
        <v>45814</v>
      </c>
      <c r="L232" s="7">
        <f t="shared" si="18"/>
        <v>45784</v>
      </c>
      <c r="M232">
        <f t="shared" si="19"/>
        <v>5</v>
      </c>
      <c r="N232">
        <f t="shared" si="20"/>
        <v>2025</v>
      </c>
      <c r="Q232" s="22">
        <v>391</v>
      </c>
      <c r="R232" s="22">
        <v>43559.47</v>
      </c>
      <c r="S232" s="22" t="str">
        <f t="shared" si="21"/>
        <v>USD</v>
      </c>
      <c r="T232" s="22">
        <f>R232*_xlfn.XLOOKUP(S232,AG:AG,AI:AI)</f>
        <v>43559.47</v>
      </c>
      <c r="U232" s="22" t="s">
        <v>26</v>
      </c>
      <c r="W232" s="9">
        <v>206</v>
      </c>
      <c r="X232" s="9" t="s">
        <v>29</v>
      </c>
      <c r="Z232">
        <v>244</v>
      </c>
      <c r="AA232">
        <v>6984.77</v>
      </c>
      <c r="AB232" t="s">
        <v>27</v>
      </c>
      <c r="AD232" s="20">
        <v>45814</v>
      </c>
    </row>
    <row r="233" spans="1:30">
      <c r="A233">
        <v>245</v>
      </c>
      <c r="B233" t="str">
        <f>_xlfn.XLOOKUP(A233,Z:Z,AB:AB,"not found")</f>
        <v>EUR</v>
      </c>
      <c r="C233">
        <f>_xlfn.XLOOKUP(A233,Z:Z,AA:AA)-_xlfn.XLOOKUP(A233,Q:Q,R:R,"0")</f>
        <v>2195.5</v>
      </c>
      <c r="D233">
        <f>C233*_xlfn.XLOOKUP(B233,AG:AG,AH:AH)</f>
        <v>2195.5</v>
      </c>
      <c r="E233">
        <f>C233*_xlfn.XLOOKUP(B233,AG:AG,AI:AI)</f>
        <v>2546.7799999999997</v>
      </c>
      <c r="F233">
        <v>34134.26</v>
      </c>
      <c r="G233">
        <f>F233*_xlfn.XLOOKUP(B233,AG:AG,AH:AH)</f>
        <v>34134.26</v>
      </c>
      <c r="H233">
        <f>F233*_xlfn.XLOOKUP(B233,AG:AG,AI:AI)</f>
        <v>39595.741600000001</v>
      </c>
      <c r="I233">
        <f t="shared" si="17"/>
        <v>0</v>
      </c>
      <c r="J233">
        <f>I233*_xlfn.XLOOKUP(B233,AG:AG,AI:AI)</f>
        <v>0</v>
      </c>
      <c r="K233" s="7">
        <f>_xlfn.XLOOKUP(A233,Z:Z,AD:AD)</f>
        <v>45761</v>
      </c>
      <c r="L233" s="7">
        <f t="shared" si="18"/>
        <v>45731</v>
      </c>
      <c r="M233">
        <f t="shared" si="19"/>
        <v>3</v>
      </c>
      <c r="N233">
        <f t="shared" si="20"/>
        <v>2025</v>
      </c>
      <c r="Q233" s="22">
        <v>392</v>
      </c>
      <c r="R233" s="22">
        <v>8311.14</v>
      </c>
      <c r="S233" s="22" t="str">
        <f t="shared" si="21"/>
        <v>USD</v>
      </c>
      <c r="T233" s="22">
        <f>R233*_xlfn.XLOOKUP(S233,AG:AG,AI:AI)</f>
        <v>8311.14</v>
      </c>
      <c r="U233" s="22" t="s">
        <v>26</v>
      </c>
      <c r="W233" s="9">
        <v>207</v>
      </c>
      <c r="X233" s="9" t="s">
        <v>29</v>
      </c>
      <c r="Z233">
        <v>245</v>
      </c>
      <c r="AA233">
        <v>34134.26</v>
      </c>
      <c r="AB233" t="s">
        <v>27</v>
      </c>
      <c r="AD233" s="20">
        <v>45761</v>
      </c>
    </row>
    <row r="234" spans="1:30">
      <c r="A234">
        <v>246</v>
      </c>
      <c r="B234" t="str">
        <f>_xlfn.XLOOKUP(A234,Z:Z,AB:AB,"not found")</f>
        <v>USD</v>
      </c>
      <c r="C234">
        <f>_xlfn.XLOOKUP(A234,Z:Z,AA:AA)-_xlfn.XLOOKUP(A234,Q:Q,R:R,"0")</f>
        <v>0</v>
      </c>
      <c r="D234">
        <f>C234*_xlfn.XLOOKUP(B234,AG:AG,AH:AH)</f>
        <v>0</v>
      </c>
      <c r="E234">
        <f>C234*_xlfn.XLOOKUP(B234,AG:AG,AI:AI)</f>
        <v>0</v>
      </c>
      <c r="F234">
        <v>8683</v>
      </c>
      <c r="G234">
        <f>F234*_xlfn.XLOOKUP(B234,AG:AG,AH:AH)</f>
        <v>7467.38</v>
      </c>
      <c r="H234">
        <f>F234*_xlfn.XLOOKUP(B234,AG:AG,AI:AI)</f>
        <v>8683</v>
      </c>
      <c r="I234">
        <f t="shared" si="17"/>
        <v>0</v>
      </c>
      <c r="J234">
        <f>I234*_xlfn.XLOOKUP(B234,AG:AG,AI:AI)</f>
        <v>0</v>
      </c>
      <c r="K234" s="7">
        <f>_xlfn.XLOOKUP(A234,Z:Z,AD:AD)</f>
        <v>45678</v>
      </c>
      <c r="L234" s="7">
        <f t="shared" si="18"/>
        <v>45648</v>
      </c>
      <c r="M234">
        <f t="shared" si="19"/>
        <v>12</v>
      </c>
      <c r="N234">
        <f t="shared" si="20"/>
        <v>2024</v>
      </c>
      <c r="Q234" s="22">
        <v>394</v>
      </c>
      <c r="R234" s="22">
        <v>30931.919999999998</v>
      </c>
      <c r="S234" s="22" t="str">
        <f t="shared" si="21"/>
        <v>USD</v>
      </c>
      <c r="T234" s="22">
        <f>R234*_xlfn.XLOOKUP(S234,AG:AG,AI:AI)</f>
        <v>30931.919999999998</v>
      </c>
      <c r="U234" s="22" t="s">
        <v>26</v>
      </c>
      <c r="W234" s="9">
        <v>208</v>
      </c>
      <c r="X234" s="9" t="s">
        <v>29</v>
      </c>
      <c r="Z234">
        <v>246</v>
      </c>
      <c r="AA234">
        <v>8683</v>
      </c>
      <c r="AB234" t="s">
        <v>29</v>
      </c>
      <c r="AD234" s="20">
        <v>45678</v>
      </c>
    </row>
    <row r="235" spans="1:30">
      <c r="A235">
        <v>248</v>
      </c>
      <c r="B235" t="str">
        <f>_xlfn.XLOOKUP(A235,Z:Z,AB:AB,"not found")</f>
        <v>USD</v>
      </c>
      <c r="C235">
        <f>_xlfn.XLOOKUP(A235,Z:Z,AA:AA)-_xlfn.XLOOKUP(A235,Q:Q,R:R,"0")</f>
        <v>0</v>
      </c>
      <c r="D235">
        <f>C235*_xlfn.XLOOKUP(B235,AG:AG,AH:AH)</f>
        <v>0</v>
      </c>
      <c r="E235">
        <f>C235*_xlfn.XLOOKUP(B235,AG:AG,AI:AI)</f>
        <v>0</v>
      </c>
      <c r="F235">
        <v>2300</v>
      </c>
      <c r="G235">
        <f>F235*_xlfn.XLOOKUP(B235,AG:AG,AH:AH)</f>
        <v>1978</v>
      </c>
      <c r="H235">
        <f>F235*_xlfn.XLOOKUP(B235,AG:AG,AI:AI)</f>
        <v>2300</v>
      </c>
      <c r="I235">
        <f t="shared" si="17"/>
        <v>0</v>
      </c>
      <c r="J235">
        <f>I235*_xlfn.XLOOKUP(B235,AG:AG,AI:AI)</f>
        <v>0</v>
      </c>
      <c r="K235" s="7">
        <f>_xlfn.XLOOKUP(A235,Z:Z,AD:AD)</f>
        <v>45803</v>
      </c>
      <c r="L235" s="7">
        <f t="shared" si="18"/>
        <v>45773</v>
      </c>
      <c r="M235">
        <f t="shared" si="19"/>
        <v>4</v>
      </c>
      <c r="N235">
        <f t="shared" si="20"/>
        <v>2025</v>
      </c>
      <c r="Q235" s="22">
        <v>395</v>
      </c>
      <c r="R235" s="22">
        <v>15971.66</v>
      </c>
      <c r="S235" s="22" t="str">
        <f t="shared" si="21"/>
        <v>USD</v>
      </c>
      <c r="T235" s="22">
        <f>R235*_xlfn.XLOOKUP(S235,AG:AG,AI:AI)</f>
        <v>15971.66</v>
      </c>
      <c r="U235" s="22" t="s">
        <v>26</v>
      </c>
      <c r="W235" s="9">
        <v>213</v>
      </c>
      <c r="X235" s="9" t="s">
        <v>29</v>
      </c>
      <c r="Z235">
        <v>248</v>
      </c>
      <c r="AA235">
        <v>2300</v>
      </c>
      <c r="AB235" t="s">
        <v>29</v>
      </c>
      <c r="AD235" s="20">
        <v>45803</v>
      </c>
    </row>
    <row r="236" spans="1:30">
      <c r="A236">
        <v>249</v>
      </c>
      <c r="B236" t="str">
        <f>_xlfn.XLOOKUP(A236,Z:Z,AB:AB,"not found")</f>
        <v>USD</v>
      </c>
      <c r="C236">
        <f>_xlfn.XLOOKUP(A236,Z:Z,AA:AA)-_xlfn.XLOOKUP(A236,Q:Q,R:R,"0")</f>
        <v>0</v>
      </c>
      <c r="D236">
        <f>C236*_xlfn.XLOOKUP(B236,AG:AG,AH:AH)</f>
        <v>0</v>
      </c>
      <c r="E236">
        <f>C236*_xlfn.XLOOKUP(B236,AG:AG,AI:AI)</f>
        <v>0</v>
      </c>
      <c r="F236">
        <v>9332.16</v>
      </c>
      <c r="G236">
        <f>F236*_xlfn.XLOOKUP(B236,AG:AG,AH:AH)</f>
        <v>8025.6575999999995</v>
      </c>
      <c r="H236">
        <f>F236*_xlfn.XLOOKUP(B236,AG:AG,AI:AI)</f>
        <v>9332.16</v>
      </c>
      <c r="I236">
        <f t="shared" si="17"/>
        <v>0</v>
      </c>
      <c r="J236">
        <f>I236*_xlfn.XLOOKUP(B236,AG:AG,AI:AI)</f>
        <v>0</v>
      </c>
      <c r="K236" s="7">
        <f>_xlfn.XLOOKUP(A236,Z:Z,AD:AD)</f>
        <v>45786</v>
      </c>
      <c r="L236" s="7">
        <f t="shared" si="18"/>
        <v>45756</v>
      </c>
      <c r="M236">
        <f t="shared" si="19"/>
        <v>4</v>
      </c>
      <c r="N236">
        <f t="shared" si="20"/>
        <v>2025</v>
      </c>
      <c r="Q236" s="22">
        <v>396</v>
      </c>
      <c r="R236" s="22">
        <v>8265.9700000000012</v>
      </c>
      <c r="S236" s="22" t="str">
        <f t="shared" si="21"/>
        <v>USD</v>
      </c>
      <c r="T236" s="22">
        <f>R236*_xlfn.XLOOKUP(S236,AG:AG,AI:AI)</f>
        <v>8265.9700000000012</v>
      </c>
      <c r="U236" s="22" t="s">
        <v>26</v>
      </c>
      <c r="W236" s="9">
        <v>213</v>
      </c>
      <c r="X236" s="9" t="s">
        <v>29</v>
      </c>
      <c r="Z236">
        <v>249</v>
      </c>
      <c r="AA236">
        <v>9332.16</v>
      </c>
      <c r="AB236" t="s">
        <v>29</v>
      </c>
      <c r="AD236" s="20">
        <v>45786</v>
      </c>
    </row>
    <row r="237" spans="1:30">
      <c r="A237">
        <v>250</v>
      </c>
      <c r="B237" t="str">
        <f>_xlfn.XLOOKUP(A237,Z:Z,AB:AB,"not found")</f>
        <v>EUR</v>
      </c>
      <c r="C237">
        <f>_xlfn.XLOOKUP(A237,Z:Z,AA:AA)-_xlfn.XLOOKUP(A237,Q:Q,R:R,"0")</f>
        <v>16207.9</v>
      </c>
      <c r="D237">
        <f>C237*_xlfn.XLOOKUP(B237,AG:AG,AH:AH)</f>
        <v>16207.9</v>
      </c>
      <c r="E237">
        <f>C237*_xlfn.XLOOKUP(B237,AG:AG,AI:AI)</f>
        <v>18801.163999999997</v>
      </c>
      <c r="F237">
        <v>16207.9</v>
      </c>
      <c r="G237">
        <f>F237*_xlfn.XLOOKUP(B237,AG:AG,AH:AH)</f>
        <v>16207.9</v>
      </c>
      <c r="H237">
        <f>F237*_xlfn.XLOOKUP(B237,AG:AG,AI:AI)</f>
        <v>18801.163999999997</v>
      </c>
      <c r="I237">
        <f t="shared" si="17"/>
        <v>0</v>
      </c>
      <c r="J237">
        <f>I237*_xlfn.XLOOKUP(B237,AG:AG,AI:AI)</f>
        <v>0</v>
      </c>
      <c r="K237" s="7">
        <f>_xlfn.XLOOKUP(A237,Z:Z,AD:AD)</f>
        <v>45792</v>
      </c>
      <c r="L237" s="7">
        <f t="shared" si="18"/>
        <v>45762</v>
      </c>
      <c r="M237">
        <f t="shared" si="19"/>
        <v>4</v>
      </c>
      <c r="N237">
        <f t="shared" si="20"/>
        <v>2025</v>
      </c>
      <c r="Q237" s="22">
        <v>398</v>
      </c>
      <c r="R237" s="22">
        <v>12669.04</v>
      </c>
      <c r="S237" s="22" t="str">
        <f t="shared" si="21"/>
        <v>EUR</v>
      </c>
      <c r="T237" s="22">
        <f>R237*_xlfn.XLOOKUP(S237,AG:AG,AI:AI)</f>
        <v>14696.0864</v>
      </c>
      <c r="U237" s="22" t="s">
        <v>26</v>
      </c>
      <c r="W237" s="9">
        <v>213</v>
      </c>
      <c r="X237" s="9" t="s">
        <v>29</v>
      </c>
      <c r="Z237">
        <v>250</v>
      </c>
      <c r="AA237">
        <v>16207.9</v>
      </c>
      <c r="AB237" t="s">
        <v>27</v>
      </c>
      <c r="AD237" s="20">
        <v>45792</v>
      </c>
    </row>
    <row r="238" spans="1:30">
      <c r="A238">
        <v>251</v>
      </c>
      <c r="B238" t="str">
        <f>_xlfn.XLOOKUP(A238,Z:Z,AB:AB,"not found")</f>
        <v>EUR</v>
      </c>
      <c r="C238">
        <f>_xlfn.XLOOKUP(A238,Z:Z,AA:AA)-_xlfn.XLOOKUP(A238,Q:Q,R:R,"0")</f>
        <v>0</v>
      </c>
      <c r="D238">
        <f>C238*_xlfn.XLOOKUP(B238,AG:AG,AH:AH)</f>
        <v>0</v>
      </c>
      <c r="E238">
        <f>C238*_xlfn.XLOOKUP(B238,AG:AG,AI:AI)</f>
        <v>0</v>
      </c>
      <c r="F238">
        <v>9187.42</v>
      </c>
      <c r="G238">
        <f>F238*_xlfn.XLOOKUP(B238,AG:AG,AH:AH)</f>
        <v>9187.42</v>
      </c>
      <c r="H238">
        <f>F238*_xlfn.XLOOKUP(B238,AG:AG,AI:AI)</f>
        <v>10657.4072</v>
      </c>
      <c r="I238">
        <f t="shared" si="17"/>
        <v>0</v>
      </c>
      <c r="J238">
        <f>I238*_xlfn.XLOOKUP(B238,AG:AG,AI:AI)</f>
        <v>0</v>
      </c>
      <c r="K238" s="7">
        <f>_xlfn.XLOOKUP(A238,Z:Z,AD:AD)</f>
        <v>45791</v>
      </c>
      <c r="L238" s="7">
        <f t="shared" si="18"/>
        <v>45761</v>
      </c>
      <c r="M238">
        <f t="shared" si="19"/>
        <v>4</v>
      </c>
      <c r="N238">
        <f t="shared" si="20"/>
        <v>2025</v>
      </c>
      <c r="Q238" s="22">
        <v>399</v>
      </c>
      <c r="R238" s="22">
        <v>5235</v>
      </c>
      <c r="S238" s="22" t="str">
        <f t="shared" si="21"/>
        <v>USD</v>
      </c>
      <c r="T238" s="22">
        <f>R238*_xlfn.XLOOKUP(S238,AG:AG,AI:AI)</f>
        <v>5235</v>
      </c>
      <c r="U238" s="22" t="s">
        <v>26</v>
      </c>
      <c r="W238" s="9">
        <v>213</v>
      </c>
      <c r="X238" s="9" t="s">
        <v>29</v>
      </c>
      <c r="Z238">
        <v>251</v>
      </c>
      <c r="AA238">
        <v>9187.42</v>
      </c>
      <c r="AB238" t="s">
        <v>27</v>
      </c>
      <c r="AD238" s="20">
        <v>45791</v>
      </c>
    </row>
    <row r="239" spans="1:30">
      <c r="A239">
        <v>252</v>
      </c>
      <c r="B239" t="str">
        <f>_xlfn.XLOOKUP(A239,Z:Z,AB:AB,"not found")</f>
        <v>USD</v>
      </c>
      <c r="C239">
        <f>_xlfn.XLOOKUP(A239,Z:Z,AA:AA)-_xlfn.XLOOKUP(A239,Q:Q,R:R,"0")</f>
        <v>1210</v>
      </c>
      <c r="D239">
        <f>C239*_xlfn.XLOOKUP(B239,AG:AG,AH:AH)</f>
        <v>1040.5999999999999</v>
      </c>
      <c r="E239">
        <f>C239*_xlfn.XLOOKUP(B239,AG:AG,AI:AI)</f>
        <v>1210</v>
      </c>
      <c r="F239">
        <v>6469.58</v>
      </c>
      <c r="G239">
        <f>F239*_xlfn.XLOOKUP(B239,AG:AG,AH:AH)</f>
        <v>5563.8387999999995</v>
      </c>
      <c r="H239">
        <f>F239*_xlfn.XLOOKUP(B239,AG:AG,AI:AI)</f>
        <v>6469.58</v>
      </c>
      <c r="I239">
        <f t="shared" si="17"/>
        <v>0</v>
      </c>
      <c r="J239">
        <f>I239*_xlfn.XLOOKUP(B239,AG:AG,AI:AI)</f>
        <v>0</v>
      </c>
      <c r="K239" s="7">
        <f>_xlfn.XLOOKUP(A239,Z:Z,AD:AD)</f>
        <v>45787</v>
      </c>
      <c r="L239" s="7">
        <f t="shared" si="18"/>
        <v>45757</v>
      </c>
      <c r="M239">
        <f t="shared" si="19"/>
        <v>4</v>
      </c>
      <c r="N239">
        <f t="shared" si="20"/>
        <v>2025</v>
      </c>
      <c r="Q239" s="22">
        <v>400</v>
      </c>
      <c r="R239" s="22">
        <v>1740</v>
      </c>
      <c r="S239" s="22" t="str">
        <f t="shared" si="21"/>
        <v>USD</v>
      </c>
      <c r="T239" s="22">
        <f>R239*_xlfn.XLOOKUP(S239,AG:AG,AI:AI)</f>
        <v>1740</v>
      </c>
      <c r="U239" s="22" t="s">
        <v>26</v>
      </c>
      <c r="W239" s="9">
        <v>214</v>
      </c>
      <c r="X239" s="9" t="s">
        <v>29</v>
      </c>
      <c r="Z239">
        <v>252</v>
      </c>
      <c r="AA239">
        <v>6469.58</v>
      </c>
      <c r="AB239" t="s">
        <v>29</v>
      </c>
      <c r="AD239" s="20">
        <v>45787</v>
      </c>
    </row>
    <row r="240" spans="1:30">
      <c r="A240">
        <v>253</v>
      </c>
      <c r="B240" t="str">
        <f>_xlfn.XLOOKUP(A240,Z:Z,AB:AB,"not found")</f>
        <v>USD</v>
      </c>
      <c r="C240">
        <f>_xlfn.XLOOKUP(A240,Z:Z,AA:AA)-_xlfn.XLOOKUP(A240,Q:Q,R:R,"0")</f>
        <v>0</v>
      </c>
      <c r="D240">
        <f>C240*_xlfn.XLOOKUP(B240,AG:AG,AH:AH)</f>
        <v>0</v>
      </c>
      <c r="E240">
        <f>C240*_xlfn.XLOOKUP(B240,AG:AG,AI:AI)</f>
        <v>0</v>
      </c>
      <c r="F240">
        <v>733.5</v>
      </c>
      <c r="G240">
        <f>F240*_xlfn.XLOOKUP(B240,AG:AG,AH:AH)</f>
        <v>630.80999999999995</v>
      </c>
      <c r="H240">
        <f>F240*_xlfn.XLOOKUP(B240,AG:AG,AI:AI)</f>
        <v>733.5</v>
      </c>
      <c r="I240">
        <f t="shared" si="17"/>
        <v>0</v>
      </c>
      <c r="J240">
        <f>I240*_xlfn.XLOOKUP(B240,AG:AG,AI:AI)</f>
        <v>0</v>
      </c>
      <c r="K240" s="7">
        <f>_xlfn.XLOOKUP(A240,Z:Z,AD:AD)</f>
        <v>45766</v>
      </c>
      <c r="L240" s="7">
        <f t="shared" si="18"/>
        <v>45736</v>
      </c>
      <c r="M240">
        <f t="shared" si="19"/>
        <v>3</v>
      </c>
      <c r="N240">
        <f t="shared" si="20"/>
        <v>2025</v>
      </c>
      <c r="Q240" s="22">
        <v>401</v>
      </c>
      <c r="R240" s="22">
        <v>4326</v>
      </c>
      <c r="S240" s="22" t="str">
        <f t="shared" si="21"/>
        <v>USD</v>
      </c>
      <c r="T240" s="22">
        <f>R240*_xlfn.XLOOKUP(S240,AG:AG,AI:AI)</f>
        <v>4326</v>
      </c>
      <c r="U240" s="22" t="s">
        <v>26</v>
      </c>
      <c r="W240" s="9">
        <v>215</v>
      </c>
      <c r="X240" s="9" t="s">
        <v>27</v>
      </c>
      <c r="Z240">
        <v>253</v>
      </c>
      <c r="AA240">
        <v>733.5</v>
      </c>
      <c r="AB240" t="s">
        <v>29</v>
      </c>
      <c r="AD240" s="20">
        <v>45766</v>
      </c>
    </row>
    <row r="241" spans="1:30">
      <c r="A241">
        <v>254</v>
      </c>
      <c r="B241" t="str">
        <f>_xlfn.XLOOKUP(A241,Z:Z,AB:AB,"not found")</f>
        <v>USD</v>
      </c>
      <c r="C241">
        <f>_xlfn.XLOOKUP(A241,Z:Z,AA:AA)-_xlfn.XLOOKUP(A241,Q:Q,R:R,"0")</f>
        <v>41437.379999999997</v>
      </c>
      <c r="D241">
        <f>C241*_xlfn.XLOOKUP(B241,AG:AG,AH:AH)</f>
        <v>35636.146799999995</v>
      </c>
      <c r="E241">
        <f>C241*_xlfn.XLOOKUP(B241,AG:AG,AI:AI)</f>
        <v>41437.379999999997</v>
      </c>
      <c r="F241">
        <v>41437.379999999997</v>
      </c>
      <c r="G241">
        <f>F241*_xlfn.XLOOKUP(B241,AG:AG,AH:AH)</f>
        <v>35636.146799999995</v>
      </c>
      <c r="H241">
        <f>F241*_xlfn.XLOOKUP(B241,AG:AG,AI:AI)</f>
        <v>41437.379999999997</v>
      </c>
      <c r="I241">
        <f t="shared" si="17"/>
        <v>0</v>
      </c>
      <c r="J241">
        <f>I241*_xlfn.XLOOKUP(B241,AG:AG,AI:AI)</f>
        <v>0</v>
      </c>
      <c r="K241" s="7">
        <f>_xlfn.XLOOKUP(A241,Z:Z,AD:AD)</f>
        <v>45759</v>
      </c>
      <c r="L241" s="7">
        <f t="shared" si="18"/>
        <v>45729</v>
      </c>
      <c r="M241">
        <f t="shared" si="19"/>
        <v>3</v>
      </c>
      <c r="N241">
        <f t="shared" si="20"/>
        <v>2025</v>
      </c>
      <c r="Q241" s="22">
        <v>402</v>
      </c>
      <c r="R241" s="22">
        <v>46687</v>
      </c>
      <c r="S241" s="22" t="str">
        <f t="shared" si="21"/>
        <v>MXN</v>
      </c>
      <c r="T241" s="22">
        <f>R241*_xlfn.XLOOKUP(S241,AG:AG,AI:AI)</f>
        <v>2614.4720000000002</v>
      </c>
      <c r="U241" s="22" t="s">
        <v>26</v>
      </c>
      <c r="W241" s="9">
        <v>215</v>
      </c>
      <c r="X241" s="9" t="s">
        <v>27</v>
      </c>
      <c r="Z241">
        <v>254</v>
      </c>
      <c r="AA241">
        <v>41437.379999999997</v>
      </c>
      <c r="AB241" t="s">
        <v>29</v>
      </c>
      <c r="AD241" s="20">
        <v>45759</v>
      </c>
    </row>
    <row r="242" spans="1:30">
      <c r="A242">
        <v>255</v>
      </c>
      <c r="B242" t="str">
        <f>_xlfn.XLOOKUP(A242,Z:Z,AB:AB,"not found")</f>
        <v>EUR</v>
      </c>
      <c r="C242">
        <f>_xlfn.XLOOKUP(A242,Z:Z,AA:AA)-_xlfn.XLOOKUP(A242,Q:Q,R:R,"0")</f>
        <v>122920</v>
      </c>
      <c r="D242">
        <f>C242*_xlfn.XLOOKUP(B242,AG:AG,AH:AH)</f>
        <v>122920</v>
      </c>
      <c r="E242">
        <f>C242*_xlfn.XLOOKUP(B242,AG:AG,AI:AI)</f>
        <v>142587.19999999998</v>
      </c>
      <c r="F242">
        <v>122920</v>
      </c>
      <c r="G242">
        <f>F242*_xlfn.XLOOKUP(B242,AG:AG,AH:AH)</f>
        <v>122920</v>
      </c>
      <c r="H242">
        <f>F242*_xlfn.XLOOKUP(B242,AG:AG,AI:AI)</f>
        <v>142587.19999999998</v>
      </c>
      <c r="I242">
        <f t="shared" si="17"/>
        <v>0</v>
      </c>
      <c r="J242">
        <f>I242*_xlfn.XLOOKUP(B242,AG:AG,AI:AI)</f>
        <v>0</v>
      </c>
      <c r="K242" s="7">
        <f>_xlfn.XLOOKUP(A242,Z:Z,AD:AD)</f>
        <v>45759</v>
      </c>
      <c r="L242" s="7">
        <f t="shared" si="18"/>
        <v>45729</v>
      </c>
      <c r="M242">
        <f t="shared" si="19"/>
        <v>3</v>
      </c>
      <c r="N242">
        <f t="shared" si="20"/>
        <v>2025</v>
      </c>
      <c r="Q242" s="22">
        <v>406</v>
      </c>
      <c r="R242" s="22">
        <v>19428</v>
      </c>
      <c r="S242" s="22" t="str">
        <f t="shared" si="21"/>
        <v>USD</v>
      </c>
      <c r="T242" s="22">
        <f>R242*_xlfn.XLOOKUP(S242,AG:AG,AI:AI)</f>
        <v>19428</v>
      </c>
      <c r="U242" s="22" t="s">
        <v>26</v>
      </c>
      <c r="W242" s="9">
        <v>215</v>
      </c>
      <c r="X242" s="9" t="s">
        <v>27</v>
      </c>
      <c r="Z242">
        <v>255</v>
      </c>
      <c r="AA242">
        <v>122920</v>
      </c>
      <c r="AB242" t="s">
        <v>27</v>
      </c>
      <c r="AD242" s="20">
        <v>45759</v>
      </c>
    </row>
    <row r="243" spans="1:30">
      <c r="A243">
        <v>256</v>
      </c>
      <c r="B243" t="str">
        <f>_xlfn.XLOOKUP(A243,Z:Z,AB:AB,"not found")</f>
        <v>USD</v>
      </c>
      <c r="C243">
        <f>_xlfn.XLOOKUP(A243,Z:Z,AA:AA)-_xlfn.XLOOKUP(A243,Q:Q,R:R,"0")</f>
        <v>734.63</v>
      </c>
      <c r="D243">
        <f>C243*_xlfn.XLOOKUP(B243,AG:AG,AH:AH)</f>
        <v>631.78179999999998</v>
      </c>
      <c r="E243">
        <f>C243*_xlfn.XLOOKUP(B243,AG:AG,AI:AI)</f>
        <v>734.63</v>
      </c>
      <c r="F243">
        <v>734.63</v>
      </c>
      <c r="G243">
        <f>F243*_xlfn.XLOOKUP(B243,AG:AG,AH:AH)</f>
        <v>631.78179999999998</v>
      </c>
      <c r="H243">
        <f>F243*_xlfn.XLOOKUP(B243,AG:AG,AI:AI)</f>
        <v>734.63</v>
      </c>
      <c r="I243">
        <f t="shared" si="17"/>
        <v>0</v>
      </c>
      <c r="J243">
        <f>I243*_xlfn.XLOOKUP(B243,AG:AG,AI:AI)</f>
        <v>0</v>
      </c>
      <c r="K243" s="7">
        <f>_xlfn.XLOOKUP(A243,Z:Z,AD:AD)</f>
        <v>45759</v>
      </c>
      <c r="L243" s="7">
        <f t="shared" si="18"/>
        <v>45729</v>
      </c>
      <c r="M243">
        <f t="shared" si="19"/>
        <v>3</v>
      </c>
      <c r="N243">
        <f t="shared" si="20"/>
        <v>2025</v>
      </c>
      <c r="Q243" s="22">
        <v>409</v>
      </c>
      <c r="R243" s="22">
        <v>5694</v>
      </c>
      <c r="S243" s="22" t="str">
        <f t="shared" si="21"/>
        <v>CHF</v>
      </c>
      <c r="T243" s="22">
        <f>R243*_xlfn.XLOOKUP(S243,AG:AG,AI:AI)</f>
        <v>7117.5</v>
      </c>
      <c r="U243" s="22" t="s">
        <v>26</v>
      </c>
      <c r="W243" s="9">
        <v>215</v>
      </c>
      <c r="X243" s="9" t="s">
        <v>27</v>
      </c>
      <c r="Z243">
        <v>256</v>
      </c>
      <c r="AA243">
        <v>734.63</v>
      </c>
      <c r="AB243" t="s">
        <v>29</v>
      </c>
      <c r="AD243" s="20">
        <v>45759</v>
      </c>
    </row>
    <row r="244" spans="1:30">
      <c r="A244">
        <v>257</v>
      </c>
      <c r="B244" t="str">
        <f>_xlfn.XLOOKUP(A244,Z:Z,AB:AB,"not found")</f>
        <v>USD</v>
      </c>
      <c r="C244">
        <f>_xlfn.XLOOKUP(A244,Z:Z,AA:AA)-_xlfn.XLOOKUP(A244,Q:Q,R:R,"0")</f>
        <v>22879.21</v>
      </c>
      <c r="D244">
        <f>C244*_xlfn.XLOOKUP(B244,AG:AG,AH:AH)</f>
        <v>19676.120599999998</v>
      </c>
      <c r="E244">
        <f>C244*_xlfn.XLOOKUP(B244,AG:AG,AI:AI)</f>
        <v>22879.21</v>
      </c>
      <c r="F244">
        <v>22879.21</v>
      </c>
      <c r="G244">
        <f>F244*_xlfn.XLOOKUP(B244,AG:AG,AH:AH)</f>
        <v>19676.120599999998</v>
      </c>
      <c r="H244">
        <f>F244*_xlfn.XLOOKUP(B244,AG:AG,AI:AI)</f>
        <v>22879.21</v>
      </c>
      <c r="I244">
        <f t="shared" si="17"/>
        <v>0</v>
      </c>
      <c r="J244">
        <f>I244*_xlfn.XLOOKUP(B244,AG:AG,AI:AI)</f>
        <v>0</v>
      </c>
      <c r="K244" s="7">
        <f>_xlfn.XLOOKUP(A244,Z:Z,AD:AD)</f>
        <v>46056</v>
      </c>
      <c r="L244" s="7">
        <f t="shared" si="18"/>
        <v>46026</v>
      </c>
      <c r="M244">
        <f t="shared" si="19"/>
        <v>1</v>
      </c>
      <c r="N244">
        <f t="shared" si="20"/>
        <v>2026</v>
      </c>
      <c r="Q244" s="22">
        <v>412</v>
      </c>
      <c r="R244" s="22">
        <v>2286.5</v>
      </c>
      <c r="S244" s="22" t="str">
        <f t="shared" si="21"/>
        <v>USD</v>
      </c>
      <c r="T244" s="22">
        <f>R244*_xlfn.XLOOKUP(S244,AG:AG,AI:AI)</f>
        <v>2286.5</v>
      </c>
      <c r="U244" s="22" t="s">
        <v>26</v>
      </c>
      <c r="W244" s="9">
        <v>216</v>
      </c>
      <c r="X244" s="9" t="s">
        <v>29</v>
      </c>
      <c r="Z244">
        <v>257</v>
      </c>
      <c r="AA244">
        <v>22879.21</v>
      </c>
      <c r="AB244" t="s">
        <v>29</v>
      </c>
      <c r="AD244" s="20">
        <v>46056</v>
      </c>
    </row>
    <row r="245" spans="1:30">
      <c r="A245">
        <v>258</v>
      </c>
      <c r="B245" t="str">
        <f>_xlfn.XLOOKUP(A245,Z:Z,AB:AB,"not found")</f>
        <v>EUR</v>
      </c>
      <c r="C245">
        <f>_xlfn.XLOOKUP(A245,Z:Z,AA:AA)-_xlfn.XLOOKUP(A245,Q:Q,R:R,"0")</f>
        <v>0</v>
      </c>
      <c r="D245">
        <f>C245*_xlfn.XLOOKUP(B245,AG:AG,AH:AH)</f>
        <v>0</v>
      </c>
      <c r="E245">
        <f>C245*_xlfn.XLOOKUP(B245,AG:AG,AI:AI)</f>
        <v>0</v>
      </c>
      <c r="F245">
        <v>2530</v>
      </c>
      <c r="G245">
        <f>F245*_xlfn.XLOOKUP(B245,AG:AG,AH:AH)</f>
        <v>2530</v>
      </c>
      <c r="H245">
        <f>F245*_xlfn.XLOOKUP(B245,AG:AG,AI:AI)</f>
        <v>2934.7999999999997</v>
      </c>
      <c r="I245">
        <f t="shared" si="17"/>
        <v>0</v>
      </c>
      <c r="J245">
        <f>I245*_xlfn.XLOOKUP(B245,AG:AG,AI:AI)</f>
        <v>0</v>
      </c>
      <c r="K245" s="7">
        <f>_xlfn.XLOOKUP(A245,Z:Z,AD:AD)</f>
        <v>45769</v>
      </c>
      <c r="L245" s="7">
        <f t="shared" si="18"/>
        <v>45739</v>
      </c>
      <c r="M245">
        <f t="shared" si="19"/>
        <v>3</v>
      </c>
      <c r="N245">
        <f t="shared" si="20"/>
        <v>2025</v>
      </c>
      <c r="Q245" s="22">
        <v>414</v>
      </c>
      <c r="R245" s="22">
        <v>7824.29</v>
      </c>
      <c r="S245" s="22" t="str">
        <f t="shared" si="21"/>
        <v>USD</v>
      </c>
      <c r="T245" s="22">
        <f>R245*_xlfn.XLOOKUP(S245,AG:AG,AI:AI)</f>
        <v>7824.29</v>
      </c>
      <c r="U245" s="22" t="s">
        <v>26</v>
      </c>
      <c r="W245" s="9">
        <v>216</v>
      </c>
      <c r="X245" s="9" t="s">
        <v>29</v>
      </c>
      <c r="Z245">
        <v>258</v>
      </c>
      <c r="AA245">
        <v>2530</v>
      </c>
      <c r="AB245" t="s">
        <v>27</v>
      </c>
      <c r="AD245" s="20">
        <v>45769</v>
      </c>
    </row>
    <row r="246" spans="1:30">
      <c r="A246">
        <v>259</v>
      </c>
      <c r="B246" t="str">
        <f>_xlfn.XLOOKUP(A246,Z:Z,AB:AB,"not found")</f>
        <v>USD</v>
      </c>
      <c r="C246">
        <f>_xlfn.XLOOKUP(A246,Z:Z,AA:AA)-_xlfn.XLOOKUP(A246,Q:Q,R:R,"0")</f>
        <v>-1215.9000000000001</v>
      </c>
      <c r="D246">
        <f>C246*_xlfn.XLOOKUP(B246,AG:AG,AH:AH)</f>
        <v>-1045.674</v>
      </c>
      <c r="E246">
        <f>C246*_xlfn.XLOOKUP(B246,AG:AG,AI:AI)</f>
        <v>-1215.9000000000001</v>
      </c>
      <c r="F246">
        <v>1563.9</v>
      </c>
      <c r="G246">
        <f>F246*_xlfn.XLOOKUP(B246,AG:AG,AH:AH)</f>
        <v>1344.954</v>
      </c>
      <c r="H246">
        <f>F246*_xlfn.XLOOKUP(B246,AG:AG,AI:AI)</f>
        <v>1563.9</v>
      </c>
      <c r="I246">
        <f t="shared" si="17"/>
        <v>0</v>
      </c>
      <c r="J246">
        <f>I246*_xlfn.XLOOKUP(B246,AG:AG,AI:AI)</f>
        <v>0</v>
      </c>
      <c r="K246" s="7">
        <f>_xlfn.XLOOKUP(A246,Z:Z,AD:AD)</f>
        <v>45824</v>
      </c>
      <c r="L246" s="7">
        <f t="shared" si="18"/>
        <v>45794</v>
      </c>
      <c r="M246">
        <f t="shared" si="19"/>
        <v>5</v>
      </c>
      <c r="N246">
        <f t="shared" si="20"/>
        <v>2025</v>
      </c>
      <c r="Q246" s="22">
        <v>416</v>
      </c>
      <c r="R246" s="22">
        <v>330588.92000000004</v>
      </c>
      <c r="S246" s="22" t="str">
        <f t="shared" si="21"/>
        <v>MXN</v>
      </c>
      <c r="T246" s="22">
        <f>R246*_xlfn.XLOOKUP(S246,AG:AG,AI:AI)</f>
        <v>18512.979520000004</v>
      </c>
      <c r="U246" s="22" t="s">
        <v>26</v>
      </c>
      <c r="W246" s="9">
        <v>217</v>
      </c>
      <c r="X246" s="9" t="s">
        <v>29</v>
      </c>
      <c r="Z246">
        <v>259</v>
      </c>
      <c r="AA246">
        <v>1563.9</v>
      </c>
      <c r="AB246" t="s">
        <v>29</v>
      </c>
      <c r="AD246" s="20">
        <v>45824</v>
      </c>
    </row>
    <row r="247" spans="1:30">
      <c r="A247">
        <v>260</v>
      </c>
      <c r="B247" t="str">
        <f>_xlfn.XLOOKUP(A247,Z:Z,AB:AB,"not found")</f>
        <v>USD</v>
      </c>
      <c r="C247">
        <f>_xlfn.XLOOKUP(A247,Z:Z,AA:AA)-_xlfn.XLOOKUP(A247,Q:Q,R:R,"0")</f>
        <v>0</v>
      </c>
      <c r="D247">
        <f>C247*_xlfn.XLOOKUP(B247,AG:AG,AH:AH)</f>
        <v>0</v>
      </c>
      <c r="E247">
        <f>C247*_xlfn.XLOOKUP(B247,AG:AG,AI:AI)</f>
        <v>0</v>
      </c>
      <c r="F247">
        <v>42478.42</v>
      </c>
      <c r="G247">
        <f>F247*_xlfn.XLOOKUP(B247,AG:AG,AH:AH)</f>
        <v>36531.441200000001</v>
      </c>
      <c r="H247">
        <f>F247*_xlfn.XLOOKUP(B247,AG:AG,AI:AI)</f>
        <v>42478.42</v>
      </c>
      <c r="I247">
        <f t="shared" si="17"/>
        <v>0</v>
      </c>
      <c r="J247">
        <f>I247*_xlfn.XLOOKUP(B247,AG:AG,AI:AI)</f>
        <v>0</v>
      </c>
      <c r="K247" s="7">
        <f>_xlfn.XLOOKUP(A247,Z:Z,AD:AD)</f>
        <v>45761</v>
      </c>
      <c r="L247" s="7">
        <f t="shared" si="18"/>
        <v>45731</v>
      </c>
      <c r="M247">
        <f t="shared" si="19"/>
        <v>3</v>
      </c>
      <c r="N247">
        <f t="shared" si="20"/>
        <v>2025</v>
      </c>
      <c r="Q247" s="22">
        <v>419</v>
      </c>
      <c r="R247" s="22">
        <v>5426</v>
      </c>
      <c r="S247" s="22" t="str">
        <f t="shared" si="21"/>
        <v>USD</v>
      </c>
      <c r="T247" s="22">
        <f>R247*_xlfn.XLOOKUP(S247,AG:AG,AI:AI)</f>
        <v>5426</v>
      </c>
      <c r="U247" s="22" t="s">
        <v>26</v>
      </c>
      <c r="W247" s="9">
        <v>218</v>
      </c>
      <c r="X247" s="9" t="s">
        <v>29</v>
      </c>
      <c r="Z247">
        <v>260</v>
      </c>
      <c r="AA247">
        <v>42478.42</v>
      </c>
      <c r="AB247" t="s">
        <v>29</v>
      </c>
      <c r="AD247" s="20">
        <v>45761</v>
      </c>
    </row>
    <row r="248" spans="1:30">
      <c r="A248">
        <v>261</v>
      </c>
      <c r="B248" t="str">
        <f>_xlfn.XLOOKUP(A248,Z:Z,AB:AB,"not found")</f>
        <v>EUR</v>
      </c>
      <c r="C248">
        <f>_xlfn.XLOOKUP(A248,Z:Z,AA:AA)-_xlfn.XLOOKUP(A248,Q:Q,R:R,"0")</f>
        <v>218286.84</v>
      </c>
      <c r="D248">
        <f>C248*_xlfn.XLOOKUP(B248,AG:AG,AH:AH)</f>
        <v>218286.84</v>
      </c>
      <c r="E248">
        <f>C248*_xlfn.XLOOKUP(B248,AG:AG,AI:AI)</f>
        <v>253212.73439999999</v>
      </c>
      <c r="F248">
        <v>217667.86</v>
      </c>
      <c r="G248">
        <f>F248*_xlfn.XLOOKUP(B248,AG:AG,AH:AH)</f>
        <v>217667.86</v>
      </c>
      <c r="H248">
        <f>F248*_xlfn.XLOOKUP(B248,AG:AG,AI:AI)</f>
        <v>252494.71759999997</v>
      </c>
      <c r="I248">
        <f t="shared" si="17"/>
        <v>618.98000000001048</v>
      </c>
      <c r="J248">
        <f>I248*_xlfn.XLOOKUP(B248,AG:AG,AI:AI)</f>
        <v>718.01680000001215</v>
      </c>
      <c r="K248" s="7">
        <f>_xlfn.XLOOKUP(A248,Z:Z,AD:AD)</f>
        <v>45955</v>
      </c>
      <c r="L248" s="7">
        <f t="shared" si="18"/>
        <v>45925</v>
      </c>
      <c r="M248">
        <f t="shared" si="19"/>
        <v>9</v>
      </c>
      <c r="N248">
        <f t="shared" si="20"/>
        <v>2025</v>
      </c>
      <c r="Q248" s="22">
        <v>420</v>
      </c>
      <c r="R248" s="22">
        <v>3600</v>
      </c>
      <c r="S248" s="22" t="str">
        <f t="shared" si="21"/>
        <v>USD</v>
      </c>
      <c r="T248" s="22">
        <f>R248*_xlfn.XLOOKUP(S248,AG:AG,AI:AI)</f>
        <v>3600</v>
      </c>
      <c r="U248" s="22" t="s">
        <v>26</v>
      </c>
      <c r="W248" s="9">
        <v>219</v>
      </c>
      <c r="X248" s="9" t="s">
        <v>27</v>
      </c>
      <c r="Z248">
        <v>261</v>
      </c>
      <c r="AA248">
        <v>218286.84</v>
      </c>
      <c r="AB248" t="s">
        <v>27</v>
      </c>
      <c r="AD248" s="20">
        <v>45955</v>
      </c>
    </row>
    <row r="249" spans="1:30">
      <c r="A249">
        <v>262</v>
      </c>
      <c r="B249" t="str">
        <f>_xlfn.XLOOKUP(A249,Z:Z,AB:AB,"not found")</f>
        <v>USD</v>
      </c>
      <c r="C249">
        <f>_xlfn.XLOOKUP(A249,Z:Z,AA:AA)-_xlfn.XLOOKUP(A249,Q:Q,R:R,"0")</f>
        <v>256188.56</v>
      </c>
      <c r="D249">
        <f>C249*_xlfn.XLOOKUP(B249,AG:AG,AH:AH)</f>
        <v>220322.16159999999</v>
      </c>
      <c r="E249">
        <f>C249*_xlfn.XLOOKUP(B249,AG:AG,AI:AI)</f>
        <v>256188.56</v>
      </c>
      <c r="F249">
        <v>256188.56</v>
      </c>
      <c r="G249">
        <f>F249*_xlfn.XLOOKUP(B249,AG:AG,AH:AH)</f>
        <v>220322.16159999999</v>
      </c>
      <c r="H249">
        <f>F249*_xlfn.XLOOKUP(B249,AG:AG,AI:AI)</f>
        <v>256188.56</v>
      </c>
      <c r="I249">
        <f t="shared" si="17"/>
        <v>0</v>
      </c>
      <c r="J249">
        <f>I249*_xlfn.XLOOKUP(B249,AG:AG,AI:AI)</f>
        <v>0</v>
      </c>
      <c r="K249" s="7">
        <f>_xlfn.XLOOKUP(A249,Z:Z,AD:AD)</f>
        <v>45966</v>
      </c>
      <c r="L249" s="7">
        <f t="shared" si="18"/>
        <v>45936</v>
      </c>
      <c r="M249">
        <f t="shared" si="19"/>
        <v>10</v>
      </c>
      <c r="N249">
        <f t="shared" si="20"/>
        <v>2025</v>
      </c>
      <c r="Q249" s="22">
        <v>422</v>
      </c>
      <c r="R249" s="22">
        <v>1788.96</v>
      </c>
      <c r="S249" s="22" t="str">
        <f t="shared" si="21"/>
        <v>EUR</v>
      </c>
      <c r="T249" s="22">
        <f>R249*_xlfn.XLOOKUP(S249,AG:AG,AI:AI)</f>
        <v>2075.1936000000001</v>
      </c>
      <c r="U249" s="22" t="s">
        <v>26</v>
      </c>
      <c r="W249" s="9">
        <v>219</v>
      </c>
      <c r="X249" s="9" t="s">
        <v>27</v>
      </c>
      <c r="Z249">
        <v>262</v>
      </c>
      <c r="AA249">
        <v>256188.56</v>
      </c>
      <c r="AB249" t="s">
        <v>29</v>
      </c>
      <c r="AD249" s="20">
        <v>45966</v>
      </c>
    </row>
    <row r="250" spans="1:30">
      <c r="A250">
        <v>263</v>
      </c>
      <c r="B250" t="str">
        <f>_xlfn.XLOOKUP(A250,Z:Z,AB:AB,"not found")</f>
        <v>MXN</v>
      </c>
      <c r="C250">
        <f>_xlfn.XLOOKUP(A250,Z:Z,AA:AA)-_xlfn.XLOOKUP(A250,Q:Q,R:R,"0")</f>
        <v>0</v>
      </c>
      <c r="D250">
        <f>C250*_xlfn.XLOOKUP(B250,AG:AG,AH:AH)</f>
        <v>0</v>
      </c>
      <c r="E250">
        <f>C250*_xlfn.XLOOKUP(B250,AG:AG,AI:AI)</f>
        <v>0</v>
      </c>
      <c r="F250">
        <v>465327.21</v>
      </c>
      <c r="G250">
        <f>F250*_xlfn.XLOOKUP(B250,AG:AG,AH:AH)</f>
        <v>22335.70608</v>
      </c>
      <c r="H250">
        <f>F250*_xlfn.XLOOKUP(B250,AG:AG,AI:AI)</f>
        <v>26058.323760000003</v>
      </c>
      <c r="I250">
        <f t="shared" si="17"/>
        <v>0</v>
      </c>
      <c r="J250">
        <f>I250*_xlfn.XLOOKUP(B250,AG:AG,AI:AI)</f>
        <v>0</v>
      </c>
      <c r="K250" s="7">
        <f>_xlfn.XLOOKUP(A250,Z:Z,AD:AD)</f>
        <v>45731</v>
      </c>
      <c r="L250" s="7">
        <f t="shared" si="18"/>
        <v>45701</v>
      </c>
      <c r="M250">
        <f t="shared" si="19"/>
        <v>2</v>
      </c>
      <c r="N250">
        <f t="shared" si="20"/>
        <v>2025</v>
      </c>
      <c r="Q250" s="22">
        <v>424</v>
      </c>
      <c r="R250" s="22">
        <v>130395.5</v>
      </c>
      <c r="S250" s="22" t="str">
        <f t="shared" si="21"/>
        <v>EUR</v>
      </c>
      <c r="T250" s="22">
        <f>R250*_xlfn.XLOOKUP(S250,AG:AG,AI:AI)</f>
        <v>151258.78</v>
      </c>
      <c r="U250" s="22" t="s">
        <v>26</v>
      </c>
      <c r="W250" s="9">
        <v>219</v>
      </c>
      <c r="X250" s="9" t="s">
        <v>27</v>
      </c>
      <c r="Z250">
        <v>263</v>
      </c>
      <c r="AA250">
        <v>465327.21</v>
      </c>
      <c r="AB250" t="s">
        <v>28</v>
      </c>
      <c r="AD250" s="20">
        <v>45731</v>
      </c>
    </row>
    <row r="251" spans="1:30">
      <c r="A251">
        <v>264</v>
      </c>
      <c r="B251" t="str">
        <f>_xlfn.XLOOKUP(A251,Z:Z,AB:AB,"not found")</f>
        <v>CHF</v>
      </c>
      <c r="C251">
        <f>_xlfn.XLOOKUP(A251,Z:Z,AA:AA)-_xlfn.XLOOKUP(A251,Q:Q,R:R,"0")</f>
        <v>0</v>
      </c>
      <c r="D251">
        <f>C251*_xlfn.XLOOKUP(B251,AG:AG,AH:AH)</f>
        <v>0</v>
      </c>
      <c r="E251">
        <f>C251*_xlfn.XLOOKUP(B251,AG:AG,AI:AI)</f>
        <v>0</v>
      </c>
      <c r="F251">
        <v>953.5</v>
      </c>
      <c r="G251">
        <f>F251*_xlfn.XLOOKUP(B251,AG:AG,AH:AH)</f>
        <v>1020.245</v>
      </c>
      <c r="H251">
        <f>F251*_xlfn.XLOOKUP(B251,AG:AG,AI:AI)</f>
        <v>1191.875</v>
      </c>
      <c r="I251">
        <f t="shared" si="17"/>
        <v>0</v>
      </c>
      <c r="J251">
        <f>I251*_xlfn.XLOOKUP(B251,AG:AG,AI:AI)</f>
        <v>0</v>
      </c>
      <c r="K251" s="7">
        <f>_xlfn.XLOOKUP(A251,Z:Z,AD:AD)</f>
        <v>45823</v>
      </c>
      <c r="L251" s="7">
        <f t="shared" si="18"/>
        <v>45793</v>
      </c>
      <c r="M251">
        <f t="shared" si="19"/>
        <v>5</v>
      </c>
      <c r="N251">
        <f t="shared" si="20"/>
        <v>2025</v>
      </c>
      <c r="Q251" s="22">
        <v>427</v>
      </c>
      <c r="R251" s="22">
        <v>27311.52</v>
      </c>
      <c r="S251" s="22" t="str">
        <f t="shared" si="21"/>
        <v>USD</v>
      </c>
      <c r="T251" s="22">
        <f>R251*_xlfn.XLOOKUP(S251,AG:AG,AI:AI)</f>
        <v>27311.52</v>
      </c>
      <c r="U251" s="22" t="s">
        <v>26</v>
      </c>
      <c r="W251" s="9">
        <v>219</v>
      </c>
      <c r="X251" s="9" t="s">
        <v>27</v>
      </c>
      <c r="Z251">
        <v>264</v>
      </c>
      <c r="AA251">
        <v>953.5</v>
      </c>
      <c r="AB251" t="s">
        <v>30</v>
      </c>
      <c r="AD251" s="20">
        <v>45823</v>
      </c>
    </row>
    <row r="252" spans="1:30">
      <c r="A252">
        <v>265</v>
      </c>
      <c r="B252" t="str">
        <f>_xlfn.XLOOKUP(A252,Z:Z,AB:AB,"not found")</f>
        <v>EUR</v>
      </c>
      <c r="C252">
        <f>_xlfn.XLOOKUP(A252,Z:Z,AA:AA)-_xlfn.XLOOKUP(A252,Q:Q,R:R,"0")</f>
        <v>256.52999999999997</v>
      </c>
      <c r="D252">
        <f>C252*_xlfn.XLOOKUP(B252,AG:AG,AH:AH)</f>
        <v>256.52999999999997</v>
      </c>
      <c r="E252">
        <f>C252*_xlfn.XLOOKUP(B252,AG:AG,AI:AI)</f>
        <v>297.57479999999993</v>
      </c>
      <c r="F252">
        <v>256.52999999999997</v>
      </c>
      <c r="G252">
        <f>F252*_xlfn.XLOOKUP(B252,AG:AG,AH:AH)</f>
        <v>256.52999999999997</v>
      </c>
      <c r="H252">
        <f>F252*_xlfn.XLOOKUP(B252,AG:AG,AI:AI)</f>
        <v>297.57479999999993</v>
      </c>
      <c r="I252">
        <f t="shared" si="17"/>
        <v>0</v>
      </c>
      <c r="J252">
        <f>I252*_xlfn.XLOOKUP(B252,AG:AG,AI:AI)</f>
        <v>0</v>
      </c>
      <c r="K252" s="7">
        <f>_xlfn.XLOOKUP(A252,Z:Z,AD:AD)</f>
        <v>45679</v>
      </c>
      <c r="L252" s="7">
        <f t="shared" si="18"/>
        <v>45649</v>
      </c>
      <c r="M252">
        <f t="shared" si="19"/>
        <v>12</v>
      </c>
      <c r="N252">
        <f t="shared" si="20"/>
        <v>2024</v>
      </c>
      <c r="Q252" s="22">
        <v>428</v>
      </c>
      <c r="R252" s="22">
        <v>637.96</v>
      </c>
      <c r="S252" s="22" t="str">
        <f t="shared" si="21"/>
        <v>EUR</v>
      </c>
      <c r="T252" s="22">
        <f>R252*_xlfn.XLOOKUP(S252,AG:AG,AI:AI)</f>
        <v>740.03359999999998</v>
      </c>
      <c r="U252" s="22" t="s">
        <v>26</v>
      </c>
      <c r="W252" s="9">
        <v>219</v>
      </c>
      <c r="X252" s="9" t="s">
        <v>27</v>
      </c>
      <c r="Z252">
        <v>265</v>
      </c>
      <c r="AA252">
        <v>256.52999999999997</v>
      </c>
      <c r="AB252" t="s">
        <v>27</v>
      </c>
      <c r="AD252" s="20">
        <v>45679</v>
      </c>
    </row>
    <row r="253" spans="1:30">
      <c r="A253">
        <v>266</v>
      </c>
      <c r="B253" t="str">
        <f>_xlfn.XLOOKUP(A253,Z:Z,AB:AB,"not found")</f>
        <v>USD</v>
      </c>
      <c r="C253">
        <f>_xlfn.XLOOKUP(A253,Z:Z,AA:AA)-_xlfn.XLOOKUP(A253,Q:Q,R:R,"0")</f>
        <v>0</v>
      </c>
      <c r="D253">
        <f>C253*_xlfn.XLOOKUP(B253,AG:AG,AH:AH)</f>
        <v>0</v>
      </c>
      <c r="E253">
        <f>C253*_xlfn.XLOOKUP(B253,AG:AG,AI:AI)</f>
        <v>0</v>
      </c>
      <c r="F253">
        <v>390</v>
      </c>
      <c r="G253">
        <f>F253*_xlfn.XLOOKUP(B253,AG:AG,AH:AH)</f>
        <v>335.4</v>
      </c>
      <c r="H253">
        <f>F253*_xlfn.XLOOKUP(B253,AG:AG,AI:AI)</f>
        <v>390</v>
      </c>
      <c r="I253">
        <f t="shared" si="17"/>
        <v>0</v>
      </c>
      <c r="J253">
        <f>I253*_xlfn.XLOOKUP(B253,AG:AG,AI:AI)</f>
        <v>0</v>
      </c>
      <c r="K253" s="7">
        <f>_xlfn.XLOOKUP(A253,Z:Z,AD:AD)</f>
        <v>45677</v>
      </c>
      <c r="L253" s="7">
        <f t="shared" si="18"/>
        <v>45647</v>
      </c>
      <c r="M253">
        <f t="shared" si="19"/>
        <v>12</v>
      </c>
      <c r="N253">
        <f t="shared" si="20"/>
        <v>2024</v>
      </c>
      <c r="Q253" s="22">
        <v>429</v>
      </c>
      <c r="R253" s="22">
        <v>18950.68</v>
      </c>
      <c r="S253" s="22" t="str">
        <f t="shared" si="21"/>
        <v>USD</v>
      </c>
      <c r="T253" s="22">
        <f>R253*_xlfn.XLOOKUP(S253,AG:AG,AI:AI)</f>
        <v>18950.68</v>
      </c>
      <c r="U253" s="22" t="s">
        <v>26</v>
      </c>
      <c r="W253" s="9">
        <v>220</v>
      </c>
      <c r="X253" s="9" t="s">
        <v>27</v>
      </c>
      <c r="Z253">
        <v>266</v>
      </c>
      <c r="AA253">
        <v>390</v>
      </c>
      <c r="AB253" t="s">
        <v>29</v>
      </c>
      <c r="AD253" s="20">
        <v>45677</v>
      </c>
    </row>
    <row r="254" spans="1:30">
      <c r="A254">
        <v>267</v>
      </c>
      <c r="B254" t="str">
        <f>_xlfn.XLOOKUP(A254,Z:Z,AB:AB,"not found")</f>
        <v>USD</v>
      </c>
      <c r="C254">
        <f>_xlfn.XLOOKUP(A254,Z:Z,AA:AA)-_xlfn.XLOOKUP(A254,Q:Q,R:R,"0")</f>
        <v>0</v>
      </c>
      <c r="D254">
        <f>C254*_xlfn.XLOOKUP(B254,AG:AG,AH:AH)</f>
        <v>0</v>
      </c>
      <c r="E254">
        <f>C254*_xlfn.XLOOKUP(B254,AG:AG,AI:AI)</f>
        <v>0</v>
      </c>
      <c r="F254">
        <v>926.6</v>
      </c>
      <c r="G254">
        <f>F254*_xlfn.XLOOKUP(B254,AG:AG,AH:AH)</f>
        <v>796.87599999999998</v>
      </c>
      <c r="H254">
        <f>F254*_xlfn.XLOOKUP(B254,AG:AG,AI:AI)</f>
        <v>926.6</v>
      </c>
      <c r="I254">
        <f t="shared" si="17"/>
        <v>0</v>
      </c>
      <c r="J254">
        <f>I254*_xlfn.XLOOKUP(B254,AG:AG,AI:AI)</f>
        <v>0</v>
      </c>
      <c r="K254" s="7">
        <f>_xlfn.XLOOKUP(A254,Z:Z,AD:AD)</f>
        <v>45742</v>
      </c>
      <c r="L254" s="7">
        <f t="shared" si="18"/>
        <v>45712</v>
      </c>
      <c r="M254">
        <f t="shared" si="19"/>
        <v>2</v>
      </c>
      <c r="N254">
        <f t="shared" si="20"/>
        <v>2025</v>
      </c>
      <c r="Q254" s="22">
        <v>431</v>
      </c>
      <c r="R254" s="22">
        <v>16325.56</v>
      </c>
      <c r="S254" s="22" t="str">
        <f t="shared" si="21"/>
        <v>USD</v>
      </c>
      <c r="T254" s="22">
        <f>R254*_xlfn.XLOOKUP(S254,AG:AG,AI:AI)</f>
        <v>16325.56</v>
      </c>
      <c r="U254" s="22" t="s">
        <v>26</v>
      </c>
      <c r="W254" s="9">
        <v>220</v>
      </c>
      <c r="X254" s="9" t="s">
        <v>27</v>
      </c>
      <c r="Z254">
        <v>267</v>
      </c>
      <c r="AA254">
        <v>926.6</v>
      </c>
      <c r="AB254" t="s">
        <v>29</v>
      </c>
      <c r="AD254" s="20">
        <v>45742</v>
      </c>
    </row>
    <row r="255" spans="1:30">
      <c r="A255">
        <v>268</v>
      </c>
      <c r="B255" t="str">
        <f>_xlfn.XLOOKUP(A255,Z:Z,AB:AB,"not found")</f>
        <v>USD</v>
      </c>
      <c r="C255">
        <f>_xlfn.XLOOKUP(A255,Z:Z,AA:AA)-_xlfn.XLOOKUP(A255,Q:Q,R:R,"0")</f>
        <v>0</v>
      </c>
      <c r="D255">
        <f>C255*_xlfn.XLOOKUP(B255,AG:AG,AH:AH)</f>
        <v>0</v>
      </c>
      <c r="E255">
        <f>C255*_xlfn.XLOOKUP(B255,AG:AG,AI:AI)</f>
        <v>0</v>
      </c>
      <c r="F255">
        <v>417</v>
      </c>
      <c r="G255">
        <f>F255*_xlfn.XLOOKUP(B255,AG:AG,AH:AH)</f>
        <v>358.62</v>
      </c>
      <c r="H255">
        <f>F255*_xlfn.XLOOKUP(B255,AG:AG,AI:AI)</f>
        <v>417</v>
      </c>
      <c r="I255">
        <f t="shared" si="17"/>
        <v>0</v>
      </c>
      <c r="J255">
        <f>I255*_xlfn.XLOOKUP(B255,AG:AG,AI:AI)</f>
        <v>0</v>
      </c>
      <c r="K255" s="7">
        <f>_xlfn.XLOOKUP(A255,Z:Z,AD:AD)</f>
        <v>45747</v>
      </c>
      <c r="L255" s="7">
        <f t="shared" si="18"/>
        <v>45717</v>
      </c>
      <c r="M255">
        <f t="shared" si="19"/>
        <v>3</v>
      </c>
      <c r="N255">
        <f t="shared" si="20"/>
        <v>2025</v>
      </c>
      <c r="Q255" s="22">
        <v>433</v>
      </c>
      <c r="R255" s="22">
        <v>10827</v>
      </c>
      <c r="S255" s="22" t="str">
        <f t="shared" si="21"/>
        <v>EUR</v>
      </c>
      <c r="T255" s="22">
        <f>R255*_xlfn.XLOOKUP(S255,AG:AG,AI:AI)</f>
        <v>12559.32</v>
      </c>
      <c r="U255" s="22" t="s">
        <v>26</v>
      </c>
      <c r="W255" s="9">
        <v>222</v>
      </c>
      <c r="X255" s="9" t="s">
        <v>29</v>
      </c>
      <c r="Z255">
        <v>268</v>
      </c>
      <c r="AA255">
        <v>417</v>
      </c>
      <c r="AB255" t="s">
        <v>29</v>
      </c>
      <c r="AD255" s="20">
        <v>45747</v>
      </c>
    </row>
    <row r="256" spans="1:30">
      <c r="A256">
        <v>269</v>
      </c>
      <c r="B256" t="str">
        <f>_xlfn.XLOOKUP(A256,Z:Z,AB:AB,"not found")</f>
        <v>USD</v>
      </c>
      <c r="C256">
        <f>_xlfn.XLOOKUP(A256,Z:Z,AA:AA)-_xlfn.XLOOKUP(A256,Q:Q,R:R,"0")</f>
        <v>0</v>
      </c>
      <c r="D256">
        <f>C256*_xlfn.XLOOKUP(B256,AG:AG,AH:AH)</f>
        <v>0</v>
      </c>
      <c r="E256">
        <f>C256*_xlfn.XLOOKUP(B256,AG:AG,AI:AI)</f>
        <v>0</v>
      </c>
      <c r="F256">
        <v>698</v>
      </c>
      <c r="G256">
        <f>F256*_xlfn.XLOOKUP(B256,AG:AG,AH:AH)</f>
        <v>600.28</v>
      </c>
      <c r="H256">
        <f>F256*_xlfn.XLOOKUP(B256,AG:AG,AI:AI)</f>
        <v>698</v>
      </c>
      <c r="I256">
        <f t="shared" si="17"/>
        <v>0</v>
      </c>
      <c r="J256">
        <f>I256*_xlfn.XLOOKUP(B256,AG:AG,AI:AI)</f>
        <v>0</v>
      </c>
      <c r="K256" s="7">
        <f>_xlfn.XLOOKUP(A256,Z:Z,AD:AD)</f>
        <v>45753</v>
      </c>
      <c r="L256" s="7">
        <f t="shared" si="18"/>
        <v>45723</v>
      </c>
      <c r="M256">
        <f t="shared" si="19"/>
        <v>3</v>
      </c>
      <c r="N256">
        <f t="shared" si="20"/>
        <v>2025</v>
      </c>
      <c r="Q256" s="22">
        <v>434</v>
      </c>
      <c r="R256" s="22">
        <v>1445</v>
      </c>
      <c r="S256" s="22" t="str">
        <f t="shared" si="21"/>
        <v>GPB</v>
      </c>
      <c r="T256" s="22">
        <f>R256*_xlfn.XLOOKUP(S256,AG:AG,AI:AI)</f>
        <v>1936.3000000000002</v>
      </c>
      <c r="U256" s="22" t="s">
        <v>26</v>
      </c>
      <c r="W256" s="9">
        <v>222</v>
      </c>
      <c r="X256" s="9" t="s">
        <v>29</v>
      </c>
      <c r="Z256">
        <v>269</v>
      </c>
      <c r="AA256">
        <v>698</v>
      </c>
      <c r="AB256" t="s">
        <v>29</v>
      </c>
      <c r="AD256" s="20">
        <v>45753</v>
      </c>
    </row>
    <row r="257" spans="1:30">
      <c r="A257">
        <v>270</v>
      </c>
      <c r="B257" t="str">
        <f>_xlfn.XLOOKUP(A257,Z:Z,AB:AB,"not found")</f>
        <v>USD</v>
      </c>
      <c r="C257">
        <f>_xlfn.XLOOKUP(A257,Z:Z,AA:AA)-_xlfn.XLOOKUP(A257,Q:Q,R:R,"0")</f>
        <v>0</v>
      </c>
      <c r="D257">
        <f>C257*_xlfn.XLOOKUP(B257,AG:AG,AH:AH)</f>
        <v>0</v>
      </c>
      <c r="E257">
        <f>C257*_xlfn.XLOOKUP(B257,AG:AG,AI:AI)</f>
        <v>0</v>
      </c>
      <c r="F257">
        <v>396.07</v>
      </c>
      <c r="G257">
        <f>F257*_xlfn.XLOOKUP(B257,AG:AG,AH:AH)</f>
        <v>340.62020000000001</v>
      </c>
      <c r="H257">
        <f>F257*_xlfn.XLOOKUP(B257,AG:AG,AI:AI)</f>
        <v>396.07</v>
      </c>
      <c r="I257">
        <f t="shared" si="17"/>
        <v>0</v>
      </c>
      <c r="J257">
        <f>I257*_xlfn.XLOOKUP(B257,AG:AG,AI:AI)</f>
        <v>0</v>
      </c>
      <c r="K257" s="7">
        <f>_xlfn.XLOOKUP(A257,Z:Z,AD:AD)</f>
        <v>45726</v>
      </c>
      <c r="L257" s="7">
        <f t="shared" si="18"/>
        <v>45696</v>
      </c>
      <c r="M257">
        <f t="shared" si="19"/>
        <v>2</v>
      </c>
      <c r="N257">
        <f t="shared" si="20"/>
        <v>2025</v>
      </c>
      <c r="Q257" s="22">
        <v>435</v>
      </c>
      <c r="R257" s="22">
        <v>47990.520000000004</v>
      </c>
      <c r="S257" s="22" t="str">
        <f t="shared" si="21"/>
        <v>USD</v>
      </c>
      <c r="T257" s="22">
        <f>R257*_xlfn.XLOOKUP(S257,AG:AG,AI:AI)</f>
        <v>47990.520000000004</v>
      </c>
      <c r="U257" s="22" t="s">
        <v>26</v>
      </c>
      <c r="W257" s="9">
        <v>222</v>
      </c>
      <c r="X257" s="9" t="s">
        <v>29</v>
      </c>
      <c r="Z257">
        <v>270</v>
      </c>
      <c r="AA257">
        <v>396.07</v>
      </c>
      <c r="AB257" t="s">
        <v>29</v>
      </c>
      <c r="AD257" s="20">
        <v>45726</v>
      </c>
    </row>
    <row r="258" spans="1:30">
      <c r="A258">
        <v>271</v>
      </c>
      <c r="B258" t="str">
        <f>_xlfn.XLOOKUP(A258,Z:Z,AB:AB,"not found")</f>
        <v>USD</v>
      </c>
      <c r="C258">
        <f>_xlfn.XLOOKUP(A258,Z:Z,AA:AA)-_xlfn.XLOOKUP(A258,Q:Q,R:R,"0")</f>
        <v>0</v>
      </c>
      <c r="D258">
        <f>C258*_xlfn.XLOOKUP(B258,AG:AG,AH:AH)</f>
        <v>0</v>
      </c>
      <c r="E258">
        <f>C258*_xlfn.XLOOKUP(B258,AG:AG,AI:AI)</f>
        <v>0</v>
      </c>
      <c r="F258">
        <v>1019.5</v>
      </c>
      <c r="G258">
        <f>F258*_xlfn.XLOOKUP(B258,AG:AG,AH:AH)</f>
        <v>876.77</v>
      </c>
      <c r="H258">
        <f>F258*_xlfn.XLOOKUP(B258,AG:AG,AI:AI)</f>
        <v>1019.5</v>
      </c>
      <c r="I258">
        <f t="shared" si="17"/>
        <v>0</v>
      </c>
      <c r="J258">
        <f>I258*_xlfn.XLOOKUP(B258,AG:AG,AI:AI)</f>
        <v>0</v>
      </c>
      <c r="K258" s="7">
        <f>_xlfn.XLOOKUP(A258,Z:Z,AD:AD)</f>
        <v>45761</v>
      </c>
      <c r="L258" s="7">
        <f t="shared" si="18"/>
        <v>45731</v>
      </c>
      <c r="M258">
        <f t="shared" si="19"/>
        <v>3</v>
      </c>
      <c r="N258">
        <f t="shared" si="20"/>
        <v>2025</v>
      </c>
      <c r="Q258" s="22">
        <v>436</v>
      </c>
      <c r="R258" s="22">
        <v>254334</v>
      </c>
      <c r="S258" s="22" t="str">
        <f t="shared" si="21"/>
        <v>MXN</v>
      </c>
      <c r="T258" s="22">
        <f>R258*_xlfn.XLOOKUP(S258,AG:AG,AI:AI)</f>
        <v>14242.704</v>
      </c>
      <c r="U258" s="22" t="s">
        <v>26</v>
      </c>
      <c r="W258" s="9">
        <v>222</v>
      </c>
      <c r="X258" s="9" t="s">
        <v>29</v>
      </c>
      <c r="Z258">
        <v>271</v>
      </c>
      <c r="AA258">
        <v>1019.5</v>
      </c>
      <c r="AB258" t="s">
        <v>29</v>
      </c>
      <c r="AD258" s="20">
        <v>45761</v>
      </c>
    </row>
    <row r="259" spans="1:30">
      <c r="A259">
        <v>273</v>
      </c>
      <c r="B259" t="str">
        <f>_xlfn.XLOOKUP(A259,Z:Z,AB:AB,"not found")</f>
        <v>EUR</v>
      </c>
      <c r="C259">
        <f>_xlfn.XLOOKUP(A259,Z:Z,AA:AA)-_xlfn.XLOOKUP(A259,Q:Q,R:R,"0")</f>
        <v>0</v>
      </c>
      <c r="D259">
        <f>C259*_xlfn.XLOOKUP(B259,AG:AG,AH:AH)</f>
        <v>0</v>
      </c>
      <c r="E259">
        <f>C259*_xlfn.XLOOKUP(B259,AG:AG,AI:AI)</f>
        <v>0</v>
      </c>
      <c r="F259">
        <v>3613.5</v>
      </c>
      <c r="G259">
        <f>F259*_xlfn.XLOOKUP(B259,AG:AG,AH:AH)</f>
        <v>3613.5</v>
      </c>
      <c r="H259">
        <f>F259*_xlfn.XLOOKUP(B259,AG:AG,AI:AI)</f>
        <v>4191.66</v>
      </c>
      <c r="I259">
        <f t="shared" ref="I259:I322" si="22">C259-F259+_xlfn.XLOOKUP(A259,Q:Q,R:R,"0")</f>
        <v>0</v>
      </c>
      <c r="J259">
        <f>I259*_xlfn.XLOOKUP(B259,AG:AG,AI:AI)</f>
        <v>0</v>
      </c>
      <c r="K259" s="7">
        <f>_xlfn.XLOOKUP(A259,Z:Z,AD:AD)</f>
        <v>45777</v>
      </c>
      <c r="L259" s="7">
        <f t="shared" ref="L259:L322" si="23">K259-30</f>
        <v>45747</v>
      </c>
      <c r="M259">
        <f t="shared" ref="M259:M322" si="24">MONTH(L259)</f>
        <v>3</v>
      </c>
      <c r="N259">
        <f t="shared" ref="N259:N322" si="25">YEAR(L259)</f>
        <v>2025</v>
      </c>
      <c r="Q259" s="22">
        <v>437</v>
      </c>
      <c r="R259" s="22">
        <v>137.51</v>
      </c>
      <c r="S259" s="22" t="str">
        <f t="shared" ref="S259:S322" si="26">_xlfn.XLOOKUP(Q259,W:W,X:X)</f>
        <v>EUR</v>
      </c>
      <c r="T259" s="22">
        <f>R259*_xlfn.XLOOKUP(S259,AG:AG,AI:AI)</f>
        <v>159.51159999999999</v>
      </c>
      <c r="U259" s="22" t="s">
        <v>26</v>
      </c>
      <c r="W259" s="9">
        <v>222</v>
      </c>
      <c r="X259" s="9" t="s">
        <v>29</v>
      </c>
      <c r="Z259">
        <v>273</v>
      </c>
      <c r="AA259">
        <v>3613.5</v>
      </c>
      <c r="AB259" t="s">
        <v>27</v>
      </c>
      <c r="AD259" s="20">
        <v>45777</v>
      </c>
    </row>
    <row r="260" spans="1:30">
      <c r="A260">
        <v>274</v>
      </c>
      <c r="B260" t="str">
        <f>_xlfn.XLOOKUP(A260,Z:Z,AB:AB,"not found")</f>
        <v>USD</v>
      </c>
      <c r="C260">
        <f>_xlfn.XLOOKUP(A260,Z:Z,AA:AA)-_xlfn.XLOOKUP(A260,Q:Q,R:R,"0")</f>
        <v>0</v>
      </c>
      <c r="D260">
        <f>C260*_xlfn.XLOOKUP(B260,AG:AG,AH:AH)</f>
        <v>0</v>
      </c>
      <c r="E260">
        <f>C260*_xlfn.XLOOKUP(B260,AG:AG,AI:AI)</f>
        <v>0</v>
      </c>
      <c r="F260">
        <v>555.49</v>
      </c>
      <c r="G260">
        <f>F260*_xlfn.XLOOKUP(B260,AG:AG,AH:AH)</f>
        <v>477.72140000000002</v>
      </c>
      <c r="H260">
        <f>F260*_xlfn.XLOOKUP(B260,AG:AG,AI:AI)</f>
        <v>555.49</v>
      </c>
      <c r="I260">
        <f t="shared" si="22"/>
        <v>0</v>
      </c>
      <c r="J260">
        <f>I260*_xlfn.XLOOKUP(B260,AG:AG,AI:AI)</f>
        <v>0</v>
      </c>
      <c r="K260" s="7">
        <f>_xlfn.XLOOKUP(A260,Z:Z,AD:AD)</f>
        <v>45737</v>
      </c>
      <c r="L260" s="7">
        <f t="shared" si="23"/>
        <v>45707</v>
      </c>
      <c r="M260">
        <f t="shared" si="24"/>
        <v>2</v>
      </c>
      <c r="N260">
        <f t="shared" si="25"/>
        <v>2025</v>
      </c>
      <c r="Q260" s="22">
        <v>440</v>
      </c>
      <c r="R260" s="22">
        <v>137673</v>
      </c>
      <c r="S260" s="22" t="str">
        <f t="shared" si="26"/>
        <v>MXN</v>
      </c>
      <c r="T260" s="22">
        <f>R260*_xlfn.XLOOKUP(S260,AG:AG,AI:AI)</f>
        <v>7709.6880000000001</v>
      </c>
      <c r="U260" s="22" t="s">
        <v>26</v>
      </c>
      <c r="W260" s="9">
        <v>222</v>
      </c>
      <c r="X260" s="9" t="s">
        <v>29</v>
      </c>
      <c r="Z260">
        <v>274</v>
      </c>
      <c r="AA260">
        <v>555.49</v>
      </c>
      <c r="AB260" t="s">
        <v>29</v>
      </c>
      <c r="AD260" s="20">
        <v>45737</v>
      </c>
    </row>
    <row r="261" spans="1:30">
      <c r="A261">
        <v>275</v>
      </c>
      <c r="B261" t="str">
        <f>_xlfn.XLOOKUP(A261,Z:Z,AB:AB,"not found")</f>
        <v>EUR</v>
      </c>
      <c r="C261">
        <f>_xlfn.XLOOKUP(A261,Z:Z,AA:AA)-_xlfn.XLOOKUP(A261,Q:Q,R:R,"0")</f>
        <v>0</v>
      </c>
      <c r="D261">
        <f>C261*_xlfn.XLOOKUP(B261,AG:AG,AH:AH)</f>
        <v>0</v>
      </c>
      <c r="E261">
        <f>C261*_xlfn.XLOOKUP(B261,AG:AG,AI:AI)</f>
        <v>0</v>
      </c>
      <c r="F261">
        <v>9724.7999999999993</v>
      </c>
      <c r="G261">
        <f>F261*_xlfn.XLOOKUP(B261,AG:AG,AH:AH)</f>
        <v>9724.7999999999993</v>
      </c>
      <c r="H261">
        <f>F261*_xlfn.XLOOKUP(B261,AG:AG,AI:AI)</f>
        <v>11280.767999999998</v>
      </c>
      <c r="I261">
        <f t="shared" si="22"/>
        <v>0</v>
      </c>
      <c r="J261">
        <f>I261*_xlfn.XLOOKUP(B261,AG:AG,AI:AI)</f>
        <v>0</v>
      </c>
      <c r="K261" s="7">
        <f>_xlfn.XLOOKUP(A261,Z:Z,AD:AD)</f>
        <v>45810</v>
      </c>
      <c r="L261" s="7">
        <f t="shared" si="23"/>
        <v>45780</v>
      </c>
      <c r="M261">
        <f t="shared" si="24"/>
        <v>5</v>
      </c>
      <c r="N261">
        <f t="shared" si="25"/>
        <v>2025</v>
      </c>
      <c r="Q261" s="22">
        <v>443</v>
      </c>
      <c r="R261" s="22">
        <v>38982</v>
      </c>
      <c r="S261" s="22" t="str">
        <f t="shared" si="26"/>
        <v>MXN</v>
      </c>
      <c r="T261" s="22">
        <f>R261*_xlfn.XLOOKUP(S261,AG:AG,AI:AI)</f>
        <v>2182.9920000000002</v>
      </c>
      <c r="U261" s="22" t="s">
        <v>26</v>
      </c>
      <c r="W261" s="9">
        <v>222</v>
      </c>
      <c r="X261" s="9" t="s">
        <v>29</v>
      </c>
      <c r="Z261">
        <v>275</v>
      </c>
      <c r="AA261">
        <v>9724.7999999999993</v>
      </c>
      <c r="AB261" t="s">
        <v>27</v>
      </c>
      <c r="AD261" s="20">
        <v>45810</v>
      </c>
    </row>
    <row r="262" spans="1:30">
      <c r="A262">
        <v>276</v>
      </c>
      <c r="B262" t="str">
        <f>_xlfn.XLOOKUP(A262,Z:Z,AB:AB,"not found")</f>
        <v>MXN</v>
      </c>
      <c r="C262">
        <f>_xlfn.XLOOKUP(A262,Z:Z,AA:AA)-_xlfn.XLOOKUP(A262,Q:Q,R:R,"0")</f>
        <v>0</v>
      </c>
      <c r="D262">
        <f>C262*_xlfn.XLOOKUP(B262,AG:AG,AH:AH)</f>
        <v>0</v>
      </c>
      <c r="E262">
        <f>C262*_xlfn.XLOOKUP(B262,AG:AG,AI:AI)</f>
        <v>0</v>
      </c>
      <c r="F262">
        <v>187114.16</v>
      </c>
      <c r="G262">
        <f>F262*_xlfn.XLOOKUP(B262,AG:AG,AH:AH)</f>
        <v>8981.4796800000004</v>
      </c>
      <c r="H262">
        <f>F262*_xlfn.XLOOKUP(B262,AG:AG,AI:AI)</f>
        <v>10478.392960000001</v>
      </c>
      <c r="I262">
        <f t="shared" si="22"/>
        <v>0</v>
      </c>
      <c r="J262">
        <f>I262*_xlfn.XLOOKUP(B262,AG:AG,AI:AI)</f>
        <v>0</v>
      </c>
      <c r="K262" s="7">
        <f>_xlfn.XLOOKUP(A262,Z:Z,AD:AD)</f>
        <v>45778</v>
      </c>
      <c r="L262" s="7">
        <f t="shared" si="23"/>
        <v>45748</v>
      </c>
      <c r="M262">
        <f t="shared" si="24"/>
        <v>4</v>
      </c>
      <c r="N262">
        <f t="shared" si="25"/>
        <v>2025</v>
      </c>
      <c r="Q262" s="22">
        <v>445</v>
      </c>
      <c r="R262" s="22">
        <v>16950.3</v>
      </c>
      <c r="S262" s="22" t="str">
        <f t="shared" si="26"/>
        <v>USD</v>
      </c>
      <c r="T262" s="22">
        <f>R262*_xlfn.XLOOKUP(S262,AG:AG,AI:AI)</f>
        <v>16950.3</v>
      </c>
      <c r="U262" s="22" t="s">
        <v>26</v>
      </c>
      <c r="W262" s="9">
        <v>226</v>
      </c>
      <c r="X262" s="9" t="s">
        <v>29</v>
      </c>
      <c r="Z262">
        <v>276</v>
      </c>
      <c r="AA262">
        <v>187114.16</v>
      </c>
      <c r="AB262" t="s">
        <v>28</v>
      </c>
      <c r="AD262" s="20">
        <v>45778</v>
      </c>
    </row>
    <row r="263" spans="1:30">
      <c r="A263">
        <v>278</v>
      </c>
      <c r="B263" t="str">
        <f>_xlfn.XLOOKUP(A263,Z:Z,AB:AB,"not found")</f>
        <v>USD</v>
      </c>
      <c r="C263">
        <f>_xlfn.XLOOKUP(A263,Z:Z,AA:AA)-_xlfn.XLOOKUP(A263,Q:Q,R:R,"0")</f>
        <v>13269.21</v>
      </c>
      <c r="D263">
        <f>C263*_xlfn.XLOOKUP(B263,AG:AG,AH:AH)</f>
        <v>11411.5206</v>
      </c>
      <c r="E263">
        <f>C263*_xlfn.XLOOKUP(B263,AG:AG,AI:AI)</f>
        <v>13269.21</v>
      </c>
      <c r="F263">
        <v>26971.21</v>
      </c>
      <c r="G263">
        <f>F263*_xlfn.XLOOKUP(B263,AG:AG,AH:AH)</f>
        <v>23195.240599999997</v>
      </c>
      <c r="H263">
        <f>F263*_xlfn.XLOOKUP(B263,AG:AG,AI:AI)</f>
        <v>26971.21</v>
      </c>
      <c r="I263">
        <f t="shared" si="22"/>
        <v>0</v>
      </c>
      <c r="J263">
        <f>I263*_xlfn.XLOOKUP(B263,AG:AG,AI:AI)</f>
        <v>0</v>
      </c>
      <c r="K263" s="7">
        <f>_xlfn.XLOOKUP(A263,Z:Z,AD:AD)</f>
        <v>45973</v>
      </c>
      <c r="L263" s="7">
        <f t="shared" si="23"/>
        <v>45943</v>
      </c>
      <c r="M263">
        <f t="shared" si="24"/>
        <v>10</v>
      </c>
      <c r="N263">
        <f t="shared" si="25"/>
        <v>2025</v>
      </c>
      <c r="Q263" s="22">
        <v>446</v>
      </c>
      <c r="R263" s="22">
        <v>20159.510000000002</v>
      </c>
      <c r="S263" s="22" t="str">
        <f t="shared" si="26"/>
        <v>USD</v>
      </c>
      <c r="T263" s="22">
        <f>R263*_xlfn.XLOOKUP(S263,AG:AG,AI:AI)</f>
        <v>20159.510000000002</v>
      </c>
      <c r="U263" s="22" t="s">
        <v>26</v>
      </c>
      <c r="W263" s="9">
        <v>227</v>
      </c>
      <c r="X263" s="9" t="s">
        <v>29</v>
      </c>
      <c r="Z263">
        <v>278</v>
      </c>
      <c r="AA263">
        <v>26971.21</v>
      </c>
      <c r="AB263" t="s">
        <v>29</v>
      </c>
      <c r="AD263" s="20">
        <v>45973</v>
      </c>
    </row>
    <row r="264" spans="1:30">
      <c r="A264">
        <v>279</v>
      </c>
      <c r="B264" t="str">
        <f>_xlfn.XLOOKUP(A264,Z:Z,AB:AB,"not found")</f>
        <v>USD</v>
      </c>
      <c r="C264">
        <f>_xlfn.XLOOKUP(A264,Z:Z,AA:AA)-_xlfn.XLOOKUP(A264,Q:Q,R:R,"0")</f>
        <v>13354.829999999994</v>
      </c>
      <c r="D264">
        <f>C264*_xlfn.XLOOKUP(B264,AG:AG,AH:AH)</f>
        <v>11485.153799999995</v>
      </c>
      <c r="E264">
        <f>C264*_xlfn.XLOOKUP(B264,AG:AG,AI:AI)</f>
        <v>13354.829999999994</v>
      </c>
      <c r="F264">
        <v>49554</v>
      </c>
      <c r="G264">
        <f>F264*_xlfn.XLOOKUP(B264,AG:AG,AH:AH)</f>
        <v>42616.44</v>
      </c>
      <c r="H264">
        <f>F264*_xlfn.XLOOKUP(B264,AG:AG,AI:AI)</f>
        <v>49554</v>
      </c>
      <c r="I264">
        <f t="shared" si="22"/>
        <v>0</v>
      </c>
      <c r="J264">
        <f>I264*_xlfn.XLOOKUP(B264,AG:AG,AI:AI)</f>
        <v>0</v>
      </c>
      <c r="K264" s="7">
        <f>_xlfn.XLOOKUP(A264,Z:Z,AD:AD)</f>
        <v>45799</v>
      </c>
      <c r="L264" s="7">
        <f t="shared" si="23"/>
        <v>45769</v>
      </c>
      <c r="M264">
        <f t="shared" si="24"/>
        <v>4</v>
      </c>
      <c r="N264">
        <f t="shared" si="25"/>
        <v>2025</v>
      </c>
      <c r="Q264" s="22">
        <v>447</v>
      </c>
      <c r="R264" s="22">
        <v>5244</v>
      </c>
      <c r="S264" s="22" t="str">
        <f t="shared" si="26"/>
        <v>USD</v>
      </c>
      <c r="T264" s="22">
        <f>R264*_xlfn.XLOOKUP(S264,AG:AG,AI:AI)</f>
        <v>5244</v>
      </c>
      <c r="U264" s="22" t="s">
        <v>26</v>
      </c>
      <c r="W264" s="9">
        <v>228</v>
      </c>
      <c r="X264" s="9" t="s">
        <v>29</v>
      </c>
      <c r="Z264">
        <v>279</v>
      </c>
      <c r="AA264">
        <v>49554</v>
      </c>
      <c r="AB264" t="s">
        <v>29</v>
      </c>
      <c r="AD264" s="20">
        <v>45799</v>
      </c>
    </row>
    <row r="265" spans="1:30">
      <c r="A265">
        <v>280</v>
      </c>
      <c r="B265" t="str">
        <f>_xlfn.XLOOKUP(A265,Z:Z,AB:AB,"not found")</f>
        <v>USD</v>
      </c>
      <c r="C265">
        <f>_xlfn.XLOOKUP(A265,Z:Z,AA:AA)-_xlfn.XLOOKUP(A265,Q:Q,R:R,"0")</f>
        <v>1049.83</v>
      </c>
      <c r="D265">
        <f>C265*_xlfn.XLOOKUP(B265,AG:AG,AH:AH)</f>
        <v>902.85379999999998</v>
      </c>
      <c r="E265">
        <f>C265*_xlfn.XLOOKUP(B265,AG:AG,AI:AI)</f>
        <v>1049.83</v>
      </c>
      <c r="F265">
        <v>1049.83</v>
      </c>
      <c r="G265">
        <f>F265*_xlfn.XLOOKUP(B265,AG:AG,AH:AH)</f>
        <v>902.85379999999998</v>
      </c>
      <c r="H265">
        <f>F265*_xlfn.XLOOKUP(B265,AG:AG,AI:AI)</f>
        <v>1049.83</v>
      </c>
      <c r="I265">
        <f t="shared" si="22"/>
        <v>0</v>
      </c>
      <c r="J265">
        <f>I265*_xlfn.XLOOKUP(B265,AG:AG,AI:AI)</f>
        <v>0</v>
      </c>
      <c r="K265" s="7">
        <f>_xlfn.XLOOKUP(A265,Z:Z,AD:AD)</f>
        <v>45782</v>
      </c>
      <c r="L265" s="7">
        <f t="shared" si="23"/>
        <v>45752</v>
      </c>
      <c r="M265">
        <f t="shared" si="24"/>
        <v>4</v>
      </c>
      <c r="N265">
        <f t="shared" si="25"/>
        <v>2025</v>
      </c>
      <c r="Q265" s="22">
        <v>448</v>
      </c>
      <c r="R265" s="22">
        <v>54867.25</v>
      </c>
      <c r="S265" s="22" t="str">
        <f t="shared" si="26"/>
        <v>USD</v>
      </c>
      <c r="T265" s="22">
        <f>R265*_xlfn.XLOOKUP(S265,AG:AG,AI:AI)</f>
        <v>54867.25</v>
      </c>
      <c r="U265" s="22" t="s">
        <v>26</v>
      </c>
      <c r="W265" s="9">
        <v>229</v>
      </c>
      <c r="X265" s="9" t="s">
        <v>29</v>
      </c>
      <c r="Z265">
        <v>280</v>
      </c>
      <c r="AA265">
        <v>1049.83</v>
      </c>
      <c r="AB265" t="s">
        <v>29</v>
      </c>
      <c r="AD265" s="20">
        <v>45782</v>
      </c>
    </row>
    <row r="266" spans="1:30">
      <c r="A266">
        <v>281</v>
      </c>
      <c r="B266" t="str">
        <f>_xlfn.XLOOKUP(A266,Z:Z,AB:AB,"not found")</f>
        <v>USD</v>
      </c>
      <c r="C266">
        <f>_xlfn.XLOOKUP(A266,Z:Z,AA:AA)-_xlfn.XLOOKUP(A266,Q:Q,R:R,"0")</f>
        <v>0</v>
      </c>
      <c r="D266">
        <f>C266*_xlfn.XLOOKUP(B266,AG:AG,AH:AH)</f>
        <v>0</v>
      </c>
      <c r="E266">
        <f>C266*_xlfn.XLOOKUP(B266,AG:AG,AI:AI)</f>
        <v>0</v>
      </c>
      <c r="F266">
        <v>4403.08</v>
      </c>
      <c r="G266">
        <f>F266*_xlfn.XLOOKUP(B266,AG:AG,AH:AH)</f>
        <v>3786.6487999999999</v>
      </c>
      <c r="H266">
        <f>F266*_xlfn.XLOOKUP(B266,AG:AG,AI:AI)</f>
        <v>4403.08</v>
      </c>
      <c r="I266">
        <f t="shared" si="22"/>
        <v>0</v>
      </c>
      <c r="J266">
        <f>I266*_xlfn.XLOOKUP(B266,AG:AG,AI:AI)</f>
        <v>0</v>
      </c>
      <c r="K266" s="7">
        <f>_xlfn.XLOOKUP(A266,Z:Z,AD:AD)</f>
        <v>45654</v>
      </c>
      <c r="L266" s="7">
        <f t="shared" si="23"/>
        <v>45624</v>
      </c>
      <c r="M266">
        <f t="shared" si="24"/>
        <v>11</v>
      </c>
      <c r="N266">
        <f t="shared" si="25"/>
        <v>2024</v>
      </c>
      <c r="Q266" s="22">
        <v>454</v>
      </c>
      <c r="R266" s="22">
        <v>36210</v>
      </c>
      <c r="S266" s="22" t="str">
        <f t="shared" si="26"/>
        <v>USD</v>
      </c>
      <c r="T266" s="22">
        <f>R266*_xlfn.XLOOKUP(S266,AG:AG,AI:AI)</f>
        <v>36210</v>
      </c>
      <c r="U266" s="22" t="s">
        <v>26</v>
      </c>
      <c r="W266" s="9">
        <v>229</v>
      </c>
      <c r="X266" s="9" t="s">
        <v>29</v>
      </c>
      <c r="Z266">
        <v>281</v>
      </c>
      <c r="AA266">
        <v>4403.08</v>
      </c>
      <c r="AB266" t="s">
        <v>29</v>
      </c>
      <c r="AD266" s="20">
        <v>45654</v>
      </c>
    </row>
    <row r="267" spans="1:30">
      <c r="A267">
        <v>282</v>
      </c>
      <c r="B267" t="str">
        <f>_xlfn.XLOOKUP(A267,Z:Z,AB:AB,"not found")</f>
        <v>USD</v>
      </c>
      <c r="C267">
        <f>_xlfn.XLOOKUP(A267,Z:Z,AA:AA)-_xlfn.XLOOKUP(A267,Q:Q,R:R,"0")</f>
        <v>22787.200000000001</v>
      </c>
      <c r="D267">
        <f>C267*_xlfn.XLOOKUP(B267,AG:AG,AH:AH)</f>
        <v>19596.992000000002</v>
      </c>
      <c r="E267">
        <f>C267*_xlfn.XLOOKUP(B267,AG:AG,AI:AI)</f>
        <v>22787.200000000001</v>
      </c>
      <c r="F267">
        <v>25993.7</v>
      </c>
      <c r="G267">
        <f>F267*_xlfn.XLOOKUP(B267,AG:AG,AH:AH)</f>
        <v>22354.581999999999</v>
      </c>
      <c r="H267">
        <f>F267*_xlfn.XLOOKUP(B267,AG:AG,AI:AI)</f>
        <v>25993.7</v>
      </c>
      <c r="I267">
        <f t="shared" si="22"/>
        <v>0</v>
      </c>
      <c r="J267">
        <f>I267*_xlfn.XLOOKUP(B267,AG:AG,AI:AI)</f>
        <v>0</v>
      </c>
      <c r="K267" s="7">
        <f>_xlfn.XLOOKUP(A267,Z:Z,AD:AD)</f>
        <v>45862</v>
      </c>
      <c r="L267" s="7">
        <f t="shared" si="23"/>
        <v>45832</v>
      </c>
      <c r="M267">
        <f t="shared" si="24"/>
        <v>6</v>
      </c>
      <c r="N267">
        <f t="shared" si="25"/>
        <v>2025</v>
      </c>
      <c r="Q267" s="22">
        <v>455</v>
      </c>
      <c r="R267" s="22">
        <v>1665</v>
      </c>
      <c r="S267" s="22" t="str">
        <f t="shared" si="26"/>
        <v>USD</v>
      </c>
      <c r="T267" s="22">
        <f>R267*_xlfn.XLOOKUP(S267,AG:AG,AI:AI)</f>
        <v>1665</v>
      </c>
      <c r="U267" s="22" t="s">
        <v>26</v>
      </c>
      <c r="W267" s="9">
        <v>229</v>
      </c>
      <c r="X267" s="9" t="s">
        <v>29</v>
      </c>
      <c r="Z267">
        <v>282</v>
      </c>
      <c r="AA267">
        <v>25993.7</v>
      </c>
      <c r="AB267" t="s">
        <v>29</v>
      </c>
      <c r="AD267" s="20">
        <v>45862</v>
      </c>
    </row>
    <row r="268" spans="1:30">
      <c r="A268">
        <v>283</v>
      </c>
      <c r="B268" t="str">
        <f>_xlfn.XLOOKUP(A268,Z:Z,AB:AB,"not found")</f>
        <v>USD</v>
      </c>
      <c r="C268">
        <f>_xlfn.XLOOKUP(A268,Z:Z,AA:AA)-_xlfn.XLOOKUP(A268,Q:Q,R:R,"0")</f>
        <v>0</v>
      </c>
      <c r="D268">
        <f>C268*_xlfn.XLOOKUP(B268,AG:AG,AH:AH)</f>
        <v>0</v>
      </c>
      <c r="E268">
        <f>C268*_xlfn.XLOOKUP(B268,AG:AG,AI:AI)</f>
        <v>0</v>
      </c>
      <c r="F268">
        <v>3108</v>
      </c>
      <c r="G268">
        <f>F268*_xlfn.XLOOKUP(B268,AG:AG,AH:AH)</f>
        <v>2672.88</v>
      </c>
      <c r="H268">
        <f>F268*_xlfn.XLOOKUP(B268,AG:AG,AI:AI)</f>
        <v>3108</v>
      </c>
      <c r="I268">
        <f t="shared" si="22"/>
        <v>0</v>
      </c>
      <c r="J268">
        <f>I268*_xlfn.XLOOKUP(B268,AG:AG,AI:AI)</f>
        <v>0</v>
      </c>
      <c r="K268" s="7">
        <f>_xlfn.XLOOKUP(A268,Z:Z,AD:AD)</f>
        <v>45645</v>
      </c>
      <c r="L268" s="7">
        <f t="shared" si="23"/>
        <v>45615</v>
      </c>
      <c r="M268">
        <f t="shared" si="24"/>
        <v>11</v>
      </c>
      <c r="N268">
        <f t="shared" si="25"/>
        <v>2024</v>
      </c>
      <c r="Q268" s="22">
        <v>456</v>
      </c>
      <c r="R268" s="22">
        <v>1205</v>
      </c>
      <c r="S268" s="22" t="str">
        <f t="shared" si="26"/>
        <v>USD</v>
      </c>
      <c r="T268" s="22">
        <f>R268*_xlfn.XLOOKUP(S268,AG:AG,AI:AI)</f>
        <v>1205</v>
      </c>
      <c r="U268" s="22" t="s">
        <v>26</v>
      </c>
      <c r="W268" s="9">
        <v>229</v>
      </c>
      <c r="X268" s="9" t="s">
        <v>29</v>
      </c>
      <c r="Z268">
        <v>283</v>
      </c>
      <c r="AA268">
        <v>3108</v>
      </c>
      <c r="AB268" t="s">
        <v>29</v>
      </c>
      <c r="AD268" s="20">
        <v>45645</v>
      </c>
    </row>
    <row r="269" spans="1:30">
      <c r="A269">
        <v>284</v>
      </c>
      <c r="B269" t="str">
        <f>_xlfn.XLOOKUP(A269,Z:Z,AB:AB,"not found")</f>
        <v>USD</v>
      </c>
      <c r="C269">
        <f>_xlfn.XLOOKUP(A269,Z:Z,AA:AA)-_xlfn.XLOOKUP(A269,Q:Q,R:R,"0")</f>
        <v>0</v>
      </c>
      <c r="D269">
        <f>C269*_xlfn.XLOOKUP(B269,AG:AG,AH:AH)</f>
        <v>0</v>
      </c>
      <c r="E269">
        <f>C269*_xlfn.XLOOKUP(B269,AG:AG,AI:AI)</f>
        <v>0</v>
      </c>
      <c r="F269">
        <v>19328.54</v>
      </c>
      <c r="G269">
        <f>F269*_xlfn.XLOOKUP(B269,AG:AG,AH:AH)</f>
        <v>16622.544399999999</v>
      </c>
      <c r="H269">
        <f>F269*_xlfn.XLOOKUP(B269,AG:AG,AI:AI)</f>
        <v>19328.54</v>
      </c>
      <c r="I269">
        <f t="shared" si="22"/>
        <v>0</v>
      </c>
      <c r="J269">
        <f>I269*_xlfn.XLOOKUP(B269,AG:AG,AI:AI)</f>
        <v>0</v>
      </c>
      <c r="K269" s="7">
        <f>_xlfn.XLOOKUP(A269,Z:Z,AD:AD)</f>
        <v>45654</v>
      </c>
      <c r="L269" s="7">
        <f t="shared" si="23"/>
        <v>45624</v>
      </c>
      <c r="M269">
        <f t="shared" si="24"/>
        <v>11</v>
      </c>
      <c r="N269">
        <f t="shared" si="25"/>
        <v>2024</v>
      </c>
      <c r="Q269" s="22">
        <v>457</v>
      </c>
      <c r="R269" s="22">
        <v>780</v>
      </c>
      <c r="S269" s="22" t="str">
        <f t="shared" si="26"/>
        <v>USD</v>
      </c>
      <c r="T269" s="22">
        <f>R269*_xlfn.XLOOKUP(S269,AG:AG,AI:AI)</f>
        <v>780</v>
      </c>
      <c r="U269" s="22" t="s">
        <v>26</v>
      </c>
      <c r="W269" s="9">
        <v>229</v>
      </c>
      <c r="X269" s="9" t="s">
        <v>29</v>
      </c>
      <c r="Z269">
        <v>284</v>
      </c>
      <c r="AA269">
        <v>19328.54</v>
      </c>
      <c r="AB269" t="s">
        <v>29</v>
      </c>
      <c r="AD269" s="20">
        <v>45654</v>
      </c>
    </row>
    <row r="270" spans="1:30">
      <c r="A270">
        <v>285</v>
      </c>
      <c r="B270" t="str">
        <f>_xlfn.XLOOKUP(A270,Z:Z,AB:AB,"not found")</f>
        <v>USD</v>
      </c>
      <c r="C270">
        <f>_xlfn.XLOOKUP(A270,Z:Z,AA:AA)-_xlfn.XLOOKUP(A270,Q:Q,R:R,"0")</f>
        <v>0</v>
      </c>
      <c r="D270">
        <f>C270*_xlfn.XLOOKUP(B270,AG:AG,AH:AH)</f>
        <v>0</v>
      </c>
      <c r="E270">
        <f>C270*_xlfn.XLOOKUP(B270,AG:AG,AI:AI)</f>
        <v>0</v>
      </c>
      <c r="F270">
        <v>4276.47</v>
      </c>
      <c r="G270">
        <f>F270*_xlfn.XLOOKUP(B270,AG:AG,AH:AH)</f>
        <v>3677.7642000000001</v>
      </c>
      <c r="H270">
        <f>F270*_xlfn.XLOOKUP(B270,AG:AG,AI:AI)</f>
        <v>4276.47</v>
      </c>
      <c r="I270">
        <f t="shared" si="22"/>
        <v>0</v>
      </c>
      <c r="J270">
        <f>I270*_xlfn.XLOOKUP(B270,AG:AG,AI:AI)</f>
        <v>0</v>
      </c>
      <c r="K270" s="7">
        <f>_xlfn.XLOOKUP(A270,Z:Z,AD:AD)</f>
        <v>45654</v>
      </c>
      <c r="L270" s="7">
        <f t="shared" si="23"/>
        <v>45624</v>
      </c>
      <c r="M270">
        <f t="shared" si="24"/>
        <v>11</v>
      </c>
      <c r="N270">
        <f t="shared" si="25"/>
        <v>2024</v>
      </c>
      <c r="Q270" s="22">
        <v>458</v>
      </c>
      <c r="R270" s="22">
        <v>1465</v>
      </c>
      <c r="S270" s="22" t="str">
        <f t="shared" si="26"/>
        <v>USD</v>
      </c>
      <c r="T270" s="22">
        <f>R270*_xlfn.XLOOKUP(S270,AG:AG,AI:AI)</f>
        <v>1465</v>
      </c>
      <c r="U270" s="22" t="s">
        <v>26</v>
      </c>
      <c r="W270" s="9">
        <v>229</v>
      </c>
      <c r="X270" s="9" t="s">
        <v>29</v>
      </c>
      <c r="Z270">
        <v>285</v>
      </c>
      <c r="AA270">
        <v>4276.47</v>
      </c>
      <c r="AB270" t="s">
        <v>29</v>
      </c>
      <c r="AD270" s="20">
        <v>45654</v>
      </c>
    </row>
    <row r="271" spans="1:30">
      <c r="A271">
        <v>286</v>
      </c>
      <c r="B271" t="str">
        <f>_xlfn.XLOOKUP(A271,Z:Z,AB:AB,"not found")</f>
        <v>USD</v>
      </c>
      <c r="C271">
        <f>_xlfn.XLOOKUP(A271,Z:Z,AA:AA)-_xlfn.XLOOKUP(A271,Q:Q,R:R,"0")</f>
        <v>0</v>
      </c>
      <c r="D271">
        <f>C271*_xlfn.XLOOKUP(B271,AG:AG,AH:AH)</f>
        <v>0</v>
      </c>
      <c r="E271">
        <f>C271*_xlfn.XLOOKUP(B271,AG:AG,AI:AI)</f>
        <v>0</v>
      </c>
      <c r="F271">
        <v>2297.91</v>
      </c>
      <c r="G271">
        <f>F271*_xlfn.XLOOKUP(B271,AG:AG,AH:AH)</f>
        <v>1976.2025999999998</v>
      </c>
      <c r="H271">
        <f>F271*_xlfn.XLOOKUP(B271,AG:AG,AI:AI)</f>
        <v>2297.91</v>
      </c>
      <c r="I271">
        <f t="shared" si="22"/>
        <v>0</v>
      </c>
      <c r="J271">
        <f>I271*_xlfn.XLOOKUP(B271,AG:AG,AI:AI)</f>
        <v>0</v>
      </c>
      <c r="K271" s="7">
        <f>_xlfn.XLOOKUP(A271,Z:Z,AD:AD)</f>
        <v>45668</v>
      </c>
      <c r="L271" s="7">
        <f t="shared" si="23"/>
        <v>45638</v>
      </c>
      <c r="M271">
        <f t="shared" si="24"/>
        <v>12</v>
      </c>
      <c r="N271">
        <f t="shared" si="25"/>
        <v>2024</v>
      </c>
      <c r="Q271" s="22">
        <v>459</v>
      </c>
      <c r="R271" s="22">
        <v>305</v>
      </c>
      <c r="S271" s="22" t="str">
        <f t="shared" si="26"/>
        <v>USD</v>
      </c>
      <c r="T271" s="22">
        <f>R271*_xlfn.XLOOKUP(S271,AG:AG,AI:AI)</f>
        <v>305</v>
      </c>
      <c r="U271" s="22" t="s">
        <v>26</v>
      </c>
      <c r="W271" s="9">
        <v>229</v>
      </c>
      <c r="X271" s="9" t="s">
        <v>29</v>
      </c>
      <c r="Z271">
        <v>286</v>
      </c>
      <c r="AA271">
        <v>2297.91</v>
      </c>
      <c r="AB271" t="s">
        <v>29</v>
      </c>
      <c r="AD271" s="20">
        <v>45668</v>
      </c>
    </row>
    <row r="272" spans="1:30">
      <c r="A272">
        <v>287</v>
      </c>
      <c r="B272" t="str">
        <f>_xlfn.XLOOKUP(A272,Z:Z,AB:AB,"not found")</f>
        <v>EUR</v>
      </c>
      <c r="C272">
        <f>_xlfn.XLOOKUP(A272,Z:Z,AA:AA)-_xlfn.XLOOKUP(A272,Q:Q,R:R,"0")</f>
        <v>0</v>
      </c>
      <c r="D272">
        <f>C272*_xlfn.XLOOKUP(B272,AG:AG,AH:AH)</f>
        <v>0</v>
      </c>
      <c r="E272">
        <f>C272*_xlfn.XLOOKUP(B272,AG:AG,AI:AI)</f>
        <v>0</v>
      </c>
      <c r="F272">
        <v>3806.23</v>
      </c>
      <c r="G272">
        <f>F272*_xlfn.XLOOKUP(B272,AG:AG,AH:AH)</f>
        <v>3806.23</v>
      </c>
      <c r="H272">
        <f>F272*_xlfn.XLOOKUP(B272,AG:AG,AI:AI)</f>
        <v>4415.2267999999995</v>
      </c>
      <c r="I272">
        <f t="shared" si="22"/>
        <v>0</v>
      </c>
      <c r="J272">
        <f>I272*_xlfn.XLOOKUP(B272,AG:AG,AI:AI)</f>
        <v>0</v>
      </c>
      <c r="K272" s="7">
        <f>_xlfn.XLOOKUP(A272,Z:Z,AD:AD)</f>
        <v>45833</v>
      </c>
      <c r="L272" s="7">
        <f t="shared" si="23"/>
        <v>45803</v>
      </c>
      <c r="M272">
        <f t="shared" si="24"/>
        <v>5</v>
      </c>
      <c r="N272">
        <f t="shared" si="25"/>
        <v>2025</v>
      </c>
      <c r="Q272" s="22">
        <v>460</v>
      </c>
      <c r="R272" s="22">
        <v>2832</v>
      </c>
      <c r="S272" s="22" t="str">
        <f t="shared" si="26"/>
        <v>USD</v>
      </c>
      <c r="T272" s="22">
        <f>R272*_xlfn.XLOOKUP(S272,AG:AG,AI:AI)</f>
        <v>2832</v>
      </c>
      <c r="U272" s="22" t="s">
        <v>26</v>
      </c>
      <c r="W272" s="9">
        <v>232</v>
      </c>
      <c r="X272" s="9" t="s">
        <v>28</v>
      </c>
      <c r="Z272">
        <v>287</v>
      </c>
      <c r="AA272">
        <v>3806.23</v>
      </c>
      <c r="AB272" t="s">
        <v>27</v>
      </c>
      <c r="AD272" s="20">
        <v>45833</v>
      </c>
    </row>
    <row r="273" spans="1:30">
      <c r="A273">
        <v>288</v>
      </c>
      <c r="B273" t="str">
        <f>_xlfn.XLOOKUP(A273,Z:Z,AB:AB,"not found")</f>
        <v>USD</v>
      </c>
      <c r="C273">
        <f>_xlfn.XLOOKUP(A273,Z:Z,AA:AA)-_xlfn.XLOOKUP(A273,Q:Q,R:R,"0")</f>
        <v>12504.560000000001</v>
      </c>
      <c r="D273">
        <f>C273*_xlfn.XLOOKUP(B273,AG:AG,AH:AH)</f>
        <v>10753.921600000001</v>
      </c>
      <c r="E273">
        <f>C273*_xlfn.XLOOKUP(B273,AG:AG,AI:AI)</f>
        <v>12504.560000000001</v>
      </c>
      <c r="F273">
        <v>36285.839999999997</v>
      </c>
      <c r="G273">
        <f>F273*_xlfn.XLOOKUP(B273,AG:AG,AH:AH)</f>
        <v>31205.822399999997</v>
      </c>
      <c r="H273">
        <f>F273*_xlfn.XLOOKUP(B273,AG:AG,AI:AI)</f>
        <v>36285.839999999997</v>
      </c>
      <c r="I273">
        <f t="shared" si="22"/>
        <v>0</v>
      </c>
      <c r="J273">
        <f>I273*_xlfn.XLOOKUP(B273,AG:AG,AI:AI)</f>
        <v>0</v>
      </c>
      <c r="K273" s="7">
        <f>_xlfn.XLOOKUP(A273,Z:Z,AD:AD)</f>
        <v>45837</v>
      </c>
      <c r="L273" s="7">
        <f t="shared" si="23"/>
        <v>45807</v>
      </c>
      <c r="M273">
        <f t="shared" si="24"/>
        <v>5</v>
      </c>
      <c r="N273">
        <f t="shared" si="25"/>
        <v>2025</v>
      </c>
      <c r="Q273" s="22">
        <v>461</v>
      </c>
      <c r="R273" s="22">
        <v>10222</v>
      </c>
      <c r="S273" s="22" t="str">
        <f t="shared" si="26"/>
        <v>MXN</v>
      </c>
      <c r="T273" s="22">
        <f>R273*_xlfn.XLOOKUP(S273,AG:AG,AI:AI)</f>
        <v>572.43200000000002</v>
      </c>
      <c r="U273" s="22" t="s">
        <v>26</v>
      </c>
      <c r="W273" s="9">
        <v>235</v>
      </c>
      <c r="X273" s="9" t="s">
        <v>29</v>
      </c>
      <c r="Z273">
        <v>288</v>
      </c>
      <c r="AA273">
        <v>36285.839999999997</v>
      </c>
      <c r="AB273" t="s">
        <v>29</v>
      </c>
      <c r="AD273" s="20">
        <v>45837</v>
      </c>
    </row>
    <row r="274" spans="1:30">
      <c r="A274">
        <v>289</v>
      </c>
      <c r="B274" t="str">
        <f>_xlfn.XLOOKUP(A274,Z:Z,AB:AB,"not found")</f>
        <v>USD</v>
      </c>
      <c r="C274">
        <f>_xlfn.XLOOKUP(A274,Z:Z,AA:AA)-_xlfn.XLOOKUP(A274,Q:Q,R:R,"0")</f>
        <v>2084.27</v>
      </c>
      <c r="D274">
        <f>C274*_xlfn.XLOOKUP(B274,AG:AG,AH:AH)</f>
        <v>1792.4721999999999</v>
      </c>
      <c r="E274">
        <f>C274*_xlfn.XLOOKUP(B274,AG:AG,AI:AI)</f>
        <v>2084.27</v>
      </c>
      <c r="F274">
        <v>2084.27</v>
      </c>
      <c r="G274">
        <f>F274*_xlfn.XLOOKUP(B274,AG:AG,AH:AH)</f>
        <v>1792.4721999999999</v>
      </c>
      <c r="H274">
        <f>F274*_xlfn.XLOOKUP(B274,AG:AG,AI:AI)</f>
        <v>2084.27</v>
      </c>
      <c r="I274">
        <f t="shared" si="22"/>
        <v>0</v>
      </c>
      <c r="J274">
        <f>I274*_xlfn.XLOOKUP(B274,AG:AG,AI:AI)</f>
        <v>0</v>
      </c>
      <c r="K274" s="7">
        <f>_xlfn.XLOOKUP(A274,Z:Z,AD:AD)</f>
        <v>45791</v>
      </c>
      <c r="L274" s="7">
        <f t="shared" si="23"/>
        <v>45761</v>
      </c>
      <c r="M274">
        <f t="shared" si="24"/>
        <v>4</v>
      </c>
      <c r="N274">
        <f t="shared" si="25"/>
        <v>2025</v>
      </c>
      <c r="Q274" s="22">
        <v>462</v>
      </c>
      <c r="R274" s="22">
        <v>10786</v>
      </c>
      <c r="S274" s="22" t="str">
        <f t="shared" si="26"/>
        <v>USD</v>
      </c>
      <c r="T274" s="22">
        <f>R274*_xlfn.XLOOKUP(S274,AG:AG,AI:AI)</f>
        <v>10786</v>
      </c>
      <c r="U274" s="22" t="s">
        <v>26</v>
      </c>
      <c r="W274" s="9">
        <v>235</v>
      </c>
      <c r="X274" s="9" t="s">
        <v>29</v>
      </c>
      <c r="Z274">
        <v>289</v>
      </c>
      <c r="AA274">
        <v>2084.27</v>
      </c>
      <c r="AB274" t="s">
        <v>29</v>
      </c>
      <c r="AD274" s="20">
        <v>45791</v>
      </c>
    </row>
    <row r="275" spans="1:30">
      <c r="A275">
        <v>290</v>
      </c>
      <c r="B275" t="str">
        <f>_xlfn.XLOOKUP(A275,Z:Z,AB:AB,"not found")</f>
        <v>USD</v>
      </c>
      <c r="C275">
        <f>_xlfn.XLOOKUP(A275,Z:Z,AA:AA)-_xlfn.XLOOKUP(A275,Q:Q,R:R,"0")</f>
        <v>2670</v>
      </c>
      <c r="D275">
        <f>C275*_xlfn.XLOOKUP(B275,AG:AG,AH:AH)</f>
        <v>2296.1999999999998</v>
      </c>
      <c r="E275">
        <f>C275*_xlfn.XLOOKUP(B275,AG:AG,AI:AI)</f>
        <v>2670</v>
      </c>
      <c r="F275">
        <v>2670</v>
      </c>
      <c r="G275">
        <f>F275*_xlfn.XLOOKUP(B275,AG:AG,AH:AH)</f>
        <v>2296.1999999999998</v>
      </c>
      <c r="H275">
        <f>F275*_xlfn.XLOOKUP(B275,AG:AG,AI:AI)</f>
        <v>2670</v>
      </c>
      <c r="I275">
        <f t="shared" si="22"/>
        <v>0</v>
      </c>
      <c r="J275">
        <f>I275*_xlfn.XLOOKUP(B275,AG:AG,AI:AI)</f>
        <v>0</v>
      </c>
      <c r="K275" s="7">
        <f>_xlfn.XLOOKUP(A275,Z:Z,AD:AD)</f>
        <v>45793</v>
      </c>
      <c r="L275" s="7">
        <f t="shared" si="23"/>
        <v>45763</v>
      </c>
      <c r="M275">
        <f t="shared" si="24"/>
        <v>4</v>
      </c>
      <c r="N275">
        <f t="shared" si="25"/>
        <v>2025</v>
      </c>
      <c r="Q275" s="22">
        <v>463</v>
      </c>
      <c r="R275" s="22">
        <v>34866</v>
      </c>
      <c r="S275" s="22" t="str">
        <f t="shared" si="26"/>
        <v>MXN</v>
      </c>
      <c r="T275" s="22">
        <f>R275*_xlfn.XLOOKUP(S275,AG:AG,AI:AI)</f>
        <v>1952.4960000000001</v>
      </c>
      <c r="U275" s="22" t="s">
        <v>26</v>
      </c>
      <c r="W275" s="9">
        <v>236</v>
      </c>
      <c r="X275" s="9" t="s">
        <v>29</v>
      </c>
      <c r="Z275">
        <v>290</v>
      </c>
      <c r="AA275">
        <v>2670</v>
      </c>
      <c r="AB275" t="s">
        <v>29</v>
      </c>
      <c r="AD275" s="20">
        <v>45793</v>
      </c>
    </row>
    <row r="276" spans="1:30">
      <c r="A276">
        <v>291</v>
      </c>
      <c r="B276" t="str">
        <f>_xlfn.XLOOKUP(A276,Z:Z,AB:AB,"not found")</f>
        <v>MXN</v>
      </c>
      <c r="C276">
        <f>_xlfn.XLOOKUP(A276,Z:Z,AA:AA)-_xlfn.XLOOKUP(A276,Q:Q,R:R,"0")</f>
        <v>43519</v>
      </c>
      <c r="D276">
        <f>C276*_xlfn.XLOOKUP(B276,AG:AG,AH:AH)</f>
        <v>2088.9120000000003</v>
      </c>
      <c r="E276">
        <f>C276*_xlfn.XLOOKUP(B276,AG:AG,AI:AI)</f>
        <v>2437.0639999999999</v>
      </c>
      <c r="F276">
        <v>43519</v>
      </c>
      <c r="G276">
        <f>F276*_xlfn.XLOOKUP(B276,AG:AG,AH:AH)</f>
        <v>2088.9120000000003</v>
      </c>
      <c r="H276">
        <f>F276*_xlfn.XLOOKUP(B276,AG:AG,AI:AI)</f>
        <v>2437.0639999999999</v>
      </c>
      <c r="I276">
        <f t="shared" si="22"/>
        <v>0</v>
      </c>
      <c r="J276">
        <f>I276*_xlfn.XLOOKUP(B276,AG:AG,AI:AI)</f>
        <v>0</v>
      </c>
      <c r="K276" s="7">
        <f>_xlfn.XLOOKUP(A276,Z:Z,AD:AD)</f>
        <v>45811</v>
      </c>
      <c r="L276" s="7">
        <f t="shared" si="23"/>
        <v>45781</v>
      </c>
      <c r="M276">
        <f t="shared" si="24"/>
        <v>5</v>
      </c>
      <c r="N276">
        <f t="shared" si="25"/>
        <v>2025</v>
      </c>
      <c r="Q276" s="22">
        <v>464</v>
      </c>
      <c r="R276" s="22">
        <v>2267.5</v>
      </c>
      <c r="S276" s="22" t="str">
        <f t="shared" si="26"/>
        <v>USD</v>
      </c>
      <c r="T276" s="22">
        <f>R276*_xlfn.XLOOKUP(S276,AG:AG,AI:AI)</f>
        <v>2267.5</v>
      </c>
      <c r="U276" s="22" t="s">
        <v>26</v>
      </c>
      <c r="W276" s="9">
        <v>236</v>
      </c>
      <c r="X276" s="9" t="s">
        <v>29</v>
      </c>
      <c r="Z276">
        <v>291</v>
      </c>
      <c r="AA276">
        <v>43519</v>
      </c>
      <c r="AB276" t="s">
        <v>28</v>
      </c>
      <c r="AD276" s="20">
        <v>45811</v>
      </c>
    </row>
    <row r="277" spans="1:30">
      <c r="A277">
        <v>292</v>
      </c>
      <c r="B277" t="str">
        <f>_xlfn.XLOOKUP(A277,Z:Z,AB:AB,"not found")</f>
        <v>EUR</v>
      </c>
      <c r="C277">
        <f>_xlfn.XLOOKUP(A277,Z:Z,AA:AA)-_xlfn.XLOOKUP(A277,Q:Q,R:R,"0")</f>
        <v>4613.6000000000004</v>
      </c>
      <c r="D277">
        <f>C277*_xlfn.XLOOKUP(B277,AG:AG,AH:AH)</f>
        <v>4613.6000000000004</v>
      </c>
      <c r="E277">
        <f>C277*_xlfn.XLOOKUP(B277,AG:AG,AI:AI)</f>
        <v>5351.7759999999998</v>
      </c>
      <c r="F277">
        <v>12113.6</v>
      </c>
      <c r="G277">
        <f>F277*_xlfn.XLOOKUP(B277,AG:AG,AH:AH)</f>
        <v>12113.6</v>
      </c>
      <c r="H277">
        <f>F277*_xlfn.XLOOKUP(B277,AG:AG,AI:AI)</f>
        <v>14051.776</v>
      </c>
      <c r="I277">
        <f t="shared" si="22"/>
        <v>0</v>
      </c>
      <c r="J277">
        <f>I277*_xlfn.XLOOKUP(B277,AG:AG,AI:AI)</f>
        <v>0</v>
      </c>
      <c r="K277" s="7">
        <f>_xlfn.XLOOKUP(A277,Z:Z,AD:AD)</f>
        <v>45769</v>
      </c>
      <c r="L277" s="7">
        <f t="shared" si="23"/>
        <v>45739</v>
      </c>
      <c r="M277">
        <f t="shared" si="24"/>
        <v>3</v>
      </c>
      <c r="N277">
        <f t="shared" si="25"/>
        <v>2025</v>
      </c>
      <c r="Q277" s="22">
        <v>465</v>
      </c>
      <c r="R277" s="22">
        <v>9065</v>
      </c>
      <c r="S277" s="22" t="str">
        <f t="shared" si="26"/>
        <v>EUR</v>
      </c>
      <c r="T277" s="22">
        <f>R277*_xlfn.XLOOKUP(S277,AG:AG,AI:AI)</f>
        <v>10515.4</v>
      </c>
      <c r="U277" s="22" t="s">
        <v>26</v>
      </c>
      <c r="W277" s="9">
        <v>236</v>
      </c>
      <c r="X277" s="9" t="s">
        <v>29</v>
      </c>
      <c r="Z277">
        <v>292</v>
      </c>
      <c r="AA277">
        <v>12113.6</v>
      </c>
      <c r="AB277" t="s">
        <v>27</v>
      </c>
      <c r="AD277" s="20">
        <v>45769</v>
      </c>
    </row>
    <row r="278" spans="1:30">
      <c r="A278">
        <v>293</v>
      </c>
      <c r="B278" t="str">
        <f>_xlfn.XLOOKUP(A278,Z:Z,AB:AB,"not found")</f>
        <v>USD</v>
      </c>
      <c r="C278">
        <f>_xlfn.XLOOKUP(A278,Z:Z,AA:AA)-_xlfn.XLOOKUP(A278,Q:Q,R:R,"0")</f>
        <v>1365.96</v>
      </c>
      <c r="D278">
        <f>C278*_xlfn.XLOOKUP(B278,AG:AG,AH:AH)</f>
        <v>1174.7256</v>
      </c>
      <c r="E278">
        <f>C278*_xlfn.XLOOKUP(B278,AG:AG,AI:AI)</f>
        <v>1365.96</v>
      </c>
      <c r="F278">
        <v>1365.96</v>
      </c>
      <c r="G278">
        <f>F278*_xlfn.XLOOKUP(B278,AG:AG,AH:AH)</f>
        <v>1174.7256</v>
      </c>
      <c r="H278">
        <f>F278*_xlfn.XLOOKUP(B278,AG:AG,AI:AI)</f>
        <v>1365.96</v>
      </c>
      <c r="I278">
        <f t="shared" si="22"/>
        <v>0</v>
      </c>
      <c r="J278">
        <f>I278*_xlfn.XLOOKUP(B278,AG:AG,AI:AI)</f>
        <v>0</v>
      </c>
      <c r="K278" s="7">
        <f>_xlfn.XLOOKUP(A278,Z:Z,AD:AD)</f>
        <v>45852</v>
      </c>
      <c r="L278" s="7">
        <f t="shared" si="23"/>
        <v>45822</v>
      </c>
      <c r="M278">
        <f t="shared" si="24"/>
        <v>6</v>
      </c>
      <c r="N278">
        <f t="shared" si="25"/>
        <v>2025</v>
      </c>
      <c r="Q278" s="22">
        <v>467</v>
      </c>
      <c r="R278" s="22">
        <v>80360.45</v>
      </c>
      <c r="S278" s="22" t="str">
        <f t="shared" si="26"/>
        <v>MXN</v>
      </c>
      <c r="T278" s="22">
        <f>R278*_xlfn.XLOOKUP(S278,AG:AG,AI:AI)</f>
        <v>4500.1851999999999</v>
      </c>
      <c r="U278" s="22" t="s">
        <v>26</v>
      </c>
      <c r="W278" s="9">
        <v>237</v>
      </c>
      <c r="X278" s="9" t="s">
        <v>27</v>
      </c>
      <c r="Z278">
        <v>293</v>
      </c>
      <c r="AA278">
        <v>1365.96</v>
      </c>
      <c r="AB278" t="s">
        <v>29</v>
      </c>
      <c r="AD278" s="20">
        <v>45852</v>
      </c>
    </row>
    <row r="279" spans="1:30">
      <c r="A279">
        <v>294</v>
      </c>
      <c r="B279" t="str">
        <f>_xlfn.XLOOKUP(A279,Z:Z,AB:AB,"not found")</f>
        <v>EUR</v>
      </c>
      <c r="C279">
        <f>_xlfn.XLOOKUP(A279,Z:Z,AA:AA)-_xlfn.XLOOKUP(A279,Q:Q,R:R,"0")</f>
        <v>1080</v>
      </c>
      <c r="D279">
        <f>C279*_xlfn.XLOOKUP(B279,AG:AG,AH:AH)</f>
        <v>1080</v>
      </c>
      <c r="E279">
        <f>C279*_xlfn.XLOOKUP(B279,AG:AG,AI:AI)</f>
        <v>1252.8</v>
      </c>
      <c r="F279">
        <v>1080</v>
      </c>
      <c r="G279">
        <f>F279*_xlfn.XLOOKUP(B279,AG:AG,AH:AH)</f>
        <v>1080</v>
      </c>
      <c r="H279">
        <f>F279*_xlfn.XLOOKUP(B279,AG:AG,AI:AI)</f>
        <v>1252.8</v>
      </c>
      <c r="I279">
        <f t="shared" si="22"/>
        <v>0</v>
      </c>
      <c r="J279">
        <f>I279*_xlfn.XLOOKUP(B279,AG:AG,AI:AI)</f>
        <v>0</v>
      </c>
      <c r="K279" s="7">
        <f>_xlfn.XLOOKUP(A279,Z:Z,AD:AD)</f>
        <v>45826</v>
      </c>
      <c r="L279" s="7">
        <f t="shared" si="23"/>
        <v>45796</v>
      </c>
      <c r="M279">
        <f t="shared" si="24"/>
        <v>5</v>
      </c>
      <c r="N279">
        <f t="shared" si="25"/>
        <v>2025</v>
      </c>
      <c r="Q279" s="22">
        <v>468</v>
      </c>
      <c r="R279" s="22">
        <v>31263.040000000001</v>
      </c>
      <c r="S279" s="22" t="str">
        <f t="shared" si="26"/>
        <v>USD</v>
      </c>
      <c r="T279" s="22">
        <f>R279*_xlfn.XLOOKUP(S279,AG:AG,AI:AI)</f>
        <v>31263.040000000001</v>
      </c>
      <c r="U279" s="22" t="s">
        <v>26</v>
      </c>
      <c r="W279" s="9">
        <v>238</v>
      </c>
      <c r="X279" s="9" t="s">
        <v>29</v>
      </c>
      <c r="Z279">
        <v>294</v>
      </c>
      <c r="AA279">
        <v>1080</v>
      </c>
      <c r="AB279" t="s">
        <v>27</v>
      </c>
      <c r="AD279" s="20">
        <v>45826</v>
      </c>
    </row>
    <row r="280" spans="1:30">
      <c r="A280">
        <v>295</v>
      </c>
      <c r="B280" t="str">
        <f>_xlfn.XLOOKUP(A280,Z:Z,AB:AB,"not found")</f>
        <v>USD</v>
      </c>
      <c r="C280">
        <f>_xlfn.XLOOKUP(A280,Z:Z,AA:AA)-_xlfn.XLOOKUP(A280,Q:Q,R:R,"0")</f>
        <v>0</v>
      </c>
      <c r="D280">
        <f>C280*_xlfn.XLOOKUP(B280,AG:AG,AH:AH)</f>
        <v>0</v>
      </c>
      <c r="E280">
        <f>C280*_xlfn.XLOOKUP(B280,AG:AG,AI:AI)</f>
        <v>0</v>
      </c>
      <c r="F280">
        <v>180980.6</v>
      </c>
      <c r="G280">
        <f>F280*_xlfn.XLOOKUP(B280,AG:AG,AH:AH)</f>
        <v>155643.31599999999</v>
      </c>
      <c r="H280">
        <f>F280*_xlfn.XLOOKUP(B280,AG:AG,AI:AI)</f>
        <v>180980.6</v>
      </c>
      <c r="I280">
        <f t="shared" si="22"/>
        <v>0</v>
      </c>
      <c r="J280">
        <f>I280*_xlfn.XLOOKUP(B280,AG:AG,AI:AI)</f>
        <v>0</v>
      </c>
      <c r="K280" s="7">
        <f>_xlfn.XLOOKUP(A280,Z:Z,AD:AD)</f>
        <v>45854</v>
      </c>
      <c r="L280" s="7">
        <f t="shared" si="23"/>
        <v>45824</v>
      </c>
      <c r="M280">
        <f t="shared" si="24"/>
        <v>6</v>
      </c>
      <c r="N280">
        <f t="shared" si="25"/>
        <v>2025</v>
      </c>
      <c r="Q280" s="22">
        <v>469</v>
      </c>
      <c r="R280" s="22">
        <v>670.22</v>
      </c>
      <c r="S280" s="22" t="str">
        <f t="shared" si="26"/>
        <v>USD</v>
      </c>
      <c r="T280" s="22">
        <f>R280*_xlfn.XLOOKUP(S280,AG:AG,AI:AI)</f>
        <v>670.22</v>
      </c>
      <c r="U280" s="22" t="s">
        <v>26</v>
      </c>
      <c r="W280" s="9">
        <v>238</v>
      </c>
      <c r="X280" s="9" t="s">
        <v>29</v>
      </c>
      <c r="Z280">
        <v>295</v>
      </c>
      <c r="AA280">
        <v>180980.6</v>
      </c>
      <c r="AB280" t="s">
        <v>29</v>
      </c>
      <c r="AD280" s="20">
        <v>45854</v>
      </c>
    </row>
    <row r="281" spans="1:30">
      <c r="A281">
        <v>296</v>
      </c>
      <c r="B281" t="str">
        <f>_xlfn.XLOOKUP(A281,Z:Z,AB:AB,"not found")</f>
        <v>USD</v>
      </c>
      <c r="C281">
        <f>_xlfn.XLOOKUP(A281,Z:Z,AA:AA)-_xlfn.XLOOKUP(A281,Q:Q,R:R,"0")</f>
        <v>8544.02</v>
      </c>
      <c r="D281">
        <f>C281*_xlfn.XLOOKUP(B281,AG:AG,AH:AH)</f>
        <v>7347.8572000000004</v>
      </c>
      <c r="E281">
        <f>C281*_xlfn.XLOOKUP(B281,AG:AG,AI:AI)</f>
        <v>8544.02</v>
      </c>
      <c r="F281">
        <v>8544.02</v>
      </c>
      <c r="G281">
        <f>F281*_xlfn.XLOOKUP(B281,AG:AG,AH:AH)</f>
        <v>7347.8572000000004</v>
      </c>
      <c r="H281">
        <f>F281*_xlfn.XLOOKUP(B281,AG:AG,AI:AI)</f>
        <v>8544.02</v>
      </c>
      <c r="I281">
        <f t="shared" si="22"/>
        <v>0</v>
      </c>
      <c r="J281">
        <f>I281*_xlfn.XLOOKUP(B281,AG:AG,AI:AI)</f>
        <v>0</v>
      </c>
      <c r="K281" s="7">
        <f>_xlfn.XLOOKUP(A281,Z:Z,AD:AD)</f>
        <v>45958</v>
      </c>
      <c r="L281" s="7">
        <f t="shared" si="23"/>
        <v>45928</v>
      </c>
      <c r="M281">
        <f t="shared" si="24"/>
        <v>9</v>
      </c>
      <c r="N281">
        <f t="shared" si="25"/>
        <v>2025</v>
      </c>
      <c r="Q281" s="22">
        <v>470</v>
      </c>
      <c r="R281" s="22">
        <v>5646.32</v>
      </c>
      <c r="S281" s="22" t="str">
        <f t="shared" si="26"/>
        <v>USD</v>
      </c>
      <c r="T281" s="22">
        <f>R281*_xlfn.XLOOKUP(S281,AG:AG,AI:AI)</f>
        <v>5646.32</v>
      </c>
      <c r="U281" s="22" t="s">
        <v>26</v>
      </c>
      <c r="W281" s="9">
        <v>238</v>
      </c>
      <c r="X281" s="9" t="s">
        <v>29</v>
      </c>
      <c r="Z281">
        <v>296</v>
      </c>
      <c r="AA281">
        <v>8544.02</v>
      </c>
      <c r="AB281" t="s">
        <v>29</v>
      </c>
      <c r="AD281" s="20">
        <v>45958</v>
      </c>
    </row>
    <row r="282" spans="1:30">
      <c r="A282">
        <v>297</v>
      </c>
      <c r="B282" t="str">
        <f>_xlfn.XLOOKUP(A282,Z:Z,AB:AB,"not found")</f>
        <v>USD</v>
      </c>
      <c r="C282">
        <f>_xlfn.XLOOKUP(A282,Z:Z,AA:AA)-_xlfn.XLOOKUP(A282,Q:Q,R:R,"0")</f>
        <v>0</v>
      </c>
      <c r="D282">
        <f>C282*_xlfn.XLOOKUP(B282,AG:AG,AH:AH)</f>
        <v>0</v>
      </c>
      <c r="E282">
        <f>C282*_xlfn.XLOOKUP(B282,AG:AG,AI:AI)</f>
        <v>0</v>
      </c>
      <c r="F282">
        <v>3897.34</v>
      </c>
      <c r="G282">
        <f>F282*_xlfn.XLOOKUP(B282,AG:AG,AH:AH)</f>
        <v>3351.7123999999999</v>
      </c>
      <c r="H282">
        <f>F282*_xlfn.XLOOKUP(B282,AG:AG,AI:AI)</f>
        <v>3897.34</v>
      </c>
      <c r="I282">
        <f t="shared" si="22"/>
        <v>0</v>
      </c>
      <c r="J282">
        <f>I282*_xlfn.XLOOKUP(B282,AG:AG,AI:AI)</f>
        <v>0</v>
      </c>
      <c r="K282" s="7">
        <f>_xlfn.XLOOKUP(A282,Z:Z,AD:AD)</f>
        <v>45779</v>
      </c>
      <c r="L282" s="7">
        <f t="shared" si="23"/>
        <v>45749</v>
      </c>
      <c r="M282">
        <f t="shared" si="24"/>
        <v>4</v>
      </c>
      <c r="N282">
        <f t="shared" si="25"/>
        <v>2025</v>
      </c>
      <c r="Q282" s="22">
        <v>471</v>
      </c>
      <c r="R282" s="22">
        <v>62621</v>
      </c>
      <c r="S282" s="22" t="str">
        <f t="shared" si="26"/>
        <v>USD</v>
      </c>
      <c r="T282" s="22">
        <f>R282*_xlfn.XLOOKUP(S282,AG:AG,AI:AI)</f>
        <v>62621</v>
      </c>
      <c r="U282" s="22" t="s">
        <v>26</v>
      </c>
      <c r="W282" s="9">
        <v>238</v>
      </c>
      <c r="X282" s="9" t="s">
        <v>29</v>
      </c>
      <c r="Z282">
        <v>297</v>
      </c>
      <c r="AA282">
        <v>3897.34</v>
      </c>
      <c r="AB282" t="s">
        <v>29</v>
      </c>
      <c r="AD282" s="20">
        <v>45779</v>
      </c>
    </row>
    <row r="283" spans="1:30">
      <c r="A283">
        <v>298</v>
      </c>
      <c r="B283" t="str">
        <f>_xlfn.XLOOKUP(A283,Z:Z,AB:AB,"not found")</f>
        <v>USD</v>
      </c>
      <c r="C283">
        <f>_xlfn.XLOOKUP(A283,Z:Z,AA:AA)-_xlfn.XLOOKUP(A283,Q:Q,R:R,"0")</f>
        <v>0</v>
      </c>
      <c r="D283">
        <f>C283*_xlfn.XLOOKUP(B283,AG:AG,AH:AH)</f>
        <v>0</v>
      </c>
      <c r="E283">
        <f>C283*_xlfn.XLOOKUP(B283,AG:AG,AI:AI)</f>
        <v>0</v>
      </c>
      <c r="F283">
        <v>8244</v>
      </c>
      <c r="G283">
        <f>F283*_xlfn.XLOOKUP(B283,AG:AG,AH:AH)</f>
        <v>7089.84</v>
      </c>
      <c r="H283">
        <f>F283*_xlfn.XLOOKUP(B283,AG:AG,AI:AI)</f>
        <v>8244</v>
      </c>
      <c r="I283">
        <f t="shared" si="22"/>
        <v>0</v>
      </c>
      <c r="J283">
        <f>I283*_xlfn.XLOOKUP(B283,AG:AG,AI:AI)</f>
        <v>0</v>
      </c>
      <c r="K283" s="7">
        <f>_xlfn.XLOOKUP(A283,Z:Z,AD:AD)</f>
        <v>45791</v>
      </c>
      <c r="L283" s="7">
        <f t="shared" si="23"/>
        <v>45761</v>
      </c>
      <c r="M283">
        <f t="shared" si="24"/>
        <v>4</v>
      </c>
      <c r="N283">
        <f t="shared" si="25"/>
        <v>2025</v>
      </c>
      <c r="Q283" s="22">
        <v>472</v>
      </c>
      <c r="R283" s="22">
        <v>5320.7199999999993</v>
      </c>
      <c r="S283" s="22" t="str">
        <f t="shared" si="26"/>
        <v>USD</v>
      </c>
      <c r="T283" s="22">
        <f>R283*_xlfn.XLOOKUP(S283,AG:AG,AI:AI)</f>
        <v>5320.7199999999993</v>
      </c>
      <c r="U283" s="22" t="s">
        <v>26</v>
      </c>
      <c r="W283" s="9">
        <v>238</v>
      </c>
      <c r="X283" s="9" t="s">
        <v>29</v>
      </c>
      <c r="Z283">
        <v>298</v>
      </c>
      <c r="AA283">
        <v>8244</v>
      </c>
      <c r="AB283" t="s">
        <v>29</v>
      </c>
      <c r="AD283" s="20">
        <v>45791</v>
      </c>
    </row>
    <row r="284" spans="1:30">
      <c r="A284">
        <v>299</v>
      </c>
      <c r="B284" t="str">
        <f>_xlfn.XLOOKUP(A284,Z:Z,AB:AB,"not found")</f>
        <v>EUR</v>
      </c>
      <c r="C284">
        <f>_xlfn.XLOOKUP(A284,Z:Z,AA:AA)-_xlfn.XLOOKUP(A284,Q:Q,R:R,"0")</f>
        <v>0</v>
      </c>
      <c r="D284">
        <f>C284*_xlfn.XLOOKUP(B284,AG:AG,AH:AH)</f>
        <v>0</v>
      </c>
      <c r="E284">
        <f>C284*_xlfn.XLOOKUP(B284,AG:AG,AI:AI)</f>
        <v>0</v>
      </c>
      <c r="F284">
        <v>8185</v>
      </c>
      <c r="G284">
        <f>F284*_xlfn.XLOOKUP(B284,AG:AG,AH:AH)</f>
        <v>8185</v>
      </c>
      <c r="H284">
        <f>F284*_xlfn.XLOOKUP(B284,AG:AG,AI:AI)</f>
        <v>9494.5999999999985</v>
      </c>
      <c r="I284">
        <f t="shared" si="22"/>
        <v>0</v>
      </c>
      <c r="J284">
        <f>I284*_xlfn.XLOOKUP(B284,AG:AG,AI:AI)</f>
        <v>0</v>
      </c>
      <c r="K284" s="7">
        <f>_xlfn.XLOOKUP(A284,Z:Z,AD:AD)</f>
        <v>45841</v>
      </c>
      <c r="L284" s="7">
        <f t="shared" si="23"/>
        <v>45811</v>
      </c>
      <c r="M284">
        <f t="shared" si="24"/>
        <v>6</v>
      </c>
      <c r="N284">
        <f t="shared" si="25"/>
        <v>2025</v>
      </c>
      <c r="Q284" s="22">
        <v>473</v>
      </c>
      <c r="R284" s="22">
        <v>570</v>
      </c>
      <c r="S284" s="22" t="str">
        <f t="shared" si="26"/>
        <v>EUR</v>
      </c>
      <c r="T284" s="22">
        <f>R284*_xlfn.XLOOKUP(S284,AG:AG,AI:AI)</f>
        <v>661.19999999999993</v>
      </c>
      <c r="U284" s="22" t="s">
        <v>26</v>
      </c>
      <c r="W284" s="9">
        <v>238</v>
      </c>
      <c r="X284" s="9" t="s">
        <v>29</v>
      </c>
      <c r="Z284">
        <v>299</v>
      </c>
      <c r="AA284">
        <v>8185</v>
      </c>
      <c r="AB284" t="s">
        <v>27</v>
      </c>
      <c r="AD284" s="20">
        <v>45841</v>
      </c>
    </row>
    <row r="285" spans="1:30">
      <c r="A285">
        <v>300</v>
      </c>
      <c r="B285" t="str">
        <f>_xlfn.XLOOKUP(A285,Z:Z,AB:AB,"not found")</f>
        <v>USD</v>
      </c>
      <c r="C285">
        <f>_xlfn.XLOOKUP(A285,Z:Z,AA:AA)-_xlfn.XLOOKUP(A285,Q:Q,R:R,"0")</f>
        <v>0</v>
      </c>
      <c r="D285">
        <f>C285*_xlfn.XLOOKUP(B285,AG:AG,AH:AH)</f>
        <v>0</v>
      </c>
      <c r="E285">
        <f>C285*_xlfn.XLOOKUP(B285,AG:AG,AI:AI)</f>
        <v>0</v>
      </c>
      <c r="F285">
        <v>48161.65</v>
      </c>
      <c r="G285">
        <f>F285*_xlfn.XLOOKUP(B285,AG:AG,AH:AH)</f>
        <v>41419.019</v>
      </c>
      <c r="H285">
        <f>F285*_xlfn.XLOOKUP(B285,AG:AG,AI:AI)</f>
        <v>48161.65</v>
      </c>
      <c r="I285">
        <f t="shared" si="22"/>
        <v>0</v>
      </c>
      <c r="J285">
        <f>I285*_xlfn.XLOOKUP(B285,AG:AG,AI:AI)</f>
        <v>0</v>
      </c>
      <c r="K285" s="7">
        <f>_xlfn.XLOOKUP(A285,Z:Z,AD:AD)</f>
        <v>45747</v>
      </c>
      <c r="L285" s="7">
        <f t="shared" si="23"/>
        <v>45717</v>
      </c>
      <c r="M285">
        <f t="shared" si="24"/>
        <v>3</v>
      </c>
      <c r="N285">
        <f t="shared" si="25"/>
        <v>2025</v>
      </c>
      <c r="Q285" s="22">
        <v>474</v>
      </c>
      <c r="R285" s="22">
        <v>5334.66</v>
      </c>
      <c r="S285" s="22" t="str">
        <f t="shared" si="26"/>
        <v>USD</v>
      </c>
      <c r="T285" s="22">
        <f>R285*_xlfn.XLOOKUP(S285,AG:AG,AI:AI)</f>
        <v>5334.66</v>
      </c>
      <c r="U285" s="22" t="s">
        <v>26</v>
      </c>
      <c r="W285" s="9">
        <v>239</v>
      </c>
      <c r="X285" s="9" t="s">
        <v>29</v>
      </c>
      <c r="Z285">
        <v>300</v>
      </c>
      <c r="AA285">
        <v>48161.65</v>
      </c>
      <c r="AB285" t="s">
        <v>29</v>
      </c>
      <c r="AD285" s="20">
        <v>45747</v>
      </c>
    </row>
    <row r="286" spans="1:30">
      <c r="A286">
        <v>301</v>
      </c>
      <c r="B286" t="str">
        <f>_xlfn.XLOOKUP(A286,Z:Z,AB:AB,"not found")</f>
        <v>USD</v>
      </c>
      <c r="C286">
        <f>_xlfn.XLOOKUP(A286,Z:Z,AA:AA)-_xlfn.XLOOKUP(A286,Q:Q,R:R,"0")</f>
        <v>2140</v>
      </c>
      <c r="D286">
        <f>C286*_xlfn.XLOOKUP(B286,AG:AG,AH:AH)</f>
        <v>1840.3999999999999</v>
      </c>
      <c r="E286">
        <f>C286*_xlfn.XLOOKUP(B286,AG:AG,AI:AI)</f>
        <v>2140</v>
      </c>
      <c r="F286">
        <v>2140</v>
      </c>
      <c r="G286">
        <f>F286*_xlfn.XLOOKUP(B286,AG:AG,AH:AH)</f>
        <v>1840.3999999999999</v>
      </c>
      <c r="H286">
        <f>F286*_xlfn.XLOOKUP(B286,AG:AG,AI:AI)</f>
        <v>2140</v>
      </c>
      <c r="I286">
        <f t="shared" si="22"/>
        <v>0</v>
      </c>
      <c r="J286">
        <f>I286*_xlfn.XLOOKUP(B286,AG:AG,AI:AI)</f>
        <v>0</v>
      </c>
      <c r="K286" s="7">
        <f>_xlfn.XLOOKUP(A286,Z:Z,AD:AD)</f>
        <v>45780</v>
      </c>
      <c r="L286" s="7">
        <f t="shared" si="23"/>
        <v>45750</v>
      </c>
      <c r="M286">
        <f t="shared" si="24"/>
        <v>4</v>
      </c>
      <c r="N286">
        <f t="shared" si="25"/>
        <v>2025</v>
      </c>
      <c r="Q286" s="22">
        <v>478</v>
      </c>
      <c r="R286" s="22">
        <v>8311</v>
      </c>
      <c r="S286" s="22" t="str">
        <f t="shared" si="26"/>
        <v>USD</v>
      </c>
      <c r="T286" s="22">
        <f>R286*_xlfn.XLOOKUP(S286,AG:AG,AI:AI)</f>
        <v>8311</v>
      </c>
      <c r="U286" s="22" t="s">
        <v>26</v>
      </c>
      <c r="W286" s="9">
        <v>239</v>
      </c>
      <c r="X286" s="9" t="s">
        <v>27</v>
      </c>
      <c r="Z286">
        <v>301</v>
      </c>
      <c r="AA286">
        <v>2140</v>
      </c>
      <c r="AB286" t="s">
        <v>29</v>
      </c>
      <c r="AD286" s="20">
        <v>45780</v>
      </c>
    </row>
    <row r="287" spans="1:30">
      <c r="A287">
        <v>302</v>
      </c>
      <c r="B287" t="str">
        <f>_xlfn.XLOOKUP(A287,Z:Z,AB:AB,"not found")</f>
        <v>USD</v>
      </c>
      <c r="C287">
        <f>_xlfn.XLOOKUP(A287,Z:Z,AA:AA)-_xlfn.XLOOKUP(A287,Q:Q,R:R,"0")</f>
        <v>195595.61</v>
      </c>
      <c r="D287">
        <f>C287*_xlfn.XLOOKUP(B287,AG:AG,AH:AH)</f>
        <v>168212.22459999999</v>
      </c>
      <c r="E287">
        <f>C287*_xlfn.XLOOKUP(B287,AG:AG,AI:AI)</f>
        <v>195595.61</v>
      </c>
      <c r="F287">
        <v>195595.61</v>
      </c>
      <c r="G287">
        <f>F287*_xlfn.XLOOKUP(B287,AG:AG,AH:AH)</f>
        <v>168212.22459999999</v>
      </c>
      <c r="H287">
        <f>F287*_xlfn.XLOOKUP(B287,AG:AG,AI:AI)</f>
        <v>195595.61</v>
      </c>
      <c r="I287">
        <f t="shared" si="22"/>
        <v>0</v>
      </c>
      <c r="J287">
        <f>I287*_xlfn.XLOOKUP(B287,AG:AG,AI:AI)</f>
        <v>0</v>
      </c>
      <c r="K287" s="7">
        <f>_xlfn.XLOOKUP(A287,Z:Z,AD:AD)</f>
        <v>45661</v>
      </c>
      <c r="L287" s="7">
        <f t="shared" si="23"/>
        <v>45631</v>
      </c>
      <c r="M287">
        <f t="shared" si="24"/>
        <v>12</v>
      </c>
      <c r="N287">
        <f t="shared" si="25"/>
        <v>2024</v>
      </c>
      <c r="Q287" s="22">
        <v>479</v>
      </c>
      <c r="R287" s="22">
        <v>3878</v>
      </c>
      <c r="S287" s="22" t="str">
        <f t="shared" si="26"/>
        <v>USD</v>
      </c>
      <c r="T287" s="22">
        <f>R287*_xlfn.XLOOKUP(S287,AG:AG,AI:AI)</f>
        <v>3878</v>
      </c>
      <c r="U287" s="22" t="s">
        <v>26</v>
      </c>
      <c r="W287" s="9">
        <v>239</v>
      </c>
      <c r="X287" s="9" t="s">
        <v>29</v>
      </c>
      <c r="Z287">
        <v>302</v>
      </c>
      <c r="AA287">
        <v>195595.61</v>
      </c>
      <c r="AB287" t="s">
        <v>29</v>
      </c>
      <c r="AD287" s="20">
        <v>45661</v>
      </c>
    </row>
    <row r="288" spans="1:30">
      <c r="A288">
        <v>303</v>
      </c>
      <c r="B288" t="str">
        <f>_xlfn.XLOOKUP(A288,Z:Z,AB:AB,"not found")</f>
        <v>USD</v>
      </c>
      <c r="C288">
        <f>_xlfn.XLOOKUP(A288,Z:Z,AA:AA)-_xlfn.XLOOKUP(A288,Q:Q,R:R,"0")</f>
        <v>16724.88</v>
      </c>
      <c r="D288">
        <f>C288*_xlfn.XLOOKUP(B288,AG:AG,AH:AH)</f>
        <v>14383.3968</v>
      </c>
      <c r="E288">
        <f>C288*_xlfn.XLOOKUP(B288,AG:AG,AI:AI)</f>
        <v>16724.88</v>
      </c>
      <c r="F288">
        <v>16724.88</v>
      </c>
      <c r="G288">
        <f>F288*_xlfn.XLOOKUP(B288,AG:AG,AH:AH)</f>
        <v>14383.3968</v>
      </c>
      <c r="H288">
        <f>F288*_xlfn.XLOOKUP(B288,AG:AG,AI:AI)</f>
        <v>16724.88</v>
      </c>
      <c r="I288">
        <f t="shared" si="22"/>
        <v>0</v>
      </c>
      <c r="J288">
        <f>I288*_xlfn.XLOOKUP(B288,AG:AG,AI:AI)</f>
        <v>0</v>
      </c>
      <c r="K288" s="7">
        <f>_xlfn.XLOOKUP(A288,Z:Z,AD:AD)</f>
        <v>46011</v>
      </c>
      <c r="L288" s="7">
        <f t="shared" si="23"/>
        <v>45981</v>
      </c>
      <c r="M288">
        <f t="shared" si="24"/>
        <v>11</v>
      </c>
      <c r="N288">
        <f t="shared" si="25"/>
        <v>2025</v>
      </c>
      <c r="Q288" s="22">
        <v>480</v>
      </c>
      <c r="R288" s="22">
        <v>4998</v>
      </c>
      <c r="S288" s="22" t="str">
        <f t="shared" si="26"/>
        <v>USD</v>
      </c>
      <c r="T288" s="22">
        <f>R288*_xlfn.XLOOKUP(S288,AG:AG,AI:AI)</f>
        <v>4998</v>
      </c>
      <c r="U288" s="22" t="s">
        <v>26</v>
      </c>
      <c r="W288" s="9">
        <v>241</v>
      </c>
      <c r="X288" s="9" t="s">
        <v>29</v>
      </c>
      <c r="Z288">
        <v>303</v>
      </c>
      <c r="AA288">
        <v>16724.88</v>
      </c>
      <c r="AB288" t="s">
        <v>29</v>
      </c>
      <c r="AD288" s="20">
        <v>46011</v>
      </c>
    </row>
    <row r="289" spans="1:30">
      <c r="A289">
        <v>304</v>
      </c>
      <c r="B289" t="str">
        <f>_xlfn.XLOOKUP(A289,Z:Z,AB:AB,"not found")</f>
        <v>EUR</v>
      </c>
      <c r="C289">
        <f>_xlfn.XLOOKUP(A289,Z:Z,AA:AA)-_xlfn.XLOOKUP(A289,Q:Q,R:R,"0")</f>
        <v>23027.33</v>
      </c>
      <c r="D289">
        <f>C289*_xlfn.XLOOKUP(B289,AG:AG,AH:AH)</f>
        <v>23027.33</v>
      </c>
      <c r="E289">
        <f>C289*_xlfn.XLOOKUP(B289,AG:AG,AI:AI)</f>
        <v>26711.702799999999</v>
      </c>
      <c r="F289">
        <v>23027.33</v>
      </c>
      <c r="G289">
        <f>F289*_xlfn.XLOOKUP(B289,AG:AG,AH:AH)</f>
        <v>23027.33</v>
      </c>
      <c r="H289">
        <f>F289*_xlfn.XLOOKUP(B289,AG:AG,AI:AI)</f>
        <v>26711.702799999999</v>
      </c>
      <c r="I289">
        <f t="shared" si="22"/>
        <v>0</v>
      </c>
      <c r="J289">
        <f>I289*_xlfn.XLOOKUP(B289,AG:AG,AI:AI)</f>
        <v>0</v>
      </c>
      <c r="K289" s="7">
        <f>_xlfn.XLOOKUP(A289,Z:Z,AD:AD)</f>
        <v>45875</v>
      </c>
      <c r="L289" s="7">
        <f t="shared" si="23"/>
        <v>45845</v>
      </c>
      <c r="M289">
        <f t="shared" si="24"/>
        <v>7</v>
      </c>
      <c r="N289">
        <f t="shared" si="25"/>
        <v>2025</v>
      </c>
      <c r="Q289" s="22">
        <v>482</v>
      </c>
      <c r="R289" s="22">
        <v>13118.4</v>
      </c>
      <c r="S289" s="22" t="str">
        <f t="shared" si="26"/>
        <v>EUR</v>
      </c>
      <c r="T289" s="22">
        <f>R289*_xlfn.XLOOKUP(S289,AG:AG,AI:AI)</f>
        <v>15217.343999999999</v>
      </c>
      <c r="U289" s="22" t="s">
        <v>26</v>
      </c>
      <c r="W289" s="9">
        <v>241</v>
      </c>
      <c r="X289" s="9" t="s">
        <v>29</v>
      </c>
      <c r="Z289">
        <v>304</v>
      </c>
      <c r="AA289">
        <v>23027.33</v>
      </c>
      <c r="AB289" t="s">
        <v>27</v>
      </c>
      <c r="AD289" s="20">
        <v>45875</v>
      </c>
    </row>
    <row r="290" spans="1:30">
      <c r="A290">
        <v>305</v>
      </c>
      <c r="B290" t="str">
        <f>_xlfn.XLOOKUP(A290,Z:Z,AB:AB,"not found")</f>
        <v>USD</v>
      </c>
      <c r="C290">
        <f>_xlfn.XLOOKUP(A290,Z:Z,AA:AA)-_xlfn.XLOOKUP(A290,Q:Q,R:R,"0")</f>
        <v>0</v>
      </c>
      <c r="D290">
        <f>C290*_xlfn.XLOOKUP(B290,AG:AG,AH:AH)</f>
        <v>0</v>
      </c>
      <c r="E290">
        <f>C290*_xlfn.XLOOKUP(B290,AG:AG,AI:AI)</f>
        <v>0</v>
      </c>
      <c r="F290">
        <v>16692.39</v>
      </c>
      <c r="G290">
        <f>F290*_xlfn.XLOOKUP(B290,AG:AG,AH:AH)</f>
        <v>14355.455399999999</v>
      </c>
      <c r="H290">
        <f>F290*_xlfn.XLOOKUP(B290,AG:AG,AI:AI)</f>
        <v>16692.39</v>
      </c>
      <c r="I290">
        <f t="shared" si="22"/>
        <v>0</v>
      </c>
      <c r="J290">
        <f>I290*_xlfn.XLOOKUP(B290,AG:AG,AI:AI)</f>
        <v>0</v>
      </c>
      <c r="K290" s="7">
        <f>_xlfn.XLOOKUP(A290,Z:Z,AD:AD)</f>
        <v>45792</v>
      </c>
      <c r="L290" s="7">
        <f t="shared" si="23"/>
        <v>45762</v>
      </c>
      <c r="M290">
        <f t="shared" si="24"/>
        <v>4</v>
      </c>
      <c r="N290">
        <f t="shared" si="25"/>
        <v>2025</v>
      </c>
      <c r="Q290" s="22">
        <v>483</v>
      </c>
      <c r="R290" s="22">
        <v>11170</v>
      </c>
      <c r="S290" s="22" t="str">
        <f t="shared" si="26"/>
        <v>GPB</v>
      </c>
      <c r="T290" s="22">
        <f>R290*_xlfn.XLOOKUP(S290,AG:AG,AI:AI)</f>
        <v>14967.800000000001</v>
      </c>
      <c r="U290" s="22" t="s">
        <v>26</v>
      </c>
      <c r="W290" s="9">
        <v>243</v>
      </c>
      <c r="X290" s="9" t="s">
        <v>27</v>
      </c>
      <c r="Z290">
        <v>305</v>
      </c>
      <c r="AA290">
        <v>16692.39</v>
      </c>
      <c r="AB290" t="s">
        <v>29</v>
      </c>
      <c r="AD290" s="20">
        <v>45792</v>
      </c>
    </row>
    <row r="291" spans="1:30">
      <c r="A291">
        <v>306</v>
      </c>
      <c r="B291" t="str">
        <f>_xlfn.XLOOKUP(A291,Z:Z,AB:AB,"not found")</f>
        <v>USD</v>
      </c>
      <c r="C291">
        <f>_xlfn.XLOOKUP(A291,Z:Z,AA:AA)-_xlfn.XLOOKUP(A291,Q:Q,R:R,"0")</f>
        <v>28742.43</v>
      </c>
      <c r="D291">
        <f>C291*_xlfn.XLOOKUP(B291,AG:AG,AH:AH)</f>
        <v>24718.489799999999</v>
      </c>
      <c r="E291">
        <f>C291*_xlfn.XLOOKUP(B291,AG:AG,AI:AI)</f>
        <v>28742.43</v>
      </c>
      <c r="F291">
        <v>29317.43</v>
      </c>
      <c r="G291">
        <f>F291*_xlfn.XLOOKUP(B291,AG:AG,AH:AH)</f>
        <v>25212.989799999999</v>
      </c>
      <c r="H291">
        <f>F291*_xlfn.XLOOKUP(B291,AG:AG,AI:AI)</f>
        <v>29317.43</v>
      </c>
      <c r="I291">
        <f t="shared" si="22"/>
        <v>0</v>
      </c>
      <c r="J291">
        <f>I291*_xlfn.XLOOKUP(B291,AG:AG,AI:AI)</f>
        <v>0</v>
      </c>
      <c r="K291" s="7">
        <f>_xlfn.XLOOKUP(A291,Z:Z,AD:AD)</f>
        <v>45860</v>
      </c>
      <c r="L291" s="7">
        <f t="shared" si="23"/>
        <v>45830</v>
      </c>
      <c r="M291">
        <f t="shared" si="24"/>
        <v>6</v>
      </c>
      <c r="N291">
        <f t="shared" si="25"/>
        <v>2025</v>
      </c>
      <c r="Q291" s="22">
        <v>484</v>
      </c>
      <c r="R291" s="22">
        <v>6901.05</v>
      </c>
      <c r="S291" s="22" t="str">
        <f t="shared" si="26"/>
        <v>USD</v>
      </c>
      <c r="T291" s="22">
        <f>R291*_xlfn.XLOOKUP(S291,AG:AG,AI:AI)</f>
        <v>6901.05</v>
      </c>
      <c r="U291" s="22" t="s">
        <v>26</v>
      </c>
      <c r="W291" s="9">
        <v>243</v>
      </c>
      <c r="X291" s="9" t="s">
        <v>27</v>
      </c>
      <c r="Z291">
        <v>306</v>
      </c>
      <c r="AA291">
        <v>29317.43</v>
      </c>
      <c r="AB291" t="s">
        <v>29</v>
      </c>
      <c r="AD291" s="20">
        <v>45860</v>
      </c>
    </row>
    <row r="292" spans="1:30">
      <c r="A292">
        <v>307</v>
      </c>
      <c r="B292" t="str">
        <f>_xlfn.XLOOKUP(A292,Z:Z,AB:AB,"not found")</f>
        <v>USD</v>
      </c>
      <c r="C292">
        <f>_xlfn.XLOOKUP(A292,Z:Z,AA:AA)-_xlfn.XLOOKUP(A292,Q:Q,R:R,"0")</f>
        <v>0</v>
      </c>
      <c r="D292">
        <f>C292*_xlfn.XLOOKUP(B292,AG:AG,AH:AH)</f>
        <v>0</v>
      </c>
      <c r="E292">
        <f>C292*_xlfn.XLOOKUP(B292,AG:AG,AI:AI)</f>
        <v>0</v>
      </c>
      <c r="F292">
        <v>8076</v>
      </c>
      <c r="G292">
        <f>F292*_xlfn.XLOOKUP(B292,AG:AG,AH:AH)</f>
        <v>6945.36</v>
      </c>
      <c r="H292">
        <f>F292*_xlfn.XLOOKUP(B292,AG:AG,AI:AI)</f>
        <v>8076</v>
      </c>
      <c r="I292">
        <f t="shared" si="22"/>
        <v>0</v>
      </c>
      <c r="J292">
        <f>I292*_xlfn.XLOOKUP(B292,AG:AG,AI:AI)</f>
        <v>0</v>
      </c>
      <c r="K292" s="7">
        <f>_xlfn.XLOOKUP(A292,Z:Z,AD:AD)</f>
        <v>45770</v>
      </c>
      <c r="L292" s="7">
        <f t="shared" si="23"/>
        <v>45740</v>
      </c>
      <c r="M292">
        <f t="shared" si="24"/>
        <v>3</v>
      </c>
      <c r="N292">
        <f t="shared" si="25"/>
        <v>2025</v>
      </c>
      <c r="Q292" s="22">
        <v>486</v>
      </c>
      <c r="R292" s="22">
        <v>26748</v>
      </c>
      <c r="S292" s="22" t="str">
        <f t="shared" si="26"/>
        <v>EUR</v>
      </c>
      <c r="T292" s="22">
        <f>R292*_xlfn.XLOOKUP(S292,AG:AG,AI:AI)</f>
        <v>31027.679999999997</v>
      </c>
      <c r="U292" s="22" t="s">
        <v>26</v>
      </c>
      <c r="W292" s="9">
        <v>243</v>
      </c>
      <c r="X292" s="9" t="s">
        <v>27</v>
      </c>
      <c r="Z292">
        <v>307</v>
      </c>
      <c r="AA292">
        <v>8076</v>
      </c>
      <c r="AB292" t="s">
        <v>29</v>
      </c>
      <c r="AD292" s="20">
        <v>45770</v>
      </c>
    </row>
    <row r="293" spans="1:30">
      <c r="A293">
        <v>308</v>
      </c>
      <c r="B293" t="str">
        <f>_xlfn.XLOOKUP(A293,Z:Z,AB:AB,"not found")</f>
        <v>USD</v>
      </c>
      <c r="C293">
        <f>_xlfn.XLOOKUP(A293,Z:Z,AA:AA)-_xlfn.XLOOKUP(A293,Q:Q,R:R,"0")</f>
        <v>0</v>
      </c>
      <c r="D293">
        <f>C293*_xlfn.XLOOKUP(B293,AG:AG,AH:AH)</f>
        <v>0</v>
      </c>
      <c r="E293">
        <f>C293*_xlfn.XLOOKUP(B293,AG:AG,AI:AI)</f>
        <v>0</v>
      </c>
      <c r="F293">
        <v>1869.15</v>
      </c>
      <c r="G293">
        <f>F293*_xlfn.XLOOKUP(B293,AG:AG,AH:AH)</f>
        <v>1607.4690000000001</v>
      </c>
      <c r="H293">
        <f>F293*_xlfn.XLOOKUP(B293,AG:AG,AI:AI)</f>
        <v>1869.15</v>
      </c>
      <c r="I293">
        <f t="shared" si="22"/>
        <v>0</v>
      </c>
      <c r="J293">
        <f>I293*_xlfn.XLOOKUP(B293,AG:AG,AI:AI)</f>
        <v>0</v>
      </c>
      <c r="K293" s="7">
        <f>_xlfn.XLOOKUP(A293,Z:Z,AD:AD)</f>
        <v>45757</v>
      </c>
      <c r="L293" s="7">
        <f t="shared" si="23"/>
        <v>45727</v>
      </c>
      <c r="M293">
        <f t="shared" si="24"/>
        <v>3</v>
      </c>
      <c r="N293">
        <f t="shared" si="25"/>
        <v>2025</v>
      </c>
      <c r="Q293" s="22">
        <v>487</v>
      </c>
      <c r="R293" s="22">
        <v>4351</v>
      </c>
      <c r="S293" s="22" t="str">
        <f t="shared" si="26"/>
        <v>USD</v>
      </c>
      <c r="T293" s="22">
        <f>R293*_xlfn.XLOOKUP(S293,AG:AG,AI:AI)</f>
        <v>4351</v>
      </c>
      <c r="U293" s="22" t="s">
        <v>26</v>
      </c>
      <c r="W293" s="9">
        <v>244</v>
      </c>
      <c r="X293" s="9" t="s">
        <v>27</v>
      </c>
      <c r="Z293">
        <v>308</v>
      </c>
      <c r="AA293">
        <v>1869.15</v>
      </c>
      <c r="AB293" t="s">
        <v>29</v>
      </c>
      <c r="AD293" s="20">
        <v>45757</v>
      </c>
    </row>
    <row r="294" spans="1:30">
      <c r="A294">
        <v>309</v>
      </c>
      <c r="B294" t="str">
        <f>_xlfn.XLOOKUP(A294,Z:Z,AB:AB,"not found")</f>
        <v>USD</v>
      </c>
      <c r="C294">
        <f>_xlfn.XLOOKUP(A294,Z:Z,AA:AA)-_xlfn.XLOOKUP(A294,Q:Q,R:R,"0")</f>
        <v>2155.3799999999992</v>
      </c>
      <c r="D294">
        <f>C294*_xlfn.XLOOKUP(B294,AG:AG,AH:AH)</f>
        <v>1853.6267999999993</v>
      </c>
      <c r="E294">
        <f>C294*_xlfn.XLOOKUP(B294,AG:AG,AI:AI)</f>
        <v>2155.3799999999992</v>
      </c>
      <c r="F294">
        <v>10168.82</v>
      </c>
      <c r="G294">
        <f>F294*_xlfn.XLOOKUP(B294,AG:AG,AH:AH)</f>
        <v>8745.1851999999999</v>
      </c>
      <c r="H294">
        <f>F294*_xlfn.XLOOKUP(B294,AG:AG,AI:AI)</f>
        <v>10168.82</v>
      </c>
      <c r="I294">
        <f t="shared" si="22"/>
        <v>112.30999999999949</v>
      </c>
      <c r="J294">
        <f>I294*_xlfn.XLOOKUP(B294,AG:AG,AI:AI)</f>
        <v>112.30999999999949</v>
      </c>
      <c r="K294" s="7">
        <f>_xlfn.XLOOKUP(A294,Z:Z,AD:AD)</f>
        <v>45857</v>
      </c>
      <c r="L294" s="7">
        <f t="shared" si="23"/>
        <v>45827</v>
      </c>
      <c r="M294">
        <f t="shared" si="24"/>
        <v>6</v>
      </c>
      <c r="N294">
        <f t="shared" si="25"/>
        <v>2025</v>
      </c>
      <c r="Q294" s="22">
        <v>489</v>
      </c>
      <c r="R294" s="22">
        <v>59933.659999999996</v>
      </c>
      <c r="S294" s="22" t="str">
        <f t="shared" si="26"/>
        <v>USD</v>
      </c>
      <c r="T294" s="22">
        <f>R294*_xlfn.XLOOKUP(S294,AG:AG,AI:AI)</f>
        <v>59933.659999999996</v>
      </c>
      <c r="U294" s="22" t="s">
        <v>26</v>
      </c>
      <c r="W294" s="9">
        <v>244</v>
      </c>
      <c r="X294" s="9" t="s">
        <v>27</v>
      </c>
      <c r="Z294">
        <v>309</v>
      </c>
      <c r="AA294">
        <v>10281.129999999999</v>
      </c>
      <c r="AB294" t="s">
        <v>29</v>
      </c>
      <c r="AD294" s="20">
        <v>45857</v>
      </c>
    </row>
    <row r="295" spans="1:30">
      <c r="A295">
        <v>310</v>
      </c>
      <c r="B295" t="str">
        <f>_xlfn.XLOOKUP(A295,Z:Z,AB:AB,"not found")</f>
        <v>MXN</v>
      </c>
      <c r="C295">
        <f>_xlfn.XLOOKUP(A295,Z:Z,AA:AA)-_xlfn.XLOOKUP(A295,Q:Q,R:R,"0")</f>
        <v>1337228.1200000001</v>
      </c>
      <c r="D295">
        <f>C295*_xlfn.XLOOKUP(B295,AG:AG,AH:AH)</f>
        <v>64186.949760000003</v>
      </c>
      <c r="E295">
        <f>C295*_xlfn.XLOOKUP(B295,AG:AG,AI:AI)</f>
        <v>74884.774720000001</v>
      </c>
      <c r="F295">
        <v>1337228.1200000001</v>
      </c>
      <c r="G295">
        <f>F295*_xlfn.XLOOKUP(B295,AG:AG,AH:AH)</f>
        <v>64186.949760000003</v>
      </c>
      <c r="H295">
        <f>F295*_xlfn.XLOOKUP(B295,AG:AG,AI:AI)</f>
        <v>74884.774720000001</v>
      </c>
      <c r="I295">
        <f t="shared" si="22"/>
        <v>0</v>
      </c>
      <c r="J295">
        <f>I295*_xlfn.XLOOKUP(B295,AG:AG,AI:AI)</f>
        <v>0</v>
      </c>
      <c r="K295" s="7">
        <f>_xlfn.XLOOKUP(A295,Z:Z,AD:AD)</f>
        <v>45820</v>
      </c>
      <c r="L295" s="7">
        <f t="shared" si="23"/>
        <v>45790</v>
      </c>
      <c r="M295">
        <f t="shared" si="24"/>
        <v>5</v>
      </c>
      <c r="N295">
        <f t="shared" si="25"/>
        <v>2025</v>
      </c>
      <c r="Q295" s="22">
        <v>490</v>
      </c>
      <c r="R295" s="22">
        <v>2648</v>
      </c>
      <c r="S295" s="22" t="str">
        <f t="shared" si="26"/>
        <v>USD</v>
      </c>
      <c r="T295" s="22">
        <f>R295*_xlfn.XLOOKUP(S295,AG:AG,AI:AI)</f>
        <v>2648</v>
      </c>
      <c r="U295" s="22" t="s">
        <v>26</v>
      </c>
      <c r="W295" s="9">
        <v>245</v>
      </c>
      <c r="X295" s="9" t="s">
        <v>27</v>
      </c>
      <c r="Z295">
        <v>310</v>
      </c>
      <c r="AA295">
        <v>1337228.1200000001</v>
      </c>
      <c r="AB295" t="s">
        <v>28</v>
      </c>
      <c r="AD295" s="20">
        <v>45820</v>
      </c>
    </row>
    <row r="296" spans="1:30">
      <c r="A296">
        <v>311</v>
      </c>
      <c r="B296" t="str">
        <f>_xlfn.XLOOKUP(A296,Z:Z,AB:AB,"not found")</f>
        <v>USD</v>
      </c>
      <c r="C296">
        <f>_xlfn.XLOOKUP(A296,Z:Z,AA:AA)-_xlfn.XLOOKUP(A296,Q:Q,R:R,"0")</f>
        <v>1947.12</v>
      </c>
      <c r="D296">
        <f>C296*_xlfn.XLOOKUP(B296,AG:AG,AH:AH)</f>
        <v>1674.5231999999999</v>
      </c>
      <c r="E296">
        <f>C296*_xlfn.XLOOKUP(B296,AG:AG,AI:AI)</f>
        <v>1947.12</v>
      </c>
      <c r="F296">
        <v>1947.12</v>
      </c>
      <c r="G296">
        <f>F296*_xlfn.XLOOKUP(B296,AG:AG,AH:AH)</f>
        <v>1674.5231999999999</v>
      </c>
      <c r="H296">
        <f>F296*_xlfn.XLOOKUP(B296,AG:AG,AI:AI)</f>
        <v>1947.12</v>
      </c>
      <c r="I296">
        <f t="shared" si="22"/>
        <v>0</v>
      </c>
      <c r="J296">
        <f>I296*_xlfn.XLOOKUP(B296,AG:AG,AI:AI)</f>
        <v>0</v>
      </c>
      <c r="K296" s="7">
        <f>_xlfn.XLOOKUP(A296,Z:Z,AD:AD)</f>
        <v>45797</v>
      </c>
      <c r="L296" s="7">
        <f t="shared" si="23"/>
        <v>45767</v>
      </c>
      <c r="M296">
        <f t="shared" si="24"/>
        <v>4</v>
      </c>
      <c r="N296">
        <f t="shared" si="25"/>
        <v>2025</v>
      </c>
      <c r="Q296" s="22">
        <v>491</v>
      </c>
      <c r="R296" s="22">
        <v>5691</v>
      </c>
      <c r="S296" s="22" t="str">
        <f t="shared" si="26"/>
        <v>USD</v>
      </c>
      <c r="T296" s="22">
        <f>R296*_xlfn.XLOOKUP(S296,AG:AG,AI:AI)</f>
        <v>5691</v>
      </c>
      <c r="U296" s="22" t="s">
        <v>26</v>
      </c>
      <c r="W296" s="9">
        <v>245</v>
      </c>
      <c r="X296" s="9" t="s">
        <v>27</v>
      </c>
      <c r="Z296">
        <v>311</v>
      </c>
      <c r="AA296">
        <v>1947.12</v>
      </c>
      <c r="AB296" t="s">
        <v>29</v>
      </c>
      <c r="AD296" s="20">
        <v>45797</v>
      </c>
    </row>
    <row r="297" spans="1:30">
      <c r="A297">
        <v>312</v>
      </c>
      <c r="B297" t="str">
        <f>_xlfn.XLOOKUP(A297,Z:Z,AB:AB,"not found")</f>
        <v>USD</v>
      </c>
      <c r="C297">
        <f>_xlfn.XLOOKUP(A297,Z:Z,AA:AA)-_xlfn.XLOOKUP(A297,Q:Q,R:R,"0")</f>
        <v>1196</v>
      </c>
      <c r="D297">
        <f>C297*_xlfn.XLOOKUP(B297,AG:AG,AH:AH)</f>
        <v>1028.56</v>
      </c>
      <c r="E297">
        <f>C297*_xlfn.XLOOKUP(B297,AG:AG,AI:AI)</f>
        <v>1196</v>
      </c>
      <c r="F297">
        <v>1196</v>
      </c>
      <c r="G297">
        <f>F297*_xlfn.XLOOKUP(B297,AG:AG,AH:AH)</f>
        <v>1028.56</v>
      </c>
      <c r="H297">
        <f>F297*_xlfn.XLOOKUP(B297,AG:AG,AI:AI)</f>
        <v>1196</v>
      </c>
      <c r="I297">
        <f t="shared" si="22"/>
        <v>0</v>
      </c>
      <c r="J297">
        <f>I297*_xlfn.XLOOKUP(B297,AG:AG,AI:AI)</f>
        <v>0</v>
      </c>
      <c r="K297" s="7">
        <f>_xlfn.XLOOKUP(A297,Z:Z,AD:AD)</f>
        <v>45682</v>
      </c>
      <c r="L297" s="7">
        <f t="shared" si="23"/>
        <v>45652</v>
      </c>
      <c r="M297">
        <f t="shared" si="24"/>
        <v>12</v>
      </c>
      <c r="N297">
        <f t="shared" si="25"/>
        <v>2024</v>
      </c>
      <c r="Q297" s="22">
        <v>492</v>
      </c>
      <c r="R297" s="22">
        <v>84307</v>
      </c>
      <c r="S297" s="22" t="str">
        <f t="shared" si="26"/>
        <v>MXN</v>
      </c>
      <c r="T297" s="22">
        <f>R297*_xlfn.XLOOKUP(S297,AG:AG,AI:AI)</f>
        <v>4721.192</v>
      </c>
      <c r="U297" s="22" t="s">
        <v>26</v>
      </c>
      <c r="W297" s="9">
        <v>245</v>
      </c>
      <c r="X297" s="9" t="s">
        <v>27</v>
      </c>
      <c r="Z297">
        <v>312</v>
      </c>
      <c r="AA297">
        <v>1196</v>
      </c>
      <c r="AB297" t="s">
        <v>29</v>
      </c>
      <c r="AD297" s="20">
        <v>45682</v>
      </c>
    </row>
    <row r="298" spans="1:30">
      <c r="A298">
        <v>313</v>
      </c>
      <c r="B298" t="str">
        <f>_xlfn.XLOOKUP(A298,Z:Z,AB:AB,"not found")</f>
        <v>USD</v>
      </c>
      <c r="C298">
        <f>_xlfn.XLOOKUP(A298,Z:Z,AA:AA)-_xlfn.XLOOKUP(A298,Q:Q,R:R,"0")</f>
        <v>259.64999999999998</v>
      </c>
      <c r="D298">
        <f>C298*_xlfn.XLOOKUP(B298,AG:AG,AH:AH)</f>
        <v>223.29899999999998</v>
      </c>
      <c r="E298">
        <f>C298*_xlfn.XLOOKUP(B298,AG:AG,AI:AI)</f>
        <v>259.64999999999998</v>
      </c>
      <c r="F298">
        <v>259.64999999999998</v>
      </c>
      <c r="G298">
        <f>F298*_xlfn.XLOOKUP(B298,AG:AG,AH:AH)</f>
        <v>223.29899999999998</v>
      </c>
      <c r="H298">
        <f>F298*_xlfn.XLOOKUP(B298,AG:AG,AI:AI)</f>
        <v>259.64999999999998</v>
      </c>
      <c r="I298">
        <f t="shared" si="22"/>
        <v>0</v>
      </c>
      <c r="J298">
        <f>I298*_xlfn.XLOOKUP(B298,AG:AG,AI:AI)</f>
        <v>0</v>
      </c>
      <c r="K298" s="7">
        <f>_xlfn.XLOOKUP(A298,Z:Z,AD:AD)</f>
        <v>45675</v>
      </c>
      <c r="L298" s="7">
        <f t="shared" si="23"/>
        <v>45645</v>
      </c>
      <c r="M298">
        <f t="shared" si="24"/>
        <v>12</v>
      </c>
      <c r="N298">
        <f t="shared" si="25"/>
        <v>2024</v>
      </c>
      <c r="Q298" s="22">
        <v>496</v>
      </c>
      <c r="R298" s="22">
        <v>6947.73</v>
      </c>
      <c r="S298" s="22" t="str">
        <f t="shared" si="26"/>
        <v>USD</v>
      </c>
      <c r="T298" s="22">
        <f>R298*_xlfn.XLOOKUP(S298,AG:AG,AI:AI)</f>
        <v>6947.73</v>
      </c>
      <c r="U298" s="22" t="s">
        <v>26</v>
      </c>
      <c r="W298" s="9">
        <v>245</v>
      </c>
      <c r="X298" s="9" t="s">
        <v>27</v>
      </c>
      <c r="Z298">
        <v>313</v>
      </c>
      <c r="AA298">
        <v>259.64999999999998</v>
      </c>
      <c r="AB298" t="s">
        <v>29</v>
      </c>
      <c r="AD298" s="20">
        <v>45675</v>
      </c>
    </row>
    <row r="299" spans="1:30">
      <c r="A299">
        <v>314</v>
      </c>
      <c r="B299" t="str">
        <f>_xlfn.XLOOKUP(A299,Z:Z,AB:AB,"not found")</f>
        <v>USD</v>
      </c>
      <c r="C299">
        <f>_xlfn.XLOOKUP(A299,Z:Z,AA:AA)-_xlfn.XLOOKUP(A299,Q:Q,R:R,"0")</f>
        <v>0</v>
      </c>
      <c r="D299">
        <f>C299*_xlfn.XLOOKUP(B299,AG:AG,AH:AH)</f>
        <v>0</v>
      </c>
      <c r="E299">
        <f>C299*_xlfn.XLOOKUP(B299,AG:AG,AI:AI)</f>
        <v>0</v>
      </c>
      <c r="F299">
        <v>1029.26</v>
      </c>
      <c r="G299">
        <f>F299*_xlfn.XLOOKUP(B299,AG:AG,AH:AH)</f>
        <v>885.16359999999997</v>
      </c>
      <c r="H299">
        <f>F299*_xlfn.XLOOKUP(B299,AG:AG,AI:AI)</f>
        <v>1029.26</v>
      </c>
      <c r="I299">
        <f t="shared" si="22"/>
        <v>0</v>
      </c>
      <c r="J299">
        <f>I299*_xlfn.XLOOKUP(B299,AG:AG,AI:AI)</f>
        <v>0</v>
      </c>
      <c r="K299" s="7">
        <f>_xlfn.XLOOKUP(A299,Z:Z,AD:AD)</f>
        <v>45715</v>
      </c>
      <c r="L299" s="7">
        <f t="shared" si="23"/>
        <v>45685</v>
      </c>
      <c r="M299">
        <f t="shared" si="24"/>
        <v>1</v>
      </c>
      <c r="N299">
        <f t="shared" si="25"/>
        <v>2025</v>
      </c>
      <c r="Q299" s="22">
        <v>497</v>
      </c>
      <c r="R299" s="22">
        <v>4438</v>
      </c>
      <c r="S299" s="22" t="str">
        <f t="shared" si="26"/>
        <v>MXN</v>
      </c>
      <c r="T299" s="22">
        <f>R299*_xlfn.XLOOKUP(S299,AG:AG,AI:AI)</f>
        <v>248.52799999999999</v>
      </c>
      <c r="U299" s="22" t="s">
        <v>26</v>
      </c>
      <c r="W299" s="9">
        <v>246</v>
      </c>
      <c r="X299" s="9" t="s">
        <v>29</v>
      </c>
      <c r="Z299">
        <v>314</v>
      </c>
      <c r="AA299">
        <v>1029.26</v>
      </c>
      <c r="AB299" t="s">
        <v>29</v>
      </c>
      <c r="AD299" s="20">
        <v>45715</v>
      </c>
    </row>
    <row r="300" spans="1:30">
      <c r="A300">
        <v>315</v>
      </c>
      <c r="B300" t="str">
        <f>_xlfn.XLOOKUP(A300,Z:Z,AB:AB,"not found")</f>
        <v>USD</v>
      </c>
      <c r="C300">
        <f>_xlfn.XLOOKUP(A300,Z:Z,AA:AA)-_xlfn.XLOOKUP(A300,Q:Q,R:R,"0")</f>
        <v>0</v>
      </c>
      <c r="D300">
        <f>C300*_xlfn.XLOOKUP(B300,AG:AG,AH:AH)</f>
        <v>0</v>
      </c>
      <c r="E300">
        <f>C300*_xlfn.XLOOKUP(B300,AG:AG,AI:AI)</f>
        <v>0</v>
      </c>
      <c r="F300">
        <v>769.8</v>
      </c>
      <c r="G300">
        <f>F300*_xlfn.XLOOKUP(B300,AG:AG,AH:AH)</f>
        <v>662.02799999999991</v>
      </c>
      <c r="H300">
        <f>F300*_xlfn.XLOOKUP(B300,AG:AG,AI:AI)</f>
        <v>769.8</v>
      </c>
      <c r="I300">
        <f t="shared" si="22"/>
        <v>0</v>
      </c>
      <c r="J300">
        <f>I300*_xlfn.XLOOKUP(B300,AG:AG,AI:AI)</f>
        <v>0</v>
      </c>
      <c r="K300" s="7">
        <f>_xlfn.XLOOKUP(A300,Z:Z,AD:AD)</f>
        <v>45739</v>
      </c>
      <c r="L300" s="7">
        <f t="shared" si="23"/>
        <v>45709</v>
      </c>
      <c r="M300">
        <f t="shared" si="24"/>
        <v>2</v>
      </c>
      <c r="N300">
        <f t="shared" si="25"/>
        <v>2025</v>
      </c>
      <c r="Q300" s="22">
        <v>498</v>
      </c>
      <c r="R300" s="22">
        <v>25884.35</v>
      </c>
      <c r="S300" s="22" t="str">
        <f t="shared" si="26"/>
        <v>GPB</v>
      </c>
      <c r="T300" s="22">
        <f>R300*_xlfn.XLOOKUP(S300,AG:AG,AI:AI)</f>
        <v>34685.029000000002</v>
      </c>
      <c r="U300" s="22" t="s">
        <v>26</v>
      </c>
      <c r="W300" s="9">
        <v>248</v>
      </c>
      <c r="X300" s="9" t="s">
        <v>29</v>
      </c>
      <c r="Z300">
        <v>315</v>
      </c>
      <c r="AA300">
        <v>769.8</v>
      </c>
      <c r="AB300" t="s">
        <v>29</v>
      </c>
      <c r="AD300" s="20">
        <v>45739</v>
      </c>
    </row>
    <row r="301" spans="1:30">
      <c r="A301">
        <v>316</v>
      </c>
      <c r="B301" t="str">
        <f>_xlfn.XLOOKUP(A301,Z:Z,AB:AB,"not found")</f>
        <v>USD</v>
      </c>
      <c r="C301">
        <f>_xlfn.XLOOKUP(A301,Z:Z,AA:AA)-_xlfn.XLOOKUP(A301,Q:Q,R:R,"0")</f>
        <v>886.6</v>
      </c>
      <c r="D301">
        <f>C301*_xlfn.XLOOKUP(B301,AG:AG,AH:AH)</f>
        <v>762.476</v>
      </c>
      <c r="E301">
        <f>C301*_xlfn.XLOOKUP(B301,AG:AG,AI:AI)</f>
        <v>886.6</v>
      </c>
      <c r="F301">
        <v>886.6</v>
      </c>
      <c r="G301">
        <f>F301*_xlfn.XLOOKUP(B301,AG:AG,AH:AH)</f>
        <v>762.476</v>
      </c>
      <c r="H301">
        <f>F301*_xlfn.XLOOKUP(B301,AG:AG,AI:AI)</f>
        <v>886.6</v>
      </c>
      <c r="I301">
        <f t="shared" si="22"/>
        <v>0</v>
      </c>
      <c r="J301">
        <f>I301*_xlfn.XLOOKUP(B301,AG:AG,AI:AI)</f>
        <v>0</v>
      </c>
      <c r="K301" s="7">
        <f>_xlfn.XLOOKUP(A301,Z:Z,AD:AD)</f>
        <v>45742</v>
      </c>
      <c r="L301" s="7">
        <f t="shared" si="23"/>
        <v>45712</v>
      </c>
      <c r="M301">
        <f t="shared" si="24"/>
        <v>2</v>
      </c>
      <c r="N301">
        <f t="shared" si="25"/>
        <v>2025</v>
      </c>
      <c r="Q301" s="22">
        <v>499</v>
      </c>
      <c r="R301" s="22">
        <v>19682.599999999999</v>
      </c>
      <c r="S301" s="22" t="str">
        <f t="shared" si="26"/>
        <v>USD</v>
      </c>
      <c r="T301" s="22">
        <f>R301*_xlfn.XLOOKUP(S301,AG:AG,AI:AI)</f>
        <v>19682.599999999999</v>
      </c>
      <c r="U301" s="22" t="s">
        <v>26</v>
      </c>
      <c r="W301" s="9">
        <v>249</v>
      </c>
      <c r="X301" s="9" t="s">
        <v>29</v>
      </c>
      <c r="Z301">
        <v>316</v>
      </c>
      <c r="AA301">
        <v>886.6</v>
      </c>
      <c r="AB301" t="s">
        <v>29</v>
      </c>
      <c r="AD301" s="20">
        <v>45742</v>
      </c>
    </row>
    <row r="302" spans="1:30">
      <c r="A302">
        <v>317</v>
      </c>
      <c r="B302" t="str">
        <f>_xlfn.XLOOKUP(A302,Z:Z,AB:AB,"not found")</f>
        <v>USD</v>
      </c>
      <c r="C302">
        <f>_xlfn.XLOOKUP(A302,Z:Z,AA:AA)-_xlfn.XLOOKUP(A302,Q:Q,R:R,"0")</f>
        <v>0</v>
      </c>
      <c r="D302">
        <f>C302*_xlfn.XLOOKUP(B302,AG:AG,AH:AH)</f>
        <v>0</v>
      </c>
      <c r="E302">
        <f>C302*_xlfn.XLOOKUP(B302,AG:AG,AI:AI)</f>
        <v>0</v>
      </c>
      <c r="F302">
        <v>695.8</v>
      </c>
      <c r="G302">
        <f>F302*_xlfn.XLOOKUP(B302,AG:AG,AH:AH)</f>
        <v>598.38799999999992</v>
      </c>
      <c r="H302">
        <f>F302*_xlfn.XLOOKUP(B302,AG:AG,AI:AI)</f>
        <v>695.8</v>
      </c>
      <c r="I302">
        <f t="shared" si="22"/>
        <v>0</v>
      </c>
      <c r="J302">
        <f>I302*_xlfn.XLOOKUP(B302,AG:AG,AI:AI)</f>
        <v>0</v>
      </c>
      <c r="K302" s="7">
        <f>_xlfn.XLOOKUP(A302,Z:Z,AD:AD)</f>
        <v>45753</v>
      </c>
      <c r="L302" s="7">
        <f t="shared" si="23"/>
        <v>45723</v>
      </c>
      <c r="M302">
        <f t="shared" si="24"/>
        <v>3</v>
      </c>
      <c r="N302">
        <f t="shared" si="25"/>
        <v>2025</v>
      </c>
      <c r="Q302" s="22">
        <v>500</v>
      </c>
      <c r="R302" s="22">
        <v>11054.869999999999</v>
      </c>
      <c r="S302" s="22" t="str">
        <f t="shared" si="26"/>
        <v>EUR</v>
      </c>
      <c r="T302" s="22">
        <f>R302*_xlfn.XLOOKUP(S302,AG:AG,AI:AI)</f>
        <v>12823.649199999998</v>
      </c>
      <c r="U302" s="22" t="s">
        <v>26</v>
      </c>
      <c r="W302" s="9">
        <v>251</v>
      </c>
      <c r="X302" s="9" t="s">
        <v>27</v>
      </c>
      <c r="Z302">
        <v>317</v>
      </c>
      <c r="AA302">
        <v>695.8</v>
      </c>
      <c r="AB302" t="s">
        <v>29</v>
      </c>
      <c r="AD302" s="20">
        <v>45753</v>
      </c>
    </row>
    <row r="303" spans="1:30">
      <c r="A303">
        <v>318</v>
      </c>
      <c r="B303" t="str">
        <f>_xlfn.XLOOKUP(A303,Z:Z,AB:AB,"not found")</f>
        <v>USD</v>
      </c>
      <c r="C303">
        <f>_xlfn.XLOOKUP(A303,Z:Z,AA:AA)-_xlfn.XLOOKUP(A303,Q:Q,R:R,"0")</f>
        <v>0</v>
      </c>
      <c r="D303">
        <f>C303*_xlfn.XLOOKUP(B303,AG:AG,AH:AH)</f>
        <v>0</v>
      </c>
      <c r="E303">
        <f>C303*_xlfn.XLOOKUP(B303,AG:AG,AI:AI)</f>
        <v>0</v>
      </c>
      <c r="F303">
        <v>379</v>
      </c>
      <c r="G303">
        <f>F303*_xlfn.XLOOKUP(B303,AG:AG,AH:AH)</f>
        <v>325.94</v>
      </c>
      <c r="H303">
        <f>F303*_xlfn.XLOOKUP(B303,AG:AG,AI:AI)</f>
        <v>379</v>
      </c>
      <c r="I303">
        <f t="shared" si="22"/>
        <v>0</v>
      </c>
      <c r="J303">
        <f>I303*_xlfn.XLOOKUP(B303,AG:AG,AI:AI)</f>
        <v>0</v>
      </c>
      <c r="K303" s="7">
        <f>_xlfn.XLOOKUP(A303,Z:Z,AD:AD)</f>
        <v>45750</v>
      </c>
      <c r="L303" s="7">
        <f t="shared" si="23"/>
        <v>45720</v>
      </c>
      <c r="M303">
        <f t="shared" si="24"/>
        <v>3</v>
      </c>
      <c r="N303">
        <f t="shared" si="25"/>
        <v>2025</v>
      </c>
      <c r="Q303" s="22">
        <v>501</v>
      </c>
      <c r="R303" s="22">
        <v>11490</v>
      </c>
      <c r="S303" s="22" t="str">
        <f t="shared" si="26"/>
        <v>USD</v>
      </c>
      <c r="T303" s="22">
        <f>R303*_xlfn.XLOOKUP(S303,AG:AG,AI:AI)</f>
        <v>11490</v>
      </c>
      <c r="U303" s="22" t="s">
        <v>26</v>
      </c>
      <c r="W303" s="9">
        <v>251</v>
      </c>
      <c r="X303" s="9" t="s">
        <v>27</v>
      </c>
      <c r="Z303">
        <v>318</v>
      </c>
      <c r="AA303">
        <v>379</v>
      </c>
      <c r="AB303" t="s">
        <v>29</v>
      </c>
      <c r="AD303" s="20">
        <v>45750</v>
      </c>
    </row>
    <row r="304" spans="1:30">
      <c r="A304">
        <v>319</v>
      </c>
      <c r="B304" t="str">
        <f>_xlfn.XLOOKUP(A304,Z:Z,AB:AB,"not found")</f>
        <v>USD</v>
      </c>
      <c r="C304">
        <f>_xlfn.XLOOKUP(A304,Z:Z,AA:AA)-_xlfn.XLOOKUP(A304,Q:Q,R:R,"0")</f>
        <v>0</v>
      </c>
      <c r="D304">
        <f>C304*_xlfn.XLOOKUP(B304,AG:AG,AH:AH)</f>
        <v>0</v>
      </c>
      <c r="E304">
        <f>C304*_xlfn.XLOOKUP(B304,AG:AG,AI:AI)</f>
        <v>0</v>
      </c>
      <c r="F304">
        <v>866.4</v>
      </c>
      <c r="G304">
        <f>F304*_xlfn.XLOOKUP(B304,AG:AG,AH:AH)</f>
        <v>745.10399999999993</v>
      </c>
      <c r="H304">
        <f>F304*_xlfn.XLOOKUP(B304,AG:AG,AI:AI)</f>
        <v>866.4</v>
      </c>
      <c r="I304">
        <f t="shared" si="22"/>
        <v>0</v>
      </c>
      <c r="J304">
        <f>I304*_xlfn.XLOOKUP(B304,AG:AG,AI:AI)</f>
        <v>0</v>
      </c>
      <c r="K304" s="7">
        <f>_xlfn.XLOOKUP(A304,Z:Z,AD:AD)</f>
        <v>45758</v>
      </c>
      <c r="L304" s="7">
        <f t="shared" si="23"/>
        <v>45728</v>
      </c>
      <c r="M304">
        <f t="shared" si="24"/>
        <v>3</v>
      </c>
      <c r="N304">
        <f t="shared" si="25"/>
        <v>2025</v>
      </c>
      <c r="Q304" s="22">
        <v>505</v>
      </c>
      <c r="R304" s="22">
        <v>8631.9599999999991</v>
      </c>
      <c r="S304" s="22" t="str">
        <f t="shared" si="26"/>
        <v>EUR</v>
      </c>
      <c r="T304" s="22">
        <f>R304*_xlfn.XLOOKUP(S304,AG:AG,AI:AI)</f>
        <v>10013.073599999998</v>
      </c>
      <c r="U304" s="22" t="s">
        <v>26</v>
      </c>
      <c r="W304" s="9">
        <v>251</v>
      </c>
      <c r="X304" s="9" t="s">
        <v>27</v>
      </c>
      <c r="Z304">
        <v>319</v>
      </c>
      <c r="AA304">
        <v>866.4</v>
      </c>
      <c r="AB304" t="s">
        <v>29</v>
      </c>
      <c r="AD304" s="20">
        <v>45758</v>
      </c>
    </row>
    <row r="305" spans="1:30">
      <c r="A305">
        <v>320</v>
      </c>
      <c r="B305" t="str">
        <f>_xlfn.XLOOKUP(A305,Z:Z,AB:AB,"not found")</f>
        <v>USD</v>
      </c>
      <c r="C305">
        <f>_xlfn.XLOOKUP(A305,Z:Z,AA:AA)-_xlfn.XLOOKUP(A305,Q:Q,R:R,"0")</f>
        <v>1916</v>
      </c>
      <c r="D305">
        <f>C305*_xlfn.XLOOKUP(B305,AG:AG,AH:AH)</f>
        <v>1647.76</v>
      </c>
      <c r="E305">
        <f>C305*_xlfn.XLOOKUP(B305,AG:AG,AI:AI)</f>
        <v>1916</v>
      </c>
      <c r="F305">
        <v>1916</v>
      </c>
      <c r="G305">
        <f>F305*_xlfn.XLOOKUP(B305,AG:AG,AH:AH)</f>
        <v>1647.76</v>
      </c>
      <c r="H305">
        <f>F305*_xlfn.XLOOKUP(B305,AG:AG,AI:AI)</f>
        <v>1916</v>
      </c>
      <c r="I305">
        <f t="shared" si="22"/>
        <v>0</v>
      </c>
      <c r="J305">
        <f>I305*_xlfn.XLOOKUP(B305,AG:AG,AI:AI)</f>
        <v>0</v>
      </c>
      <c r="K305" s="7">
        <f>_xlfn.XLOOKUP(A305,Z:Z,AD:AD)</f>
        <v>45750</v>
      </c>
      <c r="L305" s="7">
        <f t="shared" si="23"/>
        <v>45720</v>
      </c>
      <c r="M305">
        <f t="shared" si="24"/>
        <v>3</v>
      </c>
      <c r="N305">
        <f t="shared" si="25"/>
        <v>2025</v>
      </c>
      <c r="Q305" s="22">
        <v>506</v>
      </c>
      <c r="R305" s="22">
        <v>6474.1</v>
      </c>
      <c r="S305" s="22" t="str">
        <f t="shared" si="26"/>
        <v>EUR</v>
      </c>
      <c r="T305" s="22">
        <f>R305*_xlfn.XLOOKUP(S305,AG:AG,AI:AI)</f>
        <v>7509.9560000000001</v>
      </c>
      <c r="U305" s="22" t="s">
        <v>26</v>
      </c>
      <c r="W305" s="9">
        <v>251</v>
      </c>
      <c r="X305" s="9" t="s">
        <v>27</v>
      </c>
      <c r="Z305">
        <v>320</v>
      </c>
      <c r="AA305">
        <v>1916</v>
      </c>
      <c r="AB305" t="s">
        <v>29</v>
      </c>
      <c r="AD305" s="20">
        <v>45750</v>
      </c>
    </row>
    <row r="306" spans="1:30">
      <c r="A306">
        <v>321</v>
      </c>
      <c r="B306" t="str">
        <f>_xlfn.XLOOKUP(A306,Z:Z,AB:AB,"not found")</f>
        <v>USD</v>
      </c>
      <c r="C306">
        <f>_xlfn.XLOOKUP(A306,Z:Z,AA:AA)-_xlfn.XLOOKUP(A306,Q:Q,R:R,"0")</f>
        <v>0</v>
      </c>
      <c r="D306">
        <f>C306*_xlfn.XLOOKUP(B306,AG:AG,AH:AH)</f>
        <v>0</v>
      </c>
      <c r="E306">
        <f>C306*_xlfn.XLOOKUP(B306,AG:AG,AI:AI)</f>
        <v>0</v>
      </c>
      <c r="F306">
        <v>261.60000000000002</v>
      </c>
      <c r="G306">
        <f>F306*_xlfn.XLOOKUP(B306,AG:AG,AH:AH)</f>
        <v>224.97600000000003</v>
      </c>
      <c r="H306">
        <f>F306*_xlfn.XLOOKUP(B306,AG:AG,AI:AI)</f>
        <v>261.60000000000002</v>
      </c>
      <c r="I306">
        <f t="shared" si="22"/>
        <v>0</v>
      </c>
      <c r="J306">
        <f>I306*_xlfn.XLOOKUP(B306,AG:AG,AI:AI)</f>
        <v>0</v>
      </c>
      <c r="K306" s="7">
        <f>_xlfn.XLOOKUP(A306,Z:Z,AD:AD)</f>
        <v>45755</v>
      </c>
      <c r="L306" s="7">
        <f t="shared" si="23"/>
        <v>45725</v>
      </c>
      <c r="M306">
        <f t="shared" si="24"/>
        <v>3</v>
      </c>
      <c r="N306">
        <f t="shared" si="25"/>
        <v>2025</v>
      </c>
      <c r="Q306" s="22">
        <v>507</v>
      </c>
      <c r="R306" s="22">
        <v>10798.04</v>
      </c>
      <c r="S306" s="22" t="str">
        <f t="shared" si="26"/>
        <v>USD</v>
      </c>
      <c r="T306" s="22">
        <f>R306*_xlfn.XLOOKUP(S306,AG:AG,AI:AI)</f>
        <v>10798.04</v>
      </c>
      <c r="U306" s="22" t="s">
        <v>26</v>
      </c>
      <c r="W306" s="9">
        <v>251</v>
      </c>
      <c r="X306" s="9" t="s">
        <v>27</v>
      </c>
      <c r="Z306">
        <v>321</v>
      </c>
      <c r="AA306">
        <v>261.60000000000002</v>
      </c>
      <c r="AB306" t="s">
        <v>29</v>
      </c>
      <c r="AD306" s="20">
        <v>45755</v>
      </c>
    </row>
    <row r="307" spans="1:30">
      <c r="A307">
        <v>322</v>
      </c>
      <c r="B307" t="str">
        <f>_xlfn.XLOOKUP(A307,Z:Z,AB:AB,"not found")</f>
        <v>USD</v>
      </c>
      <c r="C307">
        <f>_xlfn.XLOOKUP(A307,Z:Z,AA:AA)-_xlfn.XLOOKUP(A307,Q:Q,R:R,"0")</f>
        <v>0</v>
      </c>
      <c r="D307">
        <f>C307*_xlfn.XLOOKUP(B307,AG:AG,AH:AH)</f>
        <v>0</v>
      </c>
      <c r="E307">
        <f>C307*_xlfn.XLOOKUP(B307,AG:AG,AI:AI)</f>
        <v>0</v>
      </c>
      <c r="F307">
        <v>1401</v>
      </c>
      <c r="G307">
        <f>F307*_xlfn.XLOOKUP(B307,AG:AG,AH:AH)</f>
        <v>1204.8599999999999</v>
      </c>
      <c r="H307">
        <f>F307*_xlfn.XLOOKUP(B307,AG:AG,AI:AI)</f>
        <v>1401</v>
      </c>
      <c r="I307">
        <f t="shared" si="22"/>
        <v>0</v>
      </c>
      <c r="J307">
        <f>I307*_xlfn.XLOOKUP(B307,AG:AG,AI:AI)</f>
        <v>0</v>
      </c>
      <c r="K307" s="7">
        <f>_xlfn.XLOOKUP(A307,Z:Z,AD:AD)</f>
        <v>45844</v>
      </c>
      <c r="L307" s="7">
        <f t="shared" si="23"/>
        <v>45814</v>
      </c>
      <c r="M307">
        <f t="shared" si="24"/>
        <v>6</v>
      </c>
      <c r="N307">
        <f t="shared" si="25"/>
        <v>2025</v>
      </c>
      <c r="Q307" s="22">
        <v>508</v>
      </c>
      <c r="R307" s="22">
        <v>7119</v>
      </c>
      <c r="S307" s="22" t="str">
        <f t="shared" si="26"/>
        <v>GPB</v>
      </c>
      <c r="T307" s="22">
        <f>R307*_xlfn.XLOOKUP(S307,AG:AG,AI:AI)</f>
        <v>9539.4600000000009</v>
      </c>
      <c r="U307" s="22" t="s">
        <v>26</v>
      </c>
      <c r="W307" s="9">
        <v>252</v>
      </c>
      <c r="X307" s="9" t="s">
        <v>29</v>
      </c>
      <c r="Z307">
        <v>322</v>
      </c>
      <c r="AA307">
        <v>1401</v>
      </c>
      <c r="AB307" t="s">
        <v>29</v>
      </c>
      <c r="AD307" s="20">
        <v>45844</v>
      </c>
    </row>
    <row r="308" spans="1:30">
      <c r="A308">
        <v>323</v>
      </c>
      <c r="B308" t="str">
        <f>_xlfn.XLOOKUP(A308,Z:Z,AB:AB,"not found")</f>
        <v>MXN</v>
      </c>
      <c r="C308">
        <f>_xlfn.XLOOKUP(A308,Z:Z,AA:AA)-_xlfn.XLOOKUP(A308,Q:Q,R:R,"0")</f>
        <v>0</v>
      </c>
      <c r="D308">
        <f>C308*_xlfn.XLOOKUP(B308,AG:AG,AH:AH)</f>
        <v>0</v>
      </c>
      <c r="E308">
        <f>C308*_xlfn.XLOOKUP(B308,AG:AG,AI:AI)</f>
        <v>0</v>
      </c>
      <c r="F308">
        <v>59530</v>
      </c>
      <c r="G308">
        <f>F308*_xlfn.XLOOKUP(B308,AG:AG,AH:AH)</f>
        <v>2857.44</v>
      </c>
      <c r="H308">
        <f>F308*_xlfn.XLOOKUP(B308,AG:AG,AI:AI)</f>
        <v>3333.6800000000003</v>
      </c>
      <c r="I308">
        <f t="shared" si="22"/>
        <v>0</v>
      </c>
      <c r="J308">
        <f>I308*_xlfn.XLOOKUP(B308,AG:AG,AI:AI)</f>
        <v>0</v>
      </c>
      <c r="K308" s="7">
        <f>_xlfn.XLOOKUP(A308,Z:Z,AD:AD)</f>
        <v>45817</v>
      </c>
      <c r="L308" s="7">
        <f t="shared" si="23"/>
        <v>45787</v>
      </c>
      <c r="M308">
        <f t="shared" si="24"/>
        <v>5</v>
      </c>
      <c r="N308">
        <f t="shared" si="25"/>
        <v>2025</v>
      </c>
      <c r="Q308" s="22">
        <v>509</v>
      </c>
      <c r="R308" s="22">
        <v>2789.02</v>
      </c>
      <c r="S308" s="22" t="str">
        <f t="shared" si="26"/>
        <v>USD</v>
      </c>
      <c r="T308" s="22">
        <f>R308*_xlfn.XLOOKUP(S308,AG:AG,AI:AI)</f>
        <v>2789.02</v>
      </c>
      <c r="U308" s="22" t="s">
        <v>26</v>
      </c>
      <c r="W308" s="9">
        <v>252</v>
      </c>
      <c r="X308" s="9" t="s">
        <v>29</v>
      </c>
      <c r="Z308">
        <v>323</v>
      </c>
      <c r="AA308">
        <v>59530</v>
      </c>
      <c r="AB308" t="s">
        <v>28</v>
      </c>
      <c r="AD308" s="20">
        <v>45817</v>
      </c>
    </row>
    <row r="309" spans="1:30">
      <c r="A309">
        <v>324</v>
      </c>
      <c r="B309" t="str">
        <f>_xlfn.XLOOKUP(A309,Z:Z,AB:AB,"not found")</f>
        <v>MXN</v>
      </c>
      <c r="C309">
        <f>_xlfn.XLOOKUP(A309,Z:Z,AA:AA)-_xlfn.XLOOKUP(A309,Q:Q,R:R,"0")</f>
        <v>0</v>
      </c>
      <c r="D309">
        <f>C309*_xlfn.XLOOKUP(B309,AG:AG,AH:AH)</f>
        <v>0</v>
      </c>
      <c r="E309">
        <f>C309*_xlfn.XLOOKUP(B309,AG:AG,AI:AI)</f>
        <v>0</v>
      </c>
      <c r="F309">
        <v>54735</v>
      </c>
      <c r="G309">
        <f>F309*_xlfn.XLOOKUP(B309,AG:AG,AH:AH)</f>
        <v>2627.28</v>
      </c>
      <c r="H309">
        <f>F309*_xlfn.XLOOKUP(B309,AG:AG,AI:AI)</f>
        <v>3065.16</v>
      </c>
      <c r="I309">
        <f t="shared" si="22"/>
        <v>0</v>
      </c>
      <c r="J309">
        <f>I309*_xlfn.XLOOKUP(B309,AG:AG,AI:AI)</f>
        <v>0</v>
      </c>
      <c r="K309" s="7">
        <f>_xlfn.XLOOKUP(A309,Z:Z,AD:AD)</f>
        <v>45831</v>
      </c>
      <c r="L309" s="7">
        <f t="shared" si="23"/>
        <v>45801</v>
      </c>
      <c r="M309">
        <f t="shared" si="24"/>
        <v>5</v>
      </c>
      <c r="N309">
        <f t="shared" si="25"/>
        <v>2025</v>
      </c>
      <c r="Q309" s="22">
        <v>510</v>
      </c>
      <c r="R309" s="22">
        <v>19967.13</v>
      </c>
      <c r="S309" s="22" t="str">
        <f t="shared" si="26"/>
        <v>USD</v>
      </c>
      <c r="T309" s="22">
        <f>R309*_xlfn.XLOOKUP(S309,AG:AG,AI:AI)</f>
        <v>19967.13</v>
      </c>
      <c r="U309" s="22" t="s">
        <v>26</v>
      </c>
      <c r="W309" s="9">
        <v>252</v>
      </c>
      <c r="X309" s="9" t="s">
        <v>29</v>
      </c>
      <c r="Z309">
        <v>324</v>
      </c>
      <c r="AA309">
        <v>54735</v>
      </c>
      <c r="AB309" t="s">
        <v>28</v>
      </c>
      <c r="AD309" s="20">
        <v>45831</v>
      </c>
    </row>
    <row r="310" spans="1:30">
      <c r="A310">
        <v>325</v>
      </c>
      <c r="B310" t="str">
        <f>_xlfn.XLOOKUP(A310,Z:Z,AB:AB,"not found")</f>
        <v>MXN</v>
      </c>
      <c r="C310">
        <f>_xlfn.XLOOKUP(A310,Z:Z,AA:AA)-_xlfn.XLOOKUP(A310,Q:Q,R:R,"0")</f>
        <v>0</v>
      </c>
      <c r="D310">
        <f>C310*_xlfn.XLOOKUP(B310,AG:AG,AH:AH)</f>
        <v>0</v>
      </c>
      <c r="E310">
        <f>C310*_xlfn.XLOOKUP(B310,AG:AG,AI:AI)</f>
        <v>0</v>
      </c>
      <c r="F310">
        <v>127330</v>
      </c>
      <c r="G310">
        <f>F310*_xlfn.XLOOKUP(B310,AG:AG,AH:AH)</f>
        <v>6111.84</v>
      </c>
      <c r="H310">
        <f>F310*_xlfn.XLOOKUP(B310,AG:AG,AI:AI)</f>
        <v>7130.4800000000005</v>
      </c>
      <c r="I310">
        <f t="shared" si="22"/>
        <v>0</v>
      </c>
      <c r="J310">
        <f>I310*_xlfn.XLOOKUP(B310,AG:AG,AI:AI)</f>
        <v>0</v>
      </c>
      <c r="K310" s="7">
        <f>_xlfn.XLOOKUP(A310,Z:Z,AD:AD)</f>
        <v>45881</v>
      </c>
      <c r="L310" s="7">
        <f t="shared" si="23"/>
        <v>45851</v>
      </c>
      <c r="M310">
        <f t="shared" si="24"/>
        <v>7</v>
      </c>
      <c r="N310">
        <f t="shared" si="25"/>
        <v>2025</v>
      </c>
      <c r="Q310" s="22">
        <v>511</v>
      </c>
      <c r="R310" s="22">
        <v>25252.01</v>
      </c>
      <c r="S310" s="22" t="str">
        <f t="shared" si="26"/>
        <v>CHF</v>
      </c>
      <c r="T310" s="22">
        <f>R310*_xlfn.XLOOKUP(S310,AG:AG,AI:AI)</f>
        <v>31565.012499999997</v>
      </c>
      <c r="U310" s="22" t="s">
        <v>26</v>
      </c>
      <c r="W310" s="9">
        <v>252</v>
      </c>
      <c r="X310" s="9" t="s">
        <v>29</v>
      </c>
      <c r="Z310">
        <v>325</v>
      </c>
      <c r="AA310">
        <v>127330</v>
      </c>
      <c r="AB310" t="s">
        <v>28</v>
      </c>
      <c r="AD310" s="20">
        <v>45881</v>
      </c>
    </row>
    <row r="311" spans="1:30">
      <c r="A311">
        <v>326</v>
      </c>
      <c r="B311" t="str">
        <f>_xlfn.XLOOKUP(A311,Z:Z,AB:AB,"not found")</f>
        <v>EUR</v>
      </c>
      <c r="C311">
        <f>_xlfn.XLOOKUP(A311,Z:Z,AA:AA)-_xlfn.XLOOKUP(A311,Q:Q,R:R,"0")</f>
        <v>0</v>
      </c>
      <c r="D311">
        <f>C311*_xlfn.XLOOKUP(B311,AG:AG,AH:AH)</f>
        <v>0</v>
      </c>
      <c r="E311">
        <f>C311*_xlfn.XLOOKUP(B311,AG:AG,AI:AI)</f>
        <v>0</v>
      </c>
      <c r="F311">
        <v>525</v>
      </c>
      <c r="G311">
        <f>F311*_xlfn.XLOOKUP(B311,AG:AG,AH:AH)</f>
        <v>525</v>
      </c>
      <c r="H311">
        <f>F311*_xlfn.XLOOKUP(B311,AG:AG,AI:AI)</f>
        <v>609</v>
      </c>
      <c r="I311">
        <f t="shared" si="22"/>
        <v>0</v>
      </c>
      <c r="J311">
        <f>I311*_xlfn.XLOOKUP(B311,AG:AG,AI:AI)</f>
        <v>0</v>
      </c>
      <c r="K311" s="7">
        <f>_xlfn.XLOOKUP(A311,Z:Z,AD:AD)</f>
        <v>45693</v>
      </c>
      <c r="L311" s="7">
        <f t="shared" si="23"/>
        <v>45663</v>
      </c>
      <c r="M311">
        <f t="shared" si="24"/>
        <v>1</v>
      </c>
      <c r="N311">
        <f t="shared" si="25"/>
        <v>2025</v>
      </c>
      <c r="Q311" s="22">
        <v>513</v>
      </c>
      <c r="R311" s="22">
        <v>38417.67</v>
      </c>
      <c r="S311" s="22" t="str">
        <f t="shared" si="26"/>
        <v>USD</v>
      </c>
      <c r="T311" s="22">
        <f>R311*_xlfn.XLOOKUP(S311,AG:AG,AI:AI)</f>
        <v>38417.67</v>
      </c>
      <c r="U311" s="22" t="s">
        <v>26</v>
      </c>
      <c r="W311" s="9">
        <v>253</v>
      </c>
      <c r="X311" s="9" t="s">
        <v>29</v>
      </c>
      <c r="Z311">
        <v>326</v>
      </c>
      <c r="AA311">
        <v>525</v>
      </c>
      <c r="AB311" t="s">
        <v>27</v>
      </c>
      <c r="AD311" s="20">
        <v>45693</v>
      </c>
    </row>
    <row r="312" spans="1:30">
      <c r="A312">
        <v>327</v>
      </c>
      <c r="B312" t="str">
        <f>_xlfn.XLOOKUP(A312,Z:Z,AB:AB,"not found")</f>
        <v>USD</v>
      </c>
      <c r="C312">
        <f>_xlfn.XLOOKUP(A312,Z:Z,AA:AA)-_xlfn.XLOOKUP(A312,Q:Q,R:R,"0")</f>
        <v>0</v>
      </c>
      <c r="D312">
        <f>C312*_xlfn.XLOOKUP(B312,AG:AG,AH:AH)</f>
        <v>0</v>
      </c>
      <c r="E312">
        <f>C312*_xlfn.XLOOKUP(B312,AG:AG,AI:AI)</f>
        <v>0</v>
      </c>
      <c r="F312">
        <v>10449.41</v>
      </c>
      <c r="G312">
        <f>F312*_xlfn.XLOOKUP(B312,AG:AG,AH:AH)</f>
        <v>8986.4925999999996</v>
      </c>
      <c r="H312">
        <f>F312*_xlfn.XLOOKUP(B312,AG:AG,AI:AI)</f>
        <v>10449.41</v>
      </c>
      <c r="I312">
        <f t="shared" si="22"/>
        <v>0</v>
      </c>
      <c r="J312">
        <f>I312*_xlfn.XLOOKUP(B312,AG:AG,AI:AI)</f>
        <v>0</v>
      </c>
      <c r="K312" s="7">
        <f>_xlfn.XLOOKUP(A312,Z:Z,AD:AD)</f>
        <v>45755</v>
      </c>
      <c r="L312" s="7">
        <f t="shared" si="23"/>
        <v>45725</v>
      </c>
      <c r="M312">
        <f t="shared" si="24"/>
        <v>3</v>
      </c>
      <c r="N312">
        <f t="shared" si="25"/>
        <v>2025</v>
      </c>
      <c r="Q312" s="22">
        <v>514</v>
      </c>
      <c r="R312" s="22">
        <v>60840</v>
      </c>
      <c r="S312" s="22" t="str">
        <f t="shared" si="26"/>
        <v>MXN</v>
      </c>
      <c r="T312" s="22">
        <f>R312*_xlfn.XLOOKUP(S312,AG:AG,AI:AI)</f>
        <v>3407.04</v>
      </c>
      <c r="U312" s="22" t="s">
        <v>26</v>
      </c>
      <c r="W312" s="9">
        <v>258</v>
      </c>
      <c r="X312" s="9" t="s">
        <v>27</v>
      </c>
      <c r="Z312">
        <v>327</v>
      </c>
      <c r="AA312">
        <v>10449.41</v>
      </c>
      <c r="AB312" t="s">
        <v>29</v>
      </c>
      <c r="AD312" s="20">
        <v>45755</v>
      </c>
    </row>
    <row r="313" spans="1:30">
      <c r="A313">
        <v>328</v>
      </c>
      <c r="B313" t="str">
        <f>_xlfn.XLOOKUP(A313,Z:Z,AB:AB,"not found")</f>
        <v>USD</v>
      </c>
      <c r="C313">
        <f>_xlfn.XLOOKUP(A313,Z:Z,AA:AA)-_xlfn.XLOOKUP(A313,Q:Q,R:R,"0")</f>
        <v>8757.1</v>
      </c>
      <c r="D313">
        <f>C313*_xlfn.XLOOKUP(B313,AG:AG,AH:AH)</f>
        <v>7531.1059999999998</v>
      </c>
      <c r="E313">
        <f>C313*_xlfn.XLOOKUP(B313,AG:AG,AI:AI)</f>
        <v>8757.1</v>
      </c>
      <c r="F313">
        <v>8757.1</v>
      </c>
      <c r="G313">
        <f>F313*_xlfn.XLOOKUP(B313,AG:AG,AH:AH)</f>
        <v>7531.1059999999998</v>
      </c>
      <c r="H313">
        <f>F313*_xlfn.XLOOKUP(B313,AG:AG,AI:AI)</f>
        <v>8757.1</v>
      </c>
      <c r="I313">
        <f t="shared" si="22"/>
        <v>0</v>
      </c>
      <c r="J313">
        <f>I313*_xlfn.XLOOKUP(B313,AG:AG,AI:AI)</f>
        <v>0</v>
      </c>
      <c r="K313" s="7">
        <f>_xlfn.XLOOKUP(A313,Z:Z,AD:AD)</f>
        <v>45791</v>
      </c>
      <c r="L313" s="7">
        <f t="shared" si="23"/>
        <v>45761</v>
      </c>
      <c r="M313">
        <f t="shared" si="24"/>
        <v>4</v>
      </c>
      <c r="N313">
        <f t="shared" si="25"/>
        <v>2025</v>
      </c>
      <c r="Q313" s="22">
        <v>515</v>
      </c>
      <c r="R313" s="22">
        <v>11020.8</v>
      </c>
      <c r="S313" s="22" t="str">
        <f t="shared" si="26"/>
        <v>EUR</v>
      </c>
      <c r="T313" s="22">
        <f>R313*_xlfn.XLOOKUP(S313,AG:AG,AI:AI)</f>
        <v>12784.127999999999</v>
      </c>
      <c r="U313" s="22" t="s">
        <v>26</v>
      </c>
      <c r="W313" s="9">
        <v>259</v>
      </c>
      <c r="X313" s="9" t="s">
        <v>29</v>
      </c>
      <c r="Z313">
        <v>328</v>
      </c>
      <c r="AA313">
        <v>8757.1</v>
      </c>
      <c r="AB313" t="s">
        <v>29</v>
      </c>
      <c r="AD313" s="20">
        <v>45791</v>
      </c>
    </row>
    <row r="314" spans="1:30">
      <c r="A314">
        <v>329</v>
      </c>
      <c r="B314" t="str">
        <f>_xlfn.XLOOKUP(A314,Z:Z,AB:AB,"not found")</f>
        <v>USD</v>
      </c>
      <c r="C314">
        <f>_xlfn.XLOOKUP(A314,Z:Z,AA:AA)-_xlfn.XLOOKUP(A314,Q:Q,R:R,"0")</f>
        <v>-1838.0199999999968</v>
      </c>
      <c r="D314">
        <f>C314*_xlfn.XLOOKUP(B314,AG:AG,AH:AH)</f>
        <v>-1580.6971999999971</v>
      </c>
      <c r="E314">
        <f>C314*_xlfn.XLOOKUP(B314,AG:AG,AI:AI)</f>
        <v>-1838.0199999999968</v>
      </c>
      <c r="F314">
        <v>35071.980000000003</v>
      </c>
      <c r="G314">
        <f>F314*_xlfn.XLOOKUP(B314,AG:AG,AH:AH)</f>
        <v>30161.902800000003</v>
      </c>
      <c r="H314">
        <f>F314*_xlfn.XLOOKUP(B314,AG:AG,AI:AI)</f>
        <v>35071.980000000003</v>
      </c>
      <c r="I314">
        <f t="shared" si="22"/>
        <v>0</v>
      </c>
      <c r="J314">
        <f>I314*_xlfn.XLOOKUP(B314,AG:AG,AI:AI)</f>
        <v>0</v>
      </c>
      <c r="K314" s="7">
        <f>_xlfn.XLOOKUP(A314,Z:Z,AD:AD)</f>
        <v>45748</v>
      </c>
      <c r="L314" s="7">
        <f t="shared" si="23"/>
        <v>45718</v>
      </c>
      <c r="M314">
        <f t="shared" si="24"/>
        <v>3</v>
      </c>
      <c r="N314">
        <f t="shared" si="25"/>
        <v>2025</v>
      </c>
      <c r="Q314" s="22">
        <v>516</v>
      </c>
      <c r="R314" s="22">
        <v>7872</v>
      </c>
      <c r="S314" s="22" t="str">
        <f t="shared" si="26"/>
        <v>EUR</v>
      </c>
      <c r="T314" s="22">
        <f>R314*_xlfn.XLOOKUP(S314,AG:AG,AI:AI)</f>
        <v>9131.5199999999986</v>
      </c>
      <c r="U314" s="22" t="s">
        <v>26</v>
      </c>
      <c r="W314" s="9">
        <v>259</v>
      </c>
      <c r="X314" s="9" t="s">
        <v>29</v>
      </c>
      <c r="Z314">
        <v>329</v>
      </c>
      <c r="AA314">
        <v>35071.980000000003</v>
      </c>
      <c r="AB314" t="s">
        <v>29</v>
      </c>
      <c r="AD314" s="20">
        <v>45748</v>
      </c>
    </row>
    <row r="315" spans="1:30">
      <c r="A315">
        <v>330</v>
      </c>
      <c r="B315" t="str">
        <f>_xlfn.XLOOKUP(A315,Z:Z,AB:AB,"not found")</f>
        <v>USD</v>
      </c>
      <c r="C315">
        <f>_xlfn.XLOOKUP(A315,Z:Z,AA:AA)-_xlfn.XLOOKUP(A315,Q:Q,R:R,"0")</f>
        <v>15861.94</v>
      </c>
      <c r="D315">
        <f>C315*_xlfn.XLOOKUP(B315,AG:AG,AH:AH)</f>
        <v>13641.268400000001</v>
      </c>
      <c r="E315">
        <f>C315*_xlfn.XLOOKUP(B315,AG:AG,AI:AI)</f>
        <v>15861.94</v>
      </c>
      <c r="F315">
        <v>15861.94</v>
      </c>
      <c r="G315">
        <f>F315*_xlfn.XLOOKUP(B315,AG:AG,AH:AH)</f>
        <v>13641.268400000001</v>
      </c>
      <c r="H315">
        <f>F315*_xlfn.XLOOKUP(B315,AG:AG,AI:AI)</f>
        <v>15861.94</v>
      </c>
      <c r="I315">
        <f t="shared" si="22"/>
        <v>0</v>
      </c>
      <c r="J315">
        <f>I315*_xlfn.XLOOKUP(B315,AG:AG,AI:AI)</f>
        <v>0</v>
      </c>
      <c r="K315" s="7">
        <f>_xlfn.XLOOKUP(A315,Z:Z,AD:AD)</f>
        <v>45794</v>
      </c>
      <c r="L315" s="7">
        <f t="shared" si="23"/>
        <v>45764</v>
      </c>
      <c r="M315">
        <f t="shared" si="24"/>
        <v>4</v>
      </c>
      <c r="N315">
        <f t="shared" si="25"/>
        <v>2025</v>
      </c>
      <c r="Q315" s="22">
        <v>518</v>
      </c>
      <c r="R315" s="22">
        <v>1497.6</v>
      </c>
      <c r="S315" s="22" t="str">
        <f t="shared" si="26"/>
        <v>USD</v>
      </c>
      <c r="T315" s="22">
        <f>R315*_xlfn.XLOOKUP(S315,AG:AG,AI:AI)</f>
        <v>1497.6</v>
      </c>
      <c r="U315" s="22" t="s">
        <v>26</v>
      </c>
      <c r="W315" s="9">
        <v>259</v>
      </c>
      <c r="X315" s="9" t="s">
        <v>29</v>
      </c>
      <c r="Z315">
        <v>330</v>
      </c>
      <c r="AA315">
        <v>15861.94</v>
      </c>
      <c r="AB315" t="s">
        <v>29</v>
      </c>
      <c r="AD315" s="20">
        <v>45794</v>
      </c>
    </row>
    <row r="316" spans="1:30">
      <c r="A316">
        <v>331</v>
      </c>
      <c r="B316" t="str">
        <f>_xlfn.XLOOKUP(A316,Z:Z,AB:AB,"not found")</f>
        <v>USD</v>
      </c>
      <c r="C316">
        <f>_xlfn.XLOOKUP(A316,Z:Z,AA:AA)-_xlfn.XLOOKUP(A316,Q:Q,R:R,"0")</f>
        <v>704.8</v>
      </c>
      <c r="D316">
        <f>C316*_xlfn.XLOOKUP(B316,AG:AG,AH:AH)</f>
        <v>606.12799999999993</v>
      </c>
      <c r="E316">
        <f>C316*_xlfn.XLOOKUP(B316,AG:AG,AI:AI)</f>
        <v>704.8</v>
      </c>
      <c r="F316">
        <v>704.8</v>
      </c>
      <c r="G316">
        <f>F316*_xlfn.XLOOKUP(B316,AG:AG,AH:AH)</f>
        <v>606.12799999999993</v>
      </c>
      <c r="H316">
        <f>F316*_xlfn.XLOOKUP(B316,AG:AG,AI:AI)</f>
        <v>704.8</v>
      </c>
      <c r="I316">
        <f t="shared" si="22"/>
        <v>0</v>
      </c>
      <c r="J316">
        <f>I316*_xlfn.XLOOKUP(B316,AG:AG,AI:AI)</f>
        <v>0</v>
      </c>
      <c r="K316" s="7">
        <f>_xlfn.XLOOKUP(A316,Z:Z,AD:AD)</f>
        <v>45799</v>
      </c>
      <c r="L316" s="7">
        <f t="shared" si="23"/>
        <v>45769</v>
      </c>
      <c r="M316">
        <f t="shared" si="24"/>
        <v>4</v>
      </c>
      <c r="N316">
        <f t="shared" si="25"/>
        <v>2025</v>
      </c>
      <c r="Q316" s="22">
        <v>521</v>
      </c>
      <c r="R316" s="22">
        <v>194772</v>
      </c>
      <c r="S316" s="22" t="str">
        <f t="shared" si="26"/>
        <v>MXN</v>
      </c>
      <c r="T316" s="22">
        <f>R316*_xlfn.XLOOKUP(S316,AG:AG,AI:AI)</f>
        <v>10907.232</v>
      </c>
      <c r="U316" s="22" t="s">
        <v>26</v>
      </c>
      <c r="W316" s="9">
        <v>260</v>
      </c>
      <c r="X316" s="9" t="s">
        <v>29</v>
      </c>
      <c r="Z316">
        <v>331</v>
      </c>
      <c r="AA316">
        <v>704.8</v>
      </c>
      <c r="AB316" t="s">
        <v>29</v>
      </c>
      <c r="AD316" s="20">
        <v>45799</v>
      </c>
    </row>
    <row r="317" spans="1:30">
      <c r="A317">
        <v>332</v>
      </c>
      <c r="B317" t="str">
        <f>_xlfn.XLOOKUP(A317,Z:Z,AB:AB,"not found")</f>
        <v>MXN</v>
      </c>
      <c r="C317">
        <f>_xlfn.XLOOKUP(A317,Z:Z,AA:AA)-_xlfn.XLOOKUP(A317,Q:Q,R:R,"0")</f>
        <v>421136.96</v>
      </c>
      <c r="D317">
        <f>C317*_xlfn.XLOOKUP(B317,AG:AG,AH:AH)</f>
        <v>20214.574080000002</v>
      </c>
      <c r="E317">
        <f>C317*_xlfn.XLOOKUP(B317,AG:AG,AI:AI)</f>
        <v>23583.669760000001</v>
      </c>
      <c r="F317">
        <v>421136.96</v>
      </c>
      <c r="G317">
        <f>F317*_xlfn.XLOOKUP(B317,AG:AG,AH:AH)</f>
        <v>20214.574080000002</v>
      </c>
      <c r="H317">
        <f>F317*_xlfn.XLOOKUP(B317,AG:AG,AI:AI)</f>
        <v>23583.669760000001</v>
      </c>
      <c r="I317">
        <f t="shared" si="22"/>
        <v>0</v>
      </c>
      <c r="J317">
        <f>I317*_xlfn.XLOOKUP(B317,AG:AG,AI:AI)</f>
        <v>0</v>
      </c>
      <c r="K317" s="7">
        <f>_xlfn.XLOOKUP(A317,Z:Z,AD:AD)</f>
        <v>45806</v>
      </c>
      <c r="L317" s="7">
        <f t="shared" si="23"/>
        <v>45776</v>
      </c>
      <c r="M317">
        <f t="shared" si="24"/>
        <v>4</v>
      </c>
      <c r="N317">
        <f t="shared" si="25"/>
        <v>2025</v>
      </c>
      <c r="Q317" s="22">
        <v>522</v>
      </c>
      <c r="R317" s="22">
        <v>23340</v>
      </c>
      <c r="S317" s="22" t="str">
        <f t="shared" si="26"/>
        <v>EUR</v>
      </c>
      <c r="T317" s="22">
        <f>R317*_xlfn.XLOOKUP(S317,AG:AG,AI:AI)</f>
        <v>27074.399999999998</v>
      </c>
      <c r="U317" s="22" t="s">
        <v>26</v>
      </c>
      <c r="W317" s="9">
        <v>260</v>
      </c>
      <c r="X317" s="9" t="s">
        <v>29</v>
      </c>
      <c r="Z317">
        <v>332</v>
      </c>
      <c r="AA317">
        <v>421136.96</v>
      </c>
      <c r="AB317" t="s">
        <v>28</v>
      </c>
      <c r="AD317" s="20">
        <v>45806</v>
      </c>
    </row>
    <row r="318" spans="1:30">
      <c r="A318">
        <v>333</v>
      </c>
      <c r="B318" t="str">
        <f>_xlfn.XLOOKUP(A318,Z:Z,AB:AB,"not found")</f>
        <v>USD</v>
      </c>
      <c r="C318">
        <f>_xlfn.XLOOKUP(A318,Z:Z,AA:AA)-_xlfn.XLOOKUP(A318,Q:Q,R:R,"0")</f>
        <v>1221</v>
      </c>
      <c r="D318">
        <f>C318*_xlfn.XLOOKUP(B318,AG:AG,AH:AH)</f>
        <v>1050.06</v>
      </c>
      <c r="E318">
        <f>C318*_xlfn.XLOOKUP(B318,AG:AG,AI:AI)</f>
        <v>1221</v>
      </c>
      <c r="F318">
        <v>1221</v>
      </c>
      <c r="G318">
        <f>F318*_xlfn.XLOOKUP(B318,AG:AG,AH:AH)</f>
        <v>1050.06</v>
      </c>
      <c r="H318">
        <f>F318*_xlfn.XLOOKUP(B318,AG:AG,AI:AI)</f>
        <v>1221</v>
      </c>
      <c r="I318">
        <f t="shared" si="22"/>
        <v>0</v>
      </c>
      <c r="J318">
        <f>I318*_xlfn.XLOOKUP(B318,AG:AG,AI:AI)</f>
        <v>0</v>
      </c>
      <c r="K318" s="7">
        <f>_xlfn.XLOOKUP(A318,Z:Z,AD:AD)</f>
        <v>45780</v>
      </c>
      <c r="L318" s="7">
        <f t="shared" si="23"/>
        <v>45750</v>
      </c>
      <c r="M318">
        <f t="shared" si="24"/>
        <v>4</v>
      </c>
      <c r="N318">
        <f t="shared" si="25"/>
        <v>2025</v>
      </c>
      <c r="Q318" s="22">
        <v>523</v>
      </c>
      <c r="R318" s="22">
        <v>2100</v>
      </c>
      <c r="S318" s="22" t="str">
        <f t="shared" si="26"/>
        <v>EUR</v>
      </c>
      <c r="T318" s="22">
        <f>R318*_xlfn.XLOOKUP(S318,AG:AG,AI:AI)</f>
        <v>2436</v>
      </c>
      <c r="U318" s="22" t="s">
        <v>26</v>
      </c>
      <c r="W318" s="9">
        <v>260</v>
      </c>
      <c r="X318" s="9" t="s">
        <v>29</v>
      </c>
      <c r="Z318">
        <v>333</v>
      </c>
      <c r="AA318">
        <v>1221</v>
      </c>
      <c r="AB318" t="s">
        <v>29</v>
      </c>
      <c r="AD318" s="20">
        <v>45780</v>
      </c>
    </row>
    <row r="319" spans="1:30">
      <c r="A319">
        <v>334</v>
      </c>
      <c r="B319" t="str">
        <f>_xlfn.XLOOKUP(A319,Z:Z,AB:AB,"not found")</f>
        <v>USD</v>
      </c>
      <c r="C319">
        <f>_xlfn.XLOOKUP(A319,Z:Z,AA:AA)-_xlfn.XLOOKUP(A319,Q:Q,R:R,"0")</f>
        <v>1630.2</v>
      </c>
      <c r="D319">
        <f>C319*_xlfn.XLOOKUP(B319,AG:AG,AH:AH)</f>
        <v>1401.972</v>
      </c>
      <c r="E319">
        <f>C319*_xlfn.XLOOKUP(B319,AG:AG,AI:AI)</f>
        <v>1630.2</v>
      </c>
      <c r="F319">
        <v>1630.2</v>
      </c>
      <c r="G319">
        <f>F319*_xlfn.XLOOKUP(B319,AG:AG,AH:AH)</f>
        <v>1401.972</v>
      </c>
      <c r="H319">
        <f>F319*_xlfn.XLOOKUP(B319,AG:AG,AI:AI)</f>
        <v>1630.2</v>
      </c>
      <c r="I319">
        <f t="shared" si="22"/>
        <v>0</v>
      </c>
      <c r="J319">
        <f>I319*_xlfn.XLOOKUP(B319,AG:AG,AI:AI)</f>
        <v>0</v>
      </c>
      <c r="K319" s="7">
        <f>_xlfn.XLOOKUP(A319,Z:Z,AD:AD)</f>
        <v>45787</v>
      </c>
      <c r="L319" s="7">
        <f t="shared" si="23"/>
        <v>45757</v>
      </c>
      <c r="M319">
        <f t="shared" si="24"/>
        <v>4</v>
      </c>
      <c r="N319">
        <f t="shared" si="25"/>
        <v>2025</v>
      </c>
      <c r="Q319" s="22">
        <v>524</v>
      </c>
      <c r="R319" s="22">
        <v>270863.65000000002</v>
      </c>
      <c r="S319" s="22" t="str">
        <f t="shared" si="26"/>
        <v>USD</v>
      </c>
      <c r="T319" s="22">
        <f>R319*_xlfn.XLOOKUP(S319,AG:AG,AI:AI)</f>
        <v>270863.65000000002</v>
      </c>
      <c r="U319" s="22" t="s">
        <v>26</v>
      </c>
      <c r="W319" s="9">
        <v>260</v>
      </c>
      <c r="X319" s="9" t="s">
        <v>29</v>
      </c>
      <c r="Z319">
        <v>334</v>
      </c>
      <c r="AA319">
        <v>1630.2</v>
      </c>
      <c r="AB319" t="s">
        <v>29</v>
      </c>
      <c r="AD319" s="20">
        <v>45787</v>
      </c>
    </row>
    <row r="320" spans="1:30">
      <c r="A320">
        <v>335</v>
      </c>
      <c r="B320" t="str">
        <f>_xlfn.XLOOKUP(A320,Z:Z,AB:AB,"not found")</f>
        <v>USD</v>
      </c>
      <c r="C320">
        <f>_xlfn.XLOOKUP(A320,Z:Z,AA:AA)-_xlfn.XLOOKUP(A320,Q:Q,R:R,"0")</f>
        <v>98</v>
      </c>
      <c r="D320">
        <f>C320*_xlfn.XLOOKUP(B320,AG:AG,AH:AH)</f>
        <v>84.28</v>
      </c>
      <c r="E320">
        <f>C320*_xlfn.XLOOKUP(B320,AG:AG,AI:AI)</f>
        <v>98</v>
      </c>
      <c r="F320">
        <v>98</v>
      </c>
      <c r="G320">
        <f>F320*_xlfn.XLOOKUP(B320,AG:AG,AH:AH)</f>
        <v>84.28</v>
      </c>
      <c r="H320">
        <f>F320*_xlfn.XLOOKUP(B320,AG:AG,AI:AI)</f>
        <v>98</v>
      </c>
      <c r="I320">
        <f t="shared" si="22"/>
        <v>0</v>
      </c>
      <c r="J320">
        <f>I320*_xlfn.XLOOKUP(B320,AG:AG,AI:AI)</f>
        <v>0</v>
      </c>
      <c r="K320" s="7">
        <f>_xlfn.XLOOKUP(A320,Z:Z,AD:AD)</f>
        <v>45782</v>
      </c>
      <c r="L320" s="7">
        <f t="shared" si="23"/>
        <v>45752</v>
      </c>
      <c r="M320">
        <f t="shared" si="24"/>
        <v>4</v>
      </c>
      <c r="N320">
        <f t="shared" si="25"/>
        <v>2025</v>
      </c>
      <c r="Q320" s="22">
        <v>525</v>
      </c>
      <c r="R320" s="22">
        <v>22708.55</v>
      </c>
      <c r="S320" s="22" t="str">
        <f t="shared" si="26"/>
        <v>USD</v>
      </c>
      <c r="T320" s="22">
        <f>R320*_xlfn.XLOOKUP(S320,AG:AG,AI:AI)</f>
        <v>22708.55</v>
      </c>
      <c r="U320" s="22" t="s">
        <v>26</v>
      </c>
      <c r="W320" s="9">
        <v>263</v>
      </c>
      <c r="X320" s="9" t="s">
        <v>28</v>
      </c>
      <c r="Z320">
        <v>335</v>
      </c>
      <c r="AA320">
        <v>98</v>
      </c>
      <c r="AB320" t="s">
        <v>29</v>
      </c>
      <c r="AD320" s="20">
        <v>45782</v>
      </c>
    </row>
    <row r="321" spans="1:30">
      <c r="A321">
        <v>336</v>
      </c>
      <c r="B321" t="str">
        <f>_xlfn.XLOOKUP(A321,Z:Z,AB:AB,"not found")</f>
        <v>USD</v>
      </c>
      <c r="C321">
        <f>_xlfn.XLOOKUP(A321,Z:Z,AA:AA)-_xlfn.XLOOKUP(A321,Q:Q,R:R,"0")</f>
        <v>428.8</v>
      </c>
      <c r="D321">
        <f>C321*_xlfn.XLOOKUP(B321,AG:AG,AH:AH)</f>
        <v>368.76800000000003</v>
      </c>
      <c r="E321">
        <f>C321*_xlfn.XLOOKUP(B321,AG:AG,AI:AI)</f>
        <v>428.8</v>
      </c>
      <c r="F321">
        <v>428.8</v>
      </c>
      <c r="G321">
        <f>F321*_xlfn.XLOOKUP(B321,AG:AG,AH:AH)</f>
        <v>368.76800000000003</v>
      </c>
      <c r="H321">
        <f>F321*_xlfn.XLOOKUP(B321,AG:AG,AI:AI)</f>
        <v>428.8</v>
      </c>
      <c r="I321">
        <f t="shared" si="22"/>
        <v>0</v>
      </c>
      <c r="J321">
        <f>I321*_xlfn.XLOOKUP(B321,AG:AG,AI:AI)</f>
        <v>0</v>
      </c>
      <c r="K321" s="7">
        <f>_xlfn.XLOOKUP(A321,Z:Z,AD:AD)</f>
        <v>45778</v>
      </c>
      <c r="L321" s="7">
        <f t="shared" si="23"/>
        <v>45748</v>
      </c>
      <c r="M321">
        <f t="shared" si="24"/>
        <v>4</v>
      </c>
      <c r="N321">
        <f t="shared" si="25"/>
        <v>2025</v>
      </c>
      <c r="Q321" s="22">
        <v>526</v>
      </c>
      <c r="R321" s="22">
        <v>24593</v>
      </c>
      <c r="S321" s="22" t="str">
        <f t="shared" si="26"/>
        <v>MXN</v>
      </c>
      <c r="T321" s="22">
        <f>R321*_xlfn.XLOOKUP(S321,AG:AG,AI:AI)</f>
        <v>1377.2080000000001</v>
      </c>
      <c r="U321" s="22" t="s">
        <v>26</v>
      </c>
      <c r="W321" s="9">
        <v>264</v>
      </c>
      <c r="X321" s="9" t="s">
        <v>30</v>
      </c>
      <c r="Z321">
        <v>336</v>
      </c>
      <c r="AA321">
        <v>428.8</v>
      </c>
      <c r="AB321" t="s">
        <v>29</v>
      </c>
      <c r="AD321" s="20">
        <v>45778</v>
      </c>
    </row>
    <row r="322" spans="1:30">
      <c r="A322">
        <v>337</v>
      </c>
      <c r="B322" t="str">
        <f>_xlfn.XLOOKUP(A322,Z:Z,AB:AB,"not found")</f>
        <v>USD</v>
      </c>
      <c r="C322">
        <f>_xlfn.XLOOKUP(A322,Z:Z,AA:AA)-_xlfn.XLOOKUP(A322,Q:Q,R:R,"0")</f>
        <v>884.8</v>
      </c>
      <c r="D322">
        <f>C322*_xlfn.XLOOKUP(B322,AG:AG,AH:AH)</f>
        <v>760.928</v>
      </c>
      <c r="E322">
        <f>C322*_xlfn.XLOOKUP(B322,AG:AG,AI:AI)</f>
        <v>884.8</v>
      </c>
      <c r="F322">
        <v>1012.3</v>
      </c>
      <c r="G322">
        <f>F322*_xlfn.XLOOKUP(B322,AG:AG,AH:AH)</f>
        <v>870.57799999999997</v>
      </c>
      <c r="H322">
        <f>F322*_xlfn.XLOOKUP(B322,AG:AG,AI:AI)</f>
        <v>1012.3</v>
      </c>
      <c r="I322">
        <f t="shared" si="22"/>
        <v>0</v>
      </c>
      <c r="J322">
        <f>I322*_xlfn.XLOOKUP(B322,AG:AG,AI:AI)</f>
        <v>0</v>
      </c>
      <c r="K322" s="7">
        <f>_xlfn.XLOOKUP(A322,Z:Z,AD:AD)</f>
        <v>45839</v>
      </c>
      <c r="L322" s="7">
        <f t="shared" si="23"/>
        <v>45809</v>
      </c>
      <c r="M322">
        <f t="shared" si="24"/>
        <v>6</v>
      </c>
      <c r="N322">
        <f t="shared" si="25"/>
        <v>2025</v>
      </c>
      <c r="Q322" s="22">
        <v>528</v>
      </c>
      <c r="R322" s="22">
        <v>6395</v>
      </c>
      <c r="S322" s="22" t="str">
        <f t="shared" si="26"/>
        <v>USD</v>
      </c>
      <c r="T322" s="22">
        <f>R322*_xlfn.XLOOKUP(S322,AG:AG,AI:AI)</f>
        <v>6395</v>
      </c>
      <c r="U322" s="22" t="s">
        <v>26</v>
      </c>
      <c r="W322" s="9">
        <v>266</v>
      </c>
      <c r="X322" s="9" t="s">
        <v>29</v>
      </c>
      <c r="Z322">
        <v>337</v>
      </c>
      <c r="AA322">
        <v>1012.3</v>
      </c>
      <c r="AB322" t="s">
        <v>29</v>
      </c>
      <c r="AD322" s="20">
        <v>45839</v>
      </c>
    </row>
    <row r="323" spans="1:30">
      <c r="A323">
        <v>338</v>
      </c>
      <c r="B323" t="str">
        <f>_xlfn.XLOOKUP(A323,Z:Z,AB:AB,"not found")</f>
        <v>USD</v>
      </c>
      <c r="C323">
        <f>_xlfn.XLOOKUP(A323,Z:Z,AA:AA)-_xlfn.XLOOKUP(A323,Q:Q,R:R,"0")</f>
        <v>296.3</v>
      </c>
      <c r="D323">
        <f>C323*_xlfn.XLOOKUP(B323,AG:AG,AH:AH)</f>
        <v>254.81800000000001</v>
      </c>
      <c r="E323">
        <f>C323*_xlfn.XLOOKUP(B323,AG:AG,AI:AI)</f>
        <v>296.3</v>
      </c>
      <c r="F323">
        <v>296.3</v>
      </c>
      <c r="G323">
        <f>F323*_xlfn.XLOOKUP(B323,AG:AG,AH:AH)</f>
        <v>254.81800000000001</v>
      </c>
      <c r="H323">
        <f>F323*_xlfn.XLOOKUP(B323,AG:AG,AI:AI)</f>
        <v>296.3</v>
      </c>
      <c r="I323">
        <f t="shared" ref="I323:I386" si="27">C323-F323+_xlfn.XLOOKUP(A323,Q:Q,R:R,"0")</f>
        <v>0</v>
      </c>
      <c r="J323">
        <f>I323*_xlfn.XLOOKUP(B323,AG:AG,AI:AI)</f>
        <v>0</v>
      </c>
      <c r="K323" s="7">
        <f>_xlfn.XLOOKUP(A323,Z:Z,AD:AD)</f>
        <v>45785</v>
      </c>
      <c r="L323" s="7">
        <f t="shared" ref="L323:L386" si="28">K323-30</f>
        <v>45755</v>
      </c>
      <c r="M323">
        <f t="shared" ref="M323:M386" si="29">MONTH(L323)</f>
        <v>4</v>
      </c>
      <c r="N323">
        <f t="shared" ref="N323:N386" si="30">YEAR(L323)</f>
        <v>2025</v>
      </c>
      <c r="Q323" s="22">
        <v>529</v>
      </c>
      <c r="R323" s="22">
        <v>2802</v>
      </c>
      <c r="S323" s="22" t="str">
        <f t="shared" ref="S323:S386" si="31">_xlfn.XLOOKUP(Q323,W:W,X:X)</f>
        <v>CHF</v>
      </c>
      <c r="T323" s="22">
        <f>R323*_xlfn.XLOOKUP(S323,AG:AG,AI:AI)</f>
        <v>3502.5</v>
      </c>
      <c r="U323" s="22" t="s">
        <v>26</v>
      </c>
      <c r="W323" s="9">
        <v>267</v>
      </c>
      <c r="X323" s="9" t="s">
        <v>29</v>
      </c>
      <c r="Z323">
        <v>338</v>
      </c>
      <c r="AA323">
        <v>296.3</v>
      </c>
      <c r="AB323" t="s">
        <v>29</v>
      </c>
      <c r="AD323" s="20">
        <v>45785</v>
      </c>
    </row>
    <row r="324" spans="1:30">
      <c r="A324">
        <v>339</v>
      </c>
      <c r="B324" t="str">
        <f>_xlfn.XLOOKUP(A324,Z:Z,AB:AB,"not found")</f>
        <v>USD</v>
      </c>
      <c r="C324">
        <f>_xlfn.XLOOKUP(A324,Z:Z,AA:AA)-_xlfn.XLOOKUP(A324,Q:Q,R:R,"0")</f>
        <v>981.6</v>
      </c>
      <c r="D324">
        <f>C324*_xlfn.XLOOKUP(B324,AG:AG,AH:AH)</f>
        <v>844.17600000000004</v>
      </c>
      <c r="E324">
        <f>C324*_xlfn.XLOOKUP(B324,AG:AG,AI:AI)</f>
        <v>981.6</v>
      </c>
      <c r="F324">
        <v>981.6</v>
      </c>
      <c r="G324">
        <f>F324*_xlfn.XLOOKUP(B324,AG:AG,AH:AH)</f>
        <v>844.17600000000004</v>
      </c>
      <c r="H324">
        <f>F324*_xlfn.XLOOKUP(B324,AG:AG,AI:AI)</f>
        <v>981.6</v>
      </c>
      <c r="I324">
        <f t="shared" si="27"/>
        <v>0</v>
      </c>
      <c r="J324">
        <f>I324*_xlfn.XLOOKUP(B324,AG:AG,AI:AI)</f>
        <v>0</v>
      </c>
      <c r="K324" s="7">
        <f>_xlfn.XLOOKUP(A324,Z:Z,AD:AD)</f>
        <v>45786</v>
      </c>
      <c r="L324" s="7">
        <f t="shared" si="28"/>
        <v>45756</v>
      </c>
      <c r="M324">
        <f t="shared" si="29"/>
        <v>4</v>
      </c>
      <c r="N324">
        <f t="shared" si="30"/>
        <v>2025</v>
      </c>
      <c r="Q324" s="22">
        <v>530</v>
      </c>
      <c r="R324" s="22">
        <v>7285.88</v>
      </c>
      <c r="S324" s="22" t="str">
        <f t="shared" si="31"/>
        <v>USD</v>
      </c>
      <c r="T324" s="22">
        <f>R324*_xlfn.XLOOKUP(S324,AG:AG,AI:AI)</f>
        <v>7285.88</v>
      </c>
      <c r="U324" s="22" t="s">
        <v>26</v>
      </c>
      <c r="W324" s="9">
        <v>268</v>
      </c>
      <c r="X324" s="9" t="s">
        <v>29</v>
      </c>
      <c r="Z324">
        <v>339</v>
      </c>
      <c r="AA324">
        <v>981.6</v>
      </c>
      <c r="AB324" t="s">
        <v>29</v>
      </c>
      <c r="AD324" s="20">
        <v>45786</v>
      </c>
    </row>
    <row r="325" spans="1:30">
      <c r="A325">
        <v>340</v>
      </c>
      <c r="B325" t="str">
        <f>_xlfn.XLOOKUP(A325,Z:Z,AB:AB,"not found")</f>
        <v>USD</v>
      </c>
      <c r="C325">
        <f>_xlfn.XLOOKUP(A325,Z:Z,AA:AA)-_xlfn.XLOOKUP(A325,Q:Q,R:R,"0")</f>
        <v>147392.79999999999</v>
      </c>
      <c r="D325">
        <f>C325*_xlfn.XLOOKUP(B325,AG:AG,AH:AH)</f>
        <v>126757.80799999999</v>
      </c>
      <c r="E325">
        <f>C325*_xlfn.XLOOKUP(B325,AG:AG,AI:AI)</f>
        <v>147392.79999999999</v>
      </c>
      <c r="F325">
        <v>160784.87</v>
      </c>
      <c r="G325">
        <f>F325*_xlfn.XLOOKUP(B325,AG:AG,AH:AH)</f>
        <v>138274.98819999999</v>
      </c>
      <c r="H325">
        <f>F325*_xlfn.XLOOKUP(B325,AG:AG,AI:AI)</f>
        <v>160784.87</v>
      </c>
      <c r="I325">
        <f t="shared" si="27"/>
        <v>0</v>
      </c>
      <c r="J325">
        <f>I325*_xlfn.XLOOKUP(B325,AG:AG,AI:AI)</f>
        <v>0</v>
      </c>
      <c r="K325" s="7">
        <f>_xlfn.XLOOKUP(A325,Z:Z,AD:AD)</f>
        <v>45873</v>
      </c>
      <c r="L325" s="7">
        <f t="shared" si="28"/>
        <v>45843</v>
      </c>
      <c r="M325">
        <f t="shared" si="29"/>
        <v>7</v>
      </c>
      <c r="N325">
        <f t="shared" si="30"/>
        <v>2025</v>
      </c>
      <c r="Q325" s="22">
        <v>531</v>
      </c>
      <c r="R325" s="22">
        <v>33581.880000000005</v>
      </c>
      <c r="S325" s="22" t="str">
        <f t="shared" si="31"/>
        <v>USD</v>
      </c>
      <c r="T325" s="22">
        <f>R325*_xlfn.XLOOKUP(S325,AG:AG,AI:AI)</f>
        <v>33581.880000000005</v>
      </c>
      <c r="U325" s="22" t="s">
        <v>26</v>
      </c>
      <c r="W325" s="9">
        <v>269</v>
      </c>
      <c r="X325" s="9" t="s">
        <v>29</v>
      </c>
      <c r="Z325">
        <v>340</v>
      </c>
      <c r="AA325">
        <v>160784.87</v>
      </c>
      <c r="AB325" t="s">
        <v>29</v>
      </c>
      <c r="AD325" s="20">
        <v>45873</v>
      </c>
    </row>
    <row r="326" spans="1:30">
      <c r="A326">
        <v>341</v>
      </c>
      <c r="B326" t="str">
        <f>_xlfn.XLOOKUP(A326,Z:Z,AB:AB,"not found")</f>
        <v>USD</v>
      </c>
      <c r="C326">
        <f>_xlfn.XLOOKUP(A326,Z:Z,AA:AA)-_xlfn.XLOOKUP(A326,Q:Q,R:R,"0")</f>
        <v>43477.15</v>
      </c>
      <c r="D326">
        <f>C326*_xlfn.XLOOKUP(B326,AG:AG,AH:AH)</f>
        <v>37390.349000000002</v>
      </c>
      <c r="E326">
        <f>C326*_xlfn.XLOOKUP(B326,AG:AG,AI:AI)</f>
        <v>43477.15</v>
      </c>
      <c r="F326">
        <v>43477.15</v>
      </c>
      <c r="G326">
        <f>F326*_xlfn.XLOOKUP(B326,AG:AG,AH:AH)</f>
        <v>37390.349000000002</v>
      </c>
      <c r="H326">
        <f>F326*_xlfn.XLOOKUP(B326,AG:AG,AI:AI)</f>
        <v>43477.15</v>
      </c>
      <c r="I326">
        <f t="shared" si="27"/>
        <v>0</v>
      </c>
      <c r="J326">
        <f>I326*_xlfn.XLOOKUP(B326,AG:AG,AI:AI)</f>
        <v>0</v>
      </c>
      <c r="K326" s="7">
        <f>_xlfn.XLOOKUP(A326,Z:Z,AD:AD)</f>
        <v>45870</v>
      </c>
      <c r="L326" s="7">
        <f t="shared" si="28"/>
        <v>45840</v>
      </c>
      <c r="M326">
        <f t="shared" si="29"/>
        <v>7</v>
      </c>
      <c r="N326">
        <f t="shared" si="30"/>
        <v>2025</v>
      </c>
      <c r="Q326" s="22">
        <v>533</v>
      </c>
      <c r="R326" s="22">
        <v>2722.8500000000004</v>
      </c>
      <c r="S326" s="22" t="str">
        <f t="shared" si="31"/>
        <v>USD</v>
      </c>
      <c r="T326" s="22">
        <f>R326*_xlfn.XLOOKUP(S326,AG:AG,AI:AI)</f>
        <v>2722.8500000000004</v>
      </c>
      <c r="U326" s="22" t="s">
        <v>26</v>
      </c>
      <c r="W326" s="9">
        <v>270</v>
      </c>
      <c r="X326" s="9" t="s">
        <v>29</v>
      </c>
      <c r="Z326">
        <v>341</v>
      </c>
      <c r="AA326">
        <v>43477.15</v>
      </c>
      <c r="AB326" t="s">
        <v>29</v>
      </c>
      <c r="AD326" s="20">
        <v>45870</v>
      </c>
    </row>
    <row r="327" spans="1:30">
      <c r="A327">
        <v>342</v>
      </c>
      <c r="B327" t="str">
        <f>_xlfn.XLOOKUP(A327,Z:Z,AB:AB,"not found")</f>
        <v>MXN</v>
      </c>
      <c r="C327">
        <f>_xlfn.XLOOKUP(A327,Z:Z,AA:AA)-_xlfn.XLOOKUP(A327,Q:Q,R:R,"0")</f>
        <v>0</v>
      </c>
      <c r="D327">
        <f>C327*_xlfn.XLOOKUP(B327,AG:AG,AH:AH)</f>
        <v>0</v>
      </c>
      <c r="E327">
        <f>C327*_xlfn.XLOOKUP(B327,AG:AG,AI:AI)</f>
        <v>0</v>
      </c>
      <c r="F327">
        <v>15715.41</v>
      </c>
      <c r="G327">
        <f>F327*_xlfn.XLOOKUP(B327,AG:AG,AH:AH)</f>
        <v>754.33968000000004</v>
      </c>
      <c r="H327">
        <f>F327*_xlfn.XLOOKUP(B327,AG:AG,AI:AI)</f>
        <v>880.06295999999998</v>
      </c>
      <c r="I327">
        <f t="shared" si="27"/>
        <v>0</v>
      </c>
      <c r="J327">
        <f>I327*_xlfn.XLOOKUP(B327,AG:AG,AI:AI)</f>
        <v>0</v>
      </c>
      <c r="K327" s="7">
        <f>_xlfn.XLOOKUP(A327,Z:Z,AD:AD)</f>
        <v>45839</v>
      </c>
      <c r="L327" s="7">
        <f t="shared" si="28"/>
        <v>45809</v>
      </c>
      <c r="M327">
        <f t="shared" si="29"/>
        <v>6</v>
      </c>
      <c r="N327">
        <f t="shared" si="30"/>
        <v>2025</v>
      </c>
      <c r="Q327" s="22">
        <v>535</v>
      </c>
      <c r="R327" s="22">
        <v>2861.4</v>
      </c>
      <c r="S327" s="22" t="str">
        <f t="shared" si="31"/>
        <v>USD</v>
      </c>
      <c r="T327" s="22">
        <f>R327*_xlfn.XLOOKUP(S327,AG:AG,AI:AI)</f>
        <v>2861.4</v>
      </c>
      <c r="U327" s="22" t="s">
        <v>26</v>
      </c>
      <c r="W327" s="9">
        <v>271</v>
      </c>
      <c r="X327" s="9" t="s">
        <v>29</v>
      </c>
      <c r="Z327">
        <v>342</v>
      </c>
      <c r="AA327">
        <v>15715.41</v>
      </c>
      <c r="AB327" t="s">
        <v>28</v>
      </c>
      <c r="AD327" s="20">
        <v>45839</v>
      </c>
    </row>
    <row r="328" spans="1:30">
      <c r="A328">
        <v>343</v>
      </c>
      <c r="B328" t="str">
        <f>_xlfn.XLOOKUP(A328,Z:Z,AB:AB,"not found")</f>
        <v>USD</v>
      </c>
      <c r="C328">
        <f>_xlfn.XLOOKUP(A328,Z:Z,AA:AA)-_xlfn.XLOOKUP(A328,Q:Q,R:R,"0")</f>
        <v>198.6</v>
      </c>
      <c r="D328">
        <f>C328*_xlfn.XLOOKUP(B328,AG:AG,AH:AH)</f>
        <v>170.79599999999999</v>
      </c>
      <c r="E328">
        <f>C328*_xlfn.XLOOKUP(B328,AG:AG,AI:AI)</f>
        <v>198.6</v>
      </c>
      <c r="F328">
        <v>198.6</v>
      </c>
      <c r="G328">
        <f>F328*_xlfn.XLOOKUP(B328,AG:AG,AH:AH)</f>
        <v>170.79599999999999</v>
      </c>
      <c r="H328">
        <f>F328*_xlfn.XLOOKUP(B328,AG:AG,AI:AI)</f>
        <v>198.6</v>
      </c>
      <c r="I328">
        <f t="shared" si="27"/>
        <v>0</v>
      </c>
      <c r="J328">
        <f>I328*_xlfn.XLOOKUP(B328,AG:AG,AI:AI)</f>
        <v>0</v>
      </c>
      <c r="K328" s="7">
        <f>_xlfn.XLOOKUP(A328,Z:Z,AD:AD)</f>
        <v>45818</v>
      </c>
      <c r="L328" s="7">
        <f t="shared" si="28"/>
        <v>45788</v>
      </c>
      <c r="M328">
        <f t="shared" si="29"/>
        <v>5</v>
      </c>
      <c r="N328">
        <f t="shared" si="30"/>
        <v>2025</v>
      </c>
      <c r="Q328" s="22">
        <v>536</v>
      </c>
      <c r="R328" s="22">
        <v>81706.590000000011</v>
      </c>
      <c r="S328" s="22" t="str">
        <f t="shared" si="31"/>
        <v>USD</v>
      </c>
      <c r="T328" s="22">
        <f>R328*_xlfn.XLOOKUP(S328,AG:AG,AI:AI)</f>
        <v>81706.590000000011</v>
      </c>
      <c r="U328" s="22" t="s">
        <v>26</v>
      </c>
      <c r="W328" s="9">
        <v>273</v>
      </c>
      <c r="X328" s="9" t="s">
        <v>27</v>
      </c>
      <c r="Z328">
        <v>343</v>
      </c>
      <c r="AA328" s="24">
        <v>198.6</v>
      </c>
      <c r="AB328" t="s">
        <v>29</v>
      </c>
      <c r="AD328" s="20">
        <v>45818</v>
      </c>
    </row>
    <row r="329" spans="1:30">
      <c r="A329">
        <v>345</v>
      </c>
      <c r="B329" t="str">
        <f>_xlfn.XLOOKUP(A329,Z:Z,AB:AB,"not found")</f>
        <v>EUR</v>
      </c>
      <c r="C329">
        <f>_xlfn.XLOOKUP(A329,Z:Z,AA:AA)-_xlfn.XLOOKUP(A329,Q:Q,R:R,"0")</f>
        <v>0</v>
      </c>
      <c r="D329">
        <f>C329*_xlfn.XLOOKUP(B329,AG:AG,AH:AH)</f>
        <v>0</v>
      </c>
      <c r="E329">
        <f>C329*_xlfn.XLOOKUP(B329,AG:AG,AI:AI)</f>
        <v>0</v>
      </c>
      <c r="F329">
        <v>900</v>
      </c>
      <c r="G329">
        <f>F329*_xlfn.XLOOKUP(B329,AG:AG,AH:AH)</f>
        <v>900</v>
      </c>
      <c r="H329">
        <f>F329*_xlfn.XLOOKUP(B329,AG:AG,AI:AI)</f>
        <v>1044</v>
      </c>
      <c r="I329">
        <f t="shared" si="27"/>
        <v>0</v>
      </c>
      <c r="J329">
        <f>I329*_xlfn.XLOOKUP(B329,AG:AG,AI:AI)</f>
        <v>0</v>
      </c>
      <c r="K329" s="7">
        <f>_xlfn.XLOOKUP(A329,Z:Z,AD:AD)</f>
        <v>45704</v>
      </c>
      <c r="L329" s="7">
        <f t="shared" si="28"/>
        <v>45674</v>
      </c>
      <c r="M329">
        <f t="shared" si="29"/>
        <v>1</v>
      </c>
      <c r="N329">
        <f t="shared" si="30"/>
        <v>2025</v>
      </c>
      <c r="Q329" s="22">
        <v>537</v>
      </c>
      <c r="R329" s="22">
        <v>6262.43</v>
      </c>
      <c r="S329" s="22" t="str">
        <f t="shared" si="31"/>
        <v>EUR</v>
      </c>
      <c r="T329" s="22">
        <f>R329*_xlfn.XLOOKUP(S329,AG:AG,AI:AI)</f>
        <v>7264.4187999999995</v>
      </c>
      <c r="U329" s="22" t="s">
        <v>26</v>
      </c>
      <c r="W329" s="9">
        <v>274</v>
      </c>
      <c r="X329" s="9" t="s">
        <v>29</v>
      </c>
      <c r="Z329">
        <v>345</v>
      </c>
      <c r="AA329" s="24">
        <v>900</v>
      </c>
      <c r="AB329" t="s">
        <v>27</v>
      </c>
      <c r="AD329" s="20">
        <v>45704</v>
      </c>
    </row>
    <row r="330" spans="1:30">
      <c r="A330">
        <v>346</v>
      </c>
      <c r="B330" t="str">
        <f>_xlfn.XLOOKUP(A330,Z:Z,AB:AB,"not found")</f>
        <v>USD</v>
      </c>
      <c r="C330">
        <f>_xlfn.XLOOKUP(A330,Z:Z,AA:AA)-_xlfn.XLOOKUP(A330,Q:Q,R:R,"0")</f>
        <v>0</v>
      </c>
      <c r="D330">
        <f>C330*_xlfn.XLOOKUP(B330,AG:AG,AH:AH)</f>
        <v>0</v>
      </c>
      <c r="E330">
        <f>C330*_xlfn.XLOOKUP(B330,AG:AG,AI:AI)</f>
        <v>0</v>
      </c>
      <c r="F330">
        <v>7100</v>
      </c>
      <c r="G330">
        <f>F330*_xlfn.XLOOKUP(B330,AG:AG,AH:AH)</f>
        <v>6106</v>
      </c>
      <c r="H330">
        <f>F330*_xlfn.XLOOKUP(B330,AG:AG,AI:AI)</f>
        <v>7100</v>
      </c>
      <c r="I330">
        <f t="shared" si="27"/>
        <v>0</v>
      </c>
      <c r="J330">
        <f>I330*_xlfn.XLOOKUP(B330,AG:AG,AI:AI)</f>
        <v>0</v>
      </c>
      <c r="K330" s="7">
        <f>_xlfn.XLOOKUP(A330,Z:Z,AD:AD)</f>
        <v>45799</v>
      </c>
      <c r="L330" s="7">
        <f t="shared" si="28"/>
        <v>45769</v>
      </c>
      <c r="M330">
        <f t="shared" si="29"/>
        <v>4</v>
      </c>
      <c r="N330">
        <f t="shared" si="30"/>
        <v>2025</v>
      </c>
      <c r="Q330" s="22">
        <v>539</v>
      </c>
      <c r="R330" s="22">
        <v>7198.65</v>
      </c>
      <c r="S330" s="22" t="str">
        <f t="shared" si="31"/>
        <v>USD</v>
      </c>
      <c r="T330" s="22">
        <f>R330*_xlfn.XLOOKUP(S330,AG:AG,AI:AI)</f>
        <v>7198.65</v>
      </c>
      <c r="U330" s="22" t="s">
        <v>26</v>
      </c>
      <c r="W330" s="9">
        <v>275</v>
      </c>
      <c r="X330" s="9" t="s">
        <v>27</v>
      </c>
      <c r="Z330">
        <v>346</v>
      </c>
      <c r="AA330" s="24">
        <v>7100</v>
      </c>
      <c r="AB330" t="s">
        <v>29</v>
      </c>
      <c r="AD330" s="20">
        <v>45799</v>
      </c>
    </row>
    <row r="331" spans="1:30">
      <c r="A331">
        <v>347</v>
      </c>
      <c r="B331" t="str">
        <f>_xlfn.XLOOKUP(A331,Z:Z,AB:AB,"not found")</f>
        <v>USD</v>
      </c>
      <c r="C331">
        <f>_xlfn.XLOOKUP(A331,Z:Z,AA:AA)-_xlfn.XLOOKUP(A331,Q:Q,R:R,"0")</f>
        <v>8961.26</v>
      </c>
      <c r="D331">
        <f>C331*_xlfn.XLOOKUP(B331,AG:AG,AH:AH)</f>
        <v>7706.6836000000003</v>
      </c>
      <c r="E331">
        <f>C331*_xlfn.XLOOKUP(B331,AG:AG,AI:AI)</f>
        <v>8961.26</v>
      </c>
      <c r="F331">
        <v>8962.26</v>
      </c>
      <c r="G331">
        <f>F331*_xlfn.XLOOKUP(B331,AG:AG,AH:AH)</f>
        <v>7707.5436</v>
      </c>
      <c r="H331">
        <f>F331*_xlfn.XLOOKUP(B331,AG:AG,AI:AI)</f>
        <v>8962.26</v>
      </c>
      <c r="I331">
        <f t="shared" si="27"/>
        <v>-1</v>
      </c>
      <c r="J331">
        <f>I331*_xlfn.XLOOKUP(B331,AG:AG,AI:AI)</f>
        <v>-1</v>
      </c>
      <c r="K331" s="7">
        <f>_xlfn.XLOOKUP(A331,Z:Z,AD:AD)</f>
        <v>45794</v>
      </c>
      <c r="L331" s="7">
        <f t="shared" si="28"/>
        <v>45764</v>
      </c>
      <c r="M331">
        <f t="shared" si="29"/>
        <v>4</v>
      </c>
      <c r="N331">
        <f t="shared" si="30"/>
        <v>2025</v>
      </c>
      <c r="Q331" s="22">
        <v>540</v>
      </c>
      <c r="R331" s="22">
        <v>42018.67</v>
      </c>
      <c r="S331" s="22" t="str">
        <f t="shared" si="31"/>
        <v>USD</v>
      </c>
      <c r="T331" s="22">
        <f>R331*_xlfn.XLOOKUP(S331,AG:AG,AI:AI)</f>
        <v>42018.67</v>
      </c>
      <c r="U331" s="22" t="s">
        <v>26</v>
      </c>
      <c r="W331" s="9">
        <v>275</v>
      </c>
      <c r="X331" s="9" t="s">
        <v>27</v>
      </c>
      <c r="Z331">
        <v>347</v>
      </c>
      <c r="AA331" s="24">
        <v>8961.26</v>
      </c>
      <c r="AB331" t="s">
        <v>29</v>
      </c>
      <c r="AD331" s="20">
        <v>45794</v>
      </c>
    </row>
    <row r="332" spans="1:30">
      <c r="A332">
        <v>348</v>
      </c>
      <c r="B332" t="str">
        <f>_xlfn.XLOOKUP(A332,Z:Z,AB:AB,"not found")</f>
        <v>USD</v>
      </c>
      <c r="C332">
        <f>_xlfn.XLOOKUP(A332,Z:Z,AA:AA)-_xlfn.XLOOKUP(A332,Q:Q,R:R,"0")</f>
        <v>0</v>
      </c>
      <c r="D332">
        <f>C332*_xlfn.XLOOKUP(B332,AG:AG,AH:AH)</f>
        <v>0</v>
      </c>
      <c r="E332">
        <f>C332*_xlfn.XLOOKUP(B332,AG:AG,AI:AI)</f>
        <v>0</v>
      </c>
      <c r="F332">
        <v>3045</v>
      </c>
      <c r="G332">
        <f>F332*_xlfn.XLOOKUP(B332,AG:AG,AH:AH)</f>
        <v>2618.6999999999998</v>
      </c>
      <c r="H332">
        <f>F332*_xlfn.XLOOKUP(B332,AG:AG,AI:AI)</f>
        <v>3045</v>
      </c>
      <c r="I332">
        <f t="shared" si="27"/>
        <v>0</v>
      </c>
      <c r="J332">
        <f>I332*_xlfn.XLOOKUP(B332,AG:AG,AI:AI)</f>
        <v>0</v>
      </c>
      <c r="K332" s="7">
        <f>_xlfn.XLOOKUP(A332,Z:Z,AD:AD)</f>
        <v>45799</v>
      </c>
      <c r="L332" s="7">
        <f t="shared" si="28"/>
        <v>45769</v>
      </c>
      <c r="M332">
        <f t="shared" si="29"/>
        <v>4</v>
      </c>
      <c r="N332">
        <f t="shared" si="30"/>
        <v>2025</v>
      </c>
      <c r="Q332" s="22">
        <v>541</v>
      </c>
      <c r="R332" s="22">
        <v>9477</v>
      </c>
      <c r="S332" s="22" t="str">
        <f t="shared" si="31"/>
        <v>USD</v>
      </c>
      <c r="T332" s="22">
        <f>R332*_xlfn.XLOOKUP(S332,AG:AG,AI:AI)</f>
        <v>9477</v>
      </c>
      <c r="U332" s="22" t="s">
        <v>26</v>
      </c>
      <c r="W332" s="9">
        <v>276</v>
      </c>
      <c r="X332" s="9" t="s">
        <v>28</v>
      </c>
      <c r="Z332">
        <v>348</v>
      </c>
      <c r="AA332" s="24">
        <v>3045</v>
      </c>
      <c r="AB332" t="s">
        <v>29</v>
      </c>
      <c r="AD332" s="20">
        <v>45799</v>
      </c>
    </row>
    <row r="333" spans="1:30">
      <c r="A333">
        <v>349</v>
      </c>
      <c r="B333" t="str">
        <f>_xlfn.XLOOKUP(A333,Z:Z,AB:AB,"not found")</f>
        <v>USD</v>
      </c>
      <c r="C333">
        <f>_xlfn.XLOOKUP(A333,Z:Z,AA:AA)-_xlfn.XLOOKUP(A333,Q:Q,R:R,"0")</f>
        <v>2456</v>
      </c>
      <c r="D333">
        <f>C333*_xlfn.XLOOKUP(B333,AG:AG,AH:AH)</f>
        <v>2112.16</v>
      </c>
      <c r="E333">
        <f>C333*_xlfn.XLOOKUP(B333,AG:AG,AI:AI)</f>
        <v>2456</v>
      </c>
      <c r="F333">
        <v>2456</v>
      </c>
      <c r="G333">
        <f>F333*_xlfn.XLOOKUP(B333,AG:AG,AH:AH)</f>
        <v>2112.16</v>
      </c>
      <c r="H333">
        <f>F333*_xlfn.XLOOKUP(B333,AG:AG,AI:AI)</f>
        <v>2456</v>
      </c>
      <c r="I333">
        <f t="shared" si="27"/>
        <v>0</v>
      </c>
      <c r="J333">
        <f>I333*_xlfn.XLOOKUP(B333,AG:AG,AI:AI)</f>
        <v>0</v>
      </c>
      <c r="K333" s="7">
        <f>_xlfn.XLOOKUP(A333,Z:Z,AD:AD)</f>
        <v>45794</v>
      </c>
      <c r="L333" s="7">
        <f t="shared" si="28"/>
        <v>45764</v>
      </c>
      <c r="M333">
        <f t="shared" si="29"/>
        <v>4</v>
      </c>
      <c r="N333">
        <f t="shared" si="30"/>
        <v>2025</v>
      </c>
      <c r="Q333" s="22">
        <v>542</v>
      </c>
      <c r="R333" s="22">
        <v>1110.3800000000001</v>
      </c>
      <c r="S333" s="22" t="str">
        <f t="shared" si="31"/>
        <v>USD</v>
      </c>
      <c r="T333" s="22">
        <f>R333*_xlfn.XLOOKUP(S333,AG:AG,AI:AI)</f>
        <v>1110.3800000000001</v>
      </c>
      <c r="U333" s="22" t="s">
        <v>26</v>
      </c>
      <c r="W333" s="9">
        <v>276</v>
      </c>
      <c r="X333" s="9" t="s">
        <v>28</v>
      </c>
      <c r="Z333">
        <v>349</v>
      </c>
      <c r="AA333" s="24">
        <v>2456</v>
      </c>
      <c r="AB333" t="s">
        <v>29</v>
      </c>
      <c r="AD333" s="20">
        <v>45794</v>
      </c>
    </row>
    <row r="334" spans="1:30">
      <c r="A334">
        <v>350</v>
      </c>
      <c r="B334" t="str">
        <f>_xlfn.XLOOKUP(A334,Z:Z,AB:AB,"not found")</f>
        <v>USD</v>
      </c>
      <c r="C334">
        <f>_xlfn.XLOOKUP(A334,Z:Z,AA:AA)-_xlfn.XLOOKUP(A334,Q:Q,R:R,"0")</f>
        <v>6608.32</v>
      </c>
      <c r="D334">
        <f>C334*_xlfn.XLOOKUP(B334,AG:AG,AH:AH)</f>
        <v>5683.1551999999992</v>
      </c>
      <c r="E334">
        <f>C334*_xlfn.XLOOKUP(B334,AG:AG,AI:AI)</f>
        <v>6608.32</v>
      </c>
      <c r="F334">
        <v>14617.59</v>
      </c>
      <c r="G334">
        <f>F334*_xlfn.XLOOKUP(B334,AG:AG,AH:AH)</f>
        <v>12571.127399999999</v>
      </c>
      <c r="H334">
        <f>F334*_xlfn.XLOOKUP(B334,AG:AG,AI:AI)</f>
        <v>14617.59</v>
      </c>
      <c r="I334">
        <f t="shared" si="27"/>
        <v>0</v>
      </c>
      <c r="J334">
        <f>I334*_xlfn.XLOOKUP(B334,AG:AG,AI:AI)</f>
        <v>0</v>
      </c>
      <c r="K334" s="7">
        <f>_xlfn.XLOOKUP(A334,Z:Z,AD:AD)</f>
        <v>45793</v>
      </c>
      <c r="L334" s="7">
        <f t="shared" si="28"/>
        <v>45763</v>
      </c>
      <c r="M334">
        <f t="shared" si="29"/>
        <v>4</v>
      </c>
      <c r="N334">
        <f t="shared" si="30"/>
        <v>2025</v>
      </c>
      <c r="Q334" s="22">
        <v>545</v>
      </c>
      <c r="R334" s="22">
        <v>955</v>
      </c>
      <c r="S334" s="22" t="str">
        <f t="shared" si="31"/>
        <v>USD</v>
      </c>
      <c r="T334" s="22">
        <f>R334*_xlfn.XLOOKUP(S334,AG:AG,AI:AI)</f>
        <v>955</v>
      </c>
      <c r="U334" s="22" t="s">
        <v>26</v>
      </c>
      <c r="W334" s="9">
        <v>278</v>
      </c>
      <c r="X334" s="9" t="s">
        <v>29</v>
      </c>
      <c r="Z334">
        <v>350</v>
      </c>
      <c r="AA334" s="24">
        <v>14617.59</v>
      </c>
      <c r="AB334" t="s">
        <v>29</v>
      </c>
      <c r="AD334" s="20">
        <v>45793</v>
      </c>
    </row>
    <row r="335" spans="1:30">
      <c r="A335">
        <v>351</v>
      </c>
      <c r="B335" t="str">
        <f>_xlfn.XLOOKUP(A335,Z:Z,AB:AB,"not found")</f>
        <v>USD</v>
      </c>
      <c r="C335">
        <f>_xlfn.XLOOKUP(A335,Z:Z,AA:AA)-_xlfn.XLOOKUP(A335,Q:Q,R:R,"0")</f>
        <v>2576.75</v>
      </c>
      <c r="D335">
        <f>C335*_xlfn.XLOOKUP(B335,AG:AG,AH:AH)</f>
        <v>2216.0050000000001</v>
      </c>
      <c r="E335">
        <f>C335*_xlfn.XLOOKUP(B335,AG:AG,AI:AI)</f>
        <v>2576.75</v>
      </c>
      <c r="F335">
        <v>2576.75</v>
      </c>
      <c r="G335">
        <f>F335*_xlfn.XLOOKUP(B335,AG:AG,AH:AH)</f>
        <v>2216.0050000000001</v>
      </c>
      <c r="H335">
        <f>F335*_xlfn.XLOOKUP(B335,AG:AG,AI:AI)</f>
        <v>2576.75</v>
      </c>
      <c r="I335">
        <f t="shared" si="27"/>
        <v>0</v>
      </c>
      <c r="J335">
        <f>I335*_xlfn.XLOOKUP(B335,AG:AG,AI:AI)</f>
        <v>0</v>
      </c>
      <c r="K335" s="7">
        <f>_xlfn.XLOOKUP(A335,Z:Z,AD:AD)</f>
        <v>45793</v>
      </c>
      <c r="L335" s="7">
        <f t="shared" si="28"/>
        <v>45763</v>
      </c>
      <c r="M335">
        <f t="shared" si="29"/>
        <v>4</v>
      </c>
      <c r="N335">
        <f t="shared" si="30"/>
        <v>2025</v>
      </c>
      <c r="Q335" s="22">
        <v>546</v>
      </c>
      <c r="R335" s="22">
        <v>75606</v>
      </c>
      <c r="S335" s="22" t="str">
        <f t="shared" si="31"/>
        <v>MXN</v>
      </c>
      <c r="T335" s="22">
        <f>R335*_xlfn.XLOOKUP(S335,AG:AG,AI:AI)</f>
        <v>4233.9359999999997</v>
      </c>
      <c r="U335" s="22" t="s">
        <v>26</v>
      </c>
      <c r="W335" s="9">
        <v>278</v>
      </c>
      <c r="X335" s="9" t="s">
        <v>29</v>
      </c>
      <c r="Z335">
        <v>351</v>
      </c>
      <c r="AA335" s="24">
        <v>2576.75</v>
      </c>
      <c r="AB335" t="s">
        <v>29</v>
      </c>
      <c r="AD335" s="20">
        <v>45793</v>
      </c>
    </row>
    <row r="336" spans="1:30">
      <c r="A336">
        <v>352</v>
      </c>
      <c r="B336" t="str">
        <f>_xlfn.XLOOKUP(A336,Z:Z,AB:AB,"not found")</f>
        <v>USD</v>
      </c>
      <c r="C336">
        <f>_xlfn.XLOOKUP(A336,Z:Z,AA:AA)-_xlfn.XLOOKUP(A336,Q:Q,R:R,"0")</f>
        <v>5170.8600000000006</v>
      </c>
      <c r="D336">
        <f>C336*_xlfn.XLOOKUP(B336,AG:AG,AH:AH)</f>
        <v>4446.9396000000006</v>
      </c>
      <c r="E336">
        <f>C336*_xlfn.XLOOKUP(B336,AG:AG,AI:AI)</f>
        <v>5170.8600000000006</v>
      </c>
      <c r="F336">
        <v>9074.86</v>
      </c>
      <c r="G336">
        <f>F336*_xlfn.XLOOKUP(B336,AG:AG,AH:AH)</f>
        <v>7804.3796000000002</v>
      </c>
      <c r="H336">
        <f>F336*_xlfn.XLOOKUP(B336,AG:AG,AI:AI)</f>
        <v>9074.86</v>
      </c>
      <c r="I336">
        <f t="shared" si="27"/>
        <v>0</v>
      </c>
      <c r="J336">
        <f>I336*_xlfn.XLOOKUP(B336,AG:AG,AI:AI)</f>
        <v>0</v>
      </c>
      <c r="K336" s="7">
        <f>_xlfn.XLOOKUP(A336,Z:Z,AD:AD)</f>
        <v>45821</v>
      </c>
      <c r="L336" s="7">
        <f t="shared" si="28"/>
        <v>45791</v>
      </c>
      <c r="M336">
        <f t="shared" si="29"/>
        <v>5</v>
      </c>
      <c r="N336">
        <f t="shared" si="30"/>
        <v>2025</v>
      </c>
      <c r="Q336" s="22">
        <v>547</v>
      </c>
      <c r="R336" s="22">
        <v>4307.1499999999996</v>
      </c>
      <c r="S336" s="22" t="str">
        <f t="shared" si="31"/>
        <v>USD</v>
      </c>
      <c r="T336" s="22">
        <f>R336*_xlfn.XLOOKUP(S336,AG:AG,AI:AI)</f>
        <v>4307.1499999999996</v>
      </c>
      <c r="U336" s="22" t="s">
        <v>26</v>
      </c>
      <c r="W336" s="9">
        <v>278</v>
      </c>
      <c r="X336" s="9" t="s">
        <v>29</v>
      </c>
      <c r="Z336">
        <v>352</v>
      </c>
      <c r="AA336" s="24">
        <v>9074.86</v>
      </c>
      <c r="AB336" t="s">
        <v>29</v>
      </c>
      <c r="AD336" s="20">
        <v>45821</v>
      </c>
    </row>
    <row r="337" spans="1:30">
      <c r="A337">
        <v>353</v>
      </c>
      <c r="B337" t="str">
        <f>_xlfn.XLOOKUP(A337,Z:Z,AB:AB,"not found")</f>
        <v>USD</v>
      </c>
      <c r="C337">
        <f>_xlfn.XLOOKUP(A337,Z:Z,AA:AA)-_xlfn.XLOOKUP(A337,Q:Q,R:R,"0")</f>
        <v>7278.61</v>
      </c>
      <c r="D337">
        <f>C337*_xlfn.XLOOKUP(B337,AG:AG,AH:AH)</f>
        <v>6259.6045999999997</v>
      </c>
      <c r="E337">
        <f>C337*_xlfn.XLOOKUP(B337,AG:AG,AI:AI)</f>
        <v>7278.61</v>
      </c>
      <c r="F337">
        <v>7278.61</v>
      </c>
      <c r="G337">
        <f>F337*_xlfn.XLOOKUP(B337,AG:AG,AH:AH)</f>
        <v>6259.6045999999997</v>
      </c>
      <c r="H337">
        <f>F337*_xlfn.XLOOKUP(B337,AG:AG,AI:AI)</f>
        <v>7278.61</v>
      </c>
      <c r="I337">
        <f t="shared" si="27"/>
        <v>0</v>
      </c>
      <c r="J337">
        <f>I337*_xlfn.XLOOKUP(B337,AG:AG,AI:AI)</f>
        <v>0</v>
      </c>
      <c r="K337" s="7">
        <f>_xlfn.XLOOKUP(A337,Z:Z,AD:AD)</f>
        <v>45804</v>
      </c>
      <c r="L337" s="7">
        <f t="shared" si="28"/>
        <v>45774</v>
      </c>
      <c r="M337">
        <f t="shared" si="29"/>
        <v>4</v>
      </c>
      <c r="N337">
        <f t="shared" si="30"/>
        <v>2025</v>
      </c>
      <c r="Q337" s="22">
        <v>548</v>
      </c>
      <c r="R337" s="22">
        <v>62135</v>
      </c>
      <c r="S337" s="22" t="str">
        <f t="shared" si="31"/>
        <v>EUR</v>
      </c>
      <c r="T337" s="22">
        <f>R337*_xlfn.XLOOKUP(S337,AG:AG,AI:AI)</f>
        <v>72076.599999999991</v>
      </c>
      <c r="U337" s="22" t="s">
        <v>26</v>
      </c>
      <c r="W337" s="9">
        <v>278</v>
      </c>
      <c r="X337" s="9" t="s">
        <v>29</v>
      </c>
      <c r="Z337">
        <v>353</v>
      </c>
      <c r="AA337" s="24">
        <v>7278.61</v>
      </c>
      <c r="AB337" t="s">
        <v>29</v>
      </c>
      <c r="AD337" s="20">
        <v>45804</v>
      </c>
    </row>
    <row r="338" spans="1:30">
      <c r="A338">
        <v>354</v>
      </c>
      <c r="B338" t="str">
        <f>_xlfn.XLOOKUP(A338,Z:Z,AB:AB,"not found")</f>
        <v>USD</v>
      </c>
      <c r="C338">
        <f>_xlfn.XLOOKUP(A338,Z:Z,AA:AA)-_xlfn.XLOOKUP(A338,Q:Q,R:R,"0")</f>
        <v>3084.96</v>
      </c>
      <c r="D338">
        <f>C338*_xlfn.XLOOKUP(B338,AG:AG,AH:AH)</f>
        <v>2653.0655999999999</v>
      </c>
      <c r="E338">
        <f>C338*_xlfn.XLOOKUP(B338,AG:AG,AI:AI)</f>
        <v>3084.96</v>
      </c>
      <c r="F338">
        <v>3084.96</v>
      </c>
      <c r="G338">
        <f>F338*_xlfn.XLOOKUP(B338,AG:AG,AH:AH)</f>
        <v>2653.0655999999999</v>
      </c>
      <c r="H338">
        <f>F338*_xlfn.XLOOKUP(B338,AG:AG,AI:AI)</f>
        <v>3084.96</v>
      </c>
      <c r="I338">
        <f t="shared" si="27"/>
        <v>0</v>
      </c>
      <c r="J338">
        <f>I338*_xlfn.XLOOKUP(B338,AG:AG,AI:AI)</f>
        <v>0</v>
      </c>
      <c r="K338" s="7">
        <f>_xlfn.XLOOKUP(A338,Z:Z,AD:AD)</f>
        <v>45799</v>
      </c>
      <c r="L338" s="7">
        <f t="shared" si="28"/>
        <v>45769</v>
      </c>
      <c r="M338">
        <f t="shared" si="29"/>
        <v>4</v>
      </c>
      <c r="N338">
        <f t="shared" si="30"/>
        <v>2025</v>
      </c>
      <c r="Q338" s="22">
        <v>549</v>
      </c>
      <c r="R338" s="22">
        <v>32910</v>
      </c>
      <c r="S338" s="22" t="str">
        <f t="shared" si="31"/>
        <v>CHF</v>
      </c>
      <c r="T338" s="22">
        <f>R338*_xlfn.XLOOKUP(S338,AG:AG,AI:AI)</f>
        <v>41137.5</v>
      </c>
      <c r="U338" s="22" t="s">
        <v>26</v>
      </c>
      <c r="W338" s="9">
        <v>279</v>
      </c>
      <c r="X338" s="9" t="s">
        <v>29</v>
      </c>
      <c r="Z338">
        <v>354</v>
      </c>
      <c r="AA338" s="24">
        <v>3084.96</v>
      </c>
      <c r="AB338" t="s">
        <v>29</v>
      </c>
      <c r="AD338" s="20">
        <v>45799</v>
      </c>
    </row>
    <row r="339" spans="1:30">
      <c r="A339">
        <v>355</v>
      </c>
      <c r="B339" t="str">
        <f>_xlfn.XLOOKUP(A339,Z:Z,AB:AB,"not found")</f>
        <v>USD</v>
      </c>
      <c r="C339">
        <f>_xlfn.XLOOKUP(A339,Z:Z,AA:AA)-_xlfn.XLOOKUP(A339,Q:Q,R:R,"0")</f>
        <v>92813.18</v>
      </c>
      <c r="D339">
        <f>C339*_xlfn.XLOOKUP(B339,AG:AG,AH:AH)</f>
        <v>79819.334799999997</v>
      </c>
      <c r="E339">
        <f>C339*_xlfn.XLOOKUP(B339,AG:AG,AI:AI)</f>
        <v>92813.18</v>
      </c>
      <c r="F339">
        <v>160328.18</v>
      </c>
      <c r="G339">
        <f>F339*_xlfn.XLOOKUP(B339,AG:AG,AH:AH)</f>
        <v>137882.23480000001</v>
      </c>
      <c r="H339">
        <f>F339*_xlfn.XLOOKUP(B339,AG:AG,AI:AI)</f>
        <v>160328.18</v>
      </c>
      <c r="I339">
        <f t="shared" si="27"/>
        <v>0</v>
      </c>
      <c r="J339">
        <f>I339*_xlfn.XLOOKUP(B339,AG:AG,AI:AI)</f>
        <v>0</v>
      </c>
      <c r="K339" s="7">
        <f>_xlfn.XLOOKUP(A339,Z:Z,AD:AD)</f>
        <v>45823</v>
      </c>
      <c r="L339" s="7">
        <f t="shared" si="28"/>
        <v>45793</v>
      </c>
      <c r="M339">
        <f t="shared" si="29"/>
        <v>5</v>
      </c>
      <c r="N339">
        <f t="shared" si="30"/>
        <v>2025</v>
      </c>
      <c r="Q339" s="22">
        <v>550</v>
      </c>
      <c r="R339" s="22">
        <v>43995.07</v>
      </c>
      <c r="S339" s="22" t="str">
        <f t="shared" si="31"/>
        <v>USD</v>
      </c>
      <c r="T339" s="22">
        <f>R339*_xlfn.XLOOKUP(S339,AG:AG,AI:AI)</f>
        <v>43995.07</v>
      </c>
      <c r="U339" s="22" t="s">
        <v>26</v>
      </c>
      <c r="W339" s="9">
        <v>279</v>
      </c>
      <c r="X339" s="9" t="s">
        <v>29</v>
      </c>
      <c r="Z339">
        <v>355</v>
      </c>
      <c r="AA339" s="24">
        <v>160328.18</v>
      </c>
      <c r="AB339" t="s">
        <v>29</v>
      </c>
      <c r="AD339" s="20">
        <v>45823</v>
      </c>
    </row>
    <row r="340" spans="1:30">
      <c r="A340">
        <v>356</v>
      </c>
      <c r="B340" t="str">
        <f>_xlfn.XLOOKUP(A340,Z:Z,AB:AB,"not found")</f>
        <v>USD</v>
      </c>
      <c r="C340">
        <f>_xlfn.XLOOKUP(A340,Z:Z,AA:AA)-_xlfn.XLOOKUP(A340,Q:Q,R:R,"0")</f>
        <v>6851.08</v>
      </c>
      <c r="D340">
        <f>C340*_xlfn.XLOOKUP(B340,AG:AG,AH:AH)</f>
        <v>5891.9287999999997</v>
      </c>
      <c r="E340">
        <f>C340*_xlfn.XLOOKUP(B340,AG:AG,AI:AI)</f>
        <v>6851.08</v>
      </c>
      <c r="F340">
        <v>6851.08</v>
      </c>
      <c r="G340">
        <f>F340*_xlfn.XLOOKUP(B340,AG:AG,AH:AH)</f>
        <v>5891.9287999999997</v>
      </c>
      <c r="H340">
        <f>F340*_xlfn.XLOOKUP(B340,AG:AG,AI:AI)</f>
        <v>6851.08</v>
      </c>
      <c r="I340">
        <f t="shared" si="27"/>
        <v>0</v>
      </c>
      <c r="J340">
        <f>I340*_xlfn.XLOOKUP(B340,AG:AG,AI:AI)</f>
        <v>0</v>
      </c>
      <c r="K340" s="7">
        <f>_xlfn.XLOOKUP(A340,Z:Z,AD:AD)</f>
        <v>45791</v>
      </c>
      <c r="L340" s="7">
        <f t="shared" si="28"/>
        <v>45761</v>
      </c>
      <c r="M340">
        <f t="shared" si="29"/>
        <v>4</v>
      </c>
      <c r="N340">
        <f t="shared" si="30"/>
        <v>2025</v>
      </c>
      <c r="Q340" s="22">
        <v>551</v>
      </c>
      <c r="R340" s="22">
        <v>50478</v>
      </c>
      <c r="S340" s="22" t="str">
        <f t="shared" si="31"/>
        <v>MXN</v>
      </c>
      <c r="T340" s="22">
        <f>R340*_xlfn.XLOOKUP(S340,AG:AG,AI:AI)</f>
        <v>2826.768</v>
      </c>
      <c r="U340" s="22" t="s">
        <v>26</v>
      </c>
      <c r="W340" s="9">
        <v>279</v>
      </c>
      <c r="X340" s="9" t="s">
        <v>29</v>
      </c>
      <c r="Z340">
        <v>356</v>
      </c>
      <c r="AA340" s="24">
        <v>6851.08</v>
      </c>
      <c r="AB340" t="s">
        <v>29</v>
      </c>
      <c r="AD340" s="20">
        <v>45791</v>
      </c>
    </row>
    <row r="341" spans="1:30">
      <c r="A341">
        <v>357</v>
      </c>
      <c r="B341" t="str">
        <f>_xlfn.XLOOKUP(A341,Z:Z,AB:AB,"not found")</f>
        <v>USD</v>
      </c>
      <c r="C341">
        <f>_xlfn.XLOOKUP(A341,Z:Z,AA:AA)-_xlfn.XLOOKUP(A341,Q:Q,R:R,"0")</f>
        <v>2597.52</v>
      </c>
      <c r="D341">
        <f>C341*_xlfn.XLOOKUP(B341,AG:AG,AH:AH)</f>
        <v>2233.8672000000001</v>
      </c>
      <c r="E341">
        <f>C341*_xlfn.XLOOKUP(B341,AG:AG,AI:AI)</f>
        <v>2597.52</v>
      </c>
      <c r="F341">
        <v>2597.52</v>
      </c>
      <c r="G341">
        <f>F341*_xlfn.XLOOKUP(B341,AG:AG,AH:AH)</f>
        <v>2233.8672000000001</v>
      </c>
      <c r="H341">
        <f>F341*_xlfn.XLOOKUP(B341,AG:AG,AI:AI)</f>
        <v>2597.52</v>
      </c>
      <c r="I341">
        <f t="shared" si="27"/>
        <v>0</v>
      </c>
      <c r="J341">
        <f>I341*_xlfn.XLOOKUP(B341,AG:AG,AI:AI)</f>
        <v>0</v>
      </c>
      <c r="K341" s="7">
        <f>_xlfn.XLOOKUP(A341,Z:Z,AD:AD)</f>
        <v>45803</v>
      </c>
      <c r="L341" s="7">
        <f t="shared" si="28"/>
        <v>45773</v>
      </c>
      <c r="M341">
        <f t="shared" si="29"/>
        <v>4</v>
      </c>
      <c r="N341">
        <f t="shared" si="30"/>
        <v>2025</v>
      </c>
      <c r="Q341" s="22">
        <v>552</v>
      </c>
      <c r="R341" s="22">
        <v>19741.939999999999</v>
      </c>
      <c r="S341" s="22" t="str">
        <f t="shared" si="31"/>
        <v>USD</v>
      </c>
      <c r="T341" s="22">
        <f>R341*_xlfn.XLOOKUP(S341,AG:AG,AI:AI)</f>
        <v>19741.939999999999</v>
      </c>
      <c r="U341" s="22" t="s">
        <v>26</v>
      </c>
      <c r="W341" s="9">
        <v>279</v>
      </c>
      <c r="X341" s="9" t="s">
        <v>29</v>
      </c>
      <c r="Z341">
        <v>357</v>
      </c>
      <c r="AA341" s="24">
        <v>2597.52</v>
      </c>
      <c r="AB341" t="s">
        <v>29</v>
      </c>
      <c r="AD341" s="20">
        <v>45803</v>
      </c>
    </row>
    <row r="342" spans="1:30">
      <c r="A342">
        <v>358</v>
      </c>
      <c r="B342" t="str">
        <f>_xlfn.XLOOKUP(A342,Z:Z,AB:AB,"not found")</f>
        <v>USD</v>
      </c>
      <c r="C342">
        <f>_xlfn.XLOOKUP(A342,Z:Z,AA:AA)-_xlfn.XLOOKUP(A342,Q:Q,R:R,"0")</f>
        <v>353.7</v>
      </c>
      <c r="D342">
        <f>C342*_xlfn.XLOOKUP(B342,AG:AG,AH:AH)</f>
        <v>304.18199999999996</v>
      </c>
      <c r="E342">
        <f>C342*_xlfn.XLOOKUP(B342,AG:AG,AI:AI)</f>
        <v>353.7</v>
      </c>
      <c r="F342">
        <v>353.7</v>
      </c>
      <c r="G342">
        <f>F342*_xlfn.XLOOKUP(B342,AG:AG,AH:AH)</f>
        <v>304.18199999999996</v>
      </c>
      <c r="H342">
        <f>F342*_xlfn.XLOOKUP(B342,AG:AG,AI:AI)</f>
        <v>353.7</v>
      </c>
      <c r="I342">
        <f t="shared" si="27"/>
        <v>0</v>
      </c>
      <c r="J342">
        <f>I342*_xlfn.XLOOKUP(B342,AG:AG,AI:AI)</f>
        <v>0</v>
      </c>
      <c r="K342" s="7">
        <f>_xlfn.XLOOKUP(A342,Z:Z,AD:AD)</f>
        <v>45787</v>
      </c>
      <c r="L342" s="7">
        <f t="shared" si="28"/>
        <v>45757</v>
      </c>
      <c r="M342">
        <f t="shared" si="29"/>
        <v>4</v>
      </c>
      <c r="N342">
        <f t="shared" si="30"/>
        <v>2025</v>
      </c>
      <c r="Q342" s="22">
        <v>553</v>
      </c>
      <c r="R342" s="22">
        <v>18980</v>
      </c>
      <c r="S342" s="22" t="str">
        <f t="shared" si="31"/>
        <v>EUR</v>
      </c>
      <c r="T342" s="22">
        <f>R342*_xlfn.XLOOKUP(S342,AG:AG,AI:AI)</f>
        <v>22016.799999999999</v>
      </c>
      <c r="U342" s="22" t="s">
        <v>26</v>
      </c>
      <c r="W342" s="9">
        <v>279</v>
      </c>
      <c r="X342" s="9" t="s">
        <v>29</v>
      </c>
      <c r="Z342">
        <v>358</v>
      </c>
      <c r="AA342" s="24">
        <v>353.7</v>
      </c>
      <c r="AB342" t="s">
        <v>29</v>
      </c>
      <c r="AD342" s="20">
        <v>45787</v>
      </c>
    </row>
    <row r="343" spans="1:30">
      <c r="A343">
        <v>359</v>
      </c>
      <c r="B343" t="str">
        <f>_xlfn.XLOOKUP(A343,Z:Z,AB:AB,"not found")</f>
        <v>EUR</v>
      </c>
      <c r="C343">
        <f>_xlfn.XLOOKUP(A343,Z:Z,AA:AA)-_xlfn.XLOOKUP(A343,Q:Q,R:R,"0")</f>
        <v>21583.16</v>
      </c>
      <c r="D343">
        <f>C343*_xlfn.XLOOKUP(B343,AG:AG,AH:AH)</f>
        <v>21583.16</v>
      </c>
      <c r="E343">
        <f>C343*_xlfn.XLOOKUP(B343,AG:AG,AI:AI)</f>
        <v>25036.4656</v>
      </c>
      <c r="F343">
        <v>21583.16</v>
      </c>
      <c r="G343">
        <f>F343*_xlfn.XLOOKUP(B343,AG:AG,AH:AH)</f>
        <v>21583.16</v>
      </c>
      <c r="H343">
        <f>F343*_xlfn.XLOOKUP(B343,AG:AG,AI:AI)</f>
        <v>25036.4656</v>
      </c>
      <c r="I343">
        <f t="shared" si="27"/>
        <v>0</v>
      </c>
      <c r="J343">
        <f>I343*_xlfn.XLOOKUP(B343,AG:AG,AI:AI)</f>
        <v>0</v>
      </c>
      <c r="K343" s="7">
        <f>_xlfn.XLOOKUP(A343,Z:Z,AD:AD)</f>
        <v>45850</v>
      </c>
      <c r="L343" s="7">
        <f t="shared" si="28"/>
        <v>45820</v>
      </c>
      <c r="M343">
        <f t="shared" si="29"/>
        <v>6</v>
      </c>
      <c r="N343">
        <f t="shared" si="30"/>
        <v>2025</v>
      </c>
      <c r="Q343" s="22">
        <v>554</v>
      </c>
      <c r="R343" s="22">
        <v>1613.45</v>
      </c>
      <c r="S343" s="22" t="str">
        <f t="shared" si="31"/>
        <v>USD</v>
      </c>
      <c r="T343" s="22">
        <f>R343*_xlfn.XLOOKUP(S343,AG:AG,AI:AI)</f>
        <v>1613.45</v>
      </c>
      <c r="U343" s="22" t="s">
        <v>26</v>
      </c>
      <c r="W343" s="9">
        <v>281</v>
      </c>
      <c r="X343" s="9" t="s">
        <v>29</v>
      </c>
      <c r="Z343">
        <v>359</v>
      </c>
      <c r="AA343" s="24">
        <v>21583.16</v>
      </c>
      <c r="AB343" t="s">
        <v>27</v>
      </c>
      <c r="AD343" s="20">
        <v>45850</v>
      </c>
    </row>
    <row r="344" spans="1:30">
      <c r="A344">
        <v>360</v>
      </c>
      <c r="B344" t="str">
        <f>_xlfn.XLOOKUP(A344,Z:Z,AB:AB,"not found")</f>
        <v>USD</v>
      </c>
      <c r="C344">
        <f>_xlfn.XLOOKUP(A344,Z:Z,AA:AA)-_xlfn.XLOOKUP(A344,Q:Q,R:R,"0")</f>
        <v>2292.54</v>
      </c>
      <c r="D344">
        <f>C344*_xlfn.XLOOKUP(B344,AG:AG,AH:AH)</f>
        <v>1971.5844</v>
      </c>
      <c r="E344">
        <f>C344*_xlfn.XLOOKUP(B344,AG:AG,AI:AI)</f>
        <v>2292.54</v>
      </c>
      <c r="F344">
        <v>2292.54</v>
      </c>
      <c r="G344">
        <f>F344*_xlfn.XLOOKUP(B344,AG:AG,AH:AH)</f>
        <v>1971.5844</v>
      </c>
      <c r="H344">
        <f>F344*_xlfn.XLOOKUP(B344,AG:AG,AI:AI)</f>
        <v>2292.54</v>
      </c>
      <c r="I344">
        <f t="shared" si="27"/>
        <v>0</v>
      </c>
      <c r="J344">
        <f>I344*_xlfn.XLOOKUP(B344,AG:AG,AI:AI)</f>
        <v>0</v>
      </c>
      <c r="K344" s="7">
        <f>_xlfn.XLOOKUP(A344,Z:Z,AD:AD)</f>
        <v>45877</v>
      </c>
      <c r="L344" s="7">
        <f t="shared" si="28"/>
        <v>45847</v>
      </c>
      <c r="M344">
        <f t="shared" si="29"/>
        <v>7</v>
      </c>
      <c r="N344">
        <f t="shared" si="30"/>
        <v>2025</v>
      </c>
      <c r="Q344" s="22">
        <v>555</v>
      </c>
      <c r="R344" s="22">
        <v>5682</v>
      </c>
      <c r="S344" s="22" t="str">
        <f t="shared" si="31"/>
        <v>USD</v>
      </c>
      <c r="T344" s="22">
        <f>R344*_xlfn.XLOOKUP(S344,AG:AG,AI:AI)</f>
        <v>5682</v>
      </c>
      <c r="U344" s="22" t="s">
        <v>26</v>
      </c>
      <c r="W344" s="9">
        <v>282</v>
      </c>
      <c r="X344" s="9" t="s">
        <v>29</v>
      </c>
      <c r="Z344">
        <v>360</v>
      </c>
      <c r="AA344" s="24">
        <v>2292.54</v>
      </c>
      <c r="AB344" t="s">
        <v>29</v>
      </c>
      <c r="AD344" s="20">
        <v>45877</v>
      </c>
    </row>
    <row r="345" spans="1:30">
      <c r="A345">
        <v>361</v>
      </c>
      <c r="B345" t="str">
        <f>_xlfn.XLOOKUP(A345,Z:Z,AB:AB,"not found")</f>
        <v>USD</v>
      </c>
      <c r="C345">
        <f>_xlfn.XLOOKUP(A345,Z:Z,AA:AA)-_xlfn.XLOOKUP(A345,Q:Q,R:R,"0")</f>
        <v>6906.67</v>
      </c>
      <c r="D345">
        <f>C345*_xlfn.XLOOKUP(B345,AG:AG,AH:AH)</f>
        <v>5939.7362000000003</v>
      </c>
      <c r="E345">
        <f>C345*_xlfn.XLOOKUP(B345,AG:AG,AI:AI)</f>
        <v>6906.67</v>
      </c>
      <c r="F345">
        <v>6906.67</v>
      </c>
      <c r="G345">
        <f>F345*_xlfn.XLOOKUP(B345,AG:AG,AH:AH)</f>
        <v>5939.7362000000003</v>
      </c>
      <c r="H345">
        <f>F345*_xlfn.XLOOKUP(B345,AG:AG,AI:AI)</f>
        <v>6906.67</v>
      </c>
      <c r="I345">
        <f t="shared" si="27"/>
        <v>0</v>
      </c>
      <c r="J345">
        <f>I345*_xlfn.XLOOKUP(B345,AG:AG,AI:AI)</f>
        <v>0</v>
      </c>
      <c r="K345" s="7">
        <f>_xlfn.XLOOKUP(A345,Z:Z,AD:AD)</f>
        <v>45825</v>
      </c>
      <c r="L345" s="7">
        <f t="shared" si="28"/>
        <v>45795</v>
      </c>
      <c r="M345">
        <f t="shared" si="29"/>
        <v>5</v>
      </c>
      <c r="N345">
        <f t="shared" si="30"/>
        <v>2025</v>
      </c>
      <c r="Q345" s="22">
        <v>557</v>
      </c>
      <c r="R345" s="22">
        <v>8329.1899999999987</v>
      </c>
      <c r="S345" s="22" t="str">
        <f t="shared" si="31"/>
        <v>USD</v>
      </c>
      <c r="T345" s="22">
        <f>R345*_xlfn.XLOOKUP(S345,AG:AG,AI:AI)</f>
        <v>8329.1899999999987</v>
      </c>
      <c r="U345" s="22" t="s">
        <v>26</v>
      </c>
      <c r="W345" s="9">
        <v>283</v>
      </c>
      <c r="X345" s="9" t="s">
        <v>29</v>
      </c>
      <c r="Z345">
        <v>361</v>
      </c>
      <c r="AA345" s="24">
        <v>6906.67</v>
      </c>
      <c r="AB345" t="s">
        <v>29</v>
      </c>
      <c r="AD345" s="20">
        <v>45825</v>
      </c>
    </row>
    <row r="346" spans="1:30">
      <c r="A346">
        <v>362</v>
      </c>
      <c r="B346" t="str">
        <f>_xlfn.XLOOKUP(A346,Z:Z,AB:AB,"not found")</f>
        <v>USD</v>
      </c>
      <c r="C346">
        <f>_xlfn.XLOOKUP(A346,Z:Z,AA:AA)-_xlfn.XLOOKUP(A346,Q:Q,R:R,"0")</f>
        <v>50</v>
      </c>
      <c r="D346">
        <f>C346*_xlfn.XLOOKUP(B346,AG:AG,AH:AH)</f>
        <v>43</v>
      </c>
      <c r="E346">
        <f>C346*_xlfn.XLOOKUP(B346,AG:AG,AI:AI)</f>
        <v>50</v>
      </c>
      <c r="F346">
        <v>50</v>
      </c>
      <c r="G346">
        <f>F346*_xlfn.XLOOKUP(B346,AG:AG,AH:AH)</f>
        <v>43</v>
      </c>
      <c r="H346">
        <f>F346*_xlfn.XLOOKUP(B346,AG:AG,AI:AI)</f>
        <v>50</v>
      </c>
      <c r="I346">
        <f t="shared" si="27"/>
        <v>0</v>
      </c>
      <c r="J346">
        <f>I346*_xlfn.XLOOKUP(B346,AG:AG,AI:AI)</f>
        <v>0</v>
      </c>
      <c r="K346" s="7">
        <f>_xlfn.XLOOKUP(A346,Z:Z,AD:AD)</f>
        <v>45858</v>
      </c>
      <c r="L346" s="7">
        <f t="shared" si="28"/>
        <v>45828</v>
      </c>
      <c r="M346">
        <f t="shared" si="29"/>
        <v>6</v>
      </c>
      <c r="N346">
        <f t="shared" si="30"/>
        <v>2025</v>
      </c>
      <c r="Q346" s="22">
        <v>558</v>
      </c>
      <c r="R346" s="22">
        <v>16034.17</v>
      </c>
      <c r="S346" s="22" t="str">
        <f t="shared" si="31"/>
        <v>USD</v>
      </c>
      <c r="T346" s="22">
        <f>R346*_xlfn.XLOOKUP(S346,AG:AG,AI:AI)</f>
        <v>16034.17</v>
      </c>
      <c r="U346" s="22" t="s">
        <v>26</v>
      </c>
      <c r="W346" s="9">
        <v>284</v>
      </c>
      <c r="X346" s="9" t="s">
        <v>29</v>
      </c>
      <c r="Z346">
        <v>362</v>
      </c>
      <c r="AA346" s="24">
        <v>50</v>
      </c>
      <c r="AB346" t="s">
        <v>29</v>
      </c>
      <c r="AD346" s="20">
        <v>45858</v>
      </c>
    </row>
    <row r="347" spans="1:30">
      <c r="A347">
        <v>363</v>
      </c>
      <c r="B347" t="str">
        <f>_xlfn.XLOOKUP(A347,Z:Z,AB:AB,"not found")</f>
        <v>MXN</v>
      </c>
      <c r="C347">
        <f>_xlfn.XLOOKUP(A347,Z:Z,AA:AA)-_xlfn.XLOOKUP(A347,Q:Q,R:R,"0")</f>
        <v>0</v>
      </c>
      <c r="D347">
        <f>C347*_xlfn.XLOOKUP(B347,AG:AG,AH:AH)</f>
        <v>0</v>
      </c>
      <c r="E347">
        <f>C347*_xlfn.XLOOKUP(B347,AG:AG,AI:AI)</f>
        <v>0</v>
      </c>
      <c r="F347">
        <v>20818</v>
      </c>
      <c r="G347">
        <f>F347*_xlfn.XLOOKUP(B347,AG:AG,AH:AH)</f>
        <v>999.26400000000001</v>
      </c>
      <c r="H347">
        <f>F347*_xlfn.XLOOKUP(B347,AG:AG,AI:AI)</f>
        <v>1165.808</v>
      </c>
      <c r="I347">
        <f t="shared" si="27"/>
        <v>0</v>
      </c>
      <c r="J347">
        <f>I347*_xlfn.XLOOKUP(B347,AG:AG,AI:AI)</f>
        <v>0</v>
      </c>
      <c r="K347" s="7">
        <f>_xlfn.XLOOKUP(A347,Z:Z,AD:AD)</f>
        <v>45818</v>
      </c>
      <c r="L347" s="7">
        <f t="shared" si="28"/>
        <v>45788</v>
      </c>
      <c r="M347">
        <f t="shared" si="29"/>
        <v>5</v>
      </c>
      <c r="N347">
        <f t="shared" si="30"/>
        <v>2025</v>
      </c>
      <c r="Q347" s="22">
        <v>560</v>
      </c>
      <c r="R347" s="22">
        <v>1725</v>
      </c>
      <c r="S347" s="22" t="str">
        <f t="shared" si="31"/>
        <v>GPB</v>
      </c>
      <c r="T347" s="22">
        <f>R347*_xlfn.XLOOKUP(S347,AG:AG,AI:AI)</f>
        <v>2311.5</v>
      </c>
      <c r="U347" s="22" t="s">
        <v>26</v>
      </c>
      <c r="W347" s="9">
        <v>285</v>
      </c>
      <c r="X347" s="9" t="s">
        <v>29</v>
      </c>
      <c r="Z347">
        <v>363</v>
      </c>
      <c r="AA347" s="24">
        <v>20818</v>
      </c>
      <c r="AB347" t="s">
        <v>28</v>
      </c>
      <c r="AD347" s="20">
        <v>45818</v>
      </c>
    </row>
    <row r="348" spans="1:30">
      <c r="A348">
        <v>364</v>
      </c>
      <c r="B348" t="str">
        <f>_xlfn.XLOOKUP(A348,Z:Z,AB:AB,"not found")</f>
        <v>USD</v>
      </c>
      <c r="C348">
        <f>_xlfn.XLOOKUP(A348,Z:Z,AA:AA)-_xlfn.XLOOKUP(A348,Q:Q,R:R,"0")</f>
        <v>18262.370000000003</v>
      </c>
      <c r="D348">
        <f>C348*_xlfn.XLOOKUP(B348,AG:AG,AH:AH)</f>
        <v>15705.638200000001</v>
      </c>
      <c r="E348">
        <f>C348*_xlfn.XLOOKUP(B348,AG:AG,AI:AI)</f>
        <v>18262.370000000003</v>
      </c>
      <c r="F348">
        <v>38693.760000000002</v>
      </c>
      <c r="G348">
        <f>F348*_xlfn.XLOOKUP(B348,AG:AG,AH:AH)</f>
        <v>33276.633600000001</v>
      </c>
      <c r="H348">
        <f>F348*_xlfn.XLOOKUP(B348,AG:AG,AI:AI)</f>
        <v>38693.760000000002</v>
      </c>
      <c r="I348">
        <f t="shared" si="27"/>
        <v>0</v>
      </c>
      <c r="J348">
        <f>I348*_xlfn.XLOOKUP(B348,AG:AG,AI:AI)</f>
        <v>0</v>
      </c>
      <c r="K348" s="7">
        <f>_xlfn.XLOOKUP(A348,Z:Z,AD:AD)</f>
        <v>45803</v>
      </c>
      <c r="L348" s="7">
        <f t="shared" si="28"/>
        <v>45773</v>
      </c>
      <c r="M348">
        <f t="shared" si="29"/>
        <v>4</v>
      </c>
      <c r="N348">
        <f t="shared" si="30"/>
        <v>2025</v>
      </c>
      <c r="Q348" s="22">
        <v>561</v>
      </c>
      <c r="R348" s="22">
        <v>57286</v>
      </c>
      <c r="S348" s="22" t="str">
        <f t="shared" si="31"/>
        <v>MXN</v>
      </c>
      <c r="T348" s="22">
        <f>R348*_xlfn.XLOOKUP(S348,AG:AG,AI:AI)</f>
        <v>3208.0160000000001</v>
      </c>
      <c r="U348" s="22" t="s">
        <v>26</v>
      </c>
      <c r="W348" s="9">
        <v>286</v>
      </c>
      <c r="X348" s="9" t="s">
        <v>29</v>
      </c>
      <c r="Z348">
        <v>364</v>
      </c>
      <c r="AA348" s="24">
        <v>38693.760000000002</v>
      </c>
      <c r="AB348" t="s">
        <v>29</v>
      </c>
      <c r="AD348" s="20">
        <v>45803</v>
      </c>
    </row>
    <row r="349" spans="1:30">
      <c r="A349">
        <v>366</v>
      </c>
      <c r="B349" t="str">
        <f>_xlfn.XLOOKUP(A349,Z:Z,AB:AB,"not found")</f>
        <v>USD</v>
      </c>
      <c r="C349">
        <f>_xlfn.XLOOKUP(A349,Z:Z,AA:AA)-_xlfn.XLOOKUP(A349,Q:Q,R:R,"0")</f>
        <v>4008.67</v>
      </c>
      <c r="D349">
        <f>C349*_xlfn.XLOOKUP(B349,AG:AG,AH:AH)</f>
        <v>3447.4562000000001</v>
      </c>
      <c r="E349">
        <f>C349*_xlfn.XLOOKUP(B349,AG:AG,AI:AI)</f>
        <v>4008.67</v>
      </c>
      <c r="F349">
        <v>4008.67</v>
      </c>
      <c r="G349">
        <f>F349*_xlfn.XLOOKUP(B349,AG:AG,AH:AH)</f>
        <v>3447.4562000000001</v>
      </c>
      <c r="H349">
        <f>F349*_xlfn.XLOOKUP(B349,AG:AG,AI:AI)</f>
        <v>4008.67</v>
      </c>
      <c r="I349">
        <f t="shared" si="27"/>
        <v>0</v>
      </c>
      <c r="J349">
        <f>I349*_xlfn.XLOOKUP(B349,AG:AG,AI:AI)</f>
        <v>0</v>
      </c>
      <c r="K349" s="7">
        <f>_xlfn.XLOOKUP(A349,Z:Z,AD:AD)</f>
        <v>45826</v>
      </c>
      <c r="L349" s="7">
        <f t="shared" si="28"/>
        <v>45796</v>
      </c>
      <c r="M349">
        <f t="shared" si="29"/>
        <v>5</v>
      </c>
      <c r="N349">
        <f t="shared" si="30"/>
        <v>2025</v>
      </c>
      <c r="Q349" s="22">
        <v>562</v>
      </c>
      <c r="R349" s="22">
        <v>2837.24</v>
      </c>
      <c r="S349" s="22" t="str">
        <f t="shared" si="31"/>
        <v>USD</v>
      </c>
      <c r="T349" s="22">
        <f>R349*_xlfn.XLOOKUP(S349,AG:AG,AI:AI)</f>
        <v>2837.24</v>
      </c>
      <c r="U349" s="22" t="s">
        <v>26</v>
      </c>
      <c r="W349" s="9">
        <v>287</v>
      </c>
      <c r="X349" s="9" t="s">
        <v>27</v>
      </c>
      <c r="Z349">
        <v>366</v>
      </c>
      <c r="AA349" s="24">
        <v>4008.67</v>
      </c>
      <c r="AB349" t="s">
        <v>29</v>
      </c>
      <c r="AD349" s="20">
        <v>45826</v>
      </c>
    </row>
    <row r="350" spans="1:30">
      <c r="A350">
        <v>368</v>
      </c>
      <c r="B350" t="str">
        <f>_xlfn.XLOOKUP(A350,Z:Z,AB:AB,"not found")</f>
        <v>USD</v>
      </c>
      <c r="C350">
        <f>_xlfn.XLOOKUP(A350,Z:Z,AA:AA)-_xlfn.XLOOKUP(A350,Q:Q,R:R,"0")</f>
        <v>0</v>
      </c>
      <c r="D350">
        <f>C350*_xlfn.XLOOKUP(B350,AG:AG,AH:AH)</f>
        <v>0</v>
      </c>
      <c r="E350">
        <f>C350*_xlfn.XLOOKUP(B350,AG:AG,AI:AI)</f>
        <v>0</v>
      </c>
      <c r="F350">
        <v>1680</v>
      </c>
      <c r="G350">
        <f>F350*_xlfn.XLOOKUP(B350,AG:AG,AH:AH)</f>
        <v>1444.8</v>
      </c>
      <c r="H350">
        <f>F350*_xlfn.XLOOKUP(B350,AG:AG,AI:AI)</f>
        <v>1680</v>
      </c>
      <c r="I350">
        <f t="shared" si="27"/>
        <v>0</v>
      </c>
      <c r="J350">
        <f>I350*_xlfn.XLOOKUP(B350,AG:AG,AI:AI)</f>
        <v>0</v>
      </c>
      <c r="K350" s="7">
        <f>_xlfn.XLOOKUP(A350,Z:Z,AD:AD)</f>
        <v>45739</v>
      </c>
      <c r="L350" s="7">
        <f t="shared" si="28"/>
        <v>45709</v>
      </c>
      <c r="M350">
        <f t="shared" si="29"/>
        <v>2</v>
      </c>
      <c r="N350">
        <f t="shared" si="30"/>
        <v>2025</v>
      </c>
      <c r="Q350" s="22">
        <v>563</v>
      </c>
      <c r="R350" s="22">
        <v>8838.5600000000013</v>
      </c>
      <c r="S350" s="22" t="str">
        <f t="shared" si="31"/>
        <v>USD</v>
      </c>
      <c r="T350" s="22">
        <f>R350*_xlfn.XLOOKUP(S350,AG:AG,AI:AI)</f>
        <v>8838.5600000000013</v>
      </c>
      <c r="U350" s="22" t="s">
        <v>26</v>
      </c>
      <c r="W350" s="9">
        <v>287</v>
      </c>
      <c r="X350" s="9" t="s">
        <v>27</v>
      </c>
      <c r="Z350">
        <v>368</v>
      </c>
      <c r="AA350" s="24">
        <v>1680</v>
      </c>
      <c r="AB350" t="s">
        <v>29</v>
      </c>
      <c r="AD350" s="20">
        <v>45739</v>
      </c>
    </row>
    <row r="351" spans="1:30">
      <c r="A351">
        <v>369</v>
      </c>
      <c r="B351" t="str">
        <f>_xlfn.XLOOKUP(A351,Z:Z,AB:AB,"not found")</f>
        <v>USD</v>
      </c>
      <c r="C351">
        <f>_xlfn.XLOOKUP(A351,Z:Z,AA:AA)-_xlfn.XLOOKUP(A351,Q:Q,R:R,"0")</f>
        <v>8281.7300000000014</v>
      </c>
      <c r="D351">
        <f>C351*_xlfn.XLOOKUP(B351,AG:AG,AH:AH)</f>
        <v>7122.287800000001</v>
      </c>
      <c r="E351">
        <f>C351*_xlfn.XLOOKUP(B351,AG:AG,AI:AI)</f>
        <v>8281.7300000000014</v>
      </c>
      <c r="F351">
        <v>16505.63</v>
      </c>
      <c r="G351">
        <f>F351*_xlfn.XLOOKUP(B351,AG:AG,AH:AH)</f>
        <v>14194.8418</v>
      </c>
      <c r="H351">
        <f>F351*_xlfn.XLOOKUP(B351,AG:AG,AI:AI)</f>
        <v>16505.63</v>
      </c>
      <c r="I351">
        <f t="shared" si="27"/>
        <v>0</v>
      </c>
      <c r="J351">
        <f>I351*_xlfn.XLOOKUP(B351,AG:AG,AI:AI)</f>
        <v>0</v>
      </c>
      <c r="K351" s="7">
        <f>_xlfn.XLOOKUP(A351,Z:Z,AD:AD)</f>
        <v>45845</v>
      </c>
      <c r="L351" s="7">
        <f t="shared" si="28"/>
        <v>45815</v>
      </c>
      <c r="M351">
        <f t="shared" si="29"/>
        <v>6</v>
      </c>
      <c r="N351">
        <f t="shared" si="30"/>
        <v>2025</v>
      </c>
      <c r="Q351" s="22">
        <v>567</v>
      </c>
      <c r="R351" s="22">
        <v>713.63</v>
      </c>
      <c r="S351" s="22" t="str">
        <f t="shared" si="31"/>
        <v>USD</v>
      </c>
      <c r="T351" s="22">
        <f>R351*_xlfn.XLOOKUP(S351,AG:AG,AI:AI)</f>
        <v>713.63</v>
      </c>
      <c r="U351" s="22" t="s">
        <v>26</v>
      </c>
      <c r="W351" s="9">
        <v>287</v>
      </c>
      <c r="X351" s="9" t="s">
        <v>27</v>
      </c>
      <c r="Z351">
        <v>369</v>
      </c>
      <c r="AA351" s="24">
        <v>16505.63</v>
      </c>
      <c r="AB351" t="s">
        <v>29</v>
      </c>
      <c r="AD351" s="20">
        <v>45845</v>
      </c>
    </row>
    <row r="352" spans="1:30">
      <c r="A352">
        <v>370</v>
      </c>
      <c r="B352" t="str">
        <f>_xlfn.XLOOKUP(A352,Z:Z,AB:AB,"not found")</f>
        <v>USD</v>
      </c>
      <c r="C352">
        <f>_xlfn.XLOOKUP(A352,Z:Z,AA:AA)-_xlfn.XLOOKUP(A352,Q:Q,R:R,"0")</f>
        <v>-8957.5499999999993</v>
      </c>
      <c r="D352">
        <f>C352*_xlfn.XLOOKUP(B352,AG:AG,AH:AH)</f>
        <v>-7703.4929999999995</v>
      </c>
      <c r="E352">
        <f>C352*_xlfn.XLOOKUP(B352,AG:AG,AI:AI)</f>
        <v>-8957.5499999999993</v>
      </c>
      <c r="F352">
        <v>4797.97</v>
      </c>
      <c r="G352">
        <f>F352*_xlfn.XLOOKUP(B352,AG:AG,AH:AH)</f>
        <v>4126.2542000000003</v>
      </c>
      <c r="H352">
        <f>F352*_xlfn.XLOOKUP(B352,AG:AG,AI:AI)</f>
        <v>4797.97</v>
      </c>
      <c r="I352">
        <f t="shared" si="27"/>
        <v>0</v>
      </c>
      <c r="J352">
        <f>I352*_xlfn.XLOOKUP(B352,AG:AG,AI:AI)</f>
        <v>0</v>
      </c>
      <c r="K352" s="7">
        <f>_xlfn.XLOOKUP(A352,Z:Z,AD:AD)</f>
        <v>45832</v>
      </c>
      <c r="L352" s="7">
        <f t="shared" si="28"/>
        <v>45802</v>
      </c>
      <c r="M352">
        <f t="shared" si="29"/>
        <v>5</v>
      </c>
      <c r="N352">
        <f t="shared" si="30"/>
        <v>2025</v>
      </c>
      <c r="Q352" s="22">
        <v>568</v>
      </c>
      <c r="R352" s="22">
        <v>2700</v>
      </c>
      <c r="S352" s="22" t="str">
        <f t="shared" si="31"/>
        <v>GPB</v>
      </c>
      <c r="T352" s="22">
        <f>R352*_xlfn.XLOOKUP(S352,AG:AG,AI:AI)</f>
        <v>3618</v>
      </c>
      <c r="U352" s="22" t="s">
        <v>26</v>
      </c>
      <c r="W352" s="9">
        <v>287</v>
      </c>
      <c r="X352" s="9" t="s">
        <v>27</v>
      </c>
      <c r="Z352">
        <v>370</v>
      </c>
      <c r="AA352" s="24">
        <v>4797.97</v>
      </c>
      <c r="AB352" t="s">
        <v>29</v>
      </c>
      <c r="AD352" s="20">
        <v>45832</v>
      </c>
    </row>
    <row r="353" spans="1:30">
      <c r="A353">
        <v>371</v>
      </c>
      <c r="B353" t="str">
        <f>_xlfn.XLOOKUP(A353,Z:Z,AB:AB,"not found")</f>
        <v>USD</v>
      </c>
      <c r="C353">
        <f>_xlfn.XLOOKUP(A353,Z:Z,AA:AA)-_xlfn.XLOOKUP(A353,Q:Q,R:R,"0")</f>
        <v>8538.880000000001</v>
      </c>
      <c r="D353">
        <f>C353*_xlfn.XLOOKUP(B353,AG:AG,AH:AH)</f>
        <v>7343.4368000000004</v>
      </c>
      <c r="E353">
        <f>C353*_xlfn.XLOOKUP(B353,AG:AG,AI:AI)</f>
        <v>8538.880000000001</v>
      </c>
      <c r="F353">
        <v>40578.53</v>
      </c>
      <c r="G353">
        <f>F353*_xlfn.XLOOKUP(B353,AG:AG,AH:AH)</f>
        <v>34897.535799999998</v>
      </c>
      <c r="H353">
        <f>F353*_xlfn.XLOOKUP(B353,AG:AG,AI:AI)</f>
        <v>40578.53</v>
      </c>
      <c r="I353">
        <f t="shared" si="27"/>
        <v>0</v>
      </c>
      <c r="J353">
        <f>I353*_xlfn.XLOOKUP(B353,AG:AG,AI:AI)</f>
        <v>0</v>
      </c>
      <c r="K353" s="7">
        <f>_xlfn.XLOOKUP(A353,Z:Z,AD:AD)</f>
        <v>45855</v>
      </c>
      <c r="L353" s="7">
        <f t="shared" si="28"/>
        <v>45825</v>
      </c>
      <c r="M353">
        <f t="shared" si="29"/>
        <v>6</v>
      </c>
      <c r="N353">
        <f t="shared" si="30"/>
        <v>2025</v>
      </c>
      <c r="Q353" s="22">
        <v>570</v>
      </c>
      <c r="R353" s="22">
        <v>2504</v>
      </c>
      <c r="S353" s="22" t="str">
        <f t="shared" si="31"/>
        <v>GBP</v>
      </c>
      <c r="T353" s="22">
        <f>R353*_xlfn.XLOOKUP(S353,AG:AG,AI:AI)</f>
        <v>3355.36</v>
      </c>
      <c r="U353" s="22" t="s">
        <v>26</v>
      </c>
      <c r="W353" s="9">
        <v>288</v>
      </c>
      <c r="X353" s="9" t="s">
        <v>29</v>
      </c>
      <c r="Z353">
        <v>371</v>
      </c>
      <c r="AA353" s="24">
        <v>40578.53</v>
      </c>
      <c r="AB353" t="s">
        <v>29</v>
      </c>
      <c r="AD353" s="20">
        <v>45855</v>
      </c>
    </row>
    <row r="354" spans="1:30">
      <c r="A354">
        <v>372</v>
      </c>
      <c r="B354" t="str">
        <f>_xlfn.XLOOKUP(A354,Z:Z,AB:AB,"not found")</f>
        <v>USD</v>
      </c>
      <c r="C354">
        <f>_xlfn.XLOOKUP(A354,Z:Z,AA:AA)-_xlfn.XLOOKUP(A354,Q:Q,R:R,"0")</f>
        <v>3133.96</v>
      </c>
      <c r="D354">
        <f>C354*_xlfn.XLOOKUP(B354,AG:AG,AH:AH)</f>
        <v>2695.2055999999998</v>
      </c>
      <c r="E354">
        <f>C354*_xlfn.XLOOKUP(B354,AG:AG,AI:AI)</f>
        <v>3133.96</v>
      </c>
      <c r="F354">
        <v>3133.96</v>
      </c>
      <c r="G354">
        <f>F354*_xlfn.XLOOKUP(B354,AG:AG,AH:AH)</f>
        <v>2695.2055999999998</v>
      </c>
      <c r="H354">
        <f>F354*_xlfn.XLOOKUP(B354,AG:AG,AI:AI)</f>
        <v>3133.96</v>
      </c>
      <c r="I354">
        <f t="shared" si="27"/>
        <v>0</v>
      </c>
      <c r="J354">
        <f>I354*_xlfn.XLOOKUP(B354,AG:AG,AI:AI)</f>
        <v>0</v>
      </c>
      <c r="K354" s="7">
        <f>_xlfn.XLOOKUP(A354,Z:Z,AD:AD)</f>
        <v>45728</v>
      </c>
      <c r="L354" s="7">
        <f t="shared" si="28"/>
        <v>45698</v>
      </c>
      <c r="M354">
        <f t="shared" si="29"/>
        <v>2</v>
      </c>
      <c r="N354">
        <f t="shared" si="30"/>
        <v>2025</v>
      </c>
      <c r="Q354" s="22">
        <v>571</v>
      </c>
      <c r="R354" s="22">
        <v>11858</v>
      </c>
      <c r="S354" s="22" t="str">
        <f t="shared" si="31"/>
        <v>MXN</v>
      </c>
      <c r="T354" s="22">
        <f>R354*_xlfn.XLOOKUP(S354,AG:AG,AI:AI)</f>
        <v>664.048</v>
      </c>
      <c r="U354" s="22" t="s">
        <v>26</v>
      </c>
      <c r="W354" s="9">
        <v>288</v>
      </c>
      <c r="X354" s="9" t="s">
        <v>29</v>
      </c>
      <c r="Z354">
        <v>372</v>
      </c>
      <c r="AA354" s="24">
        <v>3133.96</v>
      </c>
      <c r="AB354" t="s">
        <v>29</v>
      </c>
      <c r="AD354" s="20">
        <v>45728</v>
      </c>
    </row>
    <row r="355" spans="1:30">
      <c r="A355">
        <v>373</v>
      </c>
      <c r="B355" t="str">
        <f>_xlfn.XLOOKUP(A355,Z:Z,AB:AB,"not found")</f>
        <v>USD</v>
      </c>
      <c r="C355">
        <f>_xlfn.XLOOKUP(A355,Z:Z,AA:AA)-_xlfn.XLOOKUP(A355,Q:Q,R:R,"0")</f>
        <v>5229.63</v>
      </c>
      <c r="D355">
        <f>C355*_xlfn.XLOOKUP(B355,AG:AG,AH:AH)</f>
        <v>4497.4818000000005</v>
      </c>
      <c r="E355">
        <f>C355*_xlfn.XLOOKUP(B355,AG:AG,AI:AI)</f>
        <v>5229.63</v>
      </c>
      <c r="F355">
        <v>5229.63</v>
      </c>
      <c r="G355">
        <f>F355*_xlfn.XLOOKUP(B355,AG:AG,AH:AH)</f>
        <v>4497.4818000000005</v>
      </c>
      <c r="H355">
        <f>F355*_xlfn.XLOOKUP(B355,AG:AG,AI:AI)</f>
        <v>5229.63</v>
      </c>
      <c r="I355">
        <f t="shared" si="27"/>
        <v>0</v>
      </c>
      <c r="J355">
        <f>I355*_xlfn.XLOOKUP(B355,AG:AG,AI:AI)</f>
        <v>0</v>
      </c>
      <c r="K355" s="7">
        <f>_xlfn.XLOOKUP(A355,Z:Z,AD:AD)</f>
        <v>45678</v>
      </c>
      <c r="L355" s="7">
        <f t="shared" si="28"/>
        <v>45648</v>
      </c>
      <c r="M355">
        <f t="shared" si="29"/>
        <v>12</v>
      </c>
      <c r="N355">
        <f t="shared" si="30"/>
        <v>2024</v>
      </c>
      <c r="Q355" s="22">
        <v>572</v>
      </c>
      <c r="R355" s="22">
        <v>10105.09</v>
      </c>
      <c r="S355" s="22" t="str">
        <f t="shared" si="31"/>
        <v>USD</v>
      </c>
      <c r="T355" s="22">
        <f>R355*_xlfn.XLOOKUP(S355,AG:AG,AI:AI)</f>
        <v>10105.09</v>
      </c>
      <c r="U355" s="22" t="s">
        <v>26</v>
      </c>
      <c r="W355" s="9">
        <v>288</v>
      </c>
      <c r="X355" s="9" t="s">
        <v>29</v>
      </c>
      <c r="Z355">
        <v>373</v>
      </c>
      <c r="AA355" s="24">
        <v>5229.63</v>
      </c>
      <c r="AB355" t="s">
        <v>29</v>
      </c>
      <c r="AD355" s="20">
        <v>45678</v>
      </c>
    </row>
    <row r="356" spans="1:30">
      <c r="A356">
        <v>374</v>
      </c>
      <c r="B356" t="str">
        <f>_xlfn.XLOOKUP(A356,Z:Z,AB:AB,"not found")</f>
        <v>MXN</v>
      </c>
      <c r="C356">
        <f>_xlfn.XLOOKUP(A356,Z:Z,AA:AA)-_xlfn.XLOOKUP(A356,Q:Q,R:R,"0")</f>
        <v>0</v>
      </c>
      <c r="D356">
        <f>C356*_xlfn.XLOOKUP(B356,AG:AG,AH:AH)</f>
        <v>0</v>
      </c>
      <c r="E356">
        <f>C356*_xlfn.XLOOKUP(B356,AG:AG,AI:AI)</f>
        <v>0</v>
      </c>
      <c r="F356">
        <v>138570</v>
      </c>
      <c r="G356">
        <f>F356*_xlfn.XLOOKUP(B356,AG:AG,AH:AH)</f>
        <v>6651.3600000000006</v>
      </c>
      <c r="H356">
        <f>F356*_xlfn.XLOOKUP(B356,AG:AG,AI:AI)</f>
        <v>7759.92</v>
      </c>
      <c r="I356">
        <f t="shared" si="27"/>
        <v>0</v>
      </c>
      <c r="J356">
        <f>I356*_xlfn.XLOOKUP(B356,AG:AG,AI:AI)</f>
        <v>0</v>
      </c>
      <c r="K356" s="7">
        <f>_xlfn.XLOOKUP(A356,Z:Z,AD:AD)</f>
        <v>45731</v>
      </c>
      <c r="L356" s="7">
        <f t="shared" si="28"/>
        <v>45701</v>
      </c>
      <c r="M356">
        <f t="shared" si="29"/>
        <v>2</v>
      </c>
      <c r="N356">
        <f t="shared" si="30"/>
        <v>2025</v>
      </c>
      <c r="Q356" s="22">
        <v>573</v>
      </c>
      <c r="R356" s="22">
        <v>6668</v>
      </c>
      <c r="S356" s="22" t="str">
        <f t="shared" si="31"/>
        <v>USD</v>
      </c>
      <c r="T356" s="22">
        <f>R356*_xlfn.XLOOKUP(S356,AG:AG,AI:AI)</f>
        <v>6668</v>
      </c>
      <c r="U356" s="22" t="s">
        <v>26</v>
      </c>
      <c r="W356" s="9">
        <v>288</v>
      </c>
      <c r="X356" s="9" t="s">
        <v>29</v>
      </c>
      <c r="Z356">
        <v>374</v>
      </c>
      <c r="AA356" s="24">
        <v>138570</v>
      </c>
      <c r="AB356" t="s">
        <v>28</v>
      </c>
      <c r="AD356" s="20">
        <v>45731</v>
      </c>
    </row>
    <row r="357" spans="1:30">
      <c r="A357">
        <v>375</v>
      </c>
      <c r="B357" t="str">
        <f>_xlfn.XLOOKUP(A357,Z:Z,AB:AB,"not found")</f>
        <v>MXN</v>
      </c>
      <c r="C357">
        <f>_xlfn.XLOOKUP(A357,Z:Z,AA:AA)-_xlfn.XLOOKUP(A357,Q:Q,R:R,"0")</f>
        <v>0</v>
      </c>
      <c r="D357">
        <f>C357*_xlfn.XLOOKUP(B357,AG:AG,AH:AH)</f>
        <v>0</v>
      </c>
      <c r="E357">
        <f>C357*_xlfn.XLOOKUP(B357,AG:AG,AI:AI)</f>
        <v>0</v>
      </c>
      <c r="F357">
        <v>25529</v>
      </c>
      <c r="G357">
        <f>F357*_xlfn.XLOOKUP(B357,AG:AG,AH:AH)</f>
        <v>1225.3920000000001</v>
      </c>
      <c r="H357">
        <f>F357*_xlfn.XLOOKUP(B357,AG:AG,AI:AI)</f>
        <v>1429.624</v>
      </c>
      <c r="I357">
        <f t="shared" si="27"/>
        <v>0</v>
      </c>
      <c r="J357">
        <f>I357*_xlfn.XLOOKUP(B357,AG:AG,AI:AI)</f>
        <v>0</v>
      </c>
      <c r="K357" s="7">
        <f>_xlfn.XLOOKUP(A357,Z:Z,AD:AD)</f>
        <v>45736</v>
      </c>
      <c r="L357" s="7">
        <f t="shared" si="28"/>
        <v>45706</v>
      </c>
      <c r="M357">
        <f t="shared" si="29"/>
        <v>2</v>
      </c>
      <c r="N357">
        <f t="shared" si="30"/>
        <v>2025</v>
      </c>
      <c r="Q357" s="22">
        <v>575</v>
      </c>
      <c r="R357" s="22">
        <v>21032.86</v>
      </c>
      <c r="S357" s="22" t="str">
        <f t="shared" si="31"/>
        <v>USD</v>
      </c>
      <c r="T357" s="22">
        <f>R357*_xlfn.XLOOKUP(S357,AG:AG,AI:AI)</f>
        <v>21032.86</v>
      </c>
      <c r="U357" s="22" t="s">
        <v>26</v>
      </c>
      <c r="W357" s="9">
        <v>292</v>
      </c>
      <c r="X357" s="9" t="s">
        <v>27</v>
      </c>
      <c r="Z357">
        <v>375</v>
      </c>
      <c r="AA357" s="24">
        <v>25529</v>
      </c>
      <c r="AB357" t="s">
        <v>28</v>
      </c>
      <c r="AD357" s="20">
        <v>45736</v>
      </c>
    </row>
    <row r="358" spans="1:30">
      <c r="A358">
        <v>376</v>
      </c>
      <c r="B358" t="str">
        <f>_xlfn.XLOOKUP(A358,Z:Z,AB:AB,"not found")</f>
        <v>USD</v>
      </c>
      <c r="C358">
        <f>_xlfn.XLOOKUP(A358,Z:Z,AA:AA)-_xlfn.XLOOKUP(A358,Q:Q,R:R,"0")</f>
        <v>0</v>
      </c>
      <c r="D358">
        <f>C358*_xlfn.XLOOKUP(B358,AG:AG,AH:AH)</f>
        <v>0</v>
      </c>
      <c r="E358">
        <f>C358*_xlfn.XLOOKUP(B358,AG:AG,AI:AI)</f>
        <v>0</v>
      </c>
      <c r="F358">
        <v>1750</v>
      </c>
      <c r="G358">
        <f>F358*_xlfn.XLOOKUP(B358,AG:AG,AH:AH)</f>
        <v>1505</v>
      </c>
      <c r="H358">
        <f>F358*_xlfn.XLOOKUP(B358,AG:AG,AI:AI)</f>
        <v>1750</v>
      </c>
      <c r="I358">
        <f t="shared" si="27"/>
        <v>0</v>
      </c>
      <c r="J358">
        <f>I358*_xlfn.XLOOKUP(B358,AG:AG,AI:AI)</f>
        <v>0</v>
      </c>
      <c r="K358" s="7">
        <f>_xlfn.XLOOKUP(A358,Z:Z,AD:AD)</f>
        <v>45709</v>
      </c>
      <c r="L358" s="7">
        <f t="shared" si="28"/>
        <v>45679</v>
      </c>
      <c r="M358">
        <f t="shared" si="29"/>
        <v>1</v>
      </c>
      <c r="N358">
        <f t="shared" si="30"/>
        <v>2025</v>
      </c>
      <c r="Q358" s="22">
        <v>576</v>
      </c>
      <c r="R358" s="22">
        <v>10684</v>
      </c>
      <c r="S358" s="22" t="str">
        <f t="shared" si="31"/>
        <v>USD</v>
      </c>
      <c r="T358" s="22">
        <f>R358*_xlfn.XLOOKUP(S358,AG:AG,AI:AI)</f>
        <v>10684</v>
      </c>
      <c r="U358" s="22" t="s">
        <v>26</v>
      </c>
      <c r="W358" s="9">
        <v>295</v>
      </c>
      <c r="X358" s="9" t="s">
        <v>29</v>
      </c>
      <c r="Z358">
        <v>376</v>
      </c>
      <c r="AA358" s="24">
        <v>1750</v>
      </c>
      <c r="AB358" t="s">
        <v>29</v>
      </c>
      <c r="AD358" s="20">
        <v>45709</v>
      </c>
    </row>
    <row r="359" spans="1:30">
      <c r="A359">
        <v>377</v>
      </c>
      <c r="B359" t="str">
        <f>_xlfn.XLOOKUP(A359,Z:Z,AB:AB,"not found")</f>
        <v>USD</v>
      </c>
      <c r="C359">
        <f>_xlfn.XLOOKUP(A359,Z:Z,AA:AA)-_xlfn.XLOOKUP(A359,Q:Q,R:R,"0")</f>
        <v>0</v>
      </c>
      <c r="D359">
        <f>C359*_xlfn.XLOOKUP(B359,AG:AG,AH:AH)</f>
        <v>0</v>
      </c>
      <c r="E359">
        <f>C359*_xlfn.XLOOKUP(B359,AG:AG,AI:AI)</f>
        <v>0</v>
      </c>
      <c r="F359">
        <v>28779.599999999999</v>
      </c>
      <c r="G359">
        <f>F359*_xlfn.XLOOKUP(B359,AG:AG,AH:AH)</f>
        <v>24750.455999999998</v>
      </c>
      <c r="H359">
        <f>F359*_xlfn.XLOOKUP(B359,AG:AG,AI:AI)</f>
        <v>28779.599999999999</v>
      </c>
      <c r="I359">
        <f t="shared" si="27"/>
        <v>0</v>
      </c>
      <c r="J359">
        <f>I359*_xlfn.XLOOKUP(B359,AG:AG,AI:AI)</f>
        <v>0</v>
      </c>
      <c r="K359" s="7">
        <f>_xlfn.XLOOKUP(A359,Z:Z,AD:AD)</f>
        <v>45806</v>
      </c>
      <c r="L359" s="7">
        <f t="shared" si="28"/>
        <v>45776</v>
      </c>
      <c r="M359">
        <f t="shared" si="29"/>
        <v>4</v>
      </c>
      <c r="N359">
        <f t="shared" si="30"/>
        <v>2025</v>
      </c>
      <c r="Q359" s="22">
        <v>577</v>
      </c>
      <c r="R359" s="22">
        <v>13215.78</v>
      </c>
      <c r="S359" s="22" t="str">
        <f t="shared" si="31"/>
        <v>USD</v>
      </c>
      <c r="T359" s="22">
        <f>R359*_xlfn.XLOOKUP(S359,AG:AG,AI:AI)</f>
        <v>13215.78</v>
      </c>
      <c r="U359" s="22" t="s">
        <v>26</v>
      </c>
      <c r="W359" s="9">
        <v>295</v>
      </c>
      <c r="X359" s="9" t="s">
        <v>29</v>
      </c>
      <c r="Z359">
        <v>377</v>
      </c>
      <c r="AA359" s="24">
        <v>28779.599999999999</v>
      </c>
      <c r="AB359" t="s">
        <v>29</v>
      </c>
      <c r="AD359" s="20">
        <v>45806</v>
      </c>
    </row>
    <row r="360" spans="1:30">
      <c r="A360">
        <v>378</v>
      </c>
      <c r="B360" t="str">
        <f>_xlfn.XLOOKUP(A360,Z:Z,AB:AB,"not found")</f>
        <v>USD</v>
      </c>
      <c r="C360">
        <f>_xlfn.XLOOKUP(A360,Z:Z,AA:AA)-_xlfn.XLOOKUP(A360,Q:Q,R:R,"0")</f>
        <v>2722.59</v>
      </c>
      <c r="D360">
        <f>C360*_xlfn.XLOOKUP(B360,AG:AG,AH:AH)</f>
        <v>2341.4274</v>
      </c>
      <c r="E360">
        <f>C360*_xlfn.XLOOKUP(B360,AG:AG,AI:AI)</f>
        <v>2722.59</v>
      </c>
      <c r="F360">
        <v>9222.59</v>
      </c>
      <c r="G360">
        <f>F360*_xlfn.XLOOKUP(B360,AG:AG,AH:AH)</f>
        <v>7931.4273999999996</v>
      </c>
      <c r="H360">
        <f>F360*_xlfn.XLOOKUP(B360,AG:AG,AI:AI)</f>
        <v>9222.59</v>
      </c>
      <c r="I360">
        <f t="shared" si="27"/>
        <v>0</v>
      </c>
      <c r="J360">
        <f>I360*_xlfn.XLOOKUP(B360,AG:AG,AI:AI)</f>
        <v>0</v>
      </c>
      <c r="K360" s="7">
        <f>_xlfn.XLOOKUP(A360,Z:Z,AD:AD)</f>
        <v>45901</v>
      </c>
      <c r="L360" s="7">
        <f t="shared" si="28"/>
        <v>45871</v>
      </c>
      <c r="M360">
        <f t="shared" si="29"/>
        <v>8</v>
      </c>
      <c r="N360">
        <f t="shared" si="30"/>
        <v>2025</v>
      </c>
      <c r="Q360" s="22">
        <v>581</v>
      </c>
      <c r="R360" s="22">
        <v>1917.44</v>
      </c>
      <c r="S360" s="22" t="str">
        <f t="shared" si="31"/>
        <v>USD</v>
      </c>
      <c r="T360" s="22">
        <f>R360*_xlfn.XLOOKUP(S360,AG:AG,AI:AI)</f>
        <v>1917.44</v>
      </c>
      <c r="U360" s="22" t="s">
        <v>26</v>
      </c>
      <c r="W360" s="9">
        <v>295</v>
      </c>
      <c r="X360" s="9" t="s">
        <v>29</v>
      </c>
      <c r="Z360">
        <v>378</v>
      </c>
      <c r="AA360" s="24">
        <v>9222.59</v>
      </c>
      <c r="AB360" t="s">
        <v>29</v>
      </c>
      <c r="AD360" s="20">
        <v>45901</v>
      </c>
    </row>
    <row r="361" spans="1:30">
      <c r="A361">
        <v>379</v>
      </c>
      <c r="B361" t="str">
        <f>_xlfn.XLOOKUP(A361,Z:Z,AB:AB,"not found")</f>
        <v>USD</v>
      </c>
      <c r="C361">
        <f>_xlfn.XLOOKUP(A361,Z:Z,AA:AA)-_xlfn.XLOOKUP(A361,Q:Q,R:R,"0")</f>
        <v>0</v>
      </c>
      <c r="D361">
        <f>C361*_xlfn.XLOOKUP(B361,AG:AG,AH:AH)</f>
        <v>0</v>
      </c>
      <c r="E361">
        <f>C361*_xlfn.XLOOKUP(B361,AG:AG,AI:AI)</f>
        <v>0</v>
      </c>
      <c r="F361">
        <v>48164.24</v>
      </c>
      <c r="G361">
        <f>F361*_xlfn.XLOOKUP(B361,AG:AG,AH:AH)</f>
        <v>41421.246399999996</v>
      </c>
      <c r="H361">
        <f>F361*_xlfn.XLOOKUP(B361,AG:AG,AI:AI)</f>
        <v>48164.24</v>
      </c>
      <c r="I361">
        <f t="shared" si="27"/>
        <v>0</v>
      </c>
      <c r="J361">
        <f>I361*_xlfn.XLOOKUP(B361,AG:AG,AI:AI)</f>
        <v>0</v>
      </c>
      <c r="K361" s="7">
        <f>_xlfn.XLOOKUP(A361,Z:Z,AD:AD)</f>
        <v>45827</v>
      </c>
      <c r="L361" s="7">
        <f t="shared" si="28"/>
        <v>45797</v>
      </c>
      <c r="M361">
        <f t="shared" si="29"/>
        <v>5</v>
      </c>
      <c r="N361">
        <f t="shared" si="30"/>
        <v>2025</v>
      </c>
      <c r="Q361" s="22">
        <v>583</v>
      </c>
      <c r="R361" s="22">
        <v>13550</v>
      </c>
      <c r="S361" s="22" t="str">
        <f t="shared" si="31"/>
        <v>EUR</v>
      </c>
      <c r="T361" s="22">
        <f>R361*_xlfn.XLOOKUP(S361,AG:AG,AI:AI)</f>
        <v>15717.999999999998</v>
      </c>
      <c r="U361" s="22" t="s">
        <v>26</v>
      </c>
      <c r="W361" s="9">
        <v>295</v>
      </c>
      <c r="X361" s="9" t="s">
        <v>29</v>
      </c>
      <c r="Z361">
        <v>379</v>
      </c>
      <c r="AA361" s="24">
        <v>48164.24</v>
      </c>
      <c r="AB361" t="s">
        <v>29</v>
      </c>
      <c r="AD361" s="20">
        <v>45827</v>
      </c>
    </row>
    <row r="362" spans="1:30">
      <c r="A362">
        <v>380</v>
      </c>
      <c r="B362" t="str">
        <f>_xlfn.XLOOKUP(A362,Z:Z,AB:AB,"not found")</f>
        <v>USD</v>
      </c>
      <c r="C362">
        <f>_xlfn.XLOOKUP(A362,Z:Z,AA:AA)-_xlfn.XLOOKUP(A362,Q:Q,R:R,"0")</f>
        <v>0</v>
      </c>
      <c r="D362">
        <f>C362*_xlfn.XLOOKUP(B362,AG:AG,AH:AH)</f>
        <v>0</v>
      </c>
      <c r="E362">
        <f>C362*_xlfn.XLOOKUP(B362,AG:AG,AI:AI)</f>
        <v>0</v>
      </c>
      <c r="F362">
        <v>7136.4</v>
      </c>
      <c r="G362">
        <f>F362*_xlfn.XLOOKUP(B362,AG:AG,AH:AH)</f>
        <v>6137.3039999999992</v>
      </c>
      <c r="H362">
        <f>F362*_xlfn.XLOOKUP(B362,AG:AG,AI:AI)</f>
        <v>7136.4</v>
      </c>
      <c r="I362">
        <f t="shared" si="27"/>
        <v>0</v>
      </c>
      <c r="J362">
        <f>I362*_xlfn.XLOOKUP(B362,AG:AG,AI:AI)</f>
        <v>0</v>
      </c>
      <c r="K362" s="7">
        <f>_xlfn.XLOOKUP(A362,Z:Z,AD:AD)</f>
        <v>45805</v>
      </c>
      <c r="L362" s="7">
        <f t="shared" si="28"/>
        <v>45775</v>
      </c>
      <c r="M362">
        <f t="shared" si="29"/>
        <v>4</v>
      </c>
      <c r="N362">
        <f t="shared" si="30"/>
        <v>2025</v>
      </c>
      <c r="Q362" s="22">
        <v>585</v>
      </c>
      <c r="R362" s="22">
        <v>130598</v>
      </c>
      <c r="S362" s="22" t="str">
        <f t="shared" si="31"/>
        <v>MXN</v>
      </c>
      <c r="T362" s="22">
        <f>R362*_xlfn.XLOOKUP(S362,AG:AG,AI:AI)</f>
        <v>7313.4880000000003</v>
      </c>
      <c r="U362" s="22" t="s">
        <v>26</v>
      </c>
      <c r="W362" s="9">
        <v>295</v>
      </c>
      <c r="X362" s="9" t="s">
        <v>29</v>
      </c>
      <c r="Z362">
        <v>380</v>
      </c>
      <c r="AA362" s="24">
        <v>7136.4</v>
      </c>
      <c r="AB362" t="s">
        <v>29</v>
      </c>
      <c r="AD362" s="20">
        <v>45805</v>
      </c>
    </row>
    <row r="363" spans="1:30">
      <c r="A363">
        <v>381</v>
      </c>
      <c r="B363" t="str">
        <f>_xlfn.XLOOKUP(A363,Z:Z,AB:AB,"not found")</f>
        <v>USD</v>
      </c>
      <c r="C363">
        <f>_xlfn.XLOOKUP(A363,Z:Z,AA:AA)-_xlfn.XLOOKUP(A363,Q:Q,R:R,"0")</f>
        <v>13589.71</v>
      </c>
      <c r="D363">
        <f>C363*_xlfn.XLOOKUP(B363,AG:AG,AH:AH)</f>
        <v>11687.150599999999</v>
      </c>
      <c r="E363">
        <f>C363*_xlfn.XLOOKUP(B363,AG:AG,AI:AI)</f>
        <v>13589.71</v>
      </c>
      <c r="F363">
        <v>13589.71</v>
      </c>
      <c r="G363">
        <f>F363*_xlfn.XLOOKUP(B363,AG:AG,AH:AH)</f>
        <v>11687.150599999999</v>
      </c>
      <c r="H363">
        <f>F363*_xlfn.XLOOKUP(B363,AG:AG,AI:AI)</f>
        <v>13589.71</v>
      </c>
      <c r="I363">
        <f t="shared" si="27"/>
        <v>0</v>
      </c>
      <c r="J363">
        <f>I363*_xlfn.XLOOKUP(B363,AG:AG,AI:AI)</f>
        <v>0</v>
      </c>
      <c r="K363" s="7">
        <f>_xlfn.XLOOKUP(A363,Z:Z,AD:AD)</f>
        <v>45814</v>
      </c>
      <c r="L363" s="7">
        <f t="shared" si="28"/>
        <v>45784</v>
      </c>
      <c r="M363">
        <f t="shared" si="29"/>
        <v>5</v>
      </c>
      <c r="N363">
        <f t="shared" si="30"/>
        <v>2025</v>
      </c>
      <c r="Q363" s="22">
        <v>587</v>
      </c>
      <c r="R363" s="22">
        <v>1971.8</v>
      </c>
      <c r="S363" s="22" t="str">
        <f t="shared" si="31"/>
        <v>USD</v>
      </c>
      <c r="T363" s="22">
        <f>R363*_xlfn.XLOOKUP(S363,AG:AG,AI:AI)</f>
        <v>1971.8</v>
      </c>
      <c r="U363" s="22" t="s">
        <v>26</v>
      </c>
      <c r="W363" s="9">
        <v>297</v>
      </c>
      <c r="X363" s="9" t="s">
        <v>29</v>
      </c>
      <c r="Z363">
        <v>381</v>
      </c>
      <c r="AA363" s="24">
        <v>13589.71</v>
      </c>
      <c r="AB363" t="s">
        <v>29</v>
      </c>
      <c r="AD363" s="20">
        <v>45814</v>
      </c>
    </row>
    <row r="364" spans="1:30">
      <c r="A364">
        <v>382</v>
      </c>
      <c r="B364" t="str">
        <f>_xlfn.XLOOKUP(A364,Z:Z,AB:AB,"not found")</f>
        <v>USD</v>
      </c>
      <c r="C364">
        <f>_xlfn.XLOOKUP(A364,Z:Z,AA:AA)-_xlfn.XLOOKUP(A364,Q:Q,R:R,"0")</f>
        <v>16000</v>
      </c>
      <c r="D364">
        <f>C364*_xlfn.XLOOKUP(B364,AG:AG,AH:AH)</f>
        <v>13760</v>
      </c>
      <c r="E364">
        <f>C364*_xlfn.XLOOKUP(B364,AG:AG,AI:AI)</f>
        <v>16000</v>
      </c>
      <c r="F364">
        <v>18443.84</v>
      </c>
      <c r="G364">
        <f>F364*_xlfn.XLOOKUP(B364,AG:AG,AH:AH)</f>
        <v>15861.7024</v>
      </c>
      <c r="H364">
        <f>F364*_xlfn.XLOOKUP(B364,AG:AG,AI:AI)</f>
        <v>18443.84</v>
      </c>
      <c r="I364">
        <f t="shared" si="27"/>
        <v>0</v>
      </c>
      <c r="J364">
        <f>I364*_xlfn.XLOOKUP(B364,AG:AG,AI:AI)</f>
        <v>0</v>
      </c>
      <c r="K364" s="7">
        <f>_xlfn.XLOOKUP(A364,Z:Z,AD:AD)</f>
        <v>45808</v>
      </c>
      <c r="L364" s="7">
        <f t="shared" si="28"/>
        <v>45778</v>
      </c>
      <c r="M364">
        <f t="shared" si="29"/>
        <v>5</v>
      </c>
      <c r="N364">
        <f t="shared" si="30"/>
        <v>2025</v>
      </c>
      <c r="Q364" s="22">
        <v>588</v>
      </c>
      <c r="R364" s="22">
        <v>1299</v>
      </c>
      <c r="S364" s="22" t="str">
        <f t="shared" si="31"/>
        <v>EUR</v>
      </c>
      <c r="T364" s="22">
        <f>R364*_xlfn.XLOOKUP(S364,AG:AG,AI:AI)</f>
        <v>1506.84</v>
      </c>
      <c r="U364" s="22" t="s">
        <v>26</v>
      </c>
      <c r="W364" s="9">
        <v>297</v>
      </c>
      <c r="X364" s="9" t="s">
        <v>29</v>
      </c>
      <c r="Z364">
        <v>382</v>
      </c>
      <c r="AA364" s="24">
        <v>18443.84</v>
      </c>
      <c r="AB364" t="s">
        <v>29</v>
      </c>
      <c r="AD364" s="20">
        <v>45808</v>
      </c>
    </row>
    <row r="365" spans="1:30">
      <c r="A365">
        <v>383</v>
      </c>
      <c r="B365" t="str">
        <f>_xlfn.XLOOKUP(A365,Z:Z,AB:AB,"not found")</f>
        <v>USD</v>
      </c>
      <c r="C365">
        <f>_xlfn.XLOOKUP(A365,Z:Z,AA:AA)-_xlfn.XLOOKUP(A365,Q:Q,R:R,"0")</f>
        <v>1576.17</v>
      </c>
      <c r="D365">
        <f>C365*_xlfn.XLOOKUP(B365,AG:AG,AH:AH)</f>
        <v>1355.5062</v>
      </c>
      <c r="E365">
        <f>C365*_xlfn.XLOOKUP(B365,AG:AG,AI:AI)</f>
        <v>1576.17</v>
      </c>
      <c r="F365">
        <v>1576.17</v>
      </c>
      <c r="G365">
        <f>F365*_xlfn.XLOOKUP(B365,AG:AG,AH:AH)</f>
        <v>1355.5062</v>
      </c>
      <c r="H365">
        <f>F365*_xlfn.XLOOKUP(B365,AG:AG,AI:AI)</f>
        <v>1576.17</v>
      </c>
      <c r="I365">
        <f t="shared" si="27"/>
        <v>0</v>
      </c>
      <c r="J365">
        <f>I365*_xlfn.XLOOKUP(B365,AG:AG,AI:AI)</f>
        <v>0</v>
      </c>
      <c r="K365" s="7">
        <f>_xlfn.XLOOKUP(A365,Z:Z,AD:AD)</f>
        <v>45865</v>
      </c>
      <c r="L365" s="7">
        <f t="shared" si="28"/>
        <v>45835</v>
      </c>
      <c r="M365">
        <f t="shared" si="29"/>
        <v>6</v>
      </c>
      <c r="N365">
        <f t="shared" si="30"/>
        <v>2025</v>
      </c>
      <c r="Q365" s="22">
        <v>589</v>
      </c>
      <c r="R365" s="22">
        <v>1500</v>
      </c>
      <c r="S365" s="22" t="str">
        <f t="shared" si="31"/>
        <v>GPB</v>
      </c>
      <c r="T365" s="22">
        <f>R365*_xlfn.XLOOKUP(S365,AG:AG,AI:AI)</f>
        <v>2010.0000000000002</v>
      </c>
      <c r="U365" s="22" t="s">
        <v>26</v>
      </c>
      <c r="W365" s="9">
        <v>298</v>
      </c>
      <c r="X365" s="9" t="s">
        <v>29</v>
      </c>
      <c r="Z365">
        <v>383</v>
      </c>
      <c r="AA365" s="24">
        <v>1576.17</v>
      </c>
      <c r="AB365" t="s">
        <v>29</v>
      </c>
      <c r="AD365" s="20">
        <v>45865</v>
      </c>
    </row>
    <row r="366" spans="1:30">
      <c r="A366">
        <v>384</v>
      </c>
      <c r="B366" t="str">
        <f>_xlfn.XLOOKUP(A366,Z:Z,AB:AB,"not found")</f>
        <v>USD</v>
      </c>
      <c r="C366">
        <f>_xlfn.XLOOKUP(A366,Z:Z,AA:AA)-_xlfn.XLOOKUP(A366,Q:Q,R:R,"0")</f>
        <v>0</v>
      </c>
      <c r="D366">
        <f>C366*_xlfn.XLOOKUP(B366,AG:AG,AH:AH)</f>
        <v>0</v>
      </c>
      <c r="E366">
        <f>C366*_xlfn.XLOOKUP(B366,AG:AG,AI:AI)</f>
        <v>0</v>
      </c>
      <c r="F366">
        <v>4324.59</v>
      </c>
      <c r="G366">
        <f>F366*_xlfn.XLOOKUP(B366,AG:AG,AH:AH)</f>
        <v>3719.1474000000003</v>
      </c>
      <c r="H366">
        <f>F366*_xlfn.XLOOKUP(B366,AG:AG,AI:AI)</f>
        <v>4324.59</v>
      </c>
      <c r="I366">
        <f t="shared" si="27"/>
        <v>0</v>
      </c>
      <c r="J366">
        <f>I366*_xlfn.XLOOKUP(B366,AG:AG,AI:AI)</f>
        <v>0</v>
      </c>
      <c r="K366" s="7">
        <f>_xlfn.XLOOKUP(A366,Z:Z,AD:AD)</f>
        <v>45834</v>
      </c>
      <c r="L366" s="7">
        <f t="shared" si="28"/>
        <v>45804</v>
      </c>
      <c r="M366">
        <f t="shared" si="29"/>
        <v>5</v>
      </c>
      <c r="N366">
        <f t="shared" si="30"/>
        <v>2025</v>
      </c>
      <c r="Q366" s="22">
        <v>590</v>
      </c>
      <c r="R366" s="22">
        <v>3097.62</v>
      </c>
      <c r="S366" s="22" t="str">
        <f t="shared" si="31"/>
        <v>USD</v>
      </c>
      <c r="T366" s="22">
        <f>R366*_xlfn.XLOOKUP(S366,AG:AG,AI:AI)</f>
        <v>3097.62</v>
      </c>
      <c r="U366" s="22" t="s">
        <v>26</v>
      </c>
      <c r="W366" s="9">
        <v>299</v>
      </c>
      <c r="X366" s="9" t="s">
        <v>27</v>
      </c>
      <c r="Z366">
        <v>384</v>
      </c>
      <c r="AA366" s="24">
        <v>4324.59</v>
      </c>
      <c r="AB366" t="s">
        <v>29</v>
      </c>
      <c r="AD366" s="20">
        <v>45834</v>
      </c>
    </row>
    <row r="367" spans="1:30">
      <c r="A367">
        <v>385</v>
      </c>
      <c r="B367" t="str">
        <f>_xlfn.XLOOKUP(A367,Z:Z,AB:AB,"not found")</f>
        <v>USD</v>
      </c>
      <c r="C367">
        <f>_xlfn.XLOOKUP(A367,Z:Z,AA:AA)-_xlfn.XLOOKUP(A367,Q:Q,R:R,"0")</f>
        <v>0</v>
      </c>
      <c r="D367">
        <f>C367*_xlfn.XLOOKUP(B367,AG:AG,AH:AH)</f>
        <v>0</v>
      </c>
      <c r="E367">
        <f>C367*_xlfn.XLOOKUP(B367,AG:AG,AI:AI)</f>
        <v>0</v>
      </c>
      <c r="F367">
        <v>3000</v>
      </c>
      <c r="G367">
        <f>F367*_xlfn.XLOOKUP(B367,AG:AG,AH:AH)</f>
        <v>2580</v>
      </c>
      <c r="H367">
        <f>F367*_xlfn.XLOOKUP(B367,AG:AG,AI:AI)</f>
        <v>3000</v>
      </c>
      <c r="I367">
        <f t="shared" si="27"/>
        <v>0</v>
      </c>
      <c r="J367">
        <f>I367*_xlfn.XLOOKUP(B367,AG:AG,AI:AI)</f>
        <v>0</v>
      </c>
      <c r="K367" s="7">
        <f>_xlfn.XLOOKUP(A367,Z:Z,AD:AD)</f>
        <v>45784</v>
      </c>
      <c r="L367" s="7">
        <f t="shared" si="28"/>
        <v>45754</v>
      </c>
      <c r="M367">
        <f t="shared" si="29"/>
        <v>4</v>
      </c>
      <c r="N367">
        <f t="shared" si="30"/>
        <v>2025</v>
      </c>
      <c r="Q367" s="22">
        <v>591</v>
      </c>
      <c r="R367" s="22">
        <v>4711.78</v>
      </c>
      <c r="S367" s="22" t="str">
        <f t="shared" si="31"/>
        <v>USD</v>
      </c>
      <c r="T367" s="22">
        <f>R367*_xlfn.XLOOKUP(S367,AG:AG,AI:AI)</f>
        <v>4711.78</v>
      </c>
      <c r="U367" s="22" t="s">
        <v>26</v>
      </c>
      <c r="W367" s="9">
        <v>300</v>
      </c>
      <c r="X367" s="9" t="s">
        <v>29</v>
      </c>
      <c r="Z367">
        <v>385</v>
      </c>
      <c r="AA367" s="24">
        <v>3000</v>
      </c>
      <c r="AB367" t="s">
        <v>29</v>
      </c>
      <c r="AD367" s="20">
        <v>45784</v>
      </c>
    </row>
    <row r="368" spans="1:30">
      <c r="A368">
        <v>386</v>
      </c>
      <c r="B368" t="str">
        <f>_xlfn.XLOOKUP(A368,Z:Z,AB:AB,"not found")</f>
        <v>USD</v>
      </c>
      <c r="C368">
        <f>_xlfn.XLOOKUP(A368,Z:Z,AA:AA)-_xlfn.XLOOKUP(A368,Q:Q,R:R,"0")</f>
        <v>0</v>
      </c>
      <c r="D368">
        <f>C368*_xlfn.XLOOKUP(B368,AG:AG,AH:AH)</f>
        <v>0</v>
      </c>
      <c r="E368">
        <f>C368*_xlfn.XLOOKUP(B368,AG:AG,AI:AI)</f>
        <v>0</v>
      </c>
      <c r="F368">
        <v>740</v>
      </c>
      <c r="G368">
        <f>F368*_xlfn.XLOOKUP(B368,AG:AG,AH:AH)</f>
        <v>636.4</v>
      </c>
      <c r="H368">
        <f>F368*_xlfn.XLOOKUP(B368,AG:AG,AI:AI)</f>
        <v>740</v>
      </c>
      <c r="I368">
        <f t="shared" si="27"/>
        <v>0</v>
      </c>
      <c r="J368">
        <f>I368*_xlfn.XLOOKUP(B368,AG:AG,AI:AI)</f>
        <v>0</v>
      </c>
      <c r="K368" s="7">
        <f>_xlfn.XLOOKUP(A368,Z:Z,AD:AD)</f>
        <v>45728</v>
      </c>
      <c r="L368" s="7">
        <f t="shared" si="28"/>
        <v>45698</v>
      </c>
      <c r="M368">
        <f t="shared" si="29"/>
        <v>2</v>
      </c>
      <c r="N368">
        <f t="shared" si="30"/>
        <v>2025</v>
      </c>
      <c r="Q368" s="22">
        <v>592</v>
      </c>
      <c r="R368" s="22">
        <v>2528.67</v>
      </c>
      <c r="S368" s="22" t="str">
        <f t="shared" si="31"/>
        <v>USD</v>
      </c>
      <c r="T368" s="22">
        <f>R368*_xlfn.XLOOKUP(S368,AG:AG,AI:AI)</f>
        <v>2528.67</v>
      </c>
      <c r="U368" s="22" t="s">
        <v>26</v>
      </c>
      <c r="W368" s="9">
        <v>300</v>
      </c>
      <c r="X368" s="9" t="s">
        <v>29</v>
      </c>
      <c r="Z368">
        <v>386</v>
      </c>
      <c r="AA368" s="24">
        <v>740</v>
      </c>
      <c r="AB368" t="s">
        <v>29</v>
      </c>
      <c r="AD368" s="20">
        <v>45728</v>
      </c>
    </row>
    <row r="369" spans="1:30">
      <c r="A369">
        <v>387</v>
      </c>
      <c r="B369" t="str">
        <f>_xlfn.XLOOKUP(A369,Z:Z,AB:AB,"not found")</f>
        <v>USD</v>
      </c>
      <c r="C369">
        <f>_xlfn.XLOOKUP(A369,Z:Z,AA:AA)-_xlfn.XLOOKUP(A369,Q:Q,R:R,"0")</f>
        <v>0</v>
      </c>
      <c r="D369">
        <f>C369*_xlfn.XLOOKUP(B369,AG:AG,AH:AH)</f>
        <v>0</v>
      </c>
      <c r="E369">
        <f>C369*_xlfn.XLOOKUP(B369,AG:AG,AI:AI)</f>
        <v>0</v>
      </c>
      <c r="F369">
        <v>25787.64</v>
      </c>
      <c r="G369">
        <f>F369*_xlfn.XLOOKUP(B369,AG:AG,AH:AH)</f>
        <v>22177.3704</v>
      </c>
      <c r="H369">
        <f>F369*_xlfn.XLOOKUP(B369,AG:AG,AI:AI)</f>
        <v>25787.64</v>
      </c>
      <c r="I369">
        <f t="shared" si="27"/>
        <v>0</v>
      </c>
      <c r="J369">
        <f>I369*_xlfn.XLOOKUP(B369,AG:AG,AI:AI)</f>
        <v>0</v>
      </c>
      <c r="K369" s="7">
        <f>_xlfn.XLOOKUP(A369,Z:Z,AD:AD)</f>
        <v>45827</v>
      </c>
      <c r="L369" s="7">
        <f t="shared" si="28"/>
        <v>45797</v>
      </c>
      <c r="M369">
        <f t="shared" si="29"/>
        <v>5</v>
      </c>
      <c r="N369">
        <f t="shared" si="30"/>
        <v>2025</v>
      </c>
      <c r="Q369" s="22">
        <v>593</v>
      </c>
      <c r="R369" s="22">
        <v>1877</v>
      </c>
      <c r="S369" s="22" t="str">
        <f t="shared" si="31"/>
        <v>USD</v>
      </c>
      <c r="T369" s="22">
        <f>R369*_xlfn.XLOOKUP(S369,AG:AG,AI:AI)</f>
        <v>1877</v>
      </c>
      <c r="U369" s="22" t="s">
        <v>26</v>
      </c>
      <c r="W369" s="9">
        <v>300</v>
      </c>
      <c r="X369" s="9" t="s">
        <v>29</v>
      </c>
      <c r="Z369">
        <v>387</v>
      </c>
      <c r="AA369" s="24">
        <v>25787.64</v>
      </c>
      <c r="AB369" t="s">
        <v>29</v>
      </c>
      <c r="AD369" s="20">
        <v>45827</v>
      </c>
    </row>
    <row r="370" spans="1:30">
      <c r="A370">
        <v>388</v>
      </c>
      <c r="B370" t="str">
        <f>_xlfn.XLOOKUP(A370,Z:Z,AB:AB,"not found")</f>
        <v>USD</v>
      </c>
      <c r="C370">
        <f>_xlfn.XLOOKUP(A370,Z:Z,AA:AA)-_xlfn.XLOOKUP(A370,Q:Q,R:R,"0")</f>
        <v>30745.149999999994</v>
      </c>
      <c r="D370">
        <f>C370*_xlfn.XLOOKUP(B370,AG:AG,AH:AH)</f>
        <v>26440.828999999994</v>
      </c>
      <c r="E370">
        <f>C370*_xlfn.XLOOKUP(B370,AG:AG,AI:AI)</f>
        <v>30745.149999999994</v>
      </c>
      <c r="F370">
        <v>74304.62</v>
      </c>
      <c r="G370">
        <f>F370*_xlfn.XLOOKUP(B370,AG:AG,AH:AH)</f>
        <v>63901.973199999993</v>
      </c>
      <c r="H370">
        <f>F370*_xlfn.XLOOKUP(B370,AG:AG,AI:AI)</f>
        <v>74304.62</v>
      </c>
      <c r="I370">
        <f t="shared" si="27"/>
        <v>0</v>
      </c>
      <c r="J370">
        <f>I370*_xlfn.XLOOKUP(B370,AG:AG,AI:AI)</f>
        <v>0</v>
      </c>
      <c r="K370" s="7">
        <f>_xlfn.XLOOKUP(A370,Z:Z,AD:AD)</f>
        <v>45949</v>
      </c>
      <c r="L370" s="7">
        <f t="shared" si="28"/>
        <v>45919</v>
      </c>
      <c r="M370">
        <f t="shared" si="29"/>
        <v>9</v>
      </c>
      <c r="N370">
        <f t="shared" si="30"/>
        <v>2025</v>
      </c>
      <c r="Q370" s="22">
        <v>594</v>
      </c>
      <c r="R370" s="22">
        <v>6960</v>
      </c>
      <c r="S370" s="22" t="str">
        <f t="shared" si="31"/>
        <v>GPB</v>
      </c>
      <c r="T370" s="22">
        <f>R370*_xlfn.XLOOKUP(S370,AG:AG,AI:AI)</f>
        <v>9326.4000000000015</v>
      </c>
      <c r="U370" s="22" t="s">
        <v>26</v>
      </c>
      <c r="W370" s="9">
        <v>300</v>
      </c>
      <c r="X370" s="9" t="s">
        <v>29</v>
      </c>
      <c r="Z370">
        <v>388</v>
      </c>
      <c r="AA370" s="24">
        <v>74304.62</v>
      </c>
      <c r="AB370" t="s">
        <v>29</v>
      </c>
      <c r="AD370" s="20">
        <v>45949</v>
      </c>
    </row>
    <row r="371" spans="1:30">
      <c r="A371">
        <v>389</v>
      </c>
      <c r="B371" t="str">
        <f>_xlfn.XLOOKUP(A371,Z:Z,AB:AB,"not found")</f>
        <v>USD</v>
      </c>
      <c r="C371">
        <f>_xlfn.XLOOKUP(A371,Z:Z,AA:AA)-_xlfn.XLOOKUP(A371,Q:Q,R:R,"0")</f>
        <v>32307.979999999996</v>
      </c>
      <c r="D371">
        <f>C371*_xlfn.XLOOKUP(B371,AG:AG,AH:AH)</f>
        <v>27784.862799999995</v>
      </c>
      <c r="E371">
        <f>C371*_xlfn.XLOOKUP(B371,AG:AG,AI:AI)</f>
        <v>32307.979999999996</v>
      </c>
      <c r="F371">
        <v>71739.75</v>
      </c>
      <c r="G371">
        <f>F371*_xlfn.XLOOKUP(B371,AG:AG,AH:AH)</f>
        <v>61696.184999999998</v>
      </c>
      <c r="H371">
        <f>F371*_xlfn.XLOOKUP(B371,AG:AG,AI:AI)</f>
        <v>71739.75</v>
      </c>
      <c r="I371">
        <f t="shared" si="27"/>
        <v>0</v>
      </c>
      <c r="J371">
        <f>I371*_xlfn.XLOOKUP(B371,AG:AG,AI:AI)</f>
        <v>0</v>
      </c>
      <c r="K371" s="7">
        <f>_xlfn.XLOOKUP(A371,Z:Z,AD:AD)</f>
        <v>45949</v>
      </c>
      <c r="L371" s="7">
        <f t="shared" si="28"/>
        <v>45919</v>
      </c>
      <c r="M371">
        <f t="shared" si="29"/>
        <v>9</v>
      </c>
      <c r="N371">
        <f t="shared" si="30"/>
        <v>2025</v>
      </c>
      <c r="Q371" s="22">
        <v>598</v>
      </c>
      <c r="R371" s="22">
        <v>2856</v>
      </c>
      <c r="S371" s="22" t="str">
        <f t="shared" si="31"/>
        <v>EUR</v>
      </c>
      <c r="T371" s="22">
        <f>R371*_xlfn.XLOOKUP(S371,AG:AG,AI:AI)</f>
        <v>3312.9599999999996</v>
      </c>
      <c r="U371" s="22" t="s">
        <v>26</v>
      </c>
      <c r="W371" s="9">
        <v>300</v>
      </c>
      <c r="X371" s="9" t="s">
        <v>29</v>
      </c>
      <c r="Z371">
        <v>389</v>
      </c>
      <c r="AA371" s="24">
        <v>71739.75</v>
      </c>
      <c r="AB371" t="s">
        <v>29</v>
      </c>
      <c r="AD371" s="20">
        <v>45949</v>
      </c>
    </row>
    <row r="372" spans="1:30">
      <c r="A372">
        <v>390</v>
      </c>
      <c r="B372" t="str">
        <f>_xlfn.XLOOKUP(A372,Z:Z,AB:AB,"not found")</f>
        <v>MXN</v>
      </c>
      <c r="C372">
        <f>_xlfn.XLOOKUP(A372,Z:Z,AA:AA)-_xlfn.XLOOKUP(A372,Q:Q,R:R,"0")</f>
        <v>805637.58000000007</v>
      </c>
      <c r="D372">
        <f>C372*_xlfn.XLOOKUP(B372,AG:AG,AH:AH)</f>
        <v>38670.603840000003</v>
      </c>
      <c r="E372">
        <f>C372*_xlfn.XLOOKUP(B372,AG:AG,AI:AI)</f>
        <v>45115.704480000008</v>
      </c>
      <c r="F372">
        <v>888117.52</v>
      </c>
      <c r="G372">
        <f>F372*_xlfn.XLOOKUP(B372,AG:AG,AH:AH)</f>
        <v>42629.640960000004</v>
      </c>
      <c r="H372">
        <f>F372*_xlfn.XLOOKUP(B372,AG:AG,AI:AI)</f>
        <v>49734.581120000003</v>
      </c>
      <c r="I372">
        <f t="shared" si="27"/>
        <v>0</v>
      </c>
      <c r="J372">
        <f>I372*_xlfn.XLOOKUP(B372,AG:AG,AI:AI)</f>
        <v>0</v>
      </c>
      <c r="K372" s="7">
        <f>_xlfn.XLOOKUP(A372,Z:Z,AD:AD)</f>
        <v>45924</v>
      </c>
      <c r="L372" s="7">
        <f t="shared" si="28"/>
        <v>45894</v>
      </c>
      <c r="M372">
        <f t="shared" si="29"/>
        <v>8</v>
      </c>
      <c r="N372">
        <f t="shared" si="30"/>
        <v>2025</v>
      </c>
      <c r="Q372" s="22">
        <v>600</v>
      </c>
      <c r="R372" s="22">
        <v>1560.56</v>
      </c>
      <c r="S372" s="22" t="str">
        <f t="shared" si="31"/>
        <v>USD</v>
      </c>
      <c r="T372" s="22">
        <f>R372*_xlfn.XLOOKUP(S372,AG:AG,AI:AI)</f>
        <v>1560.56</v>
      </c>
      <c r="U372" s="22" t="s">
        <v>26</v>
      </c>
      <c r="W372" s="9">
        <v>300</v>
      </c>
      <c r="X372" s="9" t="s">
        <v>29</v>
      </c>
      <c r="Z372">
        <v>390</v>
      </c>
      <c r="AA372" s="24">
        <v>888117.52</v>
      </c>
      <c r="AB372" t="s">
        <v>28</v>
      </c>
      <c r="AD372" s="20">
        <v>45924</v>
      </c>
    </row>
    <row r="373" spans="1:30">
      <c r="A373">
        <v>391</v>
      </c>
      <c r="B373" t="str">
        <f>_xlfn.XLOOKUP(A373,Z:Z,AB:AB,"not found")</f>
        <v>USD</v>
      </c>
      <c r="C373">
        <f>_xlfn.XLOOKUP(A373,Z:Z,AA:AA)-_xlfn.XLOOKUP(A373,Q:Q,R:R,"0")</f>
        <v>30823.53</v>
      </c>
      <c r="D373">
        <f>C373*_xlfn.XLOOKUP(B373,AG:AG,AH:AH)</f>
        <v>26508.235799999999</v>
      </c>
      <c r="E373">
        <f>C373*_xlfn.XLOOKUP(B373,AG:AG,AI:AI)</f>
        <v>30823.53</v>
      </c>
      <c r="F373">
        <v>74383</v>
      </c>
      <c r="G373">
        <f>F373*_xlfn.XLOOKUP(B373,AG:AG,AH:AH)</f>
        <v>63969.38</v>
      </c>
      <c r="H373">
        <f>F373*_xlfn.XLOOKUP(B373,AG:AG,AI:AI)</f>
        <v>74383</v>
      </c>
      <c r="I373">
        <f t="shared" si="27"/>
        <v>0</v>
      </c>
      <c r="J373">
        <f>I373*_xlfn.XLOOKUP(B373,AG:AG,AI:AI)</f>
        <v>0</v>
      </c>
      <c r="K373" s="7">
        <f>_xlfn.XLOOKUP(A373,Z:Z,AD:AD)</f>
        <v>45948</v>
      </c>
      <c r="L373" s="7">
        <f t="shared" si="28"/>
        <v>45918</v>
      </c>
      <c r="M373">
        <f t="shared" si="29"/>
        <v>9</v>
      </c>
      <c r="N373">
        <f t="shared" si="30"/>
        <v>2025</v>
      </c>
      <c r="Q373" s="22">
        <v>601</v>
      </c>
      <c r="R373" s="22">
        <v>6150</v>
      </c>
      <c r="S373" s="22" t="str">
        <f t="shared" si="31"/>
        <v>CHF</v>
      </c>
      <c r="T373" s="22">
        <f>R373*_xlfn.XLOOKUP(S373,AG:AG,AI:AI)</f>
        <v>7687.5</v>
      </c>
      <c r="U373" s="22" t="s">
        <v>26</v>
      </c>
      <c r="W373" s="9">
        <v>300</v>
      </c>
      <c r="X373" s="9" t="s">
        <v>29</v>
      </c>
      <c r="Z373">
        <v>391</v>
      </c>
      <c r="AA373" s="24">
        <v>74383</v>
      </c>
      <c r="AB373" t="s">
        <v>29</v>
      </c>
      <c r="AD373" s="20">
        <v>45948</v>
      </c>
    </row>
    <row r="374" spans="1:30">
      <c r="A374">
        <v>392</v>
      </c>
      <c r="B374" t="str">
        <f>_xlfn.XLOOKUP(A374,Z:Z,AB:AB,"not found")</f>
        <v>USD</v>
      </c>
      <c r="C374">
        <f>_xlfn.XLOOKUP(A374,Z:Z,AA:AA)-_xlfn.XLOOKUP(A374,Q:Q,R:R,"0")</f>
        <v>44530.51</v>
      </c>
      <c r="D374">
        <f>C374*_xlfn.XLOOKUP(B374,AG:AG,AH:AH)</f>
        <v>38296.238600000004</v>
      </c>
      <c r="E374">
        <f>C374*_xlfn.XLOOKUP(B374,AG:AG,AI:AI)</f>
        <v>44530.51</v>
      </c>
      <c r="F374">
        <v>52841.65</v>
      </c>
      <c r="G374">
        <f>F374*_xlfn.XLOOKUP(B374,AG:AG,AH:AH)</f>
        <v>45443.819000000003</v>
      </c>
      <c r="H374">
        <f>F374*_xlfn.XLOOKUP(B374,AG:AG,AI:AI)</f>
        <v>52841.65</v>
      </c>
      <c r="I374">
        <f t="shared" si="27"/>
        <v>0</v>
      </c>
      <c r="J374">
        <f>I374*_xlfn.XLOOKUP(B374,AG:AG,AI:AI)</f>
        <v>0</v>
      </c>
      <c r="K374" s="7">
        <f>_xlfn.XLOOKUP(A374,Z:Z,AD:AD)</f>
        <v>46017</v>
      </c>
      <c r="L374" s="7">
        <f t="shared" si="28"/>
        <v>45987</v>
      </c>
      <c r="M374">
        <f t="shared" si="29"/>
        <v>11</v>
      </c>
      <c r="N374">
        <f t="shared" si="30"/>
        <v>2025</v>
      </c>
      <c r="Q374" s="22">
        <v>602</v>
      </c>
      <c r="R374" s="22">
        <v>4020</v>
      </c>
      <c r="S374" s="22" t="str">
        <f t="shared" si="31"/>
        <v>EUR</v>
      </c>
      <c r="T374" s="22">
        <f>R374*_xlfn.XLOOKUP(S374,AG:AG,AI:AI)</f>
        <v>4663.2</v>
      </c>
      <c r="U374" s="22" t="s">
        <v>26</v>
      </c>
      <c r="W374" s="9">
        <v>305</v>
      </c>
      <c r="X374" s="9" t="s">
        <v>29</v>
      </c>
      <c r="Z374">
        <v>392</v>
      </c>
      <c r="AA374" s="24">
        <v>52841.65</v>
      </c>
      <c r="AB374" t="s">
        <v>29</v>
      </c>
      <c r="AD374" s="20">
        <v>46017</v>
      </c>
    </row>
    <row r="375" spans="1:30">
      <c r="A375">
        <v>393</v>
      </c>
      <c r="B375" t="str">
        <f>_xlfn.XLOOKUP(A375,Z:Z,AB:AB,"not found")</f>
        <v>EUR</v>
      </c>
      <c r="C375">
        <f>_xlfn.XLOOKUP(A375,Z:Z,AA:AA)-_xlfn.XLOOKUP(A375,Q:Q,R:R,"0")</f>
        <v>26052.66</v>
      </c>
      <c r="D375">
        <f>C375*_xlfn.XLOOKUP(B375,AG:AG,AH:AH)</f>
        <v>26052.66</v>
      </c>
      <c r="E375">
        <f>C375*_xlfn.XLOOKUP(B375,AG:AG,AI:AI)</f>
        <v>30221.085599999999</v>
      </c>
      <c r="F375">
        <v>26052.66</v>
      </c>
      <c r="G375">
        <f>F375*_xlfn.XLOOKUP(B375,AG:AG,AH:AH)</f>
        <v>26052.66</v>
      </c>
      <c r="H375">
        <f>F375*_xlfn.XLOOKUP(B375,AG:AG,AI:AI)</f>
        <v>30221.085599999999</v>
      </c>
      <c r="I375">
        <f t="shared" si="27"/>
        <v>0</v>
      </c>
      <c r="J375">
        <f>I375*_xlfn.XLOOKUP(B375,AG:AG,AI:AI)</f>
        <v>0</v>
      </c>
      <c r="K375" s="7">
        <f>_xlfn.XLOOKUP(A375,Z:Z,AD:AD)</f>
        <v>45857</v>
      </c>
      <c r="L375" s="7">
        <f t="shared" si="28"/>
        <v>45827</v>
      </c>
      <c r="M375">
        <f t="shared" si="29"/>
        <v>6</v>
      </c>
      <c r="N375">
        <f t="shared" si="30"/>
        <v>2025</v>
      </c>
      <c r="Q375" s="22">
        <v>603</v>
      </c>
      <c r="R375" s="22">
        <v>5322</v>
      </c>
      <c r="S375" s="22" t="str">
        <f t="shared" si="31"/>
        <v>USD</v>
      </c>
      <c r="T375" s="22">
        <f>R375*_xlfn.XLOOKUP(S375,AG:AG,AI:AI)</f>
        <v>5322</v>
      </c>
      <c r="U375" s="22" t="s">
        <v>26</v>
      </c>
      <c r="W375" s="9">
        <v>305</v>
      </c>
      <c r="X375" s="9" t="s">
        <v>29</v>
      </c>
      <c r="Z375">
        <v>393</v>
      </c>
      <c r="AA375" s="24">
        <v>26052.66</v>
      </c>
      <c r="AB375" t="s">
        <v>27</v>
      </c>
      <c r="AD375" s="20">
        <v>45857</v>
      </c>
    </row>
    <row r="376" spans="1:30">
      <c r="A376">
        <v>394</v>
      </c>
      <c r="B376" t="str">
        <f>_xlfn.XLOOKUP(A376,Z:Z,AB:AB,"not found")</f>
        <v>USD</v>
      </c>
      <c r="C376">
        <f>_xlfn.XLOOKUP(A376,Z:Z,AA:AA)-_xlfn.XLOOKUP(A376,Q:Q,R:R,"0")</f>
        <v>2026.4000000000015</v>
      </c>
      <c r="D376">
        <f>C376*_xlfn.XLOOKUP(B376,AG:AG,AH:AH)</f>
        <v>1742.7040000000013</v>
      </c>
      <c r="E376">
        <f>C376*_xlfn.XLOOKUP(B376,AG:AG,AI:AI)</f>
        <v>2026.4000000000015</v>
      </c>
      <c r="F376">
        <v>32958.32</v>
      </c>
      <c r="G376">
        <f>F376*_xlfn.XLOOKUP(B376,AG:AG,AH:AH)</f>
        <v>28344.155200000001</v>
      </c>
      <c r="H376">
        <f>F376*_xlfn.XLOOKUP(B376,AG:AG,AI:AI)</f>
        <v>32958.32</v>
      </c>
      <c r="I376">
        <f t="shared" si="27"/>
        <v>0</v>
      </c>
      <c r="J376">
        <f>I376*_xlfn.XLOOKUP(B376,AG:AG,AI:AI)</f>
        <v>0</v>
      </c>
      <c r="K376" s="7">
        <f>_xlfn.XLOOKUP(A376,Z:Z,AD:AD)</f>
        <v>45819</v>
      </c>
      <c r="L376" s="7">
        <f t="shared" si="28"/>
        <v>45789</v>
      </c>
      <c r="M376">
        <f t="shared" si="29"/>
        <v>5</v>
      </c>
      <c r="N376">
        <f t="shared" si="30"/>
        <v>2025</v>
      </c>
      <c r="Q376" s="22">
        <v>604</v>
      </c>
      <c r="R376" s="22">
        <v>2020.5</v>
      </c>
      <c r="S376" s="22" t="str">
        <f t="shared" si="31"/>
        <v>EUR</v>
      </c>
      <c r="T376" s="22">
        <f>R376*_xlfn.XLOOKUP(S376,AG:AG,AI:AI)</f>
        <v>2343.7799999999997</v>
      </c>
      <c r="U376" s="22" t="s">
        <v>26</v>
      </c>
      <c r="W376" s="9">
        <v>306</v>
      </c>
      <c r="X376" s="9" t="s">
        <v>29</v>
      </c>
      <c r="Z376">
        <v>394</v>
      </c>
      <c r="AA376" s="24">
        <v>32958.32</v>
      </c>
      <c r="AB376" t="s">
        <v>29</v>
      </c>
      <c r="AD376" s="20">
        <v>45819</v>
      </c>
    </row>
    <row r="377" spans="1:30">
      <c r="A377">
        <v>395</v>
      </c>
      <c r="B377" t="str">
        <f>_xlfn.XLOOKUP(A377,Z:Z,AB:AB,"not found")</f>
        <v>USD</v>
      </c>
      <c r="C377">
        <f>_xlfn.XLOOKUP(A377,Z:Z,AA:AA)-_xlfn.XLOOKUP(A377,Q:Q,R:R,"0")</f>
        <v>0</v>
      </c>
      <c r="D377">
        <f>C377*_xlfn.XLOOKUP(B377,AG:AG,AH:AH)</f>
        <v>0</v>
      </c>
      <c r="E377">
        <f>C377*_xlfn.XLOOKUP(B377,AG:AG,AI:AI)</f>
        <v>0</v>
      </c>
      <c r="F377">
        <v>15971.66</v>
      </c>
      <c r="G377">
        <f>F377*_xlfn.XLOOKUP(B377,AG:AG,AH:AH)</f>
        <v>13735.6276</v>
      </c>
      <c r="H377">
        <f>F377*_xlfn.XLOOKUP(B377,AG:AG,AI:AI)</f>
        <v>15971.66</v>
      </c>
      <c r="I377">
        <f t="shared" si="27"/>
        <v>0</v>
      </c>
      <c r="J377">
        <f>I377*_xlfn.XLOOKUP(B377,AG:AG,AI:AI)</f>
        <v>0</v>
      </c>
      <c r="K377" s="7">
        <f>_xlfn.XLOOKUP(A377,Z:Z,AD:AD)</f>
        <v>45748</v>
      </c>
      <c r="L377" s="7">
        <f t="shared" si="28"/>
        <v>45718</v>
      </c>
      <c r="M377">
        <f t="shared" si="29"/>
        <v>3</v>
      </c>
      <c r="N377">
        <f t="shared" si="30"/>
        <v>2025</v>
      </c>
      <c r="Q377" s="22">
        <v>605</v>
      </c>
      <c r="R377" s="22">
        <v>4226</v>
      </c>
      <c r="S377" s="22" t="str">
        <f t="shared" si="31"/>
        <v>USD</v>
      </c>
      <c r="T377" s="22">
        <f>R377*_xlfn.XLOOKUP(S377,AG:AG,AI:AI)</f>
        <v>4226</v>
      </c>
      <c r="U377" s="22" t="s">
        <v>26</v>
      </c>
      <c r="W377" s="9">
        <v>307</v>
      </c>
      <c r="X377" s="9" t="s">
        <v>29</v>
      </c>
      <c r="Z377">
        <v>395</v>
      </c>
      <c r="AA377" s="24">
        <v>15971.66</v>
      </c>
      <c r="AB377" t="s">
        <v>29</v>
      </c>
      <c r="AD377" s="20">
        <v>45748</v>
      </c>
    </row>
    <row r="378" spans="1:30">
      <c r="A378">
        <v>396</v>
      </c>
      <c r="B378" t="str">
        <f>_xlfn.XLOOKUP(A378,Z:Z,AB:AB,"not found")</f>
        <v>USD</v>
      </c>
      <c r="C378">
        <f>_xlfn.XLOOKUP(A378,Z:Z,AA:AA)-_xlfn.XLOOKUP(A378,Q:Q,R:R,"0")</f>
        <v>0</v>
      </c>
      <c r="D378">
        <f>C378*_xlfn.XLOOKUP(B378,AG:AG,AH:AH)</f>
        <v>0</v>
      </c>
      <c r="E378">
        <f>C378*_xlfn.XLOOKUP(B378,AG:AG,AI:AI)</f>
        <v>0</v>
      </c>
      <c r="F378">
        <v>8265.9699999999993</v>
      </c>
      <c r="G378">
        <f>F378*_xlfn.XLOOKUP(B378,AG:AG,AH:AH)</f>
        <v>7108.734199999999</v>
      </c>
      <c r="H378">
        <f>F378*_xlfn.XLOOKUP(B378,AG:AG,AI:AI)</f>
        <v>8265.9699999999993</v>
      </c>
      <c r="I378">
        <f t="shared" si="27"/>
        <v>0</v>
      </c>
      <c r="J378">
        <f>I378*_xlfn.XLOOKUP(B378,AG:AG,AI:AI)</f>
        <v>0</v>
      </c>
      <c r="K378" s="7">
        <f>_xlfn.XLOOKUP(A378,Z:Z,AD:AD)</f>
        <v>45859</v>
      </c>
      <c r="L378" s="7">
        <f t="shared" si="28"/>
        <v>45829</v>
      </c>
      <c r="M378">
        <f t="shared" si="29"/>
        <v>6</v>
      </c>
      <c r="N378">
        <f t="shared" si="30"/>
        <v>2025</v>
      </c>
      <c r="Q378" s="22">
        <v>607</v>
      </c>
      <c r="R378" s="22">
        <v>9570</v>
      </c>
      <c r="S378" s="22" t="str">
        <f t="shared" si="31"/>
        <v>EUR</v>
      </c>
      <c r="T378" s="22">
        <f>R378*_xlfn.XLOOKUP(S378,AG:AG,AI:AI)</f>
        <v>11101.199999999999</v>
      </c>
      <c r="U378" s="22" t="s">
        <v>26</v>
      </c>
      <c r="W378" s="9">
        <v>308</v>
      </c>
      <c r="X378" s="9" t="s">
        <v>29</v>
      </c>
      <c r="Z378">
        <v>396</v>
      </c>
      <c r="AA378" s="24">
        <v>8265.9699999999993</v>
      </c>
      <c r="AB378" t="s">
        <v>29</v>
      </c>
      <c r="AD378" s="20">
        <v>45859</v>
      </c>
    </row>
    <row r="379" spans="1:30">
      <c r="A379">
        <v>397</v>
      </c>
      <c r="B379" t="str">
        <f>_xlfn.XLOOKUP(A379,Z:Z,AB:AB,"not found")</f>
        <v>USD</v>
      </c>
      <c r="C379">
        <f>_xlfn.XLOOKUP(A379,Z:Z,AA:AA)-_xlfn.XLOOKUP(A379,Q:Q,R:R,"0")</f>
        <v>39767.93</v>
      </c>
      <c r="D379">
        <f>C379*_xlfn.XLOOKUP(B379,AG:AG,AH:AH)</f>
        <v>34200.419800000003</v>
      </c>
      <c r="E379">
        <f>C379*_xlfn.XLOOKUP(B379,AG:AG,AI:AI)</f>
        <v>39767.93</v>
      </c>
      <c r="F379">
        <v>39767.93</v>
      </c>
      <c r="G379">
        <f>F379*_xlfn.XLOOKUP(B379,AG:AG,AH:AH)</f>
        <v>34200.419800000003</v>
      </c>
      <c r="H379">
        <f>F379*_xlfn.XLOOKUP(B379,AG:AG,AI:AI)</f>
        <v>39767.93</v>
      </c>
      <c r="I379">
        <f t="shared" si="27"/>
        <v>0</v>
      </c>
      <c r="J379">
        <f>I379*_xlfn.XLOOKUP(B379,AG:AG,AI:AI)</f>
        <v>0</v>
      </c>
      <c r="K379" s="7">
        <f>_xlfn.XLOOKUP(A379,Z:Z,AD:AD)</f>
        <v>45843</v>
      </c>
      <c r="L379" s="7">
        <f t="shared" si="28"/>
        <v>45813</v>
      </c>
      <c r="M379">
        <f t="shared" si="29"/>
        <v>6</v>
      </c>
      <c r="N379">
        <f t="shared" si="30"/>
        <v>2025</v>
      </c>
      <c r="Q379" s="22">
        <v>608</v>
      </c>
      <c r="R379" s="22">
        <v>7395</v>
      </c>
      <c r="S379" s="22" t="str">
        <f t="shared" si="31"/>
        <v>EUR</v>
      </c>
      <c r="T379" s="22">
        <f>R379*_xlfn.XLOOKUP(S379,AG:AG,AI:AI)</f>
        <v>8578.1999999999989</v>
      </c>
      <c r="U379" s="22" t="s">
        <v>26</v>
      </c>
      <c r="W379" s="9">
        <v>308</v>
      </c>
      <c r="X379" s="9" t="s">
        <v>29</v>
      </c>
      <c r="Z379">
        <v>397</v>
      </c>
      <c r="AA379" s="24">
        <v>39767.93</v>
      </c>
      <c r="AB379" t="s">
        <v>29</v>
      </c>
      <c r="AD379" s="20">
        <v>45843</v>
      </c>
    </row>
    <row r="380" spans="1:30">
      <c r="A380">
        <v>398</v>
      </c>
      <c r="B380" t="str">
        <f>_xlfn.XLOOKUP(A380,Z:Z,AB:AB,"not found")</f>
        <v>EUR</v>
      </c>
      <c r="C380">
        <f>_xlfn.XLOOKUP(A380,Z:Z,AA:AA)-_xlfn.XLOOKUP(A380,Q:Q,R:R,"0")</f>
        <v>0</v>
      </c>
      <c r="D380">
        <f>C380*_xlfn.XLOOKUP(B380,AG:AG,AH:AH)</f>
        <v>0</v>
      </c>
      <c r="E380">
        <f>C380*_xlfn.XLOOKUP(B380,AG:AG,AI:AI)</f>
        <v>0</v>
      </c>
      <c r="F380">
        <v>12669.04</v>
      </c>
      <c r="G380">
        <f>F380*_xlfn.XLOOKUP(B380,AG:AG,AH:AH)</f>
        <v>12669.04</v>
      </c>
      <c r="H380">
        <f>F380*_xlfn.XLOOKUP(B380,AG:AG,AI:AI)</f>
        <v>14696.0864</v>
      </c>
      <c r="I380">
        <f t="shared" si="27"/>
        <v>0</v>
      </c>
      <c r="J380">
        <f>I380*_xlfn.XLOOKUP(B380,AG:AG,AI:AI)</f>
        <v>0</v>
      </c>
      <c r="K380" s="7">
        <f>_xlfn.XLOOKUP(A380,Z:Z,AD:AD)</f>
        <v>45858</v>
      </c>
      <c r="L380" s="7">
        <f t="shared" si="28"/>
        <v>45828</v>
      </c>
      <c r="M380">
        <f t="shared" si="29"/>
        <v>6</v>
      </c>
      <c r="N380">
        <f t="shared" si="30"/>
        <v>2025</v>
      </c>
      <c r="Q380" s="22">
        <v>609</v>
      </c>
      <c r="R380" s="22">
        <v>23716</v>
      </c>
      <c r="S380" s="22" t="str">
        <f t="shared" si="31"/>
        <v>USD</v>
      </c>
      <c r="T380" s="22">
        <f>R380*_xlfn.XLOOKUP(S380,AG:AG,AI:AI)</f>
        <v>23716</v>
      </c>
      <c r="U380" s="22" t="s">
        <v>26</v>
      </c>
      <c r="W380" s="9">
        <v>309</v>
      </c>
      <c r="X380" s="9" t="s">
        <v>29</v>
      </c>
      <c r="Z380">
        <v>398</v>
      </c>
      <c r="AA380" s="24">
        <v>12669.04</v>
      </c>
      <c r="AB380" t="s">
        <v>27</v>
      </c>
      <c r="AD380" s="20">
        <v>45858</v>
      </c>
    </row>
    <row r="381" spans="1:30">
      <c r="A381">
        <v>399</v>
      </c>
      <c r="B381" t="str">
        <f>_xlfn.XLOOKUP(A381,Z:Z,AB:AB,"not found")</f>
        <v>USD</v>
      </c>
      <c r="C381">
        <f>_xlfn.XLOOKUP(A381,Z:Z,AA:AA)-_xlfn.XLOOKUP(A381,Q:Q,R:R,"0")</f>
        <v>0</v>
      </c>
      <c r="D381">
        <f>C381*_xlfn.XLOOKUP(B381,AG:AG,AH:AH)</f>
        <v>0</v>
      </c>
      <c r="E381">
        <f>C381*_xlfn.XLOOKUP(B381,AG:AG,AI:AI)</f>
        <v>0</v>
      </c>
      <c r="F381">
        <v>5235</v>
      </c>
      <c r="G381">
        <f>F381*_xlfn.XLOOKUP(B381,AG:AG,AH:AH)</f>
        <v>4502.1000000000004</v>
      </c>
      <c r="H381">
        <f>F381*_xlfn.XLOOKUP(B381,AG:AG,AI:AI)</f>
        <v>5235</v>
      </c>
      <c r="I381">
        <f t="shared" si="27"/>
        <v>0</v>
      </c>
      <c r="J381">
        <f>I381*_xlfn.XLOOKUP(B381,AG:AG,AI:AI)</f>
        <v>0</v>
      </c>
      <c r="K381" s="7">
        <f>_xlfn.XLOOKUP(A381,Z:Z,AD:AD)</f>
        <v>45714</v>
      </c>
      <c r="L381" s="7">
        <f t="shared" si="28"/>
        <v>45684</v>
      </c>
      <c r="M381">
        <f t="shared" si="29"/>
        <v>1</v>
      </c>
      <c r="N381">
        <f t="shared" si="30"/>
        <v>2025</v>
      </c>
      <c r="Q381" s="22">
        <v>610</v>
      </c>
      <c r="R381" s="22">
        <v>6609</v>
      </c>
      <c r="S381" s="22" t="str">
        <f t="shared" si="31"/>
        <v>USD</v>
      </c>
      <c r="T381" s="22">
        <f>R381*_xlfn.XLOOKUP(S381,AG:AG,AI:AI)</f>
        <v>6609</v>
      </c>
      <c r="U381" s="22" t="s">
        <v>26</v>
      </c>
      <c r="W381" s="9">
        <v>309</v>
      </c>
      <c r="X381" s="9" t="s">
        <v>29</v>
      </c>
      <c r="Z381">
        <v>399</v>
      </c>
      <c r="AA381" s="24">
        <v>5235</v>
      </c>
      <c r="AB381" t="s">
        <v>29</v>
      </c>
      <c r="AD381" s="20">
        <v>45714</v>
      </c>
    </row>
    <row r="382" spans="1:30">
      <c r="A382">
        <v>400</v>
      </c>
      <c r="B382" t="str">
        <f>_xlfn.XLOOKUP(A382,Z:Z,AB:AB,"not found")</f>
        <v>USD</v>
      </c>
      <c r="C382">
        <f>_xlfn.XLOOKUP(A382,Z:Z,AA:AA)-_xlfn.XLOOKUP(A382,Q:Q,R:R,"0")</f>
        <v>0</v>
      </c>
      <c r="D382">
        <f>C382*_xlfn.XLOOKUP(B382,AG:AG,AH:AH)</f>
        <v>0</v>
      </c>
      <c r="E382">
        <f>C382*_xlfn.XLOOKUP(B382,AG:AG,AI:AI)</f>
        <v>0</v>
      </c>
      <c r="F382">
        <v>1740</v>
      </c>
      <c r="G382">
        <f>F382*_xlfn.XLOOKUP(B382,AG:AG,AH:AH)</f>
        <v>1496.3999999999999</v>
      </c>
      <c r="H382">
        <f>F382*_xlfn.XLOOKUP(B382,AG:AG,AI:AI)</f>
        <v>1740</v>
      </c>
      <c r="I382">
        <f t="shared" si="27"/>
        <v>0</v>
      </c>
      <c r="J382">
        <f>I382*_xlfn.XLOOKUP(B382,AG:AG,AI:AI)</f>
        <v>0</v>
      </c>
      <c r="K382" s="7">
        <f>_xlfn.XLOOKUP(A382,Z:Z,AD:AD)</f>
        <v>45730</v>
      </c>
      <c r="L382" s="7">
        <f t="shared" si="28"/>
        <v>45700</v>
      </c>
      <c r="M382">
        <f t="shared" si="29"/>
        <v>2</v>
      </c>
      <c r="N382">
        <f t="shared" si="30"/>
        <v>2025</v>
      </c>
      <c r="Q382" s="22">
        <v>613</v>
      </c>
      <c r="R382" s="22">
        <v>18638.25</v>
      </c>
      <c r="S382" s="22" t="str">
        <f t="shared" si="31"/>
        <v>USD</v>
      </c>
      <c r="T382" s="22">
        <f>R382*_xlfn.XLOOKUP(S382,AG:AG,AI:AI)</f>
        <v>18638.25</v>
      </c>
      <c r="U382" s="22" t="s">
        <v>26</v>
      </c>
      <c r="W382" s="9">
        <v>309</v>
      </c>
      <c r="X382" s="9" t="s">
        <v>29</v>
      </c>
      <c r="Z382">
        <v>400</v>
      </c>
      <c r="AA382" s="24">
        <v>1740</v>
      </c>
      <c r="AB382" t="s">
        <v>29</v>
      </c>
      <c r="AD382" s="20">
        <v>45730</v>
      </c>
    </row>
    <row r="383" spans="1:30">
      <c r="A383">
        <v>401</v>
      </c>
      <c r="B383" t="str">
        <f>_xlfn.XLOOKUP(A383,Z:Z,AB:AB,"not found")</f>
        <v>USD</v>
      </c>
      <c r="C383">
        <f>_xlfn.XLOOKUP(A383,Z:Z,AA:AA)-_xlfn.XLOOKUP(A383,Q:Q,R:R,"0")</f>
        <v>0</v>
      </c>
      <c r="D383">
        <f>C383*_xlfn.XLOOKUP(B383,AG:AG,AH:AH)</f>
        <v>0</v>
      </c>
      <c r="E383">
        <f>C383*_xlfn.XLOOKUP(B383,AG:AG,AI:AI)</f>
        <v>0</v>
      </c>
      <c r="F383">
        <v>4326</v>
      </c>
      <c r="G383">
        <f>F383*_xlfn.XLOOKUP(B383,AG:AG,AH:AH)</f>
        <v>3720.36</v>
      </c>
      <c r="H383">
        <f>F383*_xlfn.XLOOKUP(B383,AG:AG,AI:AI)</f>
        <v>4326</v>
      </c>
      <c r="I383">
        <f t="shared" si="27"/>
        <v>0</v>
      </c>
      <c r="J383">
        <f>I383*_xlfn.XLOOKUP(B383,AG:AG,AI:AI)</f>
        <v>0</v>
      </c>
      <c r="K383" s="7">
        <f>_xlfn.XLOOKUP(A383,Z:Z,AD:AD)</f>
        <v>45728</v>
      </c>
      <c r="L383" s="7">
        <f t="shared" si="28"/>
        <v>45698</v>
      </c>
      <c r="M383">
        <f t="shared" si="29"/>
        <v>2</v>
      </c>
      <c r="N383">
        <f t="shared" si="30"/>
        <v>2025</v>
      </c>
      <c r="Q383" s="22">
        <v>615</v>
      </c>
      <c r="R383" s="22">
        <v>7230</v>
      </c>
      <c r="S383" s="22" t="str">
        <f t="shared" si="31"/>
        <v>EUR</v>
      </c>
      <c r="T383" s="22">
        <f>R383*_xlfn.XLOOKUP(S383,AG:AG,AI:AI)</f>
        <v>8386.7999999999993</v>
      </c>
      <c r="U383" s="22" t="s">
        <v>26</v>
      </c>
      <c r="W383" s="9">
        <v>314</v>
      </c>
      <c r="X383" s="9" t="s">
        <v>29</v>
      </c>
      <c r="Z383">
        <v>401</v>
      </c>
      <c r="AA383" s="24">
        <v>4326</v>
      </c>
      <c r="AB383" t="s">
        <v>29</v>
      </c>
      <c r="AD383" s="20">
        <v>45728</v>
      </c>
    </row>
    <row r="384" spans="1:30">
      <c r="A384">
        <v>402</v>
      </c>
      <c r="B384" t="str">
        <f>_xlfn.XLOOKUP(A384,Z:Z,AB:AB,"not found")</f>
        <v>MXN</v>
      </c>
      <c r="C384">
        <f>_xlfn.XLOOKUP(A384,Z:Z,AA:AA)-_xlfn.XLOOKUP(A384,Q:Q,R:R,"0")</f>
        <v>0</v>
      </c>
      <c r="D384">
        <f>C384*_xlfn.XLOOKUP(B384,AG:AG,AH:AH)</f>
        <v>0</v>
      </c>
      <c r="E384">
        <f>C384*_xlfn.XLOOKUP(B384,AG:AG,AI:AI)</f>
        <v>0</v>
      </c>
      <c r="F384">
        <v>46687</v>
      </c>
      <c r="G384">
        <f>F384*_xlfn.XLOOKUP(B384,AG:AG,AH:AH)</f>
        <v>2240.9760000000001</v>
      </c>
      <c r="H384">
        <f>F384*_xlfn.XLOOKUP(B384,AG:AG,AI:AI)</f>
        <v>2614.4720000000002</v>
      </c>
      <c r="I384">
        <f t="shared" si="27"/>
        <v>0</v>
      </c>
      <c r="J384">
        <f>I384*_xlfn.XLOOKUP(B384,AG:AG,AI:AI)</f>
        <v>0</v>
      </c>
      <c r="K384" s="7">
        <f>_xlfn.XLOOKUP(A384,Z:Z,AD:AD)</f>
        <v>45834</v>
      </c>
      <c r="L384" s="7">
        <f t="shared" si="28"/>
        <v>45804</v>
      </c>
      <c r="M384">
        <f t="shared" si="29"/>
        <v>5</v>
      </c>
      <c r="N384">
        <f t="shared" si="30"/>
        <v>2025</v>
      </c>
      <c r="Q384" s="22">
        <v>616</v>
      </c>
      <c r="R384" s="22">
        <v>4752</v>
      </c>
      <c r="S384" s="22" t="str">
        <f t="shared" si="31"/>
        <v>CHF</v>
      </c>
      <c r="T384" s="22">
        <f>R384*_xlfn.XLOOKUP(S384,AG:AG,AI:AI)</f>
        <v>5940</v>
      </c>
      <c r="U384" s="22" t="s">
        <v>26</v>
      </c>
      <c r="W384" s="9">
        <v>315</v>
      </c>
      <c r="X384" s="9" t="s">
        <v>29</v>
      </c>
      <c r="Z384">
        <v>402</v>
      </c>
      <c r="AA384" s="24">
        <v>46687</v>
      </c>
      <c r="AB384" t="s">
        <v>28</v>
      </c>
      <c r="AD384" s="20">
        <v>45834</v>
      </c>
    </row>
    <row r="385" spans="1:30">
      <c r="A385">
        <v>403</v>
      </c>
      <c r="B385" t="str">
        <f>_xlfn.XLOOKUP(A385,Z:Z,AB:AB,"not found")</f>
        <v>USD</v>
      </c>
      <c r="C385">
        <f>_xlfn.XLOOKUP(A385,Z:Z,AA:AA)-_xlfn.XLOOKUP(A385,Q:Q,R:R,"0")</f>
        <v>7861.74</v>
      </c>
      <c r="D385">
        <f>C385*_xlfn.XLOOKUP(B385,AG:AG,AH:AH)</f>
        <v>6761.0963999999994</v>
      </c>
      <c r="E385">
        <f>C385*_xlfn.XLOOKUP(B385,AG:AG,AI:AI)</f>
        <v>7861.74</v>
      </c>
      <c r="F385">
        <v>7861.74</v>
      </c>
      <c r="G385">
        <f>F385*_xlfn.XLOOKUP(B385,AG:AG,AH:AH)</f>
        <v>6761.0963999999994</v>
      </c>
      <c r="H385">
        <f>F385*_xlfn.XLOOKUP(B385,AG:AG,AI:AI)</f>
        <v>7861.74</v>
      </c>
      <c r="I385">
        <f t="shared" si="27"/>
        <v>0</v>
      </c>
      <c r="J385">
        <f>I385*_xlfn.XLOOKUP(B385,AG:AG,AI:AI)</f>
        <v>0</v>
      </c>
      <c r="K385" s="7">
        <f>_xlfn.XLOOKUP(A385,Z:Z,AD:AD)</f>
        <v>45670</v>
      </c>
      <c r="L385" s="7">
        <f t="shared" si="28"/>
        <v>45640</v>
      </c>
      <c r="M385">
        <f t="shared" si="29"/>
        <v>12</v>
      </c>
      <c r="N385">
        <f t="shared" si="30"/>
        <v>2024</v>
      </c>
      <c r="Q385" s="22">
        <v>617</v>
      </c>
      <c r="R385" s="22">
        <v>5171.3899999999994</v>
      </c>
      <c r="S385" s="22" t="str">
        <f t="shared" si="31"/>
        <v>USD</v>
      </c>
      <c r="T385" s="22">
        <f>R385*_xlfn.XLOOKUP(S385,AG:AG,AI:AI)</f>
        <v>5171.3899999999994</v>
      </c>
      <c r="U385" s="22" t="s">
        <v>26</v>
      </c>
      <c r="W385" s="9">
        <v>317</v>
      </c>
      <c r="X385" s="9" t="s">
        <v>29</v>
      </c>
      <c r="Z385">
        <v>403</v>
      </c>
      <c r="AA385" s="24">
        <v>7861.74</v>
      </c>
      <c r="AB385" t="s">
        <v>29</v>
      </c>
      <c r="AD385" s="20">
        <v>45670</v>
      </c>
    </row>
    <row r="386" spans="1:30">
      <c r="A386">
        <v>404</v>
      </c>
      <c r="B386" t="str">
        <f>_xlfn.XLOOKUP(A386,Z:Z,AB:AB,"not found")</f>
        <v>MXN</v>
      </c>
      <c r="C386">
        <f>_xlfn.XLOOKUP(A386,Z:Z,AA:AA)-_xlfn.XLOOKUP(A386,Q:Q,R:R,"0")</f>
        <v>8800</v>
      </c>
      <c r="D386">
        <f>C386*_xlfn.XLOOKUP(B386,AG:AG,AH:AH)</f>
        <v>422.40000000000003</v>
      </c>
      <c r="E386">
        <f>C386*_xlfn.XLOOKUP(B386,AG:AG,AI:AI)</f>
        <v>492.8</v>
      </c>
      <c r="F386">
        <v>8800</v>
      </c>
      <c r="G386">
        <f>F386*_xlfn.XLOOKUP(B386,AG:AG,AH:AH)</f>
        <v>422.40000000000003</v>
      </c>
      <c r="H386">
        <f>F386*_xlfn.XLOOKUP(B386,AG:AG,AI:AI)</f>
        <v>492.8</v>
      </c>
      <c r="I386">
        <f t="shared" si="27"/>
        <v>0</v>
      </c>
      <c r="J386">
        <f>I386*_xlfn.XLOOKUP(B386,AG:AG,AI:AI)</f>
        <v>0</v>
      </c>
      <c r="K386" s="7">
        <f>_xlfn.XLOOKUP(A386,Z:Z,AD:AD)</f>
        <v>45814</v>
      </c>
      <c r="L386" s="7">
        <f t="shared" si="28"/>
        <v>45784</v>
      </c>
      <c r="M386">
        <f t="shared" si="29"/>
        <v>5</v>
      </c>
      <c r="N386">
        <f t="shared" si="30"/>
        <v>2025</v>
      </c>
      <c r="Q386" s="22">
        <v>618</v>
      </c>
      <c r="R386" s="22">
        <v>1920</v>
      </c>
      <c r="S386" s="22" t="str">
        <f t="shared" si="31"/>
        <v>EUR</v>
      </c>
      <c r="T386" s="22">
        <f>R386*_xlfn.XLOOKUP(S386,AG:AG,AI:AI)</f>
        <v>2227.1999999999998</v>
      </c>
      <c r="U386" s="22" t="s">
        <v>26</v>
      </c>
      <c r="W386" s="9">
        <v>318</v>
      </c>
      <c r="X386" s="9" t="s">
        <v>29</v>
      </c>
      <c r="Z386">
        <v>404</v>
      </c>
      <c r="AA386" s="24">
        <v>8800</v>
      </c>
      <c r="AB386" t="s">
        <v>28</v>
      </c>
      <c r="AD386" s="20">
        <v>45814</v>
      </c>
    </row>
    <row r="387" spans="1:30">
      <c r="A387">
        <v>405</v>
      </c>
      <c r="B387" t="str">
        <f>_xlfn.XLOOKUP(A387,Z:Z,AB:AB,"not found")</f>
        <v>MXN</v>
      </c>
      <c r="C387">
        <f>_xlfn.XLOOKUP(A387,Z:Z,AA:AA)-_xlfn.XLOOKUP(A387,Q:Q,R:R,"0")</f>
        <v>10883</v>
      </c>
      <c r="D387">
        <f>C387*_xlfn.XLOOKUP(B387,AG:AG,AH:AH)</f>
        <v>522.38400000000001</v>
      </c>
      <c r="E387">
        <f>C387*_xlfn.XLOOKUP(B387,AG:AG,AI:AI)</f>
        <v>609.44799999999998</v>
      </c>
      <c r="F387">
        <v>10883</v>
      </c>
      <c r="G387">
        <f>F387*_xlfn.XLOOKUP(B387,AG:AG,AH:AH)</f>
        <v>522.38400000000001</v>
      </c>
      <c r="H387">
        <f>F387*_xlfn.XLOOKUP(B387,AG:AG,AI:AI)</f>
        <v>609.44799999999998</v>
      </c>
      <c r="I387">
        <f t="shared" ref="I387:I450" si="32">C387-F387+_xlfn.XLOOKUP(A387,Q:Q,R:R,"0")</f>
        <v>0</v>
      </c>
      <c r="J387">
        <f>I387*_xlfn.XLOOKUP(B387,AG:AG,AI:AI)</f>
        <v>0</v>
      </c>
      <c r="K387" s="7">
        <f>_xlfn.XLOOKUP(A387,Z:Z,AD:AD)</f>
        <v>45873</v>
      </c>
      <c r="L387" s="7">
        <f t="shared" ref="L387:L450" si="33">K387-30</f>
        <v>45843</v>
      </c>
      <c r="M387">
        <f t="shared" ref="M387:M450" si="34">MONTH(L387)</f>
        <v>7</v>
      </c>
      <c r="N387">
        <f t="shared" ref="N387:N450" si="35">YEAR(L387)</f>
        <v>2025</v>
      </c>
      <c r="Q387" s="22">
        <v>622</v>
      </c>
      <c r="R387" s="22">
        <v>3010</v>
      </c>
      <c r="S387" s="22" t="str">
        <f t="shared" ref="S387:S450" si="36">_xlfn.XLOOKUP(Q387,W:W,X:X)</f>
        <v>EUR</v>
      </c>
      <c r="T387" s="22">
        <f>R387*_xlfn.XLOOKUP(S387,AG:AG,AI:AI)</f>
        <v>3491.6</v>
      </c>
      <c r="U387" s="22" t="s">
        <v>26</v>
      </c>
      <c r="W387" s="9">
        <v>319</v>
      </c>
      <c r="X387" s="9" t="s">
        <v>29</v>
      </c>
      <c r="Z387">
        <v>405</v>
      </c>
      <c r="AA387" s="24">
        <v>10883</v>
      </c>
      <c r="AB387" t="s">
        <v>28</v>
      </c>
      <c r="AD387" s="20">
        <v>45873</v>
      </c>
    </row>
    <row r="388" spans="1:30">
      <c r="A388">
        <v>406</v>
      </c>
      <c r="B388" t="str">
        <f>_xlfn.XLOOKUP(A388,Z:Z,AB:AB,"not found")</f>
        <v>USD</v>
      </c>
      <c r="C388">
        <f>_xlfn.XLOOKUP(A388,Z:Z,AA:AA)-_xlfn.XLOOKUP(A388,Q:Q,R:R,"0")</f>
        <v>9631.27</v>
      </c>
      <c r="D388">
        <f>C388*_xlfn.XLOOKUP(B388,AG:AG,AH:AH)</f>
        <v>8282.8922000000002</v>
      </c>
      <c r="E388">
        <f>C388*_xlfn.XLOOKUP(B388,AG:AG,AI:AI)</f>
        <v>9631.27</v>
      </c>
      <c r="F388">
        <v>29059.27</v>
      </c>
      <c r="G388">
        <f>F388*_xlfn.XLOOKUP(B388,AG:AG,AH:AH)</f>
        <v>24990.9722</v>
      </c>
      <c r="H388">
        <f>F388*_xlfn.XLOOKUP(B388,AG:AG,AI:AI)</f>
        <v>29059.27</v>
      </c>
      <c r="I388">
        <f t="shared" si="32"/>
        <v>0</v>
      </c>
      <c r="J388">
        <f>I388*_xlfn.XLOOKUP(B388,AG:AG,AI:AI)</f>
        <v>0</v>
      </c>
      <c r="K388" s="7">
        <f>_xlfn.XLOOKUP(A388,Z:Z,AD:AD)</f>
        <v>45825</v>
      </c>
      <c r="L388" s="7">
        <f t="shared" si="33"/>
        <v>45795</v>
      </c>
      <c r="M388">
        <f t="shared" si="34"/>
        <v>5</v>
      </c>
      <c r="N388">
        <f t="shared" si="35"/>
        <v>2025</v>
      </c>
      <c r="Q388" s="22">
        <v>624</v>
      </c>
      <c r="R388" s="22">
        <v>7360.8</v>
      </c>
      <c r="S388" s="22" t="str">
        <f t="shared" si="36"/>
        <v>USD</v>
      </c>
      <c r="T388" s="22">
        <f>R388*_xlfn.XLOOKUP(S388,AG:AG,AI:AI)</f>
        <v>7360.8</v>
      </c>
      <c r="U388" s="22" t="s">
        <v>26</v>
      </c>
      <c r="W388" s="9">
        <v>321</v>
      </c>
      <c r="X388" s="9" t="s">
        <v>29</v>
      </c>
      <c r="Z388">
        <v>406</v>
      </c>
      <c r="AA388" s="24">
        <v>29059.27</v>
      </c>
      <c r="AB388" t="s">
        <v>29</v>
      </c>
      <c r="AD388" s="20">
        <v>45825</v>
      </c>
    </row>
    <row r="389" spans="1:30">
      <c r="A389">
        <v>407</v>
      </c>
      <c r="B389" t="str">
        <f>_xlfn.XLOOKUP(A389,Z:Z,AB:AB,"not found")</f>
        <v>USD</v>
      </c>
      <c r="C389">
        <f>_xlfn.XLOOKUP(A389,Z:Z,AA:AA)-_xlfn.XLOOKUP(A389,Q:Q,R:R,"0")</f>
        <v>13249.42</v>
      </c>
      <c r="D389">
        <f>C389*_xlfn.XLOOKUP(B389,AG:AG,AH:AH)</f>
        <v>11394.501200000001</v>
      </c>
      <c r="E389">
        <f>C389*_xlfn.XLOOKUP(B389,AG:AG,AI:AI)</f>
        <v>13249.42</v>
      </c>
      <c r="F389">
        <v>13249.42</v>
      </c>
      <c r="G389">
        <f>F389*_xlfn.XLOOKUP(B389,AG:AG,AH:AH)</f>
        <v>11394.501200000001</v>
      </c>
      <c r="H389">
        <f>F389*_xlfn.XLOOKUP(B389,AG:AG,AI:AI)</f>
        <v>13249.42</v>
      </c>
      <c r="I389">
        <f t="shared" si="32"/>
        <v>0</v>
      </c>
      <c r="J389">
        <f>I389*_xlfn.XLOOKUP(B389,AG:AG,AI:AI)</f>
        <v>0</v>
      </c>
      <c r="K389" s="7">
        <f>_xlfn.XLOOKUP(A389,Z:Z,AD:AD)</f>
        <v>45814</v>
      </c>
      <c r="L389" s="7">
        <f t="shared" si="33"/>
        <v>45784</v>
      </c>
      <c r="M389">
        <f t="shared" si="34"/>
        <v>5</v>
      </c>
      <c r="N389">
        <f t="shared" si="35"/>
        <v>2025</v>
      </c>
      <c r="Q389" s="22">
        <v>625</v>
      </c>
      <c r="R389" s="22">
        <v>379735</v>
      </c>
      <c r="S389" s="22" t="str">
        <f t="shared" si="36"/>
        <v>JPY</v>
      </c>
      <c r="T389" s="22">
        <f>R389*_xlfn.XLOOKUP(S389,AG:AG,AI:AI)</f>
        <v>2430.3040000000001</v>
      </c>
      <c r="U389" s="22" t="s">
        <v>26</v>
      </c>
      <c r="W389" s="9">
        <v>322</v>
      </c>
      <c r="X389" s="9" t="s">
        <v>29</v>
      </c>
      <c r="Z389">
        <v>407</v>
      </c>
      <c r="AA389" s="24">
        <v>13249.42</v>
      </c>
      <c r="AB389" t="s">
        <v>29</v>
      </c>
      <c r="AD389" s="20">
        <v>45814</v>
      </c>
    </row>
    <row r="390" spans="1:30">
      <c r="A390">
        <v>408</v>
      </c>
      <c r="B390" t="str">
        <f>_xlfn.XLOOKUP(A390,Z:Z,AB:AB,"not found")</f>
        <v>MXN</v>
      </c>
      <c r="C390">
        <f>_xlfn.XLOOKUP(A390,Z:Z,AA:AA)-_xlfn.XLOOKUP(A390,Q:Q,R:R,"0")</f>
        <v>156700.79</v>
      </c>
      <c r="D390">
        <f>C390*_xlfn.XLOOKUP(B390,AG:AG,AH:AH)</f>
        <v>7521.6379200000001</v>
      </c>
      <c r="E390">
        <f>C390*_xlfn.XLOOKUP(B390,AG:AG,AI:AI)</f>
        <v>8775.24424</v>
      </c>
      <c r="F390">
        <v>156704.26999999999</v>
      </c>
      <c r="G390">
        <f>F390*_xlfn.XLOOKUP(B390,AG:AG,AH:AH)</f>
        <v>7521.8049599999995</v>
      </c>
      <c r="H390">
        <f>F390*_xlfn.XLOOKUP(B390,AG:AG,AI:AI)</f>
        <v>8775.4391199999991</v>
      </c>
      <c r="I390">
        <f t="shared" si="32"/>
        <v>-3.4799999999813735</v>
      </c>
      <c r="J390">
        <f>I390*_xlfn.XLOOKUP(B390,AG:AG,AI:AI)</f>
        <v>-0.19487999999895692</v>
      </c>
      <c r="K390" s="7">
        <f>_xlfn.XLOOKUP(A390,Z:Z,AD:AD)</f>
        <v>45873</v>
      </c>
      <c r="L390" s="7">
        <f t="shared" si="33"/>
        <v>45843</v>
      </c>
      <c r="M390">
        <f t="shared" si="34"/>
        <v>7</v>
      </c>
      <c r="N390">
        <f t="shared" si="35"/>
        <v>2025</v>
      </c>
      <c r="Q390" s="22">
        <v>626</v>
      </c>
      <c r="R390" s="22">
        <v>349075</v>
      </c>
      <c r="S390" s="22" t="str">
        <f t="shared" si="36"/>
        <v>JPY</v>
      </c>
      <c r="T390" s="22">
        <f>R390*_xlfn.XLOOKUP(S390,AG:AG,AI:AI)</f>
        <v>2234.08</v>
      </c>
      <c r="U390" s="22" t="s">
        <v>26</v>
      </c>
      <c r="W390" s="9">
        <v>323</v>
      </c>
      <c r="X390" s="9" t="s">
        <v>28</v>
      </c>
      <c r="Z390">
        <v>408</v>
      </c>
      <c r="AA390" s="24">
        <v>156700.79</v>
      </c>
      <c r="AB390" t="s">
        <v>28</v>
      </c>
      <c r="AD390" s="20">
        <v>45873</v>
      </c>
    </row>
    <row r="391" spans="1:30">
      <c r="A391">
        <v>409</v>
      </c>
      <c r="B391" t="str">
        <f>_xlfn.XLOOKUP(A391,Z:Z,AB:AB,"not found")</f>
        <v>USD</v>
      </c>
      <c r="C391">
        <f>_xlfn.XLOOKUP(A391,Z:Z,AA:AA)-_xlfn.XLOOKUP(A391,Q:Q,R:R,"0")</f>
        <v>414.88000000000011</v>
      </c>
      <c r="D391">
        <f>C391*_xlfn.XLOOKUP(B391,AG:AG,AH:AH)</f>
        <v>356.79680000000008</v>
      </c>
      <c r="E391">
        <f>C391*_xlfn.XLOOKUP(B391,AG:AG,AI:AI)</f>
        <v>414.88000000000011</v>
      </c>
      <c r="F391">
        <v>6108.88</v>
      </c>
      <c r="G391">
        <f>F391*_xlfn.XLOOKUP(B391,AG:AG,AH:AH)</f>
        <v>5253.6368000000002</v>
      </c>
      <c r="H391">
        <f>F391*_xlfn.XLOOKUP(B391,AG:AG,AI:AI)</f>
        <v>6108.88</v>
      </c>
      <c r="I391">
        <f t="shared" si="32"/>
        <v>0</v>
      </c>
      <c r="J391">
        <f>I391*_xlfn.XLOOKUP(B391,AG:AG,AI:AI)</f>
        <v>0</v>
      </c>
      <c r="K391" s="7">
        <f>_xlfn.XLOOKUP(A391,Z:Z,AD:AD)</f>
        <v>45854</v>
      </c>
      <c r="L391" s="7">
        <f t="shared" si="33"/>
        <v>45824</v>
      </c>
      <c r="M391">
        <f t="shared" si="34"/>
        <v>6</v>
      </c>
      <c r="N391">
        <f t="shared" si="35"/>
        <v>2025</v>
      </c>
      <c r="Q391" s="22">
        <v>627</v>
      </c>
      <c r="R391" s="22">
        <v>1230.3</v>
      </c>
      <c r="S391" s="22" t="str">
        <f t="shared" si="36"/>
        <v>GPB</v>
      </c>
      <c r="T391" s="22">
        <f>R391*_xlfn.XLOOKUP(S391,AG:AG,AI:AI)</f>
        <v>1648.6020000000001</v>
      </c>
      <c r="U391" s="22" t="s">
        <v>26</v>
      </c>
      <c r="W391" s="9">
        <v>323</v>
      </c>
      <c r="X391" s="9" t="s">
        <v>28</v>
      </c>
      <c r="Z391">
        <v>409</v>
      </c>
      <c r="AA391" s="24">
        <v>6108.88</v>
      </c>
      <c r="AB391" t="s">
        <v>29</v>
      </c>
      <c r="AD391" s="20">
        <v>45854</v>
      </c>
    </row>
    <row r="392" spans="1:30">
      <c r="A392">
        <v>410</v>
      </c>
      <c r="B392" t="str">
        <f>_xlfn.XLOOKUP(A392,Z:Z,AB:AB,"not found")</f>
        <v>USD</v>
      </c>
      <c r="C392">
        <f>_xlfn.XLOOKUP(A392,Z:Z,AA:AA)-_xlfn.XLOOKUP(A392,Q:Q,R:R,"0")</f>
        <v>22318.95</v>
      </c>
      <c r="D392">
        <f>C392*_xlfn.XLOOKUP(B392,AG:AG,AH:AH)</f>
        <v>19194.296999999999</v>
      </c>
      <c r="E392">
        <f>C392*_xlfn.XLOOKUP(B392,AG:AG,AI:AI)</f>
        <v>22318.95</v>
      </c>
      <c r="F392">
        <v>22318.95</v>
      </c>
      <c r="G392">
        <f>F392*_xlfn.XLOOKUP(B392,AG:AG,AH:AH)</f>
        <v>19194.296999999999</v>
      </c>
      <c r="H392">
        <f>F392*_xlfn.XLOOKUP(B392,AG:AG,AI:AI)</f>
        <v>22318.95</v>
      </c>
      <c r="I392">
        <f t="shared" si="32"/>
        <v>0</v>
      </c>
      <c r="J392">
        <f>I392*_xlfn.XLOOKUP(B392,AG:AG,AI:AI)</f>
        <v>0</v>
      </c>
      <c r="K392" s="7">
        <f>_xlfn.XLOOKUP(A392,Z:Z,AD:AD)</f>
        <v>45864</v>
      </c>
      <c r="L392" s="7">
        <f t="shared" si="33"/>
        <v>45834</v>
      </c>
      <c r="M392">
        <f t="shared" si="34"/>
        <v>6</v>
      </c>
      <c r="N392">
        <f t="shared" si="35"/>
        <v>2025</v>
      </c>
      <c r="Q392" s="22">
        <v>628</v>
      </c>
      <c r="R392" s="22">
        <v>429</v>
      </c>
      <c r="S392" s="22" t="str">
        <f t="shared" si="36"/>
        <v>USD</v>
      </c>
      <c r="T392" s="22">
        <f>R392*_xlfn.XLOOKUP(S392,AG:AG,AI:AI)</f>
        <v>429</v>
      </c>
      <c r="U392" s="22" t="s">
        <v>26</v>
      </c>
      <c r="W392" s="9">
        <v>324</v>
      </c>
      <c r="X392" s="9" t="s">
        <v>28</v>
      </c>
      <c r="Z392">
        <v>410</v>
      </c>
      <c r="AA392" s="24">
        <v>22318.95</v>
      </c>
      <c r="AB392" t="s">
        <v>29</v>
      </c>
      <c r="AD392" s="20">
        <v>45864</v>
      </c>
    </row>
    <row r="393" spans="1:30">
      <c r="A393">
        <v>412</v>
      </c>
      <c r="B393" t="str">
        <f>_xlfn.XLOOKUP(A393,Z:Z,AB:AB,"not found")</f>
        <v>USD</v>
      </c>
      <c r="C393">
        <f>_xlfn.XLOOKUP(A393,Z:Z,AA:AA)-_xlfn.XLOOKUP(A393,Q:Q,R:R,"0")</f>
        <v>0</v>
      </c>
      <c r="D393">
        <f>C393*_xlfn.XLOOKUP(B393,AG:AG,AH:AH)</f>
        <v>0</v>
      </c>
      <c r="E393">
        <f>C393*_xlfn.XLOOKUP(B393,AG:AG,AI:AI)</f>
        <v>0</v>
      </c>
      <c r="F393">
        <v>2286.5</v>
      </c>
      <c r="G393">
        <f>F393*_xlfn.XLOOKUP(B393,AG:AG,AH:AH)</f>
        <v>1966.3899999999999</v>
      </c>
      <c r="H393">
        <f>F393*_xlfn.XLOOKUP(B393,AG:AG,AI:AI)</f>
        <v>2286.5</v>
      </c>
      <c r="I393">
        <f t="shared" si="32"/>
        <v>0</v>
      </c>
      <c r="J393">
        <f>I393*_xlfn.XLOOKUP(B393,AG:AG,AI:AI)</f>
        <v>0</v>
      </c>
      <c r="K393" s="7">
        <f>_xlfn.XLOOKUP(A393,Z:Z,AD:AD)</f>
        <v>45783</v>
      </c>
      <c r="L393" s="7">
        <f t="shared" si="33"/>
        <v>45753</v>
      </c>
      <c r="M393">
        <f t="shared" si="34"/>
        <v>4</v>
      </c>
      <c r="N393">
        <f t="shared" si="35"/>
        <v>2025</v>
      </c>
      <c r="Q393" s="22">
        <v>629</v>
      </c>
      <c r="R393" s="22">
        <v>87250.13</v>
      </c>
      <c r="S393" s="22" t="str">
        <f t="shared" si="36"/>
        <v>MXN</v>
      </c>
      <c r="T393" s="22">
        <f>R393*_xlfn.XLOOKUP(S393,AG:AG,AI:AI)</f>
        <v>4886.0072800000007</v>
      </c>
      <c r="U393" s="22" t="s">
        <v>26</v>
      </c>
      <c r="W393" s="9">
        <v>325</v>
      </c>
      <c r="X393" s="9" t="s">
        <v>28</v>
      </c>
      <c r="Z393">
        <v>411</v>
      </c>
      <c r="AA393" s="24">
        <v>4496.74</v>
      </c>
      <c r="AB393" t="s">
        <v>29</v>
      </c>
      <c r="AD393" s="20">
        <v>45825</v>
      </c>
    </row>
    <row r="394" spans="1:30">
      <c r="A394">
        <v>413</v>
      </c>
      <c r="B394" t="str">
        <f>_xlfn.XLOOKUP(A394,Z:Z,AB:AB,"not found")</f>
        <v>MXN</v>
      </c>
      <c r="C394">
        <f>_xlfn.XLOOKUP(A394,Z:Z,AA:AA)-_xlfn.XLOOKUP(A394,Q:Q,R:R,"0")</f>
        <v>20844</v>
      </c>
      <c r="D394">
        <f>C394*_xlfn.XLOOKUP(B394,AG:AG,AH:AH)</f>
        <v>1000.5120000000001</v>
      </c>
      <c r="E394">
        <f>C394*_xlfn.XLOOKUP(B394,AG:AG,AI:AI)</f>
        <v>1167.2640000000001</v>
      </c>
      <c r="F394">
        <v>20844</v>
      </c>
      <c r="G394">
        <f>F394*_xlfn.XLOOKUP(B394,AG:AG,AH:AH)</f>
        <v>1000.5120000000001</v>
      </c>
      <c r="H394">
        <f>F394*_xlfn.XLOOKUP(B394,AG:AG,AI:AI)</f>
        <v>1167.2640000000001</v>
      </c>
      <c r="I394">
        <f t="shared" si="32"/>
        <v>0</v>
      </c>
      <c r="J394">
        <f>I394*_xlfn.XLOOKUP(B394,AG:AG,AI:AI)</f>
        <v>0</v>
      </c>
      <c r="K394" s="7">
        <f>_xlfn.XLOOKUP(A394,Z:Z,AD:AD)</f>
        <v>45864</v>
      </c>
      <c r="L394" s="7">
        <f t="shared" si="33"/>
        <v>45834</v>
      </c>
      <c r="M394">
        <f t="shared" si="34"/>
        <v>6</v>
      </c>
      <c r="N394">
        <f t="shared" si="35"/>
        <v>2025</v>
      </c>
      <c r="Q394" s="22">
        <v>633</v>
      </c>
      <c r="R394" s="22">
        <v>3630</v>
      </c>
      <c r="S394" s="22" t="str">
        <f t="shared" si="36"/>
        <v>EUR</v>
      </c>
      <c r="T394" s="22">
        <f>R394*_xlfn.XLOOKUP(S394,AG:AG,AI:AI)</f>
        <v>4210.7999999999993</v>
      </c>
      <c r="U394" s="22" t="s">
        <v>26</v>
      </c>
      <c r="W394" s="9">
        <v>326</v>
      </c>
      <c r="X394" s="9" t="s">
        <v>27</v>
      </c>
      <c r="Z394">
        <v>412</v>
      </c>
      <c r="AA394" s="24">
        <v>2286.5</v>
      </c>
      <c r="AB394" t="s">
        <v>29</v>
      </c>
      <c r="AD394" s="20">
        <v>45783</v>
      </c>
    </row>
    <row r="395" spans="1:30">
      <c r="A395">
        <v>414</v>
      </c>
      <c r="B395" t="str">
        <f>_xlfn.XLOOKUP(A395,Z:Z,AB:AB,"not found")</f>
        <v>USD</v>
      </c>
      <c r="C395">
        <f>_xlfn.XLOOKUP(A395,Z:Z,AA:AA)-_xlfn.XLOOKUP(A395,Q:Q,R:R,"0")</f>
        <v>1743.1899999999996</v>
      </c>
      <c r="D395">
        <f>C395*_xlfn.XLOOKUP(B395,AG:AG,AH:AH)</f>
        <v>1499.1433999999997</v>
      </c>
      <c r="E395">
        <f>C395*_xlfn.XLOOKUP(B395,AG:AG,AI:AI)</f>
        <v>1743.1899999999996</v>
      </c>
      <c r="F395">
        <v>9567.48</v>
      </c>
      <c r="G395">
        <f>F395*_xlfn.XLOOKUP(B395,AG:AG,AH:AH)</f>
        <v>8228.032799999999</v>
      </c>
      <c r="H395">
        <f>F395*_xlfn.XLOOKUP(B395,AG:AG,AI:AI)</f>
        <v>9567.48</v>
      </c>
      <c r="I395">
        <f t="shared" si="32"/>
        <v>0</v>
      </c>
      <c r="J395">
        <f>I395*_xlfn.XLOOKUP(B395,AG:AG,AI:AI)</f>
        <v>0</v>
      </c>
      <c r="K395" s="7">
        <f>_xlfn.XLOOKUP(A395,Z:Z,AD:AD)</f>
        <v>45817</v>
      </c>
      <c r="L395" s="7">
        <f t="shared" si="33"/>
        <v>45787</v>
      </c>
      <c r="M395">
        <f t="shared" si="34"/>
        <v>5</v>
      </c>
      <c r="N395">
        <f t="shared" si="35"/>
        <v>2025</v>
      </c>
      <c r="Q395" s="22">
        <v>634</v>
      </c>
      <c r="R395" s="22">
        <v>3528</v>
      </c>
      <c r="S395" s="22" t="str">
        <f t="shared" si="36"/>
        <v>EUR</v>
      </c>
      <c r="T395" s="22">
        <f>R395*_xlfn.XLOOKUP(S395,AG:AG,AI:AI)</f>
        <v>4092.4799999999996</v>
      </c>
      <c r="U395" s="22" t="s">
        <v>26</v>
      </c>
      <c r="W395" s="9">
        <v>327</v>
      </c>
      <c r="X395" s="9" t="s">
        <v>29</v>
      </c>
      <c r="Z395">
        <v>413</v>
      </c>
      <c r="AA395" s="24">
        <v>20844</v>
      </c>
      <c r="AB395" t="s">
        <v>28</v>
      </c>
      <c r="AD395" s="20">
        <v>45864</v>
      </c>
    </row>
    <row r="396" spans="1:30">
      <c r="A396">
        <v>416</v>
      </c>
      <c r="B396" t="str">
        <f>_xlfn.XLOOKUP(A396,Z:Z,AB:AB,"not found")</f>
        <v>MXN</v>
      </c>
      <c r="C396">
        <f>_xlfn.XLOOKUP(A396,Z:Z,AA:AA)-_xlfn.XLOOKUP(A396,Q:Q,R:R,"0")</f>
        <v>141785.25999999995</v>
      </c>
      <c r="D396">
        <f>C396*_xlfn.XLOOKUP(B396,AG:AG,AH:AH)</f>
        <v>6805.6924799999979</v>
      </c>
      <c r="E396">
        <f>C396*_xlfn.XLOOKUP(B396,AG:AG,AI:AI)</f>
        <v>7939.9745599999978</v>
      </c>
      <c r="F396">
        <v>472374.18</v>
      </c>
      <c r="G396">
        <f>F396*_xlfn.XLOOKUP(B396,AG:AG,AH:AH)</f>
        <v>22673.960640000001</v>
      </c>
      <c r="H396">
        <f>F396*_xlfn.XLOOKUP(B396,AG:AG,AI:AI)</f>
        <v>26452.95408</v>
      </c>
      <c r="I396">
        <f t="shared" si="32"/>
        <v>0</v>
      </c>
      <c r="J396">
        <f>I396*_xlfn.XLOOKUP(B396,AG:AG,AI:AI)</f>
        <v>0</v>
      </c>
      <c r="K396" s="7">
        <f>_xlfn.XLOOKUP(A396,Z:Z,AD:AD)</f>
        <v>45879</v>
      </c>
      <c r="L396" s="7">
        <f t="shared" si="33"/>
        <v>45849</v>
      </c>
      <c r="M396">
        <f t="shared" si="34"/>
        <v>7</v>
      </c>
      <c r="N396">
        <f t="shared" si="35"/>
        <v>2025</v>
      </c>
      <c r="Q396" s="22">
        <v>635</v>
      </c>
      <c r="R396" s="22">
        <v>5000</v>
      </c>
      <c r="S396" s="22" t="str">
        <f t="shared" si="36"/>
        <v>GPB</v>
      </c>
      <c r="T396" s="22">
        <f>R396*_xlfn.XLOOKUP(S396,AG:AG,AI:AI)</f>
        <v>6700</v>
      </c>
      <c r="U396" s="22" t="s">
        <v>26</v>
      </c>
      <c r="W396" s="9">
        <v>329</v>
      </c>
      <c r="X396" s="9" t="s">
        <v>28</v>
      </c>
      <c r="Z396">
        <v>414</v>
      </c>
      <c r="AA396" s="24">
        <v>9567.48</v>
      </c>
      <c r="AB396" t="s">
        <v>29</v>
      </c>
      <c r="AD396" s="20">
        <v>45817</v>
      </c>
    </row>
    <row r="397" spans="1:30">
      <c r="A397">
        <v>417</v>
      </c>
      <c r="B397" t="str">
        <f>_xlfn.XLOOKUP(A397,Z:Z,AB:AB,"not found")</f>
        <v>USD</v>
      </c>
      <c r="C397">
        <f>_xlfn.XLOOKUP(A397,Z:Z,AA:AA)-_xlfn.XLOOKUP(A397,Q:Q,R:R,"0")</f>
        <v>7962.9</v>
      </c>
      <c r="D397">
        <f>C397*_xlfn.XLOOKUP(B397,AG:AG,AH:AH)</f>
        <v>6848.0939999999991</v>
      </c>
      <c r="E397">
        <f>C397*_xlfn.XLOOKUP(B397,AG:AG,AI:AI)</f>
        <v>7962.9</v>
      </c>
      <c r="F397">
        <v>7962.9</v>
      </c>
      <c r="G397">
        <f>F397*_xlfn.XLOOKUP(B397,AG:AG,AH:AH)</f>
        <v>6848.0939999999991</v>
      </c>
      <c r="H397">
        <f>F397*_xlfn.XLOOKUP(B397,AG:AG,AI:AI)</f>
        <v>7962.9</v>
      </c>
      <c r="I397">
        <f t="shared" si="32"/>
        <v>0</v>
      </c>
      <c r="J397">
        <f>I397*_xlfn.XLOOKUP(B397,AG:AG,AI:AI)</f>
        <v>0</v>
      </c>
      <c r="K397" s="7">
        <f>_xlfn.XLOOKUP(A397,Z:Z,AD:AD)</f>
        <v>45873</v>
      </c>
      <c r="L397" s="7">
        <f t="shared" si="33"/>
        <v>45843</v>
      </c>
      <c r="M397">
        <f t="shared" si="34"/>
        <v>7</v>
      </c>
      <c r="N397">
        <f t="shared" si="35"/>
        <v>2025</v>
      </c>
      <c r="Q397" s="22">
        <v>636</v>
      </c>
      <c r="R397" s="22">
        <v>1221</v>
      </c>
      <c r="S397" s="22" t="str">
        <f t="shared" si="36"/>
        <v>EUR</v>
      </c>
      <c r="T397" s="22">
        <f>R397*_xlfn.XLOOKUP(S397,AG:AG,AI:AI)</f>
        <v>1416.36</v>
      </c>
      <c r="U397" s="22" t="s">
        <v>26</v>
      </c>
      <c r="W397" s="9">
        <v>337</v>
      </c>
      <c r="X397" s="9" t="s">
        <v>29</v>
      </c>
      <c r="Z397">
        <v>416</v>
      </c>
      <c r="AA397" s="24">
        <v>472374.18</v>
      </c>
      <c r="AB397" t="s">
        <v>28</v>
      </c>
      <c r="AD397" s="20">
        <v>45879</v>
      </c>
    </row>
    <row r="398" spans="1:30">
      <c r="A398">
        <v>418</v>
      </c>
      <c r="B398" t="str">
        <f>_xlfn.XLOOKUP(A398,Z:Z,AB:AB,"not found")</f>
        <v>JPY</v>
      </c>
      <c r="C398">
        <f>_xlfn.XLOOKUP(A398,Z:Z,AA:AA)-_xlfn.XLOOKUP(A398,Q:Q,R:R,"0")</f>
        <v>19834659.010000002</v>
      </c>
      <c r="D398">
        <f>C398*_xlfn.XLOOKUP(B398,AG:AG,AH:AH)</f>
        <v>109090.624555</v>
      </c>
      <c r="E398">
        <f>C398*_xlfn.XLOOKUP(B398,AG:AG,AI:AI)</f>
        <v>126941.81766400002</v>
      </c>
      <c r="F398">
        <v>19834659</v>
      </c>
      <c r="G398">
        <f>F398*_xlfn.XLOOKUP(B398,AG:AG,AH:AH)</f>
        <v>109090.62449999999</v>
      </c>
      <c r="H398">
        <f>F398*_xlfn.XLOOKUP(B398,AG:AG,AI:AI)</f>
        <v>126941.81760000001</v>
      </c>
      <c r="I398">
        <f t="shared" si="32"/>
        <v>1.0000001639127731E-2</v>
      </c>
      <c r="J398">
        <f>I398*_xlfn.XLOOKUP(B398,AG:AG,AI:AI)</f>
        <v>6.4000010490417478E-5</v>
      </c>
      <c r="K398" s="7">
        <f>_xlfn.XLOOKUP(A398,Z:Z,AD:AD)</f>
        <v>45877</v>
      </c>
      <c r="L398" s="7">
        <f t="shared" si="33"/>
        <v>45847</v>
      </c>
      <c r="M398">
        <f t="shared" si="34"/>
        <v>7</v>
      </c>
      <c r="N398">
        <f t="shared" si="35"/>
        <v>2025</v>
      </c>
      <c r="Q398" s="22">
        <v>637</v>
      </c>
      <c r="R398" s="22">
        <v>1158.04</v>
      </c>
      <c r="S398" s="22" t="str">
        <f t="shared" si="36"/>
        <v>EUR</v>
      </c>
      <c r="T398" s="22">
        <f>R398*_xlfn.XLOOKUP(S398,AG:AG,AI:AI)</f>
        <v>1343.3263999999999</v>
      </c>
      <c r="U398" s="22" t="s">
        <v>26</v>
      </c>
      <c r="W398" s="9">
        <v>340</v>
      </c>
      <c r="X398" s="9" t="s">
        <v>29</v>
      </c>
      <c r="Z398">
        <v>417</v>
      </c>
      <c r="AA398" s="24">
        <v>7962.9</v>
      </c>
      <c r="AB398" t="s">
        <v>29</v>
      </c>
      <c r="AD398" s="20">
        <v>45873</v>
      </c>
    </row>
    <row r="399" spans="1:30">
      <c r="A399">
        <v>419</v>
      </c>
      <c r="B399" t="str">
        <f>_xlfn.XLOOKUP(A399,Z:Z,AB:AB,"not found")</f>
        <v>USD</v>
      </c>
      <c r="C399">
        <f>_xlfn.XLOOKUP(A399,Z:Z,AA:AA)-_xlfn.XLOOKUP(A399,Q:Q,R:R,"0")</f>
        <v>2994.0200000000004</v>
      </c>
      <c r="D399">
        <f>C399*_xlfn.XLOOKUP(B399,AG:AG,AH:AH)</f>
        <v>2574.8572000000004</v>
      </c>
      <c r="E399">
        <f>C399*_xlfn.XLOOKUP(B399,AG:AG,AI:AI)</f>
        <v>2994.0200000000004</v>
      </c>
      <c r="F399">
        <v>8420.02</v>
      </c>
      <c r="G399">
        <f>F399*_xlfn.XLOOKUP(B399,AG:AG,AH:AH)</f>
        <v>7241.2172</v>
      </c>
      <c r="H399">
        <f>F399*_xlfn.XLOOKUP(B399,AG:AG,AI:AI)</f>
        <v>8420.02</v>
      </c>
      <c r="I399">
        <f t="shared" si="32"/>
        <v>0</v>
      </c>
      <c r="J399">
        <f>I399*_xlfn.XLOOKUP(B399,AG:AG,AI:AI)</f>
        <v>0</v>
      </c>
      <c r="K399" s="7">
        <f>_xlfn.XLOOKUP(A399,Z:Z,AD:AD)</f>
        <v>45828</v>
      </c>
      <c r="L399" s="7">
        <f t="shared" si="33"/>
        <v>45798</v>
      </c>
      <c r="M399">
        <f t="shared" si="34"/>
        <v>5</v>
      </c>
      <c r="N399">
        <f t="shared" si="35"/>
        <v>2025</v>
      </c>
      <c r="Q399" s="22">
        <v>638</v>
      </c>
      <c r="R399" s="22">
        <v>9570</v>
      </c>
      <c r="S399" s="22" t="str">
        <f t="shared" si="36"/>
        <v>EUR</v>
      </c>
      <c r="T399" s="22">
        <f>R399*_xlfn.XLOOKUP(S399,AG:AG,AI:AI)</f>
        <v>11101.199999999999</v>
      </c>
      <c r="U399" s="22" t="s">
        <v>26</v>
      </c>
      <c r="W399" s="9">
        <v>340</v>
      </c>
      <c r="X399" s="9" t="s">
        <v>29</v>
      </c>
      <c r="Z399">
        <v>418</v>
      </c>
      <c r="AA399" s="24">
        <v>19834659.010000002</v>
      </c>
      <c r="AB399" t="s">
        <v>33</v>
      </c>
      <c r="AD399" s="20">
        <v>45877</v>
      </c>
    </row>
    <row r="400" spans="1:30">
      <c r="A400">
        <v>420</v>
      </c>
      <c r="B400" t="str">
        <f>_xlfn.XLOOKUP(A400,Z:Z,AB:AB,"not found")</f>
        <v>USD</v>
      </c>
      <c r="C400">
        <f>_xlfn.XLOOKUP(A400,Z:Z,AA:AA)-_xlfn.XLOOKUP(A400,Q:Q,R:R,"0")</f>
        <v>0</v>
      </c>
      <c r="D400">
        <f>C400*_xlfn.XLOOKUP(B400,AG:AG,AH:AH)</f>
        <v>0</v>
      </c>
      <c r="E400">
        <f>C400*_xlfn.XLOOKUP(B400,AG:AG,AI:AI)</f>
        <v>0</v>
      </c>
      <c r="F400">
        <v>3600</v>
      </c>
      <c r="G400">
        <f>F400*_xlfn.XLOOKUP(B400,AG:AG,AH:AH)</f>
        <v>3096</v>
      </c>
      <c r="H400">
        <f>F400*_xlfn.XLOOKUP(B400,AG:AG,AI:AI)</f>
        <v>3600</v>
      </c>
      <c r="I400">
        <f t="shared" si="32"/>
        <v>0</v>
      </c>
      <c r="J400">
        <f>I400*_xlfn.XLOOKUP(B400,AG:AG,AI:AI)</f>
        <v>0</v>
      </c>
      <c r="K400" s="7">
        <f>_xlfn.XLOOKUP(A400,Z:Z,AD:AD)</f>
        <v>45938</v>
      </c>
      <c r="L400" s="7">
        <f t="shared" si="33"/>
        <v>45908</v>
      </c>
      <c r="M400">
        <f t="shared" si="34"/>
        <v>9</v>
      </c>
      <c r="N400">
        <f t="shared" si="35"/>
        <v>2025</v>
      </c>
      <c r="Q400" s="22">
        <v>640</v>
      </c>
      <c r="R400" s="22">
        <v>200</v>
      </c>
      <c r="S400" s="22" t="str">
        <f t="shared" si="36"/>
        <v>EUR</v>
      </c>
      <c r="T400" s="22">
        <f>R400*_xlfn.XLOOKUP(S400,AG:AG,AI:AI)</f>
        <v>231.99999999999997</v>
      </c>
      <c r="U400" s="22" t="s">
        <v>26</v>
      </c>
      <c r="W400" s="9">
        <v>342</v>
      </c>
      <c r="X400" s="9" t="s">
        <v>28</v>
      </c>
      <c r="Z400">
        <v>419</v>
      </c>
      <c r="AA400" s="24">
        <v>8420.02</v>
      </c>
      <c r="AB400" t="s">
        <v>29</v>
      </c>
      <c r="AD400" s="20">
        <v>45828</v>
      </c>
    </row>
    <row r="401" spans="1:30">
      <c r="A401">
        <v>421</v>
      </c>
      <c r="B401" t="str">
        <f>_xlfn.XLOOKUP(A401,Z:Z,AB:AB,"not found")</f>
        <v>USD</v>
      </c>
      <c r="C401">
        <f>_xlfn.XLOOKUP(A401,Z:Z,AA:AA)-_xlfn.XLOOKUP(A401,Q:Q,R:R,"0")</f>
        <v>17177.490000000002</v>
      </c>
      <c r="D401">
        <f>C401*_xlfn.XLOOKUP(B401,AG:AG,AH:AH)</f>
        <v>14772.6414</v>
      </c>
      <c r="E401">
        <f>C401*_xlfn.XLOOKUP(B401,AG:AG,AI:AI)</f>
        <v>17177.490000000002</v>
      </c>
      <c r="F401">
        <v>17177.490000000002</v>
      </c>
      <c r="G401">
        <f>F401*_xlfn.XLOOKUP(B401,AG:AG,AH:AH)</f>
        <v>14772.6414</v>
      </c>
      <c r="H401">
        <f>F401*_xlfn.XLOOKUP(B401,AG:AG,AI:AI)</f>
        <v>17177.490000000002</v>
      </c>
      <c r="I401">
        <f t="shared" si="32"/>
        <v>0</v>
      </c>
      <c r="J401">
        <f>I401*_xlfn.XLOOKUP(B401,AG:AG,AI:AI)</f>
        <v>0</v>
      </c>
      <c r="K401" s="7">
        <f>_xlfn.XLOOKUP(A401,Z:Z,AD:AD)</f>
        <v>45861</v>
      </c>
      <c r="L401" s="7">
        <f t="shared" si="33"/>
        <v>45831</v>
      </c>
      <c r="M401">
        <f t="shared" si="34"/>
        <v>6</v>
      </c>
      <c r="N401">
        <f t="shared" si="35"/>
        <v>2025</v>
      </c>
      <c r="Q401" s="22">
        <v>642</v>
      </c>
      <c r="R401" s="22">
        <v>7395</v>
      </c>
      <c r="S401" s="22" t="str">
        <f t="shared" si="36"/>
        <v>EUR</v>
      </c>
      <c r="T401" s="22">
        <f>R401*_xlfn.XLOOKUP(S401,AG:AG,AI:AI)</f>
        <v>8578.1999999999989</v>
      </c>
      <c r="U401" s="22" t="s">
        <v>26</v>
      </c>
      <c r="W401" s="9">
        <v>342</v>
      </c>
      <c r="X401" s="9" t="s">
        <v>28</v>
      </c>
      <c r="Z401">
        <v>420</v>
      </c>
      <c r="AA401" s="24">
        <v>3600</v>
      </c>
      <c r="AB401" t="s">
        <v>29</v>
      </c>
      <c r="AD401" s="20">
        <v>45938</v>
      </c>
    </row>
    <row r="402" spans="1:30">
      <c r="A402">
        <v>422</v>
      </c>
      <c r="B402" t="str">
        <f>_xlfn.XLOOKUP(A402,Z:Z,AB:AB,"not found")</f>
        <v>EUR</v>
      </c>
      <c r="C402">
        <f>_xlfn.XLOOKUP(A402,Z:Z,AA:AA)-_xlfn.XLOOKUP(A402,Q:Q,R:R,"0")</f>
        <v>0</v>
      </c>
      <c r="D402">
        <f>C402*_xlfn.XLOOKUP(B402,AG:AG,AH:AH)</f>
        <v>0</v>
      </c>
      <c r="E402">
        <f>C402*_xlfn.XLOOKUP(B402,AG:AG,AI:AI)</f>
        <v>0</v>
      </c>
      <c r="F402">
        <v>1788.96</v>
      </c>
      <c r="G402">
        <f>F402*_xlfn.XLOOKUP(B402,AG:AG,AH:AH)</f>
        <v>1788.96</v>
      </c>
      <c r="H402">
        <f>F402*_xlfn.XLOOKUP(B402,AG:AG,AI:AI)</f>
        <v>2075.1936000000001</v>
      </c>
      <c r="I402">
        <f t="shared" si="32"/>
        <v>0</v>
      </c>
      <c r="J402">
        <f>I402*_xlfn.XLOOKUP(B402,AG:AG,AI:AI)</f>
        <v>0</v>
      </c>
      <c r="K402" s="7">
        <f>_xlfn.XLOOKUP(A402,Z:Z,AD:AD)</f>
        <v>45840</v>
      </c>
      <c r="L402" s="7">
        <f t="shared" si="33"/>
        <v>45810</v>
      </c>
      <c r="M402">
        <f t="shared" si="34"/>
        <v>6</v>
      </c>
      <c r="N402">
        <f t="shared" si="35"/>
        <v>2025</v>
      </c>
      <c r="Q402" s="22">
        <v>643</v>
      </c>
      <c r="R402" s="22">
        <v>1320000</v>
      </c>
      <c r="S402" s="22" t="str">
        <f t="shared" si="36"/>
        <v>JPY</v>
      </c>
      <c r="T402" s="22">
        <f>R402*_xlfn.XLOOKUP(S402,AG:AG,AI:AI)</f>
        <v>8448</v>
      </c>
      <c r="U402" s="22" t="s">
        <v>26</v>
      </c>
      <c r="W402" s="9">
        <v>345</v>
      </c>
      <c r="X402" s="9" t="s">
        <v>27</v>
      </c>
      <c r="Z402">
        <v>421</v>
      </c>
      <c r="AA402" s="24">
        <v>17177.490000000002</v>
      </c>
      <c r="AB402" t="s">
        <v>29</v>
      </c>
      <c r="AD402" s="20">
        <v>45861</v>
      </c>
    </row>
    <row r="403" spans="1:30">
      <c r="A403">
        <v>423</v>
      </c>
      <c r="B403" t="str">
        <f>_xlfn.XLOOKUP(A403,Z:Z,AB:AB,"not found")</f>
        <v>USD</v>
      </c>
      <c r="C403">
        <f>_xlfn.XLOOKUP(A403,Z:Z,AA:AA)-_xlfn.XLOOKUP(A403,Q:Q,R:R,"0")</f>
        <v>3657.6</v>
      </c>
      <c r="D403">
        <f>C403*_xlfn.XLOOKUP(B403,AG:AG,AH:AH)</f>
        <v>3145.5360000000001</v>
      </c>
      <c r="E403">
        <f>C403*_xlfn.XLOOKUP(B403,AG:AG,AI:AI)</f>
        <v>3657.6</v>
      </c>
      <c r="F403">
        <v>3657.6</v>
      </c>
      <c r="G403">
        <f>F403*_xlfn.XLOOKUP(B403,AG:AG,AH:AH)</f>
        <v>3145.5360000000001</v>
      </c>
      <c r="H403">
        <f>F403*_xlfn.XLOOKUP(B403,AG:AG,AI:AI)</f>
        <v>3657.6</v>
      </c>
      <c r="I403">
        <f t="shared" si="32"/>
        <v>0</v>
      </c>
      <c r="J403">
        <f>I403*_xlfn.XLOOKUP(B403,AG:AG,AI:AI)</f>
        <v>0</v>
      </c>
      <c r="K403" s="7">
        <f>_xlfn.XLOOKUP(A403,Z:Z,AD:AD)</f>
        <v>45847</v>
      </c>
      <c r="L403" s="7">
        <f t="shared" si="33"/>
        <v>45817</v>
      </c>
      <c r="M403">
        <f t="shared" si="34"/>
        <v>6</v>
      </c>
      <c r="N403">
        <f t="shared" si="35"/>
        <v>2025</v>
      </c>
      <c r="Q403" s="22">
        <v>644</v>
      </c>
      <c r="R403" s="22">
        <v>3017.44</v>
      </c>
      <c r="S403" s="22" t="str">
        <f t="shared" si="36"/>
        <v>USD</v>
      </c>
      <c r="T403" s="22">
        <f>R403*_xlfn.XLOOKUP(S403,AG:AG,AI:AI)</f>
        <v>3017.44</v>
      </c>
      <c r="U403" s="22" t="s">
        <v>26</v>
      </c>
      <c r="W403" s="9">
        <v>346</v>
      </c>
      <c r="X403" s="9" t="s">
        <v>29</v>
      </c>
      <c r="Z403">
        <v>422</v>
      </c>
      <c r="AA403" s="24">
        <v>1788.96</v>
      </c>
      <c r="AB403" t="s">
        <v>27</v>
      </c>
      <c r="AD403" s="20">
        <v>45840</v>
      </c>
    </row>
    <row r="404" spans="1:30">
      <c r="A404">
        <v>424</v>
      </c>
      <c r="B404" t="str">
        <f>_xlfn.XLOOKUP(A404,Z:Z,AB:AB,"not found")</f>
        <v>EUR</v>
      </c>
      <c r="C404">
        <f>_xlfn.XLOOKUP(A404,Z:Z,AA:AA)-_xlfn.XLOOKUP(A404,Q:Q,R:R,"0")</f>
        <v>0</v>
      </c>
      <c r="D404">
        <f>C404*_xlfn.XLOOKUP(B404,AG:AG,AH:AH)</f>
        <v>0</v>
      </c>
      <c r="E404">
        <f>C404*_xlfn.XLOOKUP(B404,AG:AG,AI:AI)</f>
        <v>0</v>
      </c>
      <c r="F404">
        <v>130395.5</v>
      </c>
      <c r="G404">
        <f>F404*_xlfn.XLOOKUP(B404,AG:AG,AH:AH)</f>
        <v>130395.5</v>
      </c>
      <c r="H404">
        <f>F404*_xlfn.XLOOKUP(B404,AG:AG,AI:AI)</f>
        <v>151258.78</v>
      </c>
      <c r="I404">
        <f t="shared" si="32"/>
        <v>0</v>
      </c>
      <c r="J404">
        <f>I404*_xlfn.XLOOKUP(B404,AG:AG,AI:AI)</f>
        <v>0</v>
      </c>
      <c r="K404" s="7">
        <f>_xlfn.XLOOKUP(A404,Z:Z,AD:AD)</f>
        <v>45897</v>
      </c>
      <c r="L404" s="7">
        <f t="shared" si="33"/>
        <v>45867</v>
      </c>
      <c r="M404">
        <f t="shared" si="34"/>
        <v>7</v>
      </c>
      <c r="N404">
        <f t="shared" si="35"/>
        <v>2025</v>
      </c>
      <c r="Q404" s="22">
        <v>645</v>
      </c>
      <c r="R404" s="22">
        <v>2566.4</v>
      </c>
      <c r="S404" s="22" t="str">
        <f t="shared" si="36"/>
        <v>USD</v>
      </c>
      <c r="T404" s="22">
        <f>R404*_xlfn.XLOOKUP(S404,AG:AG,AI:AI)</f>
        <v>2566.4</v>
      </c>
      <c r="U404" s="22" t="s">
        <v>26</v>
      </c>
      <c r="W404" s="9">
        <v>348</v>
      </c>
      <c r="X404" s="9" t="s">
        <v>29</v>
      </c>
      <c r="Z404">
        <v>423</v>
      </c>
      <c r="AA404" s="24">
        <v>3657.6</v>
      </c>
      <c r="AB404" t="s">
        <v>29</v>
      </c>
      <c r="AD404" s="20">
        <v>45847</v>
      </c>
    </row>
    <row r="405" spans="1:30">
      <c r="A405">
        <v>425</v>
      </c>
      <c r="B405" t="str">
        <f>_xlfn.XLOOKUP(A405,Z:Z,AB:AB,"not found")</f>
        <v>USD</v>
      </c>
      <c r="C405">
        <f>_xlfn.XLOOKUP(A405,Z:Z,AA:AA)-_xlfn.XLOOKUP(A405,Q:Q,R:R,"0")</f>
        <v>61349.78</v>
      </c>
      <c r="D405">
        <f>C405*_xlfn.XLOOKUP(B405,AG:AG,AH:AH)</f>
        <v>52760.810799999999</v>
      </c>
      <c r="E405">
        <f>C405*_xlfn.XLOOKUP(B405,AG:AG,AI:AI)</f>
        <v>61349.78</v>
      </c>
      <c r="F405">
        <v>61349.78</v>
      </c>
      <c r="G405">
        <f>F405*_xlfn.XLOOKUP(B405,AG:AG,AH:AH)</f>
        <v>52760.810799999999</v>
      </c>
      <c r="H405">
        <f>F405*_xlfn.XLOOKUP(B405,AG:AG,AI:AI)</f>
        <v>61349.78</v>
      </c>
      <c r="I405">
        <f t="shared" si="32"/>
        <v>0</v>
      </c>
      <c r="J405">
        <f>I405*_xlfn.XLOOKUP(B405,AG:AG,AI:AI)</f>
        <v>0</v>
      </c>
      <c r="K405" s="7">
        <f>_xlfn.XLOOKUP(A405,Z:Z,AD:AD)</f>
        <v>45943</v>
      </c>
      <c r="L405" s="7">
        <f t="shared" si="33"/>
        <v>45913</v>
      </c>
      <c r="M405">
        <f t="shared" si="34"/>
        <v>9</v>
      </c>
      <c r="N405">
        <f t="shared" si="35"/>
        <v>2025</v>
      </c>
      <c r="Q405" s="22">
        <v>646</v>
      </c>
      <c r="R405" s="22">
        <v>1515.02</v>
      </c>
      <c r="S405" s="22" t="str">
        <f t="shared" si="36"/>
        <v>USD</v>
      </c>
      <c r="T405" s="22">
        <f>R405*_xlfn.XLOOKUP(S405,AG:AG,AI:AI)</f>
        <v>1515.02</v>
      </c>
      <c r="U405" s="22" t="s">
        <v>26</v>
      </c>
      <c r="W405" s="9">
        <v>350</v>
      </c>
      <c r="X405" s="9" t="s">
        <v>29</v>
      </c>
      <c r="Z405">
        <v>424</v>
      </c>
      <c r="AA405" s="24">
        <v>130395.5</v>
      </c>
      <c r="AB405" t="s">
        <v>27</v>
      </c>
      <c r="AD405" s="20">
        <v>45897</v>
      </c>
    </row>
    <row r="406" spans="1:30">
      <c r="A406">
        <v>426</v>
      </c>
      <c r="B406" t="str">
        <f>_xlfn.XLOOKUP(A406,Z:Z,AB:AB,"not found")</f>
        <v>MXN</v>
      </c>
      <c r="C406">
        <f>_xlfn.XLOOKUP(A406,Z:Z,AA:AA)-_xlfn.XLOOKUP(A406,Q:Q,R:R,"0")</f>
        <v>21429.46</v>
      </c>
      <c r="D406">
        <f>C406*_xlfn.XLOOKUP(B406,AG:AG,AH:AH)</f>
        <v>1028.6140800000001</v>
      </c>
      <c r="E406">
        <f>C406*_xlfn.XLOOKUP(B406,AG:AG,AI:AI)</f>
        <v>1200.0497599999999</v>
      </c>
      <c r="F406">
        <v>21429.46</v>
      </c>
      <c r="G406">
        <f>F406*_xlfn.XLOOKUP(B406,AG:AG,AH:AH)</f>
        <v>1028.6140800000001</v>
      </c>
      <c r="H406">
        <f>F406*_xlfn.XLOOKUP(B406,AG:AG,AI:AI)</f>
        <v>1200.0497599999999</v>
      </c>
      <c r="I406">
        <f t="shared" si="32"/>
        <v>0</v>
      </c>
      <c r="J406">
        <f>I406*_xlfn.XLOOKUP(B406,AG:AG,AI:AI)</f>
        <v>0</v>
      </c>
      <c r="K406" s="7">
        <f>_xlfn.XLOOKUP(A406,Z:Z,AD:AD)</f>
        <v>45828</v>
      </c>
      <c r="L406" s="7">
        <f t="shared" si="33"/>
        <v>45798</v>
      </c>
      <c r="M406">
        <f t="shared" si="34"/>
        <v>5</v>
      </c>
      <c r="N406">
        <f t="shared" si="35"/>
        <v>2025</v>
      </c>
      <c r="Q406" s="22">
        <v>647</v>
      </c>
      <c r="R406" s="22">
        <v>1200</v>
      </c>
      <c r="S406" s="22" t="str">
        <f t="shared" si="36"/>
        <v>USD</v>
      </c>
      <c r="T406" s="22">
        <f>R406*_xlfn.XLOOKUP(S406,AG:AG,AI:AI)</f>
        <v>1200</v>
      </c>
      <c r="U406" s="22" t="s">
        <v>26</v>
      </c>
      <c r="W406" s="9">
        <v>350</v>
      </c>
      <c r="X406" s="9" t="s">
        <v>29</v>
      </c>
      <c r="Z406">
        <v>425</v>
      </c>
      <c r="AA406" s="24">
        <v>61349.78</v>
      </c>
      <c r="AB406" t="s">
        <v>29</v>
      </c>
      <c r="AD406" s="20">
        <v>45943</v>
      </c>
    </row>
    <row r="407" spans="1:30">
      <c r="A407">
        <v>427</v>
      </c>
      <c r="B407" t="str">
        <f>_xlfn.XLOOKUP(A407,Z:Z,AB:AB,"not found")</f>
        <v>USD</v>
      </c>
      <c r="C407">
        <f>_xlfn.XLOOKUP(A407,Z:Z,AA:AA)-_xlfn.XLOOKUP(A407,Q:Q,R:R,"0")</f>
        <v>-12686.16</v>
      </c>
      <c r="D407">
        <f>C407*_xlfn.XLOOKUP(B407,AG:AG,AH:AH)</f>
        <v>-10910.097599999999</v>
      </c>
      <c r="E407">
        <f>C407*_xlfn.XLOOKUP(B407,AG:AG,AI:AI)</f>
        <v>-12686.16</v>
      </c>
      <c r="F407">
        <v>14625.36</v>
      </c>
      <c r="G407">
        <f>F407*_xlfn.XLOOKUP(B407,AG:AG,AH:AH)</f>
        <v>12577.809600000001</v>
      </c>
      <c r="H407">
        <f>F407*_xlfn.XLOOKUP(B407,AG:AG,AI:AI)</f>
        <v>14625.36</v>
      </c>
      <c r="I407">
        <f t="shared" si="32"/>
        <v>0</v>
      </c>
      <c r="J407">
        <f>I407*_xlfn.XLOOKUP(B407,AG:AG,AI:AI)</f>
        <v>0</v>
      </c>
      <c r="K407" s="7">
        <f>_xlfn.XLOOKUP(A407,Z:Z,AD:AD)</f>
        <v>45667</v>
      </c>
      <c r="L407" s="7">
        <f t="shared" si="33"/>
        <v>45637</v>
      </c>
      <c r="M407">
        <f t="shared" si="34"/>
        <v>12</v>
      </c>
      <c r="N407">
        <f t="shared" si="35"/>
        <v>2024</v>
      </c>
      <c r="Q407" s="22">
        <v>648</v>
      </c>
      <c r="R407" s="22">
        <v>3120143</v>
      </c>
      <c r="S407" s="22" t="str">
        <f t="shared" si="36"/>
        <v>JPY</v>
      </c>
      <c r="T407" s="22">
        <f>R407*_xlfn.XLOOKUP(S407,AG:AG,AI:AI)</f>
        <v>19968.915199999999</v>
      </c>
      <c r="U407" s="22" t="s">
        <v>26</v>
      </c>
      <c r="W407" s="9">
        <v>352</v>
      </c>
      <c r="X407" s="9" t="s">
        <v>29</v>
      </c>
      <c r="Z407">
        <v>426</v>
      </c>
      <c r="AA407" s="24">
        <v>21429.46</v>
      </c>
      <c r="AB407" t="s">
        <v>28</v>
      </c>
      <c r="AD407" s="20">
        <v>45828</v>
      </c>
    </row>
    <row r="408" spans="1:30">
      <c r="A408">
        <v>428</v>
      </c>
      <c r="B408" t="str">
        <f>_xlfn.XLOOKUP(A408,Z:Z,AB:AB,"not found")</f>
        <v>EUR</v>
      </c>
      <c r="C408">
        <f>_xlfn.XLOOKUP(A408,Z:Z,AA:AA)-_xlfn.XLOOKUP(A408,Q:Q,R:R,"0")</f>
        <v>8148.03</v>
      </c>
      <c r="D408">
        <f>C408*_xlfn.XLOOKUP(B408,AG:AG,AH:AH)</f>
        <v>8148.03</v>
      </c>
      <c r="E408">
        <f>C408*_xlfn.XLOOKUP(B408,AG:AG,AI:AI)</f>
        <v>9451.7147999999997</v>
      </c>
      <c r="F408">
        <v>8785.9699999999993</v>
      </c>
      <c r="G408">
        <f>F408*_xlfn.XLOOKUP(B408,AG:AG,AH:AH)</f>
        <v>8785.9699999999993</v>
      </c>
      <c r="H408">
        <f>F408*_xlfn.XLOOKUP(B408,AG:AG,AI:AI)</f>
        <v>10191.725199999999</v>
      </c>
      <c r="I408">
        <f t="shared" si="32"/>
        <v>2.0000000000436557E-2</v>
      </c>
      <c r="J408">
        <f>I408*_xlfn.XLOOKUP(B408,AG:AG,AI:AI)</f>
        <v>2.3200000000506406E-2</v>
      </c>
      <c r="K408" s="7">
        <f>_xlfn.XLOOKUP(A408,Z:Z,AD:AD)</f>
        <v>45928</v>
      </c>
      <c r="L408" s="7">
        <f t="shared" si="33"/>
        <v>45898</v>
      </c>
      <c r="M408">
        <f t="shared" si="34"/>
        <v>8</v>
      </c>
      <c r="N408">
        <f t="shared" si="35"/>
        <v>2025</v>
      </c>
      <c r="Q408" s="22">
        <v>649</v>
      </c>
      <c r="R408" s="22">
        <v>13274.970000000001</v>
      </c>
      <c r="S408" s="22" t="str">
        <f t="shared" si="36"/>
        <v>USD</v>
      </c>
      <c r="T408" s="22">
        <f>R408*_xlfn.XLOOKUP(S408,AG:AG,AI:AI)</f>
        <v>13274.970000000001</v>
      </c>
      <c r="U408" s="22" t="s">
        <v>26</v>
      </c>
      <c r="W408" s="9">
        <v>355</v>
      </c>
      <c r="X408" s="9" t="s">
        <v>29</v>
      </c>
      <c r="Z408">
        <v>427</v>
      </c>
      <c r="AA408" s="24">
        <v>14625.36</v>
      </c>
      <c r="AB408" t="s">
        <v>29</v>
      </c>
      <c r="AD408" s="20">
        <v>45667</v>
      </c>
    </row>
    <row r="409" spans="1:30">
      <c r="A409">
        <v>429</v>
      </c>
      <c r="B409" t="str">
        <f>_xlfn.XLOOKUP(A409,Z:Z,AB:AB,"not found")</f>
        <v>USD</v>
      </c>
      <c r="C409">
        <f>_xlfn.XLOOKUP(A409,Z:Z,AA:AA)-_xlfn.XLOOKUP(A409,Q:Q,R:R,"0")</f>
        <v>0</v>
      </c>
      <c r="D409">
        <f>C409*_xlfn.XLOOKUP(B409,AG:AG,AH:AH)</f>
        <v>0</v>
      </c>
      <c r="E409">
        <f>C409*_xlfn.XLOOKUP(B409,AG:AG,AI:AI)</f>
        <v>0</v>
      </c>
      <c r="F409">
        <v>18950.68</v>
      </c>
      <c r="G409">
        <f>F409*_xlfn.XLOOKUP(B409,AG:AG,AH:AH)</f>
        <v>16297.584800000001</v>
      </c>
      <c r="H409">
        <f>F409*_xlfn.XLOOKUP(B409,AG:AG,AI:AI)</f>
        <v>18950.68</v>
      </c>
      <c r="I409">
        <f t="shared" si="32"/>
        <v>0</v>
      </c>
      <c r="J409">
        <f>I409*_xlfn.XLOOKUP(B409,AG:AG,AI:AI)</f>
        <v>0</v>
      </c>
      <c r="K409" s="7">
        <f>_xlfn.XLOOKUP(A409,Z:Z,AD:AD)</f>
        <v>45855</v>
      </c>
      <c r="L409" s="7">
        <f t="shared" si="33"/>
        <v>45825</v>
      </c>
      <c r="M409">
        <f t="shared" si="34"/>
        <v>6</v>
      </c>
      <c r="N409">
        <f t="shared" si="35"/>
        <v>2025</v>
      </c>
      <c r="Q409" s="22">
        <v>650</v>
      </c>
      <c r="R409" s="22">
        <v>1928.28</v>
      </c>
      <c r="S409" s="22" t="str">
        <f t="shared" si="36"/>
        <v>EUR</v>
      </c>
      <c r="T409" s="22">
        <f>R409*_xlfn.XLOOKUP(S409,AG:AG,AI:AI)</f>
        <v>2236.8047999999999</v>
      </c>
      <c r="U409" s="22" t="s">
        <v>26</v>
      </c>
      <c r="W409" s="9">
        <v>355</v>
      </c>
      <c r="X409" s="9" t="s">
        <v>29</v>
      </c>
      <c r="Z409">
        <v>428</v>
      </c>
      <c r="AA409" s="24">
        <v>8785.99</v>
      </c>
      <c r="AB409" t="s">
        <v>27</v>
      </c>
      <c r="AD409" s="20">
        <v>45928</v>
      </c>
    </row>
    <row r="410" spans="1:30">
      <c r="A410">
        <v>430</v>
      </c>
      <c r="B410" t="str">
        <f>_xlfn.XLOOKUP(A410,Z:Z,AB:AB,"not found")</f>
        <v>USD</v>
      </c>
      <c r="C410">
        <f>_xlfn.XLOOKUP(A410,Z:Z,AA:AA)-_xlfn.XLOOKUP(A410,Q:Q,R:R,"0")</f>
        <v>37597</v>
      </c>
      <c r="D410">
        <f>C410*_xlfn.XLOOKUP(B410,AG:AG,AH:AH)</f>
        <v>32333.42</v>
      </c>
      <c r="E410">
        <f>C410*_xlfn.XLOOKUP(B410,AG:AG,AI:AI)</f>
        <v>37597</v>
      </c>
      <c r="F410">
        <v>37597</v>
      </c>
      <c r="G410">
        <f>F410*_xlfn.XLOOKUP(B410,AG:AG,AH:AH)</f>
        <v>32333.42</v>
      </c>
      <c r="H410">
        <f>F410*_xlfn.XLOOKUP(B410,AG:AG,AI:AI)</f>
        <v>37597</v>
      </c>
      <c r="I410">
        <f t="shared" si="32"/>
        <v>0</v>
      </c>
      <c r="J410">
        <f>I410*_xlfn.XLOOKUP(B410,AG:AG,AI:AI)</f>
        <v>0</v>
      </c>
      <c r="K410" s="7">
        <f>_xlfn.XLOOKUP(A410,Z:Z,AD:AD)</f>
        <v>45875</v>
      </c>
      <c r="L410" s="7">
        <f t="shared" si="33"/>
        <v>45845</v>
      </c>
      <c r="M410">
        <f t="shared" si="34"/>
        <v>7</v>
      </c>
      <c r="N410">
        <f t="shared" si="35"/>
        <v>2025</v>
      </c>
      <c r="Q410" s="22">
        <v>651</v>
      </c>
      <c r="R410" s="22">
        <v>4760</v>
      </c>
      <c r="S410" s="22" t="str">
        <f t="shared" si="36"/>
        <v>USD</v>
      </c>
      <c r="T410" s="22">
        <f>R410*_xlfn.XLOOKUP(S410,AG:AG,AI:AI)</f>
        <v>4760</v>
      </c>
      <c r="U410" s="22" t="s">
        <v>26</v>
      </c>
      <c r="W410" s="9">
        <v>363</v>
      </c>
      <c r="X410" s="9" t="s">
        <v>28</v>
      </c>
      <c r="Z410">
        <v>429</v>
      </c>
      <c r="AA410" s="24">
        <v>18950.68</v>
      </c>
      <c r="AB410" t="s">
        <v>29</v>
      </c>
      <c r="AD410" s="20">
        <v>45855</v>
      </c>
    </row>
    <row r="411" spans="1:30">
      <c r="A411">
        <v>431</v>
      </c>
      <c r="B411" t="str">
        <f>_xlfn.XLOOKUP(A411,Z:Z,AB:AB,"not found")</f>
        <v>USD</v>
      </c>
      <c r="C411">
        <f>_xlfn.XLOOKUP(A411,Z:Z,AA:AA)-_xlfn.XLOOKUP(A411,Q:Q,R:R,"0")</f>
        <v>6650.17</v>
      </c>
      <c r="D411">
        <f>C411*_xlfn.XLOOKUP(B411,AG:AG,AH:AH)</f>
        <v>5719.1462000000001</v>
      </c>
      <c r="E411">
        <f>C411*_xlfn.XLOOKUP(B411,AG:AG,AI:AI)</f>
        <v>6650.17</v>
      </c>
      <c r="F411">
        <v>22975.73</v>
      </c>
      <c r="G411">
        <f>F411*_xlfn.XLOOKUP(B411,AG:AG,AH:AH)</f>
        <v>19759.127799999998</v>
      </c>
      <c r="H411">
        <f>F411*_xlfn.XLOOKUP(B411,AG:AG,AI:AI)</f>
        <v>22975.73</v>
      </c>
      <c r="I411">
        <f t="shared" si="32"/>
        <v>0</v>
      </c>
      <c r="J411">
        <f>I411*_xlfn.XLOOKUP(B411,AG:AG,AI:AI)</f>
        <v>0</v>
      </c>
      <c r="K411" s="7">
        <f>_xlfn.XLOOKUP(A411,Z:Z,AD:AD)</f>
        <v>45903</v>
      </c>
      <c r="L411" s="7">
        <f t="shared" si="33"/>
        <v>45873</v>
      </c>
      <c r="M411">
        <f t="shared" si="34"/>
        <v>8</v>
      </c>
      <c r="N411">
        <f t="shared" si="35"/>
        <v>2025</v>
      </c>
      <c r="Q411" s="22">
        <v>652</v>
      </c>
      <c r="R411" s="22">
        <v>1990</v>
      </c>
      <c r="S411" s="22" t="str">
        <f t="shared" si="36"/>
        <v>EUR</v>
      </c>
      <c r="T411" s="22">
        <f>R411*_xlfn.XLOOKUP(S411,AG:AG,AI:AI)</f>
        <v>2308.3999999999996</v>
      </c>
      <c r="U411" s="22" t="s">
        <v>26</v>
      </c>
      <c r="W411" s="9">
        <v>364</v>
      </c>
      <c r="X411" s="9" t="s">
        <v>29</v>
      </c>
      <c r="Z411">
        <v>430</v>
      </c>
      <c r="AA411" s="24">
        <v>37597</v>
      </c>
      <c r="AB411" t="s">
        <v>29</v>
      </c>
      <c r="AD411" s="20">
        <v>45875</v>
      </c>
    </row>
    <row r="412" spans="1:30">
      <c r="A412">
        <v>432</v>
      </c>
      <c r="B412" t="str">
        <f>_xlfn.XLOOKUP(A412,Z:Z,AB:AB,"not found")</f>
        <v>USD</v>
      </c>
      <c r="C412">
        <f>_xlfn.XLOOKUP(A412,Z:Z,AA:AA)-_xlfn.XLOOKUP(A412,Q:Q,R:R,"0")</f>
        <v>26749.24</v>
      </c>
      <c r="D412">
        <f>C412*_xlfn.XLOOKUP(B412,AG:AG,AH:AH)</f>
        <v>23004.346400000002</v>
      </c>
      <c r="E412">
        <f>C412*_xlfn.XLOOKUP(B412,AG:AG,AI:AI)</f>
        <v>26749.24</v>
      </c>
      <c r="F412">
        <v>26749.24</v>
      </c>
      <c r="G412">
        <f>F412*_xlfn.XLOOKUP(B412,AG:AG,AH:AH)</f>
        <v>23004.346400000002</v>
      </c>
      <c r="H412">
        <f>F412*_xlfn.XLOOKUP(B412,AG:AG,AI:AI)</f>
        <v>26749.24</v>
      </c>
      <c r="I412">
        <f t="shared" si="32"/>
        <v>0</v>
      </c>
      <c r="J412">
        <f>I412*_xlfn.XLOOKUP(B412,AG:AG,AI:AI)</f>
        <v>0</v>
      </c>
      <c r="K412" s="7">
        <f>_xlfn.XLOOKUP(A412,Z:Z,AD:AD)</f>
        <v>45847</v>
      </c>
      <c r="L412" s="7">
        <f t="shared" si="33"/>
        <v>45817</v>
      </c>
      <c r="M412">
        <f t="shared" si="34"/>
        <v>6</v>
      </c>
      <c r="N412">
        <f t="shared" si="35"/>
        <v>2025</v>
      </c>
      <c r="Q412" s="22">
        <v>653</v>
      </c>
      <c r="R412" s="22">
        <v>260</v>
      </c>
      <c r="S412" s="22" t="str">
        <f t="shared" si="36"/>
        <v>USD</v>
      </c>
      <c r="T412" s="22">
        <f>R412*_xlfn.XLOOKUP(S412,AG:AG,AI:AI)</f>
        <v>260</v>
      </c>
      <c r="U412" s="22" t="s">
        <v>26</v>
      </c>
      <c r="W412" s="9">
        <v>364</v>
      </c>
      <c r="X412" s="9" t="s">
        <v>29</v>
      </c>
      <c r="Z412">
        <v>431</v>
      </c>
      <c r="AA412" s="24">
        <v>22975.73</v>
      </c>
      <c r="AB412" t="s">
        <v>29</v>
      </c>
      <c r="AD412" s="20">
        <v>45903</v>
      </c>
    </row>
    <row r="413" spans="1:30">
      <c r="A413">
        <v>433</v>
      </c>
      <c r="B413" t="str">
        <f>_xlfn.XLOOKUP(A413,Z:Z,AB:AB,"not found")</f>
        <v>EUR</v>
      </c>
      <c r="C413">
        <f>_xlfn.XLOOKUP(A413,Z:Z,AA:AA)-_xlfn.XLOOKUP(A413,Q:Q,R:R,"0")</f>
        <v>981.54000000000087</v>
      </c>
      <c r="D413">
        <f>C413*_xlfn.XLOOKUP(B413,AG:AG,AH:AH)</f>
        <v>981.54000000000087</v>
      </c>
      <c r="E413">
        <f>C413*_xlfn.XLOOKUP(B413,AG:AG,AI:AI)</f>
        <v>1138.5864000000008</v>
      </c>
      <c r="F413">
        <v>11808.54</v>
      </c>
      <c r="G413">
        <f>F413*_xlfn.XLOOKUP(B413,AG:AG,AH:AH)</f>
        <v>11808.54</v>
      </c>
      <c r="H413">
        <f>F413*_xlfn.XLOOKUP(B413,AG:AG,AI:AI)</f>
        <v>13697.9064</v>
      </c>
      <c r="I413">
        <f t="shared" si="32"/>
        <v>0</v>
      </c>
      <c r="J413">
        <f>I413*_xlfn.XLOOKUP(B413,AG:AG,AI:AI)</f>
        <v>0</v>
      </c>
      <c r="K413" s="7">
        <f>_xlfn.XLOOKUP(A413,Z:Z,AD:AD)</f>
        <v>45848</v>
      </c>
      <c r="L413" s="7">
        <f t="shared" si="33"/>
        <v>45818</v>
      </c>
      <c r="M413">
        <f t="shared" si="34"/>
        <v>6</v>
      </c>
      <c r="N413">
        <f t="shared" si="35"/>
        <v>2025</v>
      </c>
      <c r="Q413" s="22">
        <v>654</v>
      </c>
      <c r="R413" s="22">
        <v>1980</v>
      </c>
      <c r="S413" s="22" t="str">
        <f t="shared" si="36"/>
        <v>USD</v>
      </c>
      <c r="T413" s="22">
        <f>R413*_xlfn.XLOOKUP(S413,AG:AG,AI:AI)</f>
        <v>1980</v>
      </c>
      <c r="U413" s="22" t="s">
        <v>26</v>
      </c>
      <c r="W413" s="9">
        <v>364</v>
      </c>
      <c r="X413" s="9" t="s">
        <v>29</v>
      </c>
      <c r="Z413">
        <v>432</v>
      </c>
      <c r="AA413" s="24">
        <v>26749.24</v>
      </c>
      <c r="AB413" t="s">
        <v>29</v>
      </c>
      <c r="AD413" s="20">
        <v>45847</v>
      </c>
    </row>
    <row r="414" spans="1:30">
      <c r="A414">
        <v>434</v>
      </c>
      <c r="B414" t="str">
        <f>_xlfn.XLOOKUP(A414,Z:Z,AB:AB,"not found")</f>
        <v>GPB</v>
      </c>
      <c r="C414">
        <f>_xlfn.XLOOKUP(A414,Z:Z,AA:AA)-_xlfn.XLOOKUP(A414,Q:Q,R:R,"0")</f>
        <v>0</v>
      </c>
      <c r="D414">
        <f>C414*_xlfn.XLOOKUP(B414,AG:AG,AH:AH)</f>
        <v>0</v>
      </c>
      <c r="E414">
        <f>C414*_xlfn.XLOOKUP(B414,AG:AG,AI:AI)</f>
        <v>0</v>
      </c>
      <c r="F414">
        <v>1445</v>
      </c>
      <c r="G414">
        <f>F414*_xlfn.XLOOKUP(B414,AG:AG,AH:AH)</f>
        <v>1661.7499999999998</v>
      </c>
      <c r="H414">
        <f>F414*_xlfn.XLOOKUP(B414,AG:AG,AI:AI)</f>
        <v>1936.3000000000002</v>
      </c>
      <c r="I414">
        <f t="shared" si="32"/>
        <v>0</v>
      </c>
      <c r="J414">
        <f>I414*_xlfn.XLOOKUP(B414,AG:AG,AI:AI)</f>
        <v>0</v>
      </c>
      <c r="K414" s="7">
        <f>_xlfn.XLOOKUP(A414,Z:Z,AD:AD)</f>
        <v>45826</v>
      </c>
      <c r="L414" s="7">
        <f t="shared" si="33"/>
        <v>45796</v>
      </c>
      <c r="M414">
        <f t="shared" si="34"/>
        <v>5</v>
      </c>
      <c r="N414">
        <f t="shared" si="35"/>
        <v>2025</v>
      </c>
      <c r="Q414" s="22">
        <v>655</v>
      </c>
      <c r="R414" s="22">
        <v>145.9</v>
      </c>
      <c r="S414" s="22" t="str">
        <f t="shared" si="36"/>
        <v>USD</v>
      </c>
      <c r="T414" s="22">
        <f>R414*_xlfn.XLOOKUP(S414,AG:AG,AI:AI)</f>
        <v>145.9</v>
      </c>
      <c r="U414" s="22" t="s">
        <v>26</v>
      </c>
      <c r="W414" s="9">
        <v>364</v>
      </c>
      <c r="X414" s="9" t="s">
        <v>29</v>
      </c>
      <c r="Z414">
        <v>433</v>
      </c>
      <c r="AA414" s="24">
        <v>11808.54</v>
      </c>
      <c r="AB414" t="s">
        <v>27</v>
      </c>
      <c r="AD414" s="20">
        <v>45848</v>
      </c>
    </row>
    <row r="415" spans="1:30">
      <c r="A415">
        <v>435</v>
      </c>
      <c r="B415" t="str">
        <f>_xlfn.XLOOKUP(A415,Z:Z,AB:AB,"not found")</f>
        <v>USD</v>
      </c>
      <c r="C415">
        <f>_xlfn.XLOOKUP(A415,Z:Z,AA:AA)-_xlfn.XLOOKUP(A415,Q:Q,R:R,"0")</f>
        <v>16837.999999999993</v>
      </c>
      <c r="D415">
        <f>C415*_xlfn.XLOOKUP(B415,AG:AG,AH:AH)</f>
        <v>14480.679999999993</v>
      </c>
      <c r="E415">
        <f>C415*_xlfn.XLOOKUP(B415,AG:AG,AI:AI)</f>
        <v>16837.999999999993</v>
      </c>
      <c r="F415">
        <v>64828.52</v>
      </c>
      <c r="G415">
        <f>F415*_xlfn.XLOOKUP(B415,AG:AG,AH:AH)</f>
        <v>55752.527199999997</v>
      </c>
      <c r="H415">
        <f>F415*_xlfn.XLOOKUP(B415,AG:AG,AI:AI)</f>
        <v>64828.52</v>
      </c>
      <c r="I415">
        <f t="shared" si="32"/>
        <v>0</v>
      </c>
      <c r="J415">
        <f>I415*_xlfn.XLOOKUP(B415,AG:AG,AI:AI)</f>
        <v>0</v>
      </c>
      <c r="K415" s="7">
        <f>_xlfn.XLOOKUP(A415,Z:Z,AD:AD)</f>
        <v>45848</v>
      </c>
      <c r="L415" s="7">
        <f t="shared" si="33"/>
        <v>45818</v>
      </c>
      <c r="M415">
        <f t="shared" si="34"/>
        <v>6</v>
      </c>
      <c r="N415">
        <f t="shared" si="35"/>
        <v>2025</v>
      </c>
      <c r="Q415" s="22">
        <v>657</v>
      </c>
      <c r="R415" s="22">
        <v>2724.75</v>
      </c>
      <c r="S415" s="22" t="str">
        <f t="shared" si="36"/>
        <v>USD</v>
      </c>
      <c r="T415" s="22">
        <f>R415*_xlfn.XLOOKUP(S415,AG:AG,AI:AI)</f>
        <v>2724.75</v>
      </c>
      <c r="U415" s="22" t="s">
        <v>26</v>
      </c>
      <c r="W415" s="9">
        <v>364</v>
      </c>
      <c r="X415" s="9" t="s">
        <v>29</v>
      </c>
      <c r="Z415">
        <v>434</v>
      </c>
      <c r="AA415" s="24">
        <v>1445</v>
      </c>
      <c r="AB415" t="s">
        <v>32</v>
      </c>
      <c r="AD415" s="20">
        <v>45826</v>
      </c>
    </row>
    <row r="416" spans="1:30">
      <c r="A416">
        <v>436</v>
      </c>
      <c r="B416" t="str">
        <f>_xlfn.XLOOKUP(A416,Z:Z,AB:AB,"not found")</f>
        <v>MXN</v>
      </c>
      <c r="C416">
        <f>_xlfn.XLOOKUP(A416,Z:Z,AA:AA)-_xlfn.XLOOKUP(A416,Q:Q,R:R,"0")</f>
        <v>0</v>
      </c>
      <c r="D416">
        <f>C416*_xlfn.XLOOKUP(B416,AG:AG,AH:AH)</f>
        <v>0</v>
      </c>
      <c r="E416">
        <f>C416*_xlfn.XLOOKUP(B416,AG:AG,AI:AI)</f>
        <v>0</v>
      </c>
      <c r="F416">
        <v>254334</v>
      </c>
      <c r="G416">
        <f>F416*_xlfn.XLOOKUP(B416,AG:AG,AH:AH)</f>
        <v>12208.032000000001</v>
      </c>
      <c r="H416">
        <f>F416*_xlfn.XLOOKUP(B416,AG:AG,AI:AI)</f>
        <v>14242.704</v>
      </c>
      <c r="I416">
        <f t="shared" si="32"/>
        <v>0</v>
      </c>
      <c r="J416">
        <f>I416*_xlfn.XLOOKUP(B416,AG:AG,AI:AI)</f>
        <v>0</v>
      </c>
      <c r="K416" s="7">
        <f>_xlfn.XLOOKUP(A416,Z:Z,AD:AD)</f>
        <v>45875</v>
      </c>
      <c r="L416" s="7">
        <f t="shared" si="33"/>
        <v>45845</v>
      </c>
      <c r="M416">
        <f t="shared" si="34"/>
        <v>7</v>
      </c>
      <c r="N416">
        <f t="shared" si="35"/>
        <v>2025</v>
      </c>
      <c r="Q416" s="22">
        <v>658</v>
      </c>
      <c r="R416" s="22">
        <v>43398</v>
      </c>
      <c r="S416" s="22" t="str">
        <f t="shared" si="36"/>
        <v>MXN</v>
      </c>
      <c r="T416" s="22">
        <f>R416*_xlfn.XLOOKUP(S416,AG:AG,AI:AI)</f>
        <v>2430.288</v>
      </c>
      <c r="U416" s="22" t="s">
        <v>26</v>
      </c>
      <c r="W416" s="9">
        <v>368</v>
      </c>
      <c r="X416" s="9" t="s">
        <v>29</v>
      </c>
      <c r="Z416">
        <v>435</v>
      </c>
      <c r="AA416" s="24">
        <v>64828.52</v>
      </c>
      <c r="AB416" t="s">
        <v>29</v>
      </c>
      <c r="AD416" s="20">
        <v>45848</v>
      </c>
    </row>
    <row r="417" spans="1:30">
      <c r="A417">
        <v>437</v>
      </c>
      <c r="B417" t="str">
        <f>_xlfn.XLOOKUP(A417,Z:Z,AB:AB,"not found")</f>
        <v>EUR</v>
      </c>
      <c r="C417">
        <f>_xlfn.XLOOKUP(A417,Z:Z,AA:AA)-_xlfn.XLOOKUP(A417,Q:Q,R:R,"0")</f>
        <v>34971.1</v>
      </c>
      <c r="D417">
        <f>C417*_xlfn.XLOOKUP(B417,AG:AG,AH:AH)</f>
        <v>34971.1</v>
      </c>
      <c r="E417">
        <f>C417*_xlfn.XLOOKUP(B417,AG:AG,AI:AI)</f>
        <v>40566.475999999995</v>
      </c>
      <c r="F417">
        <v>35108.61</v>
      </c>
      <c r="G417">
        <f>F417*_xlfn.XLOOKUP(B417,AG:AG,AH:AH)</f>
        <v>35108.61</v>
      </c>
      <c r="H417">
        <f>F417*_xlfn.XLOOKUP(B417,AG:AG,AI:AI)</f>
        <v>40725.9876</v>
      </c>
      <c r="I417">
        <f t="shared" si="32"/>
        <v>-2.0463630789890885E-12</v>
      </c>
      <c r="J417">
        <f>I417*_xlfn.XLOOKUP(B417,AG:AG,AI:AI)</f>
        <v>-2.3737811716273426E-12</v>
      </c>
      <c r="K417" s="7">
        <f>_xlfn.XLOOKUP(A417,Z:Z,AD:AD)</f>
        <v>45876</v>
      </c>
      <c r="L417" s="7">
        <f t="shared" si="33"/>
        <v>45846</v>
      </c>
      <c r="M417">
        <f t="shared" si="34"/>
        <v>7</v>
      </c>
      <c r="N417">
        <f t="shared" si="35"/>
        <v>2025</v>
      </c>
      <c r="Q417" s="22">
        <v>660</v>
      </c>
      <c r="R417" s="22">
        <v>20000</v>
      </c>
      <c r="S417" s="22" t="str">
        <f t="shared" si="36"/>
        <v>USD</v>
      </c>
      <c r="T417" s="22">
        <f>R417*_xlfn.XLOOKUP(S417,AG:AG,AI:AI)</f>
        <v>20000</v>
      </c>
      <c r="U417" s="22" t="s">
        <v>26</v>
      </c>
      <c r="W417" s="9">
        <v>369</v>
      </c>
      <c r="X417" s="9" t="s">
        <v>29</v>
      </c>
      <c r="Z417">
        <v>436</v>
      </c>
      <c r="AA417" s="24">
        <v>254334</v>
      </c>
      <c r="AB417" t="s">
        <v>28</v>
      </c>
      <c r="AD417" s="20">
        <v>45875</v>
      </c>
    </row>
    <row r="418" spans="1:30">
      <c r="A418">
        <v>438</v>
      </c>
      <c r="B418" t="str">
        <f>_xlfn.XLOOKUP(A418,Z:Z,AB:AB,"not found")</f>
        <v>USD</v>
      </c>
      <c r="C418">
        <f>_xlfn.XLOOKUP(A418,Z:Z,AA:AA)-_xlfn.XLOOKUP(A418,Q:Q,R:R,"0")</f>
        <v>12177.42</v>
      </c>
      <c r="D418">
        <f>C418*_xlfn.XLOOKUP(B418,AG:AG,AH:AH)</f>
        <v>10472.581200000001</v>
      </c>
      <c r="E418">
        <f>C418*_xlfn.XLOOKUP(B418,AG:AG,AI:AI)</f>
        <v>12177.42</v>
      </c>
      <c r="F418">
        <v>12177.42</v>
      </c>
      <c r="G418">
        <f>F418*_xlfn.XLOOKUP(B418,AG:AG,AH:AH)</f>
        <v>10472.581200000001</v>
      </c>
      <c r="H418">
        <f>F418*_xlfn.XLOOKUP(B418,AG:AG,AI:AI)</f>
        <v>12177.42</v>
      </c>
      <c r="I418">
        <f t="shared" si="32"/>
        <v>0</v>
      </c>
      <c r="J418">
        <f>I418*_xlfn.XLOOKUP(B418,AG:AG,AI:AI)</f>
        <v>0</v>
      </c>
      <c r="K418" s="7">
        <f>_xlfn.XLOOKUP(A418,Z:Z,AD:AD)</f>
        <v>45845</v>
      </c>
      <c r="L418" s="7">
        <f t="shared" si="33"/>
        <v>45815</v>
      </c>
      <c r="M418">
        <f t="shared" si="34"/>
        <v>6</v>
      </c>
      <c r="N418">
        <f t="shared" si="35"/>
        <v>2025</v>
      </c>
      <c r="Q418" s="22">
        <v>661</v>
      </c>
      <c r="R418" s="22">
        <v>10104</v>
      </c>
      <c r="S418" s="22" t="str">
        <f t="shared" si="36"/>
        <v>MXN</v>
      </c>
      <c r="T418" s="22">
        <f>R418*_xlfn.XLOOKUP(S418,AG:AG,AI:AI)</f>
        <v>565.82399999999996</v>
      </c>
      <c r="U418" s="22" t="s">
        <v>26</v>
      </c>
      <c r="W418" s="9">
        <v>369</v>
      </c>
      <c r="X418" s="9" t="s">
        <v>29</v>
      </c>
      <c r="Z418">
        <v>437</v>
      </c>
      <c r="AA418" s="24">
        <v>35108.61</v>
      </c>
      <c r="AB418" t="s">
        <v>27</v>
      </c>
      <c r="AD418" s="20">
        <v>45876</v>
      </c>
    </row>
    <row r="419" spans="1:30">
      <c r="A419">
        <v>439</v>
      </c>
      <c r="B419" t="str">
        <f>_xlfn.XLOOKUP(A419,Z:Z,AB:AB,"not found")</f>
        <v>USD</v>
      </c>
      <c r="C419">
        <f>_xlfn.XLOOKUP(A419,Z:Z,AA:AA)-_xlfn.XLOOKUP(A419,Q:Q,R:R,"0")</f>
        <v>8130.05</v>
      </c>
      <c r="D419">
        <f>C419*_xlfn.XLOOKUP(B419,AG:AG,AH:AH)</f>
        <v>6991.8429999999998</v>
      </c>
      <c r="E419">
        <f>C419*_xlfn.XLOOKUP(B419,AG:AG,AI:AI)</f>
        <v>8130.05</v>
      </c>
      <c r="F419">
        <v>8130.05</v>
      </c>
      <c r="G419">
        <f>F419*_xlfn.XLOOKUP(B419,AG:AG,AH:AH)</f>
        <v>6991.8429999999998</v>
      </c>
      <c r="H419">
        <f>F419*_xlfn.XLOOKUP(B419,AG:AG,AI:AI)</f>
        <v>8130.05</v>
      </c>
      <c r="I419">
        <f t="shared" si="32"/>
        <v>0</v>
      </c>
      <c r="J419">
        <f>I419*_xlfn.XLOOKUP(B419,AG:AG,AI:AI)</f>
        <v>0</v>
      </c>
      <c r="K419" s="7">
        <f>_xlfn.XLOOKUP(A419,Z:Z,AD:AD)</f>
        <v>45908</v>
      </c>
      <c r="L419" s="7">
        <f t="shared" si="33"/>
        <v>45878</v>
      </c>
      <c r="M419">
        <f t="shared" si="34"/>
        <v>8</v>
      </c>
      <c r="N419">
        <f t="shared" si="35"/>
        <v>2025</v>
      </c>
      <c r="Q419" s="22">
        <v>662</v>
      </c>
      <c r="R419" s="22">
        <v>12606</v>
      </c>
      <c r="S419" s="22" t="str">
        <f t="shared" si="36"/>
        <v>MXN</v>
      </c>
      <c r="T419" s="22">
        <f>R419*_xlfn.XLOOKUP(S419,AG:AG,AI:AI)</f>
        <v>705.93600000000004</v>
      </c>
      <c r="U419" s="22" t="s">
        <v>26</v>
      </c>
      <c r="W419" s="9">
        <v>369</v>
      </c>
      <c r="X419" s="9" t="s">
        <v>29</v>
      </c>
      <c r="Z419">
        <v>438</v>
      </c>
      <c r="AA419" s="24">
        <v>12177.42</v>
      </c>
      <c r="AB419" t="s">
        <v>29</v>
      </c>
      <c r="AD419" s="20">
        <v>45845</v>
      </c>
    </row>
    <row r="420" spans="1:30">
      <c r="A420">
        <v>440</v>
      </c>
      <c r="B420" t="str">
        <f>_xlfn.XLOOKUP(A420,Z:Z,AB:AB,"not found")</f>
        <v>MXN</v>
      </c>
      <c r="C420">
        <f>_xlfn.XLOOKUP(A420,Z:Z,AA:AA)-_xlfn.XLOOKUP(A420,Q:Q,R:R,"0")</f>
        <v>1820126.45</v>
      </c>
      <c r="D420">
        <f>C420*_xlfn.XLOOKUP(B420,AG:AG,AH:AH)</f>
        <v>87366.069600000003</v>
      </c>
      <c r="E420">
        <f>C420*_xlfn.XLOOKUP(B420,AG:AG,AI:AI)</f>
        <v>101927.0812</v>
      </c>
      <c r="F420">
        <v>1957799.45</v>
      </c>
      <c r="G420">
        <f>F420*_xlfn.XLOOKUP(B420,AG:AG,AH:AH)</f>
        <v>93974.373600000006</v>
      </c>
      <c r="H420">
        <f>F420*_xlfn.XLOOKUP(B420,AG:AG,AI:AI)</f>
        <v>109636.7692</v>
      </c>
      <c r="I420">
        <f t="shared" si="32"/>
        <v>0</v>
      </c>
      <c r="J420">
        <f>I420*_xlfn.XLOOKUP(B420,AG:AG,AI:AI)</f>
        <v>0</v>
      </c>
      <c r="K420" s="7">
        <f>_xlfn.XLOOKUP(A420,Z:Z,AD:AD)</f>
        <v>45951</v>
      </c>
      <c r="L420" s="7">
        <f t="shared" si="33"/>
        <v>45921</v>
      </c>
      <c r="M420">
        <f t="shared" si="34"/>
        <v>9</v>
      </c>
      <c r="N420">
        <f t="shared" si="35"/>
        <v>2025</v>
      </c>
      <c r="Q420" s="22">
        <v>664</v>
      </c>
      <c r="R420" s="22">
        <v>940</v>
      </c>
      <c r="S420" s="22" t="str">
        <f t="shared" si="36"/>
        <v>USD</v>
      </c>
      <c r="T420" s="22">
        <f>R420*_xlfn.XLOOKUP(S420,AG:AG,AI:AI)</f>
        <v>940</v>
      </c>
      <c r="U420" s="22" t="s">
        <v>26</v>
      </c>
      <c r="W420" s="9">
        <v>369</v>
      </c>
      <c r="X420" s="9" t="s">
        <v>29</v>
      </c>
      <c r="Z420">
        <v>439</v>
      </c>
      <c r="AA420" s="24">
        <v>8130.05</v>
      </c>
      <c r="AB420" t="s">
        <v>29</v>
      </c>
      <c r="AD420" s="20">
        <v>45908</v>
      </c>
    </row>
    <row r="421" spans="1:30">
      <c r="A421">
        <v>441</v>
      </c>
      <c r="B421" t="str">
        <f>_xlfn.XLOOKUP(A421,Z:Z,AB:AB,"not found")</f>
        <v>USD</v>
      </c>
      <c r="C421">
        <f>_xlfn.XLOOKUP(A421,Z:Z,AA:AA)-_xlfn.XLOOKUP(A421,Q:Q,R:R,"0")</f>
        <v>2119.0700000000002</v>
      </c>
      <c r="D421">
        <f>C421*_xlfn.XLOOKUP(B421,AG:AG,AH:AH)</f>
        <v>1822.4002</v>
      </c>
      <c r="E421">
        <f>C421*_xlfn.XLOOKUP(B421,AG:AG,AI:AI)</f>
        <v>2119.0700000000002</v>
      </c>
      <c r="F421">
        <v>2119.0700000000002</v>
      </c>
      <c r="G421">
        <f>F421*_xlfn.XLOOKUP(B421,AG:AG,AH:AH)</f>
        <v>1822.4002</v>
      </c>
      <c r="H421">
        <f>F421*_xlfn.XLOOKUP(B421,AG:AG,AI:AI)</f>
        <v>2119.0700000000002</v>
      </c>
      <c r="I421">
        <f t="shared" si="32"/>
        <v>0</v>
      </c>
      <c r="J421">
        <f>I421*_xlfn.XLOOKUP(B421,AG:AG,AI:AI)</f>
        <v>0</v>
      </c>
      <c r="K421" s="7">
        <f>_xlfn.XLOOKUP(A421,Z:Z,AD:AD)</f>
        <v>45828</v>
      </c>
      <c r="L421" s="7">
        <f t="shared" si="33"/>
        <v>45798</v>
      </c>
      <c r="M421">
        <f t="shared" si="34"/>
        <v>5</v>
      </c>
      <c r="N421">
        <f t="shared" si="35"/>
        <v>2025</v>
      </c>
      <c r="Q421" s="22">
        <v>665</v>
      </c>
      <c r="R421" s="22">
        <v>5733.7000000000007</v>
      </c>
      <c r="S421" s="22" t="str">
        <f t="shared" si="36"/>
        <v>USD</v>
      </c>
      <c r="T421" s="22">
        <f>R421*_xlfn.XLOOKUP(S421,AG:AG,AI:AI)</f>
        <v>5733.7000000000007</v>
      </c>
      <c r="U421" s="22" t="s">
        <v>26</v>
      </c>
      <c r="W421" s="9">
        <v>370</v>
      </c>
      <c r="X421" s="9" t="s">
        <v>29</v>
      </c>
      <c r="Z421">
        <v>440</v>
      </c>
      <c r="AA421" s="24">
        <v>1957799.45</v>
      </c>
      <c r="AB421" t="s">
        <v>28</v>
      </c>
      <c r="AD421" s="20">
        <v>45951</v>
      </c>
    </row>
    <row r="422" spans="1:30">
      <c r="A422">
        <v>442</v>
      </c>
      <c r="B422" t="str">
        <f>_xlfn.XLOOKUP(A422,Z:Z,AB:AB,"not found")</f>
        <v>EUR</v>
      </c>
      <c r="C422">
        <f>_xlfn.XLOOKUP(A422,Z:Z,AA:AA)-_xlfn.XLOOKUP(A422,Q:Q,R:R,"0")</f>
        <v>590</v>
      </c>
      <c r="D422">
        <f>C422*_xlfn.XLOOKUP(B422,AG:AG,AH:AH)</f>
        <v>590</v>
      </c>
      <c r="E422">
        <f>C422*_xlfn.XLOOKUP(B422,AG:AG,AI:AI)</f>
        <v>684.4</v>
      </c>
      <c r="F422">
        <v>590</v>
      </c>
      <c r="G422">
        <f>F422*_xlfn.XLOOKUP(B422,AG:AG,AH:AH)</f>
        <v>590</v>
      </c>
      <c r="H422">
        <f>F422*_xlfn.XLOOKUP(B422,AG:AG,AI:AI)</f>
        <v>684.4</v>
      </c>
      <c r="I422">
        <f t="shared" si="32"/>
        <v>0</v>
      </c>
      <c r="J422">
        <f>I422*_xlfn.XLOOKUP(B422,AG:AG,AI:AI)</f>
        <v>0</v>
      </c>
      <c r="K422" s="7">
        <f>_xlfn.XLOOKUP(A422,Z:Z,AD:AD)</f>
        <v>45838</v>
      </c>
      <c r="L422" s="7">
        <f t="shared" si="33"/>
        <v>45808</v>
      </c>
      <c r="M422">
        <f t="shared" si="34"/>
        <v>5</v>
      </c>
      <c r="N422">
        <f t="shared" si="35"/>
        <v>2025</v>
      </c>
      <c r="Q422" s="22">
        <v>667</v>
      </c>
      <c r="R422" s="22">
        <v>8228</v>
      </c>
      <c r="S422" s="22" t="str">
        <f t="shared" si="36"/>
        <v>USD</v>
      </c>
      <c r="T422" s="22">
        <f>R422*_xlfn.XLOOKUP(S422,AG:AG,AI:AI)</f>
        <v>8228</v>
      </c>
      <c r="U422" s="22" t="s">
        <v>26</v>
      </c>
      <c r="W422" s="9">
        <v>370</v>
      </c>
      <c r="X422" s="9" t="s">
        <v>29</v>
      </c>
      <c r="Z422">
        <v>441</v>
      </c>
      <c r="AA422" s="24">
        <v>2119.0700000000002</v>
      </c>
      <c r="AB422" t="s">
        <v>29</v>
      </c>
      <c r="AD422" s="20">
        <v>45828</v>
      </c>
    </row>
    <row r="423" spans="1:30">
      <c r="A423">
        <v>443</v>
      </c>
      <c r="B423" t="str">
        <f>_xlfn.XLOOKUP(A423,Z:Z,AB:AB,"not found")</f>
        <v>MXN</v>
      </c>
      <c r="C423">
        <f>_xlfn.XLOOKUP(A423,Z:Z,AA:AA)-_xlfn.XLOOKUP(A423,Q:Q,R:R,"0")</f>
        <v>0</v>
      </c>
      <c r="D423">
        <f>C423*_xlfn.XLOOKUP(B423,AG:AG,AH:AH)</f>
        <v>0</v>
      </c>
      <c r="E423">
        <f>C423*_xlfn.XLOOKUP(B423,AG:AG,AI:AI)</f>
        <v>0</v>
      </c>
      <c r="F423">
        <v>38982</v>
      </c>
      <c r="G423">
        <f>F423*_xlfn.XLOOKUP(B423,AG:AG,AH:AH)</f>
        <v>1871.136</v>
      </c>
      <c r="H423">
        <f>F423*_xlfn.XLOOKUP(B423,AG:AG,AI:AI)</f>
        <v>2182.9920000000002</v>
      </c>
      <c r="I423">
        <f t="shared" si="32"/>
        <v>0</v>
      </c>
      <c r="J423">
        <f>I423*_xlfn.XLOOKUP(B423,AG:AG,AI:AI)</f>
        <v>0</v>
      </c>
      <c r="K423" s="7">
        <f>_xlfn.XLOOKUP(A423,Z:Z,AD:AD)</f>
        <v>45831</v>
      </c>
      <c r="L423" s="7">
        <f t="shared" si="33"/>
        <v>45801</v>
      </c>
      <c r="M423">
        <f t="shared" si="34"/>
        <v>5</v>
      </c>
      <c r="N423">
        <f t="shared" si="35"/>
        <v>2025</v>
      </c>
      <c r="Q423" s="22">
        <v>668</v>
      </c>
      <c r="R423" s="22">
        <v>4700</v>
      </c>
      <c r="S423" s="22" t="str">
        <f t="shared" si="36"/>
        <v>EUR</v>
      </c>
      <c r="T423" s="22">
        <f>R423*_xlfn.XLOOKUP(S423,AG:AG,AI:AI)</f>
        <v>5452</v>
      </c>
      <c r="U423" s="22" t="s">
        <v>26</v>
      </c>
      <c r="W423" s="9">
        <v>370</v>
      </c>
      <c r="X423" s="9" t="s">
        <v>29</v>
      </c>
      <c r="Z423">
        <v>442</v>
      </c>
      <c r="AA423">
        <v>590</v>
      </c>
      <c r="AB423" t="s">
        <v>27</v>
      </c>
      <c r="AD423" s="20">
        <v>45838</v>
      </c>
    </row>
    <row r="424" spans="1:30">
      <c r="A424">
        <v>444</v>
      </c>
      <c r="B424" t="str">
        <f>_xlfn.XLOOKUP(A424,Z:Z,AB:AB,"not found")</f>
        <v>MXN</v>
      </c>
      <c r="C424">
        <f>_xlfn.XLOOKUP(A424,Z:Z,AA:AA)-_xlfn.XLOOKUP(A424,Q:Q,R:R,"0")</f>
        <v>113199</v>
      </c>
      <c r="D424">
        <f>C424*_xlfn.XLOOKUP(B424,AG:AG,AH:AH)</f>
        <v>5433.5519999999997</v>
      </c>
      <c r="E424">
        <f>C424*_xlfn.XLOOKUP(B424,AG:AG,AI:AI)</f>
        <v>6339.1440000000002</v>
      </c>
      <c r="F424">
        <v>113199</v>
      </c>
      <c r="G424">
        <f>F424*_xlfn.XLOOKUP(B424,AG:AG,AH:AH)</f>
        <v>5433.5519999999997</v>
      </c>
      <c r="H424">
        <f>F424*_xlfn.XLOOKUP(B424,AG:AG,AI:AI)</f>
        <v>6339.1440000000002</v>
      </c>
      <c r="I424">
        <f t="shared" si="32"/>
        <v>0</v>
      </c>
      <c r="J424">
        <f>I424*_xlfn.XLOOKUP(B424,AG:AG,AI:AI)</f>
        <v>0</v>
      </c>
      <c r="K424" s="7">
        <f>_xlfn.XLOOKUP(A424,Z:Z,AD:AD)</f>
        <v>45840</v>
      </c>
      <c r="L424" s="7">
        <f t="shared" si="33"/>
        <v>45810</v>
      </c>
      <c r="M424">
        <f t="shared" si="34"/>
        <v>6</v>
      </c>
      <c r="N424">
        <f t="shared" si="35"/>
        <v>2025</v>
      </c>
      <c r="Q424" s="22">
        <v>669</v>
      </c>
      <c r="R424" s="22">
        <v>2004.02</v>
      </c>
      <c r="S424" s="22" t="str">
        <f t="shared" si="36"/>
        <v>USD</v>
      </c>
      <c r="T424" s="22">
        <f>R424*_xlfn.XLOOKUP(S424,AG:AG,AI:AI)</f>
        <v>2004.02</v>
      </c>
      <c r="U424" s="22" t="s">
        <v>26</v>
      </c>
      <c r="W424" s="9">
        <v>370</v>
      </c>
      <c r="X424" s="9" t="s">
        <v>28</v>
      </c>
      <c r="Z424">
        <v>443</v>
      </c>
      <c r="AA424">
        <v>38982</v>
      </c>
      <c r="AB424" t="s">
        <v>28</v>
      </c>
      <c r="AD424" s="20">
        <v>45831</v>
      </c>
    </row>
    <row r="425" spans="1:30">
      <c r="A425">
        <v>445</v>
      </c>
      <c r="B425" t="str">
        <f>_xlfn.XLOOKUP(A425,Z:Z,AB:AB,"not found")</f>
        <v>USD</v>
      </c>
      <c r="C425">
        <f>_xlfn.XLOOKUP(A425,Z:Z,AA:AA)-_xlfn.XLOOKUP(A425,Q:Q,R:R,"0")</f>
        <v>147353.06</v>
      </c>
      <c r="D425">
        <f>C425*_xlfn.XLOOKUP(B425,AG:AG,AH:AH)</f>
        <v>126723.63159999999</v>
      </c>
      <c r="E425">
        <f>C425*_xlfn.XLOOKUP(B425,AG:AG,AI:AI)</f>
        <v>147353.06</v>
      </c>
      <c r="F425">
        <v>53325.36</v>
      </c>
      <c r="G425">
        <f>F425*_xlfn.XLOOKUP(B425,AG:AG,AH:AH)</f>
        <v>45859.809600000001</v>
      </c>
      <c r="H425">
        <f>F425*_xlfn.XLOOKUP(B425,AG:AG,AI:AI)</f>
        <v>53325.36</v>
      </c>
      <c r="I425">
        <f t="shared" si="32"/>
        <v>110978</v>
      </c>
      <c r="J425">
        <f>I425*_xlfn.XLOOKUP(B425,AG:AG,AI:AI)</f>
        <v>110978</v>
      </c>
      <c r="K425" s="7">
        <f>_xlfn.XLOOKUP(A425,Z:Z,AD:AD)</f>
        <v>45956</v>
      </c>
      <c r="L425" s="7">
        <f t="shared" si="33"/>
        <v>45926</v>
      </c>
      <c r="M425">
        <f t="shared" si="34"/>
        <v>9</v>
      </c>
      <c r="N425">
        <f t="shared" si="35"/>
        <v>2025</v>
      </c>
      <c r="Q425" s="22">
        <v>670</v>
      </c>
      <c r="R425" s="22">
        <v>4956.01</v>
      </c>
      <c r="S425" s="22" t="str">
        <f t="shared" si="36"/>
        <v>USD</v>
      </c>
      <c r="T425" s="22">
        <f>R425*_xlfn.XLOOKUP(S425,AG:AG,AI:AI)</f>
        <v>4956.01</v>
      </c>
      <c r="U425" s="22" t="s">
        <v>26</v>
      </c>
      <c r="W425" s="9">
        <v>370</v>
      </c>
      <c r="X425" s="9" t="s">
        <v>28</v>
      </c>
      <c r="Z425">
        <v>444</v>
      </c>
      <c r="AA425">
        <v>113199</v>
      </c>
      <c r="AB425" t="s">
        <v>28</v>
      </c>
      <c r="AD425" s="20">
        <v>45840</v>
      </c>
    </row>
    <row r="426" spans="1:30">
      <c r="A426">
        <v>446</v>
      </c>
      <c r="B426" t="str">
        <f>_xlfn.XLOOKUP(A426,Z:Z,AB:AB,"not found")</f>
        <v>USD</v>
      </c>
      <c r="C426">
        <f>_xlfn.XLOOKUP(A426,Z:Z,AA:AA)-_xlfn.XLOOKUP(A426,Q:Q,R:R,"0")</f>
        <v>0</v>
      </c>
      <c r="D426">
        <f>C426*_xlfn.XLOOKUP(B426,AG:AG,AH:AH)</f>
        <v>0</v>
      </c>
      <c r="E426">
        <f>C426*_xlfn.XLOOKUP(B426,AG:AG,AI:AI)</f>
        <v>0</v>
      </c>
      <c r="F426">
        <v>20159.509999999998</v>
      </c>
      <c r="G426">
        <f>F426*_xlfn.XLOOKUP(B426,AG:AG,AH:AH)</f>
        <v>17337.178599999999</v>
      </c>
      <c r="H426">
        <f>F426*_xlfn.XLOOKUP(B426,AG:AG,AI:AI)</f>
        <v>20159.509999999998</v>
      </c>
      <c r="I426">
        <f t="shared" si="32"/>
        <v>0</v>
      </c>
      <c r="J426">
        <f>I426*_xlfn.XLOOKUP(B426,AG:AG,AI:AI)</f>
        <v>0</v>
      </c>
      <c r="K426" s="7">
        <f>_xlfn.XLOOKUP(A426,Z:Z,AD:AD)</f>
        <v>45790</v>
      </c>
      <c r="L426" s="7">
        <f t="shared" si="33"/>
        <v>45760</v>
      </c>
      <c r="M426">
        <f t="shared" si="34"/>
        <v>4</v>
      </c>
      <c r="N426">
        <f t="shared" si="35"/>
        <v>2025</v>
      </c>
      <c r="Q426" s="22">
        <v>671</v>
      </c>
      <c r="R426" s="22">
        <v>5985</v>
      </c>
      <c r="S426" s="22" t="str">
        <f t="shared" si="36"/>
        <v>USD</v>
      </c>
      <c r="T426" s="22">
        <f>R426*_xlfn.XLOOKUP(S426,AG:AG,AI:AI)</f>
        <v>5985</v>
      </c>
      <c r="U426" s="22" t="s">
        <v>26</v>
      </c>
      <c r="W426" s="9">
        <v>371</v>
      </c>
      <c r="X426" s="9" t="s">
        <v>29</v>
      </c>
      <c r="Z426">
        <v>445</v>
      </c>
      <c r="AA426">
        <v>164303.35999999999</v>
      </c>
      <c r="AB426" t="s">
        <v>29</v>
      </c>
      <c r="AD426" s="20">
        <v>45956</v>
      </c>
    </row>
    <row r="427" spans="1:30">
      <c r="A427">
        <v>447</v>
      </c>
      <c r="B427" t="str">
        <f>_xlfn.XLOOKUP(A427,Z:Z,AB:AB,"not found")</f>
        <v>USD</v>
      </c>
      <c r="C427">
        <f>_xlfn.XLOOKUP(A427,Z:Z,AA:AA)-_xlfn.XLOOKUP(A427,Q:Q,R:R,"0")</f>
        <v>5844.3600000000006</v>
      </c>
      <c r="D427">
        <f>C427*_xlfn.XLOOKUP(B427,AG:AG,AH:AH)</f>
        <v>5026.1496000000006</v>
      </c>
      <c r="E427">
        <f>C427*_xlfn.XLOOKUP(B427,AG:AG,AI:AI)</f>
        <v>5844.3600000000006</v>
      </c>
      <c r="F427">
        <v>11088.36</v>
      </c>
      <c r="G427">
        <f>F427*_xlfn.XLOOKUP(B427,AG:AG,AH:AH)</f>
        <v>9535.9896000000008</v>
      </c>
      <c r="H427">
        <f>F427*_xlfn.XLOOKUP(B427,AG:AG,AI:AI)</f>
        <v>11088.36</v>
      </c>
      <c r="I427">
        <f t="shared" si="32"/>
        <v>0</v>
      </c>
      <c r="J427">
        <f>I427*_xlfn.XLOOKUP(B427,AG:AG,AI:AI)</f>
        <v>0</v>
      </c>
      <c r="K427" s="7" t="str">
        <f>_xlfn.XLOOKUP(A427,Z:Z,AD:AD)</f>
        <v>0000-00-00</v>
      </c>
      <c r="L427" s="7" t="e">
        <f t="shared" si="33"/>
        <v>#VALUE!</v>
      </c>
      <c r="M427" t="e">
        <f t="shared" si="34"/>
        <v>#VALUE!</v>
      </c>
      <c r="N427" t="e">
        <f t="shared" si="35"/>
        <v>#VALUE!</v>
      </c>
      <c r="Q427" s="22">
        <v>672</v>
      </c>
      <c r="R427" s="22">
        <v>20073.969999999998</v>
      </c>
      <c r="S427" s="22" t="str">
        <f t="shared" si="36"/>
        <v>EUR</v>
      </c>
      <c r="T427" s="22">
        <f>R427*_xlfn.XLOOKUP(S427,AG:AG,AI:AI)</f>
        <v>23285.805199999995</v>
      </c>
      <c r="U427" s="22" t="s">
        <v>26</v>
      </c>
      <c r="W427" s="9">
        <v>371</v>
      </c>
      <c r="X427" s="9" t="s">
        <v>29</v>
      </c>
      <c r="Z427">
        <v>446</v>
      </c>
      <c r="AA427">
        <v>20159.509999999998</v>
      </c>
      <c r="AB427" t="s">
        <v>29</v>
      </c>
      <c r="AD427" s="20">
        <v>45790</v>
      </c>
    </row>
    <row r="428" spans="1:30">
      <c r="A428">
        <v>448</v>
      </c>
      <c r="B428" t="str">
        <f>_xlfn.XLOOKUP(A428,Z:Z,AB:AB,"not found")</f>
        <v>USD</v>
      </c>
      <c r="C428">
        <f>_xlfn.XLOOKUP(A428,Z:Z,AA:AA)-_xlfn.XLOOKUP(A428,Q:Q,R:R,"0")</f>
        <v>2350.5500000000029</v>
      </c>
      <c r="D428">
        <f>C428*_xlfn.XLOOKUP(B428,AG:AG,AH:AH)</f>
        <v>2021.4730000000025</v>
      </c>
      <c r="E428">
        <f>C428*_xlfn.XLOOKUP(B428,AG:AG,AI:AI)</f>
        <v>2350.5500000000029</v>
      </c>
      <c r="F428">
        <v>57217.8</v>
      </c>
      <c r="G428">
        <f>F428*_xlfn.XLOOKUP(B428,AG:AG,AH:AH)</f>
        <v>49207.308000000005</v>
      </c>
      <c r="H428">
        <f>F428*_xlfn.XLOOKUP(B428,AG:AG,AI:AI)</f>
        <v>57217.8</v>
      </c>
      <c r="I428">
        <f t="shared" si="32"/>
        <v>0</v>
      </c>
      <c r="J428">
        <f>I428*_xlfn.XLOOKUP(B428,AG:AG,AI:AI)</f>
        <v>0</v>
      </c>
      <c r="K428" s="7">
        <f>_xlfn.XLOOKUP(A428,Z:Z,AD:AD)</f>
        <v>45844</v>
      </c>
      <c r="L428" s="7">
        <f t="shared" si="33"/>
        <v>45814</v>
      </c>
      <c r="M428">
        <f t="shared" si="34"/>
        <v>6</v>
      </c>
      <c r="N428">
        <f t="shared" si="35"/>
        <v>2025</v>
      </c>
      <c r="Q428" s="22">
        <v>673</v>
      </c>
      <c r="R428" s="22">
        <v>1876.62</v>
      </c>
      <c r="S428" s="22" t="str">
        <f t="shared" si="36"/>
        <v>USD</v>
      </c>
      <c r="T428" s="22">
        <f>R428*_xlfn.XLOOKUP(S428,AG:AG,AI:AI)</f>
        <v>1876.62</v>
      </c>
      <c r="U428" s="22" t="s">
        <v>26</v>
      </c>
      <c r="W428" s="9">
        <v>371</v>
      </c>
      <c r="X428" s="9" t="s">
        <v>29</v>
      </c>
      <c r="Z428">
        <v>447</v>
      </c>
      <c r="AA428">
        <v>11088.36</v>
      </c>
      <c r="AB428" t="s">
        <v>29</v>
      </c>
      <c r="AD428" t="s">
        <v>34</v>
      </c>
    </row>
    <row r="429" spans="1:30">
      <c r="A429">
        <v>449</v>
      </c>
      <c r="B429" t="str">
        <f>_xlfn.XLOOKUP(A429,Z:Z,AB:AB,"not found")</f>
        <v>USD</v>
      </c>
      <c r="C429">
        <f>_xlfn.XLOOKUP(A429,Z:Z,AA:AA)-_xlfn.XLOOKUP(A429,Q:Q,R:R,"0")</f>
        <v>150164</v>
      </c>
      <c r="D429">
        <f>C429*_xlfn.XLOOKUP(B429,AG:AG,AH:AH)</f>
        <v>129141.04</v>
      </c>
      <c r="E429">
        <f>C429*_xlfn.XLOOKUP(B429,AG:AG,AI:AI)</f>
        <v>150164</v>
      </c>
      <c r="F429">
        <v>150164</v>
      </c>
      <c r="G429">
        <f>F429*_xlfn.XLOOKUP(B429,AG:AG,AH:AH)</f>
        <v>129141.04</v>
      </c>
      <c r="H429">
        <f>F429*_xlfn.XLOOKUP(B429,AG:AG,AI:AI)</f>
        <v>150164</v>
      </c>
      <c r="I429">
        <f t="shared" si="32"/>
        <v>0</v>
      </c>
      <c r="J429">
        <f>I429*_xlfn.XLOOKUP(B429,AG:AG,AI:AI)</f>
        <v>0</v>
      </c>
      <c r="K429" s="7">
        <f>_xlfn.XLOOKUP(A429,Z:Z,AD:AD)</f>
        <v>45973</v>
      </c>
      <c r="L429" s="7">
        <f t="shared" si="33"/>
        <v>45943</v>
      </c>
      <c r="M429">
        <f t="shared" si="34"/>
        <v>10</v>
      </c>
      <c r="N429">
        <f t="shared" si="35"/>
        <v>2025</v>
      </c>
      <c r="Q429" s="22">
        <v>674</v>
      </c>
      <c r="R429" s="22">
        <v>3108.73</v>
      </c>
      <c r="S429" s="22" t="str">
        <f t="shared" si="36"/>
        <v>USD</v>
      </c>
      <c r="T429" s="22">
        <f>R429*_xlfn.XLOOKUP(S429,AG:AG,AI:AI)</f>
        <v>3108.73</v>
      </c>
      <c r="U429" s="22" t="s">
        <v>26</v>
      </c>
      <c r="W429" s="9">
        <v>371</v>
      </c>
      <c r="X429" s="9" t="s">
        <v>29</v>
      </c>
      <c r="Z429">
        <v>448</v>
      </c>
      <c r="AA429">
        <v>57217.8</v>
      </c>
      <c r="AB429" t="s">
        <v>29</v>
      </c>
      <c r="AD429" s="20">
        <v>45844</v>
      </c>
    </row>
    <row r="430" spans="1:30">
      <c r="A430">
        <v>451</v>
      </c>
      <c r="B430" t="str">
        <f>_xlfn.XLOOKUP(A430,Z:Z,AB:AB,"not found")</f>
        <v>USD</v>
      </c>
      <c r="C430">
        <f>_xlfn.XLOOKUP(A430,Z:Z,AA:AA)-_xlfn.XLOOKUP(A430,Q:Q,R:R,"0")</f>
        <v>1465.04</v>
      </c>
      <c r="D430">
        <f>C430*_xlfn.XLOOKUP(B430,AG:AG,AH:AH)</f>
        <v>1259.9343999999999</v>
      </c>
      <c r="E430">
        <f>C430*_xlfn.XLOOKUP(B430,AG:AG,AI:AI)</f>
        <v>1465.04</v>
      </c>
      <c r="F430">
        <v>1465.04</v>
      </c>
      <c r="G430">
        <f>F430*_xlfn.XLOOKUP(B430,AG:AG,AH:AH)</f>
        <v>1259.9343999999999</v>
      </c>
      <c r="H430">
        <f>F430*_xlfn.XLOOKUP(B430,AG:AG,AI:AI)</f>
        <v>1465.04</v>
      </c>
      <c r="I430">
        <f t="shared" si="32"/>
        <v>0</v>
      </c>
      <c r="J430">
        <f>I430*_xlfn.XLOOKUP(B430,AG:AG,AI:AI)</f>
        <v>0</v>
      </c>
      <c r="K430" s="7">
        <f>_xlfn.XLOOKUP(A430,Z:Z,AD:AD)</f>
        <v>45851</v>
      </c>
      <c r="L430" s="7">
        <f t="shared" si="33"/>
        <v>45821</v>
      </c>
      <c r="M430">
        <f t="shared" si="34"/>
        <v>6</v>
      </c>
      <c r="N430">
        <f t="shared" si="35"/>
        <v>2025</v>
      </c>
      <c r="Q430" s="22">
        <v>676</v>
      </c>
      <c r="R430" s="22">
        <v>19036.89</v>
      </c>
      <c r="S430" s="22" t="str">
        <f t="shared" si="36"/>
        <v>EUR</v>
      </c>
      <c r="T430" s="22">
        <f>R430*_xlfn.XLOOKUP(S430,AG:AG,AI:AI)</f>
        <v>22082.792399999998</v>
      </c>
      <c r="U430" s="22" t="s">
        <v>26</v>
      </c>
      <c r="W430" s="9">
        <v>371</v>
      </c>
      <c r="X430" s="9" t="s">
        <v>29</v>
      </c>
      <c r="Z430">
        <v>449</v>
      </c>
      <c r="AA430">
        <v>150164</v>
      </c>
      <c r="AB430" t="s">
        <v>29</v>
      </c>
      <c r="AD430" s="20">
        <v>45973</v>
      </c>
    </row>
    <row r="431" spans="1:30">
      <c r="A431">
        <v>452</v>
      </c>
      <c r="B431" t="str">
        <f>_xlfn.XLOOKUP(A431,Z:Z,AB:AB,"not found")</f>
        <v>USD</v>
      </c>
      <c r="C431">
        <f>_xlfn.XLOOKUP(A431,Z:Z,AA:AA)-_xlfn.XLOOKUP(A431,Q:Q,R:R,"0")</f>
        <v>54896.639999999999</v>
      </c>
      <c r="D431">
        <f>C431*_xlfn.XLOOKUP(B431,AG:AG,AH:AH)</f>
        <v>47211.110399999998</v>
      </c>
      <c r="E431">
        <f>C431*_xlfn.XLOOKUP(B431,AG:AG,AI:AI)</f>
        <v>54896.639999999999</v>
      </c>
      <c r="F431">
        <v>54896.639999999999</v>
      </c>
      <c r="G431">
        <f>F431*_xlfn.XLOOKUP(B431,AG:AG,AH:AH)</f>
        <v>47211.110399999998</v>
      </c>
      <c r="H431">
        <f>F431*_xlfn.XLOOKUP(B431,AG:AG,AI:AI)</f>
        <v>54896.639999999999</v>
      </c>
      <c r="I431">
        <f t="shared" si="32"/>
        <v>0</v>
      </c>
      <c r="J431">
        <f>I431*_xlfn.XLOOKUP(B431,AG:AG,AI:AI)</f>
        <v>0</v>
      </c>
      <c r="K431" s="7">
        <f>_xlfn.XLOOKUP(A431,Z:Z,AD:AD)</f>
        <v>46009</v>
      </c>
      <c r="L431" s="7">
        <f t="shared" si="33"/>
        <v>45979</v>
      </c>
      <c r="M431">
        <f t="shared" si="34"/>
        <v>11</v>
      </c>
      <c r="N431">
        <f t="shared" si="35"/>
        <v>2025</v>
      </c>
      <c r="Q431" s="22">
        <v>678</v>
      </c>
      <c r="R431" s="22">
        <v>2313.5</v>
      </c>
      <c r="S431" s="22" t="str">
        <f t="shared" si="36"/>
        <v>USD</v>
      </c>
      <c r="T431" s="22">
        <f>R431*_xlfn.XLOOKUP(S431,AG:AG,AI:AI)</f>
        <v>2313.5</v>
      </c>
      <c r="U431" s="22" t="s">
        <v>26</v>
      </c>
      <c r="W431" s="9">
        <v>371</v>
      </c>
      <c r="X431" s="9" t="s">
        <v>29</v>
      </c>
      <c r="Z431">
        <v>451</v>
      </c>
      <c r="AA431">
        <v>1465.04</v>
      </c>
      <c r="AB431" t="s">
        <v>29</v>
      </c>
      <c r="AD431" s="20">
        <v>45851</v>
      </c>
    </row>
    <row r="432" spans="1:30">
      <c r="A432">
        <v>453</v>
      </c>
      <c r="B432" t="str">
        <f>_xlfn.XLOOKUP(A432,Z:Z,AB:AB,"not found")</f>
        <v>USD</v>
      </c>
      <c r="C432">
        <f>_xlfn.XLOOKUP(A432,Z:Z,AA:AA)-_xlfn.XLOOKUP(A432,Q:Q,R:R,"0")</f>
        <v>62150</v>
      </c>
      <c r="D432">
        <f>C432*_xlfn.XLOOKUP(B432,AG:AG,AH:AH)</f>
        <v>53449</v>
      </c>
      <c r="E432">
        <f>C432*_xlfn.XLOOKUP(B432,AG:AG,AI:AI)</f>
        <v>62150</v>
      </c>
      <c r="F432">
        <v>62150</v>
      </c>
      <c r="G432">
        <f>F432*_xlfn.XLOOKUP(B432,AG:AG,AH:AH)</f>
        <v>53449</v>
      </c>
      <c r="H432">
        <f>F432*_xlfn.XLOOKUP(B432,AG:AG,AI:AI)</f>
        <v>62150</v>
      </c>
      <c r="I432">
        <f t="shared" si="32"/>
        <v>0</v>
      </c>
      <c r="J432">
        <f>I432*_xlfn.XLOOKUP(B432,AG:AG,AI:AI)</f>
        <v>0</v>
      </c>
      <c r="K432" s="7">
        <f>_xlfn.XLOOKUP(A432,Z:Z,AD:AD)</f>
        <v>46013</v>
      </c>
      <c r="L432" s="7">
        <f t="shared" si="33"/>
        <v>45983</v>
      </c>
      <c r="M432">
        <f t="shared" si="34"/>
        <v>11</v>
      </c>
      <c r="N432">
        <f t="shared" si="35"/>
        <v>2025</v>
      </c>
      <c r="Q432" s="22">
        <v>679</v>
      </c>
      <c r="R432" s="22">
        <v>11383</v>
      </c>
      <c r="S432" s="22" t="str">
        <f t="shared" si="36"/>
        <v>USD</v>
      </c>
      <c r="T432" s="22">
        <f>R432*_xlfn.XLOOKUP(S432,AG:AG,AI:AI)</f>
        <v>11383</v>
      </c>
      <c r="U432" s="22" t="s">
        <v>26</v>
      </c>
      <c r="W432" s="9">
        <v>374</v>
      </c>
      <c r="X432" s="9" t="s">
        <v>28</v>
      </c>
      <c r="Z432">
        <v>452</v>
      </c>
      <c r="AA432">
        <v>54896.639999999999</v>
      </c>
      <c r="AB432" t="s">
        <v>29</v>
      </c>
      <c r="AD432" s="20">
        <v>46009</v>
      </c>
    </row>
    <row r="433" spans="1:30">
      <c r="A433">
        <v>454</v>
      </c>
      <c r="B433" t="str">
        <f>_xlfn.XLOOKUP(A433,Z:Z,AB:AB,"not found")</f>
        <v>USD</v>
      </c>
      <c r="C433">
        <f>_xlfn.XLOOKUP(A433,Z:Z,AA:AA)-_xlfn.XLOOKUP(A433,Q:Q,R:R,"0")</f>
        <v>6243.3700000000026</v>
      </c>
      <c r="D433">
        <f>C433*_xlfn.XLOOKUP(B433,AG:AG,AH:AH)</f>
        <v>5369.298200000002</v>
      </c>
      <c r="E433">
        <f>C433*_xlfn.XLOOKUP(B433,AG:AG,AI:AI)</f>
        <v>6243.3700000000026</v>
      </c>
      <c r="F433">
        <v>42453.37</v>
      </c>
      <c r="G433">
        <f>F433*_xlfn.XLOOKUP(B433,AG:AG,AH:AH)</f>
        <v>36509.898200000003</v>
      </c>
      <c r="H433">
        <f>F433*_xlfn.XLOOKUP(B433,AG:AG,AI:AI)</f>
        <v>42453.37</v>
      </c>
      <c r="I433">
        <f t="shared" si="32"/>
        <v>0</v>
      </c>
      <c r="J433">
        <f>I433*_xlfn.XLOOKUP(B433,AG:AG,AI:AI)</f>
        <v>0</v>
      </c>
      <c r="K433" s="7">
        <f>_xlfn.XLOOKUP(A433,Z:Z,AD:AD)</f>
        <v>45871</v>
      </c>
      <c r="L433" s="7">
        <f t="shared" si="33"/>
        <v>45841</v>
      </c>
      <c r="M433">
        <f t="shared" si="34"/>
        <v>7</v>
      </c>
      <c r="N433">
        <f t="shared" si="35"/>
        <v>2025</v>
      </c>
      <c r="Q433" s="22">
        <v>680</v>
      </c>
      <c r="R433" s="22">
        <v>19184.04</v>
      </c>
      <c r="S433" s="22" t="str">
        <f t="shared" si="36"/>
        <v>USD</v>
      </c>
      <c r="T433" s="22">
        <f>R433*_xlfn.XLOOKUP(S433,AG:AG,AI:AI)</f>
        <v>19184.04</v>
      </c>
      <c r="U433" s="22" t="s">
        <v>26</v>
      </c>
      <c r="W433" s="9">
        <v>374</v>
      </c>
      <c r="X433" s="9" t="s">
        <v>28</v>
      </c>
      <c r="Z433">
        <v>453</v>
      </c>
      <c r="AA433">
        <v>62150</v>
      </c>
      <c r="AB433" t="s">
        <v>29</v>
      </c>
      <c r="AD433" s="20">
        <v>46013</v>
      </c>
    </row>
    <row r="434" spans="1:30">
      <c r="A434">
        <v>455</v>
      </c>
      <c r="B434" t="str">
        <f>_xlfn.XLOOKUP(A434,Z:Z,AB:AB,"not found")</f>
        <v>USD</v>
      </c>
      <c r="C434">
        <f>_xlfn.XLOOKUP(A434,Z:Z,AA:AA)-_xlfn.XLOOKUP(A434,Q:Q,R:R,"0")</f>
        <v>10840</v>
      </c>
      <c r="D434">
        <f>C434*_xlfn.XLOOKUP(B434,AG:AG,AH:AH)</f>
        <v>9322.4</v>
      </c>
      <c r="E434">
        <f>C434*_xlfn.XLOOKUP(B434,AG:AG,AI:AI)</f>
        <v>10840</v>
      </c>
      <c r="F434">
        <v>12505</v>
      </c>
      <c r="G434">
        <f>F434*_xlfn.XLOOKUP(B434,AG:AG,AH:AH)</f>
        <v>10754.3</v>
      </c>
      <c r="H434">
        <f>F434*_xlfn.XLOOKUP(B434,AG:AG,AI:AI)</f>
        <v>12505</v>
      </c>
      <c r="I434">
        <f t="shared" si="32"/>
        <v>0</v>
      </c>
      <c r="J434">
        <f>I434*_xlfn.XLOOKUP(B434,AG:AG,AI:AI)</f>
        <v>0</v>
      </c>
      <c r="K434" s="7">
        <f>_xlfn.XLOOKUP(A434,Z:Z,AD:AD)</f>
        <v>46137</v>
      </c>
      <c r="L434" s="7">
        <f t="shared" si="33"/>
        <v>46107</v>
      </c>
      <c r="M434">
        <f t="shared" si="34"/>
        <v>3</v>
      </c>
      <c r="N434">
        <f t="shared" si="35"/>
        <v>2026</v>
      </c>
      <c r="Q434" s="22">
        <v>683</v>
      </c>
      <c r="R434" s="22">
        <v>3081</v>
      </c>
      <c r="S434" s="22" t="str">
        <f t="shared" si="36"/>
        <v>GPB</v>
      </c>
      <c r="T434" s="22">
        <f>R434*_xlfn.XLOOKUP(S434,AG:AG,AI:AI)</f>
        <v>4128.54</v>
      </c>
      <c r="U434" s="22" t="s">
        <v>26</v>
      </c>
      <c r="W434" s="9">
        <v>375</v>
      </c>
      <c r="X434" s="9" t="s">
        <v>28</v>
      </c>
      <c r="Z434">
        <v>454</v>
      </c>
      <c r="AA434">
        <v>42453.37</v>
      </c>
      <c r="AB434" t="s">
        <v>29</v>
      </c>
      <c r="AD434" s="20">
        <v>45871</v>
      </c>
    </row>
    <row r="435" spans="1:30">
      <c r="A435">
        <v>456</v>
      </c>
      <c r="B435" t="str">
        <f>_xlfn.XLOOKUP(A435,Z:Z,AB:AB,"not found")</f>
        <v>USD</v>
      </c>
      <c r="C435">
        <f>_xlfn.XLOOKUP(A435,Z:Z,AA:AA)-_xlfn.XLOOKUP(A435,Q:Q,R:R,"0")</f>
        <v>0</v>
      </c>
      <c r="D435">
        <f>C435*_xlfn.XLOOKUP(B435,AG:AG,AH:AH)</f>
        <v>0</v>
      </c>
      <c r="E435">
        <f>C435*_xlfn.XLOOKUP(B435,AG:AG,AI:AI)</f>
        <v>0</v>
      </c>
      <c r="F435">
        <v>1205</v>
      </c>
      <c r="G435">
        <f>F435*_xlfn.XLOOKUP(B435,AG:AG,AH:AH)</f>
        <v>1036.3</v>
      </c>
      <c r="H435">
        <f>F435*_xlfn.XLOOKUP(B435,AG:AG,AI:AI)</f>
        <v>1205</v>
      </c>
      <c r="I435">
        <f t="shared" si="32"/>
        <v>0</v>
      </c>
      <c r="J435">
        <f>I435*_xlfn.XLOOKUP(B435,AG:AG,AI:AI)</f>
        <v>0</v>
      </c>
      <c r="K435" s="7">
        <f>_xlfn.XLOOKUP(A435,Z:Z,AD:AD)</f>
        <v>45721</v>
      </c>
      <c r="L435" s="7">
        <f t="shared" si="33"/>
        <v>45691</v>
      </c>
      <c r="M435">
        <f t="shared" si="34"/>
        <v>2</v>
      </c>
      <c r="N435">
        <f t="shared" si="35"/>
        <v>2025</v>
      </c>
      <c r="Q435" s="22">
        <v>684</v>
      </c>
      <c r="R435" s="22">
        <v>194.6</v>
      </c>
      <c r="S435" s="22" t="str">
        <f t="shared" si="36"/>
        <v>USD</v>
      </c>
      <c r="T435" s="22">
        <f>R435*_xlfn.XLOOKUP(S435,AG:AG,AI:AI)</f>
        <v>194.6</v>
      </c>
      <c r="U435" s="22" t="s">
        <v>26</v>
      </c>
      <c r="W435" s="9">
        <v>376</v>
      </c>
      <c r="X435" s="9" t="s">
        <v>29</v>
      </c>
      <c r="Z435">
        <v>455</v>
      </c>
      <c r="AA435">
        <v>12505</v>
      </c>
      <c r="AB435" t="s">
        <v>29</v>
      </c>
      <c r="AD435" s="20">
        <v>46137</v>
      </c>
    </row>
    <row r="436" spans="1:30">
      <c r="A436">
        <v>457</v>
      </c>
      <c r="B436" t="str">
        <f>_xlfn.XLOOKUP(A436,Z:Z,AB:AB,"not found")</f>
        <v>USD</v>
      </c>
      <c r="C436">
        <f>_xlfn.XLOOKUP(A436,Z:Z,AA:AA)-_xlfn.XLOOKUP(A436,Q:Q,R:R,"0")</f>
        <v>0</v>
      </c>
      <c r="D436">
        <f>C436*_xlfn.XLOOKUP(B436,AG:AG,AH:AH)</f>
        <v>0</v>
      </c>
      <c r="E436">
        <f>C436*_xlfn.XLOOKUP(B436,AG:AG,AI:AI)</f>
        <v>0</v>
      </c>
      <c r="F436">
        <v>780</v>
      </c>
      <c r="G436">
        <f>F436*_xlfn.XLOOKUP(B436,AG:AG,AH:AH)</f>
        <v>670.8</v>
      </c>
      <c r="H436">
        <f>F436*_xlfn.XLOOKUP(B436,AG:AG,AI:AI)</f>
        <v>780</v>
      </c>
      <c r="I436">
        <f t="shared" si="32"/>
        <v>0</v>
      </c>
      <c r="J436">
        <f>I436*_xlfn.XLOOKUP(B436,AG:AG,AI:AI)</f>
        <v>0</v>
      </c>
      <c r="K436" s="7">
        <f>_xlfn.XLOOKUP(A436,Z:Z,AD:AD)</f>
        <v>45754</v>
      </c>
      <c r="L436" s="7">
        <f t="shared" si="33"/>
        <v>45724</v>
      </c>
      <c r="M436">
        <f t="shared" si="34"/>
        <v>3</v>
      </c>
      <c r="N436">
        <f t="shared" si="35"/>
        <v>2025</v>
      </c>
      <c r="Q436" s="22">
        <v>686</v>
      </c>
      <c r="R436" s="22">
        <v>2417.65</v>
      </c>
      <c r="S436" s="22" t="str">
        <f t="shared" si="36"/>
        <v>EUR</v>
      </c>
      <c r="T436" s="22">
        <f>R436*_xlfn.XLOOKUP(S436,AG:AG,AI:AI)</f>
        <v>2804.4739999999997</v>
      </c>
      <c r="U436" s="22" t="s">
        <v>26</v>
      </c>
      <c r="W436" s="9">
        <v>377</v>
      </c>
      <c r="X436" s="9" t="s">
        <v>29</v>
      </c>
      <c r="Z436">
        <v>456</v>
      </c>
      <c r="AA436">
        <v>1205</v>
      </c>
      <c r="AB436" t="s">
        <v>29</v>
      </c>
      <c r="AD436" s="20">
        <v>45721</v>
      </c>
    </row>
    <row r="437" spans="1:30">
      <c r="A437">
        <v>458</v>
      </c>
      <c r="B437" t="str">
        <f>_xlfn.XLOOKUP(A437,Z:Z,AB:AB,"not found")</f>
        <v>USD</v>
      </c>
      <c r="C437">
        <f>_xlfn.XLOOKUP(A437,Z:Z,AA:AA)-_xlfn.XLOOKUP(A437,Q:Q,R:R,"0")</f>
        <v>0</v>
      </c>
      <c r="D437">
        <f>C437*_xlfn.XLOOKUP(B437,AG:AG,AH:AH)</f>
        <v>0</v>
      </c>
      <c r="E437">
        <f>C437*_xlfn.XLOOKUP(B437,AG:AG,AI:AI)</f>
        <v>0</v>
      </c>
      <c r="F437">
        <v>1465</v>
      </c>
      <c r="G437">
        <f>F437*_xlfn.XLOOKUP(B437,AG:AG,AH:AH)</f>
        <v>1259.9000000000001</v>
      </c>
      <c r="H437">
        <f>F437*_xlfn.XLOOKUP(B437,AG:AG,AI:AI)</f>
        <v>1465</v>
      </c>
      <c r="I437">
        <f t="shared" si="32"/>
        <v>0</v>
      </c>
      <c r="J437">
        <f>I437*_xlfn.XLOOKUP(B437,AG:AG,AI:AI)</f>
        <v>0</v>
      </c>
      <c r="K437" s="7">
        <f>_xlfn.XLOOKUP(A437,Z:Z,AD:AD)</f>
        <v>45795</v>
      </c>
      <c r="L437" s="7">
        <f t="shared" si="33"/>
        <v>45765</v>
      </c>
      <c r="M437">
        <f t="shared" si="34"/>
        <v>4</v>
      </c>
      <c r="N437">
        <f t="shared" si="35"/>
        <v>2025</v>
      </c>
      <c r="Q437" s="22">
        <v>692</v>
      </c>
      <c r="R437" s="22">
        <v>3288.3</v>
      </c>
      <c r="S437" s="22" t="str">
        <f t="shared" si="36"/>
        <v>USD</v>
      </c>
      <c r="T437" s="22">
        <f>R437*_xlfn.XLOOKUP(S437,AG:AG,AI:AI)</f>
        <v>3288.3</v>
      </c>
      <c r="U437" s="22" t="s">
        <v>26</v>
      </c>
      <c r="W437" s="9">
        <v>378</v>
      </c>
      <c r="X437" s="9" t="s">
        <v>29</v>
      </c>
      <c r="Z437">
        <v>457</v>
      </c>
      <c r="AA437">
        <v>780</v>
      </c>
      <c r="AB437" t="s">
        <v>29</v>
      </c>
      <c r="AD437" s="20">
        <v>45754</v>
      </c>
    </row>
    <row r="438" spans="1:30">
      <c r="A438">
        <v>459</v>
      </c>
      <c r="B438" t="str">
        <f>_xlfn.XLOOKUP(A438,Z:Z,AB:AB,"not found")</f>
        <v>USD</v>
      </c>
      <c r="C438">
        <f>_xlfn.XLOOKUP(A438,Z:Z,AA:AA)-_xlfn.XLOOKUP(A438,Q:Q,R:R,"0")</f>
        <v>0</v>
      </c>
      <c r="D438">
        <f>C438*_xlfn.XLOOKUP(B438,AG:AG,AH:AH)</f>
        <v>0</v>
      </c>
      <c r="E438">
        <f>C438*_xlfn.XLOOKUP(B438,AG:AG,AI:AI)</f>
        <v>0</v>
      </c>
      <c r="F438">
        <v>305</v>
      </c>
      <c r="G438">
        <f>F438*_xlfn.XLOOKUP(B438,AG:AG,AH:AH)</f>
        <v>262.3</v>
      </c>
      <c r="H438">
        <f>F438*_xlfn.XLOOKUP(B438,AG:AG,AI:AI)</f>
        <v>305</v>
      </c>
      <c r="I438">
        <f t="shared" si="32"/>
        <v>0</v>
      </c>
      <c r="J438">
        <f>I438*_xlfn.XLOOKUP(B438,AG:AG,AI:AI)</f>
        <v>0</v>
      </c>
      <c r="K438" s="7">
        <f>_xlfn.XLOOKUP(A438,Z:Z,AD:AD)</f>
        <v>45804</v>
      </c>
      <c r="L438" s="7">
        <f t="shared" si="33"/>
        <v>45774</v>
      </c>
      <c r="M438">
        <f t="shared" si="34"/>
        <v>4</v>
      </c>
      <c r="N438">
        <f t="shared" si="35"/>
        <v>2025</v>
      </c>
      <c r="Q438" s="22">
        <v>693</v>
      </c>
      <c r="R438" s="22">
        <v>6460</v>
      </c>
      <c r="S438" s="22" t="str">
        <f t="shared" si="36"/>
        <v>EUR</v>
      </c>
      <c r="T438" s="22">
        <f>R438*_xlfn.XLOOKUP(S438,AG:AG,AI:AI)</f>
        <v>7493.5999999999995</v>
      </c>
      <c r="U438" s="22" t="s">
        <v>26</v>
      </c>
      <c r="W438" s="9">
        <v>379</v>
      </c>
      <c r="X438" s="9" t="s">
        <v>29</v>
      </c>
      <c r="Z438">
        <v>458</v>
      </c>
      <c r="AA438">
        <v>1465</v>
      </c>
      <c r="AB438" t="s">
        <v>29</v>
      </c>
      <c r="AD438" s="20">
        <v>45795</v>
      </c>
    </row>
    <row r="439" spans="1:30">
      <c r="A439">
        <v>460</v>
      </c>
      <c r="B439" t="str">
        <f>_xlfn.XLOOKUP(A439,Z:Z,AB:AB,"not found")</f>
        <v>USD</v>
      </c>
      <c r="C439">
        <f>_xlfn.XLOOKUP(A439,Z:Z,AA:AA)-_xlfn.XLOOKUP(A439,Q:Q,R:R,"0")</f>
        <v>0</v>
      </c>
      <c r="D439">
        <f>C439*_xlfn.XLOOKUP(B439,AG:AG,AH:AH)</f>
        <v>0</v>
      </c>
      <c r="E439">
        <f>C439*_xlfn.XLOOKUP(B439,AG:AG,AI:AI)</f>
        <v>0</v>
      </c>
      <c r="F439">
        <v>2832</v>
      </c>
      <c r="G439">
        <f>F439*_xlfn.XLOOKUP(B439,AG:AG,AH:AH)</f>
        <v>2435.52</v>
      </c>
      <c r="H439">
        <f>F439*_xlfn.XLOOKUP(B439,AG:AG,AI:AI)</f>
        <v>2832</v>
      </c>
      <c r="I439">
        <f t="shared" si="32"/>
        <v>0</v>
      </c>
      <c r="J439">
        <f>I439*_xlfn.XLOOKUP(B439,AG:AG,AI:AI)</f>
        <v>0</v>
      </c>
      <c r="K439" s="7">
        <f>_xlfn.XLOOKUP(A439,Z:Z,AD:AD)</f>
        <v>45840</v>
      </c>
      <c r="L439" s="7">
        <f t="shared" si="33"/>
        <v>45810</v>
      </c>
      <c r="M439">
        <f t="shared" si="34"/>
        <v>6</v>
      </c>
      <c r="N439">
        <f t="shared" si="35"/>
        <v>2025</v>
      </c>
      <c r="Q439" s="22">
        <v>694</v>
      </c>
      <c r="R439" s="22">
        <v>6975</v>
      </c>
      <c r="S439" s="22" t="str">
        <f t="shared" si="36"/>
        <v>EUR</v>
      </c>
      <c r="T439" s="22">
        <f>R439*_xlfn.XLOOKUP(S439,AG:AG,AI:AI)</f>
        <v>8090.9999999999991</v>
      </c>
      <c r="U439" s="22" t="s">
        <v>26</v>
      </c>
      <c r="W439" s="9">
        <v>379</v>
      </c>
      <c r="X439" s="9" t="s">
        <v>29</v>
      </c>
      <c r="Z439">
        <v>459</v>
      </c>
      <c r="AA439">
        <v>305</v>
      </c>
      <c r="AB439" t="s">
        <v>29</v>
      </c>
      <c r="AD439" s="20">
        <v>45804</v>
      </c>
    </row>
    <row r="440" spans="1:30">
      <c r="A440">
        <v>461</v>
      </c>
      <c r="B440" t="str">
        <f>_xlfn.XLOOKUP(A440,Z:Z,AB:AB,"not found")</f>
        <v>MXN</v>
      </c>
      <c r="C440">
        <f>_xlfn.XLOOKUP(A440,Z:Z,AA:AA)-_xlfn.XLOOKUP(A440,Q:Q,R:R,"0")</f>
        <v>0</v>
      </c>
      <c r="D440">
        <f>C440*_xlfn.XLOOKUP(B440,AG:AG,AH:AH)</f>
        <v>0</v>
      </c>
      <c r="E440">
        <f>C440*_xlfn.XLOOKUP(B440,AG:AG,AI:AI)</f>
        <v>0</v>
      </c>
      <c r="F440">
        <v>10222</v>
      </c>
      <c r="G440">
        <f>F440*_xlfn.XLOOKUP(B440,AG:AG,AH:AH)</f>
        <v>490.65600000000001</v>
      </c>
      <c r="H440">
        <f>F440*_xlfn.XLOOKUP(B440,AG:AG,AI:AI)</f>
        <v>572.43200000000002</v>
      </c>
      <c r="I440">
        <f t="shared" si="32"/>
        <v>0</v>
      </c>
      <c r="J440">
        <f>I440*_xlfn.XLOOKUP(B440,AG:AG,AI:AI)</f>
        <v>0</v>
      </c>
      <c r="K440" s="7">
        <f>_xlfn.XLOOKUP(A440,Z:Z,AD:AD)</f>
        <v>45862</v>
      </c>
      <c r="L440" s="7">
        <f t="shared" si="33"/>
        <v>45832</v>
      </c>
      <c r="M440">
        <f t="shared" si="34"/>
        <v>6</v>
      </c>
      <c r="N440">
        <f t="shared" si="35"/>
        <v>2025</v>
      </c>
      <c r="Q440" s="22">
        <v>696</v>
      </c>
      <c r="R440" s="22">
        <v>23507.210000000003</v>
      </c>
      <c r="S440" s="22" t="str">
        <f t="shared" si="36"/>
        <v>USD</v>
      </c>
      <c r="T440" s="22">
        <f>R440*_xlfn.XLOOKUP(S440,AG:AG,AI:AI)</f>
        <v>23507.210000000003</v>
      </c>
      <c r="U440" s="22" t="s">
        <v>26</v>
      </c>
      <c r="W440" s="9">
        <v>379</v>
      </c>
      <c r="X440" s="9" t="s">
        <v>29</v>
      </c>
      <c r="Z440">
        <v>460</v>
      </c>
      <c r="AA440">
        <v>2832</v>
      </c>
      <c r="AB440" t="s">
        <v>29</v>
      </c>
      <c r="AD440" s="20">
        <v>45840</v>
      </c>
    </row>
    <row r="441" spans="1:30">
      <c r="A441">
        <v>462</v>
      </c>
      <c r="B441" t="str">
        <f>_xlfn.XLOOKUP(A441,Z:Z,AB:AB,"not found")</f>
        <v>USD</v>
      </c>
      <c r="C441">
        <f>_xlfn.XLOOKUP(A441,Z:Z,AA:AA)-_xlfn.XLOOKUP(A441,Q:Q,R:R,"0")</f>
        <v>17476.89</v>
      </c>
      <c r="D441">
        <f>C441*_xlfn.XLOOKUP(B441,AG:AG,AH:AH)</f>
        <v>15030.125399999999</v>
      </c>
      <c r="E441">
        <f>C441*_xlfn.XLOOKUP(B441,AG:AG,AI:AI)</f>
        <v>17476.89</v>
      </c>
      <c r="F441">
        <v>28262.89</v>
      </c>
      <c r="G441">
        <f>F441*_xlfn.XLOOKUP(B441,AG:AG,AH:AH)</f>
        <v>24306.0854</v>
      </c>
      <c r="H441">
        <f>F441*_xlfn.XLOOKUP(B441,AG:AG,AI:AI)</f>
        <v>28262.89</v>
      </c>
      <c r="I441">
        <f t="shared" si="32"/>
        <v>0</v>
      </c>
      <c r="J441">
        <f>I441*_xlfn.XLOOKUP(B441,AG:AG,AI:AI)</f>
        <v>0</v>
      </c>
      <c r="K441" s="7">
        <f>_xlfn.XLOOKUP(A441,Z:Z,AD:AD)</f>
        <v>45902</v>
      </c>
      <c r="L441" s="7">
        <f t="shared" si="33"/>
        <v>45872</v>
      </c>
      <c r="M441">
        <f t="shared" si="34"/>
        <v>8</v>
      </c>
      <c r="N441">
        <f t="shared" si="35"/>
        <v>2025</v>
      </c>
      <c r="Q441" s="22">
        <v>699</v>
      </c>
      <c r="R441" s="22">
        <v>1825</v>
      </c>
      <c r="S441" s="22" t="str">
        <f t="shared" si="36"/>
        <v>USD</v>
      </c>
      <c r="T441" s="22">
        <f>R441*_xlfn.XLOOKUP(S441,AG:AG,AI:AI)</f>
        <v>1825</v>
      </c>
      <c r="U441" s="22" t="s">
        <v>26</v>
      </c>
      <c r="W441" s="9">
        <v>380</v>
      </c>
      <c r="X441" s="9" t="s">
        <v>29</v>
      </c>
      <c r="Z441">
        <v>461</v>
      </c>
      <c r="AA441">
        <v>10222</v>
      </c>
      <c r="AB441" t="s">
        <v>28</v>
      </c>
      <c r="AD441" s="20">
        <v>45862</v>
      </c>
    </row>
    <row r="442" spans="1:30">
      <c r="A442">
        <v>463</v>
      </c>
      <c r="B442" t="str">
        <f>_xlfn.XLOOKUP(A442,Z:Z,AB:AB,"not found")</f>
        <v>MXN</v>
      </c>
      <c r="C442">
        <f>_xlfn.XLOOKUP(A442,Z:Z,AA:AA)-_xlfn.XLOOKUP(A442,Q:Q,R:R,"0")</f>
        <v>0</v>
      </c>
      <c r="D442">
        <f>C442*_xlfn.XLOOKUP(B442,AG:AG,AH:AH)</f>
        <v>0</v>
      </c>
      <c r="E442">
        <f>C442*_xlfn.XLOOKUP(B442,AG:AG,AI:AI)</f>
        <v>0</v>
      </c>
      <c r="F442">
        <v>34866</v>
      </c>
      <c r="G442">
        <f>F442*_xlfn.XLOOKUP(B442,AG:AG,AH:AH)</f>
        <v>1673.568</v>
      </c>
      <c r="H442">
        <f>F442*_xlfn.XLOOKUP(B442,AG:AG,AI:AI)</f>
        <v>1952.4960000000001</v>
      </c>
      <c r="I442">
        <f t="shared" si="32"/>
        <v>0</v>
      </c>
      <c r="J442">
        <f>I442*_xlfn.XLOOKUP(B442,AG:AG,AI:AI)</f>
        <v>0</v>
      </c>
      <c r="K442" s="7">
        <f>_xlfn.XLOOKUP(A442,Z:Z,AD:AD)</f>
        <v>45847</v>
      </c>
      <c r="L442" s="7">
        <f t="shared" si="33"/>
        <v>45817</v>
      </c>
      <c r="M442">
        <f t="shared" si="34"/>
        <v>6</v>
      </c>
      <c r="N442">
        <f t="shared" si="35"/>
        <v>2025</v>
      </c>
      <c r="Q442" s="22">
        <v>700</v>
      </c>
      <c r="R442" s="22">
        <v>260</v>
      </c>
      <c r="S442" s="22" t="str">
        <f t="shared" si="36"/>
        <v>USD</v>
      </c>
      <c r="T442" s="22">
        <f>R442*_xlfn.XLOOKUP(S442,AG:AG,AI:AI)</f>
        <v>260</v>
      </c>
      <c r="U442" s="22" t="s">
        <v>26</v>
      </c>
      <c r="W442" s="9">
        <v>382</v>
      </c>
      <c r="X442" s="9" t="s">
        <v>29</v>
      </c>
      <c r="Z442">
        <v>462</v>
      </c>
      <c r="AA442">
        <v>28262.89</v>
      </c>
      <c r="AB442" t="s">
        <v>29</v>
      </c>
      <c r="AD442" s="20">
        <v>45902</v>
      </c>
    </row>
    <row r="443" spans="1:30">
      <c r="A443">
        <v>464</v>
      </c>
      <c r="B443" t="str">
        <f>_xlfn.XLOOKUP(A443,Z:Z,AB:AB,"not found")</f>
        <v>USD</v>
      </c>
      <c r="C443">
        <f>_xlfn.XLOOKUP(A443,Z:Z,AA:AA)-_xlfn.XLOOKUP(A443,Q:Q,R:R,"0")</f>
        <v>0</v>
      </c>
      <c r="D443">
        <f>C443*_xlfn.XLOOKUP(B443,AG:AG,AH:AH)</f>
        <v>0</v>
      </c>
      <c r="E443">
        <f>C443*_xlfn.XLOOKUP(B443,AG:AG,AI:AI)</f>
        <v>0</v>
      </c>
      <c r="F443">
        <v>2267.5</v>
      </c>
      <c r="G443">
        <f>F443*_xlfn.XLOOKUP(B443,AG:AG,AH:AH)</f>
        <v>1950.05</v>
      </c>
      <c r="H443">
        <f>F443*_xlfn.XLOOKUP(B443,AG:AG,AI:AI)</f>
        <v>2267.5</v>
      </c>
      <c r="I443">
        <f t="shared" si="32"/>
        <v>0</v>
      </c>
      <c r="J443">
        <f>I443*_xlfn.XLOOKUP(B443,AG:AG,AI:AI)</f>
        <v>0</v>
      </c>
      <c r="K443" s="7">
        <f>_xlfn.XLOOKUP(A443,Z:Z,AD:AD)</f>
        <v>45838</v>
      </c>
      <c r="L443" s="7">
        <f t="shared" si="33"/>
        <v>45808</v>
      </c>
      <c r="M443">
        <f t="shared" si="34"/>
        <v>5</v>
      </c>
      <c r="N443">
        <f t="shared" si="35"/>
        <v>2025</v>
      </c>
      <c r="Q443" s="22">
        <v>701</v>
      </c>
      <c r="R443" s="22">
        <v>3915</v>
      </c>
      <c r="S443" s="22" t="str">
        <f t="shared" si="36"/>
        <v>USD</v>
      </c>
      <c r="T443" s="22">
        <f>R443*_xlfn.XLOOKUP(S443,AG:AG,AI:AI)</f>
        <v>3915</v>
      </c>
      <c r="U443" s="22" t="s">
        <v>26</v>
      </c>
      <c r="W443" s="9">
        <v>382</v>
      </c>
      <c r="X443" s="9" t="s">
        <v>29</v>
      </c>
      <c r="Z443">
        <v>463</v>
      </c>
      <c r="AA443">
        <v>34866</v>
      </c>
      <c r="AB443" t="s">
        <v>28</v>
      </c>
      <c r="AD443" s="20">
        <v>45847</v>
      </c>
    </row>
    <row r="444" spans="1:30">
      <c r="A444">
        <v>465</v>
      </c>
      <c r="B444" t="str">
        <f>_xlfn.XLOOKUP(A444,Z:Z,AB:AB,"not found")</f>
        <v>EUR</v>
      </c>
      <c r="C444">
        <f>_xlfn.XLOOKUP(A444,Z:Z,AA:AA)-_xlfn.XLOOKUP(A444,Q:Q,R:R,"0")</f>
        <v>0</v>
      </c>
      <c r="D444">
        <f>C444*_xlfn.XLOOKUP(B444,AG:AG,AH:AH)</f>
        <v>0</v>
      </c>
      <c r="E444">
        <f>C444*_xlfn.XLOOKUP(B444,AG:AG,AI:AI)</f>
        <v>0</v>
      </c>
      <c r="F444">
        <v>9065</v>
      </c>
      <c r="G444">
        <f>F444*_xlfn.XLOOKUP(B444,AG:AG,AH:AH)</f>
        <v>9065</v>
      </c>
      <c r="H444">
        <f>F444*_xlfn.XLOOKUP(B444,AG:AG,AI:AI)</f>
        <v>10515.4</v>
      </c>
      <c r="I444">
        <f t="shared" si="32"/>
        <v>0</v>
      </c>
      <c r="J444">
        <f>I444*_xlfn.XLOOKUP(B444,AG:AG,AI:AI)</f>
        <v>0</v>
      </c>
      <c r="K444" s="7">
        <f>_xlfn.XLOOKUP(A444,Z:Z,AD:AD)</f>
        <v>45869</v>
      </c>
      <c r="L444" s="7">
        <f t="shared" si="33"/>
        <v>45839</v>
      </c>
      <c r="M444">
        <f t="shared" si="34"/>
        <v>7</v>
      </c>
      <c r="N444">
        <f t="shared" si="35"/>
        <v>2025</v>
      </c>
      <c r="Q444" s="22">
        <v>702</v>
      </c>
      <c r="R444" s="22">
        <v>796.16</v>
      </c>
      <c r="S444" s="22" t="str">
        <f t="shared" si="36"/>
        <v>USD</v>
      </c>
      <c r="T444" s="22">
        <f>R444*_xlfn.XLOOKUP(S444,AG:AG,AI:AI)</f>
        <v>796.16</v>
      </c>
      <c r="U444" s="22" t="s">
        <v>26</v>
      </c>
      <c r="W444" s="9">
        <v>384</v>
      </c>
      <c r="X444" s="9" t="s">
        <v>29</v>
      </c>
      <c r="Z444">
        <v>464</v>
      </c>
      <c r="AA444">
        <v>2267.5</v>
      </c>
      <c r="AB444" t="s">
        <v>29</v>
      </c>
      <c r="AD444" s="20">
        <v>45838</v>
      </c>
    </row>
    <row r="445" spans="1:30">
      <c r="A445">
        <v>466</v>
      </c>
      <c r="B445" t="str">
        <f>_xlfn.XLOOKUP(A445,Z:Z,AB:AB,"not found")</f>
        <v>USD</v>
      </c>
      <c r="C445">
        <f>_xlfn.XLOOKUP(A445,Z:Z,AA:AA)-_xlfn.XLOOKUP(A445,Q:Q,R:R,"0")</f>
        <v>5973.85</v>
      </c>
      <c r="D445">
        <f>C445*_xlfn.XLOOKUP(B445,AG:AG,AH:AH)</f>
        <v>5137.5110000000004</v>
      </c>
      <c r="E445">
        <f>C445*_xlfn.XLOOKUP(B445,AG:AG,AI:AI)</f>
        <v>5973.85</v>
      </c>
      <c r="F445">
        <v>5973.85</v>
      </c>
      <c r="G445">
        <f>F445*_xlfn.XLOOKUP(B445,AG:AG,AH:AH)</f>
        <v>5137.5110000000004</v>
      </c>
      <c r="H445">
        <f>F445*_xlfn.XLOOKUP(B445,AG:AG,AI:AI)</f>
        <v>5973.85</v>
      </c>
      <c r="I445">
        <f t="shared" si="32"/>
        <v>0</v>
      </c>
      <c r="J445">
        <f>I445*_xlfn.XLOOKUP(B445,AG:AG,AI:AI)</f>
        <v>0</v>
      </c>
      <c r="K445" s="7">
        <f>_xlfn.XLOOKUP(A445,Z:Z,AD:AD)</f>
        <v>45950</v>
      </c>
      <c r="L445" s="7">
        <f t="shared" si="33"/>
        <v>45920</v>
      </c>
      <c r="M445">
        <f t="shared" si="34"/>
        <v>9</v>
      </c>
      <c r="N445">
        <f t="shared" si="35"/>
        <v>2025</v>
      </c>
      <c r="Q445" s="22">
        <v>704</v>
      </c>
      <c r="R445" s="22">
        <v>9825.94</v>
      </c>
      <c r="S445" s="22" t="str">
        <f t="shared" si="36"/>
        <v>USD</v>
      </c>
      <c r="T445" s="22">
        <f>R445*_xlfn.XLOOKUP(S445,AG:AG,AI:AI)</f>
        <v>9825.94</v>
      </c>
      <c r="U445" s="22" t="s">
        <v>26</v>
      </c>
      <c r="W445" s="9">
        <v>385</v>
      </c>
      <c r="X445" s="9" t="s">
        <v>29</v>
      </c>
      <c r="Z445">
        <v>465</v>
      </c>
      <c r="AA445">
        <v>9065</v>
      </c>
      <c r="AB445" t="s">
        <v>27</v>
      </c>
      <c r="AD445" s="20">
        <v>45869</v>
      </c>
    </row>
    <row r="446" spans="1:30">
      <c r="A446">
        <v>467</v>
      </c>
      <c r="B446" t="str">
        <f>_xlfn.XLOOKUP(A446,Z:Z,AB:AB,"not found")</f>
        <v>MXN</v>
      </c>
      <c r="C446">
        <f>_xlfn.XLOOKUP(A446,Z:Z,AA:AA)-_xlfn.XLOOKUP(A446,Q:Q,R:R,"0")</f>
        <v>0</v>
      </c>
      <c r="D446">
        <f>C446*_xlfn.XLOOKUP(B446,AG:AG,AH:AH)</f>
        <v>0</v>
      </c>
      <c r="E446">
        <f>C446*_xlfn.XLOOKUP(B446,AG:AG,AI:AI)</f>
        <v>0</v>
      </c>
      <c r="F446">
        <v>80360.45</v>
      </c>
      <c r="G446">
        <f>F446*_xlfn.XLOOKUP(B446,AG:AG,AH:AH)</f>
        <v>3857.3015999999998</v>
      </c>
      <c r="H446">
        <f>F446*_xlfn.XLOOKUP(B446,AG:AG,AI:AI)</f>
        <v>4500.1851999999999</v>
      </c>
      <c r="I446">
        <f t="shared" si="32"/>
        <v>0</v>
      </c>
      <c r="J446">
        <f>I446*_xlfn.XLOOKUP(B446,AG:AG,AI:AI)</f>
        <v>0</v>
      </c>
      <c r="K446" s="7">
        <f>_xlfn.XLOOKUP(A446,Z:Z,AD:AD)</f>
        <v>45805</v>
      </c>
      <c r="L446" s="7">
        <f t="shared" si="33"/>
        <v>45775</v>
      </c>
      <c r="M446">
        <f t="shared" si="34"/>
        <v>4</v>
      </c>
      <c r="N446">
        <f t="shared" si="35"/>
        <v>2025</v>
      </c>
      <c r="Q446" s="22">
        <v>706</v>
      </c>
      <c r="R446" s="22">
        <v>10334.1</v>
      </c>
      <c r="S446" s="22" t="str">
        <f t="shared" si="36"/>
        <v>USD</v>
      </c>
      <c r="T446" s="22">
        <f>R446*_xlfn.XLOOKUP(S446,AG:AG,AI:AI)</f>
        <v>10334.1</v>
      </c>
      <c r="U446" s="22" t="s">
        <v>26</v>
      </c>
      <c r="W446" s="9">
        <v>386</v>
      </c>
      <c r="X446" s="9" t="s">
        <v>29</v>
      </c>
      <c r="Z446">
        <v>466</v>
      </c>
      <c r="AA446">
        <v>5973.85</v>
      </c>
      <c r="AB446" t="s">
        <v>29</v>
      </c>
      <c r="AD446" s="20">
        <v>45950</v>
      </c>
    </row>
    <row r="447" spans="1:30">
      <c r="A447">
        <v>468</v>
      </c>
      <c r="B447" t="str">
        <f>_xlfn.XLOOKUP(A447,Z:Z,AB:AB,"not found")</f>
        <v>USD</v>
      </c>
      <c r="C447">
        <f>_xlfn.XLOOKUP(A447,Z:Z,AA:AA)-_xlfn.XLOOKUP(A447,Q:Q,R:R,"0")</f>
        <v>0</v>
      </c>
      <c r="D447">
        <f>C447*_xlfn.XLOOKUP(B447,AG:AG,AH:AH)</f>
        <v>0</v>
      </c>
      <c r="E447">
        <f>C447*_xlfn.XLOOKUP(B447,AG:AG,AI:AI)</f>
        <v>0</v>
      </c>
      <c r="F447">
        <v>31263.040000000001</v>
      </c>
      <c r="G447">
        <f>F447*_xlfn.XLOOKUP(B447,AG:AG,AH:AH)</f>
        <v>26886.214400000001</v>
      </c>
      <c r="H447">
        <f>F447*_xlfn.XLOOKUP(B447,AG:AG,AI:AI)</f>
        <v>31263.040000000001</v>
      </c>
      <c r="I447">
        <f t="shared" si="32"/>
        <v>0</v>
      </c>
      <c r="J447">
        <f>I447*_xlfn.XLOOKUP(B447,AG:AG,AI:AI)</f>
        <v>0</v>
      </c>
      <c r="K447" s="7">
        <f>_xlfn.XLOOKUP(A447,Z:Z,AD:AD)</f>
        <v>45945</v>
      </c>
      <c r="L447" s="7">
        <f t="shared" si="33"/>
        <v>45915</v>
      </c>
      <c r="M447">
        <f t="shared" si="34"/>
        <v>9</v>
      </c>
      <c r="N447">
        <f t="shared" si="35"/>
        <v>2025</v>
      </c>
      <c r="Q447" s="22">
        <v>707</v>
      </c>
      <c r="R447" s="22">
        <v>29787.300000000003</v>
      </c>
      <c r="S447" s="22" t="str">
        <f t="shared" si="36"/>
        <v>USD</v>
      </c>
      <c r="T447" s="22">
        <f>R447*_xlfn.XLOOKUP(S447,AG:AG,AI:AI)</f>
        <v>29787.300000000003</v>
      </c>
      <c r="U447" s="22" t="s">
        <v>26</v>
      </c>
      <c r="W447" s="9">
        <v>387</v>
      </c>
      <c r="X447" s="9" t="s">
        <v>29</v>
      </c>
      <c r="Z447">
        <v>467</v>
      </c>
      <c r="AA447">
        <v>80360.45</v>
      </c>
      <c r="AB447" t="s">
        <v>28</v>
      </c>
      <c r="AD447" s="20">
        <v>45805</v>
      </c>
    </row>
    <row r="448" spans="1:30">
      <c r="A448">
        <v>469</v>
      </c>
      <c r="B448" t="str">
        <f>_xlfn.XLOOKUP(A448,Z:Z,AB:AB,"not found")</f>
        <v>USD</v>
      </c>
      <c r="C448">
        <f>_xlfn.XLOOKUP(A448,Z:Z,AA:AA)-_xlfn.XLOOKUP(A448,Q:Q,R:R,"0")</f>
        <v>0</v>
      </c>
      <c r="D448">
        <f>C448*_xlfn.XLOOKUP(B448,AG:AG,AH:AH)</f>
        <v>0</v>
      </c>
      <c r="E448">
        <f>C448*_xlfn.XLOOKUP(B448,AG:AG,AI:AI)</f>
        <v>0</v>
      </c>
      <c r="F448">
        <v>670.22</v>
      </c>
      <c r="G448">
        <f>F448*_xlfn.XLOOKUP(B448,AG:AG,AH:AH)</f>
        <v>576.38919999999996</v>
      </c>
      <c r="H448">
        <f>F448*_xlfn.XLOOKUP(B448,AG:AG,AI:AI)</f>
        <v>670.22</v>
      </c>
      <c r="I448">
        <f t="shared" si="32"/>
        <v>0</v>
      </c>
      <c r="J448">
        <f>I448*_xlfn.XLOOKUP(B448,AG:AG,AI:AI)</f>
        <v>0</v>
      </c>
      <c r="K448" s="7">
        <f>_xlfn.XLOOKUP(A448,Z:Z,AD:AD)</f>
        <v>45766</v>
      </c>
      <c r="L448" s="7">
        <f t="shared" si="33"/>
        <v>45736</v>
      </c>
      <c r="M448">
        <f t="shared" si="34"/>
        <v>3</v>
      </c>
      <c r="N448">
        <f t="shared" si="35"/>
        <v>2025</v>
      </c>
      <c r="Q448" s="22">
        <v>709</v>
      </c>
      <c r="R448" s="22">
        <v>3780</v>
      </c>
      <c r="S448" s="22" t="str">
        <f t="shared" si="36"/>
        <v>CHF</v>
      </c>
      <c r="T448" s="22">
        <f>R448*_xlfn.XLOOKUP(S448,AG:AG,AI:AI)</f>
        <v>4725</v>
      </c>
      <c r="U448" s="22" t="s">
        <v>26</v>
      </c>
      <c r="W448" s="9">
        <v>388</v>
      </c>
      <c r="X448" s="9" t="s">
        <v>29</v>
      </c>
      <c r="Z448">
        <v>468</v>
      </c>
      <c r="AA448">
        <v>31263.040000000001</v>
      </c>
      <c r="AB448" t="s">
        <v>29</v>
      </c>
      <c r="AD448" s="20">
        <v>45945</v>
      </c>
    </row>
    <row r="449" spans="1:30">
      <c r="A449">
        <v>470</v>
      </c>
      <c r="B449" t="str">
        <f>_xlfn.XLOOKUP(A449,Z:Z,AB:AB,"not found")</f>
        <v>USD</v>
      </c>
      <c r="C449">
        <f>_xlfn.XLOOKUP(A449,Z:Z,AA:AA)-_xlfn.XLOOKUP(A449,Q:Q,R:R,"0")</f>
        <v>9343.93</v>
      </c>
      <c r="D449">
        <f>C449*_xlfn.XLOOKUP(B449,AG:AG,AH:AH)</f>
        <v>8035.7798000000003</v>
      </c>
      <c r="E449">
        <f>C449*_xlfn.XLOOKUP(B449,AG:AG,AI:AI)</f>
        <v>9343.93</v>
      </c>
      <c r="F449">
        <v>14990.25</v>
      </c>
      <c r="G449">
        <f>F449*_xlfn.XLOOKUP(B449,AG:AG,AH:AH)</f>
        <v>12891.615</v>
      </c>
      <c r="H449">
        <f>F449*_xlfn.XLOOKUP(B449,AG:AG,AI:AI)</f>
        <v>14990.25</v>
      </c>
      <c r="I449">
        <f t="shared" si="32"/>
        <v>0</v>
      </c>
      <c r="J449">
        <f>I449*_xlfn.XLOOKUP(B449,AG:AG,AI:AI)</f>
        <v>0</v>
      </c>
      <c r="K449" s="7">
        <f>_xlfn.XLOOKUP(A449,Z:Z,AD:AD)</f>
        <v>45847</v>
      </c>
      <c r="L449" s="7">
        <f t="shared" si="33"/>
        <v>45817</v>
      </c>
      <c r="M449">
        <f t="shared" si="34"/>
        <v>6</v>
      </c>
      <c r="N449">
        <f t="shared" si="35"/>
        <v>2025</v>
      </c>
      <c r="Q449" s="22">
        <v>710</v>
      </c>
      <c r="R449" s="22">
        <v>6025</v>
      </c>
      <c r="S449" s="22" t="str">
        <f t="shared" si="36"/>
        <v>EUR</v>
      </c>
      <c r="T449" s="22">
        <f>R449*_xlfn.XLOOKUP(S449,AG:AG,AI:AI)</f>
        <v>6988.9999999999991</v>
      </c>
      <c r="U449" s="22" t="s">
        <v>26</v>
      </c>
      <c r="W449" s="9">
        <v>388</v>
      </c>
      <c r="X449" s="9" t="s">
        <v>29</v>
      </c>
      <c r="Z449">
        <v>469</v>
      </c>
      <c r="AA449">
        <v>670.22</v>
      </c>
      <c r="AB449" t="s">
        <v>29</v>
      </c>
      <c r="AD449" s="20">
        <v>45766</v>
      </c>
    </row>
    <row r="450" spans="1:30">
      <c r="A450">
        <v>471</v>
      </c>
      <c r="B450" t="str">
        <f>_xlfn.XLOOKUP(A450,Z:Z,AB:AB,"not found")</f>
        <v>USD</v>
      </c>
      <c r="C450">
        <f>_xlfn.XLOOKUP(A450,Z:Z,AA:AA)-_xlfn.XLOOKUP(A450,Q:Q,R:R,"0")</f>
        <v>0</v>
      </c>
      <c r="D450">
        <f>C450*_xlfn.XLOOKUP(B450,AG:AG,AH:AH)</f>
        <v>0</v>
      </c>
      <c r="E450">
        <f>C450*_xlfn.XLOOKUP(B450,AG:AG,AI:AI)</f>
        <v>0</v>
      </c>
      <c r="F450">
        <v>62621</v>
      </c>
      <c r="G450">
        <f>F450*_xlfn.XLOOKUP(B450,AG:AG,AH:AH)</f>
        <v>53854.06</v>
      </c>
      <c r="H450">
        <f>F450*_xlfn.XLOOKUP(B450,AG:AG,AI:AI)</f>
        <v>62621</v>
      </c>
      <c r="I450">
        <f t="shared" si="32"/>
        <v>0</v>
      </c>
      <c r="J450">
        <f>I450*_xlfn.XLOOKUP(B450,AG:AG,AI:AI)</f>
        <v>0</v>
      </c>
      <c r="K450" s="7">
        <f>_xlfn.XLOOKUP(A450,Z:Z,AD:AD)</f>
        <v>45767</v>
      </c>
      <c r="L450" s="7">
        <f t="shared" si="33"/>
        <v>45737</v>
      </c>
      <c r="M450">
        <f t="shared" si="34"/>
        <v>3</v>
      </c>
      <c r="N450">
        <f t="shared" si="35"/>
        <v>2025</v>
      </c>
      <c r="Q450" s="22">
        <v>711</v>
      </c>
      <c r="R450" s="22">
        <v>5286</v>
      </c>
      <c r="S450" s="22" t="str">
        <f t="shared" si="36"/>
        <v>EUR</v>
      </c>
      <c r="T450" s="22">
        <f>R450*_xlfn.XLOOKUP(S450,AG:AG,AI:AI)</f>
        <v>6131.7599999999993</v>
      </c>
      <c r="U450" s="22" t="s">
        <v>26</v>
      </c>
      <c r="W450" s="9">
        <v>388</v>
      </c>
      <c r="X450" s="9" t="s">
        <v>29</v>
      </c>
      <c r="Z450">
        <v>470</v>
      </c>
      <c r="AA450">
        <v>14990.25</v>
      </c>
      <c r="AB450" t="s">
        <v>29</v>
      </c>
      <c r="AD450" s="20">
        <v>45847</v>
      </c>
    </row>
    <row r="451" spans="1:30">
      <c r="A451">
        <v>472</v>
      </c>
      <c r="B451" t="str">
        <f>_xlfn.XLOOKUP(A451,Z:Z,AB:AB,"not found")</f>
        <v>USD</v>
      </c>
      <c r="C451">
        <f>_xlfn.XLOOKUP(A451,Z:Z,AA:AA)-_xlfn.XLOOKUP(A451,Q:Q,R:R,"0")</f>
        <v>0</v>
      </c>
      <c r="D451">
        <f>C451*_xlfn.XLOOKUP(B451,AG:AG,AH:AH)</f>
        <v>0</v>
      </c>
      <c r="E451">
        <f>C451*_xlfn.XLOOKUP(B451,AG:AG,AI:AI)</f>
        <v>0</v>
      </c>
      <c r="F451">
        <v>5320.72</v>
      </c>
      <c r="G451">
        <f>F451*_xlfn.XLOOKUP(B451,AG:AG,AH:AH)</f>
        <v>4575.8191999999999</v>
      </c>
      <c r="H451">
        <f>F451*_xlfn.XLOOKUP(B451,AG:AG,AI:AI)</f>
        <v>5320.72</v>
      </c>
      <c r="I451">
        <f t="shared" ref="I451:I514" si="37">C451-F451+_xlfn.XLOOKUP(A451,Q:Q,R:R,"0")</f>
        <v>0</v>
      </c>
      <c r="J451">
        <f>I451*_xlfn.XLOOKUP(B451,AG:AG,AI:AI)</f>
        <v>0</v>
      </c>
      <c r="K451" s="7">
        <f>_xlfn.XLOOKUP(A451,Z:Z,AD:AD)</f>
        <v>45712</v>
      </c>
      <c r="L451" s="7">
        <f t="shared" ref="L451:L514" si="38">K451-30</f>
        <v>45682</v>
      </c>
      <c r="M451">
        <f t="shared" ref="M451:M514" si="39">MONTH(L451)</f>
        <v>1</v>
      </c>
      <c r="N451">
        <f t="shared" ref="N451:N514" si="40">YEAR(L451)</f>
        <v>2025</v>
      </c>
      <c r="Q451" s="22">
        <v>712</v>
      </c>
      <c r="R451" s="22">
        <v>12080</v>
      </c>
      <c r="S451" s="22" t="str">
        <f t="shared" ref="S451:S514" si="41">_xlfn.XLOOKUP(Q451,W:W,X:X)</f>
        <v>EUR</v>
      </c>
      <c r="T451" s="22">
        <f>R451*_xlfn.XLOOKUP(S451,AG:AG,AI:AI)</f>
        <v>14012.8</v>
      </c>
      <c r="U451" s="22" t="s">
        <v>26</v>
      </c>
      <c r="W451" s="9">
        <v>388</v>
      </c>
      <c r="X451" s="9" t="s">
        <v>29</v>
      </c>
      <c r="Z451">
        <v>471</v>
      </c>
      <c r="AA451">
        <v>62621</v>
      </c>
      <c r="AB451" t="s">
        <v>29</v>
      </c>
      <c r="AD451" s="20">
        <v>45767</v>
      </c>
    </row>
    <row r="452" spans="1:30">
      <c r="A452">
        <v>473</v>
      </c>
      <c r="B452" t="str">
        <f>_xlfn.XLOOKUP(A452,Z:Z,AB:AB,"not found")</f>
        <v>EUR</v>
      </c>
      <c r="C452">
        <f>_xlfn.XLOOKUP(A452,Z:Z,AA:AA)-_xlfn.XLOOKUP(A452,Q:Q,R:R,"0")</f>
        <v>0</v>
      </c>
      <c r="D452">
        <f>C452*_xlfn.XLOOKUP(B452,AG:AG,AH:AH)</f>
        <v>0</v>
      </c>
      <c r="E452">
        <f>C452*_xlfn.XLOOKUP(B452,AG:AG,AI:AI)</f>
        <v>0</v>
      </c>
      <c r="F452">
        <v>570</v>
      </c>
      <c r="G452">
        <f>F452*_xlfn.XLOOKUP(B452,AG:AG,AH:AH)</f>
        <v>570</v>
      </c>
      <c r="H452">
        <f>F452*_xlfn.XLOOKUP(B452,AG:AG,AI:AI)</f>
        <v>661.19999999999993</v>
      </c>
      <c r="I452">
        <f t="shared" si="37"/>
        <v>0</v>
      </c>
      <c r="J452">
        <f>I452*_xlfn.XLOOKUP(B452,AG:AG,AI:AI)</f>
        <v>0</v>
      </c>
      <c r="K452" s="7">
        <f>_xlfn.XLOOKUP(A452,Z:Z,AD:AD)</f>
        <v>45839</v>
      </c>
      <c r="L452" s="7">
        <f t="shared" si="38"/>
        <v>45809</v>
      </c>
      <c r="M452">
        <f t="shared" si="39"/>
        <v>6</v>
      </c>
      <c r="N452">
        <f t="shared" si="40"/>
        <v>2025</v>
      </c>
      <c r="Q452" s="22">
        <v>714</v>
      </c>
      <c r="R452" s="22">
        <v>35813</v>
      </c>
      <c r="S452" s="22" t="str">
        <f t="shared" si="41"/>
        <v>USD</v>
      </c>
      <c r="T452" s="22">
        <f>R452*_xlfn.XLOOKUP(S452,AG:AG,AI:AI)</f>
        <v>35813</v>
      </c>
      <c r="U452" s="22" t="s">
        <v>26</v>
      </c>
      <c r="W452" s="9">
        <v>388</v>
      </c>
      <c r="X452" s="9" t="s">
        <v>29</v>
      </c>
      <c r="Z452">
        <v>472</v>
      </c>
      <c r="AA452">
        <v>5320.72</v>
      </c>
      <c r="AB452" t="s">
        <v>29</v>
      </c>
      <c r="AD452" s="20">
        <v>45712</v>
      </c>
    </row>
    <row r="453" spans="1:30">
      <c r="A453">
        <v>474</v>
      </c>
      <c r="B453" t="str">
        <f>_xlfn.XLOOKUP(A453,Z:Z,AB:AB,"not found")</f>
        <v>USD</v>
      </c>
      <c r="C453">
        <f>_xlfn.XLOOKUP(A453,Z:Z,AA:AA)-_xlfn.XLOOKUP(A453,Q:Q,R:R,"0")</f>
        <v>0</v>
      </c>
      <c r="D453">
        <f>C453*_xlfn.XLOOKUP(B453,AG:AG,AH:AH)</f>
        <v>0</v>
      </c>
      <c r="E453">
        <f>C453*_xlfn.XLOOKUP(B453,AG:AG,AI:AI)</f>
        <v>0</v>
      </c>
      <c r="F453">
        <v>5334.66</v>
      </c>
      <c r="G453">
        <f>F453*_xlfn.XLOOKUP(B453,AG:AG,AH:AH)</f>
        <v>4587.8076000000001</v>
      </c>
      <c r="H453">
        <f>F453*_xlfn.XLOOKUP(B453,AG:AG,AI:AI)</f>
        <v>5334.66</v>
      </c>
      <c r="I453">
        <f t="shared" si="37"/>
        <v>0</v>
      </c>
      <c r="J453">
        <f>I453*_xlfn.XLOOKUP(B453,AG:AG,AI:AI)</f>
        <v>0</v>
      </c>
      <c r="K453" s="7">
        <f>_xlfn.XLOOKUP(A453,Z:Z,AD:AD)</f>
        <v>45896</v>
      </c>
      <c r="L453" s="7">
        <f t="shared" si="38"/>
        <v>45866</v>
      </c>
      <c r="M453">
        <f t="shared" si="39"/>
        <v>7</v>
      </c>
      <c r="N453">
        <f t="shared" si="40"/>
        <v>2025</v>
      </c>
      <c r="Q453" s="22">
        <v>715</v>
      </c>
      <c r="R453" s="22">
        <v>30166.35</v>
      </c>
      <c r="S453" s="22" t="str">
        <f t="shared" si="41"/>
        <v>MXN</v>
      </c>
      <c r="T453" s="22">
        <f>R453*_xlfn.XLOOKUP(S453,AG:AG,AI:AI)</f>
        <v>1689.3155999999999</v>
      </c>
      <c r="U453" s="22" t="s">
        <v>26</v>
      </c>
      <c r="W453" s="9">
        <v>388</v>
      </c>
      <c r="X453" s="9" t="s">
        <v>29</v>
      </c>
      <c r="Z453">
        <v>473</v>
      </c>
      <c r="AA453">
        <v>570</v>
      </c>
      <c r="AB453" t="s">
        <v>27</v>
      </c>
      <c r="AD453" s="20">
        <v>45839</v>
      </c>
    </row>
    <row r="454" spans="1:30">
      <c r="A454">
        <v>477</v>
      </c>
      <c r="B454" t="str">
        <f>_xlfn.XLOOKUP(A454,Z:Z,AB:AB,"not found")</f>
        <v>EUR</v>
      </c>
      <c r="C454">
        <f>_xlfn.XLOOKUP(A454,Z:Z,AA:AA)-_xlfn.XLOOKUP(A454,Q:Q,R:R,"0")</f>
        <v>627</v>
      </c>
      <c r="D454">
        <f>C454*_xlfn.XLOOKUP(B454,AG:AG,AH:AH)</f>
        <v>627</v>
      </c>
      <c r="E454">
        <f>C454*_xlfn.XLOOKUP(B454,AG:AG,AI:AI)</f>
        <v>727.31999999999994</v>
      </c>
      <c r="F454">
        <v>627</v>
      </c>
      <c r="G454">
        <f>F454*_xlfn.XLOOKUP(B454,AG:AG,AH:AH)</f>
        <v>627</v>
      </c>
      <c r="H454">
        <f>F454*_xlfn.XLOOKUP(B454,AG:AG,AI:AI)</f>
        <v>727.31999999999994</v>
      </c>
      <c r="I454">
        <f t="shared" si="37"/>
        <v>0</v>
      </c>
      <c r="J454">
        <f>I454*_xlfn.XLOOKUP(B454,AG:AG,AI:AI)</f>
        <v>0</v>
      </c>
      <c r="K454" s="7">
        <f>_xlfn.XLOOKUP(A454,Z:Z,AD:AD)</f>
        <v>45854</v>
      </c>
      <c r="L454" s="7">
        <f t="shared" si="38"/>
        <v>45824</v>
      </c>
      <c r="M454">
        <f t="shared" si="39"/>
        <v>6</v>
      </c>
      <c r="N454">
        <f t="shared" si="40"/>
        <v>2025</v>
      </c>
      <c r="Q454" s="22">
        <v>716</v>
      </c>
      <c r="R454" s="22">
        <v>384.51</v>
      </c>
      <c r="S454" s="22" t="str">
        <f t="shared" si="41"/>
        <v>USD</v>
      </c>
      <c r="T454" s="22">
        <f>R454*_xlfn.XLOOKUP(S454,AG:AG,AI:AI)</f>
        <v>384.51</v>
      </c>
      <c r="U454" s="22" t="s">
        <v>26</v>
      </c>
      <c r="W454" s="9">
        <v>389</v>
      </c>
      <c r="X454" s="9" t="s">
        <v>29</v>
      </c>
      <c r="Z454">
        <v>474</v>
      </c>
      <c r="AA454">
        <v>5334.66</v>
      </c>
      <c r="AB454" t="s">
        <v>29</v>
      </c>
      <c r="AD454" s="20">
        <v>45896</v>
      </c>
    </row>
    <row r="455" spans="1:30">
      <c r="A455">
        <v>478</v>
      </c>
      <c r="B455" t="str">
        <f>_xlfn.XLOOKUP(A455,Z:Z,AB:AB,"not found")</f>
        <v>USD</v>
      </c>
      <c r="C455">
        <f>_xlfn.XLOOKUP(A455,Z:Z,AA:AA)-_xlfn.XLOOKUP(A455,Q:Q,R:R,"0")</f>
        <v>0</v>
      </c>
      <c r="D455">
        <f>C455*_xlfn.XLOOKUP(B455,AG:AG,AH:AH)</f>
        <v>0</v>
      </c>
      <c r="E455">
        <f>C455*_xlfn.XLOOKUP(B455,AG:AG,AI:AI)</f>
        <v>0</v>
      </c>
      <c r="F455">
        <v>8311</v>
      </c>
      <c r="G455">
        <f>F455*_xlfn.XLOOKUP(B455,AG:AG,AH:AH)</f>
        <v>7147.46</v>
      </c>
      <c r="H455">
        <f>F455*_xlfn.XLOOKUP(B455,AG:AG,AI:AI)</f>
        <v>8311</v>
      </c>
      <c r="I455">
        <f t="shared" si="37"/>
        <v>0</v>
      </c>
      <c r="J455">
        <f>I455*_xlfn.XLOOKUP(B455,AG:AG,AI:AI)</f>
        <v>0</v>
      </c>
      <c r="K455" s="7">
        <f>_xlfn.XLOOKUP(A455,Z:Z,AD:AD)</f>
        <v>45851</v>
      </c>
      <c r="L455" s="7">
        <f t="shared" si="38"/>
        <v>45821</v>
      </c>
      <c r="M455">
        <f t="shared" si="39"/>
        <v>6</v>
      </c>
      <c r="N455">
        <f t="shared" si="40"/>
        <v>2025</v>
      </c>
      <c r="Q455" s="22">
        <v>722</v>
      </c>
      <c r="R455" s="22">
        <v>1349</v>
      </c>
      <c r="S455" s="22" t="str">
        <f t="shared" si="41"/>
        <v>USD</v>
      </c>
      <c r="T455" s="22">
        <f>R455*_xlfn.XLOOKUP(S455,AG:AG,AI:AI)</f>
        <v>1349</v>
      </c>
      <c r="U455" s="22" t="s">
        <v>26</v>
      </c>
      <c r="W455" s="9">
        <v>389</v>
      </c>
      <c r="X455" s="9" t="s">
        <v>29</v>
      </c>
      <c r="Z455">
        <v>477</v>
      </c>
      <c r="AA455">
        <v>627</v>
      </c>
      <c r="AB455" t="s">
        <v>27</v>
      </c>
      <c r="AD455" s="20">
        <v>45854</v>
      </c>
    </row>
    <row r="456" spans="1:30">
      <c r="A456">
        <v>479</v>
      </c>
      <c r="B456" t="str">
        <f>_xlfn.XLOOKUP(A456,Z:Z,AB:AB,"not found")</f>
        <v>USD</v>
      </c>
      <c r="C456">
        <f>_xlfn.XLOOKUP(A456,Z:Z,AA:AA)-_xlfn.XLOOKUP(A456,Q:Q,R:R,"0")</f>
        <v>0</v>
      </c>
      <c r="D456">
        <f>C456*_xlfn.XLOOKUP(B456,AG:AG,AH:AH)</f>
        <v>0</v>
      </c>
      <c r="E456">
        <f>C456*_xlfn.XLOOKUP(B456,AG:AG,AI:AI)</f>
        <v>0</v>
      </c>
      <c r="F456">
        <v>3878</v>
      </c>
      <c r="G456">
        <f>F456*_xlfn.XLOOKUP(B456,AG:AG,AH:AH)</f>
        <v>3335.08</v>
      </c>
      <c r="H456">
        <f>F456*_xlfn.XLOOKUP(B456,AG:AG,AI:AI)</f>
        <v>3878</v>
      </c>
      <c r="I456">
        <f t="shared" si="37"/>
        <v>0</v>
      </c>
      <c r="J456">
        <f>I456*_xlfn.XLOOKUP(B456,AG:AG,AI:AI)</f>
        <v>0</v>
      </c>
      <c r="K456" s="7">
        <f>_xlfn.XLOOKUP(A456,Z:Z,AD:AD)</f>
        <v>45855</v>
      </c>
      <c r="L456" s="7">
        <f t="shared" si="38"/>
        <v>45825</v>
      </c>
      <c r="M456">
        <f t="shared" si="39"/>
        <v>6</v>
      </c>
      <c r="N456">
        <f t="shared" si="40"/>
        <v>2025</v>
      </c>
      <c r="Q456" s="22">
        <v>727</v>
      </c>
      <c r="R456" s="22">
        <v>58869.130000000005</v>
      </c>
      <c r="S456" s="22" t="str">
        <f t="shared" si="41"/>
        <v>USD</v>
      </c>
      <c r="T456" s="22">
        <f>R456*_xlfn.XLOOKUP(S456,AG:AG,AI:AI)</f>
        <v>58869.130000000005</v>
      </c>
      <c r="U456" s="22" t="s">
        <v>26</v>
      </c>
      <c r="W456" s="9">
        <v>389</v>
      </c>
      <c r="X456" s="9" t="s">
        <v>29</v>
      </c>
      <c r="Z456">
        <v>478</v>
      </c>
      <c r="AA456">
        <v>8311</v>
      </c>
      <c r="AB456" t="s">
        <v>29</v>
      </c>
      <c r="AD456" s="20">
        <v>45851</v>
      </c>
    </row>
    <row r="457" spans="1:30">
      <c r="A457">
        <v>480</v>
      </c>
      <c r="B457" t="str">
        <f>_xlfn.XLOOKUP(A457,Z:Z,AB:AB,"not found")</f>
        <v>USD</v>
      </c>
      <c r="C457">
        <f>_xlfn.XLOOKUP(A457,Z:Z,AA:AA)-_xlfn.XLOOKUP(A457,Q:Q,R:R,"0")</f>
        <v>0</v>
      </c>
      <c r="D457">
        <f>C457*_xlfn.XLOOKUP(B457,AG:AG,AH:AH)</f>
        <v>0</v>
      </c>
      <c r="E457">
        <f>C457*_xlfn.XLOOKUP(B457,AG:AG,AI:AI)</f>
        <v>0</v>
      </c>
      <c r="F457">
        <v>4998</v>
      </c>
      <c r="G457">
        <f>F457*_xlfn.XLOOKUP(B457,AG:AG,AH:AH)</f>
        <v>4298.28</v>
      </c>
      <c r="H457">
        <f>F457*_xlfn.XLOOKUP(B457,AG:AG,AI:AI)</f>
        <v>4998</v>
      </c>
      <c r="I457">
        <f t="shared" si="37"/>
        <v>0</v>
      </c>
      <c r="J457">
        <f>I457*_xlfn.XLOOKUP(B457,AG:AG,AI:AI)</f>
        <v>0</v>
      </c>
      <c r="K457" s="7">
        <f>_xlfn.XLOOKUP(A457,Z:Z,AD:AD)</f>
        <v>45863</v>
      </c>
      <c r="L457" s="7">
        <f t="shared" si="38"/>
        <v>45833</v>
      </c>
      <c r="M457">
        <f t="shared" si="39"/>
        <v>6</v>
      </c>
      <c r="N457">
        <f t="shared" si="40"/>
        <v>2025</v>
      </c>
      <c r="Q457" s="22">
        <v>728</v>
      </c>
      <c r="R457" s="22">
        <v>6075</v>
      </c>
      <c r="S457" s="22" t="str">
        <f t="shared" si="41"/>
        <v>USD</v>
      </c>
      <c r="T457" s="22">
        <f>R457*_xlfn.XLOOKUP(S457,AG:AG,AI:AI)</f>
        <v>6075</v>
      </c>
      <c r="U457" s="22" t="s">
        <v>26</v>
      </c>
      <c r="W457" s="9">
        <v>389</v>
      </c>
      <c r="X457" s="9" t="s">
        <v>29</v>
      </c>
      <c r="Z457">
        <v>479</v>
      </c>
      <c r="AA457">
        <v>3878</v>
      </c>
      <c r="AB457" t="s">
        <v>29</v>
      </c>
      <c r="AD457" s="20">
        <v>45855</v>
      </c>
    </row>
    <row r="458" spans="1:30">
      <c r="A458">
        <v>481</v>
      </c>
      <c r="B458" t="str">
        <f>_xlfn.XLOOKUP(A458,Z:Z,AB:AB,"not found")</f>
        <v>USD</v>
      </c>
      <c r="C458">
        <f>_xlfn.XLOOKUP(A458,Z:Z,AA:AA)-_xlfn.XLOOKUP(A458,Q:Q,R:R,"0")</f>
        <v>5052.76</v>
      </c>
      <c r="D458">
        <f>C458*_xlfn.XLOOKUP(B458,AG:AG,AH:AH)</f>
        <v>4345.3735999999999</v>
      </c>
      <c r="E458">
        <f>C458*_xlfn.XLOOKUP(B458,AG:AG,AI:AI)</f>
        <v>5052.76</v>
      </c>
      <c r="F458">
        <v>5052.76</v>
      </c>
      <c r="G458">
        <f>F458*_xlfn.XLOOKUP(B458,AG:AG,AH:AH)</f>
        <v>4345.3735999999999</v>
      </c>
      <c r="H458">
        <f>F458*_xlfn.XLOOKUP(B458,AG:AG,AI:AI)</f>
        <v>5052.76</v>
      </c>
      <c r="I458">
        <f t="shared" si="37"/>
        <v>0</v>
      </c>
      <c r="J458">
        <f>I458*_xlfn.XLOOKUP(B458,AG:AG,AI:AI)</f>
        <v>0</v>
      </c>
      <c r="K458" s="7">
        <f>_xlfn.XLOOKUP(A458,Z:Z,AD:AD)</f>
        <v>45860</v>
      </c>
      <c r="L458" s="7">
        <f t="shared" si="38"/>
        <v>45830</v>
      </c>
      <c r="M458">
        <f t="shared" si="39"/>
        <v>6</v>
      </c>
      <c r="N458">
        <f t="shared" si="40"/>
        <v>2025</v>
      </c>
      <c r="Q458" s="22">
        <v>729</v>
      </c>
      <c r="R458" s="22">
        <v>17512</v>
      </c>
      <c r="S458" s="22" t="str">
        <f t="shared" si="41"/>
        <v>USD</v>
      </c>
      <c r="T458" s="22">
        <f>R458*_xlfn.XLOOKUP(S458,AG:AG,AI:AI)</f>
        <v>17512</v>
      </c>
      <c r="U458" s="22" t="s">
        <v>26</v>
      </c>
      <c r="W458" s="9">
        <v>389</v>
      </c>
      <c r="X458" s="9" t="s">
        <v>29</v>
      </c>
      <c r="Z458">
        <v>480</v>
      </c>
      <c r="AA458">
        <v>4998</v>
      </c>
      <c r="AB458" t="s">
        <v>29</v>
      </c>
      <c r="AD458" s="20">
        <v>45863</v>
      </c>
    </row>
    <row r="459" spans="1:30">
      <c r="A459">
        <v>482</v>
      </c>
      <c r="B459" t="str">
        <f>_xlfn.XLOOKUP(A459,Z:Z,AB:AB,"not found")</f>
        <v>EUR</v>
      </c>
      <c r="C459">
        <f>_xlfn.XLOOKUP(A459,Z:Z,AA:AA)-_xlfn.XLOOKUP(A459,Q:Q,R:R,"0")</f>
        <v>0</v>
      </c>
      <c r="D459">
        <f>C459*_xlfn.XLOOKUP(B459,AG:AG,AH:AH)</f>
        <v>0</v>
      </c>
      <c r="E459">
        <f>C459*_xlfn.XLOOKUP(B459,AG:AG,AI:AI)</f>
        <v>0</v>
      </c>
      <c r="F459">
        <v>13118.4</v>
      </c>
      <c r="G459">
        <f>F459*_xlfn.XLOOKUP(B459,AG:AG,AH:AH)</f>
        <v>13118.4</v>
      </c>
      <c r="H459">
        <f>F459*_xlfn.XLOOKUP(B459,AG:AG,AI:AI)</f>
        <v>15217.343999999999</v>
      </c>
      <c r="I459">
        <f t="shared" si="37"/>
        <v>0</v>
      </c>
      <c r="J459">
        <f>I459*_xlfn.XLOOKUP(B459,AG:AG,AI:AI)</f>
        <v>0</v>
      </c>
      <c r="K459" s="7">
        <f>_xlfn.XLOOKUP(A459,Z:Z,AD:AD)</f>
        <v>45843</v>
      </c>
      <c r="L459" s="7">
        <f t="shared" si="38"/>
        <v>45813</v>
      </c>
      <c r="M459">
        <f t="shared" si="39"/>
        <v>6</v>
      </c>
      <c r="N459">
        <f t="shared" si="40"/>
        <v>2025</v>
      </c>
      <c r="Q459" s="22">
        <v>730</v>
      </c>
      <c r="R459" s="22">
        <v>9701.2199999999993</v>
      </c>
      <c r="S459" s="22" t="str">
        <f t="shared" si="41"/>
        <v>USD</v>
      </c>
      <c r="T459" s="22">
        <f>R459*_xlfn.XLOOKUP(S459,AG:AG,AI:AI)</f>
        <v>9701.2199999999993</v>
      </c>
      <c r="U459" s="22" t="s">
        <v>26</v>
      </c>
      <c r="W459" s="9">
        <v>389</v>
      </c>
      <c r="X459" s="9" t="s">
        <v>29</v>
      </c>
      <c r="Z459">
        <v>481</v>
      </c>
      <c r="AA459">
        <v>5052.76</v>
      </c>
      <c r="AB459" t="s">
        <v>29</v>
      </c>
      <c r="AD459" s="20">
        <v>45860</v>
      </c>
    </row>
    <row r="460" spans="1:30">
      <c r="A460">
        <v>483</v>
      </c>
      <c r="B460" t="str">
        <f>_xlfn.XLOOKUP(A460,Z:Z,AB:AB,"not found")</f>
        <v>GPB</v>
      </c>
      <c r="C460">
        <f>_xlfn.XLOOKUP(A460,Z:Z,AA:AA)-_xlfn.XLOOKUP(A460,Q:Q,R:R,"0")</f>
        <v>0</v>
      </c>
      <c r="D460">
        <f>C460*_xlfn.XLOOKUP(B460,AG:AG,AH:AH)</f>
        <v>0</v>
      </c>
      <c r="E460">
        <f>C460*_xlfn.XLOOKUP(B460,AG:AG,AI:AI)</f>
        <v>0</v>
      </c>
      <c r="F460">
        <v>11170</v>
      </c>
      <c r="G460">
        <f>F460*_xlfn.XLOOKUP(B460,AG:AG,AH:AH)</f>
        <v>12845.499999999998</v>
      </c>
      <c r="H460">
        <f>F460*_xlfn.XLOOKUP(B460,AG:AG,AI:AI)</f>
        <v>14967.800000000001</v>
      </c>
      <c r="I460">
        <f t="shared" si="37"/>
        <v>0</v>
      </c>
      <c r="J460">
        <f>I460*_xlfn.XLOOKUP(B460,AG:AG,AI:AI)</f>
        <v>0</v>
      </c>
      <c r="K460" s="7">
        <f>_xlfn.XLOOKUP(A460,Z:Z,AD:AD)</f>
        <v>45845</v>
      </c>
      <c r="L460" s="7">
        <f t="shared" si="38"/>
        <v>45815</v>
      </c>
      <c r="M460">
        <f t="shared" si="39"/>
        <v>6</v>
      </c>
      <c r="N460">
        <f t="shared" si="40"/>
        <v>2025</v>
      </c>
      <c r="Q460" s="22">
        <v>731</v>
      </c>
      <c r="R460" s="22">
        <v>16650</v>
      </c>
      <c r="S460" s="22" t="str">
        <f t="shared" si="41"/>
        <v>USD</v>
      </c>
      <c r="T460" s="22">
        <f>R460*_xlfn.XLOOKUP(S460,AG:AG,AI:AI)</f>
        <v>16650</v>
      </c>
      <c r="U460" s="22" t="s">
        <v>26</v>
      </c>
      <c r="W460" s="9">
        <v>390</v>
      </c>
      <c r="X460" s="9" t="s">
        <v>28</v>
      </c>
      <c r="Z460">
        <v>482</v>
      </c>
      <c r="AA460">
        <v>13118.4</v>
      </c>
      <c r="AB460" t="s">
        <v>27</v>
      </c>
      <c r="AD460" s="20">
        <v>45843</v>
      </c>
    </row>
    <row r="461" spans="1:30">
      <c r="A461">
        <v>484</v>
      </c>
      <c r="B461" t="str">
        <f>_xlfn.XLOOKUP(A461,Z:Z,AB:AB,"not found")</f>
        <v>USD</v>
      </c>
      <c r="C461">
        <f>_xlfn.XLOOKUP(A461,Z:Z,AA:AA)-_xlfn.XLOOKUP(A461,Q:Q,R:R,"0")</f>
        <v>0</v>
      </c>
      <c r="D461">
        <f>C461*_xlfn.XLOOKUP(B461,AG:AG,AH:AH)</f>
        <v>0</v>
      </c>
      <c r="E461">
        <f>C461*_xlfn.XLOOKUP(B461,AG:AG,AI:AI)</f>
        <v>0</v>
      </c>
      <c r="F461">
        <v>6901.05</v>
      </c>
      <c r="G461">
        <f>F461*_xlfn.XLOOKUP(B461,AG:AG,AH:AH)</f>
        <v>5934.9030000000002</v>
      </c>
      <c r="H461">
        <f>F461*_xlfn.XLOOKUP(B461,AG:AG,AI:AI)</f>
        <v>6901.05</v>
      </c>
      <c r="I461">
        <f t="shared" si="37"/>
        <v>0</v>
      </c>
      <c r="J461">
        <f>I461*_xlfn.XLOOKUP(B461,AG:AG,AI:AI)</f>
        <v>0</v>
      </c>
      <c r="K461" s="7">
        <f>_xlfn.XLOOKUP(A461,Z:Z,AD:AD)</f>
        <v>45825</v>
      </c>
      <c r="L461" s="7">
        <f t="shared" si="38"/>
        <v>45795</v>
      </c>
      <c r="M461">
        <f t="shared" si="39"/>
        <v>5</v>
      </c>
      <c r="N461">
        <f t="shared" si="40"/>
        <v>2025</v>
      </c>
      <c r="Q461" s="22">
        <v>734</v>
      </c>
      <c r="R461" s="22">
        <v>9616.3100000000013</v>
      </c>
      <c r="S461" s="22" t="str">
        <f t="shared" si="41"/>
        <v>USD</v>
      </c>
      <c r="T461" s="22">
        <f>R461*_xlfn.XLOOKUP(S461,AG:AG,AI:AI)</f>
        <v>9616.3100000000013</v>
      </c>
      <c r="U461" s="22" t="s">
        <v>26</v>
      </c>
      <c r="W461" s="9">
        <v>390</v>
      </c>
      <c r="X461" s="9" t="s">
        <v>28</v>
      </c>
      <c r="Z461">
        <v>483</v>
      </c>
      <c r="AA461">
        <v>11170</v>
      </c>
      <c r="AB461" t="s">
        <v>32</v>
      </c>
      <c r="AD461" s="20">
        <v>45845</v>
      </c>
    </row>
    <row r="462" spans="1:30">
      <c r="A462">
        <v>485</v>
      </c>
      <c r="B462" t="str">
        <f>_xlfn.XLOOKUP(A462,Z:Z,AB:AB,"not found")</f>
        <v>USD</v>
      </c>
      <c r="C462">
        <f>_xlfn.XLOOKUP(A462,Z:Z,AA:AA)-_xlfn.XLOOKUP(A462,Q:Q,R:R,"0")</f>
        <v>11582</v>
      </c>
      <c r="D462">
        <f>C462*_xlfn.XLOOKUP(B462,AG:AG,AH:AH)</f>
        <v>9960.52</v>
      </c>
      <c r="E462">
        <f>C462*_xlfn.XLOOKUP(B462,AG:AG,AI:AI)</f>
        <v>11582</v>
      </c>
      <c r="F462">
        <v>11582</v>
      </c>
      <c r="G462">
        <f>F462*_xlfn.XLOOKUP(B462,AG:AG,AH:AH)</f>
        <v>9960.52</v>
      </c>
      <c r="H462">
        <f>F462*_xlfn.XLOOKUP(B462,AG:AG,AI:AI)</f>
        <v>11582</v>
      </c>
      <c r="I462">
        <f t="shared" si="37"/>
        <v>0</v>
      </c>
      <c r="J462">
        <f>I462*_xlfn.XLOOKUP(B462,AG:AG,AI:AI)</f>
        <v>0</v>
      </c>
      <c r="K462" s="7">
        <f>_xlfn.XLOOKUP(A462,Z:Z,AD:AD)</f>
        <v>45874</v>
      </c>
      <c r="L462" s="7">
        <f t="shared" si="38"/>
        <v>45844</v>
      </c>
      <c r="M462">
        <f t="shared" si="39"/>
        <v>7</v>
      </c>
      <c r="N462">
        <f t="shared" si="40"/>
        <v>2025</v>
      </c>
      <c r="Q462" s="22">
        <v>737</v>
      </c>
      <c r="R462" s="22">
        <v>5070</v>
      </c>
      <c r="S462" s="22" t="str">
        <f t="shared" si="41"/>
        <v>EUR</v>
      </c>
      <c r="T462" s="22">
        <f>R462*_xlfn.XLOOKUP(S462,AG:AG,AI:AI)</f>
        <v>5881.2</v>
      </c>
      <c r="U462" s="22" t="s">
        <v>26</v>
      </c>
      <c r="W462" s="9">
        <v>390</v>
      </c>
      <c r="X462" s="9" t="s">
        <v>28</v>
      </c>
      <c r="Z462">
        <v>484</v>
      </c>
      <c r="AA462">
        <v>6901.05</v>
      </c>
      <c r="AB462" t="s">
        <v>29</v>
      </c>
      <c r="AD462" s="20">
        <v>45825</v>
      </c>
    </row>
    <row r="463" spans="1:30">
      <c r="A463">
        <v>486</v>
      </c>
      <c r="B463" t="str">
        <f>_xlfn.XLOOKUP(A463,Z:Z,AB:AB,"not found")</f>
        <v>EUR</v>
      </c>
      <c r="C463">
        <f>_xlfn.XLOOKUP(A463,Z:Z,AA:AA)-_xlfn.XLOOKUP(A463,Q:Q,R:R,"0")</f>
        <v>5648.4000000000015</v>
      </c>
      <c r="D463">
        <f>C463*_xlfn.XLOOKUP(B463,AG:AG,AH:AH)</f>
        <v>5648.4000000000015</v>
      </c>
      <c r="E463">
        <f>C463*_xlfn.XLOOKUP(B463,AG:AG,AI:AI)</f>
        <v>6552.1440000000011</v>
      </c>
      <c r="F463">
        <v>31963</v>
      </c>
      <c r="G463">
        <f>F463*_xlfn.XLOOKUP(B463,AG:AG,AH:AH)</f>
        <v>31963</v>
      </c>
      <c r="H463">
        <f>F463*_xlfn.XLOOKUP(B463,AG:AG,AI:AI)</f>
        <v>37077.079999999994</v>
      </c>
      <c r="I463">
        <f t="shared" si="37"/>
        <v>433.40000000000146</v>
      </c>
      <c r="J463">
        <f>I463*_xlfn.XLOOKUP(B463,AG:AG,AI:AI)</f>
        <v>502.74400000000168</v>
      </c>
      <c r="K463" s="7">
        <f>_xlfn.XLOOKUP(A463,Z:Z,AD:AD)</f>
        <v>45861</v>
      </c>
      <c r="L463" s="7">
        <f t="shared" si="38"/>
        <v>45831</v>
      </c>
      <c r="M463">
        <f t="shared" si="39"/>
        <v>6</v>
      </c>
      <c r="N463">
        <f t="shared" si="40"/>
        <v>2025</v>
      </c>
      <c r="Q463" s="22">
        <v>738</v>
      </c>
      <c r="R463" s="22">
        <v>2253.0500000000002</v>
      </c>
      <c r="S463" s="22" t="str">
        <f t="shared" si="41"/>
        <v>EUR</v>
      </c>
      <c r="T463" s="22">
        <f>R463*_xlfn.XLOOKUP(S463,AG:AG,AI:AI)</f>
        <v>2613.538</v>
      </c>
      <c r="U463" s="22" t="s">
        <v>26</v>
      </c>
      <c r="W463" s="9">
        <v>390</v>
      </c>
      <c r="X463" s="9" t="s">
        <v>28</v>
      </c>
      <c r="Z463">
        <v>485</v>
      </c>
      <c r="AA463">
        <v>11582</v>
      </c>
      <c r="AB463" t="s">
        <v>29</v>
      </c>
      <c r="AD463" s="20">
        <v>45874</v>
      </c>
    </row>
    <row r="464" spans="1:30">
      <c r="A464">
        <v>487</v>
      </c>
      <c r="B464" t="str">
        <f>_xlfn.XLOOKUP(A464,Z:Z,AB:AB,"not found")</f>
        <v>USD</v>
      </c>
      <c r="C464">
        <f>_xlfn.XLOOKUP(A464,Z:Z,AA:AA)-_xlfn.XLOOKUP(A464,Q:Q,R:R,"0")</f>
        <v>4639.5300000000007</v>
      </c>
      <c r="D464">
        <f>C464*_xlfn.XLOOKUP(B464,AG:AG,AH:AH)</f>
        <v>3989.9958000000006</v>
      </c>
      <c r="E464">
        <f>C464*_xlfn.XLOOKUP(B464,AG:AG,AI:AI)</f>
        <v>4639.5300000000007</v>
      </c>
      <c r="F464">
        <v>8990.5300000000007</v>
      </c>
      <c r="G464">
        <f>F464*_xlfn.XLOOKUP(B464,AG:AG,AH:AH)</f>
        <v>7731.8558000000003</v>
      </c>
      <c r="H464">
        <f>F464*_xlfn.XLOOKUP(B464,AG:AG,AI:AI)</f>
        <v>8990.5300000000007</v>
      </c>
      <c r="I464">
        <f t="shared" si="37"/>
        <v>0</v>
      </c>
      <c r="J464">
        <f>I464*_xlfn.XLOOKUP(B464,AG:AG,AI:AI)</f>
        <v>0</v>
      </c>
      <c r="K464" s="7">
        <f>_xlfn.XLOOKUP(A464,Z:Z,AD:AD)</f>
        <v>45845</v>
      </c>
      <c r="L464" s="7">
        <f t="shared" si="38"/>
        <v>45815</v>
      </c>
      <c r="M464">
        <f t="shared" si="39"/>
        <v>6</v>
      </c>
      <c r="N464">
        <f t="shared" si="40"/>
        <v>2025</v>
      </c>
      <c r="Q464" s="22">
        <v>739</v>
      </c>
      <c r="R464" s="22">
        <v>6460</v>
      </c>
      <c r="S464" s="22" t="str">
        <f t="shared" si="41"/>
        <v>EUR</v>
      </c>
      <c r="T464" s="22">
        <f>R464*_xlfn.XLOOKUP(S464,AG:AG,AI:AI)</f>
        <v>7493.5999999999995</v>
      </c>
      <c r="U464" s="22" t="s">
        <v>26</v>
      </c>
      <c r="W464" s="9">
        <v>391</v>
      </c>
      <c r="X464" s="9" t="s">
        <v>29</v>
      </c>
      <c r="Z464">
        <v>486</v>
      </c>
      <c r="AA464">
        <v>32396.400000000001</v>
      </c>
      <c r="AB464" t="s">
        <v>27</v>
      </c>
      <c r="AD464" s="20">
        <v>45861</v>
      </c>
    </row>
    <row r="465" spans="1:30">
      <c r="A465">
        <v>488</v>
      </c>
      <c r="B465" t="str">
        <f>_xlfn.XLOOKUP(A465,Z:Z,AB:AB,"not found")</f>
        <v>EUR</v>
      </c>
      <c r="C465">
        <f>_xlfn.XLOOKUP(A465,Z:Z,AA:AA)-_xlfn.XLOOKUP(A465,Q:Q,R:R,"0")</f>
        <v>61079.7</v>
      </c>
      <c r="D465">
        <f>C465*_xlfn.XLOOKUP(B465,AG:AG,AH:AH)</f>
        <v>61079.7</v>
      </c>
      <c r="E465">
        <f>C465*_xlfn.XLOOKUP(B465,AG:AG,AI:AI)</f>
        <v>70852.45199999999</v>
      </c>
      <c r="F465">
        <v>55730</v>
      </c>
      <c r="G465">
        <f>F465*_xlfn.XLOOKUP(B465,AG:AG,AH:AH)</f>
        <v>55730</v>
      </c>
      <c r="H465">
        <f>F465*_xlfn.XLOOKUP(B465,AG:AG,AI:AI)</f>
        <v>64646.799999999996</v>
      </c>
      <c r="I465">
        <f t="shared" si="37"/>
        <v>5349.6999999999971</v>
      </c>
      <c r="J465">
        <f>I465*_xlfn.XLOOKUP(B465,AG:AG,AI:AI)</f>
        <v>6205.6519999999964</v>
      </c>
      <c r="K465" s="7">
        <f>_xlfn.XLOOKUP(A465,Z:Z,AD:AD)</f>
        <v>46012</v>
      </c>
      <c r="L465" s="7">
        <f t="shared" si="38"/>
        <v>45982</v>
      </c>
      <c r="M465">
        <f t="shared" si="39"/>
        <v>11</v>
      </c>
      <c r="N465">
        <f t="shared" si="40"/>
        <v>2025</v>
      </c>
      <c r="Q465" s="22">
        <v>740</v>
      </c>
      <c r="R465" s="22">
        <v>20705.800000000003</v>
      </c>
      <c r="S465" s="22" t="str">
        <f t="shared" si="41"/>
        <v>USD</v>
      </c>
      <c r="T465" s="22">
        <f>R465*_xlfn.XLOOKUP(S465,AG:AG,AI:AI)</f>
        <v>20705.800000000003</v>
      </c>
      <c r="U465" s="22" t="s">
        <v>26</v>
      </c>
      <c r="W465" s="9">
        <v>391</v>
      </c>
      <c r="X465" s="9" t="s">
        <v>29</v>
      </c>
      <c r="Z465">
        <v>487</v>
      </c>
      <c r="AA465">
        <v>8990.5300000000007</v>
      </c>
      <c r="AB465" t="s">
        <v>29</v>
      </c>
      <c r="AD465" s="20">
        <v>45845</v>
      </c>
    </row>
    <row r="466" spans="1:30">
      <c r="A466">
        <v>489</v>
      </c>
      <c r="B466" t="str">
        <f>_xlfn.XLOOKUP(A466,Z:Z,AB:AB,"not found")</f>
        <v>USD</v>
      </c>
      <c r="C466">
        <f>_xlfn.XLOOKUP(A466,Z:Z,AA:AA)-_xlfn.XLOOKUP(A466,Q:Q,R:R,"0")</f>
        <v>13189.310000000005</v>
      </c>
      <c r="D466">
        <f>C466*_xlfn.XLOOKUP(B466,AG:AG,AH:AH)</f>
        <v>11342.806600000004</v>
      </c>
      <c r="E466">
        <f>C466*_xlfn.XLOOKUP(B466,AG:AG,AI:AI)</f>
        <v>13189.310000000005</v>
      </c>
      <c r="F466">
        <v>73122.97</v>
      </c>
      <c r="G466">
        <f>F466*_xlfn.XLOOKUP(B466,AG:AG,AH:AH)</f>
        <v>62885.754200000003</v>
      </c>
      <c r="H466">
        <f>F466*_xlfn.XLOOKUP(B466,AG:AG,AI:AI)</f>
        <v>73122.97</v>
      </c>
      <c r="I466">
        <f t="shared" si="37"/>
        <v>0</v>
      </c>
      <c r="J466">
        <f>I466*_xlfn.XLOOKUP(B466,AG:AG,AI:AI)</f>
        <v>0</v>
      </c>
      <c r="K466" s="7">
        <f>_xlfn.XLOOKUP(A466,Z:Z,AD:AD)</f>
        <v>45901</v>
      </c>
      <c r="L466" s="7">
        <f t="shared" si="38"/>
        <v>45871</v>
      </c>
      <c r="M466">
        <f t="shared" si="39"/>
        <v>8</v>
      </c>
      <c r="N466">
        <f t="shared" si="40"/>
        <v>2025</v>
      </c>
      <c r="Q466" s="22">
        <v>742</v>
      </c>
      <c r="R466" s="22">
        <v>12300</v>
      </c>
      <c r="S466" s="22" t="str">
        <f t="shared" si="41"/>
        <v>EUR</v>
      </c>
      <c r="T466" s="22">
        <f>R466*_xlfn.XLOOKUP(S466,AG:AG,AI:AI)</f>
        <v>14267.999999999998</v>
      </c>
      <c r="U466" s="22" t="s">
        <v>26</v>
      </c>
      <c r="W466" s="9">
        <v>391</v>
      </c>
      <c r="X466" s="9" t="s">
        <v>29</v>
      </c>
      <c r="Z466">
        <v>488</v>
      </c>
      <c r="AA466">
        <v>61079.7</v>
      </c>
      <c r="AB466" t="s">
        <v>27</v>
      </c>
      <c r="AD466" s="20">
        <v>46012</v>
      </c>
    </row>
    <row r="467" spans="1:30">
      <c r="A467">
        <v>490</v>
      </c>
      <c r="B467" t="str">
        <f>_xlfn.XLOOKUP(A467,Z:Z,AB:AB,"not found")</f>
        <v>USD</v>
      </c>
      <c r="C467">
        <f>_xlfn.XLOOKUP(A467,Z:Z,AA:AA)-_xlfn.XLOOKUP(A467,Q:Q,R:R,"0")</f>
        <v>0</v>
      </c>
      <c r="D467">
        <f>C467*_xlfn.XLOOKUP(B467,AG:AG,AH:AH)</f>
        <v>0</v>
      </c>
      <c r="E467">
        <f>C467*_xlfn.XLOOKUP(B467,AG:AG,AI:AI)</f>
        <v>0</v>
      </c>
      <c r="F467">
        <v>2648</v>
      </c>
      <c r="G467">
        <f>F467*_xlfn.XLOOKUP(B467,AG:AG,AH:AH)</f>
        <v>2277.2799999999997</v>
      </c>
      <c r="H467">
        <f>F467*_xlfn.XLOOKUP(B467,AG:AG,AI:AI)</f>
        <v>2648</v>
      </c>
      <c r="I467">
        <f t="shared" si="37"/>
        <v>0</v>
      </c>
      <c r="J467">
        <f>I467*_xlfn.XLOOKUP(B467,AG:AG,AI:AI)</f>
        <v>0</v>
      </c>
      <c r="K467" s="7">
        <f>_xlfn.XLOOKUP(A467,Z:Z,AD:AD)</f>
        <v>45865</v>
      </c>
      <c r="L467" s="7">
        <f t="shared" si="38"/>
        <v>45835</v>
      </c>
      <c r="M467">
        <f t="shared" si="39"/>
        <v>6</v>
      </c>
      <c r="N467">
        <f t="shared" si="40"/>
        <v>2025</v>
      </c>
      <c r="Q467" s="22">
        <v>743</v>
      </c>
      <c r="R467" s="22">
        <v>31490.39</v>
      </c>
      <c r="S467" s="22" t="str">
        <f t="shared" si="41"/>
        <v>USD</v>
      </c>
      <c r="T467" s="22">
        <f>R467*_xlfn.XLOOKUP(S467,AG:AG,AI:AI)</f>
        <v>31490.39</v>
      </c>
      <c r="U467" s="22" t="s">
        <v>26</v>
      </c>
      <c r="W467" s="9">
        <v>391</v>
      </c>
      <c r="X467" s="9" t="s">
        <v>29</v>
      </c>
      <c r="Z467">
        <v>489</v>
      </c>
      <c r="AA467">
        <v>73122.97</v>
      </c>
      <c r="AB467" t="s">
        <v>29</v>
      </c>
      <c r="AD467" s="20">
        <v>45901</v>
      </c>
    </row>
    <row r="468" spans="1:30">
      <c r="A468">
        <v>491</v>
      </c>
      <c r="B468" t="str">
        <f>_xlfn.XLOOKUP(A468,Z:Z,AB:AB,"not found")</f>
        <v>USD</v>
      </c>
      <c r="C468">
        <f>_xlfn.XLOOKUP(A468,Z:Z,AA:AA)-_xlfn.XLOOKUP(A468,Q:Q,R:R,"0")</f>
        <v>0</v>
      </c>
      <c r="D468">
        <f>C468*_xlfn.XLOOKUP(B468,AG:AG,AH:AH)</f>
        <v>0</v>
      </c>
      <c r="E468">
        <f>C468*_xlfn.XLOOKUP(B468,AG:AG,AI:AI)</f>
        <v>0</v>
      </c>
      <c r="F468">
        <v>5691</v>
      </c>
      <c r="G468">
        <f>F468*_xlfn.XLOOKUP(B468,AG:AG,AH:AH)</f>
        <v>4894.26</v>
      </c>
      <c r="H468">
        <f>F468*_xlfn.XLOOKUP(B468,AG:AG,AI:AI)</f>
        <v>5691</v>
      </c>
      <c r="I468">
        <f t="shared" si="37"/>
        <v>0</v>
      </c>
      <c r="J468">
        <f>I468*_xlfn.XLOOKUP(B468,AG:AG,AI:AI)</f>
        <v>0</v>
      </c>
      <c r="K468" s="7">
        <f>_xlfn.XLOOKUP(A468,Z:Z,AD:AD)</f>
        <v>45867</v>
      </c>
      <c r="L468" s="7">
        <f t="shared" si="38"/>
        <v>45837</v>
      </c>
      <c r="M468">
        <f t="shared" si="39"/>
        <v>6</v>
      </c>
      <c r="N468">
        <f t="shared" si="40"/>
        <v>2025</v>
      </c>
      <c r="Q468" s="22">
        <v>744</v>
      </c>
      <c r="R468" s="22">
        <v>1915.02</v>
      </c>
      <c r="S468" s="22" t="str">
        <f t="shared" si="41"/>
        <v>USD</v>
      </c>
      <c r="T468" s="22">
        <f>R468*_xlfn.XLOOKUP(S468,AG:AG,AI:AI)</f>
        <v>1915.02</v>
      </c>
      <c r="U468" s="22" t="s">
        <v>26</v>
      </c>
      <c r="W468" s="9">
        <v>391</v>
      </c>
      <c r="X468" s="9" t="s">
        <v>29</v>
      </c>
      <c r="Z468">
        <v>490</v>
      </c>
      <c r="AA468">
        <v>2648</v>
      </c>
      <c r="AB468" t="s">
        <v>29</v>
      </c>
      <c r="AD468" s="20">
        <v>45865</v>
      </c>
    </row>
    <row r="469" spans="1:30">
      <c r="A469">
        <v>492</v>
      </c>
      <c r="B469" t="str">
        <f>_xlfn.XLOOKUP(A469,Z:Z,AB:AB,"not found")</f>
        <v>MXN</v>
      </c>
      <c r="C469">
        <f>_xlfn.XLOOKUP(A469,Z:Z,AA:AA)-_xlfn.XLOOKUP(A469,Q:Q,R:R,"0")</f>
        <v>0</v>
      </c>
      <c r="D469">
        <f>C469*_xlfn.XLOOKUP(B469,AG:AG,AH:AH)</f>
        <v>0</v>
      </c>
      <c r="E469">
        <f>C469*_xlfn.XLOOKUP(B469,AG:AG,AI:AI)</f>
        <v>0</v>
      </c>
      <c r="F469">
        <v>84307</v>
      </c>
      <c r="G469">
        <f>F469*_xlfn.XLOOKUP(B469,AG:AG,AH:AH)</f>
        <v>4046.7359999999999</v>
      </c>
      <c r="H469">
        <f>F469*_xlfn.XLOOKUP(B469,AG:AG,AI:AI)</f>
        <v>4721.192</v>
      </c>
      <c r="I469">
        <f t="shared" si="37"/>
        <v>0</v>
      </c>
      <c r="J469">
        <f>I469*_xlfn.XLOOKUP(B469,AG:AG,AI:AI)</f>
        <v>0</v>
      </c>
      <c r="K469" s="7">
        <f>_xlfn.XLOOKUP(A469,Z:Z,AD:AD)</f>
        <v>45848</v>
      </c>
      <c r="L469" s="7">
        <f t="shared" si="38"/>
        <v>45818</v>
      </c>
      <c r="M469">
        <f t="shared" si="39"/>
        <v>6</v>
      </c>
      <c r="N469">
        <f t="shared" si="40"/>
        <v>2025</v>
      </c>
      <c r="Q469" s="22">
        <v>745</v>
      </c>
      <c r="R469" s="22">
        <v>11714.05</v>
      </c>
      <c r="S469" s="22" t="str">
        <f t="shared" si="41"/>
        <v>USD</v>
      </c>
      <c r="T469" s="22">
        <f>R469*_xlfn.XLOOKUP(S469,AG:AG,AI:AI)</f>
        <v>11714.05</v>
      </c>
      <c r="U469" s="22" t="s">
        <v>26</v>
      </c>
      <c r="W469" s="9">
        <v>391</v>
      </c>
      <c r="X469" s="9" t="s">
        <v>29</v>
      </c>
      <c r="Z469">
        <v>491</v>
      </c>
      <c r="AA469">
        <v>5691</v>
      </c>
      <c r="AB469" t="s">
        <v>29</v>
      </c>
      <c r="AD469" s="20">
        <v>45867</v>
      </c>
    </row>
    <row r="470" spans="1:30">
      <c r="A470">
        <v>493</v>
      </c>
      <c r="B470" t="str">
        <f>_xlfn.XLOOKUP(A470,Z:Z,AB:AB,"not found")</f>
        <v>USD</v>
      </c>
      <c r="C470">
        <f>_xlfn.XLOOKUP(A470,Z:Z,AA:AA)-_xlfn.XLOOKUP(A470,Q:Q,R:R,"0")</f>
        <v>610.15</v>
      </c>
      <c r="D470">
        <f>C470*_xlfn.XLOOKUP(B470,AG:AG,AH:AH)</f>
        <v>524.72899999999993</v>
      </c>
      <c r="E470">
        <f>C470*_xlfn.XLOOKUP(B470,AG:AG,AI:AI)</f>
        <v>610.15</v>
      </c>
      <c r="F470">
        <v>610.15</v>
      </c>
      <c r="G470">
        <f>F470*_xlfn.XLOOKUP(B470,AG:AG,AH:AH)</f>
        <v>524.72899999999993</v>
      </c>
      <c r="H470">
        <f>F470*_xlfn.XLOOKUP(B470,AG:AG,AI:AI)</f>
        <v>610.15</v>
      </c>
      <c r="I470">
        <f t="shared" si="37"/>
        <v>0</v>
      </c>
      <c r="J470">
        <f>I470*_xlfn.XLOOKUP(B470,AG:AG,AI:AI)</f>
        <v>0</v>
      </c>
      <c r="K470" s="7">
        <f>_xlfn.XLOOKUP(A470,Z:Z,AD:AD)</f>
        <v>45850</v>
      </c>
      <c r="L470" s="7">
        <f t="shared" si="38"/>
        <v>45820</v>
      </c>
      <c r="M470">
        <f t="shared" si="39"/>
        <v>6</v>
      </c>
      <c r="N470">
        <f t="shared" si="40"/>
        <v>2025</v>
      </c>
      <c r="Q470" s="22">
        <v>749</v>
      </c>
      <c r="R470" s="22">
        <v>13873.49</v>
      </c>
      <c r="S470" s="22" t="str">
        <f t="shared" si="41"/>
        <v>USD</v>
      </c>
      <c r="T470" s="22">
        <f>R470*_xlfn.XLOOKUP(S470,AG:AG,AI:AI)</f>
        <v>13873.49</v>
      </c>
      <c r="U470" s="22" t="s">
        <v>26</v>
      </c>
      <c r="W470" s="9">
        <v>392</v>
      </c>
      <c r="X470" s="9" t="s">
        <v>29</v>
      </c>
      <c r="Z470">
        <v>492</v>
      </c>
      <c r="AA470">
        <v>84307</v>
      </c>
      <c r="AB470" t="s">
        <v>28</v>
      </c>
      <c r="AD470" s="20">
        <v>45848</v>
      </c>
    </row>
    <row r="471" spans="1:30">
      <c r="A471">
        <v>494</v>
      </c>
      <c r="B471" t="str">
        <f>_xlfn.XLOOKUP(A471,Z:Z,AB:AB,"not found")</f>
        <v>USD</v>
      </c>
      <c r="C471">
        <f>_xlfn.XLOOKUP(A471,Z:Z,AA:AA)-_xlfn.XLOOKUP(A471,Q:Q,R:R,"0")</f>
        <v>22910</v>
      </c>
      <c r="D471">
        <f>C471*_xlfn.XLOOKUP(B471,AG:AG,AH:AH)</f>
        <v>19702.599999999999</v>
      </c>
      <c r="E471">
        <f>C471*_xlfn.XLOOKUP(B471,AG:AG,AI:AI)</f>
        <v>22910</v>
      </c>
      <c r="F471">
        <v>22910</v>
      </c>
      <c r="G471">
        <f>F471*_xlfn.XLOOKUP(B471,AG:AG,AH:AH)</f>
        <v>19702.599999999999</v>
      </c>
      <c r="H471">
        <f>F471*_xlfn.XLOOKUP(B471,AG:AG,AI:AI)</f>
        <v>22910</v>
      </c>
      <c r="I471">
        <f t="shared" si="37"/>
        <v>0</v>
      </c>
      <c r="J471">
        <f>I471*_xlfn.XLOOKUP(B471,AG:AG,AI:AI)</f>
        <v>0</v>
      </c>
      <c r="K471" s="7">
        <f>_xlfn.XLOOKUP(A471,Z:Z,AD:AD)</f>
        <v>45935</v>
      </c>
      <c r="L471" s="7">
        <f t="shared" si="38"/>
        <v>45905</v>
      </c>
      <c r="M471">
        <f t="shared" si="39"/>
        <v>9</v>
      </c>
      <c r="N471">
        <f t="shared" si="40"/>
        <v>2025</v>
      </c>
      <c r="Q471" s="22">
        <v>750</v>
      </c>
      <c r="R471" s="22">
        <v>10448</v>
      </c>
      <c r="S471" s="22" t="str">
        <f t="shared" si="41"/>
        <v>USD</v>
      </c>
      <c r="T471" s="22">
        <f>R471*_xlfn.XLOOKUP(S471,AG:AG,AI:AI)</f>
        <v>10448</v>
      </c>
      <c r="U471" s="22" t="s">
        <v>26</v>
      </c>
      <c r="W471" s="9">
        <v>392</v>
      </c>
      <c r="X471" s="9" t="s">
        <v>29</v>
      </c>
      <c r="Z471">
        <v>493</v>
      </c>
      <c r="AA471">
        <v>610.15</v>
      </c>
      <c r="AB471" t="s">
        <v>29</v>
      </c>
      <c r="AD471" s="20">
        <v>45850</v>
      </c>
    </row>
    <row r="472" spans="1:30">
      <c r="A472">
        <v>495</v>
      </c>
      <c r="B472" t="str">
        <f>_xlfn.XLOOKUP(A472,Z:Z,AB:AB,"not found")</f>
        <v>USD</v>
      </c>
      <c r="C472">
        <f>_xlfn.XLOOKUP(A472,Z:Z,AA:AA)-_xlfn.XLOOKUP(A472,Q:Q,R:R,"0")</f>
        <v>65174.07</v>
      </c>
      <c r="D472">
        <f>C472*_xlfn.XLOOKUP(B472,AG:AG,AH:AH)</f>
        <v>56049.700199999999</v>
      </c>
      <c r="E472">
        <f>C472*_xlfn.XLOOKUP(B472,AG:AG,AI:AI)</f>
        <v>65174.07</v>
      </c>
      <c r="F472">
        <v>65174.07</v>
      </c>
      <c r="G472">
        <f>F472*_xlfn.XLOOKUP(B472,AG:AG,AH:AH)</f>
        <v>56049.700199999999</v>
      </c>
      <c r="H472">
        <f>F472*_xlfn.XLOOKUP(B472,AG:AG,AI:AI)</f>
        <v>65174.07</v>
      </c>
      <c r="I472">
        <f t="shared" si="37"/>
        <v>0</v>
      </c>
      <c r="J472">
        <f>I472*_xlfn.XLOOKUP(B472,AG:AG,AI:AI)</f>
        <v>0</v>
      </c>
      <c r="K472" s="7">
        <f>_xlfn.XLOOKUP(A472,Z:Z,AD:AD)</f>
        <v>46016</v>
      </c>
      <c r="L472" s="7">
        <f t="shared" si="38"/>
        <v>45986</v>
      </c>
      <c r="M472">
        <f t="shared" si="39"/>
        <v>11</v>
      </c>
      <c r="N472">
        <f t="shared" si="40"/>
        <v>2025</v>
      </c>
      <c r="Q472" s="22">
        <v>751</v>
      </c>
      <c r="R472" s="22">
        <v>27327</v>
      </c>
      <c r="S472" s="22" t="str">
        <f t="shared" si="41"/>
        <v>EUR</v>
      </c>
      <c r="T472" s="22">
        <f>R472*_xlfn.XLOOKUP(S472,AG:AG,AI:AI)</f>
        <v>31699.319999999996</v>
      </c>
      <c r="U472" s="22" t="s">
        <v>26</v>
      </c>
      <c r="W472" s="9">
        <v>392</v>
      </c>
      <c r="X472" s="9" t="s">
        <v>29</v>
      </c>
      <c r="Z472">
        <v>494</v>
      </c>
      <c r="AA472">
        <v>22910</v>
      </c>
      <c r="AB472" t="s">
        <v>29</v>
      </c>
      <c r="AD472" s="20">
        <v>45935</v>
      </c>
    </row>
    <row r="473" spans="1:30">
      <c r="A473">
        <v>496</v>
      </c>
      <c r="B473" t="str">
        <f>_xlfn.XLOOKUP(A473,Z:Z,AB:AB,"not found")</f>
        <v>USD</v>
      </c>
      <c r="C473">
        <f>_xlfn.XLOOKUP(A473,Z:Z,AA:AA)-_xlfn.XLOOKUP(A473,Q:Q,R:R,"0")</f>
        <v>4223.6400000000012</v>
      </c>
      <c r="D473">
        <f>C473*_xlfn.XLOOKUP(B473,AG:AG,AH:AH)</f>
        <v>3632.3304000000012</v>
      </c>
      <c r="E473">
        <f>C473*_xlfn.XLOOKUP(B473,AG:AG,AI:AI)</f>
        <v>4223.6400000000012</v>
      </c>
      <c r="F473">
        <v>11171.37</v>
      </c>
      <c r="G473">
        <f>F473*_xlfn.XLOOKUP(B473,AG:AG,AH:AH)</f>
        <v>9607.378200000001</v>
      </c>
      <c r="H473">
        <f>F473*_xlfn.XLOOKUP(B473,AG:AG,AI:AI)</f>
        <v>11171.37</v>
      </c>
      <c r="I473">
        <f t="shared" si="37"/>
        <v>0</v>
      </c>
      <c r="J473">
        <f>I473*_xlfn.XLOOKUP(B473,AG:AG,AI:AI)</f>
        <v>0</v>
      </c>
      <c r="K473" s="7">
        <f>_xlfn.XLOOKUP(A473,Z:Z,AD:AD)</f>
        <v>45864</v>
      </c>
      <c r="L473" s="7">
        <f t="shared" si="38"/>
        <v>45834</v>
      </c>
      <c r="M473">
        <f t="shared" si="39"/>
        <v>6</v>
      </c>
      <c r="N473">
        <f t="shared" si="40"/>
        <v>2025</v>
      </c>
      <c r="Q473" s="22">
        <v>752</v>
      </c>
      <c r="R473" s="22">
        <v>19620</v>
      </c>
      <c r="S473" s="22" t="str">
        <f t="shared" si="41"/>
        <v>MXN</v>
      </c>
      <c r="T473" s="22">
        <f>R473*_xlfn.XLOOKUP(S473,AG:AG,AI:AI)</f>
        <v>1098.72</v>
      </c>
      <c r="U473" s="22" t="s">
        <v>26</v>
      </c>
      <c r="W473" s="9">
        <v>392</v>
      </c>
      <c r="X473" s="9" t="s">
        <v>29</v>
      </c>
      <c r="Z473">
        <v>495</v>
      </c>
      <c r="AA473">
        <v>65174.07</v>
      </c>
      <c r="AB473" t="s">
        <v>29</v>
      </c>
      <c r="AD473" s="20">
        <v>46016</v>
      </c>
    </row>
    <row r="474" spans="1:30">
      <c r="A474">
        <v>497</v>
      </c>
      <c r="B474" t="str">
        <f>_xlfn.XLOOKUP(A474,Z:Z,AB:AB,"not found")</f>
        <v>MXN</v>
      </c>
      <c r="C474">
        <f>_xlfn.XLOOKUP(A474,Z:Z,AA:AA)-_xlfn.XLOOKUP(A474,Q:Q,R:R,"0")</f>
        <v>0</v>
      </c>
      <c r="D474">
        <f>C474*_xlfn.XLOOKUP(B474,AG:AG,AH:AH)</f>
        <v>0</v>
      </c>
      <c r="E474">
        <f>C474*_xlfn.XLOOKUP(B474,AG:AG,AI:AI)</f>
        <v>0</v>
      </c>
      <c r="F474">
        <v>4438</v>
      </c>
      <c r="G474">
        <f>F474*_xlfn.XLOOKUP(B474,AG:AG,AH:AH)</f>
        <v>213.024</v>
      </c>
      <c r="H474">
        <f>F474*_xlfn.XLOOKUP(B474,AG:AG,AI:AI)</f>
        <v>248.52799999999999</v>
      </c>
      <c r="I474">
        <f t="shared" si="37"/>
        <v>0</v>
      </c>
      <c r="J474">
        <f>I474*_xlfn.XLOOKUP(B474,AG:AG,AI:AI)</f>
        <v>0</v>
      </c>
      <c r="K474" s="7">
        <f>_xlfn.XLOOKUP(A474,Z:Z,AD:AD)</f>
        <v>45850</v>
      </c>
      <c r="L474" s="7">
        <f t="shared" si="38"/>
        <v>45820</v>
      </c>
      <c r="M474">
        <f t="shared" si="39"/>
        <v>6</v>
      </c>
      <c r="N474">
        <f t="shared" si="40"/>
        <v>2025</v>
      </c>
      <c r="Q474" s="22">
        <v>753</v>
      </c>
      <c r="R474" s="22">
        <v>6053.6</v>
      </c>
      <c r="S474" s="22" t="str">
        <f t="shared" si="41"/>
        <v>USD</v>
      </c>
      <c r="T474" s="22">
        <f>R474*_xlfn.XLOOKUP(S474,AG:AG,AI:AI)</f>
        <v>6053.6</v>
      </c>
      <c r="U474" s="22" t="s">
        <v>26</v>
      </c>
      <c r="W474" s="9">
        <v>394</v>
      </c>
      <c r="X474" s="9" t="s">
        <v>29</v>
      </c>
      <c r="Z474">
        <v>496</v>
      </c>
      <c r="AA474">
        <v>11171.37</v>
      </c>
      <c r="AB474" t="s">
        <v>29</v>
      </c>
      <c r="AD474" s="20">
        <v>45864</v>
      </c>
    </row>
    <row r="475" spans="1:30">
      <c r="A475">
        <v>498</v>
      </c>
      <c r="B475" t="str">
        <f>_xlfn.XLOOKUP(A475,Z:Z,AB:AB,"not found")</f>
        <v>GPB</v>
      </c>
      <c r="C475">
        <f>_xlfn.XLOOKUP(A475,Z:Z,AA:AA)-_xlfn.XLOOKUP(A475,Q:Q,R:R,"0")</f>
        <v>0</v>
      </c>
      <c r="D475">
        <f>C475*_xlfn.XLOOKUP(B475,AG:AG,AH:AH)</f>
        <v>0</v>
      </c>
      <c r="E475">
        <f>C475*_xlfn.XLOOKUP(B475,AG:AG,AI:AI)</f>
        <v>0</v>
      </c>
      <c r="F475">
        <v>25884.35</v>
      </c>
      <c r="G475">
        <f>F475*_xlfn.XLOOKUP(B475,AG:AG,AH:AH)</f>
        <v>29767.002499999995</v>
      </c>
      <c r="H475">
        <f>F475*_xlfn.XLOOKUP(B475,AG:AG,AI:AI)</f>
        <v>34685.029000000002</v>
      </c>
      <c r="I475">
        <f t="shared" si="37"/>
        <v>0</v>
      </c>
      <c r="J475">
        <f>I475*_xlfn.XLOOKUP(B475,AG:AG,AI:AI)</f>
        <v>0</v>
      </c>
      <c r="K475" s="7">
        <f>_xlfn.XLOOKUP(A475,Z:Z,AD:AD)</f>
        <v>45850</v>
      </c>
      <c r="L475" s="7">
        <f t="shared" si="38"/>
        <v>45820</v>
      </c>
      <c r="M475">
        <f t="shared" si="39"/>
        <v>6</v>
      </c>
      <c r="N475">
        <f t="shared" si="40"/>
        <v>2025</v>
      </c>
      <c r="Q475" s="22">
        <v>757</v>
      </c>
      <c r="R475" s="22">
        <v>1067.6400000000001</v>
      </c>
      <c r="S475" s="22" t="str">
        <f t="shared" si="41"/>
        <v>USD</v>
      </c>
      <c r="T475" s="22">
        <f>R475*_xlfn.XLOOKUP(S475,AG:AG,AI:AI)</f>
        <v>1067.6400000000001</v>
      </c>
      <c r="U475" s="22" t="s">
        <v>26</v>
      </c>
      <c r="W475" s="9">
        <v>394</v>
      </c>
      <c r="X475" s="9" t="s">
        <v>29</v>
      </c>
      <c r="Z475">
        <v>497</v>
      </c>
      <c r="AA475">
        <v>4438</v>
      </c>
      <c r="AB475" t="s">
        <v>28</v>
      </c>
      <c r="AD475" s="20">
        <v>45850</v>
      </c>
    </row>
    <row r="476" spans="1:30">
      <c r="A476">
        <v>499</v>
      </c>
      <c r="B476" t="str">
        <f>_xlfn.XLOOKUP(A476,Z:Z,AB:AB,"not found")</f>
        <v>USD</v>
      </c>
      <c r="C476">
        <f>_xlfn.XLOOKUP(A476,Z:Z,AA:AA)-_xlfn.XLOOKUP(A476,Q:Q,R:R,"0")</f>
        <v>0</v>
      </c>
      <c r="D476">
        <f>C476*_xlfn.XLOOKUP(B476,AG:AG,AH:AH)</f>
        <v>0</v>
      </c>
      <c r="E476">
        <f>C476*_xlfn.XLOOKUP(B476,AG:AG,AI:AI)</f>
        <v>0</v>
      </c>
      <c r="F476">
        <v>19682.599999999999</v>
      </c>
      <c r="G476">
        <f>F476*_xlfn.XLOOKUP(B476,AG:AG,AH:AH)</f>
        <v>16927.036</v>
      </c>
      <c r="H476">
        <f>F476*_xlfn.XLOOKUP(B476,AG:AG,AI:AI)</f>
        <v>19682.599999999999</v>
      </c>
      <c r="I476">
        <f t="shared" si="37"/>
        <v>0</v>
      </c>
      <c r="J476">
        <f>I476*_xlfn.XLOOKUP(B476,AG:AG,AI:AI)</f>
        <v>0</v>
      </c>
      <c r="K476" s="7">
        <f>_xlfn.XLOOKUP(A476,Z:Z,AD:AD)</f>
        <v>45753</v>
      </c>
      <c r="L476" s="7">
        <f t="shared" si="38"/>
        <v>45723</v>
      </c>
      <c r="M476">
        <f t="shared" si="39"/>
        <v>3</v>
      </c>
      <c r="N476">
        <f t="shared" si="40"/>
        <v>2025</v>
      </c>
      <c r="Q476" s="22">
        <v>758</v>
      </c>
      <c r="R476" s="22">
        <v>1002.1</v>
      </c>
      <c r="S476" s="22" t="str">
        <f t="shared" si="41"/>
        <v>EUR</v>
      </c>
      <c r="T476" s="22">
        <f>R476*_xlfn.XLOOKUP(S476,AG:AG,AI:AI)</f>
        <v>1162.4359999999999</v>
      </c>
      <c r="U476" s="22" t="s">
        <v>26</v>
      </c>
      <c r="W476" s="9">
        <v>394</v>
      </c>
      <c r="X476" s="9" t="s">
        <v>29</v>
      </c>
      <c r="Z476">
        <v>498</v>
      </c>
      <c r="AA476">
        <v>25884.35</v>
      </c>
      <c r="AB476" t="s">
        <v>32</v>
      </c>
      <c r="AD476" s="20">
        <v>45850</v>
      </c>
    </row>
    <row r="477" spans="1:30">
      <c r="A477">
        <v>500</v>
      </c>
      <c r="B477" t="str">
        <f>_xlfn.XLOOKUP(A477,Z:Z,AB:AB,"not found")</f>
        <v>EUR</v>
      </c>
      <c r="C477">
        <f>_xlfn.XLOOKUP(A477,Z:Z,AA:AA)-_xlfn.XLOOKUP(A477,Q:Q,R:R,"0")</f>
        <v>0</v>
      </c>
      <c r="D477">
        <f>C477*_xlfn.XLOOKUP(B477,AG:AG,AH:AH)</f>
        <v>0</v>
      </c>
      <c r="E477">
        <f>C477*_xlfn.XLOOKUP(B477,AG:AG,AI:AI)</f>
        <v>0</v>
      </c>
      <c r="F477">
        <v>11054.87</v>
      </c>
      <c r="G477">
        <f>F477*_xlfn.XLOOKUP(B477,AG:AG,AH:AH)</f>
        <v>11054.87</v>
      </c>
      <c r="H477">
        <f>F477*_xlfn.XLOOKUP(B477,AG:AG,AI:AI)</f>
        <v>12823.6492</v>
      </c>
      <c r="I477">
        <f t="shared" si="37"/>
        <v>0</v>
      </c>
      <c r="J477">
        <f>I477*_xlfn.XLOOKUP(B477,AG:AG,AI:AI)</f>
        <v>0</v>
      </c>
      <c r="K477" s="7">
        <f>_xlfn.XLOOKUP(A477,Z:Z,AD:AD)</f>
        <v>45937</v>
      </c>
      <c r="L477" s="7">
        <f t="shared" si="38"/>
        <v>45907</v>
      </c>
      <c r="M477">
        <f t="shared" si="39"/>
        <v>9</v>
      </c>
      <c r="N477">
        <f t="shared" si="40"/>
        <v>2025</v>
      </c>
      <c r="Q477" s="22">
        <v>765</v>
      </c>
      <c r="R477" s="22">
        <v>418305.1</v>
      </c>
      <c r="S477" s="22" t="str">
        <f t="shared" si="41"/>
        <v>USD</v>
      </c>
      <c r="T477" s="22">
        <f>R477*_xlfn.XLOOKUP(S477,AG:AG,AI:AI)</f>
        <v>418305.1</v>
      </c>
      <c r="U477" s="22" t="s">
        <v>26</v>
      </c>
      <c r="W477" s="9">
        <v>394</v>
      </c>
      <c r="X477" s="9" t="s">
        <v>29</v>
      </c>
      <c r="Z477">
        <v>499</v>
      </c>
      <c r="AA477">
        <v>19682.599999999999</v>
      </c>
      <c r="AB477" t="s">
        <v>29</v>
      </c>
      <c r="AD477" s="20">
        <v>45753</v>
      </c>
    </row>
    <row r="478" spans="1:30">
      <c r="A478">
        <v>501</v>
      </c>
      <c r="B478" t="str">
        <f>_xlfn.XLOOKUP(A478,Z:Z,AB:AB,"not found")</f>
        <v>USD</v>
      </c>
      <c r="C478">
        <f>_xlfn.XLOOKUP(A478,Z:Z,AA:AA)-_xlfn.XLOOKUP(A478,Q:Q,R:R,"0")</f>
        <v>0</v>
      </c>
      <c r="D478">
        <f>C478*_xlfn.XLOOKUP(B478,AG:AG,AH:AH)</f>
        <v>0</v>
      </c>
      <c r="E478">
        <f>C478*_xlfn.XLOOKUP(B478,AG:AG,AI:AI)</f>
        <v>0</v>
      </c>
      <c r="F478">
        <v>11490</v>
      </c>
      <c r="G478">
        <f>F478*_xlfn.XLOOKUP(B478,AG:AG,AH:AH)</f>
        <v>9881.4</v>
      </c>
      <c r="H478">
        <f>F478*_xlfn.XLOOKUP(B478,AG:AG,AI:AI)</f>
        <v>11490</v>
      </c>
      <c r="I478">
        <f t="shared" si="37"/>
        <v>0</v>
      </c>
      <c r="J478">
        <f>I478*_xlfn.XLOOKUP(B478,AG:AG,AI:AI)</f>
        <v>0</v>
      </c>
      <c r="K478" s="7">
        <f>_xlfn.XLOOKUP(A478,Z:Z,AD:AD)</f>
        <v>46111</v>
      </c>
      <c r="L478" s="7">
        <f t="shared" si="38"/>
        <v>46081</v>
      </c>
      <c r="M478">
        <f t="shared" si="39"/>
        <v>2</v>
      </c>
      <c r="N478">
        <f t="shared" si="40"/>
        <v>2026</v>
      </c>
      <c r="Q478" s="22">
        <v>766</v>
      </c>
      <c r="R478" s="22">
        <v>17247.439999999999</v>
      </c>
      <c r="S478" s="22" t="str">
        <f t="shared" si="41"/>
        <v>USD</v>
      </c>
      <c r="T478" s="22">
        <f>R478*_xlfn.XLOOKUP(S478,AG:AG,AI:AI)</f>
        <v>17247.439999999999</v>
      </c>
      <c r="U478" s="22" t="s">
        <v>26</v>
      </c>
      <c r="W478" s="9">
        <v>394</v>
      </c>
      <c r="X478" s="9" t="s">
        <v>29</v>
      </c>
      <c r="Z478">
        <v>500</v>
      </c>
      <c r="AA478">
        <v>11054.87</v>
      </c>
      <c r="AB478" t="s">
        <v>27</v>
      </c>
      <c r="AD478" s="20">
        <v>45937</v>
      </c>
    </row>
    <row r="479" spans="1:30">
      <c r="A479">
        <v>502</v>
      </c>
      <c r="B479" t="str">
        <f>_xlfn.XLOOKUP(A479,Z:Z,AB:AB,"not found")</f>
        <v>USD</v>
      </c>
      <c r="C479">
        <f>_xlfn.XLOOKUP(A479,Z:Z,AA:AA)-_xlfn.XLOOKUP(A479,Q:Q,R:R,"0")</f>
        <v>14346.47</v>
      </c>
      <c r="D479">
        <f>C479*_xlfn.XLOOKUP(B479,AG:AG,AH:AH)</f>
        <v>12337.964199999999</v>
      </c>
      <c r="E479">
        <f>C479*_xlfn.XLOOKUP(B479,AG:AG,AI:AI)</f>
        <v>14346.47</v>
      </c>
      <c r="F479">
        <v>14346.47</v>
      </c>
      <c r="G479">
        <f>F479*_xlfn.XLOOKUP(B479,AG:AG,AH:AH)</f>
        <v>12337.964199999999</v>
      </c>
      <c r="H479">
        <f>F479*_xlfn.XLOOKUP(B479,AG:AG,AI:AI)</f>
        <v>14346.47</v>
      </c>
      <c r="I479">
        <f t="shared" si="37"/>
        <v>0</v>
      </c>
      <c r="J479">
        <f>I479*_xlfn.XLOOKUP(B479,AG:AG,AI:AI)</f>
        <v>0</v>
      </c>
      <c r="K479" s="7">
        <f>_xlfn.XLOOKUP(A479,Z:Z,AD:AD)</f>
        <v>45956</v>
      </c>
      <c r="L479" s="7">
        <f t="shared" si="38"/>
        <v>45926</v>
      </c>
      <c r="M479">
        <f t="shared" si="39"/>
        <v>9</v>
      </c>
      <c r="N479">
        <f t="shared" si="40"/>
        <v>2025</v>
      </c>
      <c r="Q479" s="22">
        <v>767</v>
      </c>
      <c r="R479" s="22">
        <v>65660.42</v>
      </c>
      <c r="S479" s="22" t="str">
        <f t="shared" si="41"/>
        <v>USD</v>
      </c>
      <c r="T479" s="22">
        <f>R479*_xlfn.XLOOKUP(S479,AG:AG,AI:AI)</f>
        <v>65660.42</v>
      </c>
      <c r="U479" s="22" t="s">
        <v>26</v>
      </c>
      <c r="W479" s="9">
        <v>394</v>
      </c>
      <c r="X479" s="9" t="s">
        <v>29</v>
      </c>
      <c r="Z479">
        <v>501</v>
      </c>
      <c r="AA479">
        <v>11490</v>
      </c>
      <c r="AB479" t="s">
        <v>29</v>
      </c>
      <c r="AD479" s="20">
        <v>46111</v>
      </c>
    </row>
    <row r="480" spans="1:30">
      <c r="A480">
        <v>503</v>
      </c>
      <c r="B480" t="str">
        <f>_xlfn.XLOOKUP(A480,Z:Z,AB:AB,"not found")</f>
        <v>USD</v>
      </c>
      <c r="C480">
        <f>_xlfn.XLOOKUP(A480,Z:Z,AA:AA)-_xlfn.XLOOKUP(A480,Q:Q,R:R,"0")</f>
        <v>71356.350000000006</v>
      </c>
      <c r="D480">
        <f>C480*_xlfn.XLOOKUP(B480,AG:AG,AH:AH)</f>
        <v>61366.461000000003</v>
      </c>
      <c r="E480">
        <f>C480*_xlfn.XLOOKUP(B480,AG:AG,AI:AI)</f>
        <v>71356.350000000006</v>
      </c>
      <c r="F480">
        <v>71356.350000000006</v>
      </c>
      <c r="G480">
        <f>F480*_xlfn.XLOOKUP(B480,AG:AG,AH:AH)</f>
        <v>61366.461000000003</v>
      </c>
      <c r="H480">
        <f>F480*_xlfn.XLOOKUP(B480,AG:AG,AI:AI)</f>
        <v>71356.350000000006</v>
      </c>
      <c r="I480">
        <f t="shared" si="37"/>
        <v>0</v>
      </c>
      <c r="J480">
        <f>I480*_xlfn.XLOOKUP(B480,AG:AG,AI:AI)</f>
        <v>0</v>
      </c>
      <c r="K480" s="7">
        <f>_xlfn.XLOOKUP(A480,Z:Z,AD:AD)</f>
        <v>45756</v>
      </c>
      <c r="L480" s="7">
        <f t="shared" si="38"/>
        <v>45726</v>
      </c>
      <c r="M480">
        <f t="shared" si="39"/>
        <v>3</v>
      </c>
      <c r="N480">
        <f t="shared" si="40"/>
        <v>2025</v>
      </c>
      <c r="Q480" s="22">
        <v>769</v>
      </c>
      <c r="R480" s="22">
        <v>1823</v>
      </c>
      <c r="S480" s="22" t="str">
        <f t="shared" si="41"/>
        <v>EUR</v>
      </c>
      <c r="T480" s="22">
        <f>R480*_xlfn.XLOOKUP(S480,AG:AG,AI:AI)</f>
        <v>2114.6799999999998</v>
      </c>
      <c r="U480" s="22" t="s">
        <v>26</v>
      </c>
      <c r="W480" s="9">
        <v>395</v>
      </c>
      <c r="X480" s="9" t="s">
        <v>29</v>
      </c>
      <c r="Z480">
        <v>502</v>
      </c>
      <c r="AA480">
        <v>14346.47</v>
      </c>
      <c r="AB480" t="s">
        <v>29</v>
      </c>
      <c r="AD480" s="20">
        <v>45956</v>
      </c>
    </row>
    <row r="481" spans="1:30">
      <c r="A481">
        <v>504</v>
      </c>
      <c r="B481" t="str">
        <f>_xlfn.XLOOKUP(A481,Z:Z,AB:AB,"not found")</f>
        <v>USD</v>
      </c>
      <c r="C481">
        <f>_xlfn.XLOOKUP(A481,Z:Z,AA:AA)-_xlfn.XLOOKUP(A481,Q:Q,R:R,"0")</f>
        <v>17881.439999999999</v>
      </c>
      <c r="D481">
        <f>C481*_xlfn.XLOOKUP(B481,AG:AG,AH:AH)</f>
        <v>15378.038399999999</v>
      </c>
      <c r="E481">
        <f>C481*_xlfn.XLOOKUP(B481,AG:AG,AI:AI)</f>
        <v>17881.439999999999</v>
      </c>
      <c r="F481">
        <v>17881.439999999999</v>
      </c>
      <c r="G481">
        <f>F481*_xlfn.XLOOKUP(B481,AG:AG,AH:AH)</f>
        <v>15378.038399999999</v>
      </c>
      <c r="H481">
        <f>F481*_xlfn.XLOOKUP(B481,AG:AG,AI:AI)</f>
        <v>17881.439999999999</v>
      </c>
      <c r="I481">
        <f t="shared" si="37"/>
        <v>0</v>
      </c>
      <c r="J481">
        <f>I481*_xlfn.XLOOKUP(B481,AG:AG,AI:AI)</f>
        <v>0</v>
      </c>
      <c r="K481" s="7">
        <f>_xlfn.XLOOKUP(A481,Z:Z,AD:AD)</f>
        <v>46026</v>
      </c>
      <c r="L481" s="7">
        <f t="shared" si="38"/>
        <v>45996</v>
      </c>
      <c r="M481">
        <f t="shared" si="39"/>
        <v>12</v>
      </c>
      <c r="N481">
        <f t="shared" si="40"/>
        <v>2025</v>
      </c>
      <c r="Q481" s="22">
        <v>770</v>
      </c>
      <c r="R481" s="22">
        <v>5943.6</v>
      </c>
      <c r="S481" s="22" t="str">
        <f t="shared" si="41"/>
        <v>EUR</v>
      </c>
      <c r="T481" s="22">
        <f>R481*_xlfn.XLOOKUP(S481,AG:AG,AI:AI)</f>
        <v>6894.576</v>
      </c>
      <c r="U481" s="22" t="s">
        <v>26</v>
      </c>
      <c r="W481" s="9">
        <v>395</v>
      </c>
      <c r="X481" s="9" t="s">
        <v>29</v>
      </c>
      <c r="Z481">
        <v>503</v>
      </c>
      <c r="AA481">
        <v>71356.350000000006</v>
      </c>
      <c r="AB481" t="s">
        <v>29</v>
      </c>
      <c r="AD481" s="20">
        <v>45756</v>
      </c>
    </row>
    <row r="482" spans="1:30">
      <c r="A482">
        <v>505</v>
      </c>
      <c r="B482" t="str">
        <f>_xlfn.XLOOKUP(A482,Z:Z,AB:AB,"not found")</f>
        <v>EUR</v>
      </c>
      <c r="C482">
        <f>_xlfn.XLOOKUP(A482,Z:Z,AA:AA)-_xlfn.XLOOKUP(A482,Q:Q,R:R,"0")</f>
        <v>0</v>
      </c>
      <c r="D482">
        <f>C482*_xlfn.XLOOKUP(B482,AG:AG,AH:AH)</f>
        <v>0</v>
      </c>
      <c r="E482">
        <f>C482*_xlfn.XLOOKUP(B482,AG:AG,AI:AI)</f>
        <v>0</v>
      </c>
      <c r="F482">
        <v>8631.9599999999991</v>
      </c>
      <c r="G482">
        <f>F482*_xlfn.XLOOKUP(B482,AG:AG,AH:AH)</f>
        <v>8631.9599999999991</v>
      </c>
      <c r="H482">
        <f>F482*_xlfn.XLOOKUP(B482,AG:AG,AI:AI)</f>
        <v>10013.073599999998</v>
      </c>
      <c r="I482">
        <f t="shared" si="37"/>
        <v>0</v>
      </c>
      <c r="J482">
        <f>I482*_xlfn.XLOOKUP(B482,AG:AG,AI:AI)</f>
        <v>0</v>
      </c>
      <c r="K482" s="7">
        <f>_xlfn.XLOOKUP(A482,Z:Z,AD:AD)</f>
        <v>45852</v>
      </c>
      <c r="L482" s="7">
        <f t="shared" si="38"/>
        <v>45822</v>
      </c>
      <c r="M482">
        <f t="shared" si="39"/>
        <v>6</v>
      </c>
      <c r="N482">
        <f t="shared" si="40"/>
        <v>2025</v>
      </c>
      <c r="Q482" s="22">
        <v>774</v>
      </c>
      <c r="R482" s="22">
        <v>959220</v>
      </c>
      <c r="S482" s="22" t="str">
        <f t="shared" si="41"/>
        <v>JPY</v>
      </c>
      <c r="T482" s="22">
        <f>R482*_xlfn.XLOOKUP(S482,AG:AG,AI:AI)</f>
        <v>6139.0080000000007</v>
      </c>
      <c r="U482" s="22" t="s">
        <v>26</v>
      </c>
      <c r="W482" s="9">
        <v>395</v>
      </c>
      <c r="X482" s="9" t="s">
        <v>29</v>
      </c>
      <c r="Z482">
        <v>504</v>
      </c>
      <c r="AA482">
        <v>17881.439999999999</v>
      </c>
      <c r="AB482" t="s">
        <v>29</v>
      </c>
      <c r="AD482" s="20">
        <v>46026</v>
      </c>
    </row>
    <row r="483" spans="1:30">
      <c r="A483">
        <v>506</v>
      </c>
      <c r="B483" t="str">
        <f>_xlfn.XLOOKUP(A483,Z:Z,AB:AB,"not found")</f>
        <v>USD</v>
      </c>
      <c r="C483">
        <f>_xlfn.XLOOKUP(A483,Z:Z,AA:AA)-_xlfn.XLOOKUP(A483,Q:Q,R:R,"0")</f>
        <v>16602.57</v>
      </c>
      <c r="D483">
        <f>C483*_xlfn.XLOOKUP(B483,AG:AG,AH:AH)</f>
        <v>14278.2102</v>
      </c>
      <c r="E483">
        <f>C483*_xlfn.XLOOKUP(B483,AG:AG,AI:AI)</f>
        <v>16602.57</v>
      </c>
      <c r="F483">
        <v>23076.67</v>
      </c>
      <c r="G483">
        <f>F483*_xlfn.XLOOKUP(B483,AG:AG,AH:AH)</f>
        <v>19845.936199999996</v>
      </c>
      <c r="H483">
        <f>F483*_xlfn.XLOOKUP(B483,AG:AG,AI:AI)</f>
        <v>23076.67</v>
      </c>
      <c r="I483">
        <f t="shared" si="37"/>
        <v>0</v>
      </c>
      <c r="J483">
        <f>I483*_xlfn.XLOOKUP(B483,AG:AG,AI:AI)</f>
        <v>0</v>
      </c>
      <c r="K483" s="7">
        <f>_xlfn.XLOOKUP(A483,Z:Z,AD:AD)</f>
        <v>45841</v>
      </c>
      <c r="L483" s="7">
        <f t="shared" si="38"/>
        <v>45811</v>
      </c>
      <c r="M483">
        <f t="shared" si="39"/>
        <v>6</v>
      </c>
      <c r="N483">
        <f t="shared" si="40"/>
        <v>2025</v>
      </c>
      <c r="Q483" s="22">
        <v>775</v>
      </c>
      <c r="R483" s="22">
        <v>3689941</v>
      </c>
      <c r="S483" s="22" t="str">
        <f t="shared" si="41"/>
        <v>JPY</v>
      </c>
      <c r="T483" s="22">
        <f>R483*_xlfn.XLOOKUP(S483,AG:AG,AI:AI)</f>
        <v>23615.6224</v>
      </c>
      <c r="U483" s="22" t="s">
        <v>26</v>
      </c>
      <c r="W483" s="9">
        <v>395</v>
      </c>
      <c r="X483" s="9" t="s">
        <v>29</v>
      </c>
      <c r="Z483">
        <v>505</v>
      </c>
      <c r="AA483">
        <v>8631.9599999999991</v>
      </c>
      <c r="AB483" t="s">
        <v>27</v>
      </c>
      <c r="AD483" s="20">
        <v>45852</v>
      </c>
    </row>
    <row r="484" spans="1:30">
      <c r="A484">
        <v>507</v>
      </c>
      <c r="B484" t="str">
        <f>_xlfn.XLOOKUP(A484,Z:Z,AB:AB,"not found")</f>
        <v>USD</v>
      </c>
      <c r="C484">
        <f>_xlfn.XLOOKUP(A484,Z:Z,AA:AA)-_xlfn.XLOOKUP(A484,Q:Q,R:R,"0")</f>
        <v>0</v>
      </c>
      <c r="D484">
        <f>C484*_xlfn.XLOOKUP(B484,AG:AG,AH:AH)</f>
        <v>0</v>
      </c>
      <c r="E484">
        <f>C484*_xlfn.XLOOKUP(B484,AG:AG,AI:AI)</f>
        <v>0</v>
      </c>
      <c r="F484">
        <v>10798.04</v>
      </c>
      <c r="G484">
        <f>F484*_xlfn.XLOOKUP(B484,AG:AG,AH:AH)</f>
        <v>9286.3144000000011</v>
      </c>
      <c r="H484">
        <f>F484*_xlfn.XLOOKUP(B484,AG:AG,AI:AI)</f>
        <v>10798.04</v>
      </c>
      <c r="I484">
        <f t="shared" si="37"/>
        <v>0</v>
      </c>
      <c r="J484">
        <f>I484*_xlfn.XLOOKUP(B484,AG:AG,AI:AI)</f>
        <v>0</v>
      </c>
      <c r="K484" s="7">
        <f>_xlfn.XLOOKUP(A484,Z:Z,AD:AD)</f>
        <v>45821</v>
      </c>
      <c r="L484" s="7">
        <f t="shared" si="38"/>
        <v>45791</v>
      </c>
      <c r="M484">
        <f t="shared" si="39"/>
        <v>5</v>
      </c>
      <c r="N484">
        <f t="shared" si="40"/>
        <v>2025</v>
      </c>
      <c r="Q484" s="22">
        <v>776</v>
      </c>
      <c r="R484" s="22">
        <v>23484594.600000001</v>
      </c>
      <c r="S484" s="22" t="str">
        <f t="shared" si="41"/>
        <v>JPY</v>
      </c>
      <c r="T484" s="22">
        <f>R484*_xlfn.XLOOKUP(S484,AG:AG,AI:AI)</f>
        <v>150301.40544</v>
      </c>
      <c r="U484" s="22" t="s">
        <v>26</v>
      </c>
      <c r="W484" s="9">
        <v>396</v>
      </c>
      <c r="X484" s="9" t="s">
        <v>29</v>
      </c>
      <c r="Z484">
        <v>506</v>
      </c>
      <c r="AA484">
        <v>23076.67</v>
      </c>
      <c r="AB484" t="s">
        <v>29</v>
      </c>
      <c r="AD484" s="20">
        <v>45841</v>
      </c>
    </row>
    <row r="485" spans="1:30">
      <c r="A485">
        <v>508</v>
      </c>
      <c r="B485" t="str">
        <f>_xlfn.XLOOKUP(A485,Z:Z,AB:AB,"not found")</f>
        <v>GPB</v>
      </c>
      <c r="C485">
        <f>_xlfn.XLOOKUP(A485,Z:Z,AA:AA)-_xlfn.XLOOKUP(A485,Q:Q,R:R,"0")</f>
        <v>0</v>
      </c>
      <c r="D485">
        <f>C485*_xlfn.XLOOKUP(B485,AG:AG,AH:AH)</f>
        <v>0</v>
      </c>
      <c r="E485">
        <f>C485*_xlfn.XLOOKUP(B485,AG:AG,AI:AI)</f>
        <v>0</v>
      </c>
      <c r="F485">
        <v>7119</v>
      </c>
      <c r="G485">
        <f>F485*_xlfn.XLOOKUP(B485,AG:AG,AH:AH)</f>
        <v>8186.8499999999995</v>
      </c>
      <c r="H485">
        <f>F485*_xlfn.XLOOKUP(B485,AG:AG,AI:AI)</f>
        <v>9539.4600000000009</v>
      </c>
      <c r="I485">
        <f t="shared" si="37"/>
        <v>0</v>
      </c>
      <c r="J485">
        <f>I485*_xlfn.XLOOKUP(B485,AG:AG,AI:AI)</f>
        <v>0</v>
      </c>
      <c r="K485" s="7">
        <f>_xlfn.XLOOKUP(A485,Z:Z,AD:AD)</f>
        <v>45759</v>
      </c>
      <c r="L485" s="7">
        <f t="shared" si="38"/>
        <v>45729</v>
      </c>
      <c r="M485">
        <f t="shared" si="39"/>
        <v>3</v>
      </c>
      <c r="N485">
        <f t="shared" si="40"/>
        <v>2025</v>
      </c>
      <c r="Q485" s="22">
        <v>780</v>
      </c>
      <c r="R485" s="22">
        <v>5088.07</v>
      </c>
      <c r="S485" s="22" t="str">
        <f t="shared" si="41"/>
        <v>USD</v>
      </c>
      <c r="T485" s="22">
        <f>R485*_xlfn.XLOOKUP(S485,AG:AG,AI:AI)</f>
        <v>5088.07</v>
      </c>
      <c r="U485" s="22" t="s">
        <v>26</v>
      </c>
      <c r="W485" s="9">
        <v>396</v>
      </c>
      <c r="X485" s="9" t="s">
        <v>29</v>
      </c>
      <c r="Z485">
        <v>507</v>
      </c>
      <c r="AA485">
        <v>10798.04</v>
      </c>
      <c r="AB485" t="s">
        <v>29</v>
      </c>
      <c r="AD485" s="20">
        <v>45821</v>
      </c>
    </row>
    <row r="486" spans="1:30">
      <c r="A486">
        <v>509</v>
      </c>
      <c r="B486" t="str">
        <f>_xlfn.XLOOKUP(A486,Z:Z,AB:AB,"not found")</f>
        <v>USD</v>
      </c>
      <c r="C486">
        <f>_xlfn.XLOOKUP(A486,Z:Z,AA:AA)-_xlfn.XLOOKUP(A486,Q:Q,R:R,"0")</f>
        <v>2970.78</v>
      </c>
      <c r="D486">
        <f>C486*_xlfn.XLOOKUP(B486,AG:AG,AH:AH)</f>
        <v>2554.8708000000001</v>
      </c>
      <c r="E486">
        <f>C486*_xlfn.XLOOKUP(B486,AG:AG,AI:AI)</f>
        <v>2970.78</v>
      </c>
      <c r="F486">
        <v>5759.8</v>
      </c>
      <c r="G486">
        <f>F486*_xlfn.XLOOKUP(B486,AG:AG,AH:AH)</f>
        <v>4953.4279999999999</v>
      </c>
      <c r="H486">
        <f>F486*_xlfn.XLOOKUP(B486,AG:AG,AI:AI)</f>
        <v>5759.8</v>
      </c>
      <c r="I486">
        <f t="shared" si="37"/>
        <v>0</v>
      </c>
      <c r="J486">
        <f>I486*_xlfn.XLOOKUP(B486,AG:AG,AI:AI)</f>
        <v>0</v>
      </c>
      <c r="K486" s="7">
        <f>_xlfn.XLOOKUP(A486,Z:Z,AD:AD)</f>
        <v>45883</v>
      </c>
      <c r="L486" s="7">
        <f t="shared" si="38"/>
        <v>45853</v>
      </c>
      <c r="M486">
        <f t="shared" si="39"/>
        <v>7</v>
      </c>
      <c r="N486">
        <f t="shared" si="40"/>
        <v>2025</v>
      </c>
      <c r="Q486" s="22">
        <v>781</v>
      </c>
      <c r="R486" s="22">
        <v>8424</v>
      </c>
      <c r="S486" s="22" t="str">
        <f t="shared" si="41"/>
        <v>USD</v>
      </c>
      <c r="T486" s="22">
        <f>R486*_xlfn.XLOOKUP(S486,AG:AG,AI:AI)</f>
        <v>8424</v>
      </c>
      <c r="U486" s="22" t="s">
        <v>26</v>
      </c>
      <c r="W486" s="9">
        <v>398</v>
      </c>
      <c r="X486" s="9" t="s">
        <v>27</v>
      </c>
      <c r="Z486">
        <v>508</v>
      </c>
      <c r="AA486">
        <v>7119</v>
      </c>
      <c r="AB486" t="s">
        <v>32</v>
      </c>
      <c r="AD486" s="20">
        <v>45759</v>
      </c>
    </row>
    <row r="487" spans="1:30">
      <c r="A487">
        <v>510</v>
      </c>
      <c r="B487" t="str">
        <f>_xlfn.XLOOKUP(A487,Z:Z,AB:AB,"not found")</f>
        <v>USD</v>
      </c>
      <c r="C487">
        <f>_xlfn.XLOOKUP(A487,Z:Z,AA:AA)-_xlfn.XLOOKUP(A487,Q:Q,R:R,"0")</f>
        <v>0</v>
      </c>
      <c r="D487">
        <f>C487*_xlfn.XLOOKUP(B487,AG:AG,AH:AH)</f>
        <v>0</v>
      </c>
      <c r="E487">
        <f>C487*_xlfn.XLOOKUP(B487,AG:AG,AI:AI)</f>
        <v>0</v>
      </c>
      <c r="F487">
        <v>19967.13</v>
      </c>
      <c r="G487">
        <f>F487*_xlfn.XLOOKUP(B487,AG:AG,AH:AH)</f>
        <v>17171.731800000001</v>
      </c>
      <c r="H487">
        <f>F487*_xlfn.XLOOKUP(B487,AG:AG,AI:AI)</f>
        <v>19967.13</v>
      </c>
      <c r="I487">
        <f t="shared" si="37"/>
        <v>0</v>
      </c>
      <c r="J487">
        <f>I487*_xlfn.XLOOKUP(B487,AG:AG,AI:AI)</f>
        <v>0</v>
      </c>
      <c r="K487" s="7">
        <f>_xlfn.XLOOKUP(A487,Z:Z,AD:AD)</f>
        <v>45846</v>
      </c>
      <c r="L487" s="7">
        <f t="shared" si="38"/>
        <v>45816</v>
      </c>
      <c r="M487">
        <f t="shared" si="39"/>
        <v>6</v>
      </c>
      <c r="N487">
        <f t="shared" si="40"/>
        <v>2025</v>
      </c>
      <c r="Q487" s="22">
        <v>782</v>
      </c>
      <c r="R487" s="22">
        <v>31576.04</v>
      </c>
      <c r="S487" s="22" t="str">
        <f t="shared" si="41"/>
        <v>USD</v>
      </c>
      <c r="T487" s="22">
        <f>R487*_xlfn.XLOOKUP(S487,AG:AG,AI:AI)</f>
        <v>31576.04</v>
      </c>
      <c r="U487" s="22" t="s">
        <v>26</v>
      </c>
      <c r="W487" s="9">
        <v>398</v>
      </c>
      <c r="X487" s="9" t="s">
        <v>27</v>
      </c>
      <c r="Z487">
        <v>509</v>
      </c>
      <c r="AA487">
        <v>5759.8</v>
      </c>
      <c r="AB487" t="s">
        <v>29</v>
      </c>
      <c r="AD487" s="20">
        <v>45883</v>
      </c>
    </row>
    <row r="488" spans="1:30">
      <c r="A488">
        <v>511</v>
      </c>
      <c r="B488" t="str">
        <f>_xlfn.XLOOKUP(A488,Z:Z,AB:AB,"not found")</f>
        <v>CHF</v>
      </c>
      <c r="C488">
        <f>_xlfn.XLOOKUP(A488,Z:Z,AA:AA)-_xlfn.XLOOKUP(A488,Q:Q,R:R,"0")</f>
        <v>0</v>
      </c>
      <c r="D488">
        <f>C488*_xlfn.XLOOKUP(B488,AG:AG,AH:AH)</f>
        <v>0</v>
      </c>
      <c r="E488">
        <f>C488*_xlfn.XLOOKUP(B488,AG:AG,AI:AI)</f>
        <v>0</v>
      </c>
      <c r="F488">
        <v>25252.01</v>
      </c>
      <c r="G488">
        <f>F488*_xlfn.XLOOKUP(B488,AG:AG,AH:AH)</f>
        <v>27019.650699999998</v>
      </c>
      <c r="H488">
        <f>F488*_xlfn.XLOOKUP(B488,AG:AG,AI:AI)</f>
        <v>31565.012499999997</v>
      </c>
      <c r="I488">
        <f t="shared" si="37"/>
        <v>0</v>
      </c>
      <c r="J488">
        <f>I488*_xlfn.XLOOKUP(B488,AG:AG,AI:AI)</f>
        <v>0</v>
      </c>
      <c r="K488" s="7">
        <f>_xlfn.XLOOKUP(A488,Z:Z,AD:AD)</f>
        <v>45892</v>
      </c>
      <c r="L488" s="7">
        <f t="shared" si="38"/>
        <v>45862</v>
      </c>
      <c r="M488">
        <f t="shared" si="39"/>
        <v>7</v>
      </c>
      <c r="N488">
        <f t="shared" si="40"/>
        <v>2025</v>
      </c>
      <c r="Q488" s="22">
        <v>783</v>
      </c>
      <c r="R488" s="22">
        <v>3925</v>
      </c>
      <c r="S488" s="22" t="str">
        <f t="shared" si="41"/>
        <v>GBP</v>
      </c>
      <c r="T488" s="22">
        <f>R488*_xlfn.XLOOKUP(S488,AG:AG,AI:AI)</f>
        <v>5259.5</v>
      </c>
      <c r="U488" s="22" t="s">
        <v>26</v>
      </c>
      <c r="W488" s="9">
        <v>398</v>
      </c>
      <c r="X488" s="9" t="s">
        <v>27</v>
      </c>
      <c r="Z488">
        <v>510</v>
      </c>
      <c r="AA488">
        <v>19967.13</v>
      </c>
      <c r="AB488" t="s">
        <v>29</v>
      </c>
      <c r="AD488" s="20">
        <v>45846</v>
      </c>
    </row>
    <row r="489" spans="1:30">
      <c r="A489">
        <v>512</v>
      </c>
      <c r="B489" t="str">
        <f>_xlfn.XLOOKUP(A489,Z:Z,AB:AB,"not found")</f>
        <v>USD</v>
      </c>
      <c r="C489">
        <f>_xlfn.XLOOKUP(A489,Z:Z,AA:AA)-_xlfn.XLOOKUP(A489,Q:Q,R:R,"0")</f>
        <v>14380</v>
      </c>
      <c r="D489">
        <f>C489*_xlfn.XLOOKUP(B489,AG:AG,AH:AH)</f>
        <v>12366.8</v>
      </c>
      <c r="E489">
        <f>C489*_xlfn.XLOOKUP(B489,AG:AG,AI:AI)</f>
        <v>14380</v>
      </c>
      <c r="F489">
        <v>14380</v>
      </c>
      <c r="G489">
        <f>F489*_xlfn.XLOOKUP(B489,AG:AG,AH:AH)</f>
        <v>12366.8</v>
      </c>
      <c r="H489">
        <f>F489*_xlfn.XLOOKUP(B489,AG:AG,AI:AI)</f>
        <v>14380</v>
      </c>
      <c r="I489">
        <f t="shared" si="37"/>
        <v>0</v>
      </c>
      <c r="J489">
        <f>I489*_xlfn.XLOOKUP(B489,AG:AG,AI:AI)</f>
        <v>0</v>
      </c>
      <c r="K489" s="7">
        <f>_xlfn.XLOOKUP(A489,Z:Z,AD:AD)</f>
        <v>45881</v>
      </c>
      <c r="L489" s="7">
        <f t="shared" si="38"/>
        <v>45851</v>
      </c>
      <c r="M489">
        <f t="shared" si="39"/>
        <v>7</v>
      </c>
      <c r="N489">
        <f t="shared" si="40"/>
        <v>2025</v>
      </c>
      <c r="Q489" s="22">
        <v>787</v>
      </c>
      <c r="R489" s="22">
        <v>9224.880000000001</v>
      </c>
      <c r="S489" s="22" t="str">
        <f t="shared" si="41"/>
        <v>USD</v>
      </c>
      <c r="T489" s="22">
        <f>R489*_xlfn.XLOOKUP(S489,AG:AG,AI:AI)</f>
        <v>9224.880000000001</v>
      </c>
      <c r="U489" s="22" t="s">
        <v>26</v>
      </c>
      <c r="W489" s="9">
        <v>398</v>
      </c>
      <c r="X489" s="9" t="s">
        <v>27</v>
      </c>
      <c r="Z489">
        <v>511</v>
      </c>
      <c r="AA489">
        <v>25252.01</v>
      </c>
      <c r="AB489" t="s">
        <v>30</v>
      </c>
      <c r="AD489" s="20">
        <v>45892</v>
      </c>
    </row>
    <row r="490" spans="1:30">
      <c r="A490">
        <v>513</v>
      </c>
      <c r="B490" t="str">
        <f>_xlfn.XLOOKUP(A490,Z:Z,AB:AB,"not found")</f>
        <v>USD</v>
      </c>
      <c r="C490">
        <f>_xlfn.XLOOKUP(A490,Z:Z,AA:AA)-_xlfn.XLOOKUP(A490,Q:Q,R:R,"0")</f>
        <v>31504.190000000002</v>
      </c>
      <c r="D490">
        <f>C490*_xlfn.XLOOKUP(B490,AG:AG,AH:AH)</f>
        <v>27093.6034</v>
      </c>
      <c r="E490">
        <f>C490*_xlfn.XLOOKUP(B490,AG:AG,AI:AI)</f>
        <v>31504.190000000002</v>
      </c>
      <c r="F490">
        <v>69921.86</v>
      </c>
      <c r="G490">
        <f>F490*_xlfn.XLOOKUP(B490,AG:AG,AH:AH)</f>
        <v>60132.799599999998</v>
      </c>
      <c r="H490">
        <f>F490*_xlfn.XLOOKUP(B490,AG:AG,AI:AI)</f>
        <v>69921.86</v>
      </c>
      <c r="I490">
        <f t="shared" si="37"/>
        <v>0</v>
      </c>
      <c r="J490">
        <f>I490*_xlfn.XLOOKUP(B490,AG:AG,AI:AI)</f>
        <v>0</v>
      </c>
      <c r="K490" s="7">
        <f>_xlfn.XLOOKUP(A490,Z:Z,AD:AD)</f>
        <v>45867</v>
      </c>
      <c r="L490" s="7">
        <f t="shared" si="38"/>
        <v>45837</v>
      </c>
      <c r="M490">
        <f t="shared" si="39"/>
        <v>6</v>
      </c>
      <c r="N490">
        <f t="shared" si="40"/>
        <v>2025</v>
      </c>
      <c r="Q490" s="22">
        <v>789</v>
      </c>
      <c r="R490" s="22">
        <v>-2019.11</v>
      </c>
      <c r="S490" s="22" t="str">
        <f t="shared" si="41"/>
        <v>EUR</v>
      </c>
      <c r="T490" s="22">
        <f>R490*_xlfn.XLOOKUP(S490,AG:AG,AI:AI)</f>
        <v>-2342.1675999999998</v>
      </c>
      <c r="U490" s="22" t="s">
        <v>26</v>
      </c>
      <c r="W490" s="9">
        <v>398</v>
      </c>
      <c r="X490" s="9" t="s">
        <v>27</v>
      </c>
      <c r="Z490">
        <v>512</v>
      </c>
      <c r="AA490">
        <v>14380</v>
      </c>
      <c r="AB490" t="s">
        <v>29</v>
      </c>
      <c r="AD490" s="20">
        <v>45881</v>
      </c>
    </row>
    <row r="491" spans="1:30">
      <c r="A491">
        <v>514</v>
      </c>
      <c r="B491" t="str">
        <f>_xlfn.XLOOKUP(A491,Z:Z,AB:AB,"not found")</f>
        <v>MXN</v>
      </c>
      <c r="C491">
        <f>_xlfn.XLOOKUP(A491,Z:Z,AA:AA)-_xlfn.XLOOKUP(A491,Q:Q,R:R,"0")</f>
        <v>0</v>
      </c>
      <c r="D491">
        <f>C491*_xlfn.XLOOKUP(B491,AG:AG,AH:AH)</f>
        <v>0</v>
      </c>
      <c r="E491">
        <f>C491*_xlfn.XLOOKUP(B491,AG:AG,AI:AI)</f>
        <v>0</v>
      </c>
      <c r="F491">
        <v>60840</v>
      </c>
      <c r="G491">
        <f>F491*_xlfn.XLOOKUP(B491,AG:AG,AH:AH)</f>
        <v>2920.32</v>
      </c>
      <c r="H491">
        <f>F491*_xlfn.XLOOKUP(B491,AG:AG,AI:AI)</f>
        <v>3407.04</v>
      </c>
      <c r="I491">
        <f t="shared" si="37"/>
        <v>0</v>
      </c>
      <c r="J491">
        <f>I491*_xlfn.XLOOKUP(B491,AG:AG,AI:AI)</f>
        <v>0</v>
      </c>
      <c r="K491" s="7">
        <f>_xlfn.XLOOKUP(A491,Z:Z,AD:AD)</f>
        <v>45818</v>
      </c>
      <c r="L491" s="7">
        <f t="shared" si="38"/>
        <v>45788</v>
      </c>
      <c r="M491">
        <f t="shared" si="39"/>
        <v>5</v>
      </c>
      <c r="N491">
        <f t="shared" si="40"/>
        <v>2025</v>
      </c>
      <c r="Q491" s="22">
        <v>790</v>
      </c>
      <c r="R491" s="22">
        <v>90932</v>
      </c>
      <c r="S491" s="22" t="str">
        <f t="shared" si="41"/>
        <v>MXN</v>
      </c>
      <c r="T491" s="22">
        <f>R491*_xlfn.XLOOKUP(S491,AG:AG,AI:AI)</f>
        <v>5092.192</v>
      </c>
      <c r="U491" s="22" t="s">
        <v>26</v>
      </c>
      <c r="W491" s="9">
        <v>398</v>
      </c>
      <c r="X491" s="9" t="s">
        <v>27</v>
      </c>
      <c r="Z491">
        <v>513</v>
      </c>
      <c r="AA491">
        <v>69921.86</v>
      </c>
      <c r="AB491" t="s">
        <v>29</v>
      </c>
      <c r="AD491" s="20">
        <v>45867</v>
      </c>
    </row>
    <row r="492" spans="1:30">
      <c r="A492">
        <v>515</v>
      </c>
      <c r="B492" t="str">
        <f>_xlfn.XLOOKUP(A492,Z:Z,AB:AB,"not found")</f>
        <v>EUR</v>
      </c>
      <c r="C492">
        <f>_xlfn.XLOOKUP(A492,Z:Z,AA:AA)-_xlfn.XLOOKUP(A492,Q:Q,R:R,"0")</f>
        <v>0</v>
      </c>
      <c r="D492">
        <f>C492*_xlfn.XLOOKUP(B492,AG:AG,AH:AH)</f>
        <v>0</v>
      </c>
      <c r="E492">
        <f>C492*_xlfn.XLOOKUP(B492,AG:AG,AI:AI)</f>
        <v>0</v>
      </c>
      <c r="F492">
        <v>11020.8</v>
      </c>
      <c r="G492">
        <f>F492*_xlfn.XLOOKUP(B492,AG:AG,AH:AH)</f>
        <v>11020.8</v>
      </c>
      <c r="H492">
        <f>F492*_xlfn.XLOOKUP(B492,AG:AG,AI:AI)</f>
        <v>12784.127999999999</v>
      </c>
      <c r="I492">
        <f t="shared" si="37"/>
        <v>0</v>
      </c>
      <c r="J492">
        <f>I492*_xlfn.XLOOKUP(B492,AG:AG,AI:AI)</f>
        <v>0</v>
      </c>
      <c r="K492" s="7">
        <f>_xlfn.XLOOKUP(A492,Z:Z,AD:AD)</f>
        <v>45653</v>
      </c>
      <c r="L492" s="7">
        <f t="shared" si="38"/>
        <v>45623</v>
      </c>
      <c r="M492">
        <f t="shared" si="39"/>
        <v>11</v>
      </c>
      <c r="N492">
        <f t="shared" si="40"/>
        <v>2024</v>
      </c>
      <c r="Q492" s="22">
        <v>791</v>
      </c>
      <c r="R492" s="22">
        <v>1291</v>
      </c>
      <c r="S492" s="22" t="str">
        <f t="shared" si="41"/>
        <v>EUR</v>
      </c>
      <c r="T492" s="22">
        <f>R492*_xlfn.XLOOKUP(S492,AG:AG,AI:AI)</f>
        <v>1497.56</v>
      </c>
      <c r="U492" s="22" t="s">
        <v>26</v>
      </c>
      <c r="W492" s="9">
        <v>399</v>
      </c>
      <c r="X492" s="9" t="s">
        <v>29</v>
      </c>
      <c r="Z492">
        <v>514</v>
      </c>
      <c r="AA492">
        <v>60840</v>
      </c>
      <c r="AB492" t="s">
        <v>28</v>
      </c>
      <c r="AD492" s="20">
        <v>45818</v>
      </c>
    </row>
    <row r="493" spans="1:30">
      <c r="A493">
        <v>516</v>
      </c>
      <c r="B493" t="str">
        <f>_xlfn.XLOOKUP(A493,Z:Z,AB:AB,"not found")</f>
        <v>EUR</v>
      </c>
      <c r="C493">
        <f>_xlfn.XLOOKUP(A493,Z:Z,AA:AA)-_xlfn.XLOOKUP(A493,Q:Q,R:R,"0")</f>
        <v>0</v>
      </c>
      <c r="D493">
        <f>C493*_xlfn.XLOOKUP(B493,AG:AG,AH:AH)</f>
        <v>0</v>
      </c>
      <c r="E493">
        <f>C493*_xlfn.XLOOKUP(B493,AG:AG,AI:AI)</f>
        <v>0</v>
      </c>
      <c r="F493">
        <v>7872</v>
      </c>
      <c r="G493">
        <f>F493*_xlfn.XLOOKUP(B493,AG:AG,AH:AH)</f>
        <v>7872</v>
      </c>
      <c r="H493">
        <f>F493*_xlfn.XLOOKUP(B493,AG:AG,AI:AI)</f>
        <v>9131.5199999999986</v>
      </c>
      <c r="I493">
        <f t="shared" si="37"/>
        <v>0</v>
      </c>
      <c r="J493">
        <f>I493*_xlfn.XLOOKUP(B493,AG:AG,AI:AI)</f>
        <v>0</v>
      </c>
      <c r="K493" s="7">
        <f>_xlfn.XLOOKUP(A493,Z:Z,AD:AD)</f>
        <v>45653</v>
      </c>
      <c r="L493" s="7">
        <f t="shared" si="38"/>
        <v>45623</v>
      </c>
      <c r="M493">
        <f t="shared" si="39"/>
        <v>11</v>
      </c>
      <c r="N493">
        <f t="shared" si="40"/>
        <v>2024</v>
      </c>
      <c r="Q493" s="22">
        <v>792</v>
      </c>
      <c r="R493" s="22">
        <v>930</v>
      </c>
      <c r="S493" s="22" t="str">
        <f t="shared" si="41"/>
        <v>GBP</v>
      </c>
      <c r="T493" s="22">
        <f>R493*_xlfn.XLOOKUP(S493,AG:AG,AI:AI)</f>
        <v>1246.2</v>
      </c>
      <c r="U493" s="22" t="s">
        <v>26</v>
      </c>
      <c r="W493" s="9">
        <v>400</v>
      </c>
      <c r="X493" s="9" t="s">
        <v>29</v>
      </c>
      <c r="Z493">
        <v>515</v>
      </c>
      <c r="AA493">
        <v>11020.8</v>
      </c>
      <c r="AB493" t="s">
        <v>27</v>
      </c>
      <c r="AD493" s="20">
        <v>45653</v>
      </c>
    </row>
    <row r="494" spans="1:30">
      <c r="A494">
        <v>518</v>
      </c>
      <c r="B494" t="str">
        <f>_xlfn.XLOOKUP(A494,Z:Z,AB:AB,"not found")</f>
        <v>USD</v>
      </c>
      <c r="C494">
        <f>_xlfn.XLOOKUP(A494,Z:Z,AA:AA)-_xlfn.XLOOKUP(A494,Q:Q,R:R,"0")</f>
        <v>0</v>
      </c>
      <c r="D494">
        <f>C494*_xlfn.XLOOKUP(B494,AG:AG,AH:AH)</f>
        <v>0</v>
      </c>
      <c r="E494">
        <f>C494*_xlfn.XLOOKUP(B494,AG:AG,AI:AI)</f>
        <v>0</v>
      </c>
      <c r="F494">
        <v>1497.6</v>
      </c>
      <c r="G494">
        <f>F494*_xlfn.XLOOKUP(B494,AG:AG,AH:AH)</f>
        <v>1287.9359999999999</v>
      </c>
      <c r="H494">
        <f>F494*_xlfn.XLOOKUP(B494,AG:AG,AI:AI)</f>
        <v>1497.6</v>
      </c>
      <c r="I494">
        <f t="shared" si="37"/>
        <v>0</v>
      </c>
      <c r="J494">
        <f>I494*_xlfn.XLOOKUP(B494,AG:AG,AI:AI)</f>
        <v>0</v>
      </c>
      <c r="K494" s="7">
        <f>_xlfn.XLOOKUP(A494,Z:Z,AD:AD)</f>
        <v>45855</v>
      </c>
      <c r="L494" s="7">
        <f t="shared" si="38"/>
        <v>45825</v>
      </c>
      <c r="M494">
        <f t="shared" si="39"/>
        <v>6</v>
      </c>
      <c r="N494">
        <f t="shared" si="40"/>
        <v>2025</v>
      </c>
      <c r="Q494" s="22">
        <v>793</v>
      </c>
      <c r="R494" s="22">
        <v>4474</v>
      </c>
      <c r="S494" s="22" t="str">
        <f t="shared" si="41"/>
        <v>EUR</v>
      </c>
      <c r="T494" s="22">
        <f>R494*_xlfn.XLOOKUP(S494,AG:AG,AI:AI)</f>
        <v>5189.8399999999992</v>
      </c>
      <c r="U494" s="22" t="s">
        <v>26</v>
      </c>
      <c r="W494" s="9">
        <v>401</v>
      </c>
      <c r="X494" s="9" t="s">
        <v>29</v>
      </c>
      <c r="Z494">
        <v>516</v>
      </c>
      <c r="AA494">
        <v>7872</v>
      </c>
      <c r="AB494" t="s">
        <v>27</v>
      </c>
      <c r="AD494" s="20">
        <v>45653</v>
      </c>
    </row>
    <row r="495" spans="1:30">
      <c r="A495">
        <v>519</v>
      </c>
      <c r="B495" t="str">
        <f>_xlfn.XLOOKUP(A495,Z:Z,AB:AB,"not found")</f>
        <v>USD</v>
      </c>
      <c r="C495">
        <f>_xlfn.XLOOKUP(A495,Z:Z,AA:AA)-_xlfn.XLOOKUP(A495,Q:Q,R:R,"0")</f>
        <v>1648.65</v>
      </c>
      <c r="D495">
        <f>C495*_xlfn.XLOOKUP(B495,AG:AG,AH:AH)</f>
        <v>1417.8390000000002</v>
      </c>
      <c r="E495">
        <f>C495*_xlfn.XLOOKUP(B495,AG:AG,AI:AI)</f>
        <v>1648.65</v>
      </c>
      <c r="F495">
        <v>1648.65</v>
      </c>
      <c r="G495">
        <f>F495*_xlfn.XLOOKUP(B495,AG:AG,AH:AH)</f>
        <v>1417.8390000000002</v>
      </c>
      <c r="H495">
        <f>F495*_xlfn.XLOOKUP(B495,AG:AG,AI:AI)</f>
        <v>1648.65</v>
      </c>
      <c r="I495">
        <f t="shared" si="37"/>
        <v>0</v>
      </c>
      <c r="J495">
        <f>I495*_xlfn.XLOOKUP(B495,AG:AG,AI:AI)</f>
        <v>0</v>
      </c>
      <c r="K495" s="7">
        <f>_xlfn.XLOOKUP(A495,Z:Z,AD:AD)</f>
        <v>45821</v>
      </c>
      <c r="L495" s="7">
        <f t="shared" si="38"/>
        <v>45791</v>
      </c>
      <c r="M495">
        <f t="shared" si="39"/>
        <v>5</v>
      </c>
      <c r="N495">
        <f t="shared" si="40"/>
        <v>2025</v>
      </c>
      <c r="Q495" s="22">
        <v>795</v>
      </c>
      <c r="R495" s="22">
        <v>11980.26</v>
      </c>
      <c r="S495" s="22" t="str">
        <f t="shared" si="41"/>
        <v>USD</v>
      </c>
      <c r="T495" s="22">
        <f>R495*_xlfn.XLOOKUP(S495,AG:AG,AI:AI)</f>
        <v>11980.26</v>
      </c>
      <c r="U495" s="22" t="s">
        <v>26</v>
      </c>
      <c r="W495" s="9">
        <v>402</v>
      </c>
      <c r="X495" s="9" t="s">
        <v>28</v>
      </c>
      <c r="Z495">
        <v>518</v>
      </c>
      <c r="AA495">
        <v>1497.6</v>
      </c>
      <c r="AB495" t="s">
        <v>29</v>
      </c>
      <c r="AD495" s="20">
        <v>45855</v>
      </c>
    </row>
    <row r="496" spans="1:30">
      <c r="A496">
        <v>520</v>
      </c>
      <c r="B496" t="str">
        <f>_xlfn.XLOOKUP(A496,Z:Z,AB:AB,"not found")</f>
        <v>EUR</v>
      </c>
      <c r="C496">
        <f>_xlfn.XLOOKUP(A496,Z:Z,AA:AA)-_xlfn.XLOOKUP(A496,Q:Q,R:R,"0")</f>
        <v>74679.42</v>
      </c>
      <c r="D496">
        <f>C496*_xlfn.XLOOKUP(B496,AG:AG,AH:AH)</f>
        <v>74679.42</v>
      </c>
      <c r="E496">
        <f>C496*_xlfn.XLOOKUP(B496,AG:AG,AI:AI)</f>
        <v>86628.127199999988</v>
      </c>
      <c r="F496">
        <v>66759.87</v>
      </c>
      <c r="G496">
        <f>F496*_xlfn.XLOOKUP(B496,AG:AG,AH:AH)</f>
        <v>66759.87</v>
      </c>
      <c r="H496">
        <f>F496*_xlfn.XLOOKUP(B496,AG:AG,AI:AI)</f>
        <v>77441.449199999988</v>
      </c>
      <c r="I496">
        <f t="shared" si="37"/>
        <v>7919.5500000000029</v>
      </c>
      <c r="J496">
        <f>I496*_xlfn.XLOOKUP(B496,AG:AG,AI:AI)</f>
        <v>9186.6780000000035</v>
      </c>
      <c r="K496" s="7">
        <f>_xlfn.XLOOKUP(A496,Z:Z,AD:AD)</f>
        <v>45960</v>
      </c>
      <c r="L496" s="7">
        <f t="shared" si="38"/>
        <v>45930</v>
      </c>
      <c r="M496">
        <f t="shared" si="39"/>
        <v>9</v>
      </c>
      <c r="N496">
        <f t="shared" si="40"/>
        <v>2025</v>
      </c>
      <c r="Q496" s="22">
        <v>798</v>
      </c>
      <c r="R496" s="22">
        <v>5300</v>
      </c>
      <c r="S496" s="22" t="str">
        <f t="shared" si="41"/>
        <v>USD</v>
      </c>
      <c r="T496" s="22">
        <f>R496*_xlfn.XLOOKUP(S496,AG:AG,AI:AI)</f>
        <v>5300</v>
      </c>
      <c r="U496" s="22" t="s">
        <v>26</v>
      </c>
      <c r="W496" s="9">
        <v>406</v>
      </c>
      <c r="X496" s="9" t="s">
        <v>29</v>
      </c>
      <c r="Z496">
        <v>519</v>
      </c>
      <c r="AA496">
        <v>1648.65</v>
      </c>
      <c r="AB496" t="s">
        <v>29</v>
      </c>
      <c r="AD496" s="20">
        <v>45821</v>
      </c>
    </row>
    <row r="497" spans="1:30">
      <c r="A497">
        <v>521</v>
      </c>
      <c r="B497" t="str">
        <f>_xlfn.XLOOKUP(A497,Z:Z,AB:AB,"not found")</f>
        <v>MXN</v>
      </c>
      <c r="C497">
        <f>_xlfn.XLOOKUP(A497,Z:Z,AA:AA)-_xlfn.XLOOKUP(A497,Q:Q,R:R,"0")</f>
        <v>0</v>
      </c>
      <c r="D497">
        <f>C497*_xlfn.XLOOKUP(B497,AG:AG,AH:AH)</f>
        <v>0</v>
      </c>
      <c r="E497">
        <f>C497*_xlfn.XLOOKUP(B497,AG:AG,AI:AI)</f>
        <v>0</v>
      </c>
      <c r="F497">
        <v>194772</v>
      </c>
      <c r="G497">
        <f>F497*_xlfn.XLOOKUP(B497,AG:AG,AH:AH)</f>
        <v>9349.0560000000005</v>
      </c>
      <c r="H497">
        <f>F497*_xlfn.XLOOKUP(B497,AG:AG,AI:AI)</f>
        <v>10907.232</v>
      </c>
      <c r="I497">
        <f t="shared" si="37"/>
        <v>0</v>
      </c>
      <c r="J497">
        <f>I497*_xlfn.XLOOKUP(B497,AG:AG,AI:AI)</f>
        <v>0</v>
      </c>
      <c r="K497" s="7">
        <f>_xlfn.XLOOKUP(A497,Z:Z,AD:AD)</f>
        <v>45845</v>
      </c>
      <c r="L497" s="7">
        <f t="shared" si="38"/>
        <v>45815</v>
      </c>
      <c r="M497">
        <f t="shared" si="39"/>
        <v>6</v>
      </c>
      <c r="N497">
        <f t="shared" si="40"/>
        <v>2025</v>
      </c>
      <c r="Q497" s="22">
        <v>799</v>
      </c>
      <c r="R497" s="22">
        <v>2233369</v>
      </c>
      <c r="S497" s="22" t="str">
        <f t="shared" si="41"/>
        <v>JPY</v>
      </c>
      <c r="T497" s="22">
        <f>R497*_xlfn.XLOOKUP(S497,AG:AG,AI:AI)</f>
        <v>14293.561600000001</v>
      </c>
      <c r="U497" s="22" t="s">
        <v>26</v>
      </c>
      <c r="W497" s="9">
        <v>406</v>
      </c>
      <c r="X497" s="9" t="s">
        <v>29</v>
      </c>
      <c r="Z497">
        <v>520</v>
      </c>
      <c r="AA497">
        <v>74679.42</v>
      </c>
      <c r="AB497" t="s">
        <v>27</v>
      </c>
      <c r="AD497" s="20">
        <v>45960</v>
      </c>
    </row>
    <row r="498" spans="1:30">
      <c r="A498">
        <v>522</v>
      </c>
      <c r="B498" t="str">
        <f>_xlfn.XLOOKUP(A498,Z:Z,AB:AB,"not found")</f>
        <v>EUR</v>
      </c>
      <c r="C498">
        <f>_xlfn.XLOOKUP(A498,Z:Z,AA:AA)-_xlfn.XLOOKUP(A498,Q:Q,R:R,"0")</f>
        <v>0</v>
      </c>
      <c r="D498">
        <f>C498*_xlfn.XLOOKUP(B498,AG:AG,AH:AH)</f>
        <v>0</v>
      </c>
      <c r="E498">
        <f>C498*_xlfn.XLOOKUP(B498,AG:AG,AI:AI)</f>
        <v>0</v>
      </c>
      <c r="F498">
        <v>23340</v>
      </c>
      <c r="G498">
        <f>F498*_xlfn.XLOOKUP(B498,AG:AG,AH:AH)</f>
        <v>23340</v>
      </c>
      <c r="H498">
        <f>F498*_xlfn.XLOOKUP(B498,AG:AG,AI:AI)</f>
        <v>27074.399999999998</v>
      </c>
      <c r="I498">
        <f t="shared" si="37"/>
        <v>0</v>
      </c>
      <c r="J498">
        <f>I498*_xlfn.XLOOKUP(B498,AG:AG,AI:AI)</f>
        <v>0</v>
      </c>
      <c r="K498" s="7">
        <f>_xlfn.XLOOKUP(A498,Z:Z,AD:AD)</f>
        <v>45860</v>
      </c>
      <c r="L498" s="7">
        <f t="shared" si="38"/>
        <v>45830</v>
      </c>
      <c r="M498">
        <f t="shared" si="39"/>
        <v>6</v>
      </c>
      <c r="N498">
        <f t="shared" si="40"/>
        <v>2025</v>
      </c>
      <c r="Q498" s="22">
        <v>802</v>
      </c>
      <c r="R498" s="22">
        <v>858.4</v>
      </c>
      <c r="S498" s="22" t="str">
        <f t="shared" si="41"/>
        <v>USD</v>
      </c>
      <c r="T498" s="22">
        <f>R498*_xlfn.XLOOKUP(S498,AG:AG,AI:AI)</f>
        <v>858.4</v>
      </c>
      <c r="U498" s="22" t="s">
        <v>26</v>
      </c>
      <c r="W498" s="9">
        <v>406</v>
      </c>
      <c r="X498" s="9" t="s">
        <v>29</v>
      </c>
      <c r="Z498">
        <v>521</v>
      </c>
      <c r="AA498">
        <v>194772</v>
      </c>
      <c r="AB498" t="s">
        <v>28</v>
      </c>
      <c r="AD498" s="20">
        <v>45845</v>
      </c>
    </row>
    <row r="499" spans="1:30">
      <c r="A499">
        <v>523</v>
      </c>
      <c r="B499" t="str">
        <f>_xlfn.XLOOKUP(A499,Z:Z,AB:AB,"not found")</f>
        <v>EUR</v>
      </c>
      <c r="C499">
        <f>_xlfn.XLOOKUP(A499,Z:Z,AA:AA)-_xlfn.XLOOKUP(A499,Q:Q,R:R,"0")</f>
        <v>0</v>
      </c>
      <c r="D499">
        <f>C499*_xlfn.XLOOKUP(B499,AG:AG,AH:AH)</f>
        <v>0</v>
      </c>
      <c r="E499">
        <f>C499*_xlfn.XLOOKUP(B499,AG:AG,AI:AI)</f>
        <v>0</v>
      </c>
      <c r="F499">
        <v>2100</v>
      </c>
      <c r="G499">
        <f>F499*_xlfn.XLOOKUP(B499,AG:AG,AH:AH)</f>
        <v>2100</v>
      </c>
      <c r="H499">
        <f>F499*_xlfn.XLOOKUP(B499,AG:AG,AI:AI)</f>
        <v>2436</v>
      </c>
      <c r="I499">
        <f t="shared" si="37"/>
        <v>0</v>
      </c>
      <c r="J499">
        <f>I499*_xlfn.XLOOKUP(B499,AG:AG,AI:AI)</f>
        <v>0</v>
      </c>
      <c r="K499" s="7">
        <f>_xlfn.XLOOKUP(A499,Z:Z,AD:AD)</f>
        <v>45842</v>
      </c>
      <c r="L499" s="7">
        <f t="shared" si="38"/>
        <v>45812</v>
      </c>
      <c r="M499">
        <f t="shared" si="39"/>
        <v>6</v>
      </c>
      <c r="N499">
        <f t="shared" si="40"/>
        <v>2025</v>
      </c>
      <c r="Q499" s="22">
        <v>803</v>
      </c>
      <c r="R499" s="22">
        <v>10075</v>
      </c>
      <c r="S499" s="22" t="str">
        <f t="shared" si="41"/>
        <v>MXN</v>
      </c>
      <c r="T499" s="22">
        <f>R499*_xlfn.XLOOKUP(S499,AG:AG,AI:AI)</f>
        <v>564.20000000000005</v>
      </c>
      <c r="U499" s="22" t="s">
        <v>26</v>
      </c>
      <c r="W499" s="9">
        <v>409</v>
      </c>
      <c r="X499" s="9" t="s">
        <v>30</v>
      </c>
      <c r="Z499">
        <v>522</v>
      </c>
      <c r="AA499">
        <v>23340</v>
      </c>
      <c r="AB499" t="s">
        <v>27</v>
      </c>
      <c r="AD499" s="20">
        <v>45860</v>
      </c>
    </row>
    <row r="500" spans="1:30">
      <c r="A500">
        <v>524</v>
      </c>
      <c r="B500" t="str">
        <f>_xlfn.XLOOKUP(A500,Z:Z,AB:AB,"not found")</f>
        <v>USD</v>
      </c>
      <c r="C500">
        <f>_xlfn.XLOOKUP(A500,Z:Z,AA:AA)-_xlfn.XLOOKUP(A500,Q:Q,R:R,"0")</f>
        <v>0</v>
      </c>
      <c r="D500">
        <f>C500*_xlfn.XLOOKUP(B500,AG:AG,AH:AH)</f>
        <v>0</v>
      </c>
      <c r="E500">
        <f>C500*_xlfn.XLOOKUP(B500,AG:AG,AI:AI)</f>
        <v>0</v>
      </c>
      <c r="F500">
        <v>270863.65000000002</v>
      </c>
      <c r="G500">
        <f>F500*_xlfn.XLOOKUP(B500,AG:AG,AH:AH)</f>
        <v>232942.73900000003</v>
      </c>
      <c r="H500">
        <f>F500*_xlfn.XLOOKUP(B500,AG:AG,AI:AI)</f>
        <v>270863.65000000002</v>
      </c>
      <c r="I500">
        <f t="shared" si="37"/>
        <v>0</v>
      </c>
      <c r="J500">
        <f>I500*_xlfn.XLOOKUP(B500,AG:AG,AI:AI)</f>
        <v>0</v>
      </c>
      <c r="K500" s="7">
        <f>_xlfn.XLOOKUP(A500,Z:Z,AD:AD)</f>
        <v>45864</v>
      </c>
      <c r="L500" s="7">
        <f t="shared" si="38"/>
        <v>45834</v>
      </c>
      <c r="M500">
        <f t="shared" si="39"/>
        <v>6</v>
      </c>
      <c r="N500">
        <f t="shared" si="40"/>
        <v>2025</v>
      </c>
      <c r="Q500" s="22">
        <v>805</v>
      </c>
      <c r="R500" s="22">
        <v>1238.3</v>
      </c>
      <c r="S500" s="22" t="str">
        <f t="shared" si="41"/>
        <v>USD</v>
      </c>
      <c r="T500" s="22">
        <f>R500*_xlfn.XLOOKUP(S500,AG:AG,AI:AI)</f>
        <v>1238.3</v>
      </c>
      <c r="U500" s="22" t="s">
        <v>26</v>
      </c>
      <c r="W500" s="9">
        <v>409</v>
      </c>
      <c r="X500" s="9" t="s">
        <v>29</v>
      </c>
      <c r="Z500">
        <v>523</v>
      </c>
      <c r="AA500">
        <v>2100</v>
      </c>
      <c r="AB500" t="s">
        <v>27</v>
      </c>
      <c r="AD500" s="20">
        <v>45842</v>
      </c>
    </row>
    <row r="501" spans="1:30">
      <c r="A501">
        <v>525</v>
      </c>
      <c r="B501" t="str">
        <f>_xlfn.XLOOKUP(A501,Z:Z,AB:AB,"not found")</f>
        <v>USD</v>
      </c>
      <c r="C501">
        <f>_xlfn.XLOOKUP(A501,Z:Z,AA:AA)-_xlfn.XLOOKUP(A501,Q:Q,R:R,"0")</f>
        <v>1495.25</v>
      </c>
      <c r="D501">
        <f>C501*_xlfn.XLOOKUP(B501,AG:AG,AH:AH)</f>
        <v>1285.915</v>
      </c>
      <c r="E501">
        <f>C501*_xlfn.XLOOKUP(B501,AG:AG,AI:AI)</f>
        <v>1495.25</v>
      </c>
      <c r="F501">
        <v>24203.8</v>
      </c>
      <c r="G501">
        <f>F501*_xlfn.XLOOKUP(B501,AG:AG,AH:AH)</f>
        <v>20815.268</v>
      </c>
      <c r="H501">
        <f>F501*_xlfn.XLOOKUP(B501,AG:AG,AI:AI)</f>
        <v>24203.8</v>
      </c>
      <c r="I501">
        <f t="shared" si="37"/>
        <v>0</v>
      </c>
      <c r="J501">
        <f>I501*_xlfn.XLOOKUP(B501,AG:AG,AI:AI)</f>
        <v>0</v>
      </c>
      <c r="K501" s="7">
        <f>_xlfn.XLOOKUP(A501,Z:Z,AD:AD)</f>
        <v>45935</v>
      </c>
      <c r="L501" s="7">
        <f t="shared" si="38"/>
        <v>45905</v>
      </c>
      <c r="M501">
        <f t="shared" si="39"/>
        <v>9</v>
      </c>
      <c r="N501">
        <f t="shared" si="40"/>
        <v>2025</v>
      </c>
      <c r="Q501" s="22">
        <v>806</v>
      </c>
      <c r="R501" s="22">
        <v>14262</v>
      </c>
      <c r="S501" s="22" t="str">
        <f t="shared" si="41"/>
        <v>USD</v>
      </c>
      <c r="T501" s="22">
        <f>R501*_xlfn.XLOOKUP(S501,AG:AG,AI:AI)</f>
        <v>14262</v>
      </c>
      <c r="U501" s="22" t="s">
        <v>26</v>
      </c>
      <c r="W501" s="9">
        <v>409</v>
      </c>
      <c r="X501" s="9" t="s">
        <v>29</v>
      </c>
      <c r="Z501">
        <v>524</v>
      </c>
      <c r="AA501">
        <v>270863.65000000002</v>
      </c>
      <c r="AB501" t="s">
        <v>29</v>
      </c>
      <c r="AD501" s="20">
        <v>45864</v>
      </c>
    </row>
    <row r="502" spans="1:30">
      <c r="A502">
        <v>526</v>
      </c>
      <c r="B502" t="str">
        <f>_xlfn.XLOOKUP(A502,Z:Z,AB:AB,"not found")</f>
        <v>USD</v>
      </c>
      <c r="C502">
        <f>_xlfn.XLOOKUP(A502,Z:Z,AA:AA)-_xlfn.XLOOKUP(A502,Q:Q,R:R,"0")</f>
        <v>-23274.02</v>
      </c>
      <c r="D502">
        <f>C502*_xlfn.XLOOKUP(B502,AG:AG,AH:AH)</f>
        <v>-20015.657200000001</v>
      </c>
      <c r="E502">
        <f>C502*_xlfn.XLOOKUP(B502,AG:AG,AI:AI)</f>
        <v>-23274.02</v>
      </c>
      <c r="F502">
        <v>1318.98</v>
      </c>
      <c r="G502">
        <f>F502*_xlfn.XLOOKUP(B502,AG:AG,AH:AH)</f>
        <v>1134.3227999999999</v>
      </c>
      <c r="H502">
        <f>F502*_xlfn.XLOOKUP(B502,AG:AG,AI:AI)</f>
        <v>1318.98</v>
      </c>
      <c r="I502">
        <f t="shared" si="37"/>
        <v>0</v>
      </c>
      <c r="J502">
        <f>I502*_xlfn.XLOOKUP(B502,AG:AG,AI:AI)</f>
        <v>0</v>
      </c>
      <c r="K502" s="7">
        <f>_xlfn.XLOOKUP(A502,Z:Z,AD:AD)</f>
        <v>45868</v>
      </c>
      <c r="L502" s="7">
        <f t="shared" si="38"/>
        <v>45838</v>
      </c>
      <c r="M502">
        <f t="shared" si="39"/>
        <v>6</v>
      </c>
      <c r="N502">
        <f t="shared" si="40"/>
        <v>2025</v>
      </c>
      <c r="Q502" s="22">
        <v>819</v>
      </c>
      <c r="R502" s="22">
        <v>2119.0500000000002</v>
      </c>
      <c r="S502" s="22" t="str">
        <f t="shared" si="41"/>
        <v>USD</v>
      </c>
      <c r="T502" s="22">
        <f>R502*_xlfn.XLOOKUP(S502,AG:AG,AI:AI)</f>
        <v>2119.0500000000002</v>
      </c>
      <c r="U502" s="22" t="s">
        <v>26</v>
      </c>
      <c r="W502" s="9">
        <v>412</v>
      </c>
      <c r="X502" s="9" t="s">
        <v>29</v>
      </c>
      <c r="Z502">
        <v>525</v>
      </c>
      <c r="AA502">
        <v>24203.8</v>
      </c>
      <c r="AB502" t="s">
        <v>29</v>
      </c>
      <c r="AD502" s="20">
        <v>45935</v>
      </c>
    </row>
    <row r="503" spans="1:30">
      <c r="A503">
        <v>527</v>
      </c>
      <c r="B503" t="str">
        <f>_xlfn.XLOOKUP(A503,Z:Z,AB:AB,"not found")</f>
        <v>USD</v>
      </c>
      <c r="C503">
        <f>_xlfn.XLOOKUP(A503,Z:Z,AA:AA)-_xlfn.XLOOKUP(A503,Q:Q,R:R,"0")</f>
        <v>5066.8500000000004</v>
      </c>
      <c r="D503">
        <f>C503*_xlfn.XLOOKUP(B503,AG:AG,AH:AH)</f>
        <v>4357.491</v>
      </c>
      <c r="E503">
        <f>C503*_xlfn.XLOOKUP(B503,AG:AG,AI:AI)</f>
        <v>5066.8500000000004</v>
      </c>
      <c r="F503">
        <v>5066.8500000000004</v>
      </c>
      <c r="G503">
        <f>F503*_xlfn.XLOOKUP(B503,AG:AG,AH:AH)</f>
        <v>4357.491</v>
      </c>
      <c r="H503">
        <f>F503*_xlfn.XLOOKUP(B503,AG:AG,AI:AI)</f>
        <v>5066.8500000000004</v>
      </c>
      <c r="I503">
        <f t="shared" si="37"/>
        <v>0</v>
      </c>
      <c r="J503">
        <f>I503*_xlfn.XLOOKUP(B503,AG:AG,AI:AI)</f>
        <v>0</v>
      </c>
      <c r="K503" s="7">
        <f>_xlfn.XLOOKUP(A503,Z:Z,AD:AD)</f>
        <v>45882</v>
      </c>
      <c r="L503" s="7">
        <f t="shared" si="38"/>
        <v>45852</v>
      </c>
      <c r="M503">
        <f t="shared" si="39"/>
        <v>7</v>
      </c>
      <c r="N503">
        <f t="shared" si="40"/>
        <v>2025</v>
      </c>
      <c r="Q503" s="22">
        <v>820</v>
      </c>
      <c r="R503" s="22">
        <v>17919</v>
      </c>
      <c r="S503" s="22" t="str">
        <f t="shared" si="41"/>
        <v>MXN</v>
      </c>
      <c r="T503" s="22">
        <f>R503*_xlfn.XLOOKUP(S503,AG:AG,AI:AI)</f>
        <v>1003.4640000000001</v>
      </c>
      <c r="U503" s="22" t="s">
        <v>26</v>
      </c>
      <c r="W503" s="9">
        <v>414</v>
      </c>
      <c r="X503" s="9" t="s">
        <v>29</v>
      </c>
      <c r="Z503">
        <v>526</v>
      </c>
      <c r="AA503">
        <v>1318.98</v>
      </c>
      <c r="AB503" t="s">
        <v>29</v>
      </c>
      <c r="AD503" s="20">
        <v>45868</v>
      </c>
    </row>
    <row r="504" spans="1:30">
      <c r="A504">
        <v>528</v>
      </c>
      <c r="B504" t="str">
        <f>_xlfn.XLOOKUP(A504,Z:Z,AB:AB,"not found")</f>
        <v>USD</v>
      </c>
      <c r="C504">
        <f>_xlfn.XLOOKUP(A504,Z:Z,AA:AA)-_xlfn.XLOOKUP(A504,Q:Q,R:R,"0")</f>
        <v>0</v>
      </c>
      <c r="D504">
        <f>C504*_xlfn.XLOOKUP(B504,AG:AG,AH:AH)</f>
        <v>0</v>
      </c>
      <c r="E504">
        <f>C504*_xlfn.XLOOKUP(B504,AG:AG,AI:AI)</f>
        <v>0</v>
      </c>
      <c r="F504">
        <v>6395</v>
      </c>
      <c r="G504">
        <f>F504*_xlfn.XLOOKUP(B504,AG:AG,AH:AH)</f>
        <v>5499.7</v>
      </c>
      <c r="H504">
        <f>F504*_xlfn.XLOOKUP(B504,AG:AG,AI:AI)</f>
        <v>6395</v>
      </c>
      <c r="I504">
        <f t="shared" si="37"/>
        <v>0</v>
      </c>
      <c r="J504">
        <f>I504*_xlfn.XLOOKUP(B504,AG:AG,AI:AI)</f>
        <v>0</v>
      </c>
      <c r="K504" s="7">
        <f>_xlfn.XLOOKUP(A504,Z:Z,AD:AD)</f>
        <v>46016</v>
      </c>
      <c r="L504" s="7">
        <f t="shared" si="38"/>
        <v>45986</v>
      </c>
      <c r="M504">
        <f t="shared" si="39"/>
        <v>11</v>
      </c>
      <c r="N504">
        <f t="shared" si="40"/>
        <v>2025</v>
      </c>
      <c r="Q504" s="22">
        <v>821</v>
      </c>
      <c r="R504" s="22">
        <v>442</v>
      </c>
      <c r="S504" s="22" t="str">
        <f t="shared" si="41"/>
        <v>EUR</v>
      </c>
      <c r="T504" s="22">
        <f>R504*_xlfn.XLOOKUP(S504,AG:AG,AI:AI)</f>
        <v>512.71999999999991</v>
      </c>
      <c r="U504" s="22" t="s">
        <v>26</v>
      </c>
      <c r="W504" s="9">
        <v>414</v>
      </c>
      <c r="X504" s="9" t="s">
        <v>29</v>
      </c>
      <c r="Z504">
        <v>527</v>
      </c>
      <c r="AA504">
        <v>5066.8500000000004</v>
      </c>
      <c r="AB504" t="s">
        <v>29</v>
      </c>
      <c r="AD504" s="20">
        <v>45882</v>
      </c>
    </row>
    <row r="505" spans="1:30">
      <c r="A505">
        <v>529</v>
      </c>
      <c r="B505" t="str">
        <f>_xlfn.XLOOKUP(A505,Z:Z,AB:AB,"not found")</f>
        <v>CHF</v>
      </c>
      <c r="C505">
        <f>_xlfn.XLOOKUP(A505,Z:Z,AA:AA)-_xlfn.XLOOKUP(A505,Q:Q,R:R,"0")</f>
        <v>0</v>
      </c>
      <c r="D505">
        <f>C505*_xlfn.XLOOKUP(B505,AG:AG,AH:AH)</f>
        <v>0</v>
      </c>
      <c r="E505">
        <f>C505*_xlfn.XLOOKUP(B505,AG:AG,AI:AI)</f>
        <v>0</v>
      </c>
      <c r="F505">
        <v>2802</v>
      </c>
      <c r="G505">
        <f>F505*_xlfn.XLOOKUP(B505,AG:AG,AH:AH)</f>
        <v>2998.1400000000003</v>
      </c>
      <c r="H505">
        <f>F505*_xlfn.XLOOKUP(B505,AG:AG,AI:AI)</f>
        <v>3502.5</v>
      </c>
      <c r="I505">
        <f t="shared" si="37"/>
        <v>0</v>
      </c>
      <c r="J505">
        <f>I505*_xlfn.XLOOKUP(B505,AG:AG,AI:AI)</f>
        <v>0</v>
      </c>
      <c r="K505" s="7">
        <f>_xlfn.XLOOKUP(A505,Z:Z,AD:AD)</f>
        <v>45866</v>
      </c>
      <c r="L505" s="7">
        <f t="shared" si="38"/>
        <v>45836</v>
      </c>
      <c r="M505">
        <f t="shared" si="39"/>
        <v>6</v>
      </c>
      <c r="N505">
        <f t="shared" si="40"/>
        <v>2025</v>
      </c>
      <c r="Q505" s="22">
        <v>824</v>
      </c>
      <c r="R505" s="22">
        <v>107577</v>
      </c>
      <c r="S505" s="22" t="str">
        <f t="shared" si="41"/>
        <v>MXN</v>
      </c>
      <c r="T505" s="22">
        <f>R505*_xlfn.XLOOKUP(S505,AG:AG,AI:AI)</f>
        <v>6024.3119999999999</v>
      </c>
      <c r="U505" s="22" t="s">
        <v>26</v>
      </c>
      <c r="W505" s="9">
        <v>416</v>
      </c>
      <c r="X505" s="9" t="s">
        <v>28</v>
      </c>
      <c r="Z505">
        <v>528</v>
      </c>
      <c r="AA505">
        <v>6395</v>
      </c>
      <c r="AB505" t="s">
        <v>29</v>
      </c>
      <c r="AD505" s="20">
        <v>46016</v>
      </c>
    </row>
    <row r="506" spans="1:30">
      <c r="A506">
        <v>530</v>
      </c>
      <c r="B506" t="str">
        <f>_xlfn.XLOOKUP(A506,Z:Z,AB:AB,"not found")</f>
        <v>USD</v>
      </c>
      <c r="C506">
        <f>_xlfn.XLOOKUP(A506,Z:Z,AA:AA)-_xlfn.XLOOKUP(A506,Q:Q,R:R,"0")</f>
        <v>36980.550000000003</v>
      </c>
      <c r="D506">
        <f>C506*_xlfn.XLOOKUP(B506,AG:AG,AH:AH)</f>
        <v>31803.273000000001</v>
      </c>
      <c r="E506">
        <f>C506*_xlfn.XLOOKUP(B506,AG:AG,AI:AI)</f>
        <v>36980.550000000003</v>
      </c>
      <c r="F506">
        <v>44266.43</v>
      </c>
      <c r="G506">
        <f>F506*_xlfn.XLOOKUP(B506,AG:AG,AH:AH)</f>
        <v>38069.129800000002</v>
      </c>
      <c r="H506">
        <f>F506*_xlfn.XLOOKUP(B506,AG:AG,AI:AI)</f>
        <v>44266.43</v>
      </c>
      <c r="I506">
        <f t="shared" si="37"/>
        <v>0</v>
      </c>
      <c r="J506">
        <f>I506*_xlfn.XLOOKUP(B506,AG:AG,AI:AI)</f>
        <v>0</v>
      </c>
      <c r="K506" s="7">
        <f>_xlfn.XLOOKUP(A506,Z:Z,AD:AD)</f>
        <v>45935</v>
      </c>
      <c r="L506" s="7">
        <f t="shared" si="38"/>
        <v>45905</v>
      </c>
      <c r="M506">
        <f t="shared" si="39"/>
        <v>9</v>
      </c>
      <c r="N506">
        <f t="shared" si="40"/>
        <v>2025</v>
      </c>
      <c r="Q506" s="22">
        <v>827</v>
      </c>
      <c r="R506" s="22">
        <v>5500</v>
      </c>
      <c r="S506" s="22" t="str">
        <f t="shared" si="41"/>
        <v>USD</v>
      </c>
      <c r="T506" s="22">
        <f>R506*_xlfn.XLOOKUP(S506,AG:AG,AI:AI)</f>
        <v>5500</v>
      </c>
      <c r="U506" s="22" t="s">
        <v>26</v>
      </c>
      <c r="W506" s="9">
        <v>416</v>
      </c>
      <c r="X506" s="9" t="s">
        <v>28</v>
      </c>
      <c r="Z506">
        <v>529</v>
      </c>
      <c r="AA506">
        <v>2802</v>
      </c>
      <c r="AB506" t="s">
        <v>30</v>
      </c>
      <c r="AD506" s="20">
        <v>45866</v>
      </c>
    </row>
    <row r="507" spans="1:30">
      <c r="A507">
        <v>531</v>
      </c>
      <c r="B507" t="str">
        <f>_xlfn.XLOOKUP(A507,Z:Z,AB:AB,"not found")</f>
        <v>USD</v>
      </c>
      <c r="C507">
        <f>_xlfn.XLOOKUP(A507,Z:Z,AA:AA)-_xlfn.XLOOKUP(A507,Q:Q,R:R,"0")</f>
        <v>0</v>
      </c>
      <c r="D507">
        <f>C507*_xlfn.XLOOKUP(B507,AG:AG,AH:AH)</f>
        <v>0</v>
      </c>
      <c r="E507">
        <f>C507*_xlfn.XLOOKUP(B507,AG:AG,AI:AI)</f>
        <v>0</v>
      </c>
      <c r="F507">
        <v>33581.879999999997</v>
      </c>
      <c r="G507">
        <f>F507*_xlfn.XLOOKUP(B507,AG:AG,AH:AH)</f>
        <v>28880.416799999999</v>
      </c>
      <c r="H507">
        <f>F507*_xlfn.XLOOKUP(B507,AG:AG,AI:AI)</f>
        <v>33581.879999999997</v>
      </c>
      <c r="I507">
        <f t="shared" si="37"/>
        <v>0</v>
      </c>
      <c r="J507">
        <f>I507*_xlfn.XLOOKUP(B507,AG:AG,AI:AI)</f>
        <v>0</v>
      </c>
      <c r="K507" s="7">
        <f>_xlfn.XLOOKUP(A507,Z:Z,AD:AD)</f>
        <v>45864</v>
      </c>
      <c r="L507" s="7">
        <f t="shared" si="38"/>
        <v>45834</v>
      </c>
      <c r="M507">
        <f t="shared" si="39"/>
        <v>6</v>
      </c>
      <c r="N507">
        <f t="shared" si="40"/>
        <v>2025</v>
      </c>
      <c r="Q507" s="22">
        <v>828</v>
      </c>
      <c r="R507" s="22">
        <v>124392</v>
      </c>
      <c r="S507" s="22" t="str">
        <f t="shared" si="41"/>
        <v>MXN</v>
      </c>
      <c r="T507" s="22">
        <f>R507*_xlfn.XLOOKUP(S507,AG:AG,AI:AI)</f>
        <v>6965.9520000000002</v>
      </c>
      <c r="U507" s="22" t="s">
        <v>26</v>
      </c>
      <c r="W507" s="9">
        <v>419</v>
      </c>
      <c r="X507" s="9" t="s">
        <v>29</v>
      </c>
      <c r="Z507">
        <v>530</v>
      </c>
      <c r="AA507">
        <v>44266.43</v>
      </c>
      <c r="AB507" t="s">
        <v>29</v>
      </c>
      <c r="AD507" s="20">
        <v>45935</v>
      </c>
    </row>
    <row r="508" spans="1:30">
      <c r="A508">
        <v>532</v>
      </c>
      <c r="B508" t="str">
        <f>_xlfn.XLOOKUP(A508,Z:Z,AB:AB,"not found")</f>
        <v>USD</v>
      </c>
      <c r="C508">
        <f>_xlfn.XLOOKUP(A508,Z:Z,AA:AA)-_xlfn.XLOOKUP(A508,Q:Q,R:R,"0")</f>
        <v>2831.43</v>
      </c>
      <c r="D508">
        <f>C508*_xlfn.XLOOKUP(B508,AG:AG,AH:AH)</f>
        <v>2435.0297999999998</v>
      </c>
      <c r="E508">
        <f>C508*_xlfn.XLOOKUP(B508,AG:AG,AI:AI)</f>
        <v>2831.43</v>
      </c>
      <c r="F508">
        <v>2831.43</v>
      </c>
      <c r="G508">
        <f>F508*_xlfn.XLOOKUP(B508,AG:AG,AH:AH)</f>
        <v>2435.0297999999998</v>
      </c>
      <c r="H508">
        <f>F508*_xlfn.XLOOKUP(B508,AG:AG,AI:AI)</f>
        <v>2831.43</v>
      </c>
      <c r="I508">
        <f t="shared" si="37"/>
        <v>0</v>
      </c>
      <c r="J508">
        <f>I508*_xlfn.XLOOKUP(B508,AG:AG,AI:AI)</f>
        <v>0</v>
      </c>
      <c r="K508" s="7">
        <f>_xlfn.XLOOKUP(A508,Z:Z,AD:AD)</f>
        <v>45903</v>
      </c>
      <c r="L508" s="7">
        <f t="shared" si="38"/>
        <v>45873</v>
      </c>
      <c r="M508">
        <f t="shared" si="39"/>
        <v>8</v>
      </c>
      <c r="N508">
        <f t="shared" si="40"/>
        <v>2025</v>
      </c>
      <c r="Q508" s="22">
        <v>829</v>
      </c>
      <c r="R508" s="22">
        <v>6388.26</v>
      </c>
      <c r="S508" s="22" t="str">
        <f t="shared" si="41"/>
        <v>USD</v>
      </c>
      <c r="T508" s="22">
        <f>R508*_xlfn.XLOOKUP(S508,AG:AG,AI:AI)</f>
        <v>6388.26</v>
      </c>
      <c r="U508" s="22" t="s">
        <v>26</v>
      </c>
      <c r="W508" s="9">
        <v>420</v>
      </c>
      <c r="X508" s="9" t="s">
        <v>29</v>
      </c>
      <c r="Z508">
        <v>531</v>
      </c>
      <c r="AA508">
        <v>33581.879999999997</v>
      </c>
      <c r="AB508" t="s">
        <v>29</v>
      </c>
      <c r="AD508" s="20">
        <v>45864</v>
      </c>
    </row>
    <row r="509" spans="1:30">
      <c r="A509">
        <v>533</v>
      </c>
      <c r="B509" t="str">
        <f>_xlfn.XLOOKUP(A509,Z:Z,AB:AB,"not found")</f>
        <v>USD</v>
      </c>
      <c r="C509">
        <f>_xlfn.XLOOKUP(A509,Z:Z,AA:AA)-_xlfn.XLOOKUP(A509,Q:Q,R:R,"0")</f>
        <v>0</v>
      </c>
      <c r="D509">
        <f>C509*_xlfn.XLOOKUP(B509,AG:AG,AH:AH)</f>
        <v>0</v>
      </c>
      <c r="E509">
        <f>C509*_xlfn.XLOOKUP(B509,AG:AG,AI:AI)</f>
        <v>0</v>
      </c>
      <c r="F509">
        <v>2722.85</v>
      </c>
      <c r="G509">
        <f>F509*_xlfn.XLOOKUP(B509,AG:AG,AH:AH)</f>
        <v>2341.6509999999998</v>
      </c>
      <c r="H509">
        <f>F509*_xlfn.XLOOKUP(B509,AG:AG,AI:AI)</f>
        <v>2722.85</v>
      </c>
      <c r="I509">
        <f t="shared" si="37"/>
        <v>0</v>
      </c>
      <c r="J509">
        <f>I509*_xlfn.XLOOKUP(B509,AG:AG,AI:AI)</f>
        <v>0</v>
      </c>
      <c r="K509" s="7">
        <f>_xlfn.XLOOKUP(A509,Z:Z,AD:AD)</f>
        <v>45830</v>
      </c>
      <c r="L509" s="7">
        <f t="shared" si="38"/>
        <v>45800</v>
      </c>
      <c r="M509">
        <f t="shared" si="39"/>
        <v>5</v>
      </c>
      <c r="N509">
        <f t="shared" si="40"/>
        <v>2025</v>
      </c>
      <c r="Q509" s="22">
        <v>830</v>
      </c>
      <c r="R509" s="22">
        <v>22902</v>
      </c>
      <c r="S509" s="22" t="str">
        <f t="shared" si="41"/>
        <v>USD</v>
      </c>
      <c r="T509" s="22">
        <f>R509*_xlfn.XLOOKUP(S509,AG:AG,AI:AI)</f>
        <v>22902</v>
      </c>
      <c r="U509" s="22" t="s">
        <v>26</v>
      </c>
      <c r="W509" s="9">
        <v>422</v>
      </c>
      <c r="X509" s="9" t="s">
        <v>27</v>
      </c>
      <c r="Z509">
        <v>532</v>
      </c>
      <c r="AA509">
        <v>2831.43</v>
      </c>
      <c r="AB509" t="s">
        <v>29</v>
      </c>
      <c r="AD509" s="20">
        <v>45903</v>
      </c>
    </row>
    <row r="510" spans="1:30">
      <c r="A510">
        <v>534</v>
      </c>
      <c r="B510" t="str">
        <f>_xlfn.XLOOKUP(A510,Z:Z,AB:AB,"not found")</f>
        <v>USD</v>
      </c>
      <c r="C510">
        <f>_xlfn.XLOOKUP(A510,Z:Z,AA:AA)-_xlfn.XLOOKUP(A510,Q:Q,R:R,"0")</f>
        <v>42962.71</v>
      </c>
      <c r="D510">
        <f>C510*_xlfn.XLOOKUP(B510,AG:AG,AH:AH)</f>
        <v>36947.9306</v>
      </c>
      <c r="E510">
        <f>C510*_xlfn.XLOOKUP(B510,AG:AG,AI:AI)</f>
        <v>42962.71</v>
      </c>
      <c r="F510">
        <v>42962.71</v>
      </c>
      <c r="G510">
        <f>F510*_xlfn.XLOOKUP(B510,AG:AG,AH:AH)</f>
        <v>36947.9306</v>
      </c>
      <c r="H510">
        <f>F510*_xlfn.XLOOKUP(B510,AG:AG,AI:AI)</f>
        <v>42962.71</v>
      </c>
      <c r="I510">
        <f t="shared" si="37"/>
        <v>0</v>
      </c>
      <c r="J510">
        <f>I510*_xlfn.XLOOKUP(B510,AG:AG,AI:AI)</f>
        <v>0</v>
      </c>
      <c r="K510" s="7">
        <f>_xlfn.XLOOKUP(A510,Z:Z,AD:AD)</f>
        <v>45869</v>
      </c>
      <c r="L510" s="7">
        <f t="shared" si="38"/>
        <v>45839</v>
      </c>
      <c r="M510">
        <f t="shared" si="39"/>
        <v>7</v>
      </c>
      <c r="N510">
        <f t="shared" si="40"/>
        <v>2025</v>
      </c>
      <c r="Q510" s="22">
        <v>836</v>
      </c>
      <c r="R510" s="22">
        <v>315</v>
      </c>
      <c r="S510" s="22" t="str">
        <f t="shared" si="41"/>
        <v>USD</v>
      </c>
      <c r="T510" s="22">
        <f>R510*_xlfn.XLOOKUP(S510,AG:AG,AI:AI)</f>
        <v>315</v>
      </c>
      <c r="U510" s="22" t="s">
        <v>26</v>
      </c>
      <c r="W510" s="9">
        <v>422</v>
      </c>
      <c r="X510" s="9" t="s">
        <v>27</v>
      </c>
      <c r="Z510">
        <v>533</v>
      </c>
      <c r="AA510">
        <v>2722.85</v>
      </c>
      <c r="AB510" t="s">
        <v>29</v>
      </c>
      <c r="AD510" s="20">
        <v>45830</v>
      </c>
    </row>
    <row r="511" spans="1:30">
      <c r="A511">
        <v>535</v>
      </c>
      <c r="B511" t="str">
        <f>_xlfn.XLOOKUP(A511,Z:Z,AB:AB,"not found")</f>
        <v>USD</v>
      </c>
      <c r="C511">
        <f>_xlfn.XLOOKUP(A511,Z:Z,AA:AA)-_xlfn.XLOOKUP(A511,Q:Q,R:R,"0")</f>
        <v>0</v>
      </c>
      <c r="D511">
        <f>C511*_xlfn.XLOOKUP(B511,AG:AG,AH:AH)</f>
        <v>0</v>
      </c>
      <c r="E511">
        <f>C511*_xlfn.XLOOKUP(B511,AG:AG,AI:AI)</f>
        <v>0</v>
      </c>
      <c r="F511">
        <v>2861.4</v>
      </c>
      <c r="G511">
        <f>F511*_xlfn.XLOOKUP(B511,AG:AG,AH:AH)</f>
        <v>2460.8040000000001</v>
      </c>
      <c r="H511">
        <f>F511*_xlfn.XLOOKUP(B511,AG:AG,AI:AI)</f>
        <v>2861.4</v>
      </c>
      <c r="I511">
        <f t="shared" si="37"/>
        <v>0</v>
      </c>
      <c r="J511">
        <f>I511*_xlfn.XLOOKUP(B511,AG:AG,AI:AI)</f>
        <v>0</v>
      </c>
      <c r="K511" s="7">
        <f>_xlfn.XLOOKUP(A511,Z:Z,AD:AD)</f>
        <v>45812</v>
      </c>
      <c r="L511" s="7">
        <f t="shared" si="38"/>
        <v>45782</v>
      </c>
      <c r="M511">
        <f t="shared" si="39"/>
        <v>5</v>
      </c>
      <c r="N511">
        <f t="shared" si="40"/>
        <v>2025</v>
      </c>
      <c r="Q511" s="22">
        <v>837</v>
      </c>
      <c r="R511" s="22">
        <v>4591.37</v>
      </c>
      <c r="S511" s="22" t="str">
        <f t="shared" si="41"/>
        <v>USD</v>
      </c>
      <c r="T511" s="22">
        <f>R511*_xlfn.XLOOKUP(S511,AG:AG,AI:AI)</f>
        <v>4591.37</v>
      </c>
      <c r="U511" s="22" t="s">
        <v>26</v>
      </c>
      <c r="W511" s="9">
        <v>424</v>
      </c>
      <c r="X511" s="9" t="s">
        <v>27</v>
      </c>
      <c r="Z511">
        <v>534</v>
      </c>
      <c r="AA511">
        <v>42962.71</v>
      </c>
      <c r="AB511" t="s">
        <v>29</v>
      </c>
      <c r="AD511" s="20">
        <v>45869</v>
      </c>
    </row>
    <row r="512" spans="1:30">
      <c r="A512">
        <v>536</v>
      </c>
      <c r="B512" t="str">
        <f>_xlfn.XLOOKUP(A512,Z:Z,AB:AB,"not found")</f>
        <v>USD</v>
      </c>
      <c r="C512">
        <f>_xlfn.XLOOKUP(A512,Z:Z,AA:AA)-_xlfn.XLOOKUP(A512,Q:Q,R:R,"0")</f>
        <v>0</v>
      </c>
      <c r="D512">
        <f>C512*_xlfn.XLOOKUP(B512,AG:AG,AH:AH)</f>
        <v>0</v>
      </c>
      <c r="E512">
        <f>C512*_xlfn.XLOOKUP(B512,AG:AG,AI:AI)</f>
        <v>0</v>
      </c>
      <c r="F512">
        <v>81706.59</v>
      </c>
      <c r="G512">
        <f>F512*_xlfn.XLOOKUP(B512,AG:AG,AH:AH)</f>
        <v>70267.667399999991</v>
      </c>
      <c r="H512">
        <f>F512*_xlfn.XLOOKUP(B512,AG:AG,AI:AI)</f>
        <v>81706.59</v>
      </c>
      <c r="I512">
        <f t="shared" si="37"/>
        <v>0</v>
      </c>
      <c r="J512">
        <f>I512*_xlfn.XLOOKUP(B512,AG:AG,AI:AI)</f>
        <v>0</v>
      </c>
      <c r="K512" s="7">
        <f>_xlfn.XLOOKUP(A512,Z:Z,AD:AD)</f>
        <v>45822</v>
      </c>
      <c r="L512" s="7">
        <f t="shared" si="38"/>
        <v>45792</v>
      </c>
      <c r="M512">
        <f t="shared" si="39"/>
        <v>5</v>
      </c>
      <c r="N512">
        <f t="shared" si="40"/>
        <v>2025</v>
      </c>
      <c r="Q512" s="22">
        <v>838</v>
      </c>
      <c r="R512" s="22">
        <v>2818.75</v>
      </c>
      <c r="S512" s="22" t="str">
        <f t="shared" si="41"/>
        <v>USD</v>
      </c>
      <c r="T512" s="22">
        <f>R512*_xlfn.XLOOKUP(S512,AG:AG,AI:AI)</f>
        <v>2818.75</v>
      </c>
      <c r="U512" s="22" t="s">
        <v>26</v>
      </c>
      <c r="W512" s="9">
        <v>424</v>
      </c>
      <c r="X512" s="9" t="s">
        <v>27</v>
      </c>
      <c r="Z512">
        <v>535</v>
      </c>
      <c r="AA512">
        <v>2861.4</v>
      </c>
      <c r="AB512" t="s">
        <v>29</v>
      </c>
      <c r="AD512" s="20">
        <v>45812</v>
      </c>
    </row>
    <row r="513" spans="1:30">
      <c r="A513">
        <v>537</v>
      </c>
      <c r="B513" t="str">
        <f>_xlfn.XLOOKUP(A513,Z:Z,AB:AB,"not found")</f>
        <v>EUR</v>
      </c>
      <c r="C513">
        <f>_xlfn.XLOOKUP(A513,Z:Z,AA:AA)-_xlfn.XLOOKUP(A513,Q:Q,R:R,"0")</f>
        <v>0</v>
      </c>
      <c r="D513">
        <f>C513*_xlfn.XLOOKUP(B513,AG:AG,AH:AH)</f>
        <v>0</v>
      </c>
      <c r="E513">
        <f>C513*_xlfn.XLOOKUP(B513,AG:AG,AI:AI)</f>
        <v>0</v>
      </c>
      <c r="F513">
        <v>6262.43</v>
      </c>
      <c r="G513">
        <f>F513*_xlfn.XLOOKUP(B513,AG:AG,AH:AH)</f>
        <v>6262.43</v>
      </c>
      <c r="H513">
        <f>F513*_xlfn.XLOOKUP(B513,AG:AG,AI:AI)</f>
        <v>7264.4187999999995</v>
      </c>
      <c r="I513">
        <f t="shared" si="37"/>
        <v>0</v>
      </c>
      <c r="J513">
        <f>I513*_xlfn.XLOOKUP(B513,AG:AG,AI:AI)</f>
        <v>0</v>
      </c>
      <c r="K513" s="7">
        <f>_xlfn.XLOOKUP(A513,Z:Z,AD:AD)</f>
        <v>45915</v>
      </c>
      <c r="L513" s="7">
        <f t="shared" si="38"/>
        <v>45885</v>
      </c>
      <c r="M513">
        <f t="shared" si="39"/>
        <v>8</v>
      </c>
      <c r="N513">
        <f t="shared" si="40"/>
        <v>2025</v>
      </c>
      <c r="Q513" s="22">
        <v>839</v>
      </c>
      <c r="R513" s="22">
        <v>40532</v>
      </c>
      <c r="S513" s="22" t="str">
        <f t="shared" si="41"/>
        <v>MXN</v>
      </c>
      <c r="T513" s="22">
        <f>R513*_xlfn.XLOOKUP(S513,AG:AG,AI:AI)</f>
        <v>2269.7919999999999</v>
      </c>
      <c r="U513" s="22" t="s">
        <v>26</v>
      </c>
      <c r="W513" s="9">
        <v>424</v>
      </c>
      <c r="X513" s="9" t="s">
        <v>27</v>
      </c>
      <c r="Z513">
        <v>536</v>
      </c>
      <c r="AA513">
        <v>81706.59</v>
      </c>
      <c r="AB513" t="s">
        <v>29</v>
      </c>
      <c r="AD513" s="20">
        <v>45822</v>
      </c>
    </row>
    <row r="514" spans="1:30">
      <c r="A514">
        <v>538</v>
      </c>
      <c r="B514" t="str">
        <f>_xlfn.XLOOKUP(A514,Z:Z,AB:AB,"not found")</f>
        <v>USD</v>
      </c>
      <c r="C514">
        <f>_xlfn.XLOOKUP(A514,Z:Z,AA:AA)-_xlfn.XLOOKUP(A514,Q:Q,R:R,"0")</f>
        <v>974.98</v>
      </c>
      <c r="D514">
        <f>C514*_xlfn.XLOOKUP(B514,AG:AG,AH:AH)</f>
        <v>838.4828</v>
      </c>
      <c r="E514">
        <f>C514*_xlfn.XLOOKUP(B514,AG:AG,AI:AI)</f>
        <v>974.98</v>
      </c>
      <c r="F514">
        <v>974.98</v>
      </c>
      <c r="G514">
        <f>F514*_xlfn.XLOOKUP(B514,AG:AG,AH:AH)</f>
        <v>838.4828</v>
      </c>
      <c r="H514">
        <f>F514*_xlfn.XLOOKUP(B514,AG:AG,AI:AI)</f>
        <v>974.98</v>
      </c>
      <c r="I514">
        <f t="shared" si="37"/>
        <v>0</v>
      </c>
      <c r="J514">
        <f>I514*_xlfn.XLOOKUP(B514,AG:AG,AI:AI)</f>
        <v>0</v>
      </c>
      <c r="K514" s="7">
        <f>_xlfn.XLOOKUP(A514,Z:Z,AD:AD)</f>
        <v>45982</v>
      </c>
      <c r="L514" s="7">
        <f t="shared" si="38"/>
        <v>45952</v>
      </c>
      <c r="M514">
        <f t="shared" si="39"/>
        <v>10</v>
      </c>
      <c r="N514">
        <f t="shared" si="40"/>
        <v>2025</v>
      </c>
      <c r="Q514" s="22">
        <v>841</v>
      </c>
      <c r="R514" s="22">
        <v>532932</v>
      </c>
      <c r="S514" s="22" t="str">
        <f t="shared" si="41"/>
        <v>MXN</v>
      </c>
      <c r="T514" s="22">
        <f>R514*_xlfn.XLOOKUP(S514,AG:AG,AI:AI)</f>
        <v>29844.191999999999</v>
      </c>
      <c r="U514" s="22" t="s">
        <v>26</v>
      </c>
      <c r="W514" s="9">
        <v>424</v>
      </c>
      <c r="X514" s="9" t="s">
        <v>27</v>
      </c>
      <c r="Z514">
        <v>537</v>
      </c>
      <c r="AA514">
        <v>6262.43</v>
      </c>
      <c r="AB514" t="s">
        <v>27</v>
      </c>
      <c r="AD514" s="20">
        <v>45915</v>
      </c>
    </row>
    <row r="515" spans="1:30">
      <c r="A515">
        <v>539</v>
      </c>
      <c r="B515" t="str">
        <f>_xlfn.XLOOKUP(A515,Z:Z,AB:AB,"not found")</f>
        <v>USD</v>
      </c>
      <c r="C515">
        <f>_xlfn.XLOOKUP(A515,Z:Z,AA:AA)-_xlfn.XLOOKUP(A515,Q:Q,R:R,"0")</f>
        <v>0</v>
      </c>
      <c r="D515">
        <f>C515*_xlfn.XLOOKUP(B515,AG:AG,AH:AH)</f>
        <v>0</v>
      </c>
      <c r="E515">
        <f>C515*_xlfn.XLOOKUP(B515,AG:AG,AI:AI)</f>
        <v>0</v>
      </c>
      <c r="F515">
        <v>7198.65</v>
      </c>
      <c r="G515">
        <f>F515*_xlfn.XLOOKUP(B515,AG:AG,AH:AH)</f>
        <v>6190.8389999999999</v>
      </c>
      <c r="H515">
        <f>F515*_xlfn.XLOOKUP(B515,AG:AG,AI:AI)</f>
        <v>7198.65</v>
      </c>
      <c r="I515">
        <f t="shared" ref="I515:I578" si="42">C515-F515+_xlfn.XLOOKUP(A515,Q:Q,R:R,"0")</f>
        <v>0</v>
      </c>
      <c r="J515">
        <f>I515*_xlfn.XLOOKUP(B515,AG:AG,AI:AI)</f>
        <v>0</v>
      </c>
      <c r="K515" s="7">
        <f>_xlfn.XLOOKUP(A515,Z:Z,AD:AD)</f>
        <v>45792</v>
      </c>
      <c r="L515" s="7">
        <f t="shared" ref="L515:L547" si="43">K515-30</f>
        <v>45762</v>
      </c>
      <c r="M515">
        <f t="shared" ref="M515:M547" si="44">MONTH(L515)</f>
        <v>4</v>
      </c>
      <c r="N515">
        <f t="shared" ref="N515:N547" si="45">YEAR(L515)</f>
        <v>2025</v>
      </c>
      <c r="Q515" s="22">
        <v>843</v>
      </c>
      <c r="R515" s="22">
        <v>3881.74</v>
      </c>
      <c r="S515" s="22" t="str">
        <f t="shared" ref="S515:S578" si="46">_xlfn.XLOOKUP(Q515,W:W,X:X)</f>
        <v>USD</v>
      </c>
      <c r="T515" s="22">
        <f>R515*_xlfn.XLOOKUP(S515,AG:AG,AI:AI)</f>
        <v>3881.74</v>
      </c>
      <c r="U515" s="22" t="s">
        <v>26</v>
      </c>
      <c r="W515" s="9">
        <v>427</v>
      </c>
      <c r="X515" s="9" t="s">
        <v>29</v>
      </c>
      <c r="Z515">
        <v>538</v>
      </c>
      <c r="AA515">
        <v>974.98</v>
      </c>
      <c r="AB515" t="s">
        <v>29</v>
      </c>
      <c r="AD515" s="20">
        <v>45982</v>
      </c>
    </row>
    <row r="516" spans="1:30">
      <c r="A516">
        <v>540</v>
      </c>
      <c r="B516" t="str">
        <f>_xlfn.XLOOKUP(A516,Z:Z,AB:AB,"not found")</f>
        <v>USD</v>
      </c>
      <c r="C516">
        <f>_xlfn.XLOOKUP(A516,Z:Z,AA:AA)-_xlfn.XLOOKUP(A516,Q:Q,R:R,"0")</f>
        <v>800.59999999999854</v>
      </c>
      <c r="D516">
        <f>C516*_xlfn.XLOOKUP(B516,AG:AG,AH:AH)</f>
        <v>688.51599999999871</v>
      </c>
      <c r="E516">
        <f>C516*_xlfn.XLOOKUP(B516,AG:AG,AI:AI)</f>
        <v>800.59999999999854</v>
      </c>
      <c r="F516">
        <v>42819.27</v>
      </c>
      <c r="G516">
        <f>F516*_xlfn.XLOOKUP(B516,AG:AG,AH:AH)</f>
        <v>36824.572199999995</v>
      </c>
      <c r="H516">
        <f>F516*_xlfn.XLOOKUP(B516,AG:AG,AI:AI)</f>
        <v>42819.27</v>
      </c>
      <c r="I516">
        <f t="shared" si="42"/>
        <v>0</v>
      </c>
      <c r="J516">
        <f>I516*_xlfn.XLOOKUP(B516,AG:AG,AI:AI)</f>
        <v>0</v>
      </c>
      <c r="K516" s="7">
        <f>_xlfn.XLOOKUP(A516,Z:Z,AD:AD)</f>
        <v>45869</v>
      </c>
      <c r="L516" s="7">
        <f t="shared" si="43"/>
        <v>45839</v>
      </c>
      <c r="M516">
        <f t="shared" si="44"/>
        <v>7</v>
      </c>
      <c r="N516">
        <f t="shared" si="45"/>
        <v>2025</v>
      </c>
      <c r="Q516" s="22">
        <v>844</v>
      </c>
      <c r="R516" s="22">
        <v>12165.93</v>
      </c>
      <c r="S516" s="22" t="str">
        <f t="shared" si="46"/>
        <v>EUR</v>
      </c>
      <c r="T516" s="22">
        <f>R516*_xlfn.XLOOKUP(S516,AG:AG,AI:AI)</f>
        <v>14112.478799999999</v>
      </c>
      <c r="U516" s="22" t="s">
        <v>26</v>
      </c>
      <c r="W516" s="9">
        <v>427</v>
      </c>
      <c r="X516" s="9" t="s">
        <v>29</v>
      </c>
      <c r="Z516">
        <v>539</v>
      </c>
      <c r="AA516">
        <v>7198.65</v>
      </c>
      <c r="AB516" t="s">
        <v>29</v>
      </c>
      <c r="AD516" s="20">
        <v>45792</v>
      </c>
    </row>
    <row r="517" spans="1:30">
      <c r="A517">
        <v>541</v>
      </c>
      <c r="B517" t="str">
        <f>_xlfn.XLOOKUP(A517,Z:Z,AB:AB,"not found")</f>
        <v>USD</v>
      </c>
      <c r="C517">
        <f>_xlfn.XLOOKUP(A517,Z:Z,AA:AA)-_xlfn.XLOOKUP(A517,Q:Q,R:R,"0")</f>
        <v>5342.43</v>
      </c>
      <c r="D517">
        <f>C517*_xlfn.XLOOKUP(B517,AG:AG,AH:AH)</f>
        <v>4594.4898000000003</v>
      </c>
      <c r="E517">
        <f>C517*_xlfn.XLOOKUP(B517,AG:AG,AI:AI)</f>
        <v>5342.43</v>
      </c>
      <c r="F517">
        <v>14819.43</v>
      </c>
      <c r="G517">
        <f>F517*_xlfn.XLOOKUP(B517,AG:AG,AH:AH)</f>
        <v>12744.709800000001</v>
      </c>
      <c r="H517">
        <f>F517*_xlfn.XLOOKUP(B517,AG:AG,AI:AI)</f>
        <v>14819.43</v>
      </c>
      <c r="I517">
        <f t="shared" si="42"/>
        <v>0</v>
      </c>
      <c r="J517">
        <f>I517*_xlfn.XLOOKUP(B517,AG:AG,AI:AI)</f>
        <v>0</v>
      </c>
      <c r="K517" s="7">
        <f>_xlfn.XLOOKUP(A517,Z:Z,AD:AD)</f>
        <v>45737</v>
      </c>
      <c r="L517" s="7">
        <f t="shared" si="43"/>
        <v>45707</v>
      </c>
      <c r="M517">
        <f t="shared" si="44"/>
        <v>2</v>
      </c>
      <c r="N517">
        <f t="shared" si="45"/>
        <v>2025</v>
      </c>
      <c r="Q517" s="22">
        <v>845</v>
      </c>
      <c r="R517" s="22">
        <v>2954</v>
      </c>
      <c r="S517" s="22" t="str">
        <f t="shared" si="46"/>
        <v>USD</v>
      </c>
      <c r="T517" s="22">
        <f>R517*_xlfn.XLOOKUP(S517,AG:AG,AI:AI)</f>
        <v>2954</v>
      </c>
      <c r="U517" s="22" t="s">
        <v>26</v>
      </c>
      <c r="W517" s="9">
        <v>427</v>
      </c>
      <c r="X517" s="9" t="s">
        <v>29</v>
      </c>
      <c r="Z517">
        <v>540</v>
      </c>
      <c r="AA517">
        <v>42819.27</v>
      </c>
      <c r="AB517" t="s">
        <v>29</v>
      </c>
      <c r="AD517" s="20">
        <v>45869</v>
      </c>
    </row>
    <row r="518" spans="1:30">
      <c r="A518">
        <v>542</v>
      </c>
      <c r="B518" t="str">
        <f>_xlfn.XLOOKUP(A518,Z:Z,AB:AB,"not found")</f>
        <v>USD</v>
      </c>
      <c r="C518">
        <f>_xlfn.XLOOKUP(A518,Z:Z,AA:AA)-_xlfn.XLOOKUP(A518,Q:Q,R:R,"0")</f>
        <v>2074.7599999999998</v>
      </c>
      <c r="D518">
        <f>C518*_xlfn.XLOOKUP(B518,AG:AG,AH:AH)</f>
        <v>1784.2935999999997</v>
      </c>
      <c r="E518">
        <f>C518*_xlfn.XLOOKUP(B518,AG:AG,AI:AI)</f>
        <v>2074.7599999999998</v>
      </c>
      <c r="F518">
        <v>3185.14</v>
      </c>
      <c r="G518">
        <f>F518*_xlfn.XLOOKUP(B518,AG:AG,AH:AH)</f>
        <v>2739.2203999999997</v>
      </c>
      <c r="H518">
        <f>F518*_xlfn.XLOOKUP(B518,AG:AG,AI:AI)</f>
        <v>3185.14</v>
      </c>
      <c r="I518">
        <f t="shared" si="42"/>
        <v>0</v>
      </c>
      <c r="J518">
        <f>I518*_xlfn.XLOOKUP(B518,AG:AG,AI:AI)</f>
        <v>0</v>
      </c>
      <c r="K518" s="7">
        <f>_xlfn.XLOOKUP(A518,Z:Z,AD:AD)</f>
        <v>45699</v>
      </c>
      <c r="L518" s="7">
        <f t="shared" si="43"/>
        <v>45669</v>
      </c>
      <c r="M518">
        <f t="shared" si="44"/>
        <v>1</v>
      </c>
      <c r="N518">
        <f t="shared" si="45"/>
        <v>2025</v>
      </c>
      <c r="Q518" s="22">
        <v>848</v>
      </c>
      <c r="R518" s="22">
        <v>37610.400000000001</v>
      </c>
      <c r="S518" s="22" t="str">
        <f t="shared" si="46"/>
        <v>USD</v>
      </c>
      <c r="T518" s="22">
        <f>R518*_xlfn.XLOOKUP(S518,AG:AG,AI:AI)</f>
        <v>37610.400000000001</v>
      </c>
      <c r="U518" s="22" t="s">
        <v>26</v>
      </c>
      <c r="W518" s="9">
        <v>427</v>
      </c>
      <c r="X518" s="9" t="s">
        <v>29</v>
      </c>
      <c r="Z518">
        <v>541</v>
      </c>
      <c r="AA518">
        <v>14819.43</v>
      </c>
      <c r="AB518" t="s">
        <v>29</v>
      </c>
      <c r="AD518" s="20">
        <v>45737</v>
      </c>
    </row>
    <row r="519" spans="1:30">
      <c r="A519">
        <v>544</v>
      </c>
      <c r="B519" t="str">
        <f>_xlfn.XLOOKUP(A519,Z:Z,AB:AB,"not found")</f>
        <v>MXN</v>
      </c>
      <c r="C519">
        <f>_xlfn.XLOOKUP(A519,Z:Z,AA:AA)-_xlfn.XLOOKUP(A519,Q:Q,R:R,"0")</f>
        <v>28500</v>
      </c>
      <c r="D519">
        <f>C519*_xlfn.XLOOKUP(B519,AG:AG,AH:AH)</f>
        <v>1368</v>
      </c>
      <c r="E519">
        <f>C519*_xlfn.XLOOKUP(B519,AG:AG,AI:AI)</f>
        <v>1596</v>
      </c>
      <c r="F519">
        <v>28500</v>
      </c>
      <c r="G519">
        <f>F519*_xlfn.XLOOKUP(B519,AG:AG,AH:AH)</f>
        <v>1368</v>
      </c>
      <c r="H519">
        <f>F519*_xlfn.XLOOKUP(B519,AG:AG,AI:AI)</f>
        <v>1596</v>
      </c>
      <c r="I519">
        <f t="shared" si="42"/>
        <v>0</v>
      </c>
      <c r="J519">
        <f>I519*_xlfn.XLOOKUP(B519,AG:AG,AI:AI)</f>
        <v>0</v>
      </c>
      <c r="K519" s="7">
        <f>_xlfn.XLOOKUP(A519,Z:Z,AD:AD)</f>
        <v>45978</v>
      </c>
      <c r="L519" s="7">
        <f t="shared" si="43"/>
        <v>45948</v>
      </c>
      <c r="M519">
        <f t="shared" si="44"/>
        <v>10</v>
      </c>
      <c r="N519">
        <f t="shared" si="45"/>
        <v>2025</v>
      </c>
      <c r="Q519" s="22">
        <v>849</v>
      </c>
      <c r="R519" s="22">
        <v>2206.02</v>
      </c>
      <c r="S519" s="22" t="str">
        <f t="shared" si="46"/>
        <v>USD</v>
      </c>
      <c r="T519" s="22">
        <f>R519*_xlfn.XLOOKUP(S519,AG:AG,AI:AI)</f>
        <v>2206.02</v>
      </c>
      <c r="U519" s="22" t="s">
        <v>26</v>
      </c>
      <c r="W519" s="9">
        <v>427</v>
      </c>
      <c r="X519" s="9" t="s">
        <v>29</v>
      </c>
      <c r="Z519">
        <v>542</v>
      </c>
      <c r="AA519">
        <v>3185.14</v>
      </c>
      <c r="AB519" t="s">
        <v>29</v>
      </c>
      <c r="AD519" s="20">
        <v>45699</v>
      </c>
    </row>
    <row r="520" spans="1:30">
      <c r="A520">
        <v>545</v>
      </c>
      <c r="B520" t="str">
        <f>_xlfn.XLOOKUP(A520,Z:Z,AB:AB,"not found")</f>
        <v>USD</v>
      </c>
      <c r="C520">
        <f>_xlfn.XLOOKUP(A520,Z:Z,AA:AA)-_xlfn.XLOOKUP(A520,Q:Q,R:R,"0")</f>
        <v>3567.3100000000004</v>
      </c>
      <c r="D520">
        <f>C520*_xlfn.XLOOKUP(B520,AG:AG,AH:AH)</f>
        <v>3067.8866000000003</v>
      </c>
      <c r="E520">
        <f>C520*_xlfn.XLOOKUP(B520,AG:AG,AI:AI)</f>
        <v>3567.3100000000004</v>
      </c>
      <c r="F520">
        <v>4522.3100000000004</v>
      </c>
      <c r="G520">
        <f>F520*_xlfn.XLOOKUP(B520,AG:AG,AH:AH)</f>
        <v>3889.1866000000005</v>
      </c>
      <c r="H520">
        <f>F520*_xlfn.XLOOKUP(B520,AG:AG,AI:AI)</f>
        <v>4522.3100000000004</v>
      </c>
      <c r="I520">
        <f t="shared" si="42"/>
        <v>0</v>
      </c>
      <c r="J520">
        <f>I520*_xlfn.XLOOKUP(B520,AG:AG,AI:AI)</f>
        <v>0</v>
      </c>
      <c r="K520" s="7">
        <f>_xlfn.XLOOKUP(A520,Z:Z,AD:AD)</f>
        <v>45695</v>
      </c>
      <c r="L520" s="7">
        <f t="shared" si="43"/>
        <v>45665</v>
      </c>
      <c r="M520">
        <f t="shared" si="44"/>
        <v>1</v>
      </c>
      <c r="N520">
        <f t="shared" si="45"/>
        <v>2025</v>
      </c>
      <c r="Q520" s="22">
        <v>850</v>
      </c>
      <c r="R520" s="22">
        <v>719677</v>
      </c>
      <c r="S520" s="22" t="str">
        <f t="shared" si="46"/>
        <v>MXN</v>
      </c>
      <c r="T520" s="22">
        <f>R520*_xlfn.XLOOKUP(S520,AG:AG,AI:AI)</f>
        <v>40301.912000000004</v>
      </c>
      <c r="U520" s="22" t="s">
        <v>26</v>
      </c>
      <c r="W520" s="9">
        <v>427</v>
      </c>
      <c r="X520" s="9" t="s">
        <v>29</v>
      </c>
      <c r="Z520">
        <v>544</v>
      </c>
      <c r="AA520">
        <v>28500</v>
      </c>
      <c r="AB520" t="s">
        <v>28</v>
      </c>
      <c r="AD520" s="20">
        <v>45978</v>
      </c>
    </row>
    <row r="521" spans="1:30">
      <c r="A521">
        <v>546</v>
      </c>
      <c r="B521" t="str">
        <f>_xlfn.XLOOKUP(A521,Z:Z,AB:AB,"not found")</f>
        <v>MXN</v>
      </c>
      <c r="C521">
        <f>_xlfn.XLOOKUP(A521,Z:Z,AA:AA)-_xlfn.XLOOKUP(A521,Q:Q,R:R,"0")</f>
        <v>0</v>
      </c>
      <c r="D521">
        <f>C521*_xlfn.XLOOKUP(B521,AG:AG,AH:AH)</f>
        <v>0</v>
      </c>
      <c r="E521">
        <f>C521*_xlfn.XLOOKUP(B521,AG:AG,AI:AI)</f>
        <v>0</v>
      </c>
      <c r="F521">
        <v>75606</v>
      </c>
      <c r="G521">
        <f>F521*_xlfn.XLOOKUP(B521,AG:AG,AH:AH)</f>
        <v>3629.0880000000002</v>
      </c>
      <c r="H521">
        <f>F521*_xlfn.XLOOKUP(B521,AG:AG,AI:AI)</f>
        <v>4233.9359999999997</v>
      </c>
      <c r="I521">
        <f t="shared" si="42"/>
        <v>0</v>
      </c>
      <c r="J521">
        <f>I521*_xlfn.XLOOKUP(B521,AG:AG,AI:AI)</f>
        <v>0</v>
      </c>
      <c r="K521" s="7">
        <f>_xlfn.XLOOKUP(A521,Z:Z,AD:AD)</f>
        <v>45835</v>
      </c>
      <c r="L521" s="7">
        <f t="shared" si="43"/>
        <v>45805</v>
      </c>
      <c r="M521">
        <f t="shared" si="44"/>
        <v>5</v>
      </c>
      <c r="N521">
        <f t="shared" si="45"/>
        <v>2025</v>
      </c>
      <c r="Q521" s="22">
        <v>856</v>
      </c>
      <c r="R521" s="22">
        <v>8775</v>
      </c>
      <c r="S521" s="22" t="str">
        <f t="shared" si="46"/>
        <v>EUR</v>
      </c>
      <c r="T521" s="22">
        <f>R521*_xlfn.XLOOKUP(S521,AG:AG,AI:AI)</f>
        <v>10179</v>
      </c>
      <c r="U521" s="22" t="s">
        <v>26</v>
      </c>
      <c r="W521" s="9">
        <v>427</v>
      </c>
      <c r="X521" s="9" t="s">
        <v>29</v>
      </c>
      <c r="Z521">
        <v>545</v>
      </c>
      <c r="AA521">
        <v>4522.3100000000004</v>
      </c>
      <c r="AB521" t="s">
        <v>29</v>
      </c>
      <c r="AD521" s="20">
        <v>45695</v>
      </c>
    </row>
    <row r="522" spans="1:30">
      <c r="A522">
        <v>547</v>
      </c>
      <c r="B522" t="str">
        <f>_xlfn.XLOOKUP(A522,Z:Z,AB:AB,"not found")</f>
        <v>USD</v>
      </c>
      <c r="C522">
        <f>_xlfn.XLOOKUP(A522,Z:Z,AA:AA)-_xlfn.XLOOKUP(A522,Q:Q,R:R,"0")</f>
        <v>0</v>
      </c>
      <c r="D522">
        <f>C522*_xlfn.XLOOKUP(B522,AG:AG,AH:AH)</f>
        <v>0</v>
      </c>
      <c r="E522">
        <f>C522*_xlfn.XLOOKUP(B522,AG:AG,AI:AI)</f>
        <v>0</v>
      </c>
      <c r="F522">
        <v>4307.1499999999996</v>
      </c>
      <c r="G522">
        <f>F522*_xlfn.XLOOKUP(B522,AG:AG,AH:AH)</f>
        <v>3704.1489999999994</v>
      </c>
      <c r="H522">
        <f>F522*_xlfn.XLOOKUP(B522,AG:AG,AI:AI)</f>
        <v>4307.1499999999996</v>
      </c>
      <c r="I522">
        <f t="shared" si="42"/>
        <v>0</v>
      </c>
      <c r="J522">
        <f>I522*_xlfn.XLOOKUP(B522,AG:AG,AI:AI)</f>
        <v>0</v>
      </c>
      <c r="K522" s="7">
        <f>_xlfn.XLOOKUP(A522,Z:Z,AD:AD)</f>
        <v>45837</v>
      </c>
      <c r="L522" s="7">
        <f t="shared" si="43"/>
        <v>45807</v>
      </c>
      <c r="M522">
        <f t="shared" si="44"/>
        <v>5</v>
      </c>
      <c r="N522">
        <f t="shared" si="45"/>
        <v>2025</v>
      </c>
      <c r="Q522" s="22">
        <v>857</v>
      </c>
      <c r="R522" s="22">
        <v>9081</v>
      </c>
      <c r="S522" s="22" t="str">
        <f t="shared" si="46"/>
        <v>EUR</v>
      </c>
      <c r="T522" s="22">
        <f>R522*_xlfn.XLOOKUP(S522,AG:AG,AI:AI)</f>
        <v>10533.96</v>
      </c>
      <c r="U522" s="22" t="s">
        <v>26</v>
      </c>
      <c r="W522" s="9">
        <v>427</v>
      </c>
      <c r="X522" s="9" t="s">
        <v>29</v>
      </c>
      <c r="Z522">
        <v>546</v>
      </c>
      <c r="AA522">
        <v>75606</v>
      </c>
      <c r="AB522" t="s">
        <v>28</v>
      </c>
      <c r="AD522" s="20">
        <v>45835</v>
      </c>
    </row>
    <row r="523" spans="1:30">
      <c r="A523">
        <v>548</v>
      </c>
      <c r="B523" t="str">
        <f>_xlfn.XLOOKUP(A523,Z:Z,AB:AB,"not found")</f>
        <v>EUR</v>
      </c>
      <c r="C523">
        <f>_xlfn.XLOOKUP(A523,Z:Z,AA:AA)-_xlfn.XLOOKUP(A523,Q:Q,R:R,"0")</f>
        <v>0</v>
      </c>
      <c r="D523">
        <f>C523*_xlfn.XLOOKUP(B523,AG:AG,AH:AH)</f>
        <v>0</v>
      </c>
      <c r="E523">
        <f>C523*_xlfn.XLOOKUP(B523,AG:AG,AI:AI)</f>
        <v>0</v>
      </c>
      <c r="F523">
        <v>62135</v>
      </c>
      <c r="G523">
        <f>F523*_xlfn.XLOOKUP(B523,AG:AG,AH:AH)</f>
        <v>62135</v>
      </c>
      <c r="H523">
        <f>F523*_xlfn.XLOOKUP(B523,AG:AG,AI:AI)</f>
        <v>72076.599999999991</v>
      </c>
      <c r="I523">
        <f t="shared" si="42"/>
        <v>0</v>
      </c>
      <c r="J523">
        <f>I523*_xlfn.XLOOKUP(B523,AG:AG,AI:AI)</f>
        <v>0</v>
      </c>
      <c r="K523" s="7">
        <f>_xlfn.XLOOKUP(A523,Z:Z,AD:AD)</f>
        <v>45858</v>
      </c>
      <c r="L523" s="7">
        <f t="shared" si="43"/>
        <v>45828</v>
      </c>
      <c r="M523">
        <f t="shared" si="44"/>
        <v>6</v>
      </c>
      <c r="N523">
        <f t="shared" si="45"/>
        <v>2025</v>
      </c>
      <c r="Q523" s="22">
        <v>858</v>
      </c>
      <c r="R523" s="22">
        <v>6523.9</v>
      </c>
      <c r="S523" s="22" t="str">
        <f t="shared" si="46"/>
        <v>USD</v>
      </c>
      <c r="T523" s="22">
        <f>R523*_xlfn.XLOOKUP(S523,AG:AG,AI:AI)</f>
        <v>6523.9</v>
      </c>
      <c r="U523" s="22" t="s">
        <v>26</v>
      </c>
      <c r="W523" s="9">
        <v>427</v>
      </c>
      <c r="X523" s="9" t="s">
        <v>29</v>
      </c>
      <c r="Z523">
        <v>547</v>
      </c>
      <c r="AA523">
        <v>4307.1499999999996</v>
      </c>
      <c r="AB523" t="s">
        <v>29</v>
      </c>
      <c r="AD523" s="20">
        <v>45837</v>
      </c>
    </row>
    <row r="524" spans="1:30">
      <c r="A524">
        <v>549</v>
      </c>
      <c r="B524" t="str">
        <f>_xlfn.XLOOKUP(A524,Z:Z,AB:AB,"not found")</f>
        <v>CHF</v>
      </c>
      <c r="C524">
        <f>_xlfn.XLOOKUP(A524,Z:Z,AA:AA)-_xlfn.XLOOKUP(A524,Q:Q,R:R,"0")</f>
        <v>0</v>
      </c>
      <c r="D524">
        <f>C524*_xlfn.XLOOKUP(B524,AG:AG,AH:AH)</f>
        <v>0</v>
      </c>
      <c r="E524">
        <f>C524*_xlfn.XLOOKUP(B524,AG:AG,AI:AI)</f>
        <v>0</v>
      </c>
      <c r="F524">
        <v>32910</v>
      </c>
      <c r="G524">
        <f>F524*_xlfn.XLOOKUP(B524,AG:AG,AH:AH)</f>
        <v>35213.700000000004</v>
      </c>
      <c r="H524">
        <f>F524*_xlfn.XLOOKUP(B524,AG:AG,AI:AI)</f>
        <v>41137.5</v>
      </c>
      <c r="I524">
        <f t="shared" si="42"/>
        <v>0</v>
      </c>
      <c r="J524">
        <f>I524*_xlfn.XLOOKUP(B524,AG:AG,AI:AI)</f>
        <v>0</v>
      </c>
      <c r="K524" s="7">
        <f>_xlfn.XLOOKUP(A524,Z:Z,AD:AD)</f>
        <v>45855</v>
      </c>
      <c r="L524" s="7">
        <f t="shared" si="43"/>
        <v>45825</v>
      </c>
      <c r="M524">
        <f t="shared" si="44"/>
        <v>6</v>
      </c>
      <c r="N524">
        <f t="shared" si="45"/>
        <v>2025</v>
      </c>
      <c r="Q524" s="22">
        <v>859</v>
      </c>
      <c r="R524" s="22">
        <v>36400</v>
      </c>
      <c r="S524" s="22" t="str">
        <f t="shared" si="46"/>
        <v>USD</v>
      </c>
      <c r="T524" s="22">
        <f>R524*_xlfn.XLOOKUP(S524,AG:AG,AI:AI)</f>
        <v>36400</v>
      </c>
      <c r="U524" s="22" t="s">
        <v>26</v>
      </c>
      <c r="W524" s="9">
        <v>427</v>
      </c>
      <c r="X524" s="9" t="s">
        <v>29</v>
      </c>
      <c r="Z524">
        <v>548</v>
      </c>
      <c r="AA524">
        <v>62135</v>
      </c>
      <c r="AB524" t="s">
        <v>27</v>
      </c>
      <c r="AD524" s="20">
        <v>45858</v>
      </c>
    </row>
    <row r="525" spans="1:30">
      <c r="A525">
        <v>550</v>
      </c>
      <c r="B525" t="str">
        <f>_xlfn.XLOOKUP(A525,Z:Z,AB:AB,"not found")</f>
        <v>USD</v>
      </c>
      <c r="C525">
        <f>_xlfn.XLOOKUP(A525,Z:Z,AA:AA)-_xlfn.XLOOKUP(A525,Q:Q,R:R,"0")</f>
        <v>0</v>
      </c>
      <c r="D525">
        <f>C525*_xlfn.XLOOKUP(B525,AG:AG,AH:AH)</f>
        <v>0</v>
      </c>
      <c r="E525">
        <f>C525*_xlfn.XLOOKUP(B525,AG:AG,AI:AI)</f>
        <v>0</v>
      </c>
      <c r="F525">
        <v>43995.07</v>
      </c>
      <c r="G525">
        <f>F525*_xlfn.XLOOKUP(B525,AG:AG,AH:AH)</f>
        <v>37835.760199999997</v>
      </c>
      <c r="H525">
        <f>F525*_xlfn.XLOOKUP(B525,AG:AG,AI:AI)</f>
        <v>43995.07</v>
      </c>
      <c r="I525">
        <f t="shared" si="42"/>
        <v>0</v>
      </c>
      <c r="J525">
        <f>I525*_xlfn.XLOOKUP(B525,AG:AG,AI:AI)</f>
        <v>0</v>
      </c>
      <c r="K525" s="7">
        <f>_xlfn.XLOOKUP(A525,Z:Z,AD:AD)</f>
        <v>45843</v>
      </c>
      <c r="L525" s="7">
        <f t="shared" si="43"/>
        <v>45813</v>
      </c>
      <c r="M525">
        <f t="shared" si="44"/>
        <v>6</v>
      </c>
      <c r="N525">
        <f t="shared" si="45"/>
        <v>2025</v>
      </c>
      <c r="Q525" s="22">
        <v>860</v>
      </c>
      <c r="R525" s="22">
        <v>10493</v>
      </c>
      <c r="S525" s="22" t="str">
        <f t="shared" si="46"/>
        <v>GBP</v>
      </c>
      <c r="T525" s="22">
        <f>R525*_xlfn.XLOOKUP(S525,AG:AG,AI:AI)</f>
        <v>14060.62</v>
      </c>
      <c r="U525" s="22" t="s">
        <v>26</v>
      </c>
      <c r="W525" s="9">
        <v>427</v>
      </c>
      <c r="X525" s="9" t="s">
        <v>29</v>
      </c>
      <c r="Z525">
        <v>549</v>
      </c>
      <c r="AA525">
        <v>32910</v>
      </c>
      <c r="AB525" t="s">
        <v>30</v>
      </c>
      <c r="AD525" s="20">
        <v>45855</v>
      </c>
    </row>
    <row r="526" spans="1:30">
      <c r="A526">
        <v>551</v>
      </c>
      <c r="B526" t="str">
        <f>_xlfn.XLOOKUP(A526,Z:Z,AB:AB,"not found")</f>
        <v>MXN</v>
      </c>
      <c r="C526">
        <f>_xlfn.XLOOKUP(A526,Z:Z,AA:AA)-_xlfn.XLOOKUP(A526,Q:Q,R:R,"0")</f>
        <v>0</v>
      </c>
      <c r="D526">
        <f>C526*_xlfn.XLOOKUP(B526,AG:AG,AH:AH)</f>
        <v>0</v>
      </c>
      <c r="E526">
        <f>C526*_xlfn.XLOOKUP(B526,AG:AG,AI:AI)</f>
        <v>0</v>
      </c>
      <c r="F526">
        <v>50478</v>
      </c>
      <c r="G526">
        <f>F526*_xlfn.XLOOKUP(B526,AG:AG,AH:AH)</f>
        <v>2422.944</v>
      </c>
      <c r="H526">
        <f>F526*_xlfn.XLOOKUP(B526,AG:AG,AI:AI)</f>
        <v>2826.768</v>
      </c>
      <c r="I526">
        <f t="shared" si="42"/>
        <v>0</v>
      </c>
      <c r="J526">
        <f>I526*_xlfn.XLOOKUP(B526,AG:AG,AI:AI)</f>
        <v>0</v>
      </c>
      <c r="K526" s="7">
        <f>_xlfn.XLOOKUP(A526,Z:Z,AD:AD)</f>
        <v>45887</v>
      </c>
      <c r="L526" s="7">
        <f t="shared" si="43"/>
        <v>45857</v>
      </c>
      <c r="M526">
        <f t="shared" si="44"/>
        <v>7</v>
      </c>
      <c r="N526">
        <f t="shared" si="45"/>
        <v>2025</v>
      </c>
      <c r="Q526" s="22">
        <v>861</v>
      </c>
      <c r="R526" s="22">
        <v>275.92</v>
      </c>
      <c r="S526" s="22" t="str">
        <f t="shared" si="46"/>
        <v>EUR</v>
      </c>
      <c r="T526" s="22">
        <f>R526*_xlfn.XLOOKUP(S526,AG:AG,AI:AI)</f>
        <v>320.06720000000001</v>
      </c>
      <c r="U526" s="22" t="s">
        <v>26</v>
      </c>
      <c r="W526" s="9">
        <v>427</v>
      </c>
      <c r="X526" s="9" t="s">
        <v>29</v>
      </c>
      <c r="Z526">
        <v>550</v>
      </c>
      <c r="AA526">
        <v>43995.07</v>
      </c>
      <c r="AB526" t="s">
        <v>29</v>
      </c>
      <c r="AD526" s="20">
        <v>45843</v>
      </c>
    </row>
    <row r="527" spans="1:30">
      <c r="A527">
        <v>552</v>
      </c>
      <c r="B527" t="str">
        <f>_xlfn.XLOOKUP(A527,Z:Z,AB:AB,"not found")</f>
        <v>USD</v>
      </c>
      <c r="C527">
        <f>_xlfn.XLOOKUP(A527,Z:Z,AA:AA)-_xlfn.XLOOKUP(A527,Q:Q,R:R,"0")</f>
        <v>15746.939999999999</v>
      </c>
      <c r="D527">
        <f>C527*_xlfn.XLOOKUP(B527,AG:AG,AH:AH)</f>
        <v>13542.368399999999</v>
      </c>
      <c r="E527">
        <f>C527*_xlfn.XLOOKUP(B527,AG:AG,AI:AI)</f>
        <v>15746.939999999999</v>
      </c>
      <c r="F527">
        <v>35488.879999999997</v>
      </c>
      <c r="G527">
        <f>F527*_xlfn.XLOOKUP(B527,AG:AG,AH:AH)</f>
        <v>30520.436799999996</v>
      </c>
      <c r="H527">
        <f>F527*_xlfn.XLOOKUP(B527,AG:AG,AI:AI)</f>
        <v>35488.879999999997</v>
      </c>
      <c r="I527">
        <f t="shared" si="42"/>
        <v>0</v>
      </c>
      <c r="J527">
        <f>I527*_xlfn.XLOOKUP(B527,AG:AG,AI:AI)</f>
        <v>0</v>
      </c>
      <c r="K527" s="7">
        <f>_xlfn.XLOOKUP(A527,Z:Z,AD:AD)</f>
        <v>45876</v>
      </c>
      <c r="L527" s="7">
        <f t="shared" si="43"/>
        <v>45846</v>
      </c>
      <c r="M527">
        <f t="shared" si="44"/>
        <v>7</v>
      </c>
      <c r="N527">
        <f t="shared" si="45"/>
        <v>2025</v>
      </c>
      <c r="Q527" s="22">
        <v>862</v>
      </c>
      <c r="R527" s="22">
        <v>263.72000000000003</v>
      </c>
      <c r="S527" s="22" t="str">
        <f t="shared" si="46"/>
        <v>USD</v>
      </c>
      <c r="T527" s="22">
        <f>R527*_xlfn.XLOOKUP(S527,AG:AG,AI:AI)</f>
        <v>263.72000000000003</v>
      </c>
      <c r="U527" s="22" t="s">
        <v>26</v>
      </c>
      <c r="W527" s="9">
        <v>427</v>
      </c>
      <c r="X527" s="9" t="s">
        <v>29</v>
      </c>
      <c r="Z527">
        <v>551</v>
      </c>
      <c r="AA527">
        <v>50478</v>
      </c>
      <c r="AB527" t="s">
        <v>28</v>
      </c>
      <c r="AD527" s="20">
        <v>45887</v>
      </c>
    </row>
    <row r="528" spans="1:30">
      <c r="A528">
        <v>553</v>
      </c>
      <c r="B528" t="str">
        <f>_xlfn.XLOOKUP(A528,Z:Z,AB:AB,"not found")</f>
        <v>EUR</v>
      </c>
      <c r="C528">
        <f>_xlfn.XLOOKUP(A528,Z:Z,AA:AA)-_xlfn.XLOOKUP(A528,Q:Q,R:R,"0")</f>
        <v>52460</v>
      </c>
      <c r="D528">
        <f>C528*_xlfn.XLOOKUP(B528,AG:AG,AH:AH)</f>
        <v>52460</v>
      </c>
      <c r="E528">
        <f>C528*_xlfn.XLOOKUP(B528,AG:AG,AI:AI)</f>
        <v>60853.599999999999</v>
      </c>
      <c r="F528">
        <v>70905</v>
      </c>
      <c r="G528">
        <f>F528*_xlfn.XLOOKUP(B528,AG:AG,AH:AH)</f>
        <v>70905</v>
      </c>
      <c r="H528">
        <f>F528*_xlfn.XLOOKUP(B528,AG:AG,AI:AI)</f>
        <v>82249.799999999988</v>
      </c>
      <c r="I528">
        <f t="shared" si="42"/>
        <v>535</v>
      </c>
      <c r="J528">
        <f>I528*_xlfn.XLOOKUP(B528,AG:AG,AI:AI)</f>
        <v>620.59999999999991</v>
      </c>
      <c r="K528" s="7">
        <f>_xlfn.XLOOKUP(A528,Z:Z,AD:AD)</f>
        <v>45903</v>
      </c>
      <c r="L528" s="7">
        <f t="shared" si="43"/>
        <v>45873</v>
      </c>
      <c r="M528">
        <f t="shared" si="44"/>
        <v>8</v>
      </c>
      <c r="N528">
        <f t="shared" si="45"/>
        <v>2025</v>
      </c>
      <c r="Q528" s="22">
        <v>875</v>
      </c>
      <c r="R528" s="22">
        <v>22165.22</v>
      </c>
      <c r="S528" s="22" t="str">
        <f t="shared" si="46"/>
        <v>MXN</v>
      </c>
      <c r="T528" s="22">
        <f>R528*_xlfn.XLOOKUP(S528,AG:AG,AI:AI)</f>
        <v>1241.2523200000001</v>
      </c>
      <c r="U528" s="22" t="s">
        <v>26</v>
      </c>
      <c r="W528" s="9">
        <v>427</v>
      </c>
      <c r="X528" s="9" t="s">
        <v>28</v>
      </c>
      <c r="Z528">
        <v>552</v>
      </c>
      <c r="AA528">
        <v>35488.879999999997</v>
      </c>
      <c r="AB528" t="s">
        <v>29</v>
      </c>
      <c r="AD528" s="20">
        <v>45876</v>
      </c>
    </row>
    <row r="529" spans="1:30">
      <c r="A529">
        <v>554</v>
      </c>
      <c r="B529" t="str">
        <f>_xlfn.XLOOKUP(A529,Z:Z,AB:AB,"not found")</f>
        <v>USD</v>
      </c>
      <c r="C529">
        <f>_xlfn.XLOOKUP(A529,Z:Z,AA:AA)-_xlfn.XLOOKUP(A529,Q:Q,R:R,"0")</f>
        <v>0</v>
      </c>
      <c r="D529">
        <f>C529*_xlfn.XLOOKUP(B529,AG:AG,AH:AH)</f>
        <v>0</v>
      </c>
      <c r="E529">
        <f>C529*_xlfn.XLOOKUP(B529,AG:AG,AI:AI)</f>
        <v>0</v>
      </c>
      <c r="F529">
        <v>1613.45</v>
      </c>
      <c r="G529">
        <f>F529*_xlfn.XLOOKUP(B529,AG:AG,AH:AH)</f>
        <v>1387.567</v>
      </c>
      <c r="H529">
        <f>F529*_xlfn.XLOOKUP(B529,AG:AG,AI:AI)</f>
        <v>1613.45</v>
      </c>
      <c r="I529">
        <f t="shared" si="42"/>
        <v>0</v>
      </c>
      <c r="J529">
        <f>I529*_xlfn.XLOOKUP(B529,AG:AG,AI:AI)</f>
        <v>0</v>
      </c>
      <c r="K529" s="7">
        <f>_xlfn.XLOOKUP(A529,Z:Z,AD:AD)</f>
        <v>45871</v>
      </c>
      <c r="L529" s="7">
        <f t="shared" si="43"/>
        <v>45841</v>
      </c>
      <c r="M529">
        <f t="shared" si="44"/>
        <v>7</v>
      </c>
      <c r="N529">
        <f t="shared" si="45"/>
        <v>2025</v>
      </c>
      <c r="Q529" s="22">
        <v>876</v>
      </c>
      <c r="R529" s="22">
        <v>508.64</v>
      </c>
      <c r="S529" s="22" t="str">
        <f t="shared" si="46"/>
        <v>USD</v>
      </c>
      <c r="T529" s="22">
        <f>R529*_xlfn.XLOOKUP(S529,AG:AG,AI:AI)</f>
        <v>508.64</v>
      </c>
      <c r="U529" s="22" t="s">
        <v>26</v>
      </c>
      <c r="W529" s="9">
        <v>427</v>
      </c>
      <c r="X529" s="9" t="s">
        <v>29</v>
      </c>
      <c r="Z529">
        <v>553</v>
      </c>
      <c r="AA529">
        <v>71440</v>
      </c>
      <c r="AB529" t="s">
        <v>27</v>
      </c>
      <c r="AD529" s="20">
        <v>45903</v>
      </c>
    </row>
    <row r="530" spans="1:30">
      <c r="A530">
        <v>555</v>
      </c>
      <c r="B530" t="str">
        <f>_xlfn.XLOOKUP(A530,Z:Z,AB:AB,"not found")</f>
        <v>USD</v>
      </c>
      <c r="C530">
        <f>_xlfn.XLOOKUP(A530,Z:Z,AA:AA)-_xlfn.XLOOKUP(A530,Q:Q,R:R,"0")</f>
        <v>0</v>
      </c>
      <c r="D530">
        <f>C530*_xlfn.XLOOKUP(B530,AG:AG,AH:AH)</f>
        <v>0</v>
      </c>
      <c r="E530">
        <f>C530*_xlfn.XLOOKUP(B530,AG:AG,AI:AI)</f>
        <v>0</v>
      </c>
      <c r="F530">
        <v>5682</v>
      </c>
      <c r="G530">
        <f>F530*_xlfn.XLOOKUP(B530,AG:AG,AH:AH)</f>
        <v>4886.5199999999995</v>
      </c>
      <c r="H530">
        <f>F530*_xlfn.XLOOKUP(B530,AG:AG,AI:AI)</f>
        <v>5682</v>
      </c>
      <c r="I530">
        <f t="shared" si="42"/>
        <v>0</v>
      </c>
      <c r="J530">
        <f>I530*_xlfn.XLOOKUP(B530,AG:AG,AI:AI)</f>
        <v>0</v>
      </c>
      <c r="K530" s="7">
        <f>_xlfn.XLOOKUP(A530,Z:Z,AD:AD)</f>
        <v>45878</v>
      </c>
      <c r="L530" s="7">
        <f t="shared" si="43"/>
        <v>45848</v>
      </c>
      <c r="M530">
        <f t="shared" si="44"/>
        <v>7</v>
      </c>
      <c r="N530">
        <f t="shared" si="45"/>
        <v>2025</v>
      </c>
      <c r="Q530" s="22">
        <v>877</v>
      </c>
      <c r="R530" s="22">
        <v>10000</v>
      </c>
      <c r="S530" s="22" t="str">
        <f t="shared" si="46"/>
        <v>USD</v>
      </c>
      <c r="T530" s="22">
        <f>R530*_xlfn.XLOOKUP(S530,AG:AG,AI:AI)</f>
        <v>10000</v>
      </c>
      <c r="U530" s="22" t="s">
        <v>26</v>
      </c>
      <c r="W530" s="9">
        <v>427</v>
      </c>
      <c r="X530" s="9" t="s">
        <v>29</v>
      </c>
      <c r="Z530">
        <v>554</v>
      </c>
      <c r="AA530">
        <v>1613.45</v>
      </c>
      <c r="AB530" t="s">
        <v>29</v>
      </c>
      <c r="AD530" s="20">
        <v>45871</v>
      </c>
    </row>
    <row r="531" spans="1:30">
      <c r="A531">
        <v>556</v>
      </c>
      <c r="B531" t="str">
        <f>_xlfn.XLOOKUP(A531,Z:Z,AB:AB,"not found")</f>
        <v>USD</v>
      </c>
      <c r="C531">
        <f>_xlfn.XLOOKUP(A531,Z:Z,AA:AA)-_xlfn.XLOOKUP(A531,Q:Q,R:R,"0")</f>
        <v>12611.36</v>
      </c>
      <c r="D531">
        <f>C531*_xlfn.XLOOKUP(B531,AG:AG,AH:AH)</f>
        <v>10845.7696</v>
      </c>
      <c r="E531">
        <f>C531*_xlfn.XLOOKUP(B531,AG:AG,AI:AI)</f>
        <v>12611.36</v>
      </c>
      <c r="F531">
        <v>12611.36</v>
      </c>
      <c r="G531">
        <f>F531*_xlfn.XLOOKUP(B531,AG:AG,AH:AH)</f>
        <v>10845.7696</v>
      </c>
      <c r="H531">
        <f>F531*_xlfn.XLOOKUP(B531,AG:AG,AI:AI)</f>
        <v>12611.36</v>
      </c>
      <c r="I531">
        <f t="shared" si="42"/>
        <v>0</v>
      </c>
      <c r="J531">
        <f>I531*_xlfn.XLOOKUP(B531,AG:AG,AI:AI)</f>
        <v>0</v>
      </c>
      <c r="K531" s="7">
        <f>_xlfn.XLOOKUP(A531,Z:Z,AD:AD)</f>
        <v>45874</v>
      </c>
      <c r="L531" s="7">
        <f t="shared" si="43"/>
        <v>45844</v>
      </c>
      <c r="M531">
        <f t="shared" si="44"/>
        <v>7</v>
      </c>
      <c r="N531">
        <f t="shared" si="45"/>
        <v>2025</v>
      </c>
      <c r="Q531" s="22">
        <v>879</v>
      </c>
      <c r="R531" s="22">
        <v>5281.02</v>
      </c>
      <c r="S531" s="22" t="str">
        <f t="shared" si="46"/>
        <v>USD</v>
      </c>
      <c r="T531" s="22">
        <f>R531*_xlfn.XLOOKUP(S531,AG:AG,AI:AI)</f>
        <v>5281.02</v>
      </c>
      <c r="U531" s="22" t="s">
        <v>26</v>
      </c>
      <c r="W531" s="9">
        <v>427</v>
      </c>
      <c r="X531" s="9" t="s">
        <v>29</v>
      </c>
      <c r="Z531">
        <v>555</v>
      </c>
      <c r="AA531">
        <v>5682</v>
      </c>
      <c r="AB531" t="s">
        <v>29</v>
      </c>
      <c r="AD531" s="20">
        <v>45878</v>
      </c>
    </row>
    <row r="532" spans="1:30">
      <c r="A532">
        <v>557</v>
      </c>
      <c r="B532" t="str">
        <f>_xlfn.XLOOKUP(A532,Z:Z,AB:AB,"not found")</f>
        <v>USD</v>
      </c>
      <c r="C532">
        <f>_xlfn.XLOOKUP(A532,Z:Z,AA:AA)-_xlfn.XLOOKUP(A532,Q:Q,R:R,"0")</f>
        <v>0</v>
      </c>
      <c r="D532">
        <f>C532*_xlfn.XLOOKUP(B532,AG:AG,AH:AH)</f>
        <v>0</v>
      </c>
      <c r="E532">
        <f>C532*_xlfn.XLOOKUP(B532,AG:AG,AI:AI)</f>
        <v>0</v>
      </c>
      <c r="F532">
        <v>8329.19</v>
      </c>
      <c r="G532">
        <f>F532*_xlfn.XLOOKUP(B532,AG:AG,AH:AH)</f>
        <v>7163.1034</v>
      </c>
      <c r="H532">
        <f>F532*_xlfn.XLOOKUP(B532,AG:AG,AI:AI)</f>
        <v>8329.19</v>
      </c>
      <c r="I532">
        <f t="shared" si="42"/>
        <v>0</v>
      </c>
      <c r="J532">
        <f>I532*_xlfn.XLOOKUP(B532,AG:AG,AI:AI)</f>
        <v>0</v>
      </c>
      <c r="K532" s="7">
        <f>_xlfn.XLOOKUP(A532,Z:Z,AD:AD)</f>
        <v>45779</v>
      </c>
      <c r="L532" s="7">
        <f t="shared" si="43"/>
        <v>45749</v>
      </c>
      <c r="M532">
        <f t="shared" si="44"/>
        <v>4</v>
      </c>
      <c r="N532">
        <f t="shared" si="45"/>
        <v>2025</v>
      </c>
      <c r="Q532" s="22">
        <v>880</v>
      </c>
      <c r="R532" s="22">
        <v>7141.22</v>
      </c>
      <c r="S532" s="22" t="str">
        <f t="shared" si="46"/>
        <v>USD</v>
      </c>
      <c r="T532" s="22">
        <f>R532*_xlfn.XLOOKUP(S532,AG:AG,AI:AI)</f>
        <v>7141.22</v>
      </c>
      <c r="U532" s="22" t="s">
        <v>26</v>
      </c>
      <c r="W532" s="9">
        <v>427</v>
      </c>
      <c r="X532" s="9" t="s">
        <v>29</v>
      </c>
      <c r="Z532">
        <v>556</v>
      </c>
      <c r="AA532">
        <v>12611.36</v>
      </c>
      <c r="AB532" t="s">
        <v>29</v>
      </c>
      <c r="AD532" s="20">
        <v>45874</v>
      </c>
    </row>
    <row r="533" spans="1:30">
      <c r="A533">
        <v>558</v>
      </c>
      <c r="B533" t="str">
        <f>_xlfn.XLOOKUP(A533,Z:Z,AB:AB,"not found")</f>
        <v>USD</v>
      </c>
      <c r="C533">
        <f>_xlfn.XLOOKUP(A533,Z:Z,AA:AA)-_xlfn.XLOOKUP(A533,Q:Q,R:R,"0")</f>
        <v>0</v>
      </c>
      <c r="D533">
        <f>C533*_xlfn.XLOOKUP(B533,AG:AG,AH:AH)</f>
        <v>0</v>
      </c>
      <c r="E533">
        <f>C533*_xlfn.XLOOKUP(B533,AG:AG,AI:AI)</f>
        <v>0</v>
      </c>
      <c r="F533">
        <v>16034.17</v>
      </c>
      <c r="G533">
        <f>F533*_xlfn.XLOOKUP(B533,AG:AG,AH:AH)</f>
        <v>13789.386199999999</v>
      </c>
      <c r="H533">
        <f>F533*_xlfn.XLOOKUP(B533,AG:AG,AI:AI)</f>
        <v>16034.17</v>
      </c>
      <c r="I533">
        <f t="shared" si="42"/>
        <v>0</v>
      </c>
      <c r="J533">
        <f>I533*_xlfn.XLOOKUP(B533,AG:AG,AI:AI)</f>
        <v>0</v>
      </c>
      <c r="K533" s="7">
        <f>_xlfn.XLOOKUP(A533,Z:Z,AD:AD)</f>
        <v>45861</v>
      </c>
      <c r="L533" s="7">
        <f t="shared" si="43"/>
        <v>45831</v>
      </c>
      <c r="M533">
        <f t="shared" si="44"/>
        <v>6</v>
      </c>
      <c r="N533">
        <f t="shared" si="45"/>
        <v>2025</v>
      </c>
      <c r="Q533" s="22">
        <v>882</v>
      </c>
      <c r="R533" s="22">
        <v>427120</v>
      </c>
      <c r="S533" s="22" t="str">
        <f t="shared" si="46"/>
        <v>JPY</v>
      </c>
      <c r="T533" s="22">
        <f>R533*_xlfn.XLOOKUP(S533,AG:AG,AI:AI)</f>
        <v>2733.5680000000002</v>
      </c>
      <c r="U533" s="22" t="s">
        <v>26</v>
      </c>
      <c r="W533" s="9">
        <v>427</v>
      </c>
      <c r="X533" s="9" t="s">
        <v>29</v>
      </c>
      <c r="Z533">
        <v>557</v>
      </c>
      <c r="AA533">
        <v>8329.19</v>
      </c>
      <c r="AB533" t="s">
        <v>29</v>
      </c>
      <c r="AD533" s="20">
        <v>45779</v>
      </c>
    </row>
    <row r="534" spans="1:30">
      <c r="A534">
        <v>559</v>
      </c>
      <c r="B534" t="str">
        <f>_xlfn.XLOOKUP(A534,Z:Z,AB:AB,"not found")</f>
        <v>USD</v>
      </c>
      <c r="C534">
        <f>_xlfn.XLOOKUP(A534,Z:Z,AA:AA)-_xlfn.XLOOKUP(A534,Q:Q,R:R,"0")</f>
        <v>1655.06</v>
      </c>
      <c r="D534">
        <f>C534*_xlfn.XLOOKUP(B534,AG:AG,AH:AH)</f>
        <v>1423.3516</v>
      </c>
      <c r="E534">
        <f>C534*_xlfn.XLOOKUP(B534,AG:AG,AI:AI)</f>
        <v>1655.06</v>
      </c>
      <c r="F534">
        <v>1655.06</v>
      </c>
      <c r="G534">
        <f>F534*_xlfn.XLOOKUP(B534,AG:AG,AH:AH)</f>
        <v>1423.3516</v>
      </c>
      <c r="H534">
        <f>F534*_xlfn.XLOOKUP(B534,AG:AG,AI:AI)</f>
        <v>1655.06</v>
      </c>
      <c r="I534">
        <f t="shared" si="42"/>
        <v>0</v>
      </c>
      <c r="J534">
        <f>I534*_xlfn.XLOOKUP(B534,AG:AG,AI:AI)</f>
        <v>0</v>
      </c>
      <c r="K534" s="7">
        <f>_xlfn.XLOOKUP(A534,Z:Z,AD:AD)</f>
        <v>45912</v>
      </c>
      <c r="L534" s="7">
        <f t="shared" si="43"/>
        <v>45882</v>
      </c>
      <c r="M534">
        <f t="shared" si="44"/>
        <v>8</v>
      </c>
      <c r="N534">
        <f t="shared" si="45"/>
        <v>2025</v>
      </c>
      <c r="Q534" s="22">
        <v>884</v>
      </c>
      <c r="R534" s="22">
        <v>759.07</v>
      </c>
      <c r="S534" s="22" t="str">
        <f t="shared" si="46"/>
        <v>USD</v>
      </c>
      <c r="T534" s="22">
        <f>R534*_xlfn.XLOOKUP(S534,AG:AG,AI:AI)</f>
        <v>759.07</v>
      </c>
      <c r="U534" s="22" t="s">
        <v>26</v>
      </c>
      <c r="W534" s="9">
        <v>427</v>
      </c>
      <c r="X534" s="9" t="s">
        <v>29</v>
      </c>
      <c r="Z534">
        <v>558</v>
      </c>
      <c r="AA534">
        <v>16034.17</v>
      </c>
      <c r="AB534" t="s">
        <v>29</v>
      </c>
      <c r="AD534" s="20">
        <v>45861</v>
      </c>
    </row>
    <row r="535" spans="1:30">
      <c r="A535">
        <v>560</v>
      </c>
      <c r="B535" t="str">
        <f>_xlfn.XLOOKUP(A535,Z:Z,AB:AB,"not found")</f>
        <v>GPB</v>
      </c>
      <c r="C535">
        <f>_xlfn.XLOOKUP(A535,Z:Z,AA:AA)-_xlfn.XLOOKUP(A535,Q:Q,R:R,"0")</f>
        <v>0</v>
      </c>
      <c r="D535">
        <f>C535*_xlfn.XLOOKUP(B535,AG:AG,AH:AH)</f>
        <v>0</v>
      </c>
      <c r="E535">
        <f>C535*_xlfn.XLOOKUP(B535,AG:AG,AI:AI)</f>
        <v>0</v>
      </c>
      <c r="F535">
        <v>1725</v>
      </c>
      <c r="G535">
        <f>F535*_xlfn.XLOOKUP(B535,AG:AG,AH:AH)</f>
        <v>1983.7499999999998</v>
      </c>
      <c r="H535">
        <f>F535*_xlfn.XLOOKUP(B535,AG:AG,AI:AI)</f>
        <v>2311.5</v>
      </c>
      <c r="I535">
        <f t="shared" si="42"/>
        <v>0</v>
      </c>
      <c r="J535">
        <f>I535*_xlfn.XLOOKUP(B535,AG:AG,AI:AI)</f>
        <v>0</v>
      </c>
      <c r="K535" s="7">
        <f>_xlfn.XLOOKUP(A535,Z:Z,AD:AD)</f>
        <v>45885</v>
      </c>
      <c r="L535" s="7">
        <f t="shared" si="43"/>
        <v>45855</v>
      </c>
      <c r="M535">
        <f t="shared" si="44"/>
        <v>7</v>
      </c>
      <c r="N535">
        <f t="shared" si="45"/>
        <v>2025</v>
      </c>
      <c r="Q535" s="22">
        <v>891</v>
      </c>
      <c r="R535" s="22">
        <v>5550906</v>
      </c>
      <c r="S535" s="22" t="str">
        <f t="shared" si="46"/>
        <v>MXN</v>
      </c>
      <c r="T535" s="22">
        <f>R535*_xlfn.XLOOKUP(S535,AG:AG,AI:AI)</f>
        <v>310850.73600000003</v>
      </c>
      <c r="U535" s="22" t="s">
        <v>26</v>
      </c>
      <c r="W535" s="9">
        <v>427</v>
      </c>
      <c r="X535" s="9" t="s">
        <v>29</v>
      </c>
      <c r="Z535">
        <v>559</v>
      </c>
      <c r="AA535">
        <v>1655.06</v>
      </c>
      <c r="AB535" t="s">
        <v>29</v>
      </c>
      <c r="AD535" s="20">
        <v>45912</v>
      </c>
    </row>
    <row r="536" spans="1:30">
      <c r="A536">
        <v>561</v>
      </c>
      <c r="B536" t="str">
        <f>_xlfn.XLOOKUP(A536,Z:Z,AB:AB,"not found")</f>
        <v>MXN</v>
      </c>
      <c r="C536">
        <f>_xlfn.XLOOKUP(A536,Z:Z,AA:AA)-_xlfn.XLOOKUP(A536,Q:Q,R:R,"0")</f>
        <v>86780</v>
      </c>
      <c r="D536">
        <f>C536*_xlfn.XLOOKUP(B536,AG:AG,AH:AH)</f>
        <v>4165.4400000000005</v>
      </c>
      <c r="E536">
        <f>C536*_xlfn.XLOOKUP(B536,AG:AG,AI:AI)</f>
        <v>4859.68</v>
      </c>
      <c r="F536">
        <v>57286</v>
      </c>
      <c r="G536">
        <f>F536*_xlfn.XLOOKUP(B536,AG:AG,AH:AH)</f>
        <v>2749.7280000000001</v>
      </c>
      <c r="H536">
        <f>F536*_xlfn.XLOOKUP(B536,AG:AG,AI:AI)</f>
        <v>3208.0160000000001</v>
      </c>
      <c r="I536">
        <f t="shared" si="42"/>
        <v>86780</v>
      </c>
      <c r="J536">
        <f>I536*_xlfn.XLOOKUP(B536,AG:AG,AI:AI)</f>
        <v>4859.68</v>
      </c>
      <c r="K536" s="7">
        <f>_xlfn.XLOOKUP(A536,Z:Z,AD:AD)</f>
        <v>45931</v>
      </c>
      <c r="L536" s="7">
        <f t="shared" si="43"/>
        <v>45901</v>
      </c>
      <c r="M536">
        <f t="shared" si="44"/>
        <v>9</v>
      </c>
      <c r="N536">
        <f t="shared" si="45"/>
        <v>2025</v>
      </c>
      <c r="Q536" s="22">
        <v>892</v>
      </c>
      <c r="R536" s="22">
        <v>4772.49</v>
      </c>
      <c r="S536" s="22" t="str">
        <f t="shared" si="46"/>
        <v>USD</v>
      </c>
      <c r="T536" s="22">
        <f>R536*_xlfn.XLOOKUP(S536,AG:AG,AI:AI)</f>
        <v>4772.49</v>
      </c>
      <c r="U536" s="22" t="s">
        <v>26</v>
      </c>
      <c r="W536" s="9">
        <v>427</v>
      </c>
      <c r="X536" s="9" t="s">
        <v>29</v>
      </c>
      <c r="Z536">
        <v>560</v>
      </c>
      <c r="AA536">
        <v>1725</v>
      </c>
      <c r="AB536" t="s">
        <v>32</v>
      </c>
      <c r="AD536" s="20">
        <v>45885</v>
      </c>
    </row>
    <row r="537" spans="1:30">
      <c r="A537">
        <v>562</v>
      </c>
      <c r="B537" t="str">
        <f>_xlfn.XLOOKUP(A537,Z:Z,AB:AB,"not found")</f>
        <v>USD</v>
      </c>
      <c r="C537">
        <f>_xlfn.XLOOKUP(A537,Z:Z,AA:AA)-_xlfn.XLOOKUP(A537,Q:Q,R:R,"0")</f>
        <v>0</v>
      </c>
      <c r="D537">
        <f>C537*_xlfn.XLOOKUP(B537,AG:AG,AH:AH)</f>
        <v>0</v>
      </c>
      <c r="E537">
        <f>C537*_xlfn.XLOOKUP(B537,AG:AG,AI:AI)</f>
        <v>0</v>
      </c>
      <c r="F537">
        <v>2837.24</v>
      </c>
      <c r="G537">
        <f>F537*_xlfn.XLOOKUP(B537,AG:AG,AH:AH)</f>
        <v>2440.0263999999997</v>
      </c>
      <c r="H537">
        <f>F537*_xlfn.XLOOKUP(B537,AG:AG,AI:AI)</f>
        <v>2837.24</v>
      </c>
      <c r="I537">
        <f t="shared" si="42"/>
        <v>0</v>
      </c>
      <c r="J537">
        <f>I537*_xlfn.XLOOKUP(B537,AG:AG,AI:AI)</f>
        <v>0</v>
      </c>
      <c r="K537" s="7">
        <f>_xlfn.XLOOKUP(A537,Z:Z,AD:AD)</f>
        <v>45891</v>
      </c>
      <c r="L537" s="7">
        <f t="shared" si="43"/>
        <v>45861</v>
      </c>
      <c r="M537">
        <f t="shared" si="44"/>
        <v>7</v>
      </c>
      <c r="N537">
        <f t="shared" si="45"/>
        <v>2025</v>
      </c>
      <c r="Q537" s="22">
        <v>896</v>
      </c>
      <c r="R537" s="22">
        <v>11918</v>
      </c>
      <c r="S537" s="22" t="str">
        <f t="shared" si="46"/>
        <v>USD</v>
      </c>
      <c r="T537" s="22">
        <f>R537*_xlfn.XLOOKUP(S537,AG:AG,AI:AI)</f>
        <v>11918</v>
      </c>
      <c r="U537" s="22" t="s">
        <v>26</v>
      </c>
      <c r="W537" s="9">
        <v>427</v>
      </c>
      <c r="X537" s="9" t="s">
        <v>29</v>
      </c>
      <c r="Z537">
        <v>561</v>
      </c>
      <c r="AA537">
        <v>144066</v>
      </c>
      <c r="AB537" t="s">
        <v>28</v>
      </c>
      <c r="AD537" s="20">
        <v>45931</v>
      </c>
    </row>
    <row r="538" spans="1:30">
      <c r="A538">
        <v>563</v>
      </c>
      <c r="B538" t="str">
        <f>_xlfn.XLOOKUP(A538,Z:Z,AB:AB,"not found")</f>
        <v>USD</v>
      </c>
      <c r="C538">
        <f>_xlfn.XLOOKUP(A538,Z:Z,AA:AA)-_xlfn.XLOOKUP(A538,Q:Q,R:R,"0")</f>
        <v>0</v>
      </c>
      <c r="D538">
        <f>C538*_xlfn.XLOOKUP(B538,AG:AG,AH:AH)</f>
        <v>0</v>
      </c>
      <c r="E538">
        <f>C538*_xlfn.XLOOKUP(B538,AG:AG,AI:AI)</f>
        <v>0</v>
      </c>
      <c r="F538">
        <v>8838.56</v>
      </c>
      <c r="G538">
        <f>F538*_xlfn.XLOOKUP(B538,AG:AG,AH:AH)</f>
        <v>7601.1615999999995</v>
      </c>
      <c r="H538">
        <f>F538*_xlfn.XLOOKUP(B538,AG:AG,AI:AI)</f>
        <v>8838.56</v>
      </c>
      <c r="I538">
        <f t="shared" si="42"/>
        <v>0</v>
      </c>
      <c r="J538">
        <f>I538*_xlfn.XLOOKUP(B538,AG:AG,AI:AI)</f>
        <v>0</v>
      </c>
      <c r="K538" s="7">
        <f>_xlfn.XLOOKUP(A538,Z:Z,AD:AD)</f>
        <v>45926</v>
      </c>
      <c r="L538" s="7">
        <f t="shared" si="43"/>
        <v>45896</v>
      </c>
      <c r="M538">
        <f t="shared" si="44"/>
        <v>8</v>
      </c>
      <c r="N538">
        <f t="shared" si="45"/>
        <v>2025</v>
      </c>
      <c r="Q538" s="22">
        <v>899</v>
      </c>
      <c r="R538" s="22">
        <v>653.5</v>
      </c>
      <c r="S538" s="22" t="str">
        <f t="shared" si="46"/>
        <v>USD</v>
      </c>
      <c r="T538" s="22">
        <f>R538*_xlfn.XLOOKUP(S538,AG:AG,AI:AI)</f>
        <v>653.5</v>
      </c>
      <c r="U538" s="22" t="s">
        <v>26</v>
      </c>
      <c r="W538" s="9">
        <v>428</v>
      </c>
      <c r="X538" s="9" t="s">
        <v>27</v>
      </c>
      <c r="Z538">
        <v>562</v>
      </c>
      <c r="AA538">
        <v>2837.24</v>
      </c>
      <c r="AB538" t="s">
        <v>29</v>
      </c>
      <c r="AD538" s="20">
        <v>45891</v>
      </c>
    </row>
    <row r="539" spans="1:30">
      <c r="A539">
        <v>564</v>
      </c>
      <c r="B539" t="str">
        <f>_xlfn.XLOOKUP(A539,Z:Z,AB:AB,"not found")</f>
        <v>USD</v>
      </c>
      <c r="C539">
        <f>_xlfn.XLOOKUP(A539,Z:Z,AA:AA)-_xlfn.XLOOKUP(A539,Q:Q,R:R,"0")</f>
        <v>96454.24</v>
      </c>
      <c r="D539">
        <f>C539*_xlfn.XLOOKUP(B539,AG:AG,AH:AH)</f>
        <v>82950.646399999998</v>
      </c>
      <c r="E539">
        <f>C539*_xlfn.XLOOKUP(B539,AG:AG,AI:AI)</f>
        <v>96454.24</v>
      </c>
      <c r="F539">
        <v>1033.73</v>
      </c>
      <c r="G539">
        <f>F539*_xlfn.XLOOKUP(B539,AG:AG,AH:AH)</f>
        <v>889.00779999999997</v>
      </c>
      <c r="H539">
        <f>F539*_xlfn.XLOOKUP(B539,AG:AG,AI:AI)</f>
        <v>1033.73</v>
      </c>
      <c r="I539">
        <f t="shared" si="42"/>
        <v>95420.510000000009</v>
      </c>
      <c r="J539">
        <f>I539*_xlfn.XLOOKUP(B539,AG:AG,AI:AI)</f>
        <v>95420.510000000009</v>
      </c>
      <c r="K539" s="7">
        <f>_xlfn.XLOOKUP(A539,Z:Z,AD:AD)</f>
        <v>45936</v>
      </c>
      <c r="L539" s="7">
        <f t="shared" si="43"/>
        <v>45906</v>
      </c>
      <c r="M539">
        <f t="shared" si="44"/>
        <v>9</v>
      </c>
      <c r="N539">
        <f t="shared" si="45"/>
        <v>2025</v>
      </c>
      <c r="Q539" s="22">
        <v>901</v>
      </c>
      <c r="R539" s="22">
        <v>6429.5</v>
      </c>
      <c r="S539" s="22" t="str">
        <f t="shared" si="46"/>
        <v>EUR</v>
      </c>
      <c r="T539" s="22">
        <f>R539*_xlfn.XLOOKUP(S539,AG:AG,AI:AI)</f>
        <v>7458.2199999999993</v>
      </c>
      <c r="U539" s="22" t="s">
        <v>26</v>
      </c>
      <c r="W539" s="9">
        <v>429</v>
      </c>
      <c r="X539" s="9" t="s">
        <v>29</v>
      </c>
      <c r="Z539">
        <v>563</v>
      </c>
      <c r="AA539">
        <v>8838.56</v>
      </c>
      <c r="AB539" t="s">
        <v>29</v>
      </c>
      <c r="AD539" s="20">
        <v>45926</v>
      </c>
    </row>
    <row r="540" spans="1:30">
      <c r="A540">
        <v>565</v>
      </c>
      <c r="B540" t="str">
        <f>_xlfn.XLOOKUP(A540,Z:Z,AB:AB,"not found")</f>
        <v>USD</v>
      </c>
      <c r="C540">
        <f>_xlfn.XLOOKUP(A540,Z:Z,AA:AA)-_xlfn.XLOOKUP(A540,Q:Q,R:R,"0")</f>
        <v>1826.82</v>
      </c>
      <c r="D540">
        <f>C540*_xlfn.XLOOKUP(B540,AG:AG,AH:AH)</f>
        <v>1571.0652</v>
      </c>
      <c r="E540">
        <f>C540*_xlfn.XLOOKUP(B540,AG:AG,AI:AI)</f>
        <v>1826.82</v>
      </c>
      <c r="F540">
        <v>1826.82</v>
      </c>
      <c r="G540">
        <f>F540*_xlfn.XLOOKUP(B540,AG:AG,AH:AH)</f>
        <v>1571.0652</v>
      </c>
      <c r="H540">
        <f>F540*_xlfn.XLOOKUP(B540,AG:AG,AI:AI)</f>
        <v>1826.82</v>
      </c>
      <c r="I540">
        <f t="shared" si="42"/>
        <v>0</v>
      </c>
      <c r="J540">
        <f>I540*_xlfn.XLOOKUP(B540,AG:AG,AI:AI)</f>
        <v>0</v>
      </c>
      <c r="K540" s="7">
        <f>_xlfn.XLOOKUP(A540,Z:Z,AD:AD)</f>
        <v>45954</v>
      </c>
      <c r="L540" s="7">
        <f t="shared" si="43"/>
        <v>45924</v>
      </c>
      <c r="M540">
        <f t="shared" si="44"/>
        <v>9</v>
      </c>
      <c r="N540">
        <f t="shared" si="45"/>
        <v>2025</v>
      </c>
      <c r="Q540" s="22">
        <v>902</v>
      </c>
      <c r="R540" s="22">
        <v>16350.41</v>
      </c>
      <c r="S540" s="22" t="str">
        <f t="shared" si="46"/>
        <v>USD</v>
      </c>
      <c r="T540" s="22">
        <f>R540*_xlfn.XLOOKUP(S540,AG:AG,AI:AI)</f>
        <v>16350.41</v>
      </c>
      <c r="U540" s="22" t="s">
        <v>26</v>
      </c>
      <c r="W540" s="9">
        <v>431</v>
      </c>
      <c r="X540" s="9" t="s">
        <v>29</v>
      </c>
      <c r="Z540">
        <v>564</v>
      </c>
      <c r="AA540">
        <v>96454.24</v>
      </c>
      <c r="AB540" t="s">
        <v>29</v>
      </c>
      <c r="AD540" s="20">
        <v>45936</v>
      </c>
    </row>
    <row r="541" spans="1:30">
      <c r="A541">
        <v>566</v>
      </c>
      <c r="B541" t="str">
        <f>_xlfn.XLOOKUP(A541,Z:Z,AB:AB,"not found")</f>
        <v>MXN</v>
      </c>
      <c r="C541">
        <f>_xlfn.XLOOKUP(A541,Z:Z,AA:AA)-_xlfn.XLOOKUP(A541,Q:Q,R:R,"0")</f>
        <v>457189.68</v>
      </c>
      <c r="D541">
        <f>C541*_xlfn.XLOOKUP(B541,AG:AG,AH:AH)</f>
        <v>21945.104640000001</v>
      </c>
      <c r="E541">
        <f>C541*_xlfn.XLOOKUP(B541,AG:AG,AI:AI)</f>
        <v>25602.622080000001</v>
      </c>
      <c r="F541">
        <v>456365.41</v>
      </c>
      <c r="G541">
        <f>F541*_xlfn.XLOOKUP(B541,AG:AG,AH:AH)</f>
        <v>21905.539679999998</v>
      </c>
      <c r="H541">
        <f>F541*_xlfn.XLOOKUP(B541,AG:AG,AI:AI)</f>
        <v>25556.462960000001</v>
      </c>
      <c r="I541">
        <f t="shared" si="42"/>
        <v>824.27000000001863</v>
      </c>
      <c r="J541">
        <f>I541*_xlfn.XLOOKUP(B541,AG:AG,AI:AI)</f>
        <v>46.159120000001046</v>
      </c>
      <c r="K541" s="7">
        <f>_xlfn.XLOOKUP(A541,Z:Z,AD:AD)</f>
        <v>45937</v>
      </c>
      <c r="L541" s="7">
        <f t="shared" si="43"/>
        <v>45907</v>
      </c>
      <c r="M541">
        <f t="shared" si="44"/>
        <v>9</v>
      </c>
      <c r="N541">
        <f t="shared" si="45"/>
        <v>2025</v>
      </c>
      <c r="Q541" s="22">
        <v>904</v>
      </c>
      <c r="R541" s="22">
        <v>6818</v>
      </c>
      <c r="S541" s="22" t="str">
        <f t="shared" si="46"/>
        <v>USD</v>
      </c>
      <c r="T541" s="22">
        <f>R541*_xlfn.XLOOKUP(S541,AG:AG,AI:AI)</f>
        <v>6818</v>
      </c>
      <c r="U541" s="22" t="s">
        <v>26</v>
      </c>
      <c r="W541" s="9">
        <v>431</v>
      </c>
      <c r="X541" s="9" t="s">
        <v>29</v>
      </c>
      <c r="Z541">
        <v>565</v>
      </c>
      <c r="AA541">
        <v>1826.82</v>
      </c>
      <c r="AB541" t="s">
        <v>29</v>
      </c>
      <c r="AD541" s="20">
        <v>45954</v>
      </c>
    </row>
    <row r="542" spans="1:30">
      <c r="A542">
        <v>567</v>
      </c>
      <c r="B542" t="str">
        <f>_xlfn.XLOOKUP(A542,Z:Z,AB:AB,"not found")</f>
        <v>USD</v>
      </c>
      <c r="C542">
        <f>_xlfn.XLOOKUP(A542,Z:Z,AA:AA)-_xlfn.XLOOKUP(A542,Q:Q,R:R,"0")</f>
        <v>934.13</v>
      </c>
      <c r="D542">
        <f>C542*_xlfn.XLOOKUP(B542,AG:AG,AH:AH)</f>
        <v>803.35180000000003</v>
      </c>
      <c r="E542">
        <f>C542*_xlfn.XLOOKUP(B542,AG:AG,AI:AI)</f>
        <v>934.13</v>
      </c>
      <c r="F542">
        <v>713.63</v>
      </c>
      <c r="G542">
        <f>F542*_xlfn.XLOOKUP(B542,AG:AG,AH:AH)</f>
        <v>613.72180000000003</v>
      </c>
      <c r="H542">
        <f>F542*_xlfn.XLOOKUP(B542,AG:AG,AI:AI)</f>
        <v>713.63</v>
      </c>
      <c r="I542">
        <f t="shared" si="42"/>
        <v>934.13</v>
      </c>
      <c r="J542">
        <f>I542*_xlfn.XLOOKUP(B542,AG:AG,AI:AI)</f>
        <v>934.13</v>
      </c>
      <c r="K542" s="7">
        <f>_xlfn.XLOOKUP(A542,Z:Z,AD:AD)</f>
        <v>45891</v>
      </c>
      <c r="L542" s="7">
        <f t="shared" si="43"/>
        <v>45861</v>
      </c>
      <c r="M542">
        <f t="shared" si="44"/>
        <v>7</v>
      </c>
      <c r="N542">
        <f t="shared" si="45"/>
        <v>2025</v>
      </c>
      <c r="Q542" s="22">
        <v>908</v>
      </c>
      <c r="R542" s="22">
        <v>6281.23</v>
      </c>
      <c r="S542" s="22" t="str">
        <f t="shared" si="46"/>
        <v>USD</v>
      </c>
      <c r="T542" s="22">
        <f>R542*_xlfn.XLOOKUP(S542,AG:AG,AI:AI)</f>
        <v>6281.23</v>
      </c>
      <c r="U542" s="22" t="s">
        <v>26</v>
      </c>
      <c r="W542" s="9">
        <v>431</v>
      </c>
      <c r="X542" s="9" t="s">
        <v>29</v>
      </c>
      <c r="Z542">
        <v>566</v>
      </c>
      <c r="AA542">
        <v>457189.68</v>
      </c>
      <c r="AB542" t="s">
        <v>28</v>
      </c>
      <c r="AD542" s="20">
        <v>45937</v>
      </c>
    </row>
    <row r="543" spans="1:30">
      <c r="A543">
        <v>568</v>
      </c>
      <c r="B543" t="str">
        <f>_xlfn.XLOOKUP(A543,Z:Z,AB:AB,"not found")</f>
        <v>GPB</v>
      </c>
      <c r="C543">
        <f>_xlfn.XLOOKUP(A543,Z:Z,AA:AA)-_xlfn.XLOOKUP(A543,Q:Q,R:R,"0")</f>
        <v>0</v>
      </c>
      <c r="D543">
        <f>C543*_xlfn.XLOOKUP(B543,AG:AG,AH:AH)</f>
        <v>0</v>
      </c>
      <c r="E543">
        <f>C543*_xlfn.XLOOKUP(B543,AG:AG,AI:AI)</f>
        <v>0</v>
      </c>
      <c r="F543">
        <v>2700</v>
      </c>
      <c r="G543">
        <f>F543*_xlfn.XLOOKUP(B543,AG:AG,AH:AH)</f>
        <v>3104.9999999999995</v>
      </c>
      <c r="H543">
        <f>F543*_xlfn.XLOOKUP(B543,AG:AG,AI:AI)</f>
        <v>3618</v>
      </c>
      <c r="I543">
        <f t="shared" si="42"/>
        <v>0</v>
      </c>
      <c r="J543">
        <f>I543*_xlfn.XLOOKUP(B543,AG:AG,AI:AI)</f>
        <v>0</v>
      </c>
      <c r="K543" s="7">
        <f>_xlfn.XLOOKUP(A543,Z:Z,AD:AD)</f>
        <v>45757</v>
      </c>
      <c r="L543" s="7">
        <f t="shared" si="43"/>
        <v>45727</v>
      </c>
      <c r="M543">
        <f t="shared" si="44"/>
        <v>3</v>
      </c>
      <c r="N543">
        <f t="shared" si="45"/>
        <v>2025</v>
      </c>
      <c r="Q543" s="22">
        <v>909</v>
      </c>
      <c r="R543" s="22">
        <v>31592</v>
      </c>
      <c r="S543" s="22" t="str">
        <f t="shared" si="46"/>
        <v>MXN</v>
      </c>
      <c r="T543" s="22">
        <f>R543*_xlfn.XLOOKUP(S543,AG:AG,AI:AI)</f>
        <v>1769.152</v>
      </c>
      <c r="U543" s="22" t="s">
        <v>26</v>
      </c>
      <c r="W543" s="9">
        <v>433</v>
      </c>
      <c r="X543" s="9" t="s">
        <v>27</v>
      </c>
      <c r="Z543">
        <v>567</v>
      </c>
      <c r="AA543">
        <v>1647.76</v>
      </c>
      <c r="AB543" t="s">
        <v>29</v>
      </c>
      <c r="AD543" s="20">
        <v>45891</v>
      </c>
    </row>
    <row r="544" spans="1:30">
      <c r="A544">
        <v>569</v>
      </c>
      <c r="B544" t="str">
        <f>_xlfn.XLOOKUP(A544,Z:Z,AB:AB,"not found")</f>
        <v>MXN</v>
      </c>
      <c r="C544">
        <f>_xlfn.XLOOKUP(A544,Z:Z,AA:AA)-_xlfn.XLOOKUP(A544,Q:Q,R:R,"0")</f>
        <v>110400</v>
      </c>
      <c r="D544">
        <f>C544*_xlfn.XLOOKUP(B544,AG:AG,AH:AH)</f>
        <v>5299.2</v>
      </c>
      <c r="E544">
        <f>C544*_xlfn.XLOOKUP(B544,AG:AG,AI:AI)</f>
        <v>6182.4000000000005</v>
      </c>
      <c r="F544">
        <v>110400</v>
      </c>
      <c r="G544">
        <f>F544*_xlfn.XLOOKUP(B544,AG:AG,AH:AH)</f>
        <v>5299.2</v>
      </c>
      <c r="H544">
        <f>F544*_xlfn.XLOOKUP(B544,AG:AG,AI:AI)</f>
        <v>6182.4000000000005</v>
      </c>
      <c r="I544">
        <f t="shared" si="42"/>
        <v>0</v>
      </c>
      <c r="J544">
        <f>I544*_xlfn.XLOOKUP(B544,AG:AG,AI:AI)</f>
        <v>0</v>
      </c>
      <c r="K544" s="7">
        <f>_xlfn.XLOOKUP(A544,Z:Z,AD:AD)</f>
        <v>45900</v>
      </c>
      <c r="L544" s="7">
        <f t="shared" si="43"/>
        <v>45870</v>
      </c>
      <c r="M544">
        <f t="shared" si="44"/>
        <v>8</v>
      </c>
      <c r="N544">
        <f t="shared" si="45"/>
        <v>2025</v>
      </c>
      <c r="Q544" s="22">
        <v>910</v>
      </c>
      <c r="R544" s="22">
        <v>767.06</v>
      </c>
      <c r="S544" s="22" t="str">
        <f t="shared" si="46"/>
        <v>USD</v>
      </c>
      <c r="T544" s="22">
        <f>R544*_xlfn.XLOOKUP(S544,AG:AG,AI:AI)</f>
        <v>767.06</v>
      </c>
      <c r="U544" s="22" t="s">
        <v>26</v>
      </c>
      <c r="W544" s="9">
        <v>433</v>
      </c>
      <c r="X544" s="9" t="s">
        <v>27</v>
      </c>
      <c r="Z544">
        <v>568</v>
      </c>
      <c r="AA544">
        <v>2700</v>
      </c>
      <c r="AB544" t="s">
        <v>32</v>
      </c>
      <c r="AD544" s="20">
        <v>45757</v>
      </c>
    </row>
    <row r="545" spans="1:30">
      <c r="A545">
        <v>570</v>
      </c>
      <c r="B545" t="str">
        <f>_xlfn.XLOOKUP(A545,Z:Z,AB:AB,"not found")</f>
        <v>GPB</v>
      </c>
      <c r="C545">
        <f>_xlfn.XLOOKUP(A545,Z:Z,AA:AA)-_xlfn.XLOOKUP(A545,Q:Q,R:R,"0")</f>
        <v>0</v>
      </c>
      <c r="D545">
        <f>C545*_xlfn.XLOOKUP(B545,AG:AG,AH:AH)</f>
        <v>0</v>
      </c>
      <c r="E545">
        <f>C545*_xlfn.XLOOKUP(B545,AG:AG,AI:AI)</f>
        <v>0</v>
      </c>
      <c r="F545">
        <v>2504</v>
      </c>
      <c r="G545">
        <f>F545*_xlfn.XLOOKUP(B545,AG:AG,AH:AH)</f>
        <v>2879.6</v>
      </c>
      <c r="H545">
        <f>F545*_xlfn.XLOOKUP(B545,AG:AG,AI:AI)</f>
        <v>3355.36</v>
      </c>
      <c r="I545">
        <f t="shared" si="42"/>
        <v>0</v>
      </c>
      <c r="J545">
        <f>I545*_xlfn.XLOOKUP(B545,AG:AG,AI:AI)</f>
        <v>0</v>
      </c>
      <c r="K545" s="7">
        <f>_xlfn.XLOOKUP(A545,Z:Z,AD:AD)</f>
        <v>45762</v>
      </c>
      <c r="L545" s="7">
        <f t="shared" si="43"/>
        <v>45732</v>
      </c>
      <c r="M545">
        <f t="shared" si="44"/>
        <v>3</v>
      </c>
      <c r="N545">
        <f t="shared" si="45"/>
        <v>2025</v>
      </c>
      <c r="Q545" s="22">
        <v>911</v>
      </c>
      <c r="R545" s="22">
        <v>13252</v>
      </c>
      <c r="S545" s="22" t="str">
        <f t="shared" si="46"/>
        <v>USD</v>
      </c>
      <c r="T545" s="22">
        <f>R545*_xlfn.XLOOKUP(S545,AG:AG,AI:AI)</f>
        <v>13252</v>
      </c>
      <c r="U545" s="22" t="s">
        <v>26</v>
      </c>
      <c r="W545" s="9">
        <v>433</v>
      </c>
      <c r="X545" s="9" t="s">
        <v>27</v>
      </c>
      <c r="Z545">
        <v>569</v>
      </c>
      <c r="AA545">
        <v>110400</v>
      </c>
      <c r="AB545" t="s">
        <v>28</v>
      </c>
      <c r="AD545" s="20">
        <v>45900</v>
      </c>
    </row>
    <row r="546" spans="1:30">
      <c r="A546">
        <v>571</v>
      </c>
      <c r="B546" t="str">
        <f>_xlfn.XLOOKUP(A546,Z:Z,AB:AB,"not found")</f>
        <v>MXN</v>
      </c>
      <c r="C546">
        <f>_xlfn.XLOOKUP(A546,Z:Z,AA:AA)-_xlfn.XLOOKUP(A546,Q:Q,R:R,"0")</f>
        <v>0</v>
      </c>
      <c r="D546">
        <f>C546*_xlfn.XLOOKUP(B546,AG:AG,AH:AH)</f>
        <v>0</v>
      </c>
      <c r="E546">
        <f>C546*_xlfn.XLOOKUP(B546,AG:AG,AI:AI)</f>
        <v>0</v>
      </c>
      <c r="F546">
        <v>11858</v>
      </c>
      <c r="G546">
        <f>F546*_xlfn.XLOOKUP(B546,AG:AG,AH:AH)</f>
        <v>569.18399999999997</v>
      </c>
      <c r="H546">
        <f>F546*_xlfn.XLOOKUP(B546,AG:AG,AI:AI)</f>
        <v>664.048</v>
      </c>
      <c r="I546">
        <f t="shared" si="42"/>
        <v>0</v>
      </c>
      <c r="J546">
        <f>I546*_xlfn.XLOOKUP(B546,AG:AG,AI:AI)</f>
        <v>0</v>
      </c>
      <c r="K546" s="7">
        <f>_xlfn.XLOOKUP(A546,Z:Z,AD:AD)</f>
        <v>45884</v>
      </c>
      <c r="L546" s="7">
        <f t="shared" si="43"/>
        <v>45854</v>
      </c>
      <c r="M546">
        <f t="shared" si="44"/>
        <v>7</v>
      </c>
      <c r="N546">
        <f t="shared" si="45"/>
        <v>2025</v>
      </c>
      <c r="Q546" s="22">
        <v>912</v>
      </c>
      <c r="R546" s="22">
        <v>2058</v>
      </c>
      <c r="S546" s="22" t="str">
        <f t="shared" si="46"/>
        <v>USD</v>
      </c>
      <c r="T546" s="22">
        <f>R546*_xlfn.XLOOKUP(S546,AG:AG,AI:AI)</f>
        <v>2058</v>
      </c>
      <c r="U546" s="22" t="s">
        <v>26</v>
      </c>
      <c r="W546" s="9">
        <v>433</v>
      </c>
      <c r="X546" s="9" t="s">
        <v>27</v>
      </c>
      <c r="Z546">
        <v>570</v>
      </c>
      <c r="AA546">
        <v>2504</v>
      </c>
      <c r="AB546" t="s">
        <v>32</v>
      </c>
      <c r="AD546" s="20">
        <v>45762</v>
      </c>
    </row>
    <row r="547" spans="1:30">
      <c r="A547">
        <v>572</v>
      </c>
      <c r="B547" t="str">
        <f>_xlfn.XLOOKUP(A547,Z:Z,AB:AB,"not found")</f>
        <v>USD</v>
      </c>
      <c r="C547">
        <f>_xlfn.XLOOKUP(A547,Z:Z,AA:AA)-_xlfn.XLOOKUP(A547,Q:Q,R:R,"0")</f>
        <v>0</v>
      </c>
      <c r="D547">
        <f>C547*_xlfn.XLOOKUP(B547,AG:AG,AH:AH)</f>
        <v>0</v>
      </c>
      <c r="E547">
        <f>C547*_xlfn.XLOOKUP(B547,AG:AG,AI:AI)</f>
        <v>0</v>
      </c>
      <c r="F547">
        <v>10105.09</v>
      </c>
      <c r="G547">
        <f>F547*_xlfn.XLOOKUP(B547,AG:AG,AH:AH)</f>
        <v>8690.3773999999994</v>
      </c>
      <c r="H547">
        <f>F547*_xlfn.XLOOKUP(B547,AG:AG,AI:AI)</f>
        <v>10105.09</v>
      </c>
      <c r="I547">
        <f t="shared" si="42"/>
        <v>0</v>
      </c>
      <c r="J547">
        <f>I547*_xlfn.XLOOKUP(B547,AG:AG,AI:AI)</f>
        <v>0</v>
      </c>
      <c r="K547" s="7">
        <f>_xlfn.XLOOKUP(A547,Z:Z,AD:AD)</f>
        <v>45803</v>
      </c>
      <c r="L547" s="7">
        <f t="shared" si="43"/>
        <v>45773</v>
      </c>
      <c r="M547">
        <f t="shared" si="44"/>
        <v>4</v>
      </c>
      <c r="N547">
        <f t="shared" si="45"/>
        <v>2025</v>
      </c>
      <c r="Q547" s="22">
        <v>913</v>
      </c>
      <c r="R547" s="22">
        <v>299292.08</v>
      </c>
      <c r="S547" s="22" t="str">
        <f t="shared" si="46"/>
        <v>MXN</v>
      </c>
      <c r="T547" s="22">
        <f>R547*_xlfn.XLOOKUP(S547,AG:AG,AI:AI)</f>
        <v>16760.356480000002</v>
      </c>
      <c r="U547" s="22" t="s">
        <v>26</v>
      </c>
      <c r="W547" s="9">
        <v>433</v>
      </c>
      <c r="X547" s="9" t="s">
        <v>27</v>
      </c>
      <c r="Z547">
        <v>571</v>
      </c>
      <c r="AA547">
        <v>11858</v>
      </c>
      <c r="AB547" t="s">
        <v>28</v>
      </c>
      <c r="AD547" s="20">
        <v>45884</v>
      </c>
    </row>
    <row r="548" spans="1:30">
      <c r="A548">
        <v>573</v>
      </c>
      <c r="B548" t="str">
        <f>_xlfn.XLOOKUP(A548,Z:Z,AB:AB,"not found")</f>
        <v>USD</v>
      </c>
      <c r="C548">
        <f>_xlfn.XLOOKUP(A548,Z:Z,AA:AA)-_xlfn.XLOOKUP(A548,Q:Q,R:R,"0")</f>
        <v>0</v>
      </c>
      <c r="D548">
        <f>C548*_xlfn.XLOOKUP(B548,AG:AG,AH:AH)</f>
        <v>0</v>
      </c>
      <c r="E548">
        <f>C548*_xlfn.XLOOKUP(B548,AG:AG,AI:AI)</f>
        <v>0</v>
      </c>
      <c r="F548">
        <v>6668</v>
      </c>
      <c r="G548">
        <f>F548*_xlfn.XLOOKUP(B548,AG:AG,AH:AH)</f>
        <v>5734.48</v>
      </c>
      <c r="H548">
        <f>F548*_xlfn.XLOOKUP(B548,AG:AG,AI:AI)</f>
        <v>6668</v>
      </c>
      <c r="I548">
        <f t="shared" si="42"/>
        <v>0</v>
      </c>
      <c r="J548">
        <f>I548*_xlfn.XLOOKUP(B548,AG:AG,AI:AI)</f>
        <v>0</v>
      </c>
      <c r="K548" s="7">
        <f>_xlfn.XLOOKUP(A548,Z:Z,AD:AD)</f>
        <v>45807</v>
      </c>
      <c r="L548" s="7">
        <f t="shared" ref="L548:L611" si="47">K548-30</f>
        <v>45777</v>
      </c>
      <c r="M548">
        <f t="shared" ref="M548:M611" si="48">MONTH(L548)</f>
        <v>4</v>
      </c>
      <c r="N548">
        <f t="shared" ref="N548:N611" si="49">YEAR(L548)</f>
        <v>2025</v>
      </c>
      <c r="Q548" s="22">
        <v>919</v>
      </c>
      <c r="R548" s="22">
        <v>16765</v>
      </c>
      <c r="S548" s="22" t="str">
        <f t="shared" si="46"/>
        <v>USD</v>
      </c>
      <c r="T548" s="22">
        <f>R548*_xlfn.XLOOKUP(S548,AG:AG,AI:AI)</f>
        <v>16765</v>
      </c>
      <c r="U548" s="22" t="s">
        <v>26</v>
      </c>
      <c r="W548" s="9">
        <v>434</v>
      </c>
      <c r="X548" s="9" t="s">
        <v>32</v>
      </c>
      <c r="Z548">
        <v>572</v>
      </c>
      <c r="AA548">
        <v>10105.09</v>
      </c>
      <c r="AB548" t="s">
        <v>29</v>
      </c>
      <c r="AD548" s="20">
        <v>45803</v>
      </c>
    </row>
    <row r="549" spans="1:30">
      <c r="A549">
        <v>574</v>
      </c>
      <c r="B549" t="str">
        <f>_xlfn.XLOOKUP(A549,Z:Z,AB:AB,"not found")</f>
        <v>USD</v>
      </c>
      <c r="C549">
        <f>_xlfn.XLOOKUP(A549,Z:Z,AA:AA)-_xlfn.XLOOKUP(A549,Q:Q,R:R,"0")</f>
        <v>3784.09</v>
      </c>
      <c r="D549">
        <f>C549*_xlfn.XLOOKUP(B549,AG:AG,AH:AH)</f>
        <v>3254.3173999999999</v>
      </c>
      <c r="E549">
        <f>C549*_xlfn.XLOOKUP(B549,AG:AG,AI:AI)</f>
        <v>3784.09</v>
      </c>
      <c r="F549">
        <v>3784.09</v>
      </c>
      <c r="G549">
        <f>F549*_xlfn.XLOOKUP(B549,AG:AG,AH:AH)</f>
        <v>3254.3173999999999</v>
      </c>
      <c r="H549">
        <f>F549*_xlfn.XLOOKUP(B549,AG:AG,AI:AI)</f>
        <v>3784.09</v>
      </c>
      <c r="I549">
        <f t="shared" si="42"/>
        <v>0</v>
      </c>
      <c r="J549">
        <f>I549*_xlfn.XLOOKUP(B549,AG:AG,AI:AI)</f>
        <v>0</v>
      </c>
      <c r="K549" s="7">
        <f>_xlfn.XLOOKUP(A549,Z:Z,AD:AD)</f>
        <v>45996</v>
      </c>
      <c r="L549" s="7">
        <f t="shared" si="47"/>
        <v>45966</v>
      </c>
      <c r="M549">
        <f t="shared" si="48"/>
        <v>11</v>
      </c>
      <c r="N549">
        <f t="shared" si="49"/>
        <v>2025</v>
      </c>
      <c r="Q549" s="22">
        <v>920</v>
      </c>
      <c r="R549" s="22">
        <v>5067.5200000000004</v>
      </c>
      <c r="S549" s="22" t="str">
        <f t="shared" si="46"/>
        <v>USD</v>
      </c>
      <c r="T549" s="22">
        <f>R549*_xlfn.XLOOKUP(S549,AG:AG,AI:AI)</f>
        <v>5067.5200000000004</v>
      </c>
      <c r="U549" s="22" t="s">
        <v>26</v>
      </c>
      <c r="W549" s="9">
        <v>435</v>
      </c>
      <c r="X549" s="9" t="s">
        <v>29</v>
      </c>
      <c r="Z549">
        <v>573</v>
      </c>
      <c r="AA549">
        <v>6668</v>
      </c>
      <c r="AB549" t="s">
        <v>29</v>
      </c>
      <c r="AD549" s="20">
        <v>45807</v>
      </c>
    </row>
    <row r="550" spans="1:30">
      <c r="A550">
        <v>575</v>
      </c>
      <c r="B550" t="str">
        <f>_xlfn.XLOOKUP(A550,Z:Z,AB:AB,"not found")</f>
        <v>USD</v>
      </c>
      <c r="C550">
        <f>_xlfn.XLOOKUP(A550,Z:Z,AA:AA)-_xlfn.XLOOKUP(A550,Q:Q,R:R,"0")</f>
        <v>0</v>
      </c>
      <c r="D550">
        <f>C550*_xlfn.XLOOKUP(B550,AG:AG,AH:AH)</f>
        <v>0</v>
      </c>
      <c r="E550">
        <f>C550*_xlfn.XLOOKUP(B550,AG:AG,AI:AI)</f>
        <v>0</v>
      </c>
      <c r="F550">
        <v>21032.86</v>
      </c>
      <c r="G550">
        <f>F550*_xlfn.XLOOKUP(B550,AG:AG,AH:AH)</f>
        <v>18088.259600000001</v>
      </c>
      <c r="H550">
        <f>F550*_xlfn.XLOOKUP(B550,AG:AG,AI:AI)</f>
        <v>21032.86</v>
      </c>
      <c r="I550">
        <f t="shared" si="42"/>
        <v>0</v>
      </c>
      <c r="J550">
        <f>I550*_xlfn.XLOOKUP(B550,AG:AG,AI:AI)</f>
        <v>0</v>
      </c>
      <c r="K550" s="7">
        <f>_xlfn.XLOOKUP(A550,Z:Z,AD:AD)</f>
        <v>45864</v>
      </c>
      <c r="L550" s="7">
        <f t="shared" si="47"/>
        <v>45834</v>
      </c>
      <c r="M550">
        <f t="shared" si="48"/>
        <v>6</v>
      </c>
      <c r="N550">
        <f t="shared" si="49"/>
        <v>2025</v>
      </c>
      <c r="Q550" s="22">
        <v>921</v>
      </c>
      <c r="R550" s="22">
        <v>2533.7600000000002</v>
      </c>
      <c r="S550" s="22" t="str">
        <f t="shared" si="46"/>
        <v>USD</v>
      </c>
      <c r="T550" s="22">
        <f>R550*_xlfn.XLOOKUP(S550,AG:AG,AI:AI)</f>
        <v>2533.7600000000002</v>
      </c>
      <c r="U550" s="22" t="s">
        <v>26</v>
      </c>
      <c r="W550" s="9">
        <v>435</v>
      </c>
      <c r="X550" s="9" t="s">
        <v>29</v>
      </c>
      <c r="Z550">
        <v>574</v>
      </c>
      <c r="AA550">
        <v>3784.09</v>
      </c>
      <c r="AB550" t="s">
        <v>29</v>
      </c>
      <c r="AD550" s="20">
        <v>45996</v>
      </c>
    </row>
    <row r="551" spans="1:30">
      <c r="A551">
        <v>576</v>
      </c>
      <c r="B551" t="str">
        <f>_xlfn.XLOOKUP(A551,Z:Z,AB:AB,"not found")</f>
        <v>USD</v>
      </c>
      <c r="C551">
        <f>_xlfn.XLOOKUP(A551,Z:Z,AA:AA)-_xlfn.XLOOKUP(A551,Q:Q,R:R,"0")</f>
        <v>0</v>
      </c>
      <c r="D551">
        <f>C551*_xlfn.XLOOKUP(B551,AG:AG,AH:AH)</f>
        <v>0</v>
      </c>
      <c r="E551">
        <f>C551*_xlfn.XLOOKUP(B551,AG:AG,AI:AI)</f>
        <v>0</v>
      </c>
      <c r="F551">
        <v>10684</v>
      </c>
      <c r="G551">
        <f>F551*_xlfn.XLOOKUP(B551,AG:AG,AH:AH)</f>
        <v>9188.24</v>
      </c>
      <c r="H551">
        <f>F551*_xlfn.XLOOKUP(B551,AG:AG,AI:AI)</f>
        <v>10684</v>
      </c>
      <c r="I551">
        <f t="shared" si="42"/>
        <v>0</v>
      </c>
      <c r="J551">
        <f>I551*_xlfn.XLOOKUP(B551,AG:AG,AI:AI)</f>
        <v>0</v>
      </c>
      <c r="K551" s="7">
        <f>_xlfn.XLOOKUP(A551,Z:Z,AD:AD)</f>
        <v>45902</v>
      </c>
      <c r="L551" s="7">
        <f t="shared" si="47"/>
        <v>45872</v>
      </c>
      <c r="M551">
        <f t="shared" si="48"/>
        <v>8</v>
      </c>
      <c r="N551">
        <f t="shared" si="49"/>
        <v>2025</v>
      </c>
      <c r="Q551" s="22">
        <v>922</v>
      </c>
      <c r="R551" s="22">
        <v>2403.5</v>
      </c>
      <c r="S551" s="22" t="str">
        <f t="shared" si="46"/>
        <v>EUR</v>
      </c>
      <c r="T551" s="22">
        <f>R551*_xlfn.XLOOKUP(S551,AG:AG,AI:AI)</f>
        <v>2788.06</v>
      </c>
      <c r="U551" s="22" t="s">
        <v>26</v>
      </c>
      <c r="W551" s="9">
        <v>435</v>
      </c>
      <c r="X551" s="9" t="s">
        <v>29</v>
      </c>
      <c r="Z551">
        <v>575</v>
      </c>
      <c r="AA551">
        <v>21032.86</v>
      </c>
      <c r="AB551" t="s">
        <v>29</v>
      </c>
      <c r="AD551" s="20">
        <v>45864</v>
      </c>
    </row>
    <row r="552" spans="1:30">
      <c r="A552">
        <v>577</v>
      </c>
      <c r="B552" t="str">
        <f>_xlfn.XLOOKUP(A552,Z:Z,AB:AB,"not found")</f>
        <v>USD</v>
      </c>
      <c r="C552">
        <f>_xlfn.XLOOKUP(A552,Z:Z,AA:AA)-_xlfn.XLOOKUP(A552,Q:Q,R:R,"0")</f>
        <v>8789.49</v>
      </c>
      <c r="D552">
        <f>C552*_xlfn.XLOOKUP(B552,AG:AG,AH:AH)</f>
        <v>7558.9614000000001</v>
      </c>
      <c r="E552">
        <f>C552*_xlfn.XLOOKUP(B552,AG:AG,AI:AI)</f>
        <v>8789.49</v>
      </c>
      <c r="F552">
        <v>22005.27</v>
      </c>
      <c r="G552">
        <f>F552*_xlfn.XLOOKUP(B552,AG:AG,AH:AH)</f>
        <v>18924.532200000001</v>
      </c>
      <c r="H552">
        <f>F552*_xlfn.XLOOKUP(B552,AG:AG,AI:AI)</f>
        <v>22005.27</v>
      </c>
      <c r="I552">
        <f t="shared" si="42"/>
        <v>0</v>
      </c>
      <c r="J552">
        <f>I552*_xlfn.XLOOKUP(B552,AG:AG,AI:AI)</f>
        <v>0</v>
      </c>
      <c r="K552" s="7">
        <f>_xlfn.XLOOKUP(A552,Z:Z,AD:AD)</f>
        <v>45870</v>
      </c>
      <c r="L552" s="7">
        <f t="shared" si="47"/>
        <v>45840</v>
      </c>
      <c r="M552">
        <f t="shared" si="48"/>
        <v>7</v>
      </c>
      <c r="N552">
        <f t="shared" si="49"/>
        <v>2025</v>
      </c>
      <c r="Q552" s="22">
        <v>923</v>
      </c>
      <c r="R552" s="22">
        <v>1039.5</v>
      </c>
      <c r="S552" s="22" t="str">
        <f t="shared" si="46"/>
        <v>EUR</v>
      </c>
      <c r="T552" s="22">
        <f>R552*_xlfn.XLOOKUP(S552,AG:AG,AI:AI)</f>
        <v>1205.82</v>
      </c>
      <c r="U552" s="22" t="s">
        <v>26</v>
      </c>
      <c r="W552" s="9">
        <v>435</v>
      </c>
      <c r="X552" s="9" t="s">
        <v>29</v>
      </c>
      <c r="Z552">
        <v>576</v>
      </c>
      <c r="AA552">
        <v>10684</v>
      </c>
      <c r="AB552" t="s">
        <v>29</v>
      </c>
      <c r="AD552" s="20">
        <v>45902</v>
      </c>
    </row>
    <row r="553" spans="1:30">
      <c r="A553">
        <v>578</v>
      </c>
      <c r="B553" t="str">
        <f>_xlfn.XLOOKUP(A553,Z:Z,AB:AB,"not found")</f>
        <v>USD</v>
      </c>
      <c r="C553">
        <f>_xlfn.XLOOKUP(A553,Z:Z,AA:AA)-_xlfn.XLOOKUP(A553,Q:Q,R:R,"0")</f>
        <v>4562.22</v>
      </c>
      <c r="D553">
        <f>C553*_xlfn.XLOOKUP(B553,AG:AG,AH:AH)</f>
        <v>3923.5092</v>
      </c>
      <c r="E553">
        <f>C553*_xlfn.XLOOKUP(B553,AG:AG,AI:AI)</f>
        <v>4562.22</v>
      </c>
      <c r="F553">
        <v>4562.22</v>
      </c>
      <c r="G553">
        <f>F553*_xlfn.XLOOKUP(B553,AG:AG,AH:AH)</f>
        <v>3923.5092</v>
      </c>
      <c r="H553">
        <f>F553*_xlfn.XLOOKUP(B553,AG:AG,AI:AI)</f>
        <v>4562.22</v>
      </c>
      <c r="I553">
        <f t="shared" si="42"/>
        <v>0</v>
      </c>
      <c r="J553">
        <f>I553*_xlfn.XLOOKUP(B553,AG:AG,AI:AI)</f>
        <v>0</v>
      </c>
      <c r="K553" s="7">
        <f>_xlfn.XLOOKUP(A553,Z:Z,AD:AD)</f>
        <v>45888</v>
      </c>
      <c r="L553" s="7">
        <f t="shared" si="47"/>
        <v>45858</v>
      </c>
      <c r="M553">
        <f t="shared" si="48"/>
        <v>7</v>
      </c>
      <c r="N553">
        <f t="shared" si="49"/>
        <v>2025</v>
      </c>
      <c r="Q553" s="22">
        <v>925</v>
      </c>
      <c r="R553" s="22">
        <v>136</v>
      </c>
      <c r="S553" s="22" t="str">
        <f t="shared" si="46"/>
        <v>EUR</v>
      </c>
      <c r="T553" s="22">
        <f>R553*_xlfn.XLOOKUP(S553,AG:AG,AI:AI)</f>
        <v>157.76</v>
      </c>
      <c r="U553" s="22" t="s">
        <v>26</v>
      </c>
      <c r="W553" s="9">
        <v>436</v>
      </c>
      <c r="X553" s="9" t="s">
        <v>28</v>
      </c>
      <c r="Z553">
        <v>577</v>
      </c>
      <c r="AA553">
        <v>22005.27</v>
      </c>
      <c r="AB553" t="s">
        <v>29</v>
      </c>
      <c r="AD553" s="20">
        <v>45870</v>
      </c>
    </row>
    <row r="554" spans="1:30">
      <c r="A554">
        <v>579</v>
      </c>
      <c r="B554" t="str">
        <f>_xlfn.XLOOKUP(A554,Z:Z,AB:AB,"not found")</f>
        <v>USD</v>
      </c>
      <c r="C554">
        <f>_xlfn.XLOOKUP(A554,Z:Z,AA:AA)-_xlfn.XLOOKUP(A554,Q:Q,R:R,"0")</f>
        <v>3204.53</v>
      </c>
      <c r="D554">
        <f>C554*_xlfn.XLOOKUP(B554,AG:AG,AH:AH)</f>
        <v>2755.8958000000002</v>
      </c>
      <c r="E554">
        <f>C554*_xlfn.XLOOKUP(B554,AG:AG,AI:AI)</f>
        <v>3204.53</v>
      </c>
      <c r="F554">
        <v>3204.53</v>
      </c>
      <c r="G554">
        <f>F554*_xlfn.XLOOKUP(B554,AG:AG,AH:AH)</f>
        <v>2755.8958000000002</v>
      </c>
      <c r="H554">
        <f>F554*_xlfn.XLOOKUP(B554,AG:AG,AI:AI)</f>
        <v>3204.53</v>
      </c>
      <c r="I554">
        <f t="shared" si="42"/>
        <v>0</v>
      </c>
      <c r="J554">
        <f>I554*_xlfn.XLOOKUP(B554,AG:AG,AI:AI)</f>
        <v>0</v>
      </c>
      <c r="K554" s="7">
        <f>_xlfn.XLOOKUP(A554,Z:Z,AD:AD)</f>
        <v>45912</v>
      </c>
      <c r="L554" s="7">
        <f t="shared" si="47"/>
        <v>45882</v>
      </c>
      <c r="M554">
        <f t="shared" si="48"/>
        <v>8</v>
      </c>
      <c r="N554">
        <f t="shared" si="49"/>
        <v>2025</v>
      </c>
      <c r="Q554" s="22">
        <v>930</v>
      </c>
      <c r="R554" s="22">
        <v>3485</v>
      </c>
      <c r="S554" s="22" t="str">
        <f t="shared" si="46"/>
        <v>USD</v>
      </c>
      <c r="T554" s="22">
        <f>R554*_xlfn.XLOOKUP(S554,AG:AG,AI:AI)</f>
        <v>3485</v>
      </c>
      <c r="U554" s="22" t="s">
        <v>26</v>
      </c>
      <c r="W554" s="9">
        <v>436</v>
      </c>
      <c r="X554" s="9" t="s">
        <v>28</v>
      </c>
      <c r="Z554">
        <v>578</v>
      </c>
      <c r="AA554">
        <v>4562.22</v>
      </c>
      <c r="AB554" t="s">
        <v>29</v>
      </c>
      <c r="AD554" s="20">
        <v>45888</v>
      </c>
    </row>
    <row r="555" spans="1:30">
      <c r="A555">
        <v>580</v>
      </c>
      <c r="B555" t="str">
        <f>_xlfn.XLOOKUP(A555,Z:Z,AB:AB,"not found")</f>
        <v>USD</v>
      </c>
      <c r="C555">
        <f>_xlfn.XLOOKUP(A555,Z:Z,AA:AA)-_xlfn.XLOOKUP(A555,Q:Q,R:R,"0")</f>
        <v>729.1</v>
      </c>
      <c r="D555">
        <f>C555*_xlfn.XLOOKUP(B555,AG:AG,AH:AH)</f>
        <v>627.02599999999995</v>
      </c>
      <c r="E555">
        <f>C555*_xlfn.XLOOKUP(B555,AG:AG,AI:AI)</f>
        <v>729.1</v>
      </c>
      <c r="F555">
        <v>729.1</v>
      </c>
      <c r="G555">
        <f>F555*_xlfn.XLOOKUP(B555,AG:AG,AH:AH)</f>
        <v>627.02599999999995</v>
      </c>
      <c r="H555">
        <f>F555*_xlfn.XLOOKUP(B555,AG:AG,AI:AI)</f>
        <v>729.1</v>
      </c>
      <c r="I555">
        <f t="shared" si="42"/>
        <v>0</v>
      </c>
      <c r="J555">
        <f>I555*_xlfn.XLOOKUP(B555,AG:AG,AI:AI)</f>
        <v>0</v>
      </c>
      <c r="K555" s="7">
        <f>_xlfn.XLOOKUP(A555,Z:Z,AD:AD)</f>
        <v>45970</v>
      </c>
      <c r="L555" s="7">
        <f t="shared" si="47"/>
        <v>45940</v>
      </c>
      <c r="M555">
        <f t="shared" si="48"/>
        <v>10</v>
      </c>
      <c r="N555">
        <f t="shared" si="49"/>
        <v>2025</v>
      </c>
      <c r="Q555" s="22">
        <v>937</v>
      </c>
      <c r="R555" s="22">
        <v>8443.83</v>
      </c>
      <c r="S555" s="22" t="str">
        <f t="shared" si="46"/>
        <v>USD</v>
      </c>
      <c r="T555" s="22">
        <f>R555*_xlfn.XLOOKUP(S555,AG:AG,AI:AI)</f>
        <v>8443.83</v>
      </c>
      <c r="U555" s="22" t="s">
        <v>26</v>
      </c>
      <c r="W555" s="9">
        <v>437</v>
      </c>
      <c r="X555" s="9" t="s">
        <v>27</v>
      </c>
      <c r="Z555">
        <v>579</v>
      </c>
      <c r="AA555">
        <v>3204.53</v>
      </c>
      <c r="AB555" t="s">
        <v>29</v>
      </c>
      <c r="AD555" s="20">
        <v>45912</v>
      </c>
    </row>
    <row r="556" spans="1:30">
      <c r="A556">
        <v>581</v>
      </c>
      <c r="B556" t="str">
        <f>_xlfn.XLOOKUP(A556,Z:Z,AB:AB,"not found")</f>
        <v>USD</v>
      </c>
      <c r="C556">
        <f>_xlfn.XLOOKUP(A556,Z:Z,AA:AA)-_xlfn.XLOOKUP(A556,Q:Q,R:R,"0")</f>
        <v>0</v>
      </c>
      <c r="D556">
        <f>C556*_xlfn.XLOOKUP(B556,AG:AG,AH:AH)</f>
        <v>0</v>
      </c>
      <c r="E556">
        <f>C556*_xlfn.XLOOKUP(B556,AG:AG,AI:AI)</f>
        <v>0</v>
      </c>
      <c r="F556">
        <v>1917.44</v>
      </c>
      <c r="G556">
        <f>F556*_xlfn.XLOOKUP(B556,AG:AG,AH:AH)</f>
        <v>1648.9983999999999</v>
      </c>
      <c r="H556">
        <f>F556*_xlfn.XLOOKUP(B556,AG:AG,AI:AI)</f>
        <v>1917.44</v>
      </c>
      <c r="I556">
        <f t="shared" si="42"/>
        <v>0</v>
      </c>
      <c r="J556">
        <f>I556*_xlfn.XLOOKUP(B556,AG:AG,AI:AI)</f>
        <v>0</v>
      </c>
      <c r="K556" s="7">
        <f>_xlfn.XLOOKUP(A556,Z:Z,AD:AD)</f>
        <v>45884</v>
      </c>
      <c r="L556" s="7">
        <f t="shared" si="47"/>
        <v>45854</v>
      </c>
      <c r="M556">
        <f t="shared" si="48"/>
        <v>7</v>
      </c>
      <c r="N556">
        <f t="shared" si="49"/>
        <v>2025</v>
      </c>
      <c r="Q556" s="22">
        <v>938</v>
      </c>
      <c r="R556" s="22">
        <v>50614</v>
      </c>
      <c r="S556" s="22" t="str">
        <f t="shared" si="46"/>
        <v>USD</v>
      </c>
      <c r="T556" s="22">
        <f>R556*_xlfn.XLOOKUP(S556,AG:AG,AI:AI)</f>
        <v>50614</v>
      </c>
      <c r="U556" s="22" t="s">
        <v>26</v>
      </c>
      <c r="W556" s="9">
        <v>440</v>
      </c>
      <c r="X556" s="9" t="s">
        <v>28</v>
      </c>
      <c r="Z556">
        <v>580</v>
      </c>
      <c r="AA556">
        <v>729.1</v>
      </c>
      <c r="AB556" t="s">
        <v>29</v>
      </c>
      <c r="AD556" s="20">
        <v>45970</v>
      </c>
    </row>
    <row r="557" spans="1:30">
      <c r="A557">
        <v>582</v>
      </c>
      <c r="B557" t="str">
        <f>_xlfn.XLOOKUP(A557,Z:Z,AB:AB,"not found")</f>
        <v>EUR</v>
      </c>
      <c r="C557">
        <f>_xlfn.XLOOKUP(A557,Z:Z,AA:AA)-_xlfn.XLOOKUP(A557,Q:Q,R:R,"0")</f>
        <v>23760.99</v>
      </c>
      <c r="D557">
        <f>C557*_xlfn.XLOOKUP(B557,AG:AG,AH:AH)</f>
        <v>23760.99</v>
      </c>
      <c r="E557">
        <f>C557*_xlfn.XLOOKUP(B557,AG:AG,AI:AI)</f>
        <v>27562.7484</v>
      </c>
      <c r="F557">
        <v>23760.99</v>
      </c>
      <c r="G557">
        <f>F557*_xlfn.XLOOKUP(B557,AG:AG,AH:AH)</f>
        <v>23760.99</v>
      </c>
      <c r="H557">
        <f>F557*_xlfn.XLOOKUP(B557,AG:AG,AI:AI)</f>
        <v>27562.7484</v>
      </c>
      <c r="I557">
        <f t="shared" si="42"/>
        <v>0</v>
      </c>
      <c r="J557">
        <f>I557*_xlfn.XLOOKUP(B557,AG:AG,AI:AI)</f>
        <v>0</v>
      </c>
      <c r="K557" s="7">
        <f>_xlfn.XLOOKUP(A557,Z:Z,AD:AD)</f>
        <v>45907</v>
      </c>
      <c r="L557" s="7">
        <f t="shared" si="47"/>
        <v>45877</v>
      </c>
      <c r="M557">
        <f t="shared" si="48"/>
        <v>8</v>
      </c>
      <c r="N557">
        <f t="shared" si="49"/>
        <v>2025</v>
      </c>
      <c r="Q557" s="22">
        <v>941</v>
      </c>
      <c r="R557" s="22">
        <v>20200</v>
      </c>
      <c r="S557" s="22" t="str">
        <f t="shared" si="46"/>
        <v>USD</v>
      </c>
      <c r="T557" s="22">
        <f>R557*_xlfn.XLOOKUP(S557,AG:AG,AI:AI)</f>
        <v>20200</v>
      </c>
      <c r="U557" s="22" t="s">
        <v>26</v>
      </c>
      <c r="W557" s="9">
        <v>440</v>
      </c>
      <c r="X557" s="9" t="s">
        <v>28</v>
      </c>
      <c r="Z557">
        <v>581</v>
      </c>
      <c r="AA557">
        <v>1917.44</v>
      </c>
      <c r="AB557" t="s">
        <v>29</v>
      </c>
      <c r="AD557" s="20">
        <v>45884</v>
      </c>
    </row>
    <row r="558" spans="1:30">
      <c r="A558">
        <v>583</v>
      </c>
      <c r="B558" t="str">
        <f>_xlfn.XLOOKUP(A558,Z:Z,AB:AB,"not found")</f>
        <v>EUR</v>
      </c>
      <c r="C558">
        <f>_xlfn.XLOOKUP(A558,Z:Z,AA:AA)-_xlfn.XLOOKUP(A558,Q:Q,R:R,"0")</f>
        <v>0</v>
      </c>
      <c r="D558">
        <f>C558*_xlfn.XLOOKUP(B558,AG:AG,AH:AH)</f>
        <v>0</v>
      </c>
      <c r="E558">
        <f>C558*_xlfn.XLOOKUP(B558,AG:AG,AI:AI)</f>
        <v>0</v>
      </c>
      <c r="F558">
        <v>13550</v>
      </c>
      <c r="G558">
        <f>F558*_xlfn.XLOOKUP(B558,AG:AG,AH:AH)</f>
        <v>13550</v>
      </c>
      <c r="H558">
        <f>F558*_xlfn.XLOOKUP(B558,AG:AG,AI:AI)</f>
        <v>15717.999999999998</v>
      </c>
      <c r="I558">
        <f t="shared" si="42"/>
        <v>0</v>
      </c>
      <c r="J558">
        <f>I558*_xlfn.XLOOKUP(B558,AG:AG,AI:AI)</f>
        <v>0</v>
      </c>
      <c r="K558" s="7">
        <f>_xlfn.XLOOKUP(A558,Z:Z,AD:AD)</f>
        <v>45874</v>
      </c>
      <c r="L558" s="7">
        <f t="shared" si="47"/>
        <v>45844</v>
      </c>
      <c r="M558">
        <f t="shared" si="48"/>
        <v>7</v>
      </c>
      <c r="N558">
        <f t="shared" si="49"/>
        <v>2025</v>
      </c>
      <c r="Q558" s="22">
        <v>942</v>
      </c>
      <c r="R558" s="22">
        <v>1155.8900000000001</v>
      </c>
      <c r="S558" s="22" t="str">
        <f t="shared" si="46"/>
        <v>USD</v>
      </c>
      <c r="T558" s="22">
        <f>R558*_xlfn.XLOOKUP(S558,AG:AG,AI:AI)</f>
        <v>1155.8900000000001</v>
      </c>
      <c r="U558" s="22" t="s">
        <v>26</v>
      </c>
      <c r="W558" s="9">
        <v>440</v>
      </c>
      <c r="X558" s="9" t="s">
        <v>28</v>
      </c>
      <c r="Z558">
        <v>582</v>
      </c>
      <c r="AA558">
        <v>23760.99</v>
      </c>
      <c r="AB558" t="s">
        <v>27</v>
      </c>
      <c r="AD558" s="20">
        <v>45907</v>
      </c>
    </row>
    <row r="559" spans="1:30">
      <c r="A559">
        <v>585</v>
      </c>
      <c r="B559" t="str">
        <f>_xlfn.XLOOKUP(A559,Z:Z,AB:AB,"not found")</f>
        <v>MXN</v>
      </c>
      <c r="C559">
        <f>_xlfn.XLOOKUP(A559,Z:Z,AA:AA)-_xlfn.XLOOKUP(A559,Q:Q,R:R,"0")</f>
        <v>32600.850000000006</v>
      </c>
      <c r="D559">
        <f>C559*_xlfn.XLOOKUP(B559,AG:AG,AH:AH)</f>
        <v>1564.8408000000004</v>
      </c>
      <c r="E559">
        <f>C559*_xlfn.XLOOKUP(B559,AG:AG,AI:AI)</f>
        <v>1825.6476000000005</v>
      </c>
      <c r="F559">
        <v>131611.4</v>
      </c>
      <c r="G559">
        <f>F559*_xlfn.XLOOKUP(B559,AG:AG,AH:AH)</f>
        <v>6317.3472000000002</v>
      </c>
      <c r="H559">
        <f>F559*_xlfn.XLOOKUP(B559,AG:AG,AI:AI)</f>
        <v>7370.2384000000002</v>
      </c>
      <c r="I559">
        <f t="shared" si="42"/>
        <v>31587.450000000012</v>
      </c>
      <c r="J559">
        <f>I559*_xlfn.XLOOKUP(B559,AG:AG,AI:AI)</f>
        <v>1768.8972000000008</v>
      </c>
      <c r="K559" s="7">
        <f>_xlfn.XLOOKUP(A559,Z:Z,AD:AD)</f>
        <v>45899</v>
      </c>
      <c r="L559" s="7">
        <f t="shared" si="47"/>
        <v>45869</v>
      </c>
      <c r="M559">
        <f t="shared" si="48"/>
        <v>7</v>
      </c>
      <c r="N559">
        <f t="shared" si="49"/>
        <v>2025</v>
      </c>
      <c r="Q559" s="22">
        <v>943</v>
      </c>
      <c r="R559" s="22">
        <v>1080</v>
      </c>
      <c r="S559" s="22" t="str">
        <f t="shared" si="46"/>
        <v>USD</v>
      </c>
      <c r="T559" s="22">
        <f>R559*_xlfn.XLOOKUP(S559,AG:AG,AI:AI)</f>
        <v>1080</v>
      </c>
      <c r="U559" s="22" t="s">
        <v>26</v>
      </c>
      <c r="W559" s="9">
        <v>440</v>
      </c>
      <c r="X559" s="9" t="s">
        <v>28</v>
      </c>
      <c r="Z559">
        <v>583</v>
      </c>
      <c r="AA559">
        <v>13550</v>
      </c>
      <c r="AB559" t="s">
        <v>27</v>
      </c>
      <c r="AD559" s="20">
        <v>45874</v>
      </c>
    </row>
    <row r="560" spans="1:30">
      <c r="A560">
        <v>586</v>
      </c>
      <c r="B560" t="str">
        <f>_xlfn.XLOOKUP(A560,Z:Z,AB:AB,"not found")</f>
        <v>USD</v>
      </c>
      <c r="C560">
        <f>_xlfn.XLOOKUP(A560,Z:Z,AA:AA)-_xlfn.XLOOKUP(A560,Q:Q,R:R,"0")</f>
        <v>3217.4</v>
      </c>
      <c r="D560">
        <f>C560*_xlfn.XLOOKUP(B560,AG:AG,AH:AH)</f>
        <v>2766.9639999999999</v>
      </c>
      <c r="E560">
        <f>C560*_xlfn.XLOOKUP(B560,AG:AG,AI:AI)</f>
        <v>3217.4</v>
      </c>
      <c r="F560">
        <v>3217.4</v>
      </c>
      <c r="G560">
        <f>F560*_xlfn.XLOOKUP(B560,AG:AG,AH:AH)</f>
        <v>2766.9639999999999</v>
      </c>
      <c r="H560">
        <f>F560*_xlfn.XLOOKUP(B560,AG:AG,AI:AI)</f>
        <v>3217.4</v>
      </c>
      <c r="I560">
        <f t="shared" si="42"/>
        <v>0</v>
      </c>
      <c r="J560">
        <f>I560*_xlfn.XLOOKUP(B560,AG:AG,AI:AI)</f>
        <v>0</v>
      </c>
      <c r="K560" s="7">
        <f>_xlfn.XLOOKUP(A560,Z:Z,AD:AD)</f>
        <v>45894</v>
      </c>
      <c r="L560" s="7">
        <f t="shared" si="47"/>
        <v>45864</v>
      </c>
      <c r="M560">
        <f t="shared" si="48"/>
        <v>7</v>
      </c>
      <c r="N560">
        <f t="shared" si="49"/>
        <v>2025</v>
      </c>
      <c r="Q560" s="22">
        <v>944</v>
      </c>
      <c r="R560" s="22">
        <v>84200</v>
      </c>
      <c r="S560" s="22" t="str">
        <f t="shared" si="46"/>
        <v>MXN</v>
      </c>
      <c r="T560" s="22">
        <f>R560*_xlfn.XLOOKUP(S560,AG:AG,AI:AI)</f>
        <v>4715.2</v>
      </c>
      <c r="U560" s="22" t="s">
        <v>26</v>
      </c>
      <c r="W560" s="9">
        <v>443</v>
      </c>
      <c r="X560" s="9" t="s">
        <v>28</v>
      </c>
      <c r="Z560">
        <v>585</v>
      </c>
      <c r="AA560">
        <v>163198.85</v>
      </c>
      <c r="AB560" t="s">
        <v>28</v>
      </c>
      <c r="AD560" s="20">
        <v>45899</v>
      </c>
    </row>
    <row r="561" spans="1:30">
      <c r="A561">
        <v>587</v>
      </c>
      <c r="B561" t="str">
        <f>_xlfn.XLOOKUP(A561,Z:Z,AB:AB,"not found")</f>
        <v>USD</v>
      </c>
      <c r="C561">
        <f>_xlfn.XLOOKUP(A561,Z:Z,AA:AA)-_xlfn.XLOOKUP(A561,Q:Q,R:R,"0")</f>
        <v>0</v>
      </c>
      <c r="D561">
        <f>C561*_xlfn.XLOOKUP(B561,AG:AG,AH:AH)</f>
        <v>0</v>
      </c>
      <c r="E561">
        <f>C561*_xlfn.XLOOKUP(B561,AG:AG,AI:AI)</f>
        <v>0</v>
      </c>
      <c r="F561">
        <v>1971.8</v>
      </c>
      <c r="G561">
        <f>F561*_xlfn.XLOOKUP(B561,AG:AG,AH:AH)</f>
        <v>1695.748</v>
      </c>
      <c r="H561">
        <f>F561*_xlfn.XLOOKUP(B561,AG:AG,AI:AI)</f>
        <v>1971.8</v>
      </c>
      <c r="I561">
        <f t="shared" si="42"/>
        <v>0</v>
      </c>
      <c r="J561">
        <f>I561*_xlfn.XLOOKUP(B561,AG:AG,AI:AI)</f>
        <v>0</v>
      </c>
      <c r="K561" s="7">
        <f>_xlfn.XLOOKUP(A561,Z:Z,AD:AD)</f>
        <v>45891</v>
      </c>
      <c r="L561" s="7">
        <f t="shared" si="47"/>
        <v>45861</v>
      </c>
      <c r="M561">
        <f t="shared" si="48"/>
        <v>7</v>
      </c>
      <c r="N561">
        <f t="shared" si="49"/>
        <v>2025</v>
      </c>
      <c r="Q561" s="22">
        <v>945</v>
      </c>
      <c r="R561" s="22">
        <v>2308</v>
      </c>
      <c r="S561" s="22" t="str">
        <f t="shared" si="46"/>
        <v>GBP</v>
      </c>
      <c r="T561" s="22">
        <f>R561*_xlfn.XLOOKUP(S561,AG:AG,AI:AI)</f>
        <v>3092.7200000000003</v>
      </c>
      <c r="U561" s="22" t="s">
        <v>26</v>
      </c>
      <c r="W561" s="9">
        <v>443</v>
      </c>
      <c r="X561" s="9" t="s">
        <v>28</v>
      </c>
      <c r="Z561">
        <v>586</v>
      </c>
      <c r="AA561">
        <v>3217.4</v>
      </c>
      <c r="AB561" t="s">
        <v>29</v>
      </c>
      <c r="AD561" s="20">
        <v>45894</v>
      </c>
    </row>
    <row r="562" spans="1:30">
      <c r="A562">
        <v>588</v>
      </c>
      <c r="B562" t="str">
        <f>_xlfn.XLOOKUP(A562,Z:Z,AB:AB,"not found")</f>
        <v>EUR</v>
      </c>
      <c r="C562">
        <f>_xlfn.XLOOKUP(A562,Z:Z,AA:AA)-_xlfn.XLOOKUP(A562,Q:Q,R:R,"0")</f>
        <v>0</v>
      </c>
      <c r="D562">
        <f>C562*_xlfn.XLOOKUP(B562,AG:AG,AH:AH)</f>
        <v>0</v>
      </c>
      <c r="E562">
        <f>C562*_xlfn.XLOOKUP(B562,AG:AG,AI:AI)</f>
        <v>0</v>
      </c>
      <c r="F562">
        <v>1299</v>
      </c>
      <c r="G562">
        <f>F562*_xlfn.XLOOKUP(B562,AG:AG,AH:AH)</f>
        <v>1299</v>
      </c>
      <c r="H562">
        <f>F562*_xlfn.XLOOKUP(B562,AG:AG,AI:AI)</f>
        <v>1506.84</v>
      </c>
      <c r="I562">
        <f t="shared" si="42"/>
        <v>0</v>
      </c>
      <c r="J562">
        <f>I562*_xlfn.XLOOKUP(B562,AG:AG,AI:AI)</f>
        <v>0</v>
      </c>
      <c r="K562" s="7">
        <f>_xlfn.XLOOKUP(A562,Z:Z,AD:AD)</f>
        <v>45911</v>
      </c>
      <c r="L562" s="7">
        <f t="shared" si="47"/>
        <v>45881</v>
      </c>
      <c r="M562">
        <f t="shared" si="48"/>
        <v>8</v>
      </c>
      <c r="N562">
        <f t="shared" si="49"/>
        <v>2025</v>
      </c>
      <c r="Q562" s="22">
        <v>946</v>
      </c>
      <c r="R562" s="22">
        <v>2464</v>
      </c>
      <c r="S562" s="22" t="str">
        <f t="shared" si="46"/>
        <v>GBP</v>
      </c>
      <c r="T562" s="22">
        <f>R562*_xlfn.XLOOKUP(S562,AG:AG,AI:AI)</f>
        <v>3301.76</v>
      </c>
      <c r="U562" s="22" t="s">
        <v>26</v>
      </c>
      <c r="W562" s="9">
        <v>443</v>
      </c>
      <c r="X562" s="9" t="s">
        <v>28</v>
      </c>
      <c r="Z562">
        <v>587</v>
      </c>
      <c r="AA562">
        <v>1971.8</v>
      </c>
      <c r="AB562" t="s">
        <v>29</v>
      </c>
      <c r="AD562" s="20">
        <v>45891</v>
      </c>
    </row>
    <row r="563" spans="1:30">
      <c r="A563">
        <v>589</v>
      </c>
      <c r="B563" t="str">
        <f>_xlfn.XLOOKUP(A563,Z:Z,AB:AB,"not found")</f>
        <v>GPB</v>
      </c>
      <c r="C563">
        <f>_xlfn.XLOOKUP(A563,Z:Z,AA:AA)-_xlfn.XLOOKUP(A563,Q:Q,R:R,"0")</f>
        <v>0</v>
      </c>
      <c r="D563">
        <f>C563*_xlfn.XLOOKUP(B563,AG:AG,AH:AH)</f>
        <v>0</v>
      </c>
      <c r="E563">
        <f>C563*_xlfn.XLOOKUP(B563,AG:AG,AI:AI)</f>
        <v>0</v>
      </c>
      <c r="F563">
        <v>1500</v>
      </c>
      <c r="G563">
        <f>F563*_xlfn.XLOOKUP(B563,AG:AG,AH:AH)</f>
        <v>1724.9999999999998</v>
      </c>
      <c r="H563">
        <f>F563*_xlfn.XLOOKUP(B563,AG:AG,AI:AI)</f>
        <v>2010.0000000000002</v>
      </c>
      <c r="I563">
        <f t="shared" si="42"/>
        <v>0</v>
      </c>
      <c r="J563">
        <f>I563*_xlfn.XLOOKUP(B563,AG:AG,AI:AI)</f>
        <v>0</v>
      </c>
      <c r="K563" s="7">
        <f>_xlfn.XLOOKUP(A563,Z:Z,AD:AD)</f>
        <v>45887</v>
      </c>
      <c r="L563" s="7">
        <f t="shared" si="47"/>
        <v>45857</v>
      </c>
      <c r="M563">
        <f t="shared" si="48"/>
        <v>7</v>
      </c>
      <c r="N563">
        <f t="shared" si="49"/>
        <v>2025</v>
      </c>
      <c r="Q563" s="22">
        <v>947</v>
      </c>
      <c r="R563" s="22">
        <v>142.08000000000001</v>
      </c>
      <c r="S563" s="22" t="str">
        <f t="shared" si="46"/>
        <v>USD</v>
      </c>
      <c r="T563" s="22">
        <f>R563*_xlfn.XLOOKUP(S563,AG:AG,AI:AI)</f>
        <v>142.08000000000001</v>
      </c>
      <c r="U563" s="22" t="s">
        <v>26</v>
      </c>
      <c r="W563" s="9">
        <v>443</v>
      </c>
      <c r="X563" s="9" t="s">
        <v>28</v>
      </c>
      <c r="Z563">
        <v>588</v>
      </c>
      <c r="AA563">
        <v>1299</v>
      </c>
      <c r="AB563" t="s">
        <v>27</v>
      </c>
      <c r="AD563" s="20">
        <v>45911</v>
      </c>
    </row>
    <row r="564" spans="1:30">
      <c r="A564">
        <v>590</v>
      </c>
      <c r="B564" t="str">
        <f>_xlfn.XLOOKUP(A564,Z:Z,AB:AB,"not found")</f>
        <v>USD</v>
      </c>
      <c r="C564">
        <f>_xlfn.XLOOKUP(A564,Z:Z,AA:AA)-_xlfn.XLOOKUP(A564,Q:Q,R:R,"0")</f>
        <v>0</v>
      </c>
      <c r="D564">
        <f>C564*_xlfn.XLOOKUP(B564,AG:AG,AH:AH)</f>
        <v>0</v>
      </c>
      <c r="E564">
        <f>C564*_xlfn.XLOOKUP(B564,AG:AG,AI:AI)</f>
        <v>0</v>
      </c>
      <c r="F564">
        <v>3097.62</v>
      </c>
      <c r="G564">
        <f>F564*_xlfn.XLOOKUP(B564,AG:AG,AH:AH)</f>
        <v>2663.9531999999999</v>
      </c>
      <c r="H564">
        <f>F564*_xlfn.XLOOKUP(B564,AG:AG,AI:AI)</f>
        <v>3097.62</v>
      </c>
      <c r="I564">
        <f t="shared" si="42"/>
        <v>0</v>
      </c>
      <c r="J564">
        <f>I564*_xlfn.XLOOKUP(B564,AG:AG,AI:AI)</f>
        <v>0</v>
      </c>
      <c r="K564" s="7">
        <f>_xlfn.XLOOKUP(A564,Z:Z,AD:AD)</f>
        <v>45842</v>
      </c>
      <c r="L564" s="7">
        <f t="shared" si="47"/>
        <v>45812</v>
      </c>
      <c r="M564">
        <f t="shared" si="48"/>
        <v>6</v>
      </c>
      <c r="N564">
        <f t="shared" si="49"/>
        <v>2025</v>
      </c>
      <c r="Q564" s="22">
        <v>948</v>
      </c>
      <c r="R564" s="22">
        <v>3052</v>
      </c>
      <c r="S564" s="22" t="str">
        <f t="shared" si="46"/>
        <v>USD</v>
      </c>
      <c r="T564" s="22">
        <f>R564*_xlfn.XLOOKUP(S564,AG:AG,AI:AI)</f>
        <v>3052</v>
      </c>
      <c r="U564" s="22" t="s">
        <v>26</v>
      </c>
      <c r="W564" s="9">
        <v>445</v>
      </c>
      <c r="X564" s="9" t="s">
        <v>29</v>
      </c>
      <c r="Z564">
        <v>589</v>
      </c>
      <c r="AA564">
        <v>1500</v>
      </c>
      <c r="AB564" t="s">
        <v>32</v>
      </c>
      <c r="AD564" s="20">
        <v>45887</v>
      </c>
    </row>
    <row r="565" spans="1:30">
      <c r="A565">
        <v>591</v>
      </c>
      <c r="B565" t="str">
        <f>_xlfn.XLOOKUP(A565,Z:Z,AB:AB,"not found")</f>
        <v>USD</v>
      </c>
      <c r="C565">
        <f>_xlfn.XLOOKUP(A565,Z:Z,AA:AA)-_xlfn.XLOOKUP(A565,Q:Q,R:R,"0")</f>
        <v>0</v>
      </c>
      <c r="D565">
        <f>C565*_xlfn.XLOOKUP(B565,AG:AG,AH:AH)</f>
        <v>0</v>
      </c>
      <c r="E565">
        <f>C565*_xlfn.XLOOKUP(B565,AG:AG,AI:AI)</f>
        <v>0</v>
      </c>
      <c r="F565">
        <v>4711.78</v>
      </c>
      <c r="G565">
        <f>F565*_xlfn.XLOOKUP(B565,AG:AG,AH:AH)</f>
        <v>4052.1307999999999</v>
      </c>
      <c r="H565">
        <f>F565*_xlfn.XLOOKUP(B565,AG:AG,AI:AI)</f>
        <v>4711.78</v>
      </c>
      <c r="I565">
        <f t="shared" si="42"/>
        <v>0</v>
      </c>
      <c r="J565">
        <f>I565*_xlfn.XLOOKUP(B565,AG:AG,AI:AI)</f>
        <v>0</v>
      </c>
      <c r="K565" s="7">
        <f>_xlfn.XLOOKUP(A565,Z:Z,AD:AD)</f>
        <v>45845</v>
      </c>
      <c r="L565" s="7">
        <f t="shared" si="47"/>
        <v>45815</v>
      </c>
      <c r="M565">
        <f t="shared" si="48"/>
        <v>6</v>
      </c>
      <c r="N565">
        <f t="shared" si="49"/>
        <v>2025</v>
      </c>
      <c r="Q565" s="22">
        <v>949</v>
      </c>
      <c r="R565" s="22">
        <v>1685.86</v>
      </c>
      <c r="S565" s="22" t="str">
        <f t="shared" si="46"/>
        <v>USD</v>
      </c>
      <c r="T565" s="22">
        <f>R565*_xlfn.XLOOKUP(S565,AG:AG,AI:AI)</f>
        <v>1685.86</v>
      </c>
      <c r="U565" s="22" t="s">
        <v>26</v>
      </c>
      <c r="W565" s="9">
        <v>445</v>
      </c>
      <c r="X565" s="9" t="s">
        <v>29</v>
      </c>
      <c r="Z565">
        <v>590</v>
      </c>
      <c r="AA565">
        <v>3097.62</v>
      </c>
      <c r="AB565" t="s">
        <v>29</v>
      </c>
      <c r="AD565" s="20">
        <v>45842</v>
      </c>
    </row>
    <row r="566" spans="1:30">
      <c r="A566">
        <v>592</v>
      </c>
      <c r="B566" t="str">
        <f>_xlfn.XLOOKUP(A566,Z:Z,AB:AB,"not found")</f>
        <v>USD</v>
      </c>
      <c r="C566">
        <f>_xlfn.XLOOKUP(A566,Z:Z,AA:AA)-_xlfn.XLOOKUP(A566,Q:Q,R:R,"0")</f>
        <v>0</v>
      </c>
      <c r="D566">
        <f>C566*_xlfn.XLOOKUP(B566,AG:AG,AH:AH)</f>
        <v>0</v>
      </c>
      <c r="E566">
        <f>C566*_xlfn.XLOOKUP(B566,AG:AG,AI:AI)</f>
        <v>0</v>
      </c>
      <c r="F566">
        <v>2528.67</v>
      </c>
      <c r="G566">
        <f>F566*_xlfn.XLOOKUP(B566,AG:AG,AH:AH)</f>
        <v>2174.6561999999999</v>
      </c>
      <c r="H566">
        <f>F566*_xlfn.XLOOKUP(B566,AG:AG,AI:AI)</f>
        <v>2528.67</v>
      </c>
      <c r="I566">
        <f t="shared" si="42"/>
        <v>0</v>
      </c>
      <c r="J566">
        <f>I566*_xlfn.XLOOKUP(B566,AG:AG,AI:AI)</f>
        <v>0</v>
      </c>
      <c r="K566" s="7">
        <f>_xlfn.XLOOKUP(A566,Z:Z,AD:AD)</f>
        <v>45900</v>
      </c>
      <c r="L566" s="7">
        <f t="shared" si="47"/>
        <v>45870</v>
      </c>
      <c r="M566">
        <f t="shared" si="48"/>
        <v>8</v>
      </c>
      <c r="N566">
        <f t="shared" si="49"/>
        <v>2025</v>
      </c>
      <c r="Q566" s="22">
        <v>952</v>
      </c>
      <c r="R566" s="22">
        <v>33788</v>
      </c>
      <c r="S566" s="22" t="str">
        <f t="shared" si="46"/>
        <v>USD</v>
      </c>
      <c r="T566" s="22">
        <f>R566*_xlfn.XLOOKUP(S566,AG:AG,AI:AI)</f>
        <v>33788</v>
      </c>
      <c r="U566" s="22" t="s">
        <v>26</v>
      </c>
      <c r="W566" s="9">
        <v>446</v>
      </c>
      <c r="X566" s="9" t="s">
        <v>29</v>
      </c>
      <c r="Z566">
        <v>591</v>
      </c>
      <c r="AA566">
        <v>4711.78</v>
      </c>
      <c r="AB566" t="s">
        <v>29</v>
      </c>
      <c r="AD566" s="20">
        <v>45845</v>
      </c>
    </row>
    <row r="567" spans="1:30">
      <c r="A567">
        <v>593</v>
      </c>
      <c r="B567" t="str">
        <f>_xlfn.XLOOKUP(A567,Z:Z,AB:AB,"not found")</f>
        <v>USD</v>
      </c>
      <c r="C567">
        <f>_xlfn.XLOOKUP(A567,Z:Z,AA:AA)-_xlfn.XLOOKUP(A567,Q:Q,R:R,"0")</f>
        <v>0</v>
      </c>
      <c r="D567">
        <f>C567*_xlfn.XLOOKUP(B567,AG:AG,AH:AH)</f>
        <v>0</v>
      </c>
      <c r="E567">
        <f>C567*_xlfn.XLOOKUP(B567,AG:AG,AI:AI)</f>
        <v>0</v>
      </c>
      <c r="F567">
        <v>1877</v>
      </c>
      <c r="G567">
        <f>F567*_xlfn.XLOOKUP(B567,AG:AG,AH:AH)</f>
        <v>1614.22</v>
      </c>
      <c r="H567">
        <f>F567*_xlfn.XLOOKUP(B567,AG:AG,AI:AI)</f>
        <v>1877</v>
      </c>
      <c r="I567">
        <f t="shared" si="42"/>
        <v>0</v>
      </c>
      <c r="J567">
        <f>I567*_xlfn.XLOOKUP(B567,AG:AG,AI:AI)</f>
        <v>0</v>
      </c>
      <c r="K567" s="7">
        <f>_xlfn.XLOOKUP(A567,Z:Z,AD:AD)</f>
        <v>45868</v>
      </c>
      <c r="L567" s="7">
        <f t="shared" si="47"/>
        <v>45838</v>
      </c>
      <c r="M567">
        <f t="shared" si="48"/>
        <v>6</v>
      </c>
      <c r="N567">
        <f t="shared" si="49"/>
        <v>2025</v>
      </c>
      <c r="Q567" s="22">
        <v>953</v>
      </c>
      <c r="R567" s="22">
        <v>10472.799999999999</v>
      </c>
      <c r="S567" s="22" t="str">
        <f t="shared" si="46"/>
        <v>USD</v>
      </c>
      <c r="T567" s="22">
        <f>R567*_xlfn.XLOOKUP(S567,AG:AG,AI:AI)</f>
        <v>10472.799999999999</v>
      </c>
      <c r="U567" s="22" t="s">
        <v>26</v>
      </c>
      <c r="W567" s="9">
        <v>446</v>
      </c>
      <c r="X567" s="9" t="s">
        <v>29</v>
      </c>
      <c r="Z567">
        <v>592</v>
      </c>
      <c r="AA567">
        <v>2528.67</v>
      </c>
      <c r="AB567" t="s">
        <v>29</v>
      </c>
      <c r="AD567" s="20">
        <v>45900</v>
      </c>
    </row>
    <row r="568" spans="1:30">
      <c r="A568">
        <v>594</v>
      </c>
      <c r="B568" t="str">
        <f>_xlfn.XLOOKUP(A568,Z:Z,AB:AB,"not found")</f>
        <v>GPB</v>
      </c>
      <c r="C568">
        <f>_xlfn.XLOOKUP(A568,Z:Z,AA:AA)-_xlfn.XLOOKUP(A568,Q:Q,R:R,"0")</f>
        <v>2046.75</v>
      </c>
      <c r="D568">
        <f>C568*_xlfn.XLOOKUP(B568,AG:AG,AH:AH)</f>
        <v>2353.7624999999998</v>
      </c>
      <c r="E568">
        <f>C568*_xlfn.XLOOKUP(B568,AG:AG,AI:AI)</f>
        <v>2742.645</v>
      </c>
      <c r="F568">
        <v>9005.92</v>
      </c>
      <c r="G568">
        <f>F568*_xlfn.XLOOKUP(B568,AG:AG,AH:AH)</f>
        <v>10356.807999999999</v>
      </c>
      <c r="H568">
        <f>F568*_xlfn.XLOOKUP(B568,AG:AG,AI:AI)</f>
        <v>12067.9328</v>
      </c>
      <c r="I568">
        <f t="shared" si="42"/>
        <v>0.82999999999992724</v>
      </c>
      <c r="J568">
        <f>I568*_xlfn.XLOOKUP(B568,AG:AG,AI:AI)</f>
        <v>1.1121999999999026</v>
      </c>
      <c r="K568" s="7">
        <f>_xlfn.XLOOKUP(A568,Z:Z,AD:AD)</f>
        <v>45893</v>
      </c>
      <c r="L568" s="7">
        <f t="shared" si="47"/>
        <v>45863</v>
      </c>
      <c r="M568">
        <f t="shared" si="48"/>
        <v>7</v>
      </c>
      <c r="N568">
        <f t="shared" si="49"/>
        <v>2025</v>
      </c>
      <c r="Q568" s="22">
        <v>956</v>
      </c>
      <c r="R568" s="22">
        <v>63072</v>
      </c>
      <c r="S568" s="22" t="str">
        <f t="shared" si="46"/>
        <v>USD</v>
      </c>
      <c r="T568" s="22">
        <f>R568*_xlfn.XLOOKUP(S568,AG:AG,AI:AI)</f>
        <v>63072</v>
      </c>
      <c r="U568" s="22" t="s">
        <v>26</v>
      </c>
      <c r="W568" s="9">
        <v>446</v>
      </c>
      <c r="X568" s="9" t="s">
        <v>29</v>
      </c>
      <c r="Z568">
        <v>593</v>
      </c>
      <c r="AA568">
        <v>1877</v>
      </c>
      <c r="AB568" t="s">
        <v>29</v>
      </c>
      <c r="AD568" s="20">
        <v>45868</v>
      </c>
    </row>
    <row r="569" spans="1:30">
      <c r="A569">
        <v>595</v>
      </c>
      <c r="B569" t="str">
        <f>_xlfn.XLOOKUP(A569,Z:Z,AB:AB,"not found")</f>
        <v>EUR</v>
      </c>
      <c r="C569">
        <f>_xlfn.XLOOKUP(A569,Z:Z,AA:AA)-_xlfn.XLOOKUP(A569,Q:Q,R:R,"0")</f>
        <v>15096</v>
      </c>
      <c r="D569">
        <f>C569*_xlfn.XLOOKUP(B569,AG:AG,AH:AH)</f>
        <v>15096</v>
      </c>
      <c r="E569">
        <f>C569*_xlfn.XLOOKUP(B569,AG:AG,AI:AI)</f>
        <v>17511.36</v>
      </c>
      <c r="F569">
        <v>15096</v>
      </c>
      <c r="G569">
        <f>F569*_xlfn.XLOOKUP(B569,AG:AG,AH:AH)</f>
        <v>15096</v>
      </c>
      <c r="H569">
        <f>F569*_xlfn.XLOOKUP(B569,AG:AG,AI:AI)</f>
        <v>17511.36</v>
      </c>
      <c r="I569">
        <f t="shared" si="42"/>
        <v>0</v>
      </c>
      <c r="J569">
        <f>I569*_xlfn.XLOOKUP(B569,AG:AG,AI:AI)</f>
        <v>0</v>
      </c>
      <c r="K569" s="7">
        <f>_xlfn.XLOOKUP(A569,Z:Z,AD:AD)</f>
        <v>45907</v>
      </c>
      <c r="L569" s="7">
        <f t="shared" si="47"/>
        <v>45877</v>
      </c>
      <c r="M569">
        <f t="shared" si="48"/>
        <v>8</v>
      </c>
      <c r="N569">
        <f t="shared" si="49"/>
        <v>2025</v>
      </c>
      <c r="Q569" s="22">
        <v>961</v>
      </c>
      <c r="R569" s="22">
        <v>12047.2</v>
      </c>
      <c r="S569" s="22" t="str">
        <f t="shared" si="46"/>
        <v>USD</v>
      </c>
      <c r="T569" s="22">
        <f>R569*_xlfn.XLOOKUP(S569,AG:AG,AI:AI)</f>
        <v>12047.2</v>
      </c>
      <c r="U569" s="22" t="s">
        <v>26</v>
      </c>
      <c r="W569" s="9">
        <v>446</v>
      </c>
      <c r="X569" s="9" t="s">
        <v>29</v>
      </c>
      <c r="Z569">
        <v>594</v>
      </c>
      <c r="AA569">
        <v>9006.75</v>
      </c>
      <c r="AB569" t="s">
        <v>32</v>
      </c>
      <c r="AD569" s="20">
        <v>45893</v>
      </c>
    </row>
    <row r="570" spans="1:30">
      <c r="A570">
        <v>596</v>
      </c>
      <c r="B570" t="str">
        <f>_xlfn.XLOOKUP(A570,Z:Z,AB:AB,"not found")</f>
        <v>USD</v>
      </c>
      <c r="C570">
        <f>_xlfn.XLOOKUP(A570,Z:Z,AA:AA)-_xlfn.XLOOKUP(A570,Q:Q,R:R,"0")</f>
        <v>196653.69</v>
      </c>
      <c r="D570">
        <f>C570*_xlfn.XLOOKUP(B570,AG:AG,AH:AH)</f>
        <v>169122.1734</v>
      </c>
      <c r="E570">
        <f>C570*_xlfn.XLOOKUP(B570,AG:AG,AI:AI)</f>
        <v>196653.69</v>
      </c>
      <c r="F570">
        <v>196481.9</v>
      </c>
      <c r="G570">
        <f>F570*_xlfn.XLOOKUP(B570,AG:AG,AH:AH)</f>
        <v>168974.43399999998</v>
      </c>
      <c r="H570">
        <f>F570*_xlfn.XLOOKUP(B570,AG:AG,AI:AI)</f>
        <v>196481.9</v>
      </c>
      <c r="I570">
        <f t="shared" si="42"/>
        <v>171.79000000000815</v>
      </c>
      <c r="J570">
        <f>I570*_xlfn.XLOOKUP(B570,AG:AG,AI:AI)</f>
        <v>171.79000000000815</v>
      </c>
      <c r="K570" s="7">
        <f>_xlfn.XLOOKUP(A570,Z:Z,AD:AD)</f>
        <v>45915</v>
      </c>
      <c r="L570" s="7">
        <f t="shared" si="47"/>
        <v>45885</v>
      </c>
      <c r="M570">
        <f t="shared" si="48"/>
        <v>8</v>
      </c>
      <c r="N570">
        <f t="shared" si="49"/>
        <v>2025</v>
      </c>
      <c r="Q570" s="22">
        <v>962</v>
      </c>
      <c r="R570" s="22">
        <v>1707</v>
      </c>
      <c r="S570" s="22" t="str">
        <f t="shared" si="46"/>
        <v>USD</v>
      </c>
      <c r="T570" s="22">
        <f>R570*_xlfn.XLOOKUP(S570,AG:AG,AI:AI)</f>
        <v>1707</v>
      </c>
      <c r="U570" s="22" t="s">
        <v>26</v>
      </c>
      <c r="W570" s="9">
        <v>447</v>
      </c>
      <c r="X570" s="9" t="s">
        <v>29</v>
      </c>
      <c r="Z570">
        <v>595</v>
      </c>
      <c r="AA570">
        <v>15096</v>
      </c>
      <c r="AB570" t="s">
        <v>27</v>
      </c>
      <c r="AD570" s="20">
        <v>45907</v>
      </c>
    </row>
    <row r="571" spans="1:30">
      <c r="A571">
        <v>597</v>
      </c>
      <c r="B571" t="str">
        <f>_xlfn.XLOOKUP(A571,Z:Z,AB:AB,"not found")</f>
        <v>USD</v>
      </c>
      <c r="C571">
        <f>_xlfn.XLOOKUP(A571,Z:Z,AA:AA)-_xlfn.XLOOKUP(A571,Q:Q,R:R,"0")</f>
        <v>371396.93</v>
      </c>
      <c r="D571">
        <f>C571*_xlfn.XLOOKUP(B571,AG:AG,AH:AH)</f>
        <v>319401.35979999998</v>
      </c>
      <c r="E571">
        <f>C571*_xlfn.XLOOKUP(B571,AG:AG,AI:AI)</f>
        <v>371396.93</v>
      </c>
      <c r="F571">
        <v>274935.01</v>
      </c>
      <c r="G571">
        <f>F571*_xlfn.XLOOKUP(B571,AG:AG,AH:AH)</f>
        <v>236444.10860000001</v>
      </c>
      <c r="H571">
        <f>F571*_xlfn.XLOOKUP(B571,AG:AG,AI:AI)</f>
        <v>274935.01</v>
      </c>
      <c r="I571">
        <f t="shared" si="42"/>
        <v>96461.919999999984</v>
      </c>
      <c r="J571">
        <f>I571*_xlfn.XLOOKUP(B571,AG:AG,AI:AI)</f>
        <v>96461.919999999984</v>
      </c>
      <c r="K571" s="7">
        <f>_xlfn.XLOOKUP(A571,Z:Z,AD:AD)</f>
        <v>46054</v>
      </c>
      <c r="L571" s="7">
        <f t="shared" si="47"/>
        <v>46024</v>
      </c>
      <c r="M571">
        <f t="shared" si="48"/>
        <v>1</v>
      </c>
      <c r="N571">
        <f t="shared" si="49"/>
        <v>2026</v>
      </c>
      <c r="Q571" s="22">
        <v>963</v>
      </c>
      <c r="R571" s="22">
        <v>2595</v>
      </c>
      <c r="S571" s="22" t="str">
        <f t="shared" si="46"/>
        <v>USD</v>
      </c>
      <c r="T571" s="22">
        <f>R571*_xlfn.XLOOKUP(S571,AG:AG,AI:AI)</f>
        <v>2595</v>
      </c>
      <c r="U571" s="22" t="s">
        <v>26</v>
      </c>
      <c r="W571" s="9">
        <v>447</v>
      </c>
      <c r="X571" s="9" t="s">
        <v>29</v>
      </c>
      <c r="Z571">
        <v>596</v>
      </c>
      <c r="AA571">
        <v>196653.69</v>
      </c>
      <c r="AB571" t="s">
        <v>29</v>
      </c>
      <c r="AD571" s="20">
        <v>45915</v>
      </c>
    </row>
    <row r="572" spans="1:30">
      <c r="A572">
        <v>598</v>
      </c>
      <c r="B572" t="str">
        <f>_xlfn.XLOOKUP(A572,Z:Z,AB:AB,"not found")</f>
        <v>EUR</v>
      </c>
      <c r="C572">
        <f>_xlfn.XLOOKUP(A572,Z:Z,AA:AA)-_xlfn.XLOOKUP(A572,Q:Q,R:R,"0")</f>
        <v>0</v>
      </c>
      <c r="D572">
        <f>C572*_xlfn.XLOOKUP(B572,AG:AG,AH:AH)</f>
        <v>0</v>
      </c>
      <c r="E572">
        <f>C572*_xlfn.XLOOKUP(B572,AG:AG,AI:AI)</f>
        <v>0</v>
      </c>
      <c r="F572">
        <v>2856</v>
      </c>
      <c r="G572">
        <f>F572*_xlfn.XLOOKUP(B572,AG:AG,AH:AH)</f>
        <v>2856</v>
      </c>
      <c r="H572">
        <f>F572*_xlfn.XLOOKUP(B572,AG:AG,AI:AI)</f>
        <v>3312.9599999999996</v>
      </c>
      <c r="I572">
        <f t="shared" si="42"/>
        <v>0</v>
      </c>
      <c r="J572">
        <f>I572*_xlfn.XLOOKUP(B572,AG:AG,AI:AI)</f>
        <v>0</v>
      </c>
      <c r="K572" s="7">
        <f>_xlfn.XLOOKUP(A572,Z:Z,AD:AD)</f>
        <v>45876</v>
      </c>
      <c r="L572" s="7">
        <f t="shared" si="47"/>
        <v>45846</v>
      </c>
      <c r="M572">
        <f t="shared" si="48"/>
        <v>7</v>
      </c>
      <c r="N572">
        <f t="shared" si="49"/>
        <v>2025</v>
      </c>
      <c r="Q572" s="22">
        <v>964</v>
      </c>
      <c r="R572" s="22">
        <v>75618</v>
      </c>
      <c r="S572" s="22" t="str">
        <f t="shared" si="46"/>
        <v>USD</v>
      </c>
      <c r="T572" s="22">
        <f>R572*_xlfn.XLOOKUP(S572,AG:AG,AI:AI)</f>
        <v>75618</v>
      </c>
      <c r="U572" s="22" t="s">
        <v>26</v>
      </c>
      <c r="W572" s="9">
        <v>447</v>
      </c>
      <c r="X572" s="9" t="s">
        <v>29</v>
      </c>
      <c r="Z572">
        <v>597</v>
      </c>
      <c r="AA572">
        <v>371396.93</v>
      </c>
      <c r="AB572" t="s">
        <v>29</v>
      </c>
      <c r="AD572" s="20">
        <v>46054</v>
      </c>
    </row>
    <row r="573" spans="1:30">
      <c r="A573">
        <v>600</v>
      </c>
      <c r="B573" t="str">
        <f>_xlfn.XLOOKUP(A573,Z:Z,AB:AB,"not found")</f>
        <v>USD</v>
      </c>
      <c r="C573">
        <f>_xlfn.XLOOKUP(A573,Z:Z,AA:AA)-_xlfn.XLOOKUP(A573,Q:Q,R:R,"0")</f>
        <v>200.60000000000014</v>
      </c>
      <c r="D573">
        <f>C573*_xlfn.XLOOKUP(B573,AG:AG,AH:AH)</f>
        <v>172.5160000000001</v>
      </c>
      <c r="E573">
        <f>C573*_xlfn.XLOOKUP(B573,AG:AG,AI:AI)</f>
        <v>200.60000000000014</v>
      </c>
      <c r="F573">
        <v>1761.16</v>
      </c>
      <c r="G573">
        <f>F573*_xlfn.XLOOKUP(B573,AG:AG,AH:AH)</f>
        <v>1514.5976000000001</v>
      </c>
      <c r="H573">
        <f>F573*_xlfn.XLOOKUP(B573,AG:AG,AI:AI)</f>
        <v>1761.16</v>
      </c>
      <c r="I573">
        <f t="shared" si="42"/>
        <v>0</v>
      </c>
      <c r="J573">
        <f>I573*_xlfn.XLOOKUP(B573,AG:AG,AI:AI)</f>
        <v>0</v>
      </c>
      <c r="K573" s="7">
        <f>_xlfn.XLOOKUP(A573,Z:Z,AD:AD)</f>
        <v>45939</v>
      </c>
      <c r="L573" s="7">
        <f t="shared" si="47"/>
        <v>45909</v>
      </c>
      <c r="M573">
        <f t="shared" si="48"/>
        <v>9</v>
      </c>
      <c r="N573">
        <f t="shared" si="49"/>
        <v>2025</v>
      </c>
      <c r="Q573" s="22">
        <v>965</v>
      </c>
      <c r="R573" s="22">
        <v>2685</v>
      </c>
      <c r="S573" s="22" t="str">
        <f t="shared" si="46"/>
        <v>USD</v>
      </c>
      <c r="T573" s="22">
        <f>R573*_xlfn.XLOOKUP(S573,AG:AG,AI:AI)</f>
        <v>2685</v>
      </c>
      <c r="U573" s="22" t="s">
        <v>26</v>
      </c>
      <c r="W573" s="9">
        <v>447</v>
      </c>
      <c r="X573" s="9" t="s">
        <v>29</v>
      </c>
      <c r="Z573">
        <v>598</v>
      </c>
      <c r="AA573">
        <v>2856</v>
      </c>
      <c r="AB573" t="s">
        <v>27</v>
      </c>
      <c r="AD573" s="20">
        <v>45876</v>
      </c>
    </row>
    <row r="574" spans="1:30">
      <c r="A574">
        <v>601</v>
      </c>
      <c r="B574" t="str">
        <f>_xlfn.XLOOKUP(A574,Z:Z,AB:AB,"not found")</f>
        <v>CHF</v>
      </c>
      <c r="C574">
        <f>_xlfn.XLOOKUP(A574,Z:Z,AA:AA)-_xlfn.XLOOKUP(A574,Q:Q,R:R,"0")</f>
        <v>0</v>
      </c>
      <c r="D574">
        <f>C574*_xlfn.XLOOKUP(B574,AG:AG,AH:AH)</f>
        <v>0</v>
      </c>
      <c r="E574">
        <f>C574*_xlfn.XLOOKUP(B574,AG:AG,AI:AI)</f>
        <v>0</v>
      </c>
      <c r="F574">
        <v>6150</v>
      </c>
      <c r="G574">
        <f>F574*_xlfn.XLOOKUP(B574,AG:AG,AH:AH)</f>
        <v>6580.5</v>
      </c>
      <c r="H574">
        <f>F574*_xlfn.XLOOKUP(B574,AG:AG,AI:AI)</f>
        <v>7687.5</v>
      </c>
      <c r="I574">
        <f t="shared" si="42"/>
        <v>0</v>
      </c>
      <c r="J574">
        <f>I574*_xlfn.XLOOKUP(B574,AG:AG,AI:AI)</f>
        <v>0</v>
      </c>
      <c r="K574" s="7">
        <f>_xlfn.XLOOKUP(A574,Z:Z,AD:AD)</f>
        <v>45896</v>
      </c>
      <c r="L574" s="7">
        <f t="shared" si="47"/>
        <v>45866</v>
      </c>
      <c r="M574">
        <f t="shared" si="48"/>
        <v>7</v>
      </c>
      <c r="N574">
        <f t="shared" si="49"/>
        <v>2025</v>
      </c>
      <c r="Q574" s="22">
        <v>966</v>
      </c>
      <c r="R574" s="22">
        <v>4363</v>
      </c>
      <c r="S574" s="22" t="str">
        <f t="shared" si="46"/>
        <v>USD</v>
      </c>
      <c r="T574" s="22">
        <f>R574*_xlfn.XLOOKUP(S574,AG:AG,AI:AI)</f>
        <v>4363</v>
      </c>
      <c r="U574" s="22" t="s">
        <v>26</v>
      </c>
      <c r="W574" s="9">
        <v>448</v>
      </c>
      <c r="X574" s="9" t="s">
        <v>29</v>
      </c>
      <c r="Z574">
        <v>600</v>
      </c>
      <c r="AA574">
        <v>1761.16</v>
      </c>
      <c r="AB574" t="s">
        <v>29</v>
      </c>
      <c r="AD574" s="20">
        <v>45939</v>
      </c>
    </row>
    <row r="575" spans="1:30">
      <c r="A575">
        <v>602</v>
      </c>
      <c r="B575" t="str">
        <f>_xlfn.XLOOKUP(A575,Z:Z,AB:AB,"not found")</f>
        <v>EUR</v>
      </c>
      <c r="C575">
        <f>_xlfn.XLOOKUP(A575,Z:Z,AA:AA)-_xlfn.XLOOKUP(A575,Q:Q,R:R,"0")</f>
        <v>0</v>
      </c>
      <c r="D575">
        <f>C575*_xlfn.XLOOKUP(B575,AG:AG,AH:AH)</f>
        <v>0</v>
      </c>
      <c r="E575">
        <f>C575*_xlfn.XLOOKUP(B575,AG:AG,AI:AI)</f>
        <v>0</v>
      </c>
      <c r="F575">
        <v>4020</v>
      </c>
      <c r="G575">
        <f>F575*_xlfn.XLOOKUP(B575,AG:AG,AH:AH)</f>
        <v>4020</v>
      </c>
      <c r="H575">
        <f>F575*_xlfn.XLOOKUP(B575,AG:AG,AI:AI)</f>
        <v>4663.2</v>
      </c>
      <c r="I575">
        <f t="shared" si="42"/>
        <v>0</v>
      </c>
      <c r="J575">
        <f>I575*_xlfn.XLOOKUP(B575,AG:AG,AI:AI)</f>
        <v>0</v>
      </c>
      <c r="K575" s="7">
        <f>_xlfn.XLOOKUP(A575,Z:Z,AD:AD)</f>
        <v>45910</v>
      </c>
      <c r="L575" s="7">
        <f t="shared" si="47"/>
        <v>45880</v>
      </c>
      <c r="M575">
        <f t="shared" si="48"/>
        <v>8</v>
      </c>
      <c r="N575">
        <f t="shared" si="49"/>
        <v>2025</v>
      </c>
      <c r="Q575" s="22">
        <v>968</v>
      </c>
      <c r="R575" s="22">
        <v>33286.720000000001</v>
      </c>
      <c r="S575" s="22" t="str">
        <f t="shared" si="46"/>
        <v>USD</v>
      </c>
      <c r="T575" s="22">
        <f>R575*_xlfn.XLOOKUP(S575,AG:AG,AI:AI)</f>
        <v>33286.720000000001</v>
      </c>
      <c r="U575" s="22" t="s">
        <v>26</v>
      </c>
      <c r="W575" s="9">
        <v>448</v>
      </c>
      <c r="X575" s="9" t="s">
        <v>29</v>
      </c>
      <c r="Z575">
        <v>601</v>
      </c>
      <c r="AA575">
        <v>6150</v>
      </c>
      <c r="AB575" t="s">
        <v>30</v>
      </c>
      <c r="AD575" s="20">
        <v>45896</v>
      </c>
    </row>
    <row r="576" spans="1:30">
      <c r="A576">
        <v>603</v>
      </c>
      <c r="B576" t="str">
        <f>_xlfn.XLOOKUP(A576,Z:Z,AB:AB,"not found")</f>
        <v>USD</v>
      </c>
      <c r="C576">
        <f>_xlfn.XLOOKUP(A576,Z:Z,AA:AA)-_xlfn.XLOOKUP(A576,Q:Q,R:R,"0")</f>
        <v>0</v>
      </c>
      <c r="D576">
        <f>C576*_xlfn.XLOOKUP(B576,AG:AG,AH:AH)</f>
        <v>0</v>
      </c>
      <c r="E576">
        <f>C576*_xlfn.XLOOKUP(B576,AG:AG,AI:AI)</f>
        <v>0</v>
      </c>
      <c r="F576">
        <v>5322</v>
      </c>
      <c r="G576">
        <f>F576*_xlfn.XLOOKUP(B576,AG:AG,AH:AH)</f>
        <v>4576.92</v>
      </c>
      <c r="H576">
        <f>F576*_xlfn.XLOOKUP(B576,AG:AG,AI:AI)</f>
        <v>5322</v>
      </c>
      <c r="I576">
        <f t="shared" si="42"/>
        <v>0</v>
      </c>
      <c r="J576">
        <f>I576*_xlfn.XLOOKUP(B576,AG:AG,AI:AI)</f>
        <v>0</v>
      </c>
      <c r="K576" s="7">
        <f>_xlfn.XLOOKUP(A576,Z:Z,AD:AD)</f>
        <v>45893</v>
      </c>
      <c r="L576" s="7">
        <f t="shared" si="47"/>
        <v>45863</v>
      </c>
      <c r="M576">
        <f t="shared" si="48"/>
        <v>7</v>
      </c>
      <c r="N576">
        <f t="shared" si="49"/>
        <v>2025</v>
      </c>
      <c r="Q576" s="22">
        <v>970</v>
      </c>
      <c r="R576" s="22">
        <v>2320</v>
      </c>
      <c r="S576" s="22" t="str">
        <f t="shared" si="46"/>
        <v>EUR</v>
      </c>
      <c r="T576" s="22">
        <f>R576*_xlfn.XLOOKUP(S576,AG:AG,AI:AI)</f>
        <v>2691.2</v>
      </c>
      <c r="U576" s="22" t="s">
        <v>26</v>
      </c>
      <c r="W576" s="9">
        <v>448</v>
      </c>
      <c r="X576" s="9" t="s">
        <v>29</v>
      </c>
      <c r="Z576">
        <v>602</v>
      </c>
      <c r="AA576">
        <v>4020</v>
      </c>
      <c r="AB576" t="s">
        <v>27</v>
      </c>
      <c r="AD576" s="20">
        <v>45910</v>
      </c>
    </row>
    <row r="577" spans="1:30">
      <c r="A577">
        <v>604</v>
      </c>
      <c r="B577" t="str">
        <f>_xlfn.XLOOKUP(A577,Z:Z,AB:AB,"not found")</f>
        <v>EUR</v>
      </c>
      <c r="C577">
        <f>_xlfn.XLOOKUP(A577,Z:Z,AA:AA)-_xlfn.XLOOKUP(A577,Q:Q,R:R,"0")</f>
        <v>0</v>
      </c>
      <c r="D577">
        <f>C577*_xlfn.XLOOKUP(B577,AG:AG,AH:AH)</f>
        <v>0</v>
      </c>
      <c r="E577">
        <f>C577*_xlfn.XLOOKUP(B577,AG:AG,AI:AI)</f>
        <v>0</v>
      </c>
      <c r="F577">
        <v>2020.5</v>
      </c>
      <c r="G577">
        <f>F577*_xlfn.XLOOKUP(B577,AG:AG,AH:AH)</f>
        <v>2020.5</v>
      </c>
      <c r="H577">
        <f>F577*_xlfn.XLOOKUP(B577,AG:AG,AI:AI)</f>
        <v>2343.7799999999997</v>
      </c>
      <c r="I577">
        <f t="shared" si="42"/>
        <v>0</v>
      </c>
      <c r="J577">
        <f>I577*_xlfn.XLOOKUP(B577,AG:AG,AI:AI)</f>
        <v>0</v>
      </c>
      <c r="K577" s="7">
        <f>_xlfn.XLOOKUP(A577,Z:Z,AD:AD)</f>
        <v>45878</v>
      </c>
      <c r="L577" s="7">
        <f t="shared" si="47"/>
        <v>45848</v>
      </c>
      <c r="M577">
        <f t="shared" si="48"/>
        <v>7</v>
      </c>
      <c r="N577">
        <f t="shared" si="49"/>
        <v>2025</v>
      </c>
      <c r="Q577" s="22">
        <v>971</v>
      </c>
      <c r="R577" s="22">
        <v>90124.479999999996</v>
      </c>
      <c r="S577" s="22" t="str">
        <f t="shared" si="46"/>
        <v>MXN</v>
      </c>
      <c r="T577" s="22">
        <f>R577*_xlfn.XLOOKUP(S577,AG:AG,AI:AI)</f>
        <v>5046.9708799999999</v>
      </c>
      <c r="U577" s="22" t="s">
        <v>26</v>
      </c>
      <c r="W577" s="9">
        <v>448</v>
      </c>
      <c r="X577" s="9" t="s">
        <v>29</v>
      </c>
      <c r="Z577">
        <v>603</v>
      </c>
      <c r="AA577">
        <v>5322</v>
      </c>
      <c r="AB577" t="s">
        <v>29</v>
      </c>
      <c r="AD577" s="20">
        <v>45893</v>
      </c>
    </row>
    <row r="578" spans="1:30">
      <c r="A578">
        <v>605</v>
      </c>
      <c r="B578" t="str">
        <f>_xlfn.XLOOKUP(A578,Z:Z,AB:AB,"not found")</f>
        <v>USD</v>
      </c>
      <c r="C578">
        <f>_xlfn.XLOOKUP(A578,Z:Z,AA:AA)-_xlfn.XLOOKUP(A578,Q:Q,R:R,"0")</f>
        <v>0</v>
      </c>
      <c r="D578">
        <f>C578*_xlfn.XLOOKUP(B578,AG:AG,AH:AH)</f>
        <v>0</v>
      </c>
      <c r="E578">
        <f>C578*_xlfn.XLOOKUP(B578,AG:AG,AI:AI)</f>
        <v>0</v>
      </c>
      <c r="F578">
        <v>4226</v>
      </c>
      <c r="G578">
        <f>F578*_xlfn.XLOOKUP(B578,AG:AG,AH:AH)</f>
        <v>3634.36</v>
      </c>
      <c r="H578">
        <f>F578*_xlfn.XLOOKUP(B578,AG:AG,AI:AI)</f>
        <v>4226</v>
      </c>
      <c r="I578">
        <f t="shared" si="42"/>
        <v>0</v>
      </c>
      <c r="J578">
        <f>I578*_xlfn.XLOOKUP(B578,AG:AG,AI:AI)</f>
        <v>0</v>
      </c>
      <c r="K578" s="7">
        <f>_xlfn.XLOOKUP(A578,Z:Z,AD:AD)</f>
        <v>45925</v>
      </c>
      <c r="L578" s="7">
        <f t="shared" si="47"/>
        <v>45895</v>
      </c>
      <c r="M578">
        <f t="shared" si="48"/>
        <v>8</v>
      </c>
      <c r="N578">
        <f t="shared" si="49"/>
        <v>2025</v>
      </c>
      <c r="Q578" s="22">
        <v>972</v>
      </c>
      <c r="R578" s="22">
        <v>2040</v>
      </c>
      <c r="S578" s="22" t="str">
        <f t="shared" si="46"/>
        <v>GBP</v>
      </c>
      <c r="T578" s="22">
        <f>R578*_xlfn.XLOOKUP(S578,AG:AG,AI:AI)</f>
        <v>2733.6000000000004</v>
      </c>
      <c r="U578" s="22" t="s">
        <v>26</v>
      </c>
      <c r="W578" s="9">
        <v>448</v>
      </c>
      <c r="X578" s="9" t="s">
        <v>29</v>
      </c>
      <c r="Z578">
        <v>604</v>
      </c>
      <c r="AA578">
        <v>2020.5</v>
      </c>
      <c r="AB578" t="s">
        <v>27</v>
      </c>
      <c r="AD578" s="20">
        <v>45878</v>
      </c>
    </row>
    <row r="579" spans="1:30">
      <c r="A579">
        <v>607</v>
      </c>
      <c r="B579" t="str">
        <f>_xlfn.XLOOKUP(A579,Z:Z,AB:AB,"not found")</f>
        <v>EUR</v>
      </c>
      <c r="C579">
        <f>_xlfn.XLOOKUP(A579,Z:Z,AA:AA)-_xlfn.XLOOKUP(A579,Q:Q,R:R,"0")</f>
        <v>0</v>
      </c>
      <c r="D579">
        <f>C579*_xlfn.XLOOKUP(B579,AG:AG,AH:AH)</f>
        <v>0</v>
      </c>
      <c r="E579">
        <f>C579*_xlfn.XLOOKUP(B579,AG:AG,AI:AI)</f>
        <v>0</v>
      </c>
      <c r="F579">
        <v>9570</v>
      </c>
      <c r="G579">
        <f>F579*_xlfn.XLOOKUP(B579,AG:AG,AH:AH)</f>
        <v>9570</v>
      </c>
      <c r="H579">
        <f>F579*_xlfn.XLOOKUP(B579,AG:AG,AI:AI)</f>
        <v>11101.199999999999</v>
      </c>
      <c r="I579">
        <f t="shared" ref="I579:I642" si="50">C579-F579+_xlfn.XLOOKUP(A579,Q:Q,R:R,"0")</f>
        <v>0</v>
      </c>
      <c r="J579">
        <f>I579*_xlfn.XLOOKUP(B579,AG:AG,AI:AI)</f>
        <v>0</v>
      </c>
      <c r="K579" s="7">
        <f>_xlfn.XLOOKUP(A579,Z:Z,AD:AD)</f>
        <v>45869</v>
      </c>
      <c r="L579" s="7">
        <f t="shared" si="47"/>
        <v>45839</v>
      </c>
      <c r="M579">
        <f t="shared" si="48"/>
        <v>7</v>
      </c>
      <c r="N579">
        <f t="shared" si="49"/>
        <v>2025</v>
      </c>
      <c r="Q579" s="22">
        <v>975</v>
      </c>
      <c r="R579" s="22">
        <v>11920.39</v>
      </c>
      <c r="S579" s="22" t="str">
        <f t="shared" ref="S579:S630" si="51">_xlfn.XLOOKUP(Q579,W:W,X:X)</f>
        <v>MXN</v>
      </c>
      <c r="T579" s="22">
        <f>R579*_xlfn.XLOOKUP(S579,AG:AG,AI:AI)</f>
        <v>667.54183999999998</v>
      </c>
      <c r="U579" s="22" t="s">
        <v>26</v>
      </c>
      <c r="W579" s="9">
        <v>448</v>
      </c>
      <c r="X579" s="9" t="s">
        <v>28</v>
      </c>
      <c r="Z579">
        <v>605</v>
      </c>
      <c r="AA579">
        <v>4226</v>
      </c>
      <c r="AB579" t="s">
        <v>29</v>
      </c>
      <c r="AD579" s="20">
        <v>45925</v>
      </c>
    </row>
    <row r="580" spans="1:30">
      <c r="A580">
        <v>608</v>
      </c>
      <c r="B580" t="str">
        <f>_xlfn.XLOOKUP(A580,Z:Z,AB:AB,"not found")</f>
        <v>EUR</v>
      </c>
      <c r="C580">
        <f>_xlfn.XLOOKUP(A580,Z:Z,AA:AA)-_xlfn.XLOOKUP(A580,Q:Q,R:R,"0")</f>
        <v>0</v>
      </c>
      <c r="D580">
        <f>C580*_xlfn.XLOOKUP(B580,AG:AG,AH:AH)</f>
        <v>0</v>
      </c>
      <c r="E580">
        <f>C580*_xlfn.XLOOKUP(B580,AG:AG,AI:AI)</f>
        <v>0</v>
      </c>
      <c r="F580">
        <v>7395</v>
      </c>
      <c r="G580">
        <f>F580*_xlfn.XLOOKUP(B580,AG:AG,AH:AH)</f>
        <v>7395</v>
      </c>
      <c r="H580">
        <f>F580*_xlfn.XLOOKUP(B580,AG:AG,AI:AI)</f>
        <v>8578.1999999999989</v>
      </c>
      <c r="I580">
        <f t="shared" si="50"/>
        <v>0</v>
      </c>
      <c r="J580">
        <f>I580*_xlfn.XLOOKUP(B580,AG:AG,AI:AI)</f>
        <v>0</v>
      </c>
      <c r="K580" s="7">
        <f>_xlfn.XLOOKUP(A580,Z:Z,AD:AD)</f>
        <v>45907</v>
      </c>
      <c r="L580" s="7">
        <f t="shared" si="47"/>
        <v>45877</v>
      </c>
      <c r="M580">
        <f t="shared" si="48"/>
        <v>8</v>
      </c>
      <c r="N580">
        <f t="shared" si="49"/>
        <v>2025</v>
      </c>
      <c r="Q580" s="22">
        <v>979</v>
      </c>
      <c r="R580" s="22">
        <v>2523</v>
      </c>
      <c r="S580" s="22" t="str">
        <f t="shared" si="51"/>
        <v>USD</v>
      </c>
      <c r="T580" s="22">
        <f>R580*_xlfn.XLOOKUP(S580,AG:AG,AI:AI)</f>
        <v>2523</v>
      </c>
      <c r="U580" s="22" t="s">
        <v>26</v>
      </c>
      <c r="W580" s="9">
        <v>448</v>
      </c>
      <c r="X580" s="9" t="s">
        <v>29</v>
      </c>
      <c r="Z580">
        <v>607</v>
      </c>
      <c r="AA580">
        <v>9570</v>
      </c>
      <c r="AB580" t="s">
        <v>27</v>
      </c>
      <c r="AD580" s="20">
        <v>45869</v>
      </c>
    </row>
    <row r="581" spans="1:30">
      <c r="A581">
        <v>609</v>
      </c>
      <c r="B581" t="str">
        <f>_xlfn.XLOOKUP(A581,Z:Z,AB:AB,"not found")</f>
        <v>USD</v>
      </c>
      <c r="C581">
        <f>_xlfn.XLOOKUP(A581,Z:Z,AA:AA)-_xlfn.XLOOKUP(A581,Q:Q,R:R,"0")</f>
        <v>11153.279999999999</v>
      </c>
      <c r="D581">
        <f>C581*_xlfn.XLOOKUP(B581,AG:AG,AH:AH)</f>
        <v>9591.8207999999995</v>
      </c>
      <c r="E581">
        <f>C581*_xlfn.XLOOKUP(B581,AG:AG,AI:AI)</f>
        <v>11153.279999999999</v>
      </c>
      <c r="F581">
        <v>34869.279999999999</v>
      </c>
      <c r="G581">
        <f>F581*_xlfn.XLOOKUP(B581,AG:AG,AH:AH)</f>
        <v>29987.5808</v>
      </c>
      <c r="H581">
        <f>F581*_xlfn.XLOOKUP(B581,AG:AG,AI:AI)</f>
        <v>34869.279999999999</v>
      </c>
      <c r="I581">
        <f t="shared" si="50"/>
        <v>0</v>
      </c>
      <c r="J581">
        <f>I581*_xlfn.XLOOKUP(B581,AG:AG,AI:AI)</f>
        <v>0</v>
      </c>
      <c r="K581" s="7">
        <f>_xlfn.XLOOKUP(A581,Z:Z,AD:AD)</f>
        <v>45889</v>
      </c>
      <c r="L581" s="7">
        <f t="shared" si="47"/>
        <v>45859</v>
      </c>
      <c r="M581">
        <f t="shared" si="48"/>
        <v>7</v>
      </c>
      <c r="N581">
        <f t="shared" si="49"/>
        <v>2025</v>
      </c>
      <c r="Q581" s="22">
        <v>980</v>
      </c>
      <c r="R581" s="22">
        <v>6766</v>
      </c>
      <c r="S581" s="22" t="str">
        <f t="shared" si="51"/>
        <v>USD</v>
      </c>
      <c r="T581" s="22">
        <f>R581*_xlfn.XLOOKUP(S581,AG:AG,AI:AI)</f>
        <v>6766</v>
      </c>
      <c r="U581" s="22" t="s">
        <v>26</v>
      </c>
      <c r="W581" s="9">
        <v>454</v>
      </c>
      <c r="X581" s="9" t="s">
        <v>29</v>
      </c>
      <c r="Z581">
        <v>608</v>
      </c>
      <c r="AA581">
        <v>7395</v>
      </c>
      <c r="AB581" t="s">
        <v>27</v>
      </c>
      <c r="AD581" s="20">
        <v>45907</v>
      </c>
    </row>
    <row r="582" spans="1:30">
      <c r="A582">
        <v>610</v>
      </c>
      <c r="B582" t="str">
        <f>_xlfn.XLOOKUP(A582,Z:Z,AB:AB,"not found")</f>
        <v>USD</v>
      </c>
      <c r="C582">
        <f>_xlfn.XLOOKUP(A582,Z:Z,AA:AA)-_xlfn.XLOOKUP(A582,Q:Q,R:R,"0")</f>
        <v>2279</v>
      </c>
      <c r="D582">
        <f>C582*_xlfn.XLOOKUP(B582,AG:AG,AH:AH)</f>
        <v>1959.94</v>
      </c>
      <c r="E582">
        <f>C582*_xlfn.XLOOKUP(B582,AG:AG,AI:AI)</f>
        <v>2279</v>
      </c>
      <c r="F582">
        <v>8888</v>
      </c>
      <c r="G582">
        <f>F582*_xlfn.XLOOKUP(B582,AG:AG,AH:AH)</f>
        <v>7643.68</v>
      </c>
      <c r="H582">
        <f>F582*_xlfn.XLOOKUP(B582,AG:AG,AI:AI)</f>
        <v>8888</v>
      </c>
      <c r="I582">
        <f t="shared" si="50"/>
        <v>0</v>
      </c>
      <c r="J582">
        <f>I582*_xlfn.XLOOKUP(B582,AG:AG,AI:AI)</f>
        <v>0</v>
      </c>
      <c r="K582" s="7">
        <f>_xlfn.XLOOKUP(A582,Z:Z,AD:AD)</f>
        <v>45928</v>
      </c>
      <c r="L582" s="7">
        <f t="shared" si="47"/>
        <v>45898</v>
      </c>
      <c r="M582">
        <f t="shared" si="48"/>
        <v>8</v>
      </c>
      <c r="N582">
        <f t="shared" si="49"/>
        <v>2025</v>
      </c>
      <c r="Q582" s="22">
        <v>984</v>
      </c>
      <c r="R582" s="22">
        <v>6620.04</v>
      </c>
      <c r="S582" s="22" t="str">
        <f t="shared" si="51"/>
        <v>EUR</v>
      </c>
      <c r="T582" s="22">
        <f>R582*_xlfn.XLOOKUP(S582,AG:AG,AI:AI)</f>
        <v>7679.2463999999991</v>
      </c>
      <c r="U582" s="22" t="s">
        <v>26</v>
      </c>
      <c r="W582" s="9">
        <v>454</v>
      </c>
      <c r="X582" s="9" t="s">
        <v>29</v>
      </c>
      <c r="Z582">
        <v>609</v>
      </c>
      <c r="AA582">
        <v>34869.279999999999</v>
      </c>
      <c r="AB582" t="s">
        <v>29</v>
      </c>
      <c r="AD582" s="20">
        <v>45889</v>
      </c>
    </row>
    <row r="583" spans="1:30">
      <c r="A583">
        <v>613</v>
      </c>
      <c r="B583" t="str">
        <f>_xlfn.XLOOKUP(A583,Z:Z,AB:AB,"not found")</f>
        <v>USD</v>
      </c>
      <c r="C583">
        <f>_xlfn.XLOOKUP(A583,Z:Z,AA:AA)-_xlfn.XLOOKUP(A583,Q:Q,R:R,"0")</f>
        <v>0</v>
      </c>
      <c r="D583">
        <f>C583*_xlfn.XLOOKUP(B583,AG:AG,AH:AH)</f>
        <v>0</v>
      </c>
      <c r="E583">
        <f>C583*_xlfn.XLOOKUP(B583,AG:AG,AI:AI)</f>
        <v>0</v>
      </c>
      <c r="F583">
        <v>18638.25</v>
      </c>
      <c r="G583">
        <f>F583*_xlfn.XLOOKUP(B583,AG:AG,AH:AH)</f>
        <v>16028.895</v>
      </c>
      <c r="H583">
        <f>F583*_xlfn.XLOOKUP(B583,AG:AG,AI:AI)</f>
        <v>18638.25</v>
      </c>
      <c r="I583">
        <f t="shared" si="50"/>
        <v>0</v>
      </c>
      <c r="J583">
        <f>I583*_xlfn.XLOOKUP(B583,AG:AG,AI:AI)</f>
        <v>0</v>
      </c>
      <c r="K583" s="7">
        <f>_xlfn.XLOOKUP(A583,Z:Z,AD:AD)</f>
        <v>45952</v>
      </c>
      <c r="L583" s="7">
        <f t="shared" si="47"/>
        <v>45922</v>
      </c>
      <c r="M583">
        <f t="shared" si="48"/>
        <v>9</v>
      </c>
      <c r="N583">
        <f t="shared" si="49"/>
        <v>2025</v>
      </c>
      <c r="Q583" s="22">
        <v>985</v>
      </c>
      <c r="R583" s="22">
        <v>21976</v>
      </c>
      <c r="S583" s="22" t="str">
        <f t="shared" si="51"/>
        <v>MXN</v>
      </c>
      <c r="T583" s="22">
        <f>R583*_xlfn.XLOOKUP(S583,AG:AG,AI:AI)</f>
        <v>1230.6559999999999</v>
      </c>
      <c r="U583" s="22" t="s">
        <v>26</v>
      </c>
      <c r="W583" s="9">
        <v>455</v>
      </c>
      <c r="X583" s="9" t="s">
        <v>29</v>
      </c>
      <c r="Z583">
        <v>610</v>
      </c>
      <c r="AA583">
        <v>8888</v>
      </c>
      <c r="AB583" t="s">
        <v>29</v>
      </c>
      <c r="AD583" s="20">
        <v>45928</v>
      </c>
    </row>
    <row r="584" spans="1:30">
      <c r="A584">
        <v>614</v>
      </c>
      <c r="B584" t="str">
        <f>_xlfn.XLOOKUP(A584,Z:Z,AB:AB,"not found")</f>
        <v>USD</v>
      </c>
      <c r="C584">
        <f>_xlfn.XLOOKUP(A584,Z:Z,AA:AA)-_xlfn.XLOOKUP(A584,Q:Q,R:R,"0")</f>
        <v>11380.54</v>
      </c>
      <c r="D584">
        <f>C584*_xlfn.XLOOKUP(B584,AG:AG,AH:AH)</f>
        <v>9787.2644</v>
      </c>
      <c r="E584">
        <f>C584*_xlfn.XLOOKUP(B584,AG:AG,AI:AI)</f>
        <v>11380.54</v>
      </c>
      <c r="F584">
        <v>11380.54</v>
      </c>
      <c r="G584">
        <f>F584*_xlfn.XLOOKUP(B584,AG:AG,AH:AH)</f>
        <v>9787.2644</v>
      </c>
      <c r="H584">
        <f>F584*_xlfn.XLOOKUP(B584,AG:AG,AI:AI)</f>
        <v>11380.54</v>
      </c>
      <c r="I584">
        <f t="shared" si="50"/>
        <v>0</v>
      </c>
      <c r="J584">
        <f>I584*_xlfn.XLOOKUP(B584,AG:AG,AI:AI)</f>
        <v>0</v>
      </c>
      <c r="K584" s="7">
        <f>_xlfn.XLOOKUP(A584,Z:Z,AD:AD)</f>
        <v>45918</v>
      </c>
      <c r="L584" s="7">
        <f t="shared" si="47"/>
        <v>45888</v>
      </c>
      <c r="M584">
        <f t="shared" si="48"/>
        <v>8</v>
      </c>
      <c r="N584">
        <f t="shared" si="49"/>
        <v>2025</v>
      </c>
      <c r="Q584" s="22">
        <v>986</v>
      </c>
      <c r="R584" s="22">
        <v>5224</v>
      </c>
      <c r="S584" s="22" t="str">
        <f t="shared" si="51"/>
        <v>EUR</v>
      </c>
      <c r="T584" s="22">
        <f>R584*_xlfn.XLOOKUP(S584,AG:AG,AI:AI)</f>
        <v>6059.8399999999992</v>
      </c>
      <c r="U584" s="22" t="s">
        <v>26</v>
      </c>
      <c r="W584" s="9">
        <v>456</v>
      </c>
      <c r="X584" s="9" t="s">
        <v>29</v>
      </c>
      <c r="Z584">
        <v>613</v>
      </c>
      <c r="AA584">
        <v>18638.25</v>
      </c>
      <c r="AB584" t="s">
        <v>29</v>
      </c>
      <c r="AD584" s="20">
        <v>45952</v>
      </c>
    </row>
    <row r="585" spans="1:30">
      <c r="A585">
        <v>615</v>
      </c>
      <c r="B585" t="str">
        <f>_xlfn.XLOOKUP(A585,Z:Z,AB:AB,"not found")</f>
        <v>EUR</v>
      </c>
      <c r="C585">
        <f>_xlfn.XLOOKUP(A585,Z:Z,AA:AA)-_xlfn.XLOOKUP(A585,Q:Q,R:R,"0")</f>
        <v>0</v>
      </c>
      <c r="D585">
        <f>C585*_xlfn.XLOOKUP(B585,AG:AG,AH:AH)</f>
        <v>0</v>
      </c>
      <c r="E585">
        <f>C585*_xlfn.XLOOKUP(B585,AG:AG,AI:AI)</f>
        <v>0</v>
      </c>
      <c r="F585">
        <v>7230</v>
      </c>
      <c r="G585">
        <f>F585*_xlfn.XLOOKUP(B585,AG:AG,AH:AH)</f>
        <v>7230</v>
      </c>
      <c r="H585">
        <f>F585*_xlfn.XLOOKUP(B585,AG:AG,AI:AI)</f>
        <v>8386.7999999999993</v>
      </c>
      <c r="I585">
        <f t="shared" si="50"/>
        <v>0</v>
      </c>
      <c r="J585">
        <f>I585*_xlfn.XLOOKUP(B585,AG:AG,AI:AI)</f>
        <v>0</v>
      </c>
      <c r="K585" s="7">
        <f>_xlfn.XLOOKUP(A585,Z:Z,AD:AD)</f>
        <v>45930</v>
      </c>
      <c r="L585" s="7">
        <f t="shared" si="47"/>
        <v>45900</v>
      </c>
      <c r="M585">
        <f t="shared" si="48"/>
        <v>8</v>
      </c>
      <c r="N585">
        <f t="shared" si="49"/>
        <v>2025</v>
      </c>
      <c r="Q585" s="22">
        <v>987</v>
      </c>
      <c r="R585" s="22">
        <v>5251</v>
      </c>
      <c r="S585" s="22" t="str">
        <f t="shared" si="51"/>
        <v>USD</v>
      </c>
      <c r="T585" s="22">
        <f>R585*_xlfn.XLOOKUP(S585,AG:AG,AI:AI)</f>
        <v>5251</v>
      </c>
      <c r="U585" s="22" t="s">
        <v>26</v>
      </c>
      <c r="W585" s="9">
        <v>456</v>
      </c>
      <c r="X585" s="9" t="s">
        <v>29</v>
      </c>
      <c r="Z585">
        <v>614</v>
      </c>
      <c r="AA585">
        <v>11380.54</v>
      </c>
      <c r="AB585" t="s">
        <v>29</v>
      </c>
      <c r="AD585" s="20">
        <v>45918</v>
      </c>
    </row>
    <row r="586" spans="1:30">
      <c r="A586">
        <v>616</v>
      </c>
      <c r="B586" t="str">
        <f>_xlfn.XLOOKUP(A586,Z:Z,AB:AB,"not found")</f>
        <v>CHF</v>
      </c>
      <c r="C586">
        <f>_xlfn.XLOOKUP(A586,Z:Z,AA:AA)-_xlfn.XLOOKUP(A586,Q:Q,R:R,"0")</f>
        <v>0</v>
      </c>
      <c r="D586">
        <f>C586*_xlfn.XLOOKUP(B586,AG:AG,AH:AH)</f>
        <v>0</v>
      </c>
      <c r="E586">
        <f>C586*_xlfn.XLOOKUP(B586,AG:AG,AI:AI)</f>
        <v>0</v>
      </c>
      <c r="F586">
        <v>4752</v>
      </c>
      <c r="G586">
        <f>F586*_xlfn.XLOOKUP(B586,AG:AG,AH:AH)</f>
        <v>5084.6400000000003</v>
      </c>
      <c r="H586">
        <f>F586*_xlfn.XLOOKUP(B586,AG:AG,AI:AI)</f>
        <v>5940</v>
      </c>
      <c r="I586">
        <f t="shared" si="50"/>
        <v>0</v>
      </c>
      <c r="J586">
        <f>I586*_xlfn.XLOOKUP(B586,AG:AG,AI:AI)</f>
        <v>0</v>
      </c>
      <c r="K586" s="7">
        <f>_xlfn.XLOOKUP(A586,Z:Z,AD:AD)</f>
        <v>45870</v>
      </c>
      <c r="L586" s="7">
        <f t="shared" si="47"/>
        <v>45840</v>
      </c>
      <c r="M586">
        <f t="shared" si="48"/>
        <v>7</v>
      </c>
      <c r="N586">
        <f t="shared" si="49"/>
        <v>2025</v>
      </c>
      <c r="Q586" s="22">
        <v>988</v>
      </c>
      <c r="R586" s="22">
        <v>1201.26</v>
      </c>
      <c r="S586" s="22" t="str">
        <f t="shared" si="51"/>
        <v>USD</v>
      </c>
      <c r="T586" s="22">
        <f>R586*_xlfn.XLOOKUP(S586,AG:AG,AI:AI)</f>
        <v>1201.26</v>
      </c>
      <c r="U586" s="22" t="s">
        <v>26</v>
      </c>
      <c r="W586" s="9">
        <v>457</v>
      </c>
      <c r="X586" s="9" t="s">
        <v>29</v>
      </c>
      <c r="Z586">
        <v>615</v>
      </c>
      <c r="AA586">
        <v>7230</v>
      </c>
      <c r="AB586" t="s">
        <v>27</v>
      </c>
      <c r="AD586" s="20">
        <v>45930</v>
      </c>
    </row>
    <row r="587" spans="1:30">
      <c r="A587">
        <v>617</v>
      </c>
      <c r="B587" t="str">
        <f>_xlfn.XLOOKUP(A587,Z:Z,AB:AB,"not found")</f>
        <v>USD</v>
      </c>
      <c r="C587">
        <f>_xlfn.XLOOKUP(A587,Z:Z,AA:AA)-_xlfn.XLOOKUP(A587,Q:Q,R:R,"0")</f>
        <v>1639.7300000000005</v>
      </c>
      <c r="D587">
        <f>C587*_xlfn.XLOOKUP(B587,AG:AG,AH:AH)</f>
        <v>1410.1678000000004</v>
      </c>
      <c r="E587">
        <f>C587*_xlfn.XLOOKUP(B587,AG:AG,AI:AI)</f>
        <v>1639.7300000000005</v>
      </c>
      <c r="F587">
        <v>6811.12</v>
      </c>
      <c r="G587">
        <f>F587*_xlfn.XLOOKUP(B587,AG:AG,AH:AH)</f>
        <v>5857.5631999999996</v>
      </c>
      <c r="H587">
        <f>F587*_xlfn.XLOOKUP(B587,AG:AG,AI:AI)</f>
        <v>6811.12</v>
      </c>
      <c r="I587">
        <f t="shared" si="50"/>
        <v>0</v>
      </c>
      <c r="J587">
        <f>I587*_xlfn.XLOOKUP(B587,AG:AG,AI:AI)</f>
        <v>0</v>
      </c>
      <c r="K587" s="7">
        <f>_xlfn.XLOOKUP(A587,Z:Z,AD:AD)</f>
        <v>45914</v>
      </c>
      <c r="L587" s="7">
        <f t="shared" si="47"/>
        <v>45884</v>
      </c>
      <c r="M587">
        <f t="shared" si="48"/>
        <v>8</v>
      </c>
      <c r="N587">
        <f t="shared" si="49"/>
        <v>2025</v>
      </c>
      <c r="Q587" s="22">
        <v>997</v>
      </c>
      <c r="R587" s="22">
        <v>8610</v>
      </c>
      <c r="S587" s="22" t="str">
        <f t="shared" si="51"/>
        <v>USD</v>
      </c>
      <c r="T587" s="22">
        <f>R587*_xlfn.XLOOKUP(S587,AG:AG,AI:AI)</f>
        <v>8610</v>
      </c>
      <c r="U587" s="22" t="s">
        <v>26</v>
      </c>
      <c r="W587" s="9">
        <v>458</v>
      </c>
      <c r="X587" s="9" t="s">
        <v>29</v>
      </c>
      <c r="Z587">
        <v>616</v>
      </c>
      <c r="AA587">
        <v>4752</v>
      </c>
      <c r="AB587" t="s">
        <v>30</v>
      </c>
      <c r="AD587" s="20">
        <v>45870</v>
      </c>
    </row>
    <row r="588" spans="1:30">
      <c r="A588">
        <v>618</v>
      </c>
      <c r="B588" t="str">
        <f>_xlfn.XLOOKUP(A588,Z:Z,AB:AB,"not found")</f>
        <v>EUR</v>
      </c>
      <c r="C588">
        <f>_xlfn.XLOOKUP(A588,Z:Z,AA:AA)-_xlfn.XLOOKUP(A588,Q:Q,R:R,"0")</f>
        <v>0</v>
      </c>
      <c r="D588">
        <f>C588*_xlfn.XLOOKUP(B588,AG:AG,AH:AH)</f>
        <v>0</v>
      </c>
      <c r="E588">
        <f>C588*_xlfn.XLOOKUP(B588,AG:AG,AI:AI)</f>
        <v>0</v>
      </c>
      <c r="F588">
        <v>1920</v>
      </c>
      <c r="G588">
        <f>F588*_xlfn.XLOOKUP(B588,AG:AG,AH:AH)</f>
        <v>1920</v>
      </c>
      <c r="H588">
        <f>F588*_xlfn.XLOOKUP(B588,AG:AG,AI:AI)</f>
        <v>2227.1999999999998</v>
      </c>
      <c r="I588">
        <f t="shared" si="50"/>
        <v>0</v>
      </c>
      <c r="J588">
        <f>I588*_xlfn.XLOOKUP(B588,AG:AG,AI:AI)</f>
        <v>0</v>
      </c>
      <c r="K588" s="7">
        <f>_xlfn.XLOOKUP(A588,Z:Z,AD:AD)</f>
        <v>45897</v>
      </c>
      <c r="L588" s="7">
        <f t="shared" si="47"/>
        <v>45867</v>
      </c>
      <c r="M588">
        <f t="shared" si="48"/>
        <v>7</v>
      </c>
      <c r="N588">
        <f t="shared" si="49"/>
        <v>2025</v>
      </c>
      <c r="Q588" s="22">
        <v>998</v>
      </c>
      <c r="R588" s="22">
        <v>494.88</v>
      </c>
      <c r="S588" s="22" t="str">
        <f t="shared" si="51"/>
        <v>USD</v>
      </c>
      <c r="T588" s="22">
        <f>R588*_xlfn.XLOOKUP(S588,AG:AG,AI:AI)</f>
        <v>494.88</v>
      </c>
      <c r="U588" s="22" t="s">
        <v>26</v>
      </c>
      <c r="W588" s="9">
        <v>459</v>
      </c>
      <c r="X588" s="9" t="s">
        <v>29</v>
      </c>
      <c r="Z588">
        <v>617</v>
      </c>
      <c r="AA588">
        <v>6811.12</v>
      </c>
      <c r="AB588" t="s">
        <v>29</v>
      </c>
      <c r="AD588" s="20">
        <v>45914</v>
      </c>
    </row>
    <row r="589" spans="1:30">
      <c r="A589">
        <v>621</v>
      </c>
      <c r="B589" t="str">
        <f>_xlfn.XLOOKUP(A589,Z:Z,AB:AB,"not found")</f>
        <v>MXN</v>
      </c>
      <c r="C589">
        <f>_xlfn.XLOOKUP(A589,Z:Z,AA:AA)-_xlfn.XLOOKUP(A589,Q:Q,R:R,"0")</f>
        <v>68453.58</v>
      </c>
      <c r="D589">
        <f>C589*_xlfn.XLOOKUP(B589,AG:AG,AH:AH)</f>
        <v>3285.7718400000003</v>
      </c>
      <c r="E589">
        <f>C589*_xlfn.XLOOKUP(B589,AG:AG,AI:AI)</f>
        <v>3833.4004800000002</v>
      </c>
      <c r="F589">
        <v>68453.58</v>
      </c>
      <c r="G589">
        <f>F589*_xlfn.XLOOKUP(B589,AG:AG,AH:AH)</f>
        <v>3285.7718400000003</v>
      </c>
      <c r="H589">
        <f>F589*_xlfn.XLOOKUP(B589,AG:AG,AI:AI)</f>
        <v>3833.4004800000002</v>
      </c>
      <c r="I589">
        <f t="shared" si="50"/>
        <v>0</v>
      </c>
      <c r="J589">
        <f>I589*_xlfn.XLOOKUP(B589,AG:AG,AI:AI)</f>
        <v>0</v>
      </c>
      <c r="K589" s="7">
        <f>_xlfn.XLOOKUP(A589,Z:Z,AD:AD)</f>
        <v>45896</v>
      </c>
      <c r="L589" s="7">
        <f t="shared" si="47"/>
        <v>45866</v>
      </c>
      <c r="M589">
        <f t="shared" si="48"/>
        <v>7</v>
      </c>
      <c r="N589">
        <f t="shared" si="49"/>
        <v>2025</v>
      </c>
      <c r="Q589" s="22">
        <v>1000</v>
      </c>
      <c r="R589" s="22">
        <v>7147.49</v>
      </c>
      <c r="S589" s="22" t="str">
        <f t="shared" si="51"/>
        <v>USD</v>
      </c>
      <c r="T589" s="22">
        <f>R589*_xlfn.XLOOKUP(S589,AG:AG,AI:AI)</f>
        <v>7147.49</v>
      </c>
      <c r="U589" s="22" t="s">
        <v>26</v>
      </c>
      <c r="W589" s="9">
        <v>460</v>
      </c>
      <c r="X589" s="9" t="s">
        <v>29</v>
      </c>
      <c r="Z589">
        <v>618</v>
      </c>
      <c r="AA589">
        <v>1920</v>
      </c>
      <c r="AB589" t="s">
        <v>27</v>
      </c>
      <c r="AD589" s="20">
        <v>45897</v>
      </c>
    </row>
    <row r="590" spans="1:30">
      <c r="A590">
        <v>622</v>
      </c>
      <c r="B590" t="str">
        <f>_xlfn.XLOOKUP(A590,Z:Z,AB:AB,"not found")</f>
        <v>EUR</v>
      </c>
      <c r="C590">
        <f>_xlfn.XLOOKUP(A590,Z:Z,AA:AA)-_xlfn.XLOOKUP(A590,Q:Q,R:R,"0")</f>
        <v>0</v>
      </c>
      <c r="D590">
        <f>C590*_xlfn.XLOOKUP(B590,AG:AG,AH:AH)</f>
        <v>0</v>
      </c>
      <c r="E590">
        <f>C590*_xlfn.XLOOKUP(B590,AG:AG,AI:AI)</f>
        <v>0</v>
      </c>
      <c r="F590">
        <v>3010</v>
      </c>
      <c r="G590">
        <f>F590*_xlfn.XLOOKUP(B590,AG:AG,AH:AH)</f>
        <v>3010</v>
      </c>
      <c r="H590">
        <f>F590*_xlfn.XLOOKUP(B590,AG:AG,AI:AI)</f>
        <v>3491.6</v>
      </c>
      <c r="I590">
        <f t="shared" si="50"/>
        <v>0</v>
      </c>
      <c r="J590">
        <f>I590*_xlfn.XLOOKUP(B590,AG:AG,AI:AI)</f>
        <v>0</v>
      </c>
      <c r="K590" s="7">
        <f>_xlfn.XLOOKUP(A590,Z:Z,AD:AD)</f>
        <v>45928</v>
      </c>
      <c r="L590" s="7">
        <f t="shared" si="47"/>
        <v>45898</v>
      </c>
      <c r="M590">
        <f t="shared" si="48"/>
        <v>8</v>
      </c>
      <c r="N590">
        <f t="shared" si="49"/>
        <v>2025</v>
      </c>
      <c r="Q590" s="22">
        <v>1005</v>
      </c>
      <c r="R590" s="22">
        <v>20006.439999999999</v>
      </c>
      <c r="S590" s="22" t="str">
        <f t="shared" si="51"/>
        <v>EUR</v>
      </c>
      <c r="T590" s="22">
        <f>R590*_xlfn.XLOOKUP(S590,AG:AG,AI:AI)</f>
        <v>23207.470399999998</v>
      </c>
      <c r="U590" s="22" t="s">
        <v>26</v>
      </c>
      <c r="W590" s="9">
        <v>461</v>
      </c>
      <c r="X590" s="9" t="s">
        <v>28</v>
      </c>
      <c r="Z590">
        <v>621</v>
      </c>
      <c r="AA590">
        <v>68453.58</v>
      </c>
      <c r="AB590" t="s">
        <v>28</v>
      </c>
      <c r="AD590" s="20">
        <v>45896</v>
      </c>
    </row>
    <row r="591" spans="1:30">
      <c r="A591">
        <v>624</v>
      </c>
      <c r="B591" t="str">
        <f>_xlfn.XLOOKUP(A591,Z:Z,AB:AB,"not found")</f>
        <v>USD</v>
      </c>
      <c r="C591">
        <f>_xlfn.XLOOKUP(A591,Z:Z,AA:AA)-_xlfn.XLOOKUP(A591,Q:Q,R:R,"0")</f>
        <v>0</v>
      </c>
      <c r="D591">
        <f>C591*_xlfn.XLOOKUP(B591,AG:AG,AH:AH)</f>
        <v>0</v>
      </c>
      <c r="E591">
        <f>C591*_xlfn.XLOOKUP(B591,AG:AG,AI:AI)</f>
        <v>0</v>
      </c>
      <c r="F591">
        <v>7360.8</v>
      </c>
      <c r="G591">
        <f>F591*_xlfn.XLOOKUP(B591,AG:AG,AH:AH)</f>
        <v>6330.2880000000005</v>
      </c>
      <c r="H591">
        <f>F591*_xlfn.XLOOKUP(B591,AG:AG,AI:AI)</f>
        <v>7360.8</v>
      </c>
      <c r="I591">
        <f t="shared" si="50"/>
        <v>0</v>
      </c>
      <c r="J591">
        <f>I591*_xlfn.XLOOKUP(B591,AG:AG,AI:AI)</f>
        <v>0</v>
      </c>
      <c r="K591" s="7">
        <f>_xlfn.XLOOKUP(A591,Z:Z,AD:AD)</f>
        <v>45843</v>
      </c>
      <c r="L591" s="7">
        <f t="shared" si="47"/>
        <v>45813</v>
      </c>
      <c r="M591">
        <f t="shared" si="48"/>
        <v>6</v>
      </c>
      <c r="N591">
        <f t="shared" si="49"/>
        <v>2025</v>
      </c>
      <c r="Q591" s="22">
        <v>1006</v>
      </c>
      <c r="R591" s="22">
        <v>12022.15</v>
      </c>
      <c r="S591" s="22" t="str">
        <f t="shared" si="51"/>
        <v>USD</v>
      </c>
      <c r="T591" s="22">
        <f>R591*_xlfn.XLOOKUP(S591,AG:AG,AI:AI)</f>
        <v>12022.15</v>
      </c>
      <c r="U591" s="22" t="s">
        <v>26</v>
      </c>
      <c r="W591" s="9">
        <v>461</v>
      </c>
      <c r="X591" s="9" t="s">
        <v>28</v>
      </c>
      <c r="Z591">
        <v>622</v>
      </c>
      <c r="AA591">
        <v>3010</v>
      </c>
      <c r="AB591" t="s">
        <v>27</v>
      </c>
      <c r="AD591" s="20">
        <v>45928</v>
      </c>
    </row>
    <row r="592" spans="1:30">
      <c r="A592">
        <v>625</v>
      </c>
      <c r="B592" t="str">
        <f>_xlfn.XLOOKUP(A592,Z:Z,AB:AB,"not found")</f>
        <v>JPY</v>
      </c>
      <c r="C592">
        <f>_xlfn.XLOOKUP(A592,Z:Z,AA:AA)-_xlfn.XLOOKUP(A592,Q:Q,R:R,"0")</f>
        <v>0</v>
      </c>
      <c r="D592">
        <f>C592*_xlfn.XLOOKUP(B592,AG:AG,AH:AH)</f>
        <v>0</v>
      </c>
      <c r="E592">
        <f>C592*_xlfn.XLOOKUP(B592,AG:AG,AI:AI)</f>
        <v>0</v>
      </c>
      <c r="F592">
        <v>379735</v>
      </c>
      <c r="G592">
        <f>F592*_xlfn.XLOOKUP(B592,AG:AG,AH:AH)</f>
        <v>2088.5425</v>
      </c>
      <c r="H592">
        <f>F592*_xlfn.XLOOKUP(B592,AG:AG,AI:AI)</f>
        <v>2430.3040000000001</v>
      </c>
      <c r="I592">
        <f t="shared" si="50"/>
        <v>0</v>
      </c>
      <c r="J592">
        <f>I592*_xlfn.XLOOKUP(B592,AG:AG,AI:AI)</f>
        <v>0</v>
      </c>
      <c r="K592" s="7">
        <f>_xlfn.XLOOKUP(A592,Z:Z,AD:AD)</f>
        <v>45960</v>
      </c>
      <c r="L592" s="7">
        <f t="shared" si="47"/>
        <v>45930</v>
      </c>
      <c r="M592">
        <f t="shared" si="48"/>
        <v>9</v>
      </c>
      <c r="N592">
        <f t="shared" si="49"/>
        <v>2025</v>
      </c>
      <c r="Q592" s="22">
        <v>1007</v>
      </c>
      <c r="R592" s="22">
        <v>219</v>
      </c>
      <c r="S592" s="22" t="str">
        <f t="shared" si="51"/>
        <v>USD</v>
      </c>
      <c r="T592" s="22">
        <f>R592*_xlfn.XLOOKUP(S592,AG:AG,AI:AI)</f>
        <v>219</v>
      </c>
      <c r="U592" s="22" t="s">
        <v>26</v>
      </c>
      <c r="W592" s="9">
        <v>462</v>
      </c>
      <c r="X592" s="9" t="s">
        <v>29</v>
      </c>
      <c r="Z592">
        <v>624</v>
      </c>
      <c r="AA592">
        <v>7360.8</v>
      </c>
      <c r="AB592" t="s">
        <v>29</v>
      </c>
      <c r="AD592" s="20">
        <v>45843</v>
      </c>
    </row>
    <row r="593" spans="1:30">
      <c r="A593">
        <v>626</v>
      </c>
      <c r="B593" t="str">
        <f>_xlfn.XLOOKUP(A593,Z:Z,AB:AB,"not found")</f>
        <v>JPY</v>
      </c>
      <c r="C593">
        <f>_xlfn.XLOOKUP(A593,Z:Z,AA:AA)-_xlfn.XLOOKUP(A593,Q:Q,R:R,"0")</f>
        <v>3219900.06</v>
      </c>
      <c r="D593">
        <f>C593*_xlfn.XLOOKUP(B593,AG:AG,AH:AH)</f>
        <v>17709.45033</v>
      </c>
      <c r="E593">
        <f>C593*_xlfn.XLOOKUP(B593,AG:AG,AI:AI)</f>
        <v>20607.360384</v>
      </c>
      <c r="F593">
        <v>3568975</v>
      </c>
      <c r="G593">
        <f>F593*_xlfn.XLOOKUP(B593,AG:AG,AH:AH)</f>
        <v>19629.362499999999</v>
      </c>
      <c r="H593">
        <f>F593*_xlfn.XLOOKUP(B593,AG:AG,AI:AI)</f>
        <v>22841.440000000002</v>
      </c>
      <c r="I593">
        <f t="shared" si="50"/>
        <v>6.0000000055879354E-2</v>
      </c>
      <c r="J593">
        <f>I593*_xlfn.XLOOKUP(B593,AG:AG,AI:AI)</f>
        <v>3.8400000035762789E-4</v>
      </c>
      <c r="K593" s="7">
        <f>_xlfn.XLOOKUP(A593,Z:Z,AD:AD)</f>
        <v>45955</v>
      </c>
      <c r="L593" s="7">
        <f t="shared" si="47"/>
        <v>45925</v>
      </c>
      <c r="M593">
        <f t="shared" si="48"/>
        <v>9</v>
      </c>
      <c r="N593">
        <f t="shared" si="49"/>
        <v>2025</v>
      </c>
      <c r="Q593" s="22">
        <v>1008</v>
      </c>
      <c r="R593" s="22">
        <v>219</v>
      </c>
      <c r="S593" s="22" t="str">
        <f t="shared" si="51"/>
        <v>USD</v>
      </c>
      <c r="T593" s="22">
        <f>R593*_xlfn.XLOOKUP(S593,AG:AG,AI:AI)</f>
        <v>219</v>
      </c>
      <c r="U593" s="22" t="s">
        <v>26</v>
      </c>
      <c r="W593" s="9">
        <v>462</v>
      </c>
      <c r="X593" s="9" t="s">
        <v>29</v>
      </c>
      <c r="Z593">
        <v>625</v>
      </c>
      <c r="AA593">
        <v>379735</v>
      </c>
      <c r="AB593" t="s">
        <v>33</v>
      </c>
      <c r="AD593" s="20">
        <v>45960</v>
      </c>
    </row>
    <row r="594" spans="1:30">
      <c r="A594">
        <v>627</v>
      </c>
      <c r="B594" t="str">
        <f>_xlfn.XLOOKUP(A594,Z:Z,AB:AB,"not found")</f>
        <v>GPB</v>
      </c>
      <c r="C594">
        <f>_xlfn.XLOOKUP(A594,Z:Z,AA:AA)-_xlfn.XLOOKUP(A594,Q:Q,R:R,"0")</f>
        <v>0</v>
      </c>
      <c r="D594">
        <f>C594*_xlfn.XLOOKUP(B594,AG:AG,AH:AH)</f>
        <v>0</v>
      </c>
      <c r="E594">
        <f>C594*_xlfn.XLOOKUP(B594,AG:AG,AI:AI)</f>
        <v>0</v>
      </c>
      <c r="F594">
        <v>1230.3</v>
      </c>
      <c r="G594">
        <f>F594*_xlfn.XLOOKUP(B594,AG:AG,AH:AH)</f>
        <v>1414.8449999999998</v>
      </c>
      <c r="H594">
        <f>F594*_xlfn.XLOOKUP(B594,AG:AG,AI:AI)</f>
        <v>1648.6020000000001</v>
      </c>
      <c r="I594">
        <f t="shared" si="50"/>
        <v>0</v>
      </c>
      <c r="J594">
        <f>I594*_xlfn.XLOOKUP(B594,AG:AG,AI:AI)</f>
        <v>0</v>
      </c>
      <c r="K594" s="7">
        <f>_xlfn.XLOOKUP(A594,Z:Z,AD:AD)</f>
        <v>45928</v>
      </c>
      <c r="L594" s="7">
        <f t="shared" si="47"/>
        <v>45898</v>
      </c>
      <c r="M594">
        <f t="shared" si="48"/>
        <v>8</v>
      </c>
      <c r="N594">
        <f t="shared" si="49"/>
        <v>2025</v>
      </c>
      <c r="Q594" s="22">
        <v>1009</v>
      </c>
      <c r="R594" s="22">
        <v>76952</v>
      </c>
      <c r="S594" s="22" t="str">
        <f t="shared" si="51"/>
        <v>MXN</v>
      </c>
      <c r="T594" s="22">
        <f>R594*_xlfn.XLOOKUP(S594,AG:AG,AI:AI)</f>
        <v>4309.3119999999999</v>
      </c>
      <c r="U594" s="22" t="s">
        <v>26</v>
      </c>
      <c r="W594" s="9">
        <v>462</v>
      </c>
      <c r="X594" s="9" t="s">
        <v>29</v>
      </c>
      <c r="Z594">
        <v>626</v>
      </c>
      <c r="AA594">
        <v>3568975.06</v>
      </c>
      <c r="AB594" t="s">
        <v>33</v>
      </c>
      <c r="AD594" s="20">
        <v>45955</v>
      </c>
    </row>
    <row r="595" spans="1:30">
      <c r="A595">
        <v>628</v>
      </c>
      <c r="B595" t="str">
        <f>_xlfn.XLOOKUP(A595,Z:Z,AB:AB,"not found")</f>
        <v>USD</v>
      </c>
      <c r="C595">
        <f>_xlfn.XLOOKUP(A595,Z:Z,AA:AA)-_xlfn.XLOOKUP(A595,Q:Q,R:R,"0")</f>
        <v>36702.660000000003</v>
      </c>
      <c r="D595">
        <f>C595*_xlfn.XLOOKUP(B595,AG:AG,AH:AH)</f>
        <v>31564.287600000003</v>
      </c>
      <c r="E595">
        <f>C595*_xlfn.XLOOKUP(B595,AG:AG,AI:AI)</f>
        <v>36702.660000000003</v>
      </c>
      <c r="F595">
        <v>37131.67</v>
      </c>
      <c r="G595">
        <f>F595*_xlfn.XLOOKUP(B595,AG:AG,AH:AH)</f>
        <v>31933.236199999999</v>
      </c>
      <c r="H595">
        <f>F595*_xlfn.XLOOKUP(B595,AG:AG,AI:AI)</f>
        <v>37131.67</v>
      </c>
      <c r="I595">
        <f t="shared" si="50"/>
        <v>-9.9999999947613105E-3</v>
      </c>
      <c r="J595">
        <f>I595*_xlfn.XLOOKUP(B595,AG:AG,AI:AI)</f>
        <v>-9.9999999947613105E-3</v>
      </c>
      <c r="K595" s="7">
        <f>_xlfn.XLOOKUP(A595,Z:Z,AD:AD)</f>
        <v>45902</v>
      </c>
      <c r="L595" s="7">
        <f t="shared" si="47"/>
        <v>45872</v>
      </c>
      <c r="M595">
        <f t="shared" si="48"/>
        <v>8</v>
      </c>
      <c r="N595">
        <f t="shared" si="49"/>
        <v>2025</v>
      </c>
      <c r="Q595" s="22">
        <v>1010</v>
      </c>
      <c r="R595" s="22">
        <v>9639</v>
      </c>
      <c r="S595" s="22" t="str">
        <f t="shared" si="51"/>
        <v>USD</v>
      </c>
      <c r="T595" s="22">
        <f>R595*_xlfn.XLOOKUP(S595,AG:AG,AI:AI)</f>
        <v>9639</v>
      </c>
      <c r="U595" s="22" t="s">
        <v>26</v>
      </c>
      <c r="W595" s="9">
        <v>462</v>
      </c>
      <c r="X595" s="9" t="s">
        <v>29</v>
      </c>
      <c r="Z595">
        <v>627</v>
      </c>
      <c r="AA595">
        <v>1230.3</v>
      </c>
      <c r="AB595" t="s">
        <v>32</v>
      </c>
      <c r="AD595" s="20">
        <v>45928</v>
      </c>
    </row>
    <row r="596" spans="1:30">
      <c r="A596">
        <v>629</v>
      </c>
      <c r="B596" t="str">
        <f>_xlfn.XLOOKUP(A596,Z:Z,AB:AB,"not found")</f>
        <v>USD</v>
      </c>
      <c r="C596">
        <f>_xlfn.XLOOKUP(A596,Z:Z,AA:AA)-_xlfn.XLOOKUP(A596,Q:Q,R:R,"0")</f>
        <v>-78355.460000000006</v>
      </c>
      <c r="D596">
        <f>C596*_xlfn.XLOOKUP(B596,AG:AG,AH:AH)</f>
        <v>-67385.695600000006</v>
      </c>
      <c r="E596">
        <f>C596*_xlfn.XLOOKUP(B596,AG:AG,AI:AI)</f>
        <v>-78355.460000000006</v>
      </c>
      <c r="F596">
        <v>8894.67</v>
      </c>
      <c r="G596">
        <f>F596*_xlfn.XLOOKUP(B596,AG:AG,AH:AH)</f>
        <v>7649.4161999999997</v>
      </c>
      <c r="H596">
        <f>F596*_xlfn.XLOOKUP(B596,AG:AG,AI:AI)</f>
        <v>8894.67</v>
      </c>
      <c r="I596">
        <f t="shared" si="50"/>
        <v>0</v>
      </c>
      <c r="J596">
        <f>I596*_xlfn.XLOOKUP(B596,AG:AG,AI:AI)</f>
        <v>0</v>
      </c>
      <c r="K596" s="7">
        <f>_xlfn.XLOOKUP(A596,Z:Z,AD:AD)</f>
        <v>45897</v>
      </c>
      <c r="L596" s="7">
        <f t="shared" si="47"/>
        <v>45867</v>
      </c>
      <c r="M596">
        <f t="shared" si="48"/>
        <v>7</v>
      </c>
      <c r="N596">
        <f t="shared" si="49"/>
        <v>2025</v>
      </c>
      <c r="Q596" s="22">
        <v>1014</v>
      </c>
      <c r="R596" s="22">
        <v>3300.7</v>
      </c>
      <c r="S596" s="22" t="str">
        <f t="shared" si="51"/>
        <v>USD</v>
      </c>
      <c r="T596" s="22">
        <f>R596*_xlfn.XLOOKUP(S596,AG:AG,AI:AI)</f>
        <v>3300.7</v>
      </c>
      <c r="U596" s="22" t="s">
        <v>26</v>
      </c>
      <c r="W596" s="9">
        <v>462</v>
      </c>
      <c r="X596" s="9" t="s">
        <v>29</v>
      </c>
      <c r="Z596">
        <v>628</v>
      </c>
      <c r="AA596">
        <v>37131.660000000003</v>
      </c>
      <c r="AB596" t="s">
        <v>29</v>
      </c>
      <c r="AD596" s="20">
        <v>45902</v>
      </c>
    </row>
    <row r="597" spans="1:30">
      <c r="A597">
        <v>630</v>
      </c>
      <c r="B597" t="str">
        <f>_xlfn.XLOOKUP(A597,Z:Z,AB:AB,"not found")</f>
        <v>USD</v>
      </c>
      <c r="C597">
        <f>_xlfn.XLOOKUP(A597,Z:Z,AA:AA)-_xlfn.XLOOKUP(A597,Q:Q,R:R,"0")</f>
        <v>38855.199999999997</v>
      </c>
      <c r="D597">
        <f>C597*_xlfn.XLOOKUP(B597,AG:AG,AH:AH)</f>
        <v>33415.471999999994</v>
      </c>
      <c r="E597">
        <f>C597*_xlfn.XLOOKUP(B597,AG:AG,AI:AI)</f>
        <v>38855.199999999997</v>
      </c>
      <c r="F597">
        <v>38855.230000000003</v>
      </c>
      <c r="G597">
        <f>F597*_xlfn.XLOOKUP(B597,AG:AG,AH:AH)</f>
        <v>33415.497800000005</v>
      </c>
      <c r="H597">
        <f>F597*_xlfn.XLOOKUP(B597,AG:AG,AI:AI)</f>
        <v>38855.230000000003</v>
      </c>
      <c r="I597">
        <f t="shared" si="50"/>
        <v>-3.0000000006111804E-2</v>
      </c>
      <c r="J597">
        <f>I597*_xlfn.XLOOKUP(B597,AG:AG,AI:AI)</f>
        <v>-3.0000000006111804E-2</v>
      </c>
      <c r="K597" s="7">
        <f>_xlfn.XLOOKUP(A597,Z:Z,AD:AD)</f>
        <v>45660</v>
      </c>
      <c r="L597" s="7">
        <f t="shared" si="47"/>
        <v>45630</v>
      </c>
      <c r="M597">
        <f t="shared" si="48"/>
        <v>12</v>
      </c>
      <c r="N597">
        <f t="shared" si="49"/>
        <v>2024</v>
      </c>
      <c r="Q597" s="22">
        <v>1016</v>
      </c>
      <c r="R597" s="22">
        <v>2644</v>
      </c>
      <c r="S597" s="22" t="str">
        <f t="shared" si="51"/>
        <v>USD</v>
      </c>
      <c r="T597" s="22">
        <f>R597*_xlfn.XLOOKUP(S597,AG:AG,AI:AI)</f>
        <v>2644</v>
      </c>
      <c r="U597" s="22" t="s">
        <v>26</v>
      </c>
      <c r="W597" s="9">
        <v>462</v>
      </c>
      <c r="X597" s="9" t="s">
        <v>29</v>
      </c>
      <c r="Z597">
        <v>629</v>
      </c>
      <c r="AA597">
        <v>8894.67</v>
      </c>
      <c r="AB597" t="s">
        <v>29</v>
      </c>
      <c r="AD597" s="20">
        <v>45897</v>
      </c>
    </row>
    <row r="598" spans="1:30">
      <c r="A598">
        <v>631</v>
      </c>
      <c r="B598" t="str">
        <f>_xlfn.XLOOKUP(A598,Z:Z,AB:AB,"not found")</f>
        <v>USD</v>
      </c>
      <c r="C598">
        <f>_xlfn.XLOOKUP(A598,Z:Z,AA:AA)-_xlfn.XLOOKUP(A598,Q:Q,R:R,"0")</f>
        <v>9100.7000000000007</v>
      </c>
      <c r="D598">
        <f>C598*_xlfn.XLOOKUP(B598,AG:AG,AH:AH)</f>
        <v>7826.6020000000008</v>
      </c>
      <c r="E598">
        <f>C598*_xlfn.XLOOKUP(B598,AG:AG,AI:AI)</f>
        <v>9100.7000000000007</v>
      </c>
      <c r="F598">
        <v>9100.7000000000007</v>
      </c>
      <c r="G598">
        <f>F598*_xlfn.XLOOKUP(B598,AG:AG,AH:AH)</f>
        <v>7826.6020000000008</v>
      </c>
      <c r="H598">
        <f>F598*_xlfn.XLOOKUP(B598,AG:AG,AI:AI)</f>
        <v>9100.7000000000007</v>
      </c>
      <c r="I598">
        <f t="shared" si="50"/>
        <v>0</v>
      </c>
      <c r="J598">
        <f>I598*_xlfn.XLOOKUP(B598,AG:AG,AI:AI)</f>
        <v>0</v>
      </c>
      <c r="K598" s="7">
        <f>_xlfn.XLOOKUP(A598,Z:Z,AD:AD)</f>
        <v>45897</v>
      </c>
      <c r="L598" s="7">
        <f t="shared" si="47"/>
        <v>45867</v>
      </c>
      <c r="M598">
        <f t="shared" si="48"/>
        <v>7</v>
      </c>
      <c r="N598">
        <f t="shared" si="49"/>
        <v>2025</v>
      </c>
      <c r="Q598" s="22">
        <v>1018</v>
      </c>
      <c r="R598" s="22">
        <v>5312</v>
      </c>
      <c r="S598" s="22" t="str">
        <f t="shared" si="51"/>
        <v>USD</v>
      </c>
      <c r="T598" s="22">
        <f>R598*_xlfn.XLOOKUP(S598,AG:AG,AI:AI)</f>
        <v>5312</v>
      </c>
      <c r="U598" s="22" t="s">
        <v>26</v>
      </c>
      <c r="W598" s="9">
        <v>463</v>
      </c>
      <c r="X598" s="9" t="s">
        <v>28</v>
      </c>
      <c r="Z598">
        <v>630</v>
      </c>
      <c r="AA598">
        <v>38855.199999999997</v>
      </c>
      <c r="AB598" t="s">
        <v>29</v>
      </c>
      <c r="AD598" s="20">
        <v>45660</v>
      </c>
    </row>
    <row r="599" spans="1:30">
      <c r="A599">
        <v>633</v>
      </c>
      <c r="B599" t="str">
        <f>_xlfn.XLOOKUP(A599,Z:Z,AB:AB,"not found")</f>
        <v>EUR</v>
      </c>
      <c r="C599">
        <f>_xlfn.XLOOKUP(A599,Z:Z,AA:AA)-_xlfn.XLOOKUP(A599,Q:Q,R:R,"0")</f>
        <v>0</v>
      </c>
      <c r="D599">
        <f>C599*_xlfn.XLOOKUP(B599,AG:AG,AH:AH)</f>
        <v>0</v>
      </c>
      <c r="E599">
        <f>C599*_xlfn.XLOOKUP(B599,AG:AG,AI:AI)</f>
        <v>0</v>
      </c>
      <c r="F599">
        <v>3630</v>
      </c>
      <c r="G599">
        <f>F599*_xlfn.XLOOKUP(B599,AG:AG,AH:AH)</f>
        <v>3630</v>
      </c>
      <c r="H599">
        <f>F599*_xlfn.XLOOKUP(B599,AG:AG,AI:AI)</f>
        <v>4210.7999999999993</v>
      </c>
      <c r="I599">
        <f t="shared" si="50"/>
        <v>0</v>
      </c>
      <c r="J599">
        <f>I599*_xlfn.XLOOKUP(B599,AG:AG,AI:AI)</f>
        <v>0</v>
      </c>
      <c r="K599" s="7">
        <f>_xlfn.XLOOKUP(A599,Z:Z,AD:AD)</f>
        <v>45930</v>
      </c>
      <c r="L599" s="7">
        <f t="shared" si="47"/>
        <v>45900</v>
      </c>
      <c r="M599">
        <f t="shared" si="48"/>
        <v>8</v>
      </c>
      <c r="N599">
        <f t="shared" si="49"/>
        <v>2025</v>
      </c>
      <c r="Q599" s="22">
        <v>1024</v>
      </c>
      <c r="R599" s="22">
        <v>12996</v>
      </c>
      <c r="S599" s="22" t="str">
        <f t="shared" si="51"/>
        <v>USD</v>
      </c>
      <c r="T599" s="22">
        <f>R599*_xlfn.XLOOKUP(S599,AG:AG,AI:AI)</f>
        <v>12996</v>
      </c>
      <c r="U599" s="22" t="s">
        <v>26</v>
      </c>
      <c r="W599" s="9">
        <v>464</v>
      </c>
      <c r="X599" s="9" t="s">
        <v>29</v>
      </c>
      <c r="Z599">
        <v>631</v>
      </c>
      <c r="AA599">
        <v>9100.7000000000007</v>
      </c>
      <c r="AB599" t="s">
        <v>29</v>
      </c>
      <c r="AD599" s="20">
        <v>45897</v>
      </c>
    </row>
    <row r="600" spans="1:30">
      <c r="A600">
        <v>634</v>
      </c>
      <c r="B600" t="str">
        <f>_xlfn.XLOOKUP(A600,Z:Z,AB:AB,"not found")</f>
        <v>EUR</v>
      </c>
      <c r="C600">
        <f>_xlfn.XLOOKUP(A600,Z:Z,AA:AA)-_xlfn.XLOOKUP(A600,Q:Q,R:R,"0")</f>
        <v>0</v>
      </c>
      <c r="D600">
        <f>C600*_xlfn.XLOOKUP(B600,AG:AG,AH:AH)</f>
        <v>0</v>
      </c>
      <c r="E600">
        <f>C600*_xlfn.XLOOKUP(B600,AG:AG,AI:AI)</f>
        <v>0</v>
      </c>
      <c r="F600">
        <v>3528</v>
      </c>
      <c r="G600">
        <f>F600*_xlfn.XLOOKUP(B600,AG:AG,AH:AH)</f>
        <v>3528</v>
      </c>
      <c r="H600">
        <f>F600*_xlfn.XLOOKUP(B600,AG:AG,AI:AI)</f>
        <v>4092.4799999999996</v>
      </c>
      <c r="I600">
        <f t="shared" si="50"/>
        <v>0</v>
      </c>
      <c r="J600">
        <f>I600*_xlfn.XLOOKUP(B600,AG:AG,AI:AI)</f>
        <v>0</v>
      </c>
      <c r="K600" s="7">
        <f>_xlfn.XLOOKUP(A600,Z:Z,AD:AD)</f>
        <v>45930</v>
      </c>
      <c r="L600" s="7">
        <f t="shared" si="47"/>
        <v>45900</v>
      </c>
      <c r="M600">
        <f t="shared" si="48"/>
        <v>8</v>
      </c>
      <c r="N600">
        <f t="shared" si="49"/>
        <v>2025</v>
      </c>
      <c r="Q600" s="22">
        <v>1030</v>
      </c>
      <c r="R600" s="22">
        <v>568.5</v>
      </c>
      <c r="S600" s="22" t="str">
        <f t="shared" si="51"/>
        <v>CHF</v>
      </c>
      <c r="T600" s="22">
        <f>R600*_xlfn.XLOOKUP(S600,AG:AG,AI:AI)</f>
        <v>710.625</v>
      </c>
      <c r="U600" s="22" t="s">
        <v>26</v>
      </c>
      <c r="W600" s="9">
        <v>465</v>
      </c>
      <c r="X600" s="9" t="s">
        <v>27</v>
      </c>
      <c r="Z600">
        <v>633</v>
      </c>
      <c r="AA600">
        <v>3630</v>
      </c>
      <c r="AB600" t="s">
        <v>27</v>
      </c>
      <c r="AD600" s="20">
        <v>45930</v>
      </c>
    </row>
    <row r="601" spans="1:30">
      <c r="A601">
        <v>635</v>
      </c>
      <c r="B601" t="str">
        <f>_xlfn.XLOOKUP(A601,Z:Z,AB:AB,"not found")</f>
        <v>GPB</v>
      </c>
      <c r="C601">
        <f>_xlfn.XLOOKUP(A601,Z:Z,AA:AA)-_xlfn.XLOOKUP(A601,Q:Q,R:R,"0")</f>
        <v>0</v>
      </c>
      <c r="D601">
        <f>C601*_xlfn.XLOOKUP(B601,AG:AG,AH:AH)</f>
        <v>0</v>
      </c>
      <c r="E601">
        <f>C601*_xlfn.XLOOKUP(B601,AG:AG,AI:AI)</f>
        <v>0</v>
      </c>
      <c r="F601">
        <v>5000</v>
      </c>
      <c r="G601">
        <f>F601*_xlfn.XLOOKUP(B601,AG:AG,AH:AH)</f>
        <v>5750</v>
      </c>
      <c r="H601">
        <f>F601*_xlfn.XLOOKUP(B601,AG:AG,AI:AI)</f>
        <v>6700</v>
      </c>
      <c r="I601">
        <f t="shared" si="50"/>
        <v>0</v>
      </c>
      <c r="J601">
        <f>I601*_xlfn.XLOOKUP(B601,AG:AG,AI:AI)</f>
        <v>0</v>
      </c>
      <c r="K601" s="7">
        <f>_xlfn.XLOOKUP(A601,Z:Z,AD:AD)</f>
        <v>45899</v>
      </c>
      <c r="L601" s="7">
        <f t="shared" si="47"/>
        <v>45869</v>
      </c>
      <c r="M601">
        <f t="shared" si="48"/>
        <v>7</v>
      </c>
      <c r="N601">
        <f t="shared" si="49"/>
        <v>2025</v>
      </c>
      <c r="Q601" s="22">
        <v>1033</v>
      </c>
      <c r="R601" s="22">
        <v>3000.27</v>
      </c>
      <c r="S601" s="22" t="str">
        <f t="shared" si="51"/>
        <v>USD</v>
      </c>
      <c r="T601" s="22">
        <f>R601*_xlfn.XLOOKUP(S601,AG:AG,AI:AI)</f>
        <v>3000.27</v>
      </c>
      <c r="U601" s="22" t="s">
        <v>26</v>
      </c>
      <c r="W601" s="9">
        <v>465</v>
      </c>
      <c r="X601" s="9" t="s">
        <v>27</v>
      </c>
      <c r="Z601">
        <v>634</v>
      </c>
      <c r="AA601">
        <v>3528</v>
      </c>
      <c r="AB601" t="s">
        <v>27</v>
      </c>
      <c r="AD601" s="20">
        <v>45930</v>
      </c>
    </row>
    <row r="602" spans="1:30">
      <c r="A602">
        <v>636</v>
      </c>
      <c r="B602" t="str">
        <f>_xlfn.XLOOKUP(A602,Z:Z,AB:AB,"not found")</f>
        <v>EUR</v>
      </c>
      <c r="C602">
        <f>_xlfn.XLOOKUP(A602,Z:Z,AA:AA)-_xlfn.XLOOKUP(A602,Q:Q,R:R,"0")</f>
        <v>0</v>
      </c>
      <c r="D602">
        <f>C602*_xlfn.XLOOKUP(B602,AG:AG,AH:AH)</f>
        <v>0</v>
      </c>
      <c r="E602">
        <f>C602*_xlfn.XLOOKUP(B602,AG:AG,AI:AI)</f>
        <v>0</v>
      </c>
      <c r="F602">
        <v>1221</v>
      </c>
      <c r="G602">
        <f>F602*_xlfn.XLOOKUP(B602,AG:AG,AH:AH)</f>
        <v>1221</v>
      </c>
      <c r="H602">
        <f>F602*_xlfn.XLOOKUP(B602,AG:AG,AI:AI)</f>
        <v>1416.36</v>
      </c>
      <c r="I602">
        <f t="shared" si="50"/>
        <v>0</v>
      </c>
      <c r="J602">
        <f>I602*_xlfn.XLOOKUP(B602,AG:AG,AI:AI)</f>
        <v>0</v>
      </c>
      <c r="K602" s="7">
        <f>_xlfn.XLOOKUP(A602,Z:Z,AD:AD)</f>
        <v>45907</v>
      </c>
      <c r="L602" s="7">
        <f t="shared" si="47"/>
        <v>45877</v>
      </c>
      <c r="M602">
        <f t="shared" si="48"/>
        <v>8</v>
      </c>
      <c r="N602">
        <f t="shared" si="49"/>
        <v>2025</v>
      </c>
      <c r="Q602" s="22">
        <v>1036</v>
      </c>
      <c r="R602" s="22">
        <v>551.29999999999995</v>
      </c>
      <c r="S602" s="22" t="str">
        <f t="shared" si="51"/>
        <v>USD</v>
      </c>
      <c r="T602" s="22">
        <f>R602*_xlfn.XLOOKUP(S602,AG:AG,AI:AI)</f>
        <v>551.29999999999995</v>
      </c>
      <c r="U602" s="22" t="s">
        <v>26</v>
      </c>
      <c r="W602" s="9">
        <v>467</v>
      </c>
      <c r="X602" s="9" t="s">
        <v>28</v>
      </c>
      <c r="Z602">
        <v>635</v>
      </c>
      <c r="AA602">
        <v>5000</v>
      </c>
      <c r="AB602" t="s">
        <v>32</v>
      </c>
      <c r="AD602" s="20">
        <v>45899</v>
      </c>
    </row>
    <row r="603" spans="1:30">
      <c r="A603">
        <v>637</v>
      </c>
      <c r="B603" t="str">
        <f>_xlfn.XLOOKUP(A603,Z:Z,AB:AB,"not found")</f>
        <v>EUR</v>
      </c>
      <c r="C603">
        <f>_xlfn.XLOOKUP(A603,Z:Z,AA:AA)-_xlfn.XLOOKUP(A603,Q:Q,R:R,"0")</f>
        <v>0</v>
      </c>
      <c r="D603">
        <f>C603*_xlfn.XLOOKUP(B603,AG:AG,AH:AH)</f>
        <v>0</v>
      </c>
      <c r="E603">
        <f>C603*_xlfn.XLOOKUP(B603,AG:AG,AI:AI)</f>
        <v>0</v>
      </c>
      <c r="F603">
        <v>1158.04</v>
      </c>
      <c r="G603">
        <f>F603*_xlfn.XLOOKUP(B603,AG:AG,AH:AH)</f>
        <v>1158.04</v>
      </c>
      <c r="H603">
        <f>F603*_xlfn.XLOOKUP(B603,AG:AG,AI:AI)</f>
        <v>1343.3263999999999</v>
      </c>
      <c r="I603">
        <f t="shared" si="50"/>
        <v>0</v>
      </c>
      <c r="J603">
        <f>I603*_xlfn.XLOOKUP(B603,AG:AG,AI:AI)</f>
        <v>0</v>
      </c>
      <c r="K603" s="7">
        <f>_xlfn.XLOOKUP(A603,Z:Z,AD:AD)</f>
        <v>45914</v>
      </c>
      <c r="L603" s="7">
        <f t="shared" si="47"/>
        <v>45884</v>
      </c>
      <c r="M603">
        <f t="shared" si="48"/>
        <v>8</v>
      </c>
      <c r="N603">
        <f t="shared" si="49"/>
        <v>2025</v>
      </c>
      <c r="Q603" s="22">
        <v>1037</v>
      </c>
      <c r="R603" s="22">
        <v>5589</v>
      </c>
      <c r="S603" s="22" t="str">
        <f t="shared" si="51"/>
        <v>USD</v>
      </c>
      <c r="T603" s="22">
        <f>R603*_xlfn.XLOOKUP(S603,AG:AG,AI:AI)</f>
        <v>5589</v>
      </c>
      <c r="U603" s="22" t="s">
        <v>26</v>
      </c>
      <c r="W603" s="9">
        <v>468</v>
      </c>
      <c r="X603" s="9" t="s">
        <v>29</v>
      </c>
      <c r="Z603">
        <v>636</v>
      </c>
      <c r="AA603">
        <v>1221</v>
      </c>
      <c r="AB603" t="s">
        <v>27</v>
      </c>
      <c r="AD603" s="20">
        <v>45907</v>
      </c>
    </row>
    <row r="604" spans="1:30">
      <c r="A604">
        <v>638</v>
      </c>
      <c r="B604" t="str">
        <f>_xlfn.XLOOKUP(A604,Z:Z,AB:AB,"not found")</f>
        <v>EUR</v>
      </c>
      <c r="C604">
        <f>_xlfn.XLOOKUP(A604,Z:Z,AA:AA)-_xlfn.XLOOKUP(A604,Q:Q,R:R,"0")</f>
        <v>0</v>
      </c>
      <c r="D604">
        <f>C604*_xlfn.XLOOKUP(B604,AG:AG,AH:AH)</f>
        <v>0</v>
      </c>
      <c r="E604">
        <f>C604*_xlfn.XLOOKUP(B604,AG:AG,AI:AI)</f>
        <v>0</v>
      </c>
      <c r="F604">
        <v>9570</v>
      </c>
      <c r="G604">
        <f>F604*_xlfn.XLOOKUP(B604,AG:AG,AH:AH)</f>
        <v>9570</v>
      </c>
      <c r="H604">
        <f>F604*_xlfn.XLOOKUP(B604,AG:AG,AI:AI)</f>
        <v>11101.199999999999</v>
      </c>
      <c r="I604">
        <f t="shared" si="50"/>
        <v>0</v>
      </c>
      <c r="J604">
        <f>I604*_xlfn.XLOOKUP(B604,AG:AG,AI:AI)</f>
        <v>0</v>
      </c>
      <c r="K604" s="7">
        <f>_xlfn.XLOOKUP(A604,Z:Z,AD:AD)</f>
        <v>45869</v>
      </c>
      <c r="L604" s="7">
        <f t="shared" si="47"/>
        <v>45839</v>
      </c>
      <c r="M604">
        <f t="shared" si="48"/>
        <v>7</v>
      </c>
      <c r="N604">
        <f t="shared" si="49"/>
        <v>2025</v>
      </c>
      <c r="Q604" s="22">
        <v>1045</v>
      </c>
      <c r="R604" s="22">
        <v>2065</v>
      </c>
      <c r="S604" s="22" t="str">
        <f t="shared" si="51"/>
        <v>USD</v>
      </c>
      <c r="T604" s="22">
        <f>R604*_xlfn.XLOOKUP(S604,AG:AG,AI:AI)</f>
        <v>2065</v>
      </c>
      <c r="U604" s="22" t="s">
        <v>26</v>
      </c>
      <c r="W604" s="9">
        <v>468</v>
      </c>
      <c r="X604" s="9" t="s">
        <v>29</v>
      </c>
      <c r="Z604">
        <v>637</v>
      </c>
      <c r="AA604">
        <v>1158.04</v>
      </c>
      <c r="AB604" t="s">
        <v>27</v>
      </c>
      <c r="AD604" s="20">
        <v>45914</v>
      </c>
    </row>
    <row r="605" spans="1:30">
      <c r="A605">
        <v>640</v>
      </c>
      <c r="B605" t="str">
        <f>_xlfn.XLOOKUP(A605,Z:Z,AB:AB,"not found")</f>
        <v>EUR</v>
      </c>
      <c r="C605">
        <f>_xlfn.XLOOKUP(A605,Z:Z,AA:AA)-_xlfn.XLOOKUP(A605,Q:Q,R:R,"0")</f>
        <v>0</v>
      </c>
      <c r="D605">
        <f>C605*_xlfn.XLOOKUP(B605,AG:AG,AH:AH)</f>
        <v>0</v>
      </c>
      <c r="E605">
        <f>C605*_xlfn.XLOOKUP(B605,AG:AG,AI:AI)</f>
        <v>0</v>
      </c>
      <c r="F605">
        <v>200</v>
      </c>
      <c r="G605">
        <f>F605*_xlfn.XLOOKUP(B605,AG:AG,AH:AH)</f>
        <v>200</v>
      </c>
      <c r="H605">
        <f>F605*_xlfn.XLOOKUP(B605,AG:AG,AI:AI)</f>
        <v>231.99999999999997</v>
      </c>
      <c r="I605">
        <f t="shared" si="50"/>
        <v>0</v>
      </c>
      <c r="J605">
        <f>I605*_xlfn.XLOOKUP(B605,AG:AG,AI:AI)</f>
        <v>0</v>
      </c>
      <c r="K605" s="7">
        <f>_xlfn.XLOOKUP(A605,Z:Z,AD:AD)</f>
        <v>45901</v>
      </c>
      <c r="L605" s="7">
        <f t="shared" si="47"/>
        <v>45871</v>
      </c>
      <c r="M605">
        <f t="shared" si="48"/>
        <v>8</v>
      </c>
      <c r="N605">
        <f t="shared" si="49"/>
        <v>2025</v>
      </c>
      <c r="Q605" s="22">
        <v>1055</v>
      </c>
      <c r="R605" s="22">
        <v>447.48</v>
      </c>
      <c r="S605" s="22" t="str">
        <f t="shared" si="51"/>
        <v>USD</v>
      </c>
      <c r="T605" s="22">
        <f>R605*_xlfn.XLOOKUP(S605,AG:AG,AI:AI)</f>
        <v>447.48</v>
      </c>
      <c r="U605" s="22" t="s">
        <v>26</v>
      </c>
      <c r="W605" s="9">
        <v>468</v>
      </c>
      <c r="X605" s="9" t="s">
        <v>29</v>
      </c>
      <c r="Z605">
        <v>638</v>
      </c>
      <c r="AA605">
        <v>9570</v>
      </c>
      <c r="AB605" t="s">
        <v>27</v>
      </c>
      <c r="AD605" s="20">
        <v>45869</v>
      </c>
    </row>
    <row r="606" spans="1:30">
      <c r="A606">
        <v>641</v>
      </c>
      <c r="B606" t="str">
        <f>_xlfn.XLOOKUP(A606,Z:Z,AB:AB,"not found")</f>
        <v>USD</v>
      </c>
      <c r="C606">
        <f>_xlfn.XLOOKUP(A606,Z:Z,AA:AA)-_xlfn.XLOOKUP(A606,Q:Q,R:R,"0")</f>
        <v>49711.93</v>
      </c>
      <c r="D606">
        <f>C606*_xlfn.XLOOKUP(B606,AG:AG,AH:AH)</f>
        <v>42752.2598</v>
      </c>
      <c r="E606">
        <f>C606*_xlfn.XLOOKUP(B606,AG:AG,AI:AI)</f>
        <v>49711.93</v>
      </c>
      <c r="F606">
        <v>49711.93</v>
      </c>
      <c r="G606">
        <f>F606*_xlfn.XLOOKUP(B606,AG:AG,AH:AH)</f>
        <v>42752.2598</v>
      </c>
      <c r="H606">
        <f>F606*_xlfn.XLOOKUP(B606,AG:AG,AI:AI)</f>
        <v>49711.93</v>
      </c>
      <c r="I606">
        <f t="shared" si="50"/>
        <v>0</v>
      </c>
      <c r="J606">
        <f>I606*_xlfn.XLOOKUP(B606,AG:AG,AI:AI)</f>
        <v>0</v>
      </c>
      <c r="K606" s="7">
        <f>_xlfn.XLOOKUP(A606,Z:Z,AD:AD)</f>
        <v>46006</v>
      </c>
      <c r="L606" s="7">
        <f t="shared" si="47"/>
        <v>45976</v>
      </c>
      <c r="M606">
        <f t="shared" si="48"/>
        <v>11</v>
      </c>
      <c r="N606">
        <f t="shared" si="49"/>
        <v>2025</v>
      </c>
      <c r="Q606" s="22">
        <v>1059</v>
      </c>
      <c r="R606" s="22">
        <v>873</v>
      </c>
      <c r="S606" s="22" t="str">
        <f t="shared" si="51"/>
        <v>GBP</v>
      </c>
      <c r="T606" s="22">
        <f>R606*_xlfn.XLOOKUP(S606,AG:AG,AI:AI)</f>
        <v>1169.8200000000002</v>
      </c>
      <c r="U606" s="22" t="s">
        <v>26</v>
      </c>
      <c r="W606" s="9">
        <v>468</v>
      </c>
      <c r="X606" s="9" t="s">
        <v>29</v>
      </c>
      <c r="Z606">
        <v>640</v>
      </c>
      <c r="AA606">
        <v>200</v>
      </c>
      <c r="AB606" t="s">
        <v>27</v>
      </c>
      <c r="AD606" s="20">
        <v>45901</v>
      </c>
    </row>
    <row r="607" spans="1:30">
      <c r="A607">
        <v>642</v>
      </c>
      <c r="B607" t="str">
        <f>_xlfn.XLOOKUP(A607,Z:Z,AB:AB,"not found")</f>
        <v>EUR</v>
      </c>
      <c r="C607">
        <f>_xlfn.XLOOKUP(A607,Z:Z,AA:AA)-_xlfn.XLOOKUP(A607,Q:Q,R:R,"0")</f>
        <v>0</v>
      </c>
      <c r="D607">
        <f>C607*_xlfn.XLOOKUP(B607,AG:AG,AH:AH)</f>
        <v>0</v>
      </c>
      <c r="E607">
        <f>C607*_xlfn.XLOOKUP(B607,AG:AG,AI:AI)</f>
        <v>0</v>
      </c>
      <c r="F607">
        <v>7395</v>
      </c>
      <c r="G607">
        <f>F607*_xlfn.XLOOKUP(B607,AG:AG,AH:AH)</f>
        <v>7395</v>
      </c>
      <c r="H607">
        <f>F607*_xlfn.XLOOKUP(B607,AG:AG,AI:AI)</f>
        <v>8578.1999999999989</v>
      </c>
      <c r="I607">
        <f t="shared" si="50"/>
        <v>0</v>
      </c>
      <c r="J607">
        <f>I607*_xlfn.XLOOKUP(B607,AG:AG,AI:AI)</f>
        <v>0</v>
      </c>
      <c r="K607" s="7">
        <f>_xlfn.XLOOKUP(A607,Z:Z,AD:AD)</f>
        <v>45907</v>
      </c>
      <c r="L607" s="7">
        <f t="shared" si="47"/>
        <v>45877</v>
      </c>
      <c r="M607">
        <f t="shared" si="48"/>
        <v>8</v>
      </c>
      <c r="N607">
        <f t="shared" si="49"/>
        <v>2025</v>
      </c>
      <c r="Q607" s="22">
        <v>1060</v>
      </c>
      <c r="R607" s="22">
        <v>3420</v>
      </c>
      <c r="S607" s="22" t="str">
        <f t="shared" si="51"/>
        <v>EUR</v>
      </c>
      <c r="T607" s="22">
        <f>R607*_xlfn.XLOOKUP(S607,AG:AG,AI:AI)</f>
        <v>3967.2</v>
      </c>
      <c r="U607" s="22" t="s">
        <v>26</v>
      </c>
      <c r="W607" s="9">
        <v>468</v>
      </c>
      <c r="X607" s="9" t="s">
        <v>29</v>
      </c>
      <c r="Z607">
        <v>641</v>
      </c>
      <c r="AA607">
        <v>49711.93</v>
      </c>
      <c r="AB607" t="s">
        <v>29</v>
      </c>
      <c r="AD607" s="20">
        <v>46006</v>
      </c>
    </row>
    <row r="608" spans="1:30">
      <c r="A608">
        <v>643</v>
      </c>
      <c r="B608" t="str">
        <f>_xlfn.XLOOKUP(A608,Z:Z,AB:AB,"not found")</f>
        <v>JPY</v>
      </c>
      <c r="C608">
        <f>_xlfn.XLOOKUP(A608,Z:Z,AA:AA)-_xlfn.XLOOKUP(A608,Q:Q,R:R,"0")</f>
        <v>0</v>
      </c>
      <c r="D608">
        <f>C608*_xlfn.XLOOKUP(B608,AG:AG,AH:AH)</f>
        <v>0</v>
      </c>
      <c r="E608">
        <f>C608*_xlfn.XLOOKUP(B608,AG:AG,AI:AI)</f>
        <v>0</v>
      </c>
      <c r="F608">
        <v>1320000</v>
      </c>
      <c r="G608">
        <f>F608*_xlfn.XLOOKUP(B608,AG:AG,AH:AH)</f>
        <v>7260</v>
      </c>
      <c r="H608">
        <f>F608*_xlfn.XLOOKUP(B608,AG:AG,AI:AI)</f>
        <v>8448</v>
      </c>
      <c r="I608">
        <f t="shared" si="50"/>
        <v>0</v>
      </c>
      <c r="J608">
        <f>I608*_xlfn.XLOOKUP(B608,AG:AG,AI:AI)</f>
        <v>0</v>
      </c>
      <c r="K608" s="7">
        <f>_xlfn.XLOOKUP(A608,Z:Z,AD:AD)</f>
        <v>45964</v>
      </c>
      <c r="L608" s="7">
        <f t="shared" si="47"/>
        <v>45934</v>
      </c>
      <c r="M608">
        <f t="shared" si="48"/>
        <v>10</v>
      </c>
      <c r="N608">
        <f t="shared" si="49"/>
        <v>2025</v>
      </c>
      <c r="Q608" s="22">
        <v>1061</v>
      </c>
      <c r="R608" s="22">
        <v>9817</v>
      </c>
      <c r="S608" s="22" t="str">
        <f t="shared" si="51"/>
        <v>EUR</v>
      </c>
      <c r="T608" s="22">
        <f>R608*_xlfn.XLOOKUP(S608,AG:AG,AI:AI)</f>
        <v>11387.72</v>
      </c>
      <c r="U608" s="22" t="s">
        <v>26</v>
      </c>
      <c r="W608" s="9">
        <v>469</v>
      </c>
      <c r="X608" s="9" t="s">
        <v>29</v>
      </c>
      <c r="Z608">
        <v>642</v>
      </c>
      <c r="AA608">
        <v>7395</v>
      </c>
      <c r="AB608" t="s">
        <v>27</v>
      </c>
      <c r="AD608" s="20">
        <v>45907</v>
      </c>
    </row>
    <row r="609" spans="1:30">
      <c r="A609">
        <v>644</v>
      </c>
      <c r="B609" t="str">
        <f>_xlfn.XLOOKUP(A609,Z:Z,AB:AB,"not found")</f>
        <v>USD</v>
      </c>
      <c r="C609">
        <f>_xlfn.XLOOKUP(A609,Z:Z,AA:AA)-_xlfn.XLOOKUP(A609,Q:Q,R:R,"0")</f>
        <v>0</v>
      </c>
      <c r="D609">
        <f>C609*_xlfn.XLOOKUP(B609,AG:AG,AH:AH)</f>
        <v>0</v>
      </c>
      <c r="E609">
        <f>C609*_xlfn.XLOOKUP(B609,AG:AG,AI:AI)</f>
        <v>0</v>
      </c>
      <c r="F609">
        <v>3017.44</v>
      </c>
      <c r="G609">
        <f>F609*_xlfn.XLOOKUP(B609,AG:AG,AH:AH)</f>
        <v>2594.9983999999999</v>
      </c>
      <c r="H609">
        <f>F609*_xlfn.XLOOKUP(B609,AG:AG,AI:AI)</f>
        <v>3017.44</v>
      </c>
      <c r="I609">
        <f t="shared" si="50"/>
        <v>0</v>
      </c>
      <c r="J609">
        <f>I609*_xlfn.XLOOKUP(B609,AG:AG,AI:AI)</f>
        <v>0</v>
      </c>
      <c r="K609" s="7">
        <f>_xlfn.XLOOKUP(A609,Z:Z,AD:AD)</f>
        <v>45802</v>
      </c>
      <c r="L609" s="7">
        <f t="shared" si="47"/>
        <v>45772</v>
      </c>
      <c r="M609">
        <f t="shared" si="48"/>
        <v>4</v>
      </c>
      <c r="N609">
        <f t="shared" si="49"/>
        <v>2025</v>
      </c>
      <c r="Q609" s="22">
        <v>1062</v>
      </c>
      <c r="R609" s="22">
        <v>74200</v>
      </c>
      <c r="S609" s="22" t="str">
        <f t="shared" si="51"/>
        <v>EUR</v>
      </c>
      <c r="T609" s="22">
        <f>R609*_xlfn.XLOOKUP(S609,AG:AG,AI:AI)</f>
        <v>86072</v>
      </c>
      <c r="U609" s="22" t="s">
        <v>26</v>
      </c>
      <c r="W609" s="9">
        <v>470</v>
      </c>
      <c r="X609" s="9" t="s">
        <v>29</v>
      </c>
      <c r="Z609">
        <v>643</v>
      </c>
      <c r="AA609">
        <v>1320000</v>
      </c>
      <c r="AB609" t="s">
        <v>33</v>
      </c>
      <c r="AD609" s="20">
        <v>45964</v>
      </c>
    </row>
    <row r="610" spans="1:30">
      <c r="A610">
        <v>645</v>
      </c>
      <c r="B610" t="str">
        <f>_xlfn.XLOOKUP(A610,Z:Z,AB:AB,"not found")</f>
        <v>USD</v>
      </c>
      <c r="C610">
        <f>_xlfn.XLOOKUP(A610,Z:Z,AA:AA)-_xlfn.XLOOKUP(A610,Q:Q,R:R,"0")</f>
        <v>0</v>
      </c>
      <c r="D610">
        <f>C610*_xlfn.XLOOKUP(B610,AG:AG,AH:AH)</f>
        <v>0</v>
      </c>
      <c r="E610">
        <f>C610*_xlfn.XLOOKUP(B610,AG:AG,AI:AI)</f>
        <v>0</v>
      </c>
      <c r="F610">
        <v>2566.4</v>
      </c>
      <c r="G610">
        <f>F610*_xlfn.XLOOKUP(B610,AG:AG,AH:AH)</f>
        <v>2207.1040000000003</v>
      </c>
      <c r="H610">
        <f>F610*_xlfn.XLOOKUP(B610,AG:AG,AI:AI)</f>
        <v>2566.4</v>
      </c>
      <c r="I610">
        <f t="shared" si="50"/>
        <v>0</v>
      </c>
      <c r="J610">
        <f>I610*_xlfn.XLOOKUP(B610,AG:AG,AI:AI)</f>
        <v>0</v>
      </c>
      <c r="K610" s="7">
        <f>_xlfn.XLOOKUP(A610,Z:Z,AD:AD)</f>
        <v>45789</v>
      </c>
      <c r="L610" s="7">
        <f t="shared" si="47"/>
        <v>45759</v>
      </c>
      <c r="M610">
        <f t="shared" si="48"/>
        <v>4</v>
      </c>
      <c r="N610">
        <f t="shared" si="49"/>
        <v>2025</v>
      </c>
      <c r="Q610" s="22">
        <v>1063</v>
      </c>
      <c r="R610" s="22">
        <v>1845.54</v>
      </c>
      <c r="S610" s="22" t="str">
        <f t="shared" si="51"/>
        <v>USD</v>
      </c>
      <c r="T610" s="22">
        <f>R610*_xlfn.XLOOKUP(S610,AG:AG,AI:AI)</f>
        <v>1845.54</v>
      </c>
      <c r="U610" s="22" t="s">
        <v>26</v>
      </c>
      <c r="W610" s="9">
        <v>470</v>
      </c>
      <c r="X610" s="9" t="s">
        <v>29</v>
      </c>
      <c r="Z610">
        <v>644</v>
      </c>
      <c r="AA610">
        <v>3017.44</v>
      </c>
      <c r="AB610" t="s">
        <v>29</v>
      </c>
      <c r="AD610" s="20">
        <v>45802</v>
      </c>
    </row>
    <row r="611" spans="1:30">
      <c r="A611">
        <v>646</v>
      </c>
      <c r="B611" t="str">
        <f>_xlfn.XLOOKUP(A611,Z:Z,AB:AB,"not found")</f>
        <v>USD</v>
      </c>
      <c r="C611">
        <f>_xlfn.XLOOKUP(A611,Z:Z,AA:AA)-_xlfn.XLOOKUP(A611,Q:Q,R:R,"0")</f>
        <v>0</v>
      </c>
      <c r="D611">
        <f>C611*_xlfn.XLOOKUP(B611,AG:AG,AH:AH)</f>
        <v>0</v>
      </c>
      <c r="E611">
        <f>C611*_xlfn.XLOOKUP(B611,AG:AG,AI:AI)</f>
        <v>0</v>
      </c>
      <c r="F611">
        <v>1515.02</v>
      </c>
      <c r="G611">
        <f>F611*_xlfn.XLOOKUP(B611,AG:AG,AH:AH)</f>
        <v>1302.9171999999999</v>
      </c>
      <c r="H611">
        <f>F611*_xlfn.XLOOKUP(B611,AG:AG,AI:AI)</f>
        <v>1515.02</v>
      </c>
      <c r="I611">
        <f t="shared" si="50"/>
        <v>0</v>
      </c>
      <c r="J611">
        <f>I611*_xlfn.XLOOKUP(B611,AG:AG,AI:AI)</f>
        <v>0</v>
      </c>
      <c r="K611" s="7">
        <f>_xlfn.XLOOKUP(A611,Z:Z,AD:AD)</f>
        <v>45800</v>
      </c>
      <c r="L611" s="7">
        <f t="shared" si="47"/>
        <v>45770</v>
      </c>
      <c r="M611">
        <f t="shared" si="48"/>
        <v>4</v>
      </c>
      <c r="N611">
        <f t="shared" si="49"/>
        <v>2025</v>
      </c>
      <c r="Q611" s="22">
        <v>1065</v>
      </c>
      <c r="R611" s="22">
        <v>3014.1</v>
      </c>
      <c r="S611" s="22" t="str">
        <f t="shared" si="51"/>
        <v>USD</v>
      </c>
      <c r="T611" s="22">
        <f>R611*_xlfn.XLOOKUP(S611,AG:AG,AI:AI)</f>
        <v>3014.1</v>
      </c>
      <c r="U611" s="22" t="s">
        <v>26</v>
      </c>
      <c r="W611" s="9">
        <v>470</v>
      </c>
      <c r="X611" s="9" t="s">
        <v>29</v>
      </c>
      <c r="Z611">
        <v>645</v>
      </c>
      <c r="AA611">
        <v>2566.4</v>
      </c>
      <c r="AB611" t="s">
        <v>29</v>
      </c>
      <c r="AD611" s="20">
        <v>45789</v>
      </c>
    </row>
    <row r="612" spans="1:30">
      <c r="A612">
        <v>647</v>
      </c>
      <c r="B612" t="str">
        <f>_xlfn.XLOOKUP(A612,Z:Z,AB:AB,"not found")</f>
        <v>USD</v>
      </c>
      <c r="C612">
        <f>_xlfn.XLOOKUP(A612,Z:Z,AA:AA)-_xlfn.XLOOKUP(A612,Q:Q,R:R,"0")</f>
        <v>0</v>
      </c>
      <c r="D612">
        <f>C612*_xlfn.XLOOKUP(B612,AG:AG,AH:AH)</f>
        <v>0</v>
      </c>
      <c r="E612">
        <f>C612*_xlfn.XLOOKUP(B612,AG:AG,AI:AI)</f>
        <v>0</v>
      </c>
      <c r="F612">
        <v>1200</v>
      </c>
      <c r="G612">
        <f>F612*_xlfn.XLOOKUP(B612,AG:AG,AH:AH)</f>
        <v>1032</v>
      </c>
      <c r="H612">
        <f>F612*_xlfn.XLOOKUP(B612,AG:AG,AI:AI)</f>
        <v>1200</v>
      </c>
      <c r="I612">
        <f t="shared" si="50"/>
        <v>0</v>
      </c>
      <c r="J612">
        <f>I612*_xlfn.XLOOKUP(B612,AG:AG,AI:AI)</f>
        <v>0</v>
      </c>
      <c r="K612" s="7">
        <f>_xlfn.XLOOKUP(A612,Z:Z,AD:AD)</f>
        <v>45796</v>
      </c>
      <c r="L612" s="7">
        <f t="shared" ref="L612:L675" si="52">K612-30</f>
        <v>45766</v>
      </c>
      <c r="M612">
        <f t="shared" ref="M612:M675" si="53">MONTH(L612)</f>
        <v>4</v>
      </c>
      <c r="N612">
        <f t="shared" ref="N612:N675" si="54">YEAR(L612)</f>
        <v>2025</v>
      </c>
      <c r="Q612" s="22">
        <v>1067</v>
      </c>
      <c r="R612" s="22">
        <v>8760</v>
      </c>
      <c r="S612" s="22" t="str">
        <f t="shared" si="51"/>
        <v>USD</v>
      </c>
      <c r="T612" s="22">
        <f>R612*_xlfn.XLOOKUP(S612,AG:AG,AI:AI)</f>
        <v>8760</v>
      </c>
      <c r="U612" s="22" t="s">
        <v>26</v>
      </c>
      <c r="W612" s="9">
        <v>471</v>
      </c>
      <c r="X612" s="9" t="s">
        <v>29</v>
      </c>
      <c r="Z612">
        <v>646</v>
      </c>
      <c r="AA612">
        <v>1515.02</v>
      </c>
      <c r="AB612" t="s">
        <v>29</v>
      </c>
      <c r="AD612" s="20">
        <v>45800</v>
      </c>
    </row>
    <row r="613" spans="1:30">
      <c r="A613">
        <v>648</v>
      </c>
      <c r="B613" t="str">
        <f>_xlfn.XLOOKUP(A613,Z:Z,AB:AB,"not found")</f>
        <v>JPY</v>
      </c>
      <c r="C613">
        <f>_xlfn.XLOOKUP(A613,Z:Z,AA:AA)-_xlfn.XLOOKUP(A613,Q:Q,R:R,"0")</f>
        <v>0</v>
      </c>
      <c r="D613">
        <f>C613*_xlfn.XLOOKUP(B613,AG:AG,AH:AH)</f>
        <v>0</v>
      </c>
      <c r="E613">
        <f>C613*_xlfn.XLOOKUP(B613,AG:AG,AI:AI)</f>
        <v>0</v>
      </c>
      <c r="F613">
        <v>3120143</v>
      </c>
      <c r="G613">
        <f>F613*_xlfn.XLOOKUP(B613,AG:AG,AH:AH)</f>
        <v>17160.786499999998</v>
      </c>
      <c r="H613">
        <f>F613*_xlfn.XLOOKUP(B613,AG:AG,AI:AI)</f>
        <v>19968.915199999999</v>
      </c>
      <c r="I613">
        <f t="shared" si="50"/>
        <v>0</v>
      </c>
      <c r="J613">
        <f>I613*_xlfn.XLOOKUP(B613,AG:AG,AI:AI)</f>
        <v>0</v>
      </c>
      <c r="K613" s="7">
        <f>_xlfn.XLOOKUP(A613,Z:Z,AD:AD)</f>
        <v>46094</v>
      </c>
      <c r="L613" s="7">
        <f t="shared" si="52"/>
        <v>46064</v>
      </c>
      <c r="M613">
        <f t="shared" si="53"/>
        <v>2</v>
      </c>
      <c r="N613">
        <f t="shared" si="54"/>
        <v>2026</v>
      </c>
      <c r="Q613" s="22">
        <v>1068</v>
      </c>
      <c r="R613" s="22">
        <v>857.32</v>
      </c>
      <c r="S613" s="22" t="str">
        <f t="shared" si="51"/>
        <v>EUR</v>
      </c>
      <c r="T613" s="22">
        <f>R613*_xlfn.XLOOKUP(S613,AG:AG,AI:AI)</f>
        <v>994.49119999999994</v>
      </c>
      <c r="U613" s="22" t="s">
        <v>26</v>
      </c>
      <c r="W613" s="9">
        <v>471</v>
      </c>
      <c r="X613" s="9" t="s">
        <v>29</v>
      </c>
      <c r="Z613">
        <v>647</v>
      </c>
      <c r="AA613">
        <v>1200</v>
      </c>
      <c r="AB613" t="s">
        <v>29</v>
      </c>
      <c r="AD613" s="20">
        <v>45796</v>
      </c>
    </row>
    <row r="614" spans="1:30">
      <c r="A614">
        <v>649</v>
      </c>
      <c r="B614" t="str">
        <f>_xlfn.XLOOKUP(A614,Z:Z,AB:AB,"not found")</f>
        <v>USD</v>
      </c>
      <c r="C614">
        <f>_xlfn.XLOOKUP(A614,Z:Z,AA:AA)-_xlfn.XLOOKUP(A614,Q:Q,R:R,"0")</f>
        <v>0</v>
      </c>
      <c r="D614">
        <f>C614*_xlfn.XLOOKUP(B614,AG:AG,AH:AH)</f>
        <v>0</v>
      </c>
      <c r="E614">
        <f>C614*_xlfn.XLOOKUP(B614,AG:AG,AI:AI)</f>
        <v>0</v>
      </c>
      <c r="F614">
        <v>13274.97</v>
      </c>
      <c r="G614">
        <f>F614*_xlfn.XLOOKUP(B614,AG:AG,AH:AH)</f>
        <v>11416.474199999999</v>
      </c>
      <c r="H614">
        <f>F614*_xlfn.XLOOKUP(B614,AG:AG,AI:AI)</f>
        <v>13274.97</v>
      </c>
      <c r="I614">
        <f t="shared" si="50"/>
        <v>0</v>
      </c>
      <c r="J614">
        <f>I614*_xlfn.XLOOKUP(B614,AG:AG,AI:AI)</f>
        <v>0</v>
      </c>
      <c r="K614" s="7">
        <f>_xlfn.XLOOKUP(A614,Z:Z,AD:AD)</f>
        <v>46009</v>
      </c>
      <c r="L614" s="7">
        <f t="shared" si="52"/>
        <v>45979</v>
      </c>
      <c r="M614">
        <f t="shared" si="53"/>
        <v>11</v>
      </c>
      <c r="N614">
        <f t="shared" si="54"/>
        <v>2025</v>
      </c>
      <c r="Q614" s="22">
        <v>1069</v>
      </c>
      <c r="R614" s="22">
        <v>1897.2</v>
      </c>
      <c r="S614" s="22" t="str">
        <f t="shared" si="51"/>
        <v>USD</v>
      </c>
      <c r="T614" s="22">
        <f>R614*_xlfn.XLOOKUP(S614,AG:AG,AI:AI)</f>
        <v>1897.2</v>
      </c>
      <c r="U614" s="22" t="s">
        <v>26</v>
      </c>
      <c r="W614" s="9">
        <v>471</v>
      </c>
      <c r="X614" s="9" t="s">
        <v>29</v>
      </c>
      <c r="Z614">
        <v>648</v>
      </c>
      <c r="AA614">
        <v>3120143</v>
      </c>
      <c r="AB614" t="s">
        <v>33</v>
      </c>
      <c r="AD614" s="20">
        <v>46094</v>
      </c>
    </row>
    <row r="615" spans="1:30">
      <c r="A615">
        <v>650</v>
      </c>
      <c r="B615" t="str">
        <f>_xlfn.XLOOKUP(A615,Z:Z,AB:AB,"not found")</f>
        <v>EUR</v>
      </c>
      <c r="C615">
        <f>_xlfn.XLOOKUP(A615,Z:Z,AA:AA)-_xlfn.XLOOKUP(A615,Q:Q,R:R,"0")</f>
        <v>0</v>
      </c>
      <c r="D615">
        <f>C615*_xlfn.XLOOKUP(B615,AG:AG,AH:AH)</f>
        <v>0</v>
      </c>
      <c r="E615">
        <f>C615*_xlfn.XLOOKUP(B615,AG:AG,AI:AI)</f>
        <v>0</v>
      </c>
      <c r="F615">
        <v>1928.28</v>
      </c>
      <c r="G615">
        <f>F615*_xlfn.XLOOKUP(B615,AG:AG,AH:AH)</f>
        <v>1928.28</v>
      </c>
      <c r="H615">
        <f>F615*_xlfn.XLOOKUP(B615,AG:AG,AI:AI)</f>
        <v>2236.8047999999999</v>
      </c>
      <c r="I615">
        <f t="shared" si="50"/>
        <v>0</v>
      </c>
      <c r="J615">
        <f>I615*_xlfn.XLOOKUP(B615,AG:AG,AI:AI)</f>
        <v>0</v>
      </c>
      <c r="K615" s="7">
        <f>_xlfn.XLOOKUP(A615,Z:Z,AD:AD)</f>
        <v>45896</v>
      </c>
      <c r="L615" s="7">
        <f t="shared" si="52"/>
        <v>45866</v>
      </c>
      <c r="M615">
        <f t="shared" si="53"/>
        <v>7</v>
      </c>
      <c r="N615">
        <f t="shared" si="54"/>
        <v>2025</v>
      </c>
      <c r="Q615" s="22">
        <v>1071</v>
      </c>
      <c r="R615" s="22">
        <v>788.74</v>
      </c>
      <c r="S615" s="22" t="str">
        <f t="shared" si="51"/>
        <v>USD</v>
      </c>
      <c r="T615" s="22">
        <f>R615*_xlfn.XLOOKUP(S615,AG:AG,AI:AI)</f>
        <v>788.74</v>
      </c>
      <c r="U615" s="22" t="s">
        <v>26</v>
      </c>
      <c r="W615" s="9">
        <v>471</v>
      </c>
      <c r="X615" s="9" t="s">
        <v>29</v>
      </c>
      <c r="Z615">
        <v>649</v>
      </c>
      <c r="AA615">
        <v>13274.97</v>
      </c>
      <c r="AB615" t="s">
        <v>29</v>
      </c>
      <c r="AD615" s="20">
        <v>46009</v>
      </c>
    </row>
    <row r="616" spans="1:30">
      <c r="A616">
        <v>651</v>
      </c>
      <c r="B616" t="str">
        <f>_xlfn.XLOOKUP(A616,Z:Z,AB:AB,"not found")</f>
        <v>USD</v>
      </c>
      <c r="C616">
        <f>_xlfn.XLOOKUP(A616,Z:Z,AA:AA)-_xlfn.XLOOKUP(A616,Q:Q,R:R,"0")</f>
        <v>0</v>
      </c>
      <c r="D616">
        <f>C616*_xlfn.XLOOKUP(B616,AG:AG,AH:AH)</f>
        <v>0</v>
      </c>
      <c r="E616">
        <f>C616*_xlfn.XLOOKUP(B616,AG:AG,AI:AI)</f>
        <v>0</v>
      </c>
      <c r="F616">
        <v>4760</v>
      </c>
      <c r="G616">
        <f>F616*_xlfn.XLOOKUP(B616,AG:AG,AH:AH)</f>
        <v>4093.6</v>
      </c>
      <c r="H616">
        <f>F616*_xlfn.XLOOKUP(B616,AG:AG,AI:AI)</f>
        <v>4760</v>
      </c>
      <c r="I616">
        <f t="shared" si="50"/>
        <v>0</v>
      </c>
      <c r="J616">
        <f>I616*_xlfn.XLOOKUP(B616,AG:AG,AI:AI)</f>
        <v>0</v>
      </c>
      <c r="K616" s="7">
        <f>_xlfn.XLOOKUP(A616,Z:Z,AD:AD)</f>
        <v>45953</v>
      </c>
      <c r="L616" s="7">
        <f t="shared" si="52"/>
        <v>45923</v>
      </c>
      <c r="M616">
        <f t="shared" si="53"/>
        <v>9</v>
      </c>
      <c r="N616">
        <f t="shared" si="54"/>
        <v>2025</v>
      </c>
      <c r="Q616" s="22">
        <v>1072</v>
      </c>
      <c r="R616" s="22">
        <v>708.8</v>
      </c>
      <c r="S616" s="22" t="str">
        <f t="shared" si="51"/>
        <v>USD</v>
      </c>
      <c r="T616" s="22">
        <f>R616*_xlfn.XLOOKUP(S616,AG:AG,AI:AI)</f>
        <v>708.8</v>
      </c>
      <c r="U616" s="22" t="s">
        <v>26</v>
      </c>
      <c r="W616" s="9">
        <v>472</v>
      </c>
      <c r="X616" s="9" t="s">
        <v>29</v>
      </c>
      <c r="Z616">
        <v>650</v>
      </c>
      <c r="AA616">
        <v>1928.28</v>
      </c>
      <c r="AB616" t="s">
        <v>27</v>
      </c>
      <c r="AD616" s="20">
        <v>45896</v>
      </c>
    </row>
    <row r="617" spans="1:30">
      <c r="A617">
        <v>652</v>
      </c>
      <c r="B617" t="str">
        <f>_xlfn.XLOOKUP(A617,Z:Z,AB:AB,"not found")</f>
        <v>EUR</v>
      </c>
      <c r="C617">
        <f>_xlfn.XLOOKUP(A617,Z:Z,AA:AA)-_xlfn.XLOOKUP(A617,Q:Q,R:R,"0")</f>
        <v>0</v>
      </c>
      <c r="D617">
        <f>C617*_xlfn.XLOOKUP(B617,AG:AG,AH:AH)</f>
        <v>0</v>
      </c>
      <c r="E617">
        <f>C617*_xlfn.XLOOKUP(B617,AG:AG,AI:AI)</f>
        <v>0</v>
      </c>
      <c r="F617">
        <v>1990</v>
      </c>
      <c r="G617">
        <f>F617*_xlfn.XLOOKUP(B617,AG:AG,AH:AH)</f>
        <v>1990</v>
      </c>
      <c r="H617">
        <f>F617*_xlfn.XLOOKUP(B617,AG:AG,AI:AI)</f>
        <v>2308.3999999999996</v>
      </c>
      <c r="I617">
        <f t="shared" si="50"/>
        <v>0</v>
      </c>
      <c r="J617">
        <f>I617*_xlfn.XLOOKUP(B617,AG:AG,AI:AI)</f>
        <v>0</v>
      </c>
      <c r="K617" s="7">
        <f>_xlfn.XLOOKUP(A617,Z:Z,AD:AD)</f>
        <v>45921</v>
      </c>
      <c r="L617" s="7">
        <f t="shared" si="52"/>
        <v>45891</v>
      </c>
      <c r="M617">
        <f t="shared" si="53"/>
        <v>8</v>
      </c>
      <c r="N617">
        <f t="shared" si="54"/>
        <v>2025</v>
      </c>
      <c r="Q617" s="22">
        <v>1073</v>
      </c>
      <c r="R617" s="22">
        <v>61364</v>
      </c>
      <c r="S617" s="22" t="str">
        <f t="shared" si="51"/>
        <v>MXN</v>
      </c>
      <c r="T617" s="22">
        <f>R617*_xlfn.XLOOKUP(S617,AG:AG,AI:AI)</f>
        <v>3436.384</v>
      </c>
      <c r="U617" s="22" t="s">
        <v>26</v>
      </c>
      <c r="W617" s="9">
        <v>472</v>
      </c>
      <c r="X617" s="9" t="s">
        <v>29</v>
      </c>
      <c r="Z617">
        <v>651</v>
      </c>
      <c r="AA617">
        <v>4760</v>
      </c>
      <c r="AB617" t="s">
        <v>29</v>
      </c>
      <c r="AD617" s="20">
        <v>45953</v>
      </c>
    </row>
    <row r="618" spans="1:30">
      <c r="A618">
        <v>653</v>
      </c>
      <c r="B618" t="str">
        <f>_xlfn.XLOOKUP(A618,Z:Z,AB:AB,"not found")</f>
        <v>USD</v>
      </c>
      <c r="C618">
        <f>_xlfn.XLOOKUP(A618,Z:Z,AA:AA)-_xlfn.XLOOKUP(A618,Q:Q,R:R,"0")</f>
        <v>0</v>
      </c>
      <c r="D618">
        <f>C618*_xlfn.XLOOKUP(B618,AG:AG,AH:AH)</f>
        <v>0</v>
      </c>
      <c r="E618">
        <f>C618*_xlfn.XLOOKUP(B618,AG:AG,AI:AI)</f>
        <v>0</v>
      </c>
      <c r="F618">
        <v>260</v>
      </c>
      <c r="G618">
        <f>F618*_xlfn.XLOOKUP(B618,AG:AG,AH:AH)</f>
        <v>223.6</v>
      </c>
      <c r="H618">
        <f>F618*_xlfn.XLOOKUP(B618,AG:AG,AI:AI)</f>
        <v>260</v>
      </c>
      <c r="I618">
        <f t="shared" si="50"/>
        <v>0</v>
      </c>
      <c r="J618">
        <f>I618*_xlfn.XLOOKUP(B618,AG:AG,AI:AI)</f>
        <v>0</v>
      </c>
      <c r="K618" s="7">
        <f>_xlfn.XLOOKUP(A618,Z:Z,AD:AD)</f>
        <v>46153</v>
      </c>
      <c r="L618" s="7">
        <f t="shared" si="52"/>
        <v>46123</v>
      </c>
      <c r="M618">
        <f t="shared" si="53"/>
        <v>4</v>
      </c>
      <c r="N618">
        <f t="shared" si="54"/>
        <v>2026</v>
      </c>
      <c r="Q618" s="22">
        <v>1082</v>
      </c>
      <c r="R618" s="22">
        <v>21042.880000000001</v>
      </c>
      <c r="S618" s="22" t="str">
        <f t="shared" si="51"/>
        <v>USD</v>
      </c>
      <c r="T618" s="22">
        <f>R618*_xlfn.XLOOKUP(S618,AG:AG,AI:AI)</f>
        <v>21042.880000000001</v>
      </c>
      <c r="U618" s="22" t="s">
        <v>26</v>
      </c>
      <c r="W618" s="9">
        <v>473</v>
      </c>
      <c r="X618" s="9" t="s">
        <v>27</v>
      </c>
      <c r="Z618">
        <v>652</v>
      </c>
      <c r="AA618">
        <v>1990</v>
      </c>
      <c r="AB618" t="s">
        <v>27</v>
      </c>
      <c r="AD618" s="20">
        <v>45921</v>
      </c>
    </row>
    <row r="619" spans="1:30">
      <c r="A619">
        <v>654</v>
      </c>
      <c r="B619" t="str">
        <f>_xlfn.XLOOKUP(A619,Z:Z,AB:AB,"not found")</f>
        <v>USD</v>
      </c>
      <c r="C619">
        <f>_xlfn.XLOOKUP(A619,Z:Z,AA:AA)-_xlfn.XLOOKUP(A619,Q:Q,R:R,"0")</f>
        <v>0</v>
      </c>
      <c r="D619">
        <f>C619*_xlfn.XLOOKUP(B619,AG:AG,AH:AH)</f>
        <v>0</v>
      </c>
      <c r="E619">
        <f>C619*_xlfn.XLOOKUP(B619,AG:AG,AI:AI)</f>
        <v>0</v>
      </c>
      <c r="F619">
        <v>1980</v>
      </c>
      <c r="G619">
        <f>F619*_xlfn.XLOOKUP(B619,AG:AG,AH:AH)</f>
        <v>1702.8</v>
      </c>
      <c r="H619">
        <f>F619*_xlfn.XLOOKUP(B619,AG:AG,AI:AI)</f>
        <v>1980</v>
      </c>
      <c r="I619">
        <f t="shared" si="50"/>
        <v>0</v>
      </c>
      <c r="J619">
        <f>I619*_xlfn.XLOOKUP(B619,AG:AG,AI:AI)</f>
        <v>0</v>
      </c>
      <c r="K619" s="7">
        <f>_xlfn.XLOOKUP(A619,Z:Z,AD:AD)</f>
        <v>46158</v>
      </c>
      <c r="L619" s="7">
        <f t="shared" si="52"/>
        <v>46128</v>
      </c>
      <c r="M619">
        <f t="shared" si="53"/>
        <v>4</v>
      </c>
      <c r="N619">
        <f t="shared" si="54"/>
        <v>2026</v>
      </c>
      <c r="Q619" s="22">
        <v>1083</v>
      </c>
      <c r="R619" s="22">
        <v>11627</v>
      </c>
      <c r="S619" s="22" t="str">
        <f t="shared" si="51"/>
        <v>USD</v>
      </c>
      <c r="T619" s="22">
        <f>R619*_xlfn.XLOOKUP(S619,AG:AG,AI:AI)</f>
        <v>11627</v>
      </c>
      <c r="U619" s="22" t="s">
        <v>26</v>
      </c>
      <c r="W619" s="9">
        <v>474</v>
      </c>
      <c r="X619" s="9" t="s">
        <v>29</v>
      </c>
      <c r="Z619">
        <v>653</v>
      </c>
      <c r="AA619">
        <v>260</v>
      </c>
      <c r="AB619" t="s">
        <v>29</v>
      </c>
      <c r="AD619" s="20">
        <v>46153</v>
      </c>
    </row>
    <row r="620" spans="1:30">
      <c r="A620">
        <v>655</v>
      </c>
      <c r="B620" t="str">
        <f>_xlfn.XLOOKUP(A620,Z:Z,AB:AB,"not found")</f>
        <v>USD</v>
      </c>
      <c r="C620">
        <f>_xlfn.XLOOKUP(A620,Z:Z,AA:AA)-_xlfn.XLOOKUP(A620,Q:Q,R:R,"0")</f>
        <v>5238.88</v>
      </c>
      <c r="D620">
        <f>C620*_xlfn.XLOOKUP(B620,AG:AG,AH:AH)</f>
        <v>4505.4368000000004</v>
      </c>
      <c r="E620">
        <f>C620*_xlfn.XLOOKUP(B620,AG:AG,AI:AI)</f>
        <v>5238.88</v>
      </c>
      <c r="F620">
        <v>5384.78</v>
      </c>
      <c r="G620">
        <f>F620*_xlfn.XLOOKUP(B620,AG:AG,AH:AH)</f>
        <v>4630.9107999999997</v>
      </c>
      <c r="H620">
        <f>F620*_xlfn.XLOOKUP(B620,AG:AG,AI:AI)</f>
        <v>5384.78</v>
      </c>
      <c r="I620">
        <f t="shared" si="50"/>
        <v>3.694822225952521E-13</v>
      </c>
      <c r="J620">
        <f>I620*_xlfn.XLOOKUP(B620,AG:AG,AI:AI)</f>
        <v>3.694822225952521E-13</v>
      </c>
      <c r="K620" s="7">
        <f>_xlfn.XLOOKUP(A620,Z:Z,AD:AD)</f>
        <v>45921</v>
      </c>
      <c r="L620" s="7">
        <f t="shared" si="52"/>
        <v>45891</v>
      </c>
      <c r="M620">
        <f t="shared" si="53"/>
        <v>8</v>
      </c>
      <c r="N620">
        <f t="shared" si="54"/>
        <v>2025</v>
      </c>
      <c r="Q620" s="22">
        <v>1084</v>
      </c>
      <c r="R620" s="22">
        <v>4655.67</v>
      </c>
      <c r="S620" s="22" t="str">
        <f t="shared" si="51"/>
        <v>USD</v>
      </c>
      <c r="T620" s="22">
        <f>R620*_xlfn.XLOOKUP(S620,AG:AG,AI:AI)</f>
        <v>4655.67</v>
      </c>
      <c r="U620" s="22" t="s">
        <v>26</v>
      </c>
      <c r="W620" s="9">
        <v>478</v>
      </c>
      <c r="X620" s="9" t="s">
        <v>29</v>
      </c>
      <c r="Z620">
        <v>654</v>
      </c>
      <c r="AA620">
        <v>1980</v>
      </c>
      <c r="AB620" t="s">
        <v>29</v>
      </c>
      <c r="AD620" s="20">
        <v>46158</v>
      </c>
    </row>
    <row r="621" spans="1:30">
      <c r="A621">
        <v>656</v>
      </c>
      <c r="B621" t="str">
        <f>_xlfn.XLOOKUP(A621,Z:Z,AB:AB,"not found")</f>
        <v>USD</v>
      </c>
      <c r="C621">
        <f>_xlfn.XLOOKUP(A621,Z:Z,AA:AA)-_xlfn.XLOOKUP(A621,Q:Q,R:R,"0")</f>
        <v>691.98</v>
      </c>
      <c r="D621">
        <f>C621*_xlfn.XLOOKUP(B621,AG:AG,AH:AH)</f>
        <v>595.1028</v>
      </c>
      <c r="E621">
        <f>C621*_xlfn.XLOOKUP(B621,AG:AG,AI:AI)</f>
        <v>691.98</v>
      </c>
      <c r="F621">
        <v>691.98</v>
      </c>
      <c r="G621">
        <f>F621*_xlfn.XLOOKUP(B621,AG:AG,AH:AH)</f>
        <v>595.1028</v>
      </c>
      <c r="H621">
        <f>F621*_xlfn.XLOOKUP(B621,AG:AG,AI:AI)</f>
        <v>691.98</v>
      </c>
      <c r="I621">
        <f t="shared" si="50"/>
        <v>0</v>
      </c>
      <c r="J621">
        <f>I621*_xlfn.XLOOKUP(B621,AG:AG,AI:AI)</f>
        <v>0</v>
      </c>
      <c r="K621" s="7">
        <f>_xlfn.XLOOKUP(A621,Z:Z,AD:AD)</f>
        <v>45929</v>
      </c>
      <c r="L621" s="7">
        <f t="shared" si="52"/>
        <v>45899</v>
      </c>
      <c r="M621">
        <f t="shared" si="53"/>
        <v>8</v>
      </c>
      <c r="N621">
        <f t="shared" si="54"/>
        <v>2025</v>
      </c>
      <c r="Q621" s="22">
        <v>1091</v>
      </c>
      <c r="R621" s="22">
        <v>59189</v>
      </c>
      <c r="S621" s="22" t="str">
        <f t="shared" si="51"/>
        <v>USD</v>
      </c>
      <c r="T621" s="22">
        <f>R621*_xlfn.XLOOKUP(S621,AG:AG,AI:AI)</f>
        <v>59189</v>
      </c>
      <c r="U621" s="22" t="s">
        <v>26</v>
      </c>
      <c r="W621" s="9">
        <v>479</v>
      </c>
      <c r="X621" s="9" t="s">
        <v>29</v>
      </c>
      <c r="Z621">
        <v>655</v>
      </c>
      <c r="AA621">
        <v>5384.78</v>
      </c>
      <c r="AB621" t="s">
        <v>29</v>
      </c>
      <c r="AD621" s="20">
        <v>45921</v>
      </c>
    </row>
    <row r="622" spans="1:30">
      <c r="A622">
        <v>657</v>
      </c>
      <c r="B622" t="str">
        <f>_xlfn.XLOOKUP(A622,Z:Z,AB:AB,"not found")</f>
        <v>USD</v>
      </c>
      <c r="C622">
        <f>_xlfn.XLOOKUP(A622,Z:Z,AA:AA)-_xlfn.XLOOKUP(A622,Q:Q,R:R,"0")</f>
        <v>0</v>
      </c>
      <c r="D622">
        <f>C622*_xlfn.XLOOKUP(B622,AG:AG,AH:AH)</f>
        <v>0</v>
      </c>
      <c r="E622">
        <f>C622*_xlfn.XLOOKUP(B622,AG:AG,AI:AI)</f>
        <v>0</v>
      </c>
      <c r="F622">
        <v>2724.75</v>
      </c>
      <c r="G622">
        <f>F622*_xlfn.XLOOKUP(B622,AG:AG,AH:AH)</f>
        <v>2343.2849999999999</v>
      </c>
      <c r="H622">
        <f>F622*_xlfn.XLOOKUP(B622,AG:AG,AI:AI)</f>
        <v>2724.75</v>
      </c>
      <c r="I622">
        <f t="shared" si="50"/>
        <v>0</v>
      </c>
      <c r="J622">
        <f>I622*_xlfn.XLOOKUP(B622,AG:AG,AI:AI)</f>
        <v>0</v>
      </c>
      <c r="K622" s="7">
        <f>_xlfn.XLOOKUP(A622,Z:Z,AD:AD)</f>
        <v>45826</v>
      </c>
      <c r="L622" s="7">
        <f t="shared" si="52"/>
        <v>45796</v>
      </c>
      <c r="M622">
        <f t="shared" si="53"/>
        <v>5</v>
      </c>
      <c r="N622">
        <f t="shared" si="54"/>
        <v>2025</v>
      </c>
      <c r="Q622" s="22">
        <v>1095</v>
      </c>
      <c r="R622" s="22">
        <v>37192</v>
      </c>
      <c r="S622" s="22" t="str">
        <f t="shared" si="51"/>
        <v>USD</v>
      </c>
      <c r="T622" s="22">
        <f>R622*_xlfn.XLOOKUP(S622,AG:AG,AI:AI)</f>
        <v>37192</v>
      </c>
      <c r="U622" s="22" t="s">
        <v>26</v>
      </c>
      <c r="W622" s="9">
        <v>480</v>
      </c>
      <c r="X622" s="9" t="s">
        <v>29</v>
      </c>
      <c r="Z622">
        <v>656</v>
      </c>
      <c r="AA622">
        <v>691.98</v>
      </c>
      <c r="AB622" t="s">
        <v>29</v>
      </c>
      <c r="AD622" s="20">
        <v>45929</v>
      </c>
    </row>
    <row r="623" spans="1:30">
      <c r="A623">
        <v>658</v>
      </c>
      <c r="B623" t="str">
        <f>_xlfn.XLOOKUP(A623,Z:Z,AB:AB,"not found")</f>
        <v>USD</v>
      </c>
      <c r="C623">
        <f>_xlfn.XLOOKUP(A623,Z:Z,AA:AA)-_xlfn.XLOOKUP(A623,Q:Q,R:R,"0")</f>
        <v>-41055.35</v>
      </c>
      <c r="D623">
        <f>C623*_xlfn.XLOOKUP(B623,AG:AG,AH:AH)</f>
        <v>-35307.600999999995</v>
      </c>
      <c r="E623">
        <f>C623*_xlfn.XLOOKUP(B623,AG:AG,AI:AI)</f>
        <v>-41055.35</v>
      </c>
      <c r="F623">
        <v>2342.65</v>
      </c>
      <c r="G623">
        <f>F623*_xlfn.XLOOKUP(B623,AG:AG,AH:AH)</f>
        <v>2014.6790000000001</v>
      </c>
      <c r="H623">
        <f>F623*_xlfn.XLOOKUP(B623,AG:AG,AI:AI)</f>
        <v>2342.65</v>
      </c>
      <c r="I623">
        <f t="shared" si="50"/>
        <v>0</v>
      </c>
      <c r="J623">
        <f>I623*_xlfn.XLOOKUP(B623,AG:AG,AI:AI)</f>
        <v>0</v>
      </c>
      <c r="K623" s="7">
        <f>_xlfn.XLOOKUP(A623,Z:Z,AD:AD)</f>
        <v>45904</v>
      </c>
      <c r="L623" s="7">
        <f t="shared" si="52"/>
        <v>45874</v>
      </c>
      <c r="M623">
        <f t="shared" si="53"/>
        <v>8</v>
      </c>
      <c r="N623">
        <f t="shared" si="54"/>
        <v>2025</v>
      </c>
      <c r="Q623" s="22">
        <v>1100</v>
      </c>
      <c r="R623" s="22">
        <v>51816</v>
      </c>
      <c r="S623" s="22" t="str">
        <f t="shared" si="51"/>
        <v>MXN</v>
      </c>
      <c r="T623" s="22">
        <f>R623*_xlfn.XLOOKUP(S623,AG:AG,AI:AI)</f>
        <v>2901.6959999999999</v>
      </c>
      <c r="U623" s="22" t="s">
        <v>26</v>
      </c>
      <c r="W623" s="9">
        <v>482</v>
      </c>
      <c r="X623" s="9" t="s">
        <v>27</v>
      </c>
      <c r="Z623">
        <v>657</v>
      </c>
      <c r="AA623">
        <v>2724.75</v>
      </c>
      <c r="AB623" t="s">
        <v>29</v>
      </c>
      <c r="AD623" s="20">
        <v>45826</v>
      </c>
    </row>
    <row r="624" spans="1:30">
      <c r="A624">
        <v>660</v>
      </c>
      <c r="B624" t="str">
        <f>_xlfn.XLOOKUP(A624,Z:Z,AB:AB,"not found")</f>
        <v>USD</v>
      </c>
      <c r="C624">
        <f>_xlfn.XLOOKUP(A624,Z:Z,AA:AA)-_xlfn.XLOOKUP(A624,Q:Q,R:R,"0")</f>
        <v>0</v>
      </c>
      <c r="D624">
        <f>C624*_xlfn.XLOOKUP(B624,AG:AG,AH:AH)</f>
        <v>0</v>
      </c>
      <c r="E624">
        <f>C624*_xlfn.XLOOKUP(B624,AG:AG,AI:AI)</f>
        <v>0</v>
      </c>
      <c r="F624">
        <v>20000</v>
      </c>
      <c r="G624">
        <f>F624*_xlfn.XLOOKUP(B624,AG:AG,AH:AH)</f>
        <v>17200</v>
      </c>
      <c r="H624">
        <f>F624*_xlfn.XLOOKUP(B624,AG:AG,AI:AI)</f>
        <v>20000</v>
      </c>
      <c r="I624">
        <f t="shared" si="50"/>
        <v>0</v>
      </c>
      <c r="J624">
        <f>I624*_xlfn.XLOOKUP(B624,AG:AG,AI:AI)</f>
        <v>0</v>
      </c>
      <c r="K624" s="7">
        <f>_xlfn.XLOOKUP(A624,Z:Z,AD:AD)</f>
        <v>45878</v>
      </c>
      <c r="L624" s="7">
        <f t="shared" si="52"/>
        <v>45848</v>
      </c>
      <c r="M624">
        <f t="shared" si="53"/>
        <v>7</v>
      </c>
      <c r="N624">
        <f t="shared" si="54"/>
        <v>2025</v>
      </c>
      <c r="Q624" s="22">
        <v>1102</v>
      </c>
      <c r="R624" s="22">
        <v>12974</v>
      </c>
      <c r="S624" s="22" t="str">
        <f t="shared" si="51"/>
        <v>EUR</v>
      </c>
      <c r="T624" s="22">
        <f>R624*_xlfn.XLOOKUP(S624,AG:AG,AI:AI)</f>
        <v>15049.839999999998</v>
      </c>
      <c r="U624" s="22" t="s">
        <v>26</v>
      </c>
      <c r="W624" s="9">
        <v>482</v>
      </c>
      <c r="X624" s="9" t="s">
        <v>27</v>
      </c>
      <c r="Z624">
        <v>658</v>
      </c>
      <c r="AA624">
        <v>2342.65</v>
      </c>
      <c r="AB624" t="s">
        <v>29</v>
      </c>
      <c r="AD624" s="20">
        <v>45904</v>
      </c>
    </row>
    <row r="625" spans="1:30">
      <c r="A625">
        <v>661</v>
      </c>
      <c r="B625" t="str">
        <f>_xlfn.XLOOKUP(A625,Z:Z,AB:AB,"not found")</f>
        <v>MXN</v>
      </c>
      <c r="C625">
        <f>_xlfn.XLOOKUP(A625,Z:Z,AA:AA)-_xlfn.XLOOKUP(A625,Q:Q,R:R,"0")</f>
        <v>0</v>
      </c>
      <c r="D625">
        <f>C625*_xlfn.XLOOKUP(B625,AG:AG,AH:AH)</f>
        <v>0</v>
      </c>
      <c r="E625">
        <f>C625*_xlfn.XLOOKUP(B625,AG:AG,AI:AI)</f>
        <v>0</v>
      </c>
      <c r="F625">
        <v>10104</v>
      </c>
      <c r="G625">
        <f>F625*_xlfn.XLOOKUP(B625,AG:AG,AH:AH)</f>
        <v>484.99200000000002</v>
      </c>
      <c r="H625">
        <f>F625*_xlfn.XLOOKUP(B625,AG:AG,AI:AI)</f>
        <v>565.82399999999996</v>
      </c>
      <c r="I625">
        <f t="shared" si="50"/>
        <v>0</v>
      </c>
      <c r="J625">
        <f>I625*_xlfn.XLOOKUP(B625,AG:AG,AI:AI)</f>
        <v>0</v>
      </c>
      <c r="K625" s="7">
        <f>_xlfn.XLOOKUP(A625,Z:Z,AD:AD)</f>
        <v>45919</v>
      </c>
      <c r="L625" s="7">
        <f t="shared" si="52"/>
        <v>45889</v>
      </c>
      <c r="M625">
        <f t="shared" si="53"/>
        <v>8</v>
      </c>
      <c r="N625">
        <f t="shared" si="54"/>
        <v>2025</v>
      </c>
      <c r="Q625" s="22">
        <v>1103</v>
      </c>
      <c r="R625" s="22">
        <v>202464</v>
      </c>
      <c r="S625" s="22" t="str">
        <f t="shared" si="51"/>
        <v>MXN</v>
      </c>
      <c r="T625" s="22">
        <f>R625*_xlfn.XLOOKUP(S625,AG:AG,AI:AI)</f>
        <v>11337.984</v>
      </c>
      <c r="U625" s="22" t="s">
        <v>26</v>
      </c>
      <c r="W625" s="9">
        <v>482</v>
      </c>
      <c r="X625" s="9" t="s">
        <v>27</v>
      </c>
      <c r="Z625">
        <v>660</v>
      </c>
      <c r="AA625">
        <v>20000</v>
      </c>
      <c r="AB625" t="s">
        <v>29</v>
      </c>
      <c r="AD625" s="20">
        <v>45878</v>
      </c>
    </row>
    <row r="626" spans="1:30">
      <c r="A626">
        <v>662</v>
      </c>
      <c r="B626" t="str">
        <f>_xlfn.XLOOKUP(A626,Z:Z,AB:AB,"not found")</f>
        <v>MXN</v>
      </c>
      <c r="C626">
        <f>_xlfn.XLOOKUP(A626,Z:Z,AA:AA)-_xlfn.XLOOKUP(A626,Q:Q,R:R,"0")</f>
        <v>0</v>
      </c>
      <c r="D626">
        <f>C626*_xlfn.XLOOKUP(B626,AG:AG,AH:AH)</f>
        <v>0</v>
      </c>
      <c r="E626">
        <f>C626*_xlfn.XLOOKUP(B626,AG:AG,AI:AI)</f>
        <v>0</v>
      </c>
      <c r="F626">
        <v>12606</v>
      </c>
      <c r="G626">
        <f>F626*_xlfn.XLOOKUP(B626,AG:AG,AH:AH)</f>
        <v>605.08799999999997</v>
      </c>
      <c r="H626">
        <f>F626*_xlfn.XLOOKUP(B626,AG:AG,AI:AI)</f>
        <v>705.93600000000004</v>
      </c>
      <c r="I626">
        <f t="shared" si="50"/>
        <v>0</v>
      </c>
      <c r="J626">
        <f>I626*_xlfn.XLOOKUP(B626,AG:AG,AI:AI)</f>
        <v>0</v>
      </c>
      <c r="K626" s="7">
        <f>_xlfn.XLOOKUP(A626,Z:Z,AD:AD)</f>
        <v>45919</v>
      </c>
      <c r="L626" s="7">
        <f t="shared" si="52"/>
        <v>45889</v>
      </c>
      <c r="M626">
        <f t="shared" si="53"/>
        <v>8</v>
      </c>
      <c r="N626">
        <f t="shared" si="54"/>
        <v>2025</v>
      </c>
      <c r="Q626" s="22">
        <v>1104</v>
      </c>
      <c r="R626" s="22">
        <v>5038.09</v>
      </c>
      <c r="S626" s="22" t="str">
        <f t="shared" si="51"/>
        <v>EUR</v>
      </c>
      <c r="T626" s="22">
        <f>R626*_xlfn.XLOOKUP(S626,AG:AG,AI:AI)</f>
        <v>5844.1844000000001</v>
      </c>
      <c r="U626" s="22" t="s">
        <v>26</v>
      </c>
      <c r="W626" s="9">
        <v>483</v>
      </c>
      <c r="X626" s="9" t="s">
        <v>32</v>
      </c>
      <c r="Z626">
        <v>661</v>
      </c>
      <c r="AA626">
        <v>10104</v>
      </c>
      <c r="AB626" t="s">
        <v>28</v>
      </c>
      <c r="AD626" s="20">
        <v>45919</v>
      </c>
    </row>
    <row r="627" spans="1:30">
      <c r="A627">
        <v>663</v>
      </c>
      <c r="B627" t="str">
        <f>_xlfn.XLOOKUP(A627,Z:Z,AB:AB,"not found")</f>
        <v>EUR</v>
      </c>
      <c r="C627">
        <f>_xlfn.XLOOKUP(A627,Z:Z,AA:AA)-_xlfn.XLOOKUP(A627,Q:Q,R:R,"0")</f>
        <v>363636</v>
      </c>
      <c r="D627">
        <f>C627*_xlfn.XLOOKUP(B627,AG:AG,AH:AH)</f>
        <v>363636</v>
      </c>
      <c r="E627">
        <f>C627*_xlfn.XLOOKUP(B627,AG:AG,AI:AI)</f>
        <v>421817.75999999995</v>
      </c>
      <c r="F627">
        <v>363636</v>
      </c>
      <c r="G627">
        <f>F627*_xlfn.XLOOKUP(B627,AG:AG,AH:AH)</f>
        <v>363636</v>
      </c>
      <c r="H627">
        <f>F627*_xlfn.XLOOKUP(B627,AG:AG,AI:AI)</f>
        <v>421817.75999999995</v>
      </c>
      <c r="I627">
        <f t="shared" si="50"/>
        <v>0</v>
      </c>
      <c r="J627">
        <f>I627*_xlfn.XLOOKUP(B627,AG:AG,AI:AI)</f>
        <v>0</v>
      </c>
      <c r="K627" s="7">
        <f>_xlfn.XLOOKUP(A627,Z:Z,AD:AD)</f>
        <v>46011</v>
      </c>
      <c r="L627" s="7">
        <f t="shared" si="52"/>
        <v>45981</v>
      </c>
      <c r="M627">
        <f t="shared" si="53"/>
        <v>11</v>
      </c>
      <c r="N627">
        <f t="shared" si="54"/>
        <v>2025</v>
      </c>
      <c r="Q627" s="22">
        <v>1105</v>
      </c>
      <c r="R627" s="22">
        <v>675388</v>
      </c>
      <c r="S627" s="22" t="str">
        <f t="shared" si="51"/>
        <v>MXN</v>
      </c>
      <c r="T627" s="22">
        <f>R627*_xlfn.XLOOKUP(S627,AG:AG,AI:AI)</f>
        <v>37821.728000000003</v>
      </c>
      <c r="U627" s="22" t="s">
        <v>26</v>
      </c>
      <c r="W627" s="9">
        <v>484</v>
      </c>
      <c r="X627" s="9" t="s">
        <v>29</v>
      </c>
      <c r="Z627">
        <v>662</v>
      </c>
      <c r="AA627">
        <v>12606</v>
      </c>
      <c r="AB627" t="s">
        <v>28</v>
      </c>
      <c r="AD627" s="20">
        <v>45919</v>
      </c>
    </row>
    <row r="628" spans="1:30">
      <c r="A628">
        <v>664</v>
      </c>
      <c r="B628" t="str">
        <f>_xlfn.XLOOKUP(A628,Z:Z,AB:AB,"not found")</f>
        <v>USD</v>
      </c>
      <c r="C628">
        <f>_xlfn.XLOOKUP(A628,Z:Z,AA:AA)-_xlfn.XLOOKUP(A628,Q:Q,R:R,"0")</f>
        <v>0</v>
      </c>
      <c r="D628">
        <f>C628*_xlfn.XLOOKUP(B628,AG:AG,AH:AH)</f>
        <v>0</v>
      </c>
      <c r="E628">
        <f>C628*_xlfn.XLOOKUP(B628,AG:AG,AI:AI)</f>
        <v>0</v>
      </c>
      <c r="F628">
        <v>940</v>
      </c>
      <c r="G628">
        <f>F628*_xlfn.XLOOKUP(B628,AG:AG,AH:AH)</f>
        <v>808.4</v>
      </c>
      <c r="H628">
        <f>F628*_xlfn.XLOOKUP(B628,AG:AG,AI:AI)</f>
        <v>940</v>
      </c>
      <c r="I628">
        <f t="shared" si="50"/>
        <v>0</v>
      </c>
      <c r="J628">
        <f>I628*_xlfn.XLOOKUP(B628,AG:AG,AI:AI)</f>
        <v>0</v>
      </c>
      <c r="K628" s="7">
        <f>_xlfn.XLOOKUP(A628,Z:Z,AD:AD)</f>
        <v>45861</v>
      </c>
      <c r="L628" s="7">
        <f t="shared" si="52"/>
        <v>45831</v>
      </c>
      <c r="M628">
        <f t="shared" si="53"/>
        <v>6</v>
      </c>
      <c r="N628">
        <f t="shared" si="54"/>
        <v>2025</v>
      </c>
      <c r="Q628" s="22">
        <v>1109</v>
      </c>
      <c r="R628" s="22">
        <v>4147.5</v>
      </c>
      <c r="S628" s="22" t="str">
        <f t="shared" si="51"/>
        <v>USD</v>
      </c>
      <c r="T628" s="22">
        <f>R628*_xlfn.XLOOKUP(S628,AG:AG,AI:AI)</f>
        <v>4147.5</v>
      </c>
      <c r="U628" s="22" t="s">
        <v>26</v>
      </c>
      <c r="W628" s="9">
        <v>484</v>
      </c>
      <c r="X628" s="9" t="s">
        <v>29</v>
      </c>
      <c r="Z628">
        <v>663</v>
      </c>
      <c r="AA628">
        <v>363636</v>
      </c>
      <c r="AB628" t="s">
        <v>27</v>
      </c>
      <c r="AD628" s="20">
        <v>46011</v>
      </c>
    </row>
    <row r="629" spans="1:30">
      <c r="A629">
        <v>665</v>
      </c>
      <c r="B629" t="str">
        <f>_xlfn.XLOOKUP(A629,Z:Z,AB:AB,"not found")</f>
        <v>USD</v>
      </c>
      <c r="C629">
        <f>_xlfn.XLOOKUP(A629,Z:Z,AA:AA)-_xlfn.XLOOKUP(A629,Q:Q,R:R,"0")</f>
        <v>0</v>
      </c>
      <c r="D629">
        <f>C629*_xlfn.XLOOKUP(B629,AG:AG,AH:AH)</f>
        <v>0</v>
      </c>
      <c r="E629">
        <f>C629*_xlfn.XLOOKUP(B629,AG:AG,AI:AI)</f>
        <v>0</v>
      </c>
      <c r="F629">
        <v>5733.7</v>
      </c>
      <c r="G629">
        <f>F629*_xlfn.XLOOKUP(B629,AG:AG,AH:AH)</f>
        <v>4930.982</v>
      </c>
      <c r="H629">
        <f>F629*_xlfn.XLOOKUP(B629,AG:AG,AI:AI)</f>
        <v>5733.7</v>
      </c>
      <c r="I629">
        <f t="shared" si="50"/>
        <v>0</v>
      </c>
      <c r="J629">
        <f>I629*_xlfn.XLOOKUP(B629,AG:AG,AI:AI)</f>
        <v>0</v>
      </c>
      <c r="K629" s="7">
        <f>_xlfn.XLOOKUP(A629,Z:Z,AD:AD)</f>
        <v>45815</v>
      </c>
      <c r="L629" s="7">
        <f t="shared" si="52"/>
        <v>45785</v>
      </c>
      <c r="M629">
        <f t="shared" si="53"/>
        <v>5</v>
      </c>
      <c r="N629">
        <f t="shared" si="54"/>
        <v>2025</v>
      </c>
      <c r="Q629" s="22">
        <v>1110</v>
      </c>
      <c r="R629" s="22">
        <v>76516</v>
      </c>
      <c r="S629" s="22" t="str">
        <f t="shared" si="51"/>
        <v>USD</v>
      </c>
      <c r="T629" s="22">
        <f>R629*_xlfn.XLOOKUP(S629,AG:AG,AI:AI)</f>
        <v>76516</v>
      </c>
      <c r="U629" s="22" t="s">
        <v>26</v>
      </c>
      <c r="W629" s="9">
        <v>484</v>
      </c>
      <c r="X629" s="9" t="s">
        <v>29</v>
      </c>
      <c r="Z629">
        <v>664</v>
      </c>
      <c r="AA629">
        <v>940</v>
      </c>
      <c r="AB629" t="s">
        <v>29</v>
      </c>
      <c r="AD629" s="20">
        <v>45861</v>
      </c>
    </row>
    <row r="630" spans="1:30">
      <c r="A630">
        <v>666</v>
      </c>
      <c r="B630" t="str">
        <f>_xlfn.XLOOKUP(A630,Z:Z,AB:AB,"not found")</f>
        <v>EUR</v>
      </c>
      <c r="C630">
        <f>_xlfn.XLOOKUP(A630,Z:Z,AA:AA)-_xlfn.XLOOKUP(A630,Q:Q,R:R,"0")</f>
        <v>2365</v>
      </c>
      <c r="D630">
        <f>C630*_xlfn.XLOOKUP(B630,AG:AG,AH:AH)</f>
        <v>2365</v>
      </c>
      <c r="E630">
        <f>C630*_xlfn.XLOOKUP(B630,AG:AG,AI:AI)</f>
        <v>2743.3999999999996</v>
      </c>
      <c r="F630">
        <v>2365</v>
      </c>
      <c r="G630">
        <f>F630*_xlfn.XLOOKUP(B630,AG:AG,AH:AH)</f>
        <v>2365</v>
      </c>
      <c r="H630">
        <f>F630*_xlfn.XLOOKUP(B630,AG:AG,AI:AI)</f>
        <v>2743.3999999999996</v>
      </c>
      <c r="I630">
        <f t="shared" si="50"/>
        <v>0</v>
      </c>
      <c r="J630">
        <f>I630*_xlfn.XLOOKUP(B630,AG:AG,AI:AI)</f>
        <v>0</v>
      </c>
      <c r="K630" s="7">
        <f>_xlfn.XLOOKUP(A630,Z:Z,AD:AD)</f>
        <v>45910</v>
      </c>
      <c r="L630" s="7">
        <f t="shared" si="52"/>
        <v>45880</v>
      </c>
      <c r="M630">
        <f t="shared" si="53"/>
        <v>8</v>
      </c>
      <c r="N630">
        <f t="shared" si="54"/>
        <v>2025</v>
      </c>
      <c r="Q630" s="22">
        <v>1111</v>
      </c>
      <c r="R630" s="22">
        <v>75072</v>
      </c>
      <c r="S630" s="22" t="str">
        <f t="shared" si="51"/>
        <v>MXN</v>
      </c>
      <c r="T630" s="22">
        <f>R630*_xlfn.XLOOKUP(S630,AG:AG,AI:AI)</f>
        <v>4204.0320000000002</v>
      </c>
      <c r="U630" s="22" t="s">
        <v>26</v>
      </c>
      <c r="W630" s="9">
        <v>486</v>
      </c>
      <c r="X630" s="9" t="s">
        <v>27</v>
      </c>
      <c r="Z630">
        <v>665</v>
      </c>
      <c r="AA630">
        <v>5733.7</v>
      </c>
      <c r="AB630" t="s">
        <v>29</v>
      </c>
      <c r="AD630" s="20">
        <v>45815</v>
      </c>
    </row>
    <row r="631" spans="1:30">
      <c r="A631">
        <v>667</v>
      </c>
      <c r="B631" t="str">
        <f>_xlfn.XLOOKUP(A631,Z:Z,AB:AB,"not found")</f>
        <v>USD</v>
      </c>
      <c r="C631">
        <f>_xlfn.XLOOKUP(A631,Z:Z,AA:AA)-_xlfn.XLOOKUP(A631,Q:Q,R:R,"0")</f>
        <v>0</v>
      </c>
      <c r="D631">
        <f>C631*_xlfn.XLOOKUP(B631,AG:AG,AH:AH)</f>
        <v>0</v>
      </c>
      <c r="E631">
        <f>C631*_xlfn.XLOOKUP(B631,AG:AG,AI:AI)</f>
        <v>0</v>
      </c>
      <c r="F631">
        <v>8228</v>
      </c>
      <c r="G631">
        <f>F631*_xlfn.XLOOKUP(B631,AG:AG,AH:AH)</f>
        <v>7076.08</v>
      </c>
      <c r="H631">
        <f>F631*_xlfn.XLOOKUP(B631,AG:AG,AI:AI)</f>
        <v>8228</v>
      </c>
      <c r="I631">
        <f t="shared" si="50"/>
        <v>0</v>
      </c>
      <c r="J631">
        <f>I631*_xlfn.XLOOKUP(B631,AG:AG,AI:AI)</f>
        <v>0</v>
      </c>
      <c r="K631" s="7">
        <f>_xlfn.XLOOKUP(A631,Z:Z,AD:AD)</f>
        <v>45951</v>
      </c>
      <c r="L631" s="7">
        <f t="shared" si="52"/>
        <v>45921</v>
      </c>
      <c r="M631">
        <f t="shared" si="53"/>
        <v>9</v>
      </c>
      <c r="N631">
        <f t="shared" si="54"/>
        <v>2025</v>
      </c>
      <c r="W631" s="9">
        <v>486</v>
      </c>
      <c r="X631" s="9" t="s">
        <v>27</v>
      </c>
      <c r="Z631">
        <v>666</v>
      </c>
      <c r="AA631">
        <v>2365</v>
      </c>
      <c r="AB631" t="s">
        <v>27</v>
      </c>
      <c r="AD631" s="20">
        <v>45910</v>
      </c>
    </row>
    <row r="632" spans="1:30">
      <c r="A632">
        <v>668</v>
      </c>
      <c r="B632" t="str">
        <f>_xlfn.XLOOKUP(A632,Z:Z,AB:AB,"not found")</f>
        <v>EUR</v>
      </c>
      <c r="C632">
        <f>_xlfn.XLOOKUP(A632,Z:Z,AA:AA)-_xlfn.XLOOKUP(A632,Q:Q,R:R,"0")</f>
        <v>0</v>
      </c>
      <c r="D632">
        <f>C632*_xlfn.XLOOKUP(B632,AG:AG,AH:AH)</f>
        <v>0</v>
      </c>
      <c r="E632">
        <f>C632*_xlfn.XLOOKUP(B632,AG:AG,AI:AI)</f>
        <v>0</v>
      </c>
      <c r="F632">
        <v>4700</v>
      </c>
      <c r="G632">
        <f>F632*_xlfn.XLOOKUP(B632,AG:AG,AH:AH)</f>
        <v>4700</v>
      </c>
      <c r="H632">
        <f>F632*_xlfn.XLOOKUP(B632,AG:AG,AI:AI)</f>
        <v>5452</v>
      </c>
      <c r="I632">
        <f t="shared" si="50"/>
        <v>0</v>
      </c>
      <c r="J632">
        <f>I632*_xlfn.XLOOKUP(B632,AG:AG,AI:AI)</f>
        <v>0</v>
      </c>
      <c r="K632" s="7">
        <f>_xlfn.XLOOKUP(A632,Z:Z,AD:AD)</f>
        <v>45772</v>
      </c>
      <c r="L632" s="7">
        <f t="shared" si="52"/>
        <v>45742</v>
      </c>
      <c r="M632">
        <f t="shared" si="53"/>
        <v>3</v>
      </c>
      <c r="N632">
        <f t="shared" si="54"/>
        <v>2025</v>
      </c>
      <c r="R632">
        <v>56893986.679999992</v>
      </c>
      <c r="W632" s="9">
        <v>486</v>
      </c>
      <c r="X632" s="9" t="s">
        <v>27</v>
      </c>
      <c r="Z632">
        <v>667</v>
      </c>
      <c r="AA632">
        <v>8228</v>
      </c>
      <c r="AB632" t="s">
        <v>29</v>
      </c>
      <c r="AD632" s="20">
        <v>45951</v>
      </c>
    </row>
    <row r="633" spans="1:30">
      <c r="A633">
        <v>669</v>
      </c>
      <c r="B633" t="str">
        <f>_xlfn.XLOOKUP(A633,Z:Z,AB:AB,"not found")</f>
        <v>USD</v>
      </c>
      <c r="C633">
        <f>_xlfn.XLOOKUP(A633,Z:Z,AA:AA)-_xlfn.XLOOKUP(A633,Q:Q,R:R,"0")</f>
        <v>0</v>
      </c>
      <c r="D633">
        <f>C633*_xlfn.XLOOKUP(B633,AG:AG,AH:AH)</f>
        <v>0</v>
      </c>
      <c r="E633">
        <f>C633*_xlfn.XLOOKUP(B633,AG:AG,AI:AI)</f>
        <v>0</v>
      </c>
      <c r="F633">
        <v>2004.02</v>
      </c>
      <c r="G633">
        <f>F633*_xlfn.XLOOKUP(B633,AG:AG,AH:AH)</f>
        <v>1723.4572000000001</v>
      </c>
      <c r="H633">
        <f>F633*_xlfn.XLOOKUP(B633,AG:AG,AI:AI)</f>
        <v>2004.02</v>
      </c>
      <c r="I633">
        <f t="shared" si="50"/>
        <v>0</v>
      </c>
      <c r="J633">
        <f>I633*_xlfn.XLOOKUP(B633,AG:AG,AI:AI)</f>
        <v>0</v>
      </c>
      <c r="K633" s="7">
        <f>_xlfn.XLOOKUP(A633,Z:Z,AD:AD)</f>
        <v>45854</v>
      </c>
      <c r="L633" s="7">
        <f t="shared" si="52"/>
        <v>45824</v>
      </c>
      <c r="M633">
        <f t="shared" si="53"/>
        <v>6</v>
      </c>
      <c r="N633">
        <f t="shared" si="54"/>
        <v>2025</v>
      </c>
      <c r="W633" s="9">
        <v>486</v>
      </c>
      <c r="X633" s="9" t="s">
        <v>27</v>
      </c>
      <c r="Z633">
        <v>668</v>
      </c>
      <c r="AA633">
        <v>4700</v>
      </c>
      <c r="AB633" t="s">
        <v>27</v>
      </c>
      <c r="AD633" s="20">
        <v>45772</v>
      </c>
    </row>
    <row r="634" spans="1:30">
      <c r="A634">
        <v>670</v>
      </c>
      <c r="B634" t="str">
        <f>_xlfn.XLOOKUP(A634,Z:Z,AB:AB,"not found")</f>
        <v>USD</v>
      </c>
      <c r="C634">
        <f>_xlfn.XLOOKUP(A634,Z:Z,AA:AA)-_xlfn.XLOOKUP(A634,Q:Q,R:R,"0")</f>
        <v>0</v>
      </c>
      <c r="D634">
        <f>C634*_xlfn.XLOOKUP(B634,AG:AG,AH:AH)</f>
        <v>0</v>
      </c>
      <c r="E634">
        <f>C634*_xlfn.XLOOKUP(B634,AG:AG,AI:AI)</f>
        <v>0</v>
      </c>
      <c r="F634">
        <v>4956.01</v>
      </c>
      <c r="G634">
        <f>F634*_xlfn.XLOOKUP(B634,AG:AG,AH:AH)</f>
        <v>4262.1686</v>
      </c>
      <c r="H634">
        <f>F634*_xlfn.XLOOKUP(B634,AG:AG,AI:AI)</f>
        <v>4956.01</v>
      </c>
      <c r="I634">
        <f t="shared" si="50"/>
        <v>0</v>
      </c>
      <c r="J634">
        <f>I634*_xlfn.XLOOKUP(B634,AG:AG,AI:AI)</f>
        <v>0</v>
      </c>
      <c r="K634" s="7">
        <f>_xlfn.XLOOKUP(A634,Z:Z,AD:AD)</f>
        <v>45911</v>
      </c>
      <c r="L634" s="7">
        <f t="shared" si="52"/>
        <v>45881</v>
      </c>
      <c r="M634">
        <f t="shared" si="53"/>
        <v>8</v>
      </c>
      <c r="N634">
        <f t="shared" si="54"/>
        <v>2025</v>
      </c>
      <c r="W634" s="9">
        <v>486</v>
      </c>
      <c r="X634" s="9" t="s">
        <v>27</v>
      </c>
      <c r="Z634">
        <v>669</v>
      </c>
      <c r="AA634">
        <v>2004.02</v>
      </c>
      <c r="AB634" t="s">
        <v>29</v>
      </c>
      <c r="AD634" s="20">
        <v>45854</v>
      </c>
    </row>
    <row r="635" spans="1:30">
      <c r="A635">
        <v>671</v>
      </c>
      <c r="B635" t="str">
        <f>_xlfn.XLOOKUP(A635,Z:Z,AB:AB,"not found")</f>
        <v>USD</v>
      </c>
      <c r="C635">
        <f>_xlfn.XLOOKUP(A635,Z:Z,AA:AA)-_xlfn.XLOOKUP(A635,Q:Q,R:R,"0")</f>
        <v>0</v>
      </c>
      <c r="D635">
        <f>C635*_xlfn.XLOOKUP(B635,AG:AG,AH:AH)</f>
        <v>0</v>
      </c>
      <c r="E635">
        <f>C635*_xlfn.XLOOKUP(B635,AG:AG,AI:AI)</f>
        <v>0</v>
      </c>
      <c r="F635">
        <v>5985</v>
      </c>
      <c r="G635">
        <f>F635*_xlfn.XLOOKUP(B635,AG:AG,AH:AH)</f>
        <v>5147.1000000000004</v>
      </c>
      <c r="H635">
        <f>F635*_xlfn.XLOOKUP(B635,AG:AG,AI:AI)</f>
        <v>5985</v>
      </c>
      <c r="I635">
        <f t="shared" si="50"/>
        <v>0</v>
      </c>
      <c r="J635">
        <f>I635*_xlfn.XLOOKUP(B635,AG:AG,AI:AI)</f>
        <v>0</v>
      </c>
      <c r="K635" s="7">
        <f>_xlfn.XLOOKUP(A635,Z:Z,AD:AD)</f>
        <v>46143</v>
      </c>
      <c r="L635" s="7">
        <f t="shared" si="52"/>
        <v>46113</v>
      </c>
      <c r="M635">
        <f t="shared" si="53"/>
        <v>4</v>
      </c>
      <c r="N635">
        <f t="shared" si="54"/>
        <v>2026</v>
      </c>
      <c r="W635" s="9">
        <v>486</v>
      </c>
      <c r="X635" s="9" t="s">
        <v>27</v>
      </c>
      <c r="Z635">
        <v>670</v>
      </c>
      <c r="AA635">
        <v>4956.01</v>
      </c>
      <c r="AB635" t="s">
        <v>29</v>
      </c>
      <c r="AD635" s="20">
        <v>45911</v>
      </c>
    </row>
    <row r="636" spans="1:30">
      <c r="A636">
        <v>672</v>
      </c>
      <c r="B636" t="str">
        <f>_xlfn.XLOOKUP(A636,Z:Z,AB:AB,"not found")</f>
        <v>EUR</v>
      </c>
      <c r="C636">
        <f>_xlfn.XLOOKUP(A636,Z:Z,AA:AA)-_xlfn.XLOOKUP(A636,Q:Q,R:R,"0")</f>
        <v>0</v>
      </c>
      <c r="D636">
        <f>C636*_xlfn.XLOOKUP(B636,AG:AG,AH:AH)</f>
        <v>0</v>
      </c>
      <c r="E636">
        <f>C636*_xlfn.XLOOKUP(B636,AG:AG,AI:AI)</f>
        <v>0</v>
      </c>
      <c r="F636">
        <v>20073.97</v>
      </c>
      <c r="G636">
        <f>F636*_xlfn.XLOOKUP(B636,AG:AG,AH:AH)</f>
        <v>20073.97</v>
      </c>
      <c r="H636">
        <f>F636*_xlfn.XLOOKUP(B636,AG:AG,AI:AI)</f>
        <v>23285.805199999999</v>
      </c>
      <c r="I636">
        <f t="shared" si="50"/>
        <v>0</v>
      </c>
      <c r="J636">
        <f>I636*_xlfn.XLOOKUP(B636,AG:AG,AI:AI)</f>
        <v>0</v>
      </c>
      <c r="K636" s="7">
        <f>_xlfn.XLOOKUP(A636,Z:Z,AD:AD)</f>
        <v>45904</v>
      </c>
      <c r="L636" s="7">
        <f t="shared" si="52"/>
        <v>45874</v>
      </c>
      <c r="M636">
        <f t="shared" si="53"/>
        <v>8</v>
      </c>
      <c r="N636">
        <f t="shared" si="54"/>
        <v>2025</v>
      </c>
      <c r="W636" s="9">
        <v>486</v>
      </c>
      <c r="X636" s="9" t="s">
        <v>27</v>
      </c>
      <c r="Z636">
        <v>671</v>
      </c>
      <c r="AA636">
        <v>5985</v>
      </c>
      <c r="AB636" t="s">
        <v>29</v>
      </c>
      <c r="AD636" s="20">
        <v>46143</v>
      </c>
    </row>
    <row r="637" spans="1:30">
      <c r="A637">
        <v>673</v>
      </c>
      <c r="B637" t="str">
        <f>_xlfn.XLOOKUP(A637,Z:Z,AB:AB,"not found")</f>
        <v>USD</v>
      </c>
      <c r="C637">
        <f>_xlfn.XLOOKUP(A637,Z:Z,AA:AA)-_xlfn.XLOOKUP(A637,Q:Q,R:R,"0")</f>
        <v>0</v>
      </c>
      <c r="D637">
        <f>C637*_xlfn.XLOOKUP(B637,AG:AG,AH:AH)</f>
        <v>0</v>
      </c>
      <c r="E637">
        <f>C637*_xlfn.XLOOKUP(B637,AG:AG,AI:AI)</f>
        <v>0</v>
      </c>
      <c r="F637">
        <v>1876.62</v>
      </c>
      <c r="G637">
        <f>F637*_xlfn.XLOOKUP(B637,AG:AG,AH:AH)</f>
        <v>1613.8932</v>
      </c>
      <c r="H637">
        <f>F637*_xlfn.XLOOKUP(B637,AG:AG,AI:AI)</f>
        <v>1876.62</v>
      </c>
      <c r="I637">
        <f t="shared" si="50"/>
        <v>0</v>
      </c>
      <c r="J637">
        <f>I637*_xlfn.XLOOKUP(B637,AG:AG,AI:AI)</f>
        <v>0</v>
      </c>
      <c r="K637" s="7">
        <f>_xlfn.XLOOKUP(A637,Z:Z,AD:AD)</f>
        <v>46172</v>
      </c>
      <c r="L637" s="7">
        <f t="shared" si="52"/>
        <v>46142</v>
      </c>
      <c r="M637">
        <f t="shared" si="53"/>
        <v>4</v>
      </c>
      <c r="N637">
        <f t="shared" si="54"/>
        <v>2026</v>
      </c>
      <c r="W637" s="9">
        <v>486</v>
      </c>
      <c r="X637" s="9" t="s">
        <v>27</v>
      </c>
      <c r="Z637">
        <v>672</v>
      </c>
      <c r="AA637">
        <v>20073.97</v>
      </c>
      <c r="AB637" t="s">
        <v>27</v>
      </c>
      <c r="AD637" s="20">
        <v>45904</v>
      </c>
    </row>
    <row r="638" spans="1:30">
      <c r="A638">
        <v>674</v>
      </c>
      <c r="B638" t="str">
        <f>_xlfn.XLOOKUP(A638,Z:Z,AB:AB,"not found")</f>
        <v>USD</v>
      </c>
      <c r="C638">
        <f>_xlfn.XLOOKUP(A638,Z:Z,AA:AA)-_xlfn.XLOOKUP(A638,Q:Q,R:R,"0")</f>
        <v>0</v>
      </c>
      <c r="D638">
        <f>C638*_xlfn.XLOOKUP(B638,AG:AG,AH:AH)</f>
        <v>0</v>
      </c>
      <c r="E638">
        <f>C638*_xlfn.XLOOKUP(B638,AG:AG,AI:AI)</f>
        <v>0</v>
      </c>
      <c r="F638">
        <v>3108.73</v>
      </c>
      <c r="G638">
        <f>F638*_xlfn.XLOOKUP(B638,AG:AG,AH:AH)</f>
        <v>2673.5077999999999</v>
      </c>
      <c r="H638">
        <f>F638*_xlfn.XLOOKUP(B638,AG:AG,AI:AI)</f>
        <v>3108.73</v>
      </c>
      <c r="I638">
        <f t="shared" si="50"/>
        <v>0</v>
      </c>
      <c r="J638">
        <f>I638*_xlfn.XLOOKUP(B638,AG:AG,AI:AI)</f>
        <v>0</v>
      </c>
      <c r="K638" s="7">
        <f>_xlfn.XLOOKUP(A638,Z:Z,AD:AD)</f>
        <v>46171</v>
      </c>
      <c r="L638" s="7">
        <f t="shared" si="52"/>
        <v>46141</v>
      </c>
      <c r="M638">
        <f t="shared" si="53"/>
        <v>4</v>
      </c>
      <c r="N638">
        <f t="shared" si="54"/>
        <v>2026</v>
      </c>
      <c r="W638" s="9">
        <v>487</v>
      </c>
      <c r="X638" s="9" t="s">
        <v>29</v>
      </c>
      <c r="Z638">
        <v>673</v>
      </c>
      <c r="AA638">
        <v>1876.62</v>
      </c>
      <c r="AB638" t="s">
        <v>29</v>
      </c>
      <c r="AD638" s="20">
        <v>46172</v>
      </c>
    </row>
    <row r="639" spans="1:30">
      <c r="A639">
        <v>675</v>
      </c>
      <c r="B639" t="str">
        <f>_xlfn.XLOOKUP(A639,Z:Z,AB:AB,"not found")</f>
        <v>USD</v>
      </c>
      <c r="C639">
        <f>_xlfn.XLOOKUP(A639,Z:Z,AA:AA)-_xlfn.XLOOKUP(A639,Q:Q,R:R,"0")</f>
        <v>1816.94</v>
      </c>
      <c r="D639">
        <f>C639*_xlfn.XLOOKUP(B639,AG:AG,AH:AH)</f>
        <v>1562.5684000000001</v>
      </c>
      <c r="E639">
        <f>C639*_xlfn.XLOOKUP(B639,AG:AG,AI:AI)</f>
        <v>1816.94</v>
      </c>
      <c r="F639">
        <v>1816.94</v>
      </c>
      <c r="G639">
        <f>F639*_xlfn.XLOOKUP(B639,AG:AG,AH:AH)</f>
        <v>1562.5684000000001</v>
      </c>
      <c r="H639">
        <f>F639*_xlfn.XLOOKUP(B639,AG:AG,AI:AI)</f>
        <v>1816.94</v>
      </c>
      <c r="I639">
        <f t="shared" si="50"/>
        <v>0</v>
      </c>
      <c r="J639">
        <f>I639*_xlfn.XLOOKUP(B639,AG:AG,AI:AI)</f>
        <v>0</v>
      </c>
      <c r="K639" s="7">
        <f>_xlfn.XLOOKUP(A639,Z:Z,AD:AD)</f>
        <v>45916</v>
      </c>
      <c r="L639" s="7">
        <f t="shared" si="52"/>
        <v>45886</v>
      </c>
      <c r="M639">
        <f t="shared" si="53"/>
        <v>8</v>
      </c>
      <c r="N639">
        <f t="shared" si="54"/>
        <v>2025</v>
      </c>
      <c r="W639" s="9">
        <v>489</v>
      </c>
      <c r="X639" s="9" t="s">
        <v>29</v>
      </c>
      <c r="Z639">
        <v>674</v>
      </c>
      <c r="AA639">
        <v>3108.73</v>
      </c>
      <c r="AB639" t="s">
        <v>29</v>
      </c>
      <c r="AD639" s="20">
        <v>46171</v>
      </c>
    </row>
    <row r="640" spans="1:30">
      <c r="A640">
        <v>676</v>
      </c>
      <c r="B640" t="str">
        <f>_xlfn.XLOOKUP(A640,Z:Z,AB:AB,"not found")</f>
        <v>EUR</v>
      </c>
      <c r="C640">
        <f>_xlfn.XLOOKUP(A640,Z:Z,AA:AA)-_xlfn.XLOOKUP(A640,Q:Q,R:R,"0")</f>
        <v>0</v>
      </c>
      <c r="D640">
        <f>C640*_xlfn.XLOOKUP(B640,AG:AG,AH:AH)</f>
        <v>0</v>
      </c>
      <c r="E640">
        <f>C640*_xlfn.XLOOKUP(B640,AG:AG,AI:AI)</f>
        <v>0</v>
      </c>
      <c r="F640">
        <v>19036.89</v>
      </c>
      <c r="G640">
        <f>F640*_xlfn.XLOOKUP(B640,AG:AG,AH:AH)</f>
        <v>19036.89</v>
      </c>
      <c r="H640">
        <f>F640*_xlfn.XLOOKUP(B640,AG:AG,AI:AI)</f>
        <v>22082.792399999998</v>
      </c>
      <c r="I640">
        <f t="shared" si="50"/>
        <v>0</v>
      </c>
      <c r="J640">
        <f>I640*_xlfn.XLOOKUP(B640,AG:AG,AI:AI)</f>
        <v>0</v>
      </c>
      <c r="K640" s="7">
        <f>_xlfn.XLOOKUP(A640,Z:Z,AD:AD)</f>
        <v>45946</v>
      </c>
      <c r="L640" s="7">
        <f t="shared" si="52"/>
        <v>45916</v>
      </c>
      <c r="M640">
        <f t="shared" si="53"/>
        <v>9</v>
      </c>
      <c r="N640">
        <f t="shared" si="54"/>
        <v>2025</v>
      </c>
      <c r="W640" s="9">
        <v>489</v>
      </c>
      <c r="X640" s="9" t="s">
        <v>29</v>
      </c>
      <c r="Z640">
        <v>675</v>
      </c>
      <c r="AA640">
        <v>1816.94</v>
      </c>
      <c r="AB640" t="s">
        <v>29</v>
      </c>
      <c r="AD640" s="20">
        <v>45916</v>
      </c>
    </row>
    <row r="641" spans="1:30">
      <c r="A641">
        <v>677</v>
      </c>
      <c r="B641" t="str">
        <f>_xlfn.XLOOKUP(A641,Z:Z,AB:AB,"not found")</f>
        <v>EUR</v>
      </c>
      <c r="C641">
        <f>_xlfn.XLOOKUP(A641,Z:Z,AA:AA)-_xlfn.XLOOKUP(A641,Q:Q,R:R,"0")</f>
        <v>8304.42</v>
      </c>
      <c r="D641">
        <f>C641*_xlfn.XLOOKUP(B641,AG:AG,AH:AH)</f>
        <v>8304.42</v>
      </c>
      <c r="E641">
        <f>C641*_xlfn.XLOOKUP(B641,AG:AG,AI:AI)</f>
        <v>9633.127199999999</v>
      </c>
      <c r="F641">
        <v>8304.42</v>
      </c>
      <c r="G641">
        <f>F641*_xlfn.XLOOKUP(B641,AG:AG,AH:AH)</f>
        <v>8304.42</v>
      </c>
      <c r="H641">
        <f>F641*_xlfn.XLOOKUP(B641,AG:AG,AI:AI)</f>
        <v>9633.127199999999</v>
      </c>
      <c r="I641">
        <f t="shared" si="50"/>
        <v>0</v>
      </c>
      <c r="J641">
        <f>I641*_xlfn.XLOOKUP(B641,AG:AG,AI:AI)</f>
        <v>0</v>
      </c>
      <c r="K641" s="7">
        <f>_xlfn.XLOOKUP(A641,Z:Z,AD:AD)</f>
        <v>45924</v>
      </c>
      <c r="L641" s="7">
        <f t="shared" si="52"/>
        <v>45894</v>
      </c>
      <c r="M641">
        <f t="shared" si="53"/>
        <v>8</v>
      </c>
      <c r="N641">
        <f t="shared" si="54"/>
        <v>2025</v>
      </c>
      <c r="W641" s="9">
        <v>489</v>
      </c>
      <c r="X641" s="9" t="s">
        <v>29</v>
      </c>
      <c r="Z641">
        <v>676</v>
      </c>
      <c r="AA641">
        <v>19036.89</v>
      </c>
      <c r="AB641" t="s">
        <v>27</v>
      </c>
      <c r="AD641" s="20">
        <v>45946</v>
      </c>
    </row>
    <row r="642" spans="1:30">
      <c r="A642">
        <v>678</v>
      </c>
      <c r="B642" t="str">
        <f>_xlfn.XLOOKUP(A642,Z:Z,AB:AB,"not found")</f>
        <v>USD</v>
      </c>
      <c r="C642">
        <f>_xlfn.XLOOKUP(A642,Z:Z,AA:AA)-_xlfn.XLOOKUP(A642,Q:Q,R:R,"0")</f>
        <v>0</v>
      </c>
      <c r="D642">
        <f>C642*_xlfn.XLOOKUP(B642,AG:AG,AH:AH)</f>
        <v>0</v>
      </c>
      <c r="E642">
        <f>C642*_xlfn.XLOOKUP(B642,AG:AG,AI:AI)</f>
        <v>0</v>
      </c>
      <c r="F642">
        <v>2313.5</v>
      </c>
      <c r="G642">
        <f>F642*_xlfn.XLOOKUP(B642,AG:AG,AH:AH)</f>
        <v>1989.61</v>
      </c>
      <c r="H642">
        <f>F642*_xlfn.XLOOKUP(B642,AG:AG,AI:AI)</f>
        <v>2313.5</v>
      </c>
      <c r="I642">
        <f t="shared" si="50"/>
        <v>0</v>
      </c>
      <c r="J642">
        <f>I642*_xlfn.XLOOKUP(B642,AG:AG,AI:AI)</f>
        <v>0</v>
      </c>
      <c r="K642" s="7">
        <f>_xlfn.XLOOKUP(A642,Z:Z,AD:AD)</f>
        <v>45885</v>
      </c>
      <c r="L642" s="7">
        <f t="shared" si="52"/>
        <v>45855</v>
      </c>
      <c r="M642">
        <f t="shared" si="53"/>
        <v>7</v>
      </c>
      <c r="N642">
        <f t="shared" si="54"/>
        <v>2025</v>
      </c>
      <c r="W642" s="9">
        <v>489</v>
      </c>
      <c r="X642" s="9" t="s">
        <v>29</v>
      </c>
      <c r="Z642">
        <v>677</v>
      </c>
      <c r="AA642">
        <v>8304.42</v>
      </c>
      <c r="AB642" t="s">
        <v>27</v>
      </c>
      <c r="AD642" s="20">
        <v>45924</v>
      </c>
    </row>
    <row r="643" spans="1:30">
      <c r="A643">
        <v>679</v>
      </c>
      <c r="B643" t="str">
        <f>_xlfn.XLOOKUP(A643,Z:Z,AB:AB,"not found")</f>
        <v>USD</v>
      </c>
      <c r="C643">
        <f>_xlfn.XLOOKUP(A643,Z:Z,AA:AA)-_xlfn.XLOOKUP(A643,Q:Q,R:R,"0")</f>
        <v>0</v>
      </c>
      <c r="D643">
        <f>C643*_xlfn.XLOOKUP(B643,AG:AG,AH:AH)</f>
        <v>0</v>
      </c>
      <c r="E643">
        <f>C643*_xlfn.XLOOKUP(B643,AG:AG,AI:AI)</f>
        <v>0</v>
      </c>
      <c r="F643">
        <v>11383</v>
      </c>
      <c r="G643">
        <f>F643*_xlfn.XLOOKUP(B643,AG:AG,AH:AH)</f>
        <v>9789.3799999999992</v>
      </c>
      <c r="H643">
        <f>F643*_xlfn.XLOOKUP(B643,AG:AG,AI:AI)</f>
        <v>11383</v>
      </c>
      <c r="I643">
        <f t="shared" ref="I643:I706" si="55">C643-F643+_xlfn.XLOOKUP(A643,Q:Q,R:R,"0")</f>
        <v>0</v>
      </c>
      <c r="J643">
        <f>I643*_xlfn.XLOOKUP(B643,AG:AG,AI:AI)</f>
        <v>0</v>
      </c>
      <c r="K643" s="7">
        <f>_xlfn.XLOOKUP(A643,Z:Z,AD:AD)</f>
        <v>45911</v>
      </c>
      <c r="L643" s="7">
        <f t="shared" si="52"/>
        <v>45881</v>
      </c>
      <c r="M643">
        <f t="shared" si="53"/>
        <v>8</v>
      </c>
      <c r="N643">
        <f t="shared" si="54"/>
        <v>2025</v>
      </c>
      <c r="W643" s="9">
        <v>489</v>
      </c>
      <c r="X643" s="9" t="s">
        <v>29</v>
      </c>
      <c r="Z643">
        <v>678</v>
      </c>
      <c r="AA643">
        <v>2313.5</v>
      </c>
      <c r="AB643" t="s">
        <v>29</v>
      </c>
      <c r="AD643" s="20">
        <v>45885</v>
      </c>
    </row>
    <row r="644" spans="1:30">
      <c r="A644">
        <v>680</v>
      </c>
      <c r="B644" t="str">
        <f>_xlfn.XLOOKUP(A644,Z:Z,AB:AB,"not found")</f>
        <v>USD</v>
      </c>
      <c r="C644">
        <f>_xlfn.XLOOKUP(A644,Z:Z,AA:AA)-_xlfn.XLOOKUP(A644,Q:Q,R:R,"0")</f>
        <v>-9047.85</v>
      </c>
      <c r="D644">
        <f>C644*_xlfn.XLOOKUP(B644,AG:AG,AH:AH)</f>
        <v>-7781.1509999999998</v>
      </c>
      <c r="E644">
        <f>C644*_xlfn.XLOOKUP(B644,AG:AG,AI:AI)</f>
        <v>-9047.85</v>
      </c>
      <c r="F644">
        <v>10136.19</v>
      </c>
      <c r="G644">
        <f>F644*_xlfn.XLOOKUP(B644,AG:AG,AH:AH)</f>
        <v>8717.1234000000004</v>
      </c>
      <c r="H644">
        <f>F644*_xlfn.XLOOKUP(B644,AG:AG,AI:AI)</f>
        <v>10136.19</v>
      </c>
      <c r="I644">
        <f t="shared" si="55"/>
        <v>0</v>
      </c>
      <c r="J644">
        <f>I644*_xlfn.XLOOKUP(B644,AG:AG,AI:AI)</f>
        <v>0</v>
      </c>
      <c r="K644" s="7">
        <f>_xlfn.XLOOKUP(A644,Z:Z,AD:AD)</f>
        <v>45973</v>
      </c>
      <c r="L644" s="7">
        <f t="shared" si="52"/>
        <v>45943</v>
      </c>
      <c r="M644">
        <f t="shared" si="53"/>
        <v>10</v>
      </c>
      <c r="N644">
        <f t="shared" si="54"/>
        <v>2025</v>
      </c>
      <c r="W644" s="9">
        <v>489</v>
      </c>
      <c r="X644" s="9" t="s">
        <v>29</v>
      </c>
      <c r="Z644">
        <v>679</v>
      </c>
      <c r="AA644">
        <v>11383</v>
      </c>
      <c r="AB644" t="s">
        <v>29</v>
      </c>
      <c r="AD644" s="20">
        <v>45911</v>
      </c>
    </row>
    <row r="645" spans="1:30">
      <c r="A645">
        <v>681</v>
      </c>
      <c r="B645" t="str">
        <f>_xlfn.XLOOKUP(A645,Z:Z,AB:AB,"not found")</f>
        <v>EUR</v>
      </c>
      <c r="C645">
        <f>_xlfn.XLOOKUP(A645,Z:Z,AA:AA)-_xlfn.XLOOKUP(A645,Q:Q,R:R,"0")</f>
        <v>5436.24</v>
      </c>
      <c r="D645">
        <f>C645*_xlfn.XLOOKUP(B645,AG:AG,AH:AH)</f>
        <v>5436.24</v>
      </c>
      <c r="E645">
        <f>C645*_xlfn.XLOOKUP(B645,AG:AG,AI:AI)</f>
        <v>6306.0383999999995</v>
      </c>
      <c r="F645">
        <v>5436.24</v>
      </c>
      <c r="G645">
        <f>F645*_xlfn.XLOOKUP(B645,AG:AG,AH:AH)</f>
        <v>5436.24</v>
      </c>
      <c r="H645">
        <f>F645*_xlfn.XLOOKUP(B645,AG:AG,AI:AI)</f>
        <v>6306.0383999999995</v>
      </c>
      <c r="I645">
        <f t="shared" si="55"/>
        <v>0</v>
      </c>
      <c r="J645">
        <f>I645*_xlfn.XLOOKUP(B645,AG:AG,AI:AI)</f>
        <v>0</v>
      </c>
      <c r="K645" s="7">
        <f>_xlfn.XLOOKUP(A645,Z:Z,AD:AD)</f>
        <v>45947</v>
      </c>
      <c r="L645" s="7">
        <f t="shared" si="52"/>
        <v>45917</v>
      </c>
      <c r="M645">
        <f t="shared" si="53"/>
        <v>9</v>
      </c>
      <c r="N645">
        <f t="shared" si="54"/>
        <v>2025</v>
      </c>
      <c r="W645" s="9">
        <v>489</v>
      </c>
      <c r="X645" s="9" t="s">
        <v>29</v>
      </c>
      <c r="Z645">
        <v>680</v>
      </c>
      <c r="AA645">
        <v>10136.19</v>
      </c>
      <c r="AB645" t="s">
        <v>29</v>
      </c>
      <c r="AD645" s="20">
        <v>45973</v>
      </c>
    </row>
    <row r="646" spans="1:30">
      <c r="A646">
        <v>683</v>
      </c>
      <c r="B646" t="str">
        <f>_xlfn.XLOOKUP(A646,Z:Z,AB:AB,"not found")</f>
        <v>GPB</v>
      </c>
      <c r="C646">
        <f>_xlfn.XLOOKUP(A646,Z:Z,AA:AA)-_xlfn.XLOOKUP(A646,Q:Q,R:R,"0")</f>
        <v>0</v>
      </c>
      <c r="D646">
        <f>C646*_xlfn.XLOOKUP(B646,AG:AG,AH:AH)</f>
        <v>0</v>
      </c>
      <c r="E646">
        <f>C646*_xlfn.XLOOKUP(B646,AG:AG,AI:AI)</f>
        <v>0</v>
      </c>
      <c r="F646">
        <v>3081</v>
      </c>
      <c r="G646">
        <f>F646*_xlfn.XLOOKUP(B646,AG:AG,AH:AH)</f>
        <v>3543.1499999999996</v>
      </c>
      <c r="H646">
        <f>F646*_xlfn.XLOOKUP(B646,AG:AG,AI:AI)</f>
        <v>4128.54</v>
      </c>
      <c r="I646">
        <f t="shared" si="55"/>
        <v>0</v>
      </c>
      <c r="J646">
        <f>I646*_xlfn.XLOOKUP(B646,AG:AG,AI:AI)</f>
        <v>0</v>
      </c>
      <c r="K646" s="7">
        <f>_xlfn.XLOOKUP(A646,Z:Z,AD:AD)</f>
        <v>45908</v>
      </c>
      <c r="L646" s="7">
        <f t="shared" si="52"/>
        <v>45878</v>
      </c>
      <c r="M646">
        <f t="shared" si="53"/>
        <v>8</v>
      </c>
      <c r="N646">
        <f t="shared" si="54"/>
        <v>2025</v>
      </c>
      <c r="W646" s="9">
        <v>489</v>
      </c>
      <c r="X646" s="9" t="s">
        <v>29</v>
      </c>
      <c r="Z646">
        <v>681</v>
      </c>
      <c r="AA646">
        <v>5436.24</v>
      </c>
      <c r="AB646" t="s">
        <v>27</v>
      </c>
      <c r="AD646" s="20">
        <v>45947</v>
      </c>
    </row>
    <row r="647" spans="1:30">
      <c r="A647">
        <v>684</v>
      </c>
      <c r="B647" t="str">
        <f>_xlfn.XLOOKUP(A647,Z:Z,AB:AB,"not found")</f>
        <v>USD</v>
      </c>
      <c r="C647">
        <f>_xlfn.XLOOKUP(A647,Z:Z,AA:AA)-_xlfn.XLOOKUP(A647,Q:Q,R:R,"0")</f>
        <v>0</v>
      </c>
      <c r="D647">
        <f>C647*_xlfn.XLOOKUP(B647,AG:AG,AH:AH)</f>
        <v>0</v>
      </c>
      <c r="E647">
        <f>C647*_xlfn.XLOOKUP(B647,AG:AG,AI:AI)</f>
        <v>0</v>
      </c>
      <c r="F647">
        <v>194.6</v>
      </c>
      <c r="G647">
        <f>F647*_xlfn.XLOOKUP(B647,AG:AG,AH:AH)</f>
        <v>167.35599999999999</v>
      </c>
      <c r="H647">
        <f>F647*_xlfn.XLOOKUP(B647,AG:AG,AI:AI)</f>
        <v>194.6</v>
      </c>
      <c r="I647">
        <f t="shared" si="55"/>
        <v>0</v>
      </c>
      <c r="J647">
        <f>I647*_xlfn.XLOOKUP(B647,AG:AG,AI:AI)</f>
        <v>0</v>
      </c>
      <c r="K647" s="7">
        <f>_xlfn.XLOOKUP(A647,Z:Z,AD:AD)</f>
        <v>45887</v>
      </c>
      <c r="L647" s="7">
        <f t="shared" si="52"/>
        <v>45857</v>
      </c>
      <c r="M647">
        <f t="shared" si="53"/>
        <v>7</v>
      </c>
      <c r="N647">
        <f t="shared" si="54"/>
        <v>2025</v>
      </c>
      <c r="W647" s="9">
        <v>490</v>
      </c>
      <c r="X647" s="9" t="s">
        <v>29</v>
      </c>
      <c r="Z647">
        <v>683</v>
      </c>
      <c r="AA647">
        <v>3081</v>
      </c>
      <c r="AB647" t="s">
        <v>32</v>
      </c>
      <c r="AD647" s="20">
        <v>45908</v>
      </c>
    </row>
    <row r="648" spans="1:30">
      <c r="A648">
        <v>686</v>
      </c>
      <c r="B648" t="str">
        <f>_xlfn.XLOOKUP(A648,Z:Z,AB:AB,"not found")</f>
        <v>EUR</v>
      </c>
      <c r="C648">
        <f>_xlfn.XLOOKUP(A648,Z:Z,AA:AA)-_xlfn.XLOOKUP(A648,Q:Q,R:R,"0")</f>
        <v>0</v>
      </c>
      <c r="D648">
        <f>C648*_xlfn.XLOOKUP(B648,AG:AG,AH:AH)</f>
        <v>0</v>
      </c>
      <c r="E648">
        <f>C648*_xlfn.XLOOKUP(B648,AG:AG,AI:AI)</f>
        <v>0</v>
      </c>
      <c r="F648">
        <v>2417.65</v>
      </c>
      <c r="G648">
        <f>F648*_xlfn.XLOOKUP(B648,AG:AG,AH:AH)</f>
        <v>2417.65</v>
      </c>
      <c r="H648">
        <f>F648*_xlfn.XLOOKUP(B648,AG:AG,AI:AI)</f>
        <v>2804.4739999999997</v>
      </c>
      <c r="I648">
        <f t="shared" si="55"/>
        <v>0</v>
      </c>
      <c r="J648">
        <f>I648*_xlfn.XLOOKUP(B648,AG:AG,AI:AI)</f>
        <v>0</v>
      </c>
      <c r="K648" s="7">
        <f>_xlfn.XLOOKUP(A648,Z:Z,AD:AD)</f>
        <v>45923</v>
      </c>
      <c r="L648" s="7">
        <f t="shared" si="52"/>
        <v>45893</v>
      </c>
      <c r="M648">
        <f t="shared" si="53"/>
        <v>8</v>
      </c>
      <c r="N648">
        <f t="shared" si="54"/>
        <v>2025</v>
      </c>
      <c r="W648" s="9">
        <v>491</v>
      </c>
      <c r="X648" s="9" t="s">
        <v>29</v>
      </c>
      <c r="Z648">
        <v>684</v>
      </c>
      <c r="AA648">
        <v>194.6</v>
      </c>
      <c r="AB648" t="s">
        <v>29</v>
      </c>
      <c r="AD648" s="20">
        <v>45887</v>
      </c>
    </row>
    <row r="649" spans="1:30">
      <c r="A649">
        <v>687</v>
      </c>
      <c r="B649" t="str">
        <f>_xlfn.XLOOKUP(A649,Z:Z,AB:AB,"not found")</f>
        <v>USD</v>
      </c>
      <c r="C649">
        <f>_xlfn.XLOOKUP(A649,Z:Z,AA:AA)-_xlfn.XLOOKUP(A649,Q:Q,R:R,"0")</f>
        <v>1905.2</v>
      </c>
      <c r="D649">
        <f>C649*_xlfn.XLOOKUP(B649,AG:AG,AH:AH)</f>
        <v>1638.472</v>
      </c>
      <c r="E649">
        <f>C649*_xlfn.XLOOKUP(B649,AG:AG,AI:AI)</f>
        <v>1905.2</v>
      </c>
      <c r="F649">
        <v>645.5</v>
      </c>
      <c r="G649">
        <f>F649*_xlfn.XLOOKUP(B649,AG:AG,AH:AH)</f>
        <v>555.13</v>
      </c>
      <c r="H649">
        <f>F649*_xlfn.XLOOKUP(B649,AG:AG,AI:AI)</f>
        <v>645.5</v>
      </c>
      <c r="I649">
        <f t="shared" si="55"/>
        <v>1259.7</v>
      </c>
      <c r="J649">
        <f>I649*_xlfn.XLOOKUP(B649,AG:AG,AI:AI)</f>
        <v>1259.7</v>
      </c>
      <c r="K649" s="7">
        <f>_xlfn.XLOOKUP(A649,Z:Z,AD:AD)</f>
        <v>45903</v>
      </c>
      <c r="L649" s="7">
        <f t="shared" si="52"/>
        <v>45873</v>
      </c>
      <c r="M649">
        <f t="shared" si="53"/>
        <v>8</v>
      </c>
      <c r="N649">
        <f t="shared" si="54"/>
        <v>2025</v>
      </c>
      <c r="W649" s="9">
        <v>492</v>
      </c>
      <c r="X649" s="9" t="s">
        <v>28</v>
      </c>
      <c r="Z649">
        <v>686</v>
      </c>
      <c r="AA649">
        <v>2417.65</v>
      </c>
      <c r="AB649" t="s">
        <v>27</v>
      </c>
      <c r="AD649" s="20">
        <v>45923</v>
      </c>
    </row>
    <row r="650" spans="1:30">
      <c r="A650">
        <v>688</v>
      </c>
      <c r="B650" t="str">
        <f>_xlfn.XLOOKUP(A650,Z:Z,AB:AB,"not found")</f>
        <v>EUR</v>
      </c>
      <c r="C650">
        <f>_xlfn.XLOOKUP(A650,Z:Z,AA:AA)-_xlfn.XLOOKUP(A650,Q:Q,R:R,"0")</f>
        <v>8775.9</v>
      </c>
      <c r="D650">
        <f>C650*_xlfn.XLOOKUP(B650,AG:AG,AH:AH)</f>
        <v>8775.9</v>
      </c>
      <c r="E650">
        <f>C650*_xlfn.XLOOKUP(B650,AG:AG,AI:AI)</f>
        <v>10180.043999999998</v>
      </c>
      <c r="F650">
        <v>8775.9</v>
      </c>
      <c r="G650">
        <f>F650*_xlfn.XLOOKUP(B650,AG:AG,AH:AH)</f>
        <v>8775.9</v>
      </c>
      <c r="H650">
        <f>F650*_xlfn.XLOOKUP(B650,AG:AG,AI:AI)</f>
        <v>10180.043999999998</v>
      </c>
      <c r="I650">
        <f t="shared" si="55"/>
        <v>0</v>
      </c>
      <c r="J650">
        <f>I650*_xlfn.XLOOKUP(B650,AG:AG,AI:AI)</f>
        <v>0</v>
      </c>
      <c r="K650" s="7">
        <f>_xlfn.XLOOKUP(A650,Z:Z,AD:AD)</f>
        <v>45923</v>
      </c>
      <c r="L650" s="7">
        <f t="shared" si="52"/>
        <v>45893</v>
      </c>
      <c r="M650">
        <f t="shared" si="53"/>
        <v>8</v>
      </c>
      <c r="N650">
        <f t="shared" si="54"/>
        <v>2025</v>
      </c>
      <c r="W650" s="9">
        <v>496</v>
      </c>
      <c r="X650" s="9" t="s">
        <v>29</v>
      </c>
      <c r="Z650">
        <v>687</v>
      </c>
      <c r="AA650">
        <v>1905.2</v>
      </c>
      <c r="AB650" t="s">
        <v>29</v>
      </c>
      <c r="AD650" s="20">
        <v>45903</v>
      </c>
    </row>
    <row r="651" spans="1:30">
      <c r="A651">
        <v>689</v>
      </c>
      <c r="B651" t="str">
        <f>_xlfn.XLOOKUP(A651,Z:Z,AB:AB,"not found")</f>
        <v>USD</v>
      </c>
      <c r="C651">
        <f>_xlfn.XLOOKUP(A651,Z:Z,AA:AA)-_xlfn.XLOOKUP(A651,Q:Q,R:R,"0")</f>
        <v>11224.95</v>
      </c>
      <c r="D651">
        <f>C651*_xlfn.XLOOKUP(B651,AG:AG,AH:AH)</f>
        <v>9653.4570000000003</v>
      </c>
      <c r="E651">
        <f>C651*_xlfn.XLOOKUP(B651,AG:AG,AI:AI)</f>
        <v>11224.95</v>
      </c>
      <c r="F651">
        <v>11224.95</v>
      </c>
      <c r="G651">
        <f>F651*_xlfn.XLOOKUP(B651,AG:AG,AH:AH)</f>
        <v>9653.4570000000003</v>
      </c>
      <c r="H651">
        <f>F651*_xlfn.XLOOKUP(B651,AG:AG,AI:AI)</f>
        <v>11224.95</v>
      </c>
      <c r="I651">
        <f t="shared" si="55"/>
        <v>0</v>
      </c>
      <c r="J651">
        <f>I651*_xlfn.XLOOKUP(B651,AG:AG,AI:AI)</f>
        <v>0</v>
      </c>
      <c r="K651" s="7">
        <f>_xlfn.XLOOKUP(A651,Z:Z,AD:AD)</f>
        <v>45913</v>
      </c>
      <c r="L651" s="7">
        <f t="shared" si="52"/>
        <v>45883</v>
      </c>
      <c r="M651">
        <f t="shared" si="53"/>
        <v>8</v>
      </c>
      <c r="N651">
        <f t="shared" si="54"/>
        <v>2025</v>
      </c>
      <c r="W651" s="9">
        <v>497</v>
      </c>
      <c r="X651" s="9" t="s">
        <v>28</v>
      </c>
      <c r="Z651">
        <v>688</v>
      </c>
      <c r="AA651">
        <v>8775.9</v>
      </c>
      <c r="AB651" t="s">
        <v>27</v>
      </c>
      <c r="AD651" s="20">
        <v>45923</v>
      </c>
    </row>
    <row r="652" spans="1:30">
      <c r="A652">
        <v>690</v>
      </c>
      <c r="B652" t="str">
        <f>_xlfn.XLOOKUP(A652,Z:Z,AB:AB,"not found")</f>
        <v>USD</v>
      </c>
      <c r="C652">
        <f>_xlfn.XLOOKUP(A652,Z:Z,AA:AA)-_xlfn.XLOOKUP(A652,Q:Q,R:R,"0")</f>
        <v>24086.01</v>
      </c>
      <c r="D652">
        <f>C652*_xlfn.XLOOKUP(B652,AG:AG,AH:AH)</f>
        <v>20713.968599999997</v>
      </c>
      <c r="E652">
        <f>C652*_xlfn.XLOOKUP(B652,AG:AG,AI:AI)</f>
        <v>24086.01</v>
      </c>
      <c r="F652">
        <v>24086.01</v>
      </c>
      <c r="G652">
        <f>F652*_xlfn.XLOOKUP(B652,AG:AG,AH:AH)</f>
        <v>20713.968599999997</v>
      </c>
      <c r="H652">
        <f>F652*_xlfn.XLOOKUP(B652,AG:AG,AI:AI)</f>
        <v>24086.01</v>
      </c>
      <c r="I652">
        <f t="shared" si="55"/>
        <v>0</v>
      </c>
      <c r="J652">
        <f>I652*_xlfn.XLOOKUP(B652,AG:AG,AI:AI)</f>
        <v>0</v>
      </c>
      <c r="K652" s="7">
        <f>_xlfn.XLOOKUP(A652,Z:Z,AD:AD)</f>
        <v>45913</v>
      </c>
      <c r="L652" s="7">
        <f t="shared" si="52"/>
        <v>45883</v>
      </c>
      <c r="M652">
        <f t="shared" si="53"/>
        <v>8</v>
      </c>
      <c r="N652">
        <f t="shared" si="54"/>
        <v>2025</v>
      </c>
      <c r="W652" s="9">
        <v>498</v>
      </c>
      <c r="X652" s="9" t="s">
        <v>32</v>
      </c>
      <c r="Z652">
        <v>689</v>
      </c>
      <c r="AA652">
        <v>11224.95</v>
      </c>
      <c r="AB652" t="s">
        <v>29</v>
      </c>
      <c r="AD652" s="20">
        <v>45913</v>
      </c>
    </row>
    <row r="653" spans="1:30">
      <c r="A653">
        <v>691</v>
      </c>
      <c r="B653" t="str">
        <f>_xlfn.XLOOKUP(A653,Z:Z,AB:AB,"not found")</f>
        <v>USD</v>
      </c>
      <c r="C653">
        <f>_xlfn.XLOOKUP(A653,Z:Z,AA:AA)-_xlfn.XLOOKUP(A653,Q:Q,R:R,"0")</f>
        <v>1016.98</v>
      </c>
      <c r="D653">
        <f>C653*_xlfn.XLOOKUP(B653,AG:AG,AH:AH)</f>
        <v>874.6028</v>
      </c>
      <c r="E653">
        <f>C653*_xlfn.XLOOKUP(B653,AG:AG,AI:AI)</f>
        <v>1016.98</v>
      </c>
      <c r="F653">
        <v>1016.98</v>
      </c>
      <c r="G653">
        <f>F653*_xlfn.XLOOKUP(B653,AG:AG,AH:AH)</f>
        <v>874.6028</v>
      </c>
      <c r="H653">
        <f>F653*_xlfn.XLOOKUP(B653,AG:AG,AI:AI)</f>
        <v>1016.98</v>
      </c>
      <c r="I653">
        <f t="shared" si="55"/>
        <v>0</v>
      </c>
      <c r="J653">
        <f>I653*_xlfn.XLOOKUP(B653,AG:AG,AI:AI)</f>
        <v>0</v>
      </c>
      <c r="K653" s="7">
        <f>_xlfn.XLOOKUP(A653,Z:Z,AD:AD)</f>
        <v>45923</v>
      </c>
      <c r="L653" s="7">
        <f t="shared" si="52"/>
        <v>45893</v>
      </c>
      <c r="M653">
        <f t="shared" si="53"/>
        <v>8</v>
      </c>
      <c r="N653">
        <f t="shared" si="54"/>
        <v>2025</v>
      </c>
      <c r="W653" s="9">
        <v>498</v>
      </c>
      <c r="X653" s="9" t="s">
        <v>32</v>
      </c>
      <c r="Z653">
        <v>690</v>
      </c>
      <c r="AA653">
        <v>24086.01</v>
      </c>
      <c r="AB653" t="s">
        <v>29</v>
      </c>
      <c r="AD653" s="20">
        <v>45913</v>
      </c>
    </row>
    <row r="654" spans="1:30">
      <c r="A654">
        <v>692</v>
      </c>
      <c r="B654" t="str">
        <f>_xlfn.XLOOKUP(A654,Z:Z,AB:AB,"not found")</f>
        <v>USD</v>
      </c>
      <c r="C654">
        <f>_xlfn.XLOOKUP(A654,Z:Z,AA:AA)-_xlfn.XLOOKUP(A654,Q:Q,R:R,"0")</f>
        <v>0</v>
      </c>
      <c r="D654">
        <f>C654*_xlfn.XLOOKUP(B654,AG:AG,AH:AH)</f>
        <v>0</v>
      </c>
      <c r="E654">
        <f>C654*_xlfn.XLOOKUP(B654,AG:AG,AI:AI)</f>
        <v>0</v>
      </c>
      <c r="F654">
        <v>3288.3</v>
      </c>
      <c r="G654">
        <f>F654*_xlfn.XLOOKUP(B654,AG:AG,AH:AH)</f>
        <v>2827.9380000000001</v>
      </c>
      <c r="H654">
        <f>F654*_xlfn.XLOOKUP(B654,AG:AG,AI:AI)</f>
        <v>3288.3</v>
      </c>
      <c r="I654">
        <f t="shared" si="55"/>
        <v>0</v>
      </c>
      <c r="J654">
        <f>I654*_xlfn.XLOOKUP(B654,AG:AG,AI:AI)</f>
        <v>0</v>
      </c>
      <c r="K654" s="7">
        <f>_xlfn.XLOOKUP(A654,Z:Z,AD:AD)</f>
        <v>45912</v>
      </c>
      <c r="L654" s="7">
        <f t="shared" si="52"/>
        <v>45882</v>
      </c>
      <c r="M654">
        <f t="shared" si="53"/>
        <v>8</v>
      </c>
      <c r="N654">
        <f t="shared" si="54"/>
        <v>2025</v>
      </c>
      <c r="W654" s="9">
        <v>499</v>
      </c>
      <c r="X654" s="9" t="s">
        <v>29</v>
      </c>
      <c r="Z654">
        <v>691</v>
      </c>
      <c r="AA654">
        <v>1016.98</v>
      </c>
      <c r="AB654" t="s">
        <v>29</v>
      </c>
      <c r="AD654" s="20">
        <v>45923</v>
      </c>
    </row>
    <row r="655" spans="1:30">
      <c r="A655">
        <v>693</v>
      </c>
      <c r="B655" t="str">
        <f>_xlfn.XLOOKUP(A655,Z:Z,AB:AB,"not found")</f>
        <v>EUR</v>
      </c>
      <c r="C655">
        <f>_xlfn.XLOOKUP(A655,Z:Z,AA:AA)-_xlfn.XLOOKUP(A655,Q:Q,R:R,"0")</f>
        <v>0</v>
      </c>
      <c r="D655">
        <f>C655*_xlfn.XLOOKUP(B655,AG:AG,AH:AH)</f>
        <v>0</v>
      </c>
      <c r="E655">
        <f>C655*_xlfn.XLOOKUP(B655,AG:AG,AI:AI)</f>
        <v>0</v>
      </c>
      <c r="F655">
        <v>6460</v>
      </c>
      <c r="G655">
        <f>F655*_xlfn.XLOOKUP(B655,AG:AG,AH:AH)</f>
        <v>6460</v>
      </c>
      <c r="H655">
        <f>F655*_xlfn.XLOOKUP(B655,AG:AG,AI:AI)</f>
        <v>7493.5999999999995</v>
      </c>
      <c r="I655">
        <f t="shared" si="55"/>
        <v>0</v>
      </c>
      <c r="J655">
        <f>I655*_xlfn.XLOOKUP(B655,AG:AG,AI:AI)</f>
        <v>0</v>
      </c>
      <c r="K655" s="7">
        <f>_xlfn.XLOOKUP(A655,Z:Z,AD:AD)</f>
        <v>45918</v>
      </c>
      <c r="L655" s="7">
        <f t="shared" si="52"/>
        <v>45888</v>
      </c>
      <c r="M655">
        <f t="shared" si="53"/>
        <v>8</v>
      </c>
      <c r="N655">
        <f t="shared" si="54"/>
        <v>2025</v>
      </c>
      <c r="W655" s="9">
        <v>499</v>
      </c>
      <c r="X655" s="9" t="s">
        <v>29</v>
      </c>
      <c r="Z655">
        <v>692</v>
      </c>
      <c r="AA655">
        <v>3288.3</v>
      </c>
      <c r="AB655" t="s">
        <v>29</v>
      </c>
      <c r="AD655" s="20">
        <v>45912</v>
      </c>
    </row>
    <row r="656" spans="1:30">
      <c r="A656">
        <v>694</v>
      </c>
      <c r="B656" t="str">
        <f>_xlfn.XLOOKUP(A656,Z:Z,AB:AB,"not found")</f>
        <v>EUR</v>
      </c>
      <c r="C656">
        <f>_xlfn.XLOOKUP(A656,Z:Z,AA:AA)-_xlfn.XLOOKUP(A656,Q:Q,R:R,"0")</f>
        <v>0</v>
      </c>
      <c r="D656">
        <f>C656*_xlfn.XLOOKUP(B656,AG:AG,AH:AH)</f>
        <v>0</v>
      </c>
      <c r="E656">
        <f>C656*_xlfn.XLOOKUP(B656,AG:AG,AI:AI)</f>
        <v>0</v>
      </c>
      <c r="F656">
        <v>6975</v>
      </c>
      <c r="G656">
        <f>F656*_xlfn.XLOOKUP(B656,AG:AG,AH:AH)</f>
        <v>6975</v>
      </c>
      <c r="H656">
        <f>F656*_xlfn.XLOOKUP(B656,AG:AG,AI:AI)</f>
        <v>8090.9999999999991</v>
      </c>
      <c r="I656">
        <f t="shared" si="55"/>
        <v>0</v>
      </c>
      <c r="J656">
        <f>I656*_xlfn.XLOOKUP(B656,AG:AG,AI:AI)</f>
        <v>0</v>
      </c>
      <c r="K656" s="7">
        <f>_xlfn.XLOOKUP(A656,Z:Z,AD:AD)</f>
        <v>45907</v>
      </c>
      <c r="L656" s="7">
        <f t="shared" si="52"/>
        <v>45877</v>
      </c>
      <c r="M656">
        <f t="shared" si="53"/>
        <v>8</v>
      </c>
      <c r="N656">
        <f t="shared" si="54"/>
        <v>2025</v>
      </c>
      <c r="W656" s="9">
        <v>499</v>
      </c>
      <c r="X656" s="9" t="s">
        <v>29</v>
      </c>
      <c r="Z656">
        <v>693</v>
      </c>
      <c r="AA656">
        <v>6460</v>
      </c>
      <c r="AB656" t="s">
        <v>27</v>
      </c>
      <c r="AD656" s="20">
        <v>45918</v>
      </c>
    </row>
    <row r="657" spans="1:30">
      <c r="A657">
        <v>695</v>
      </c>
      <c r="B657" t="str">
        <f>_xlfn.XLOOKUP(A657,Z:Z,AB:AB,"not found")</f>
        <v>USD</v>
      </c>
      <c r="C657">
        <f>_xlfn.XLOOKUP(A657,Z:Z,AA:AA)-_xlfn.XLOOKUP(A657,Q:Q,R:R,"0")</f>
        <v>42379.15</v>
      </c>
      <c r="D657">
        <f>C657*_xlfn.XLOOKUP(B657,AG:AG,AH:AH)</f>
        <v>36446.069000000003</v>
      </c>
      <c r="E657">
        <f>C657*_xlfn.XLOOKUP(B657,AG:AG,AI:AI)</f>
        <v>42379.15</v>
      </c>
      <c r="F657">
        <v>42379.15</v>
      </c>
      <c r="G657">
        <f>F657*_xlfn.XLOOKUP(B657,AG:AG,AH:AH)</f>
        <v>36446.069000000003</v>
      </c>
      <c r="H657">
        <f>F657*_xlfn.XLOOKUP(B657,AG:AG,AI:AI)</f>
        <v>42379.15</v>
      </c>
      <c r="I657">
        <f t="shared" si="55"/>
        <v>0</v>
      </c>
      <c r="J657">
        <f>I657*_xlfn.XLOOKUP(B657,AG:AG,AI:AI)</f>
        <v>0</v>
      </c>
      <c r="K657" s="7">
        <f>_xlfn.XLOOKUP(A657,Z:Z,AD:AD)</f>
        <v>45937</v>
      </c>
      <c r="L657" s="7">
        <f t="shared" si="52"/>
        <v>45907</v>
      </c>
      <c r="M657">
        <f t="shared" si="53"/>
        <v>9</v>
      </c>
      <c r="N657">
        <f t="shared" si="54"/>
        <v>2025</v>
      </c>
      <c r="W657" s="9">
        <v>499</v>
      </c>
      <c r="X657" s="9" t="s">
        <v>29</v>
      </c>
      <c r="Z657">
        <v>694</v>
      </c>
      <c r="AA657">
        <v>6975</v>
      </c>
      <c r="AB657" t="s">
        <v>27</v>
      </c>
      <c r="AD657" s="20">
        <v>45907</v>
      </c>
    </row>
    <row r="658" spans="1:30">
      <c r="A658">
        <v>696</v>
      </c>
      <c r="B658" t="str">
        <f>_xlfn.XLOOKUP(A658,Z:Z,AB:AB,"not found")</f>
        <v>USD</v>
      </c>
      <c r="C658">
        <f>_xlfn.XLOOKUP(A658,Z:Z,AA:AA)-_xlfn.XLOOKUP(A658,Q:Q,R:R,"0")</f>
        <v>1337.9999999999964</v>
      </c>
      <c r="D658">
        <f>C658*_xlfn.XLOOKUP(B658,AG:AG,AH:AH)</f>
        <v>1150.6799999999969</v>
      </c>
      <c r="E658">
        <f>C658*_xlfn.XLOOKUP(B658,AG:AG,AI:AI)</f>
        <v>1337.9999999999964</v>
      </c>
      <c r="F658">
        <v>24845.21</v>
      </c>
      <c r="G658">
        <f>F658*_xlfn.XLOOKUP(B658,AG:AG,AH:AH)</f>
        <v>21366.8806</v>
      </c>
      <c r="H658">
        <f>F658*_xlfn.XLOOKUP(B658,AG:AG,AI:AI)</f>
        <v>24845.21</v>
      </c>
      <c r="I658">
        <f t="shared" si="55"/>
        <v>0</v>
      </c>
      <c r="J658">
        <f>I658*_xlfn.XLOOKUP(B658,AG:AG,AI:AI)</f>
        <v>0</v>
      </c>
      <c r="K658" s="7">
        <f>_xlfn.XLOOKUP(A658,Z:Z,AD:AD)</f>
        <v>45960</v>
      </c>
      <c r="L658" s="7">
        <f t="shared" si="52"/>
        <v>45930</v>
      </c>
      <c r="M658">
        <f t="shared" si="53"/>
        <v>9</v>
      </c>
      <c r="N658">
        <f t="shared" si="54"/>
        <v>2025</v>
      </c>
      <c r="W658" s="9">
        <v>499</v>
      </c>
      <c r="X658" s="9" t="s">
        <v>29</v>
      </c>
      <c r="Z658">
        <v>695</v>
      </c>
      <c r="AA658">
        <v>42379.15</v>
      </c>
      <c r="AB658" t="s">
        <v>29</v>
      </c>
      <c r="AD658" s="20">
        <v>45937</v>
      </c>
    </row>
    <row r="659" spans="1:30">
      <c r="A659">
        <v>697</v>
      </c>
      <c r="B659" t="str">
        <f>_xlfn.XLOOKUP(A659,Z:Z,AB:AB,"not found")</f>
        <v>USD</v>
      </c>
      <c r="C659">
        <f>_xlfn.XLOOKUP(A659,Z:Z,AA:AA)-_xlfn.XLOOKUP(A659,Q:Q,R:R,"0")</f>
        <v>4478</v>
      </c>
      <c r="D659">
        <f>C659*_xlfn.XLOOKUP(B659,AG:AG,AH:AH)</f>
        <v>3851.08</v>
      </c>
      <c r="E659">
        <f>C659*_xlfn.XLOOKUP(B659,AG:AG,AI:AI)</f>
        <v>4478</v>
      </c>
      <c r="F659">
        <v>4478</v>
      </c>
      <c r="G659">
        <f>F659*_xlfn.XLOOKUP(B659,AG:AG,AH:AH)</f>
        <v>3851.08</v>
      </c>
      <c r="H659">
        <f>F659*_xlfn.XLOOKUP(B659,AG:AG,AI:AI)</f>
        <v>4478</v>
      </c>
      <c r="I659">
        <f t="shared" si="55"/>
        <v>0</v>
      </c>
      <c r="J659">
        <f>I659*_xlfn.XLOOKUP(B659,AG:AG,AI:AI)</f>
        <v>0</v>
      </c>
      <c r="K659" s="7">
        <f>_xlfn.XLOOKUP(A659,Z:Z,AD:AD)</f>
        <v>45914</v>
      </c>
      <c r="L659" s="7">
        <f t="shared" si="52"/>
        <v>45884</v>
      </c>
      <c r="M659">
        <f t="shared" si="53"/>
        <v>8</v>
      </c>
      <c r="N659">
        <f t="shared" si="54"/>
        <v>2025</v>
      </c>
      <c r="W659" s="9">
        <v>499</v>
      </c>
      <c r="X659" s="9" t="s">
        <v>29</v>
      </c>
      <c r="Z659">
        <v>696</v>
      </c>
      <c r="AA659">
        <v>24845.21</v>
      </c>
      <c r="AB659" t="s">
        <v>29</v>
      </c>
      <c r="AD659" s="20">
        <v>45960</v>
      </c>
    </row>
    <row r="660" spans="1:30">
      <c r="A660">
        <v>698</v>
      </c>
      <c r="B660" t="str">
        <f>_xlfn.XLOOKUP(A660,Z:Z,AB:AB,"not found")</f>
        <v>USD</v>
      </c>
      <c r="C660">
        <f>_xlfn.XLOOKUP(A660,Z:Z,AA:AA)-_xlfn.XLOOKUP(A660,Q:Q,R:R,"0")</f>
        <v>1000</v>
      </c>
      <c r="D660">
        <f>C660*_xlfn.XLOOKUP(B660,AG:AG,AH:AH)</f>
        <v>860</v>
      </c>
      <c r="E660">
        <f>C660*_xlfn.XLOOKUP(B660,AG:AG,AI:AI)</f>
        <v>1000</v>
      </c>
      <c r="F660">
        <v>1000</v>
      </c>
      <c r="G660">
        <f>F660*_xlfn.XLOOKUP(B660,AG:AG,AH:AH)</f>
        <v>860</v>
      </c>
      <c r="H660">
        <f>F660*_xlfn.XLOOKUP(B660,AG:AG,AI:AI)</f>
        <v>1000</v>
      </c>
      <c r="I660">
        <f t="shared" si="55"/>
        <v>0</v>
      </c>
      <c r="J660">
        <f>I660*_xlfn.XLOOKUP(B660,AG:AG,AI:AI)</f>
        <v>0</v>
      </c>
      <c r="K660" s="7">
        <f>_xlfn.XLOOKUP(A660,Z:Z,AD:AD)</f>
        <v>46223</v>
      </c>
      <c r="L660" s="7">
        <f t="shared" si="52"/>
        <v>46193</v>
      </c>
      <c r="M660">
        <f t="shared" si="53"/>
        <v>6</v>
      </c>
      <c r="N660">
        <f t="shared" si="54"/>
        <v>2026</v>
      </c>
      <c r="W660" s="9">
        <v>499</v>
      </c>
      <c r="X660" s="9" t="s">
        <v>29</v>
      </c>
      <c r="Z660">
        <v>697</v>
      </c>
      <c r="AA660">
        <v>4478</v>
      </c>
      <c r="AB660" t="s">
        <v>29</v>
      </c>
      <c r="AD660" s="20">
        <v>45914</v>
      </c>
    </row>
    <row r="661" spans="1:30">
      <c r="A661">
        <v>699</v>
      </c>
      <c r="B661" t="str">
        <f>_xlfn.XLOOKUP(A661,Z:Z,AB:AB,"not found")</f>
        <v>USD</v>
      </c>
      <c r="C661">
        <f>_xlfn.XLOOKUP(A661,Z:Z,AA:AA)-_xlfn.XLOOKUP(A661,Q:Q,R:R,"0")</f>
        <v>0</v>
      </c>
      <c r="D661">
        <f>C661*_xlfn.XLOOKUP(B661,AG:AG,AH:AH)</f>
        <v>0</v>
      </c>
      <c r="E661">
        <f>C661*_xlfn.XLOOKUP(B661,AG:AG,AI:AI)</f>
        <v>0</v>
      </c>
      <c r="F661">
        <v>1825</v>
      </c>
      <c r="G661">
        <f>F661*_xlfn.XLOOKUP(B661,AG:AG,AH:AH)</f>
        <v>1569.5</v>
      </c>
      <c r="H661">
        <f>F661*_xlfn.XLOOKUP(B661,AG:AG,AI:AI)</f>
        <v>1825</v>
      </c>
      <c r="I661">
        <f t="shared" si="55"/>
        <v>0</v>
      </c>
      <c r="J661">
        <f>I661*_xlfn.XLOOKUP(B661,AG:AG,AI:AI)</f>
        <v>0</v>
      </c>
      <c r="K661" s="7">
        <f>_xlfn.XLOOKUP(A661,Z:Z,AD:AD)</f>
        <v>45819</v>
      </c>
      <c r="L661" s="7">
        <f t="shared" si="52"/>
        <v>45789</v>
      </c>
      <c r="M661">
        <f t="shared" si="53"/>
        <v>5</v>
      </c>
      <c r="N661">
        <f t="shared" si="54"/>
        <v>2025</v>
      </c>
      <c r="W661" s="9">
        <v>500</v>
      </c>
      <c r="X661" s="9" t="s">
        <v>27</v>
      </c>
      <c r="Z661">
        <v>698</v>
      </c>
      <c r="AA661">
        <v>1000</v>
      </c>
      <c r="AB661" t="s">
        <v>29</v>
      </c>
      <c r="AD661" s="20">
        <v>46223</v>
      </c>
    </row>
    <row r="662" spans="1:30">
      <c r="A662">
        <v>700</v>
      </c>
      <c r="B662" t="str">
        <f>_xlfn.XLOOKUP(A662,Z:Z,AB:AB,"not found")</f>
        <v>USD</v>
      </c>
      <c r="C662">
        <f>_xlfn.XLOOKUP(A662,Z:Z,AA:AA)-_xlfn.XLOOKUP(A662,Q:Q,R:R,"0")</f>
        <v>0</v>
      </c>
      <c r="D662">
        <f>C662*_xlfn.XLOOKUP(B662,AG:AG,AH:AH)</f>
        <v>0</v>
      </c>
      <c r="E662">
        <f>C662*_xlfn.XLOOKUP(B662,AG:AG,AI:AI)</f>
        <v>0</v>
      </c>
      <c r="F662">
        <v>260</v>
      </c>
      <c r="G662">
        <f>F662*_xlfn.XLOOKUP(B662,AG:AG,AH:AH)</f>
        <v>223.6</v>
      </c>
      <c r="H662">
        <f>F662*_xlfn.XLOOKUP(B662,AG:AG,AI:AI)</f>
        <v>260</v>
      </c>
      <c r="I662">
        <f t="shared" si="55"/>
        <v>0</v>
      </c>
      <c r="J662">
        <f>I662*_xlfn.XLOOKUP(B662,AG:AG,AI:AI)</f>
        <v>0</v>
      </c>
      <c r="K662" s="7">
        <f>_xlfn.XLOOKUP(A662,Z:Z,AD:AD)</f>
        <v>45844</v>
      </c>
      <c r="L662" s="7">
        <f t="shared" si="52"/>
        <v>45814</v>
      </c>
      <c r="M662">
        <f t="shared" si="53"/>
        <v>6</v>
      </c>
      <c r="N662">
        <f t="shared" si="54"/>
        <v>2025</v>
      </c>
      <c r="W662" s="9">
        <v>500</v>
      </c>
      <c r="X662" s="9" t="s">
        <v>27</v>
      </c>
      <c r="Z662">
        <v>699</v>
      </c>
      <c r="AA662">
        <v>1825</v>
      </c>
      <c r="AB662" t="s">
        <v>29</v>
      </c>
      <c r="AD662" s="20">
        <v>45819</v>
      </c>
    </row>
    <row r="663" spans="1:30">
      <c r="A663">
        <v>701</v>
      </c>
      <c r="B663" t="str">
        <f>_xlfn.XLOOKUP(A663,Z:Z,AB:AB,"not found")</f>
        <v>USD</v>
      </c>
      <c r="C663">
        <f>_xlfn.XLOOKUP(A663,Z:Z,AA:AA)-_xlfn.XLOOKUP(A663,Q:Q,R:R,"0")</f>
        <v>0</v>
      </c>
      <c r="D663">
        <f>C663*_xlfn.XLOOKUP(B663,AG:AG,AH:AH)</f>
        <v>0</v>
      </c>
      <c r="E663">
        <f>C663*_xlfn.XLOOKUP(B663,AG:AG,AI:AI)</f>
        <v>0</v>
      </c>
      <c r="F663">
        <v>3915</v>
      </c>
      <c r="G663">
        <f>F663*_xlfn.XLOOKUP(B663,AG:AG,AH:AH)</f>
        <v>3366.9</v>
      </c>
      <c r="H663">
        <f>F663*_xlfn.XLOOKUP(B663,AG:AG,AI:AI)</f>
        <v>3915</v>
      </c>
      <c r="I663">
        <f t="shared" si="55"/>
        <v>0</v>
      </c>
      <c r="J663">
        <f>I663*_xlfn.XLOOKUP(B663,AG:AG,AI:AI)</f>
        <v>0</v>
      </c>
      <c r="K663" s="7">
        <f>_xlfn.XLOOKUP(A663,Z:Z,AD:AD)</f>
        <v>45885</v>
      </c>
      <c r="L663" s="7">
        <f t="shared" si="52"/>
        <v>45855</v>
      </c>
      <c r="M663">
        <f t="shared" si="53"/>
        <v>7</v>
      </c>
      <c r="N663">
        <f t="shared" si="54"/>
        <v>2025</v>
      </c>
      <c r="W663" s="9">
        <v>500</v>
      </c>
      <c r="X663" s="9" t="s">
        <v>27</v>
      </c>
      <c r="Z663">
        <v>700</v>
      </c>
      <c r="AA663">
        <v>260</v>
      </c>
      <c r="AB663" t="s">
        <v>29</v>
      </c>
      <c r="AD663" s="20">
        <v>45844</v>
      </c>
    </row>
    <row r="664" spans="1:30">
      <c r="A664">
        <v>702</v>
      </c>
      <c r="B664" t="str">
        <f>_xlfn.XLOOKUP(A664,Z:Z,AB:AB,"not found")</f>
        <v>USD</v>
      </c>
      <c r="C664">
        <f>_xlfn.XLOOKUP(A664,Z:Z,AA:AA)-_xlfn.XLOOKUP(A664,Q:Q,R:R,"0")</f>
        <v>0</v>
      </c>
      <c r="D664">
        <f>C664*_xlfn.XLOOKUP(B664,AG:AG,AH:AH)</f>
        <v>0</v>
      </c>
      <c r="E664">
        <f>C664*_xlfn.XLOOKUP(B664,AG:AG,AI:AI)</f>
        <v>0</v>
      </c>
      <c r="F664">
        <v>796.16</v>
      </c>
      <c r="G664">
        <f>F664*_xlfn.XLOOKUP(B664,AG:AG,AH:AH)</f>
        <v>684.69759999999997</v>
      </c>
      <c r="H664">
        <f>F664*_xlfn.XLOOKUP(B664,AG:AG,AI:AI)</f>
        <v>796.16</v>
      </c>
      <c r="I664">
        <f t="shared" si="55"/>
        <v>0</v>
      </c>
      <c r="J664">
        <f>I664*_xlfn.XLOOKUP(B664,AG:AG,AI:AI)</f>
        <v>0</v>
      </c>
      <c r="K664" s="7">
        <f>_xlfn.XLOOKUP(A664,Z:Z,AD:AD)</f>
        <v>45962</v>
      </c>
      <c r="L664" s="7">
        <f t="shared" si="52"/>
        <v>45932</v>
      </c>
      <c r="M664">
        <f t="shared" si="53"/>
        <v>10</v>
      </c>
      <c r="N664">
        <f t="shared" si="54"/>
        <v>2025</v>
      </c>
      <c r="W664" s="9">
        <v>500</v>
      </c>
      <c r="X664" s="9" t="s">
        <v>27</v>
      </c>
      <c r="Z664">
        <v>701</v>
      </c>
      <c r="AA664">
        <v>3915</v>
      </c>
      <c r="AB664" t="s">
        <v>29</v>
      </c>
      <c r="AD664" s="20">
        <v>45885</v>
      </c>
    </row>
    <row r="665" spans="1:30">
      <c r="A665">
        <v>703</v>
      </c>
      <c r="B665" t="str">
        <f>_xlfn.XLOOKUP(A665,Z:Z,AB:AB,"not found")</f>
        <v>USD</v>
      </c>
      <c r="C665">
        <f>_xlfn.XLOOKUP(A665,Z:Z,AA:AA)-_xlfn.XLOOKUP(A665,Q:Q,R:R,"0")</f>
        <v>113794.98</v>
      </c>
      <c r="D665">
        <f>C665*_xlfn.XLOOKUP(B665,AG:AG,AH:AH)</f>
        <v>97863.682799999995</v>
      </c>
      <c r="E665">
        <f>C665*_xlfn.XLOOKUP(B665,AG:AG,AI:AI)</f>
        <v>113794.98</v>
      </c>
      <c r="F665">
        <v>23855.18</v>
      </c>
      <c r="G665">
        <f>F665*_xlfn.XLOOKUP(B665,AG:AG,AH:AH)</f>
        <v>20515.4548</v>
      </c>
      <c r="H665">
        <f>F665*_xlfn.XLOOKUP(B665,AG:AG,AI:AI)</f>
        <v>23855.18</v>
      </c>
      <c r="I665">
        <f t="shared" si="55"/>
        <v>89939.799999999988</v>
      </c>
      <c r="J665">
        <f>I665*_xlfn.XLOOKUP(B665,AG:AG,AI:AI)</f>
        <v>89939.799999999988</v>
      </c>
      <c r="K665" s="7">
        <f>_xlfn.XLOOKUP(A665,Z:Z,AD:AD)</f>
        <v>46161</v>
      </c>
      <c r="L665" s="7">
        <f t="shared" si="52"/>
        <v>46131</v>
      </c>
      <c r="M665">
        <f t="shared" si="53"/>
        <v>4</v>
      </c>
      <c r="N665">
        <f t="shared" si="54"/>
        <v>2026</v>
      </c>
      <c r="W665" s="9">
        <v>500</v>
      </c>
      <c r="X665" s="9" t="s">
        <v>27</v>
      </c>
      <c r="Z665">
        <v>702</v>
      </c>
      <c r="AA665">
        <v>796.16</v>
      </c>
      <c r="AB665" t="s">
        <v>29</v>
      </c>
      <c r="AD665" s="20">
        <v>45962</v>
      </c>
    </row>
    <row r="666" spans="1:30">
      <c r="A666">
        <v>704</v>
      </c>
      <c r="B666" t="str">
        <f>_xlfn.XLOOKUP(A666,Z:Z,AB:AB,"not found")</f>
        <v>USD</v>
      </c>
      <c r="C666">
        <f>_xlfn.XLOOKUP(A666,Z:Z,AA:AA)-_xlfn.XLOOKUP(A666,Q:Q,R:R,"0")</f>
        <v>0</v>
      </c>
      <c r="D666">
        <f>C666*_xlfn.XLOOKUP(B666,AG:AG,AH:AH)</f>
        <v>0</v>
      </c>
      <c r="E666">
        <f>C666*_xlfn.XLOOKUP(B666,AG:AG,AI:AI)</f>
        <v>0</v>
      </c>
      <c r="F666">
        <v>9825.94</v>
      </c>
      <c r="G666">
        <f>F666*_xlfn.XLOOKUP(B666,AG:AG,AH:AH)</f>
        <v>8450.3083999999999</v>
      </c>
      <c r="H666">
        <f>F666*_xlfn.XLOOKUP(B666,AG:AG,AI:AI)</f>
        <v>9825.94</v>
      </c>
      <c r="I666">
        <f t="shared" si="55"/>
        <v>0</v>
      </c>
      <c r="J666">
        <f>I666*_xlfn.XLOOKUP(B666,AG:AG,AI:AI)</f>
        <v>0</v>
      </c>
      <c r="K666" s="7">
        <f>_xlfn.XLOOKUP(A666,Z:Z,AD:AD)</f>
        <v>45876</v>
      </c>
      <c r="L666" s="7">
        <f t="shared" si="52"/>
        <v>45846</v>
      </c>
      <c r="M666">
        <f t="shared" si="53"/>
        <v>7</v>
      </c>
      <c r="N666">
        <f t="shared" si="54"/>
        <v>2025</v>
      </c>
      <c r="W666" s="9">
        <v>500</v>
      </c>
      <c r="X666" s="9" t="s">
        <v>27</v>
      </c>
      <c r="Z666">
        <v>703</v>
      </c>
      <c r="AA666">
        <v>113794.98</v>
      </c>
      <c r="AB666" t="s">
        <v>29</v>
      </c>
      <c r="AD666" s="20">
        <v>46161</v>
      </c>
    </row>
    <row r="667" spans="1:30">
      <c r="A667">
        <v>706</v>
      </c>
      <c r="B667" t="str">
        <f>_xlfn.XLOOKUP(A667,Z:Z,AB:AB,"not found")</f>
        <v>USD</v>
      </c>
      <c r="C667">
        <f>_xlfn.XLOOKUP(A667,Z:Z,AA:AA)-_xlfn.XLOOKUP(A667,Q:Q,R:R,"0")</f>
        <v>21309.989999999998</v>
      </c>
      <c r="D667">
        <f>C667*_xlfn.XLOOKUP(B667,AG:AG,AH:AH)</f>
        <v>18326.591399999998</v>
      </c>
      <c r="E667">
        <f>C667*_xlfn.XLOOKUP(B667,AG:AG,AI:AI)</f>
        <v>21309.989999999998</v>
      </c>
      <c r="F667">
        <v>31644.09</v>
      </c>
      <c r="G667">
        <f>F667*_xlfn.XLOOKUP(B667,AG:AG,AH:AH)</f>
        <v>27213.917399999998</v>
      </c>
      <c r="H667">
        <f>F667*_xlfn.XLOOKUP(B667,AG:AG,AI:AI)</f>
        <v>31644.09</v>
      </c>
      <c r="I667">
        <f t="shared" si="55"/>
        <v>0</v>
      </c>
      <c r="J667">
        <f>I667*_xlfn.XLOOKUP(B667,AG:AG,AI:AI)</f>
        <v>0</v>
      </c>
      <c r="K667" s="7">
        <f>_xlfn.XLOOKUP(A667,Z:Z,AD:AD)</f>
        <v>45950</v>
      </c>
      <c r="L667" s="7">
        <f t="shared" si="52"/>
        <v>45920</v>
      </c>
      <c r="M667">
        <f t="shared" si="53"/>
        <v>9</v>
      </c>
      <c r="N667">
        <f t="shared" si="54"/>
        <v>2025</v>
      </c>
      <c r="W667" s="9">
        <v>500</v>
      </c>
      <c r="X667" s="9" t="s">
        <v>27</v>
      </c>
      <c r="Z667">
        <v>704</v>
      </c>
      <c r="AA667">
        <v>9825.94</v>
      </c>
      <c r="AB667" t="s">
        <v>29</v>
      </c>
      <c r="AD667" s="20">
        <v>45876</v>
      </c>
    </row>
    <row r="668" spans="1:30">
      <c r="A668">
        <v>707</v>
      </c>
      <c r="B668" t="str">
        <f>_xlfn.XLOOKUP(A668,Z:Z,AB:AB,"not found")</f>
        <v>USD</v>
      </c>
      <c r="C668">
        <f>_xlfn.XLOOKUP(A668,Z:Z,AA:AA)-_xlfn.XLOOKUP(A668,Q:Q,R:R,"0")</f>
        <v>17935.049999999996</v>
      </c>
      <c r="D668">
        <f>C668*_xlfn.XLOOKUP(B668,AG:AG,AH:AH)</f>
        <v>15424.142999999996</v>
      </c>
      <c r="E668">
        <f>C668*_xlfn.XLOOKUP(B668,AG:AG,AI:AI)</f>
        <v>17935.049999999996</v>
      </c>
      <c r="F668">
        <v>47722.35</v>
      </c>
      <c r="G668">
        <f>F668*_xlfn.XLOOKUP(B668,AG:AG,AH:AH)</f>
        <v>41041.220999999998</v>
      </c>
      <c r="H668">
        <f>F668*_xlfn.XLOOKUP(B668,AG:AG,AI:AI)</f>
        <v>47722.35</v>
      </c>
      <c r="I668">
        <f t="shared" si="55"/>
        <v>0</v>
      </c>
      <c r="J668">
        <f>I668*_xlfn.XLOOKUP(B668,AG:AG,AI:AI)</f>
        <v>0</v>
      </c>
      <c r="K668" s="7">
        <f>_xlfn.XLOOKUP(A668,Z:Z,AD:AD)</f>
        <v>46033</v>
      </c>
      <c r="L668" s="7">
        <f t="shared" si="52"/>
        <v>46003</v>
      </c>
      <c r="M668">
        <f t="shared" si="53"/>
        <v>12</v>
      </c>
      <c r="N668">
        <f t="shared" si="54"/>
        <v>2025</v>
      </c>
      <c r="W668" s="9">
        <v>501</v>
      </c>
      <c r="X668" s="9" t="s">
        <v>29</v>
      </c>
      <c r="Z668">
        <v>706</v>
      </c>
      <c r="AA668">
        <v>31644.09</v>
      </c>
      <c r="AB668" t="s">
        <v>29</v>
      </c>
      <c r="AD668" s="20">
        <v>45950</v>
      </c>
    </row>
    <row r="669" spans="1:30">
      <c r="A669">
        <v>709</v>
      </c>
      <c r="B669" t="str">
        <f>_xlfn.XLOOKUP(A669,Z:Z,AB:AB,"not found")</f>
        <v>CHF</v>
      </c>
      <c r="C669">
        <f>_xlfn.XLOOKUP(A669,Z:Z,AA:AA)-_xlfn.XLOOKUP(A669,Q:Q,R:R,"0")</f>
        <v>0</v>
      </c>
      <c r="D669">
        <f>C669*_xlfn.XLOOKUP(B669,AG:AG,AH:AH)</f>
        <v>0</v>
      </c>
      <c r="E669">
        <f>C669*_xlfn.XLOOKUP(B669,AG:AG,AI:AI)</f>
        <v>0</v>
      </c>
      <c r="F669">
        <v>3780</v>
      </c>
      <c r="G669">
        <f>F669*_xlfn.XLOOKUP(B669,AG:AG,AH:AH)</f>
        <v>4044.6000000000004</v>
      </c>
      <c r="H669">
        <f>F669*_xlfn.XLOOKUP(B669,AG:AG,AI:AI)</f>
        <v>4725</v>
      </c>
      <c r="I669">
        <f t="shared" si="55"/>
        <v>0</v>
      </c>
      <c r="J669">
        <f>I669*_xlfn.XLOOKUP(B669,AG:AG,AI:AI)</f>
        <v>0</v>
      </c>
      <c r="K669" s="7">
        <f>_xlfn.XLOOKUP(A669,Z:Z,AD:AD)</f>
        <v>45865</v>
      </c>
      <c r="L669" s="7">
        <f t="shared" si="52"/>
        <v>45835</v>
      </c>
      <c r="M669">
        <f t="shared" si="53"/>
        <v>6</v>
      </c>
      <c r="N669">
        <f t="shared" si="54"/>
        <v>2025</v>
      </c>
      <c r="W669" s="9">
        <v>505</v>
      </c>
      <c r="X669" s="9" t="s">
        <v>27</v>
      </c>
      <c r="Z669">
        <v>707</v>
      </c>
      <c r="AA669">
        <v>47722.35</v>
      </c>
      <c r="AB669" t="s">
        <v>29</v>
      </c>
      <c r="AD669" s="20">
        <v>46033</v>
      </c>
    </row>
    <row r="670" spans="1:30">
      <c r="A670">
        <v>710</v>
      </c>
      <c r="B670" t="str">
        <f>_xlfn.XLOOKUP(A670,Z:Z,AB:AB,"not found")</f>
        <v>EUR</v>
      </c>
      <c r="C670">
        <f>_xlfn.XLOOKUP(A670,Z:Z,AA:AA)-_xlfn.XLOOKUP(A670,Q:Q,R:R,"0")</f>
        <v>170</v>
      </c>
      <c r="D670">
        <f>C670*_xlfn.XLOOKUP(B670,AG:AG,AH:AH)</f>
        <v>170</v>
      </c>
      <c r="E670">
        <f>C670*_xlfn.XLOOKUP(B670,AG:AG,AI:AI)</f>
        <v>197.2</v>
      </c>
      <c r="F670">
        <v>6195</v>
      </c>
      <c r="G670">
        <f>F670*_xlfn.XLOOKUP(B670,AG:AG,AH:AH)</f>
        <v>6195</v>
      </c>
      <c r="H670">
        <f>F670*_xlfn.XLOOKUP(B670,AG:AG,AI:AI)</f>
        <v>7186.2</v>
      </c>
      <c r="I670">
        <f t="shared" si="55"/>
        <v>0</v>
      </c>
      <c r="J670">
        <f>I670*_xlfn.XLOOKUP(B670,AG:AG,AI:AI)</f>
        <v>0</v>
      </c>
      <c r="K670" s="7">
        <f>_xlfn.XLOOKUP(A670,Z:Z,AD:AD)</f>
        <v>45919</v>
      </c>
      <c r="L670" s="7">
        <f t="shared" si="52"/>
        <v>45889</v>
      </c>
      <c r="M670">
        <f t="shared" si="53"/>
        <v>8</v>
      </c>
      <c r="N670">
        <f t="shared" si="54"/>
        <v>2025</v>
      </c>
      <c r="W670" s="9">
        <v>505</v>
      </c>
      <c r="X670" s="9" t="s">
        <v>27</v>
      </c>
      <c r="Z670">
        <v>708</v>
      </c>
      <c r="AA670">
        <v>1986.98</v>
      </c>
      <c r="AB670" t="s">
        <v>29</v>
      </c>
      <c r="AD670" s="20">
        <v>46046</v>
      </c>
    </row>
    <row r="671" spans="1:30">
      <c r="A671">
        <v>711</v>
      </c>
      <c r="B671" t="str">
        <f>_xlfn.XLOOKUP(A671,Z:Z,AB:AB,"not found")</f>
        <v>EUR</v>
      </c>
      <c r="C671">
        <f>_xlfn.XLOOKUP(A671,Z:Z,AA:AA)-_xlfn.XLOOKUP(A671,Q:Q,R:R,"0")</f>
        <v>2439.8199999999997</v>
      </c>
      <c r="D671">
        <f>C671*_xlfn.XLOOKUP(B671,AG:AG,AH:AH)</f>
        <v>2439.8199999999997</v>
      </c>
      <c r="E671">
        <f>C671*_xlfn.XLOOKUP(B671,AG:AG,AI:AI)</f>
        <v>2830.1911999999993</v>
      </c>
      <c r="F671">
        <v>7725.82</v>
      </c>
      <c r="G671">
        <f>F671*_xlfn.XLOOKUP(B671,AG:AG,AH:AH)</f>
        <v>7725.82</v>
      </c>
      <c r="H671">
        <f>F671*_xlfn.XLOOKUP(B671,AG:AG,AI:AI)</f>
        <v>8961.9511999999995</v>
      </c>
      <c r="I671">
        <f t="shared" si="55"/>
        <v>0</v>
      </c>
      <c r="J671">
        <f>I671*_xlfn.XLOOKUP(B671,AG:AG,AI:AI)</f>
        <v>0</v>
      </c>
      <c r="K671" s="7">
        <f>_xlfn.XLOOKUP(A671,Z:Z,AD:AD)</f>
        <v>45919</v>
      </c>
      <c r="L671" s="7">
        <f t="shared" si="52"/>
        <v>45889</v>
      </c>
      <c r="M671">
        <f t="shared" si="53"/>
        <v>8</v>
      </c>
      <c r="N671">
        <f t="shared" si="54"/>
        <v>2025</v>
      </c>
      <c r="W671" s="9">
        <v>505</v>
      </c>
      <c r="X671" s="9" t="s">
        <v>27</v>
      </c>
      <c r="Z671">
        <v>709</v>
      </c>
      <c r="AA671">
        <v>3780</v>
      </c>
      <c r="AB671" t="s">
        <v>30</v>
      </c>
      <c r="AD671" s="20">
        <v>45865</v>
      </c>
    </row>
    <row r="672" spans="1:30">
      <c r="A672">
        <v>712</v>
      </c>
      <c r="B672" t="str">
        <f>_xlfn.XLOOKUP(A672,Z:Z,AB:AB,"not found")</f>
        <v>EUR</v>
      </c>
      <c r="C672">
        <f>_xlfn.XLOOKUP(A672,Z:Z,AA:AA)-_xlfn.XLOOKUP(A672,Q:Q,R:R,"0")</f>
        <v>0</v>
      </c>
      <c r="D672">
        <f>C672*_xlfn.XLOOKUP(B672,AG:AG,AH:AH)</f>
        <v>0</v>
      </c>
      <c r="E672">
        <f>C672*_xlfn.XLOOKUP(B672,AG:AG,AI:AI)</f>
        <v>0</v>
      </c>
      <c r="F672">
        <v>12080</v>
      </c>
      <c r="G672">
        <f>F672*_xlfn.XLOOKUP(B672,AG:AG,AH:AH)</f>
        <v>12080</v>
      </c>
      <c r="H672">
        <f>F672*_xlfn.XLOOKUP(B672,AG:AG,AI:AI)</f>
        <v>14012.8</v>
      </c>
      <c r="I672">
        <f t="shared" si="55"/>
        <v>0</v>
      </c>
      <c r="J672">
        <f>I672*_xlfn.XLOOKUP(B672,AG:AG,AI:AI)</f>
        <v>0</v>
      </c>
      <c r="K672" s="7">
        <f>_xlfn.XLOOKUP(A672,Z:Z,AD:AD)</f>
        <v>45873</v>
      </c>
      <c r="L672" s="7">
        <f t="shared" si="52"/>
        <v>45843</v>
      </c>
      <c r="M672">
        <f t="shared" si="53"/>
        <v>7</v>
      </c>
      <c r="N672">
        <f t="shared" si="54"/>
        <v>2025</v>
      </c>
      <c r="W672" s="9">
        <v>506</v>
      </c>
      <c r="X672" s="9" t="s">
        <v>27</v>
      </c>
      <c r="Z672">
        <v>710</v>
      </c>
      <c r="AA672">
        <v>6195</v>
      </c>
      <c r="AB672" t="s">
        <v>27</v>
      </c>
      <c r="AD672" s="20">
        <v>45919</v>
      </c>
    </row>
    <row r="673" spans="1:30">
      <c r="A673">
        <v>713</v>
      </c>
      <c r="B673" t="str">
        <f>_xlfn.XLOOKUP(A673,Z:Z,AB:AB,"not found")</f>
        <v>GPB</v>
      </c>
      <c r="C673">
        <f>_xlfn.XLOOKUP(A673,Z:Z,AA:AA)-_xlfn.XLOOKUP(A673,Q:Q,R:R,"0")</f>
        <v>6000</v>
      </c>
      <c r="D673">
        <f>C673*_xlfn.XLOOKUP(B673,AG:AG,AH:AH)</f>
        <v>6899.9999999999991</v>
      </c>
      <c r="E673">
        <f>C673*_xlfn.XLOOKUP(B673,AG:AG,AI:AI)</f>
        <v>8040.0000000000009</v>
      </c>
      <c r="F673">
        <v>6000</v>
      </c>
      <c r="G673">
        <f>F673*_xlfn.XLOOKUP(B673,AG:AG,AH:AH)</f>
        <v>6899.9999999999991</v>
      </c>
      <c r="H673">
        <f>F673*_xlfn.XLOOKUP(B673,AG:AG,AI:AI)</f>
        <v>8040.0000000000009</v>
      </c>
      <c r="I673">
        <f t="shared" si="55"/>
        <v>0</v>
      </c>
      <c r="J673">
        <f>I673*_xlfn.XLOOKUP(B673,AG:AG,AI:AI)</f>
        <v>0</v>
      </c>
      <c r="K673" s="7">
        <f>_xlfn.XLOOKUP(A673,Z:Z,AD:AD)</f>
        <v>45931</v>
      </c>
      <c r="L673" s="7">
        <f t="shared" si="52"/>
        <v>45901</v>
      </c>
      <c r="M673">
        <f t="shared" si="53"/>
        <v>9</v>
      </c>
      <c r="N673">
        <f t="shared" si="54"/>
        <v>2025</v>
      </c>
      <c r="W673" s="9">
        <v>506</v>
      </c>
      <c r="X673" s="9" t="s">
        <v>29</v>
      </c>
      <c r="Z673">
        <v>711</v>
      </c>
      <c r="AA673">
        <v>7725.82</v>
      </c>
      <c r="AB673" t="s">
        <v>27</v>
      </c>
      <c r="AD673" s="20">
        <v>45919</v>
      </c>
    </row>
    <row r="674" spans="1:30">
      <c r="A674">
        <v>714</v>
      </c>
      <c r="B674" t="str">
        <f>_xlfn.XLOOKUP(A674,Z:Z,AB:AB,"not found")</f>
        <v>USD</v>
      </c>
      <c r="C674">
        <f>_xlfn.XLOOKUP(A674,Z:Z,AA:AA)-_xlfn.XLOOKUP(A674,Q:Q,R:R,"0")</f>
        <v>0</v>
      </c>
      <c r="D674">
        <f>C674*_xlfn.XLOOKUP(B674,AG:AG,AH:AH)</f>
        <v>0</v>
      </c>
      <c r="E674">
        <f>C674*_xlfn.XLOOKUP(B674,AG:AG,AI:AI)</f>
        <v>0</v>
      </c>
      <c r="F674">
        <v>35813</v>
      </c>
      <c r="G674">
        <f>F674*_xlfn.XLOOKUP(B674,AG:AG,AH:AH)</f>
        <v>30799.18</v>
      </c>
      <c r="H674">
        <f>F674*_xlfn.XLOOKUP(B674,AG:AG,AI:AI)</f>
        <v>35813</v>
      </c>
      <c r="I674">
        <f t="shared" si="55"/>
        <v>0</v>
      </c>
      <c r="J674">
        <f>I674*_xlfn.XLOOKUP(B674,AG:AG,AI:AI)</f>
        <v>0</v>
      </c>
      <c r="K674" s="7">
        <f>_xlfn.XLOOKUP(A674,Z:Z,AD:AD)</f>
        <v>45753</v>
      </c>
      <c r="L674" s="7">
        <f t="shared" si="52"/>
        <v>45723</v>
      </c>
      <c r="M674">
        <f t="shared" si="53"/>
        <v>3</v>
      </c>
      <c r="N674">
        <f t="shared" si="54"/>
        <v>2025</v>
      </c>
      <c r="W674" s="9">
        <v>506</v>
      </c>
      <c r="X674" s="9" t="s">
        <v>29</v>
      </c>
      <c r="Z674">
        <v>712</v>
      </c>
      <c r="AA674">
        <v>12080</v>
      </c>
      <c r="AB674" t="s">
        <v>27</v>
      </c>
      <c r="AD674" s="20">
        <v>45873</v>
      </c>
    </row>
    <row r="675" spans="1:30">
      <c r="A675">
        <v>715</v>
      </c>
      <c r="B675" t="str">
        <f>_xlfn.XLOOKUP(A675,Z:Z,AB:AB,"not found")</f>
        <v>MXN</v>
      </c>
      <c r="C675">
        <f>_xlfn.XLOOKUP(A675,Z:Z,AA:AA)-_xlfn.XLOOKUP(A675,Q:Q,R:R,"0")</f>
        <v>0</v>
      </c>
      <c r="D675">
        <f>C675*_xlfn.XLOOKUP(B675,AG:AG,AH:AH)</f>
        <v>0</v>
      </c>
      <c r="E675">
        <f>C675*_xlfn.XLOOKUP(B675,AG:AG,AI:AI)</f>
        <v>0</v>
      </c>
      <c r="F675">
        <v>30166.35</v>
      </c>
      <c r="G675">
        <f>F675*_xlfn.XLOOKUP(B675,AG:AG,AH:AH)</f>
        <v>1447.9848</v>
      </c>
      <c r="H675">
        <f>F675*_xlfn.XLOOKUP(B675,AG:AG,AI:AI)</f>
        <v>1689.3155999999999</v>
      </c>
      <c r="I675">
        <f t="shared" si="55"/>
        <v>0</v>
      </c>
      <c r="J675">
        <f>I675*_xlfn.XLOOKUP(B675,AG:AG,AI:AI)</f>
        <v>0</v>
      </c>
      <c r="K675" s="7">
        <f>_xlfn.XLOOKUP(A675,Z:Z,AD:AD)</f>
        <v>45897</v>
      </c>
      <c r="L675" s="7">
        <f t="shared" si="52"/>
        <v>45867</v>
      </c>
      <c r="M675">
        <f t="shared" si="53"/>
        <v>7</v>
      </c>
      <c r="N675">
        <f t="shared" si="54"/>
        <v>2025</v>
      </c>
      <c r="W675" s="9">
        <v>507</v>
      </c>
      <c r="X675" s="9" t="s">
        <v>29</v>
      </c>
      <c r="Z675">
        <v>713</v>
      </c>
      <c r="AA675">
        <v>6000</v>
      </c>
      <c r="AB675" t="s">
        <v>32</v>
      </c>
      <c r="AD675" s="20">
        <v>45931</v>
      </c>
    </row>
    <row r="676" spans="1:30">
      <c r="A676">
        <v>716</v>
      </c>
      <c r="B676" t="str">
        <f>_xlfn.XLOOKUP(A676,Z:Z,AB:AB,"not found")</f>
        <v>USD</v>
      </c>
      <c r="C676">
        <f>_xlfn.XLOOKUP(A676,Z:Z,AA:AA)-_xlfn.XLOOKUP(A676,Q:Q,R:R,"0")</f>
        <v>0</v>
      </c>
      <c r="D676">
        <f>C676*_xlfn.XLOOKUP(B676,AG:AG,AH:AH)</f>
        <v>0</v>
      </c>
      <c r="E676">
        <f>C676*_xlfn.XLOOKUP(B676,AG:AG,AI:AI)</f>
        <v>0</v>
      </c>
      <c r="F676">
        <v>384.51</v>
      </c>
      <c r="G676">
        <f>F676*_xlfn.XLOOKUP(B676,AG:AG,AH:AH)</f>
        <v>330.67859999999996</v>
      </c>
      <c r="H676">
        <f>F676*_xlfn.XLOOKUP(B676,AG:AG,AI:AI)</f>
        <v>384.51</v>
      </c>
      <c r="I676">
        <f t="shared" si="55"/>
        <v>0</v>
      </c>
      <c r="J676">
        <f>I676*_xlfn.XLOOKUP(B676,AG:AG,AI:AI)</f>
        <v>0</v>
      </c>
      <c r="K676" s="7">
        <f>_xlfn.XLOOKUP(A676,Z:Z,AD:AD)</f>
        <v>45830</v>
      </c>
      <c r="L676" s="7">
        <f t="shared" ref="L676:L739" si="56">K676-30</f>
        <v>45800</v>
      </c>
      <c r="M676">
        <f t="shared" ref="M676:M739" si="57">MONTH(L676)</f>
        <v>5</v>
      </c>
      <c r="N676">
        <f t="shared" ref="N676:N739" si="58">YEAR(L676)</f>
        <v>2025</v>
      </c>
      <c r="W676" s="9">
        <v>507</v>
      </c>
      <c r="X676" s="9" t="s">
        <v>29</v>
      </c>
      <c r="Z676">
        <v>714</v>
      </c>
      <c r="AA676">
        <v>35813</v>
      </c>
      <c r="AB676" t="s">
        <v>29</v>
      </c>
      <c r="AD676" s="20">
        <v>45753</v>
      </c>
    </row>
    <row r="677" spans="1:30">
      <c r="A677">
        <v>721</v>
      </c>
      <c r="B677" t="str">
        <f>_xlfn.XLOOKUP(A677,Z:Z,AB:AB,"not found")</f>
        <v>MXN</v>
      </c>
      <c r="C677">
        <f>_xlfn.XLOOKUP(A677,Z:Z,AA:AA)-_xlfn.XLOOKUP(A677,Q:Q,R:R,"0")</f>
        <v>49552.86</v>
      </c>
      <c r="D677">
        <f>C677*_xlfn.XLOOKUP(B677,AG:AG,AH:AH)</f>
        <v>2378.53728</v>
      </c>
      <c r="E677">
        <f>C677*_xlfn.XLOOKUP(B677,AG:AG,AI:AI)</f>
        <v>2774.9601600000001</v>
      </c>
      <c r="F677">
        <v>49552.86</v>
      </c>
      <c r="G677">
        <f>F677*_xlfn.XLOOKUP(B677,AG:AG,AH:AH)</f>
        <v>2378.53728</v>
      </c>
      <c r="H677">
        <f>F677*_xlfn.XLOOKUP(B677,AG:AG,AI:AI)</f>
        <v>2774.9601600000001</v>
      </c>
      <c r="I677">
        <f t="shared" si="55"/>
        <v>0</v>
      </c>
      <c r="J677">
        <f>I677*_xlfn.XLOOKUP(B677,AG:AG,AI:AI)</f>
        <v>0</v>
      </c>
      <c r="K677" s="7">
        <f>_xlfn.XLOOKUP(A677,Z:Z,AD:AD)</f>
        <v>45953</v>
      </c>
      <c r="L677" s="7">
        <f t="shared" si="56"/>
        <v>45923</v>
      </c>
      <c r="M677">
        <f t="shared" si="57"/>
        <v>9</v>
      </c>
      <c r="N677">
        <f t="shared" si="58"/>
        <v>2025</v>
      </c>
      <c r="W677" s="9">
        <v>507</v>
      </c>
      <c r="X677" s="9" t="s">
        <v>29</v>
      </c>
      <c r="Z677">
        <v>715</v>
      </c>
      <c r="AA677">
        <v>30166.35</v>
      </c>
      <c r="AB677" t="s">
        <v>28</v>
      </c>
      <c r="AD677" s="20">
        <v>45897</v>
      </c>
    </row>
    <row r="678" spans="1:30">
      <c r="A678">
        <v>722</v>
      </c>
      <c r="B678" t="str">
        <f>_xlfn.XLOOKUP(A678,Z:Z,AB:AB,"not found")</f>
        <v>USD</v>
      </c>
      <c r="C678">
        <f>_xlfn.XLOOKUP(A678,Z:Z,AA:AA)-_xlfn.XLOOKUP(A678,Q:Q,R:R,"0")</f>
        <v>0</v>
      </c>
      <c r="D678">
        <f>C678*_xlfn.XLOOKUP(B678,AG:AG,AH:AH)</f>
        <v>0</v>
      </c>
      <c r="E678">
        <f>C678*_xlfn.XLOOKUP(B678,AG:AG,AI:AI)</f>
        <v>0</v>
      </c>
      <c r="F678">
        <v>1349</v>
      </c>
      <c r="G678">
        <f>F678*_xlfn.XLOOKUP(B678,AG:AG,AH:AH)</f>
        <v>1160.1399999999999</v>
      </c>
      <c r="H678">
        <f>F678*_xlfn.XLOOKUP(B678,AG:AG,AI:AI)</f>
        <v>1349</v>
      </c>
      <c r="I678">
        <f t="shared" si="55"/>
        <v>0</v>
      </c>
      <c r="J678">
        <f>I678*_xlfn.XLOOKUP(B678,AG:AG,AI:AI)</f>
        <v>0</v>
      </c>
      <c r="K678" s="7">
        <f>_xlfn.XLOOKUP(A678,Z:Z,AD:AD)</f>
        <v>45871</v>
      </c>
      <c r="L678" s="7">
        <f t="shared" si="56"/>
        <v>45841</v>
      </c>
      <c r="M678">
        <f t="shared" si="57"/>
        <v>7</v>
      </c>
      <c r="N678">
        <f t="shared" si="58"/>
        <v>2025</v>
      </c>
      <c r="W678" s="9">
        <v>507</v>
      </c>
      <c r="X678" s="9" t="s">
        <v>29</v>
      </c>
      <c r="Z678">
        <v>716</v>
      </c>
      <c r="AA678">
        <v>384.51</v>
      </c>
      <c r="AB678" t="s">
        <v>29</v>
      </c>
      <c r="AD678" s="20">
        <v>45830</v>
      </c>
    </row>
    <row r="679" spans="1:30">
      <c r="A679">
        <v>724</v>
      </c>
      <c r="B679" t="str">
        <f>_xlfn.XLOOKUP(A679,Z:Z,AB:AB,"not found")</f>
        <v>USD</v>
      </c>
      <c r="C679">
        <f>_xlfn.XLOOKUP(A679,Z:Z,AA:AA)-_xlfn.XLOOKUP(A679,Q:Q,R:R,"0")</f>
        <v>1890.46</v>
      </c>
      <c r="D679">
        <f>C679*_xlfn.XLOOKUP(B679,AG:AG,AH:AH)</f>
        <v>1625.7955999999999</v>
      </c>
      <c r="E679">
        <f>C679*_xlfn.XLOOKUP(B679,AG:AG,AI:AI)</f>
        <v>1890.46</v>
      </c>
      <c r="F679">
        <v>1890.46</v>
      </c>
      <c r="G679">
        <f>F679*_xlfn.XLOOKUP(B679,AG:AG,AH:AH)</f>
        <v>1625.7955999999999</v>
      </c>
      <c r="H679">
        <f>F679*_xlfn.XLOOKUP(B679,AG:AG,AI:AI)</f>
        <v>1890.46</v>
      </c>
      <c r="I679">
        <f t="shared" si="55"/>
        <v>0</v>
      </c>
      <c r="J679">
        <f>I679*_xlfn.XLOOKUP(B679,AG:AG,AI:AI)</f>
        <v>0</v>
      </c>
      <c r="K679" s="7">
        <f>_xlfn.XLOOKUP(A679,Z:Z,AD:AD)</f>
        <v>45658</v>
      </c>
      <c r="L679" s="7">
        <f t="shared" si="56"/>
        <v>45628</v>
      </c>
      <c r="M679">
        <f t="shared" si="57"/>
        <v>12</v>
      </c>
      <c r="N679">
        <f t="shared" si="58"/>
        <v>2024</v>
      </c>
      <c r="W679" s="9">
        <v>508</v>
      </c>
      <c r="X679" s="9" t="s">
        <v>32</v>
      </c>
      <c r="Z679">
        <v>721</v>
      </c>
      <c r="AA679">
        <v>49552.86</v>
      </c>
      <c r="AB679" t="s">
        <v>28</v>
      </c>
      <c r="AD679" s="20">
        <v>45953</v>
      </c>
    </row>
    <row r="680" spans="1:30">
      <c r="A680">
        <v>725</v>
      </c>
      <c r="B680" t="str">
        <f>_xlfn.XLOOKUP(A680,Z:Z,AB:AB,"not found")</f>
        <v>USD</v>
      </c>
      <c r="C680">
        <f>_xlfn.XLOOKUP(A680,Z:Z,AA:AA)-_xlfn.XLOOKUP(A680,Q:Q,R:R,"0")</f>
        <v>23081.200000000001</v>
      </c>
      <c r="D680">
        <f>C680*_xlfn.XLOOKUP(B680,AG:AG,AH:AH)</f>
        <v>19849.831999999999</v>
      </c>
      <c r="E680">
        <f>C680*_xlfn.XLOOKUP(B680,AG:AG,AI:AI)</f>
        <v>23081.200000000001</v>
      </c>
      <c r="F680">
        <v>21713.59</v>
      </c>
      <c r="G680">
        <f>F680*_xlfn.XLOOKUP(B680,AG:AG,AH:AH)</f>
        <v>18673.687399999999</v>
      </c>
      <c r="H680">
        <f>F680*_xlfn.XLOOKUP(B680,AG:AG,AI:AI)</f>
        <v>21713.59</v>
      </c>
      <c r="I680">
        <f t="shared" si="55"/>
        <v>1367.6100000000006</v>
      </c>
      <c r="J680">
        <f>I680*_xlfn.XLOOKUP(B680,AG:AG,AI:AI)</f>
        <v>1367.6100000000006</v>
      </c>
      <c r="K680" s="7">
        <f>_xlfn.XLOOKUP(A680,Z:Z,AD:AD)</f>
        <v>45937</v>
      </c>
      <c r="L680" s="7">
        <f t="shared" si="56"/>
        <v>45907</v>
      </c>
      <c r="M680">
        <f t="shared" si="57"/>
        <v>9</v>
      </c>
      <c r="N680">
        <f t="shared" si="58"/>
        <v>2025</v>
      </c>
      <c r="W680" s="9">
        <v>509</v>
      </c>
      <c r="X680" s="9" t="s">
        <v>29</v>
      </c>
      <c r="Z680">
        <v>722</v>
      </c>
      <c r="AA680">
        <v>1349</v>
      </c>
      <c r="AB680" t="s">
        <v>29</v>
      </c>
      <c r="AD680" s="20">
        <v>45871</v>
      </c>
    </row>
    <row r="681" spans="1:30">
      <c r="A681">
        <v>727</v>
      </c>
      <c r="B681" t="str">
        <f>_xlfn.XLOOKUP(A681,Z:Z,AB:AB,"not found")</f>
        <v>USD</v>
      </c>
      <c r="C681">
        <f>_xlfn.XLOOKUP(A681,Z:Z,AA:AA)-_xlfn.XLOOKUP(A681,Q:Q,R:R,"0")</f>
        <v>38969</v>
      </c>
      <c r="D681">
        <f>C681*_xlfn.XLOOKUP(B681,AG:AG,AH:AH)</f>
        <v>33513.339999999997</v>
      </c>
      <c r="E681">
        <f>C681*_xlfn.XLOOKUP(B681,AG:AG,AI:AI)</f>
        <v>38969</v>
      </c>
      <c r="F681">
        <v>97838.13</v>
      </c>
      <c r="G681">
        <f>F681*_xlfn.XLOOKUP(B681,AG:AG,AH:AH)</f>
        <v>84140.791800000006</v>
      </c>
      <c r="H681">
        <f>F681*_xlfn.XLOOKUP(B681,AG:AG,AI:AI)</f>
        <v>97838.13</v>
      </c>
      <c r="I681">
        <f t="shared" si="55"/>
        <v>0</v>
      </c>
      <c r="J681">
        <f>I681*_xlfn.XLOOKUP(B681,AG:AG,AI:AI)</f>
        <v>0</v>
      </c>
      <c r="K681" s="7">
        <f>_xlfn.XLOOKUP(A681,Z:Z,AD:AD)</f>
        <v>45975</v>
      </c>
      <c r="L681" s="7">
        <f t="shared" si="56"/>
        <v>45945</v>
      </c>
      <c r="M681">
        <f t="shared" si="57"/>
        <v>10</v>
      </c>
      <c r="N681">
        <f t="shared" si="58"/>
        <v>2025</v>
      </c>
      <c r="W681" s="9">
        <v>509</v>
      </c>
      <c r="X681" s="9" t="s">
        <v>29</v>
      </c>
      <c r="Z681">
        <v>724</v>
      </c>
      <c r="AA681">
        <v>1890.46</v>
      </c>
      <c r="AB681" t="s">
        <v>29</v>
      </c>
      <c r="AD681" s="20">
        <v>45658</v>
      </c>
    </row>
    <row r="682" spans="1:30">
      <c r="A682">
        <v>728</v>
      </c>
      <c r="B682" t="str">
        <f>_xlfn.XLOOKUP(A682,Z:Z,AB:AB,"not found")</f>
        <v>USD</v>
      </c>
      <c r="C682">
        <f>_xlfn.XLOOKUP(A682,Z:Z,AA:AA)-_xlfn.XLOOKUP(A682,Q:Q,R:R,"0")</f>
        <v>0</v>
      </c>
      <c r="D682">
        <f>C682*_xlfn.XLOOKUP(B682,AG:AG,AH:AH)</f>
        <v>0</v>
      </c>
      <c r="E682">
        <f>C682*_xlfn.XLOOKUP(B682,AG:AG,AI:AI)</f>
        <v>0</v>
      </c>
      <c r="F682">
        <v>6075</v>
      </c>
      <c r="G682">
        <f>F682*_xlfn.XLOOKUP(B682,AG:AG,AH:AH)</f>
        <v>5224.5</v>
      </c>
      <c r="H682">
        <f>F682*_xlfn.XLOOKUP(B682,AG:AG,AI:AI)</f>
        <v>6075</v>
      </c>
      <c r="I682">
        <f t="shared" si="55"/>
        <v>0</v>
      </c>
      <c r="J682">
        <f>I682*_xlfn.XLOOKUP(B682,AG:AG,AI:AI)</f>
        <v>0</v>
      </c>
      <c r="K682" s="7">
        <f>_xlfn.XLOOKUP(A682,Z:Z,AD:AD)</f>
        <v>45914</v>
      </c>
      <c r="L682" s="7">
        <f t="shared" si="56"/>
        <v>45884</v>
      </c>
      <c r="M682">
        <f t="shared" si="57"/>
        <v>8</v>
      </c>
      <c r="N682">
        <f t="shared" si="58"/>
        <v>2025</v>
      </c>
      <c r="W682" s="9">
        <v>510</v>
      </c>
      <c r="X682" s="9" t="s">
        <v>29</v>
      </c>
      <c r="Z682">
        <v>725</v>
      </c>
      <c r="AA682">
        <v>23081.200000000001</v>
      </c>
      <c r="AB682" t="s">
        <v>29</v>
      </c>
      <c r="AD682" s="20">
        <v>45937</v>
      </c>
    </row>
    <row r="683" spans="1:30">
      <c r="A683">
        <v>729</v>
      </c>
      <c r="B683" t="str">
        <f>_xlfn.XLOOKUP(A683,Z:Z,AB:AB,"not found")</f>
        <v>USD</v>
      </c>
      <c r="C683">
        <f>_xlfn.XLOOKUP(A683,Z:Z,AA:AA)-_xlfn.XLOOKUP(A683,Q:Q,R:R,"0")</f>
        <v>0</v>
      </c>
      <c r="D683">
        <f>C683*_xlfn.XLOOKUP(B683,AG:AG,AH:AH)</f>
        <v>0</v>
      </c>
      <c r="E683">
        <f>C683*_xlfn.XLOOKUP(B683,AG:AG,AI:AI)</f>
        <v>0</v>
      </c>
      <c r="F683">
        <v>17512</v>
      </c>
      <c r="G683">
        <f>F683*_xlfn.XLOOKUP(B683,AG:AG,AH:AH)</f>
        <v>15060.32</v>
      </c>
      <c r="H683">
        <f>F683*_xlfn.XLOOKUP(B683,AG:AG,AI:AI)</f>
        <v>17512</v>
      </c>
      <c r="I683">
        <f t="shared" si="55"/>
        <v>0</v>
      </c>
      <c r="J683">
        <f>I683*_xlfn.XLOOKUP(B683,AG:AG,AI:AI)</f>
        <v>0</v>
      </c>
      <c r="K683" s="7">
        <f>_xlfn.XLOOKUP(A683,Z:Z,AD:AD)</f>
        <v>45857</v>
      </c>
      <c r="L683" s="7">
        <f t="shared" si="56"/>
        <v>45827</v>
      </c>
      <c r="M683">
        <f t="shared" si="57"/>
        <v>6</v>
      </c>
      <c r="N683">
        <f t="shared" si="58"/>
        <v>2025</v>
      </c>
      <c r="W683" s="9">
        <v>510</v>
      </c>
      <c r="X683" s="9" t="s">
        <v>29</v>
      </c>
      <c r="Z683">
        <v>727</v>
      </c>
      <c r="AA683">
        <v>97838.13</v>
      </c>
      <c r="AB683" t="s">
        <v>29</v>
      </c>
      <c r="AD683" s="20">
        <v>45975</v>
      </c>
    </row>
    <row r="684" spans="1:30">
      <c r="A684">
        <v>730</v>
      </c>
      <c r="B684" t="str">
        <f>_xlfn.XLOOKUP(A684,Z:Z,AB:AB,"not found")</f>
        <v>USD</v>
      </c>
      <c r="C684">
        <f>_xlfn.XLOOKUP(A684,Z:Z,AA:AA)-_xlfn.XLOOKUP(A684,Q:Q,R:R,"0")</f>
        <v>0</v>
      </c>
      <c r="D684">
        <f>C684*_xlfn.XLOOKUP(B684,AG:AG,AH:AH)</f>
        <v>0</v>
      </c>
      <c r="E684">
        <f>C684*_xlfn.XLOOKUP(B684,AG:AG,AI:AI)</f>
        <v>0</v>
      </c>
      <c r="F684">
        <v>9701.2199999999993</v>
      </c>
      <c r="G684">
        <f>F684*_xlfn.XLOOKUP(B684,AG:AG,AH:AH)</f>
        <v>8343.0491999999995</v>
      </c>
      <c r="H684">
        <f>F684*_xlfn.XLOOKUP(B684,AG:AG,AI:AI)</f>
        <v>9701.2199999999993</v>
      </c>
      <c r="I684">
        <f t="shared" si="55"/>
        <v>0</v>
      </c>
      <c r="J684">
        <f>I684*_xlfn.XLOOKUP(B684,AG:AG,AI:AI)</f>
        <v>0</v>
      </c>
      <c r="K684" s="7">
        <f>_xlfn.XLOOKUP(A684,Z:Z,AD:AD)</f>
        <v>45861</v>
      </c>
      <c r="L684" s="7">
        <f t="shared" si="56"/>
        <v>45831</v>
      </c>
      <c r="M684">
        <f t="shared" si="57"/>
        <v>6</v>
      </c>
      <c r="N684">
        <f t="shared" si="58"/>
        <v>2025</v>
      </c>
      <c r="W684" s="9">
        <v>510</v>
      </c>
      <c r="X684" s="9" t="s">
        <v>29</v>
      </c>
      <c r="Z684">
        <v>728</v>
      </c>
      <c r="AA684">
        <v>6075</v>
      </c>
      <c r="AB684" t="s">
        <v>29</v>
      </c>
      <c r="AD684" s="20">
        <v>45914</v>
      </c>
    </row>
    <row r="685" spans="1:30">
      <c r="A685">
        <v>731</v>
      </c>
      <c r="B685" t="str">
        <f>_xlfn.XLOOKUP(A685,Z:Z,AB:AB,"not found")</f>
        <v>USD</v>
      </c>
      <c r="C685">
        <f>_xlfn.XLOOKUP(A685,Z:Z,AA:AA)-_xlfn.XLOOKUP(A685,Q:Q,R:R,"0")</f>
        <v>0</v>
      </c>
      <c r="D685">
        <f>C685*_xlfn.XLOOKUP(B685,AG:AG,AH:AH)</f>
        <v>0</v>
      </c>
      <c r="E685">
        <f>C685*_xlfn.XLOOKUP(B685,AG:AG,AI:AI)</f>
        <v>0</v>
      </c>
      <c r="F685">
        <v>16650</v>
      </c>
      <c r="G685">
        <f>F685*_xlfn.XLOOKUP(B685,AG:AG,AH:AH)</f>
        <v>14319</v>
      </c>
      <c r="H685">
        <f>F685*_xlfn.XLOOKUP(B685,AG:AG,AI:AI)</f>
        <v>16650</v>
      </c>
      <c r="I685">
        <f t="shared" si="55"/>
        <v>0</v>
      </c>
      <c r="J685">
        <f>I685*_xlfn.XLOOKUP(B685,AG:AG,AI:AI)</f>
        <v>0</v>
      </c>
      <c r="K685" s="7">
        <f>_xlfn.XLOOKUP(A685,Z:Z,AD:AD)</f>
        <v>46022</v>
      </c>
      <c r="L685" s="7">
        <f t="shared" si="56"/>
        <v>45992</v>
      </c>
      <c r="M685">
        <f t="shared" si="57"/>
        <v>12</v>
      </c>
      <c r="N685">
        <f t="shared" si="58"/>
        <v>2025</v>
      </c>
      <c r="W685" s="9">
        <v>510</v>
      </c>
      <c r="X685" s="9" t="s">
        <v>29</v>
      </c>
      <c r="Z685">
        <v>729</v>
      </c>
      <c r="AA685">
        <v>17512</v>
      </c>
      <c r="AB685" t="s">
        <v>29</v>
      </c>
      <c r="AD685" s="20">
        <v>45857</v>
      </c>
    </row>
    <row r="686" spans="1:30">
      <c r="A686">
        <v>732</v>
      </c>
      <c r="B686" t="str">
        <f>_xlfn.XLOOKUP(A686,Z:Z,AB:AB,"not found")</f>
        <v>USD</v>
      </c>
      <c r="C686">
        <f>_xlfn.XLOOKUP(A686,Z:Z,AA:AA)-_xlfn.XLOOKUP(A686,Q:Q,R:R,"0")</f>
        <v>2452.6799999999998</v>
      </c>
      <c r="D686">
        <f>C686*_xlfn.XLOOKUP(B686,AG:AG,AH:AH)</f>
        <v>2109.3047999999999</v>
      </c>
      <c r="E686">
        <f>C686*_xlfn.XLOOKUP(B686,AG:AG,AI:AI)</f>
        <v>2452.6799999999998</v>
      </c>
      <c r="F686">
        <v>2452.6799999999998</v>
      </c>
      <c r="G686">
        <f>F686*_xlfn.XLOOKUP(B686,AG:AG,AH:AH)</f>
        <v>2109.3047999999999</v>
      </c>
      <c r="H686">
        <f>F686*_xlfn.XLOOKUP(B686,AG:AG,AI:AI)</f>
        <v>2452.6799999999998</v>
      </c>
      <c r="I686">
        <f t="shared" si="55"/>
        <v>0</v>
      </c>
      <c r="J686">
        <f>I686*_xlfn.XLOOKUP(B686,AG:AG,AI:AI)</f>
        <v>0</v>
      </c>
      <c r="K686" s="7">
        <f>_xlfn.XLOOKUP(A686,Z:Z,AD:AD)</f>
        <v>45995</v>
      </c>
      <c r="L686" s="7">
        <f t="shared" si="56"/>
        <v>45965</v>
      </c>
      <c r="M686">
        <f t="shared" si="57"/>
        <v>11</v>
      </c>
      <c r="N686">
        <f t="shared" si="58"/>
        <v>2025</v>
      </c>
      <c r="W686" s="9">
        <v>510</v>
      </c>
      <c r="X686" s="9" t="s">
        <v>29</v>
      </c>
      <c r="Z686">
        <v>730</v>
      </c>
      <c r="AA686">
        <v>9701.2199999999993</v>
      </c>
      <c r="AB686" t="s">
        <v>29</v>
      </c>
      <c r="AD686" s="20">
        <v>45861</v>
      </c>
    </row>
    <row r="687" spans="1:30">
      <c r="A687">
        <v>733</v>
      </c>
      <c r="B687" t="str">
        <f>_xlfn.XLOOKUP(A687,Z:Z,AB:AB,"not found")</f>
        <v>USD</v>
      </c>
      <c r="C687">
        <f>_xlfn.XLOOKUP(A687,Z:Z,AA:AA)-_xlfn.XLOOKUP(A687,Q:Q,R:R,"0")</f>
        <v>101764.52</v>
      </c>
      <c r="D687">
        <f>C687*_xlfn.XLOOKUP(B687,AG:AG,AH:AH)</f>
        <v>87517.487200000003</v>
      </c>
      <c r="E687">
        <f>C687*_xlfn.XLOOKUP(B687,AG:AG,AI:AI)</f>
        <v>101764.52</v>
      </c>
      <c r="F687">
        <v>51324.52</v>
      </c>
      <c r="G687">
        <f>F687*_xlfn.XLOOKUP(B687,AG:AG,AH:AH)</f>
        <v>44139.087199999994</v>
      </c>
      <c r="H687">
        <f>F687*_xlfn.XLOOKUP(B687,AG:AG,AI:AI)</f>
        <v>51324.52</v>
      </c>
      <c r="I687">
        <f t="shared" si="55"/>
        <v>50440.000000000007</v>
      </c>
      <c r="J687">
        <f>I687*_xlfn.XLOOKUP(B687,AG:AG,AI:AI)</f>
        <v>50440.000000000007</v>
      </c>
      <c r="K687" s="7">
        <f>_xlfn.XLOOKUP(A687,Z:Z,AD:AD)</f>
        <v>46062</v>
      </c>
      <c r="L687" s="7">
        <f t="shared" si="56"/>
        <v>46032</v>
      </c>
      <c r="M687">
        <f t="shared" si="57"/>
        <v>1</v>
      </c>
      <c r="N687">
        <f t="shared" si="58"/>
        <v>2026</v>
      </c>
      <c r="W687" s="9">
        <v>511</v>
      </c>
      <c r="X687" s="9" t="s">
        <v>30</v>
      </c>
      <c r="Z687">
        <v>731</v>
      </c>
      <c r="AA687">
        <v>16650</v>
      </c>
      <c r="AB687" t="s">
        <v>29</v>
      </c>
      <c r="AD687" s="20">
        <v>46022</v>
      </c>
    </row>
    <row r="688" spans="1:30">
      <c r="A688">
        <v>734</v>
      </c>
      <c r="B688" t="str">
        <f>_xlfn.XLOOKUP(A688,Z:Z,AB:AB,"not found")</f>
        <v>USD</v>
      </c>
      <c r="C688">
        <f>_xlfn.XLOOKUP(A688,Z:Z,AA:AA)-_xlfn.XLOOKUP(A688,Q:Q,R:R,"0")</f>
        <v>0</v>
      </c>
      <c r="D688">
        <f>C688*_xlfn.XLOOKUP(B688,AG:AG,AH:AH)</f>
        <v>0</v>
      </c>
      <c r="E688">
        <f>C688*_xlfn.XLOOKUP(B688,AG:AG,AI:AI)</f>
        <v>0</v>
      </c>
      <c r="F688">
        <v>9616.31</v>
      </c>
      <c r="G688">
        <f>F688*_xlfn.XLOOKUP(B688,AG:AG,AH:AH)</f>
        <v>8270.0265999999992</v>
      </c>
      <c r="H688">
        <f>F688*_xlfn.XLOOKUP(B688,AG:AG,AI:AI)</f>
        <v>9616.31</v>
      </c>
      <c r="I688">
        <f t="shared" si="55"/>
        <v>0</v>
      </c>
      <c r="J688">
        <f>I688*_xlfn.XLOOKUP(B688,AG:AG,AI:AI)</f>
        <v>0</v>
      </c>
      <c r="K688" s="7">
        <f>_xlfn.XLOOKUP(A688,Z:Z,AD:AD)</f>
        <v>45940</v>
      </c>
      <c r="L688" s="7">
        <f t="shared" si="56"/>
        <v>45910</v>
      </c>
      <c r="M688">
        <f t="shared" si="57"/>
        <v>9</v>
      </c>
      <c r="N688">
        <f t="shared" si="58"/>
        <v>2025</v>
      </c>
      <c r="W688" s="9">
        <v>511</v>
      </c>
      <c r="X688" s="9" t="s">
        <v>30</v>
      </c>
      <c r="Z688">
        <v>732</v>
      </c>
      <c r="AA688">
        <v>2452.6799999999998</v>
      </c>
      <c r="AB688" t="s">
        <v>29</v>
      </c>
      <c r="AD688" s="20">
        <v>45995</v>
      </c>
    </row>
    <row r="689" spans="1:30">
      <c r="A689">
        <v>735</v>
      </c>
      <c r="B689" t="str">
        <f>_xlfn.XLOOKUP(A689,Z:Z,AB:AB,"not found")</f>
        <v>USD</v>
      </c>
      <c r="C689">
        <f>_xlfn.XLOOKUP(A689,Z:Z,AA:AA)-_xlfn.XLOOKUP(A689,Q:Q,R:R,"0")</f>
        <v>72006.8</v>
      </c>
      <c r="D689">
        <f>C689*_xlfn.XLOOKUP(B689,AG:AG,AH:AH)</f>
        <v>61925.847999999998</v>
      </c>
      <c r="E689">
        <f>C689*_xlfn.XLOOKUP(B689,AG:AG,AI:AI)</f>
        <v>72006.8</v>
      </c>
      <c r="F689">
        <v>72006.8</v>
      </c>
      <c r="G689">
        <f>F689*_xlfn.XLOOKUP(B689,AG:AG,AH:AH)</f>
        <v>61925.847999999998</v>
      </c>
      <c r="H689">
        <f>F689*_xlfn.XLOOKUP(B689,AG:AG,AI:AI)</f>
        <v>72006.8</v>
      </c>
      <c r="I689">
        <f t="shared" si="55"/>
        <v>0</v>
      </c>
      <c r="J689">
        <f>I689*_xlfn.XLOOKUP(B689,AG:AG,AI:AI)</f>
        <v>0</v>
      </c>
      <c r="K689" s="7">
        <f>_xlfn.XLOOKUP(A689,Z:Z,AD:AD)</f>
        <v>45951</v>
      </c>
      <c r="L689" s="7">
        <f t="shared" si="56"/>
        <v>45921</v>
      </c>
      <c r="M689">
        <f t="shared" si="57"/>
        <v>9</v>
      </c>
      <c r="N689">
        <f t="shared" si="58"/>
        <v>2025</v>
      </c>
      <c r="W689" s="9">
        <v>511</v>
      </c>
      <c r="X689" s="9" t="s">
        <v>30</v>
      </c>
      <c r="Z689">
        <v>733</v>
      </c>
      <c r="AA689">
        <v>101764.52</v>
      </c>
      <c r="AB689" t="s">
        <v>29</v>
      </c>
      <c r="AD689" s="20">
        <v>46062</v>
      </c>
    </row>
    <row r="690" spans="1:30">
      <c r="A690">
        <v>736</v>
      </c>
      <c r="B690" t="str">
        <f>_xlfn.XLOOKUP(A690,Z:Z,AB:AB,"not found")</f>
        <v>USD</v>
      </c>
      <c r="C690">
        <f>_xlfn.XLOOKUP(A690,Z:Z,AA:AA)-_xlfn.XLOOKUP(A690,Q:Q,R:R,"0")</f>
        <v>13900</v>
      </c>
      <c r="D690">
        <f>C690*_xlfn.XLOOKUP(B690,AG:AG,AH:AH)</f>
        <v>11954</v>
      </c>
      <c r="E690">
        <f>C690*_xlfn.XLOOKUP(B690,AG:AG,AI:AI)</f>
        <v>13900</v>
      </c>
      <c r="F690">
        <v>13900</v>
      </c>
      <c r="G690">
        <f>F690*_xlfn.XLOOKUP(B690,AG:AG,AH:AH)</f>
        <v>11954</v>
      </c>
      <c r="H690">
        <f>F690*_xlfn.XLOOKUP(B690,AG:AG,AI:AI)</f>
        <v>13900</v>
      </c>
      <c r="I690">
        <f t="shared" si="55"/>
        <v>0</v>
      </c>
      <c r="J690">
        <f>I690*_xlfn.XLOOKUP(B690,AG:AG,AI:AI)</f>
        <v>0</v>
      </c>
      <c r="K690" s="7">
        <f>_xlfn.XLOOKUP(A690,Z:Z,AD:AD)</f>
        <v>46184</v>
      </c>
      <c r="L690" s="7">
        <f t="shared" si="56"/>
        <v>46154</v>
      </c>
      <c r="M690">
        <f t="shared" si="57"/>
        <v>5</v>
      </c>
      <c r="N690">
        <f t="shared" si="58"/>
        <v>2026</v>
      </c>
      <c r="W690" s="9">
        <v>511</v>
      </c>
      <c r="X690" s="9" t="s">
        <v>30</v>
      </c>
      <c r="Z690">
        <v>734</v>
      </c>
      <c r="AA690">
        <v>9616.31</v>
      </c>
      <c r="AB690" t="s">
        <v>29</v>
      </c>
      <c r="AD690" s="20">
        <v>45940</v>
      </c>
    </row>
    <row r="691" spans="1:30">
      <c r="A691">
        <v>737</v>
      </c>
      <c r="B691" t="str">
        <f>_xlfn.XLOOKUP(A691,Z:Z,AB:AB,"not found")</f>
        <v>EUR</v>
      </c>
      <c r="C691">
        <f>_xlfn.XLOOKUP(A691,Z:Z,AA:AA)-_xlfn.XLOOKUP(A691,Q:Q,R:R,"0")</f>
        <v>0</v>
      </c>
      <c r="D691">
        <f>C691*_xlfn.XLOOKUP(B691,AG:AG,AH:AH)</f>
        <v>0</v>
      </c>
      <c r="E691">
        <f>C691*_xlfn.XLOOKUP(B691,AG:AG,AI:AI)</f>
        <v>0</v>
      </c>
      <c r="F691">
        <v>5070</v>
      </c>
      <c r="G691">
        <f>F691*_xlfn.XLOOKUP(B691,AG:AG,AH:AH)</f>
        <v>5070</v>
      </c>
      <c r="H691">
        <f>F691*_xlfn.XLOOKUP(B691,AG:AG,AI:AI)</f>
        <v>5881.2</v>
      </c>
      <c r="I691">
        <f t="shared" si="55"/>
        <v>0</v>
      </c>
      <c r="J691">
        <f>I691*_xlfn.XLOOKUP(B691,AG:AG,AI:AI)</f>
        <v>0</v>
      </c>
      <c r="K691" s="7">
        <f>_xlfn.XLOOKUP(A691,Z:Z,AD:AD)</f>
        <v>45893</v>
      </c>
      <c r="L691" s="7">
        <f t="shared" si="56"/>
        <v>45863</v>
      </c>
      <c r="M691">
        <f t="shared" si="57"/>
        <v>7</v>
      </c>
      <c r="N691">
        <f t="shared" si="58"/>
        <v>2025</v>
      </c>
      <c r="W691" s="9">
        <v>513</v>
      </c>
      <c r="X691" s="9" t="s">
        <v>29</v>
      </c>
      <c r="Z691">
        <v>735</v>
      </c>
      <c r="AA691">
        <v>72006.8</v>
      </c>
      <c r="AB691" t="s">
        <v>29</v>
      </c>
      <c r="AD691" s="20">
        <v>45951</v>
      </c>
    </row>
    <row r="692" spans="1:30">
      <c r="A692">
        <v>738</v>
      </c>
      <c r="B692" t="str">
        <f>_xlfn.XLOOKUP(A692,Z:Z,AB:AB,"not found")</f>
        <v>EUR</v>
      </c>
      <c r="C692">
        <f>_xlfn.XLOOKUP(A692,Z:Z,AA:AA)-_xlfn.XLOOKUP(A692,Q:Q,R:R,"0")</f>
        <v>0</v>
      </c>
      <c r="D692">
        <f>C692*_xlfn.XLOOKUP(B692,AG:AG,AH:AH)</f>
        <v>0</v>
      </c>
      <c r="E692">
        <f>C692*_xlfn.XLOOKUP(B692,AG:AG,AI:AI)</f>
        <v>0</v>
      </c>
      <c r="F692">
        <v>2253.0500000000002</v>
      </c>
      <c r="G692">
        <f>F692*_xlfn.XLOOKUP(B692,AG:AG,AH:AH)</f>
        <v>2253.0500000000002</v>
      </c>
      <c r="H692">
        <f>F692*_xlfn.XLOOKUP(B692,AG:AG,AI:AI)</f>
        <v>2613.538</v>
      </c>
      <c r="I692">
        <f t="shared" si="55"/>
        <v>0</v>
      </c>
      <c r="J692">
        <f>I692*_xlfn.XLOOKUP(B692,AG:AG,AI:AI)</f>
        <v>0</v>
      </c>
      <c r="K692" s="7">
        <f>_xlfn.XLOOKUP(A692,Z:Z,AD:AD)</f>
        <v>45848</v>
      </c>
      <c r="L692" s="7">
        <f t="shared" si="56"/>
        <v>45818</v>
      </c>
      <c r="M692">
        <f t="shared" si="57"/>
        <v>6</v>
      </c>
      <c r="N692">
        <f t="shared" si="58"/>
        <v>2025</v>
      </c>
      <c r="W692" s="9">
        <v>513</v>
      </c>
      <c r="X692" s="9" t="s">
        <v>29</v>
      </c>
      <c r="Z692">
        <v>736</v>
      </c>
      <c r="AA692">
        <v>13900</v>
      </c>
      <c r="AB692" t="s">
        <v>29</v>
      </c>
      <c r="AD692" s="20">
        <v>46184</v>
      </c>
    </row>
    <row r="693" spans="1:30">
      <c r="A693">
        <v>739</v>
      </c>
      <c r="B693" t="str">
        <f>_xlfn.XLOOKUP(A693,Z:Z,AB:AB,"not found")</f>
        <v>EUR</v>
      </c>
      <c r="C693">
        <f>_xlfn.XLOOKUP(A693,Z:Z,AA:AA)-_xlfn.XLOOKUP(A693,Q:Q,R:R,"0")</f>
        <v>2739.6900000000005</v>
      </c>
      <c r="D693">
        <f>C693*_xlfn.XLOOKUP(B693,AG:AG,AH:AH)</f>
        <v>2739.6900000000005</v>
      </c>
      <c r="E693">
        <f>C693*_xlfn.XLOOKUP(B693,AG:AG,AI:AI)</f>
        <v>3178.0404000000003</v>
      </c>
      <c r="F693">
        <v>9199.69</v>
      </c>
      <c r="G693">
        <f>F693*_xlfn.XLOOKUP(B693,AG:AG,AH:AH)</f>
        <v>9199.69</v>
      </c>
      <c r="H693">
        <f>F693*_xlfn.XLOOKUP(B693,AG:AG,AI:AI)</f>
        <v>10671.6404</v>
      </c>
      <c r="I693">
        <f t="shared" si="55"/>
        <v>0</v>
      </c>
      <c r="J693">
        <f>I693*_xlfn.XLOOKUP(B693,AG:AG,AI:AI)</f>
        <v>0</v>
      </c>
      <c r="K693" s="7">
        <f>_xlfn.XLOOKUP(A693,Z:Z,AD:AD)</f>
        <v>46030</v>
      </c>
      <c r="L693" s="7">
        <f t="shared" si="56"/>
        <v>46000</v>
      </c>
      <c r="M693">
        <f t="shared" si="57"/>
        <v>12</v>
      </c>
      <c r="N693">
        <f t="shared" si="58"/>
        <v>2025</v>
      </c>
      <c r="W693" s="9">
        <v>514</v>
      </c>
      <c r="X693" s="9" t="s">
        <v>28</v>
      </c>
      <c r="Z693">
        <v>737</v>
      </c>
      <c r="AA693">
        <v>5070</v>
      </c>
      <c r="AB693" t="s">
        <v>27</v>
      </c>
      <c r="AD693" s="20">
        <v>45893</v>
      </c>
    </row>
    <row r="694" spans="1:30">
      <c r="A694">
        <v>740</v>
      </c>
      <c r="B694" t="str">
        <f>_xlfn.XLOOKUP(A694,Z:Z,AB:AB,"not found")</f>
        <v>USD</v>
      </c>
      <c r="C694">
        <f>_xlfn.XLOOKUP(A694,Z:Z,AA:AA)-_xlfn.XLOOKUP(A694,Q:Q,R:R,"0")</f>
        <v>0</v>
      </c>
      <c r="D694">
        <f>C694*_xlfn.XLOOKUP(B694,AG:AG,AH:AH)</f>
        <v>0</v>
      </c>
      <c r="E694">
        <f>C694*_xlfn.XLOOKUP(B694,AG:AG,AI:AI)</f>
        <v>0</v>
      </c>
      <c r="F694">
        <v>20705.8</v>
      </c>
      <c r="G694">
        <f>F694*_xlfn.XLOOKUP(B694,AG:AG,AH:AH)</f>
        <v>17806.987999999998</v>
      </c>
      <c r="H694">
        <f>F694*_xlfn.XLOOKUP(B694,AG:AG,AI:AI)</f>
        <v>20705.8</v>
      </c>
      <c r="I694">
        <f t="shared" si="55"/>
        <v>0</v>
      </c>
      <c r="J694">
        <f>I694*_xlfn.XLOOKUP(B694,AG:AG,AI:AI)</f>
        <v>0</v>
      </c>
      <c r="K694" s="7">
        <f>_xlfn.XLOOKUP(A694,Z:Z,AD:AD)</f>
        <v>45846</v>
      </c>
      <c r="L694" s="7">
        <f t="shared" si="56"/>
        <v>45816</v>
      </c>
      <c r="M694">
        <f t="shared" si="57"/>
        <v>6</v>
      </c>
      <c r="N694">
        <f t="shared" si="58"/>
        <v>2025</v>
      </c>
      <c r="W694" s="9">
        <v>515</v>
      </c>
      <c r="X694" s="9" t="s">
        <v>27</v>
      </c>
      <c r="Z694">
        <v>738</v>
      </c>
      <c r="AA694">
        <v>2253.0500000000002</v>
      </c>
      <c r="AB694" t="s">
        <v>27</v>
      </c>
      <c r="AD694" s="20">
        <v>45848</v>
      </c>
    </row>
    <row r="695" spans="1:30">
      <c r="A695">
        <v>742</v>
      </c>
      <c r="B695" t="str">
        <f>_xlfn.XLOOKUP(A695,Z:Z,AB:AB,"not found")</f>
        <v>EUR</v>
      </c>
      <c r="C695">
        <f>_xlfn.XLOOKUP(A695,Z:Z,AA:AA)-_xlfn.XLOOKUP(A695,Q:Q,R:R,"0")</f>
        <v>2696.6000000000004</v>
      </c>
      <c r="D695">
        <f>C695*_xlfn.XLOOKUP(B695,AG:AG,AH:AH)</f>
        <v>2696.6000000000004</v>
      </c>
      <c r="E695">
        <f>C695*_xlfn.XLOOKUP(B695,AG:AG,AI:AI)</f>
        <v>3128.056</v>
      </c>
      <c r="F695">
        <v>14996.6</v>
      </c>
      <c r="G695">
        <f>F695*_xlfn.XLOOKUP(B695,AG:AG,AH:AH)</f>
        <v>14996.6</v>
      </c>
      <c r="H695">
        <f>F695*_xlfn.XLOOKUP(B695,AG:AG,AI:AI)</f>
        <v>17396.056</v>
      </c>
      <c r="I695">
        <f t="shared" si="55"/>
        <v>0</v>
      </c>
      <c r="J695">
        <f>I695*_xlfn.XLOOKUP(B695,AG:AG,AI:AI)</f>
        <v>0</v>
      </c>
      <c r="K695" s="7">
        <f>_xlfn.XLOOKUP(A695,Z:Z,AD:AD)</f>
        <v>45933</v>
      </c>
      <c r="L695" s="7">
        <f t="shared" si="56"/>
        <v>45903</v>
      </c>
      <c r="M695">
        <f t="shared" si="57"/>
        <v>9</v>
      </c>
      <c r="N695">
        <f t="shared" si="58"/>
        <v>2025</v>
      </c>
      <c r="W695" s="9">
        <v>516</v>
      </c>
      <c r="X695" s="9" t="s">
        <v>27</v>
      </c>
      <c r="Z695">
        <v>739</v>
      </c>
      <c r="AA695">
        <v>9199.69</v>
      </c>
      <c r="AB695" t="s">
        <v>27</v>
      </c>
      <c r="AD695" s="20">
        <v>46030</v>
      </c>
    </row>
    <row r="696" spans="1:30">
      <c r="A696">
        <v>743</v>
      </c>
      <c r="B696" t="str">
        <f>_xlfn.XLOOKUP(A696,Z:Z,AB:AB,"not found")</f>
        <v>USD</v>
      </c>
      <c r="C696">
        <f>_xlfn.XLOOKUP(A696,Z:Z,AA:AA)-_xlfn.XLOOKUP(A696,Q:Q,R:R,"0")</f>
        <v>13602.779999999999</v>
      </c>
      <c r="D696">
        <f>C696*_xlfn.XLOOKUP(B696,AG:AG,AH:AH)</f>
        <v>11698.390799999999</v>
      </c>
      <c r="E696">
        <f>C696*_xlfn.XLOOKUP(B696,AG:AG,AI:AI)</f>
        <v>13602.779999999999</v>
      </c>
      <c r="F696">
        <v>45104.93</v>
      </c>
      <c r="G696">
        <f>F696*_xlfn.XLOOKUP(B696,AG:AG,AH:AH)</f>
        <v>38790.239800000003</v>
      </c>
      <c r="H696">
        <f>F696*_xlfn.XLOOKUP(B696,AG:AG,AI:AI)</f>
        <v>45104.93</v>
      </c>
      <c r="I696">
        <f t="shared" si="55"/>
        <v>-11.760000000002037</v>
      </c>
      <c r="J696">
        <f>I696*_xlfn.XLOOKUP(B696,AG:AG,AI:AI)</f>
        <v>-11.760000000002037</v>
      </c>
      <c r="K696" s="7">
        <f>_xlfn.XLOOKUP(A696,Z:Z,AD:AD)</f>
        <v>45972</v>
      </c>
      <c r="L696" s="7">
        <f t="shared" si="56"/>
        <v>45942</v>
      </c>
      <c r="M696">
        <f t="shared" si="57"/>
        <v>10</v>
      </c>
      <c r="N696">
        <f t="shared" si="58"/>
        <v>2025</v>
      </c>
      <c r="W696" s="9">
        <v>518</v>
      </c>
      <c r="X696" s="9" t="s">
        <v>29</v>
      </c>
      <c r="Z696">
        <v>740</v>
      </c>
      <c r="AA696">
        <v>20705.8</v>
      </c>
      <c r="AB696" t="s">
        <v>29</v>
      </c>
      <c r="AD696" s="20">
        <v>45846</v>
      </c>
    </row>
    <row r="697" spans="1:30">
      <c r="A697">
        <v>744</v>
      </c>
      <c r="B697" t="str">
        <f>_xlfn.XLOOKUP(A697,Z:Z,AB:AB,"not found")</f>
        <v>USD</v>
      </c>
      <c r="C697">
        <f>_xlfn.XLOOKUP(A697,Z:Z,AA:AA)-_xlfn.XLOOKUP(A697,Q:Q,R:R,"0")</f>
        <v>20094.14</v>
      </c>
      <c r="D697">
        <f>C697*_xlfn.XLOOKUP(B697,AG:AG,AH:AH)</f>
        <v>17280.9604</v>
      </c>
      <c r="E697">
        <f>C697*_xlfn.XLOOKUP(B697,AG:AG,AI:AI)</f>
        <v>20094.14</v>
      </c>
      <c r="F697">
        <v>22009.16</v>
      </c>
      <c r="G697">
        <f>F697*_xlfn.XLOOKUP(B697,AG:AG,AH:AH)</f>
        <v>18927.8776</v>
      </c>
      <c r="H697">
        <f>F697*_xlfn.XLOOKUP(B697,AG:AG,AI:AI)</f>
        <v>22009.16</v>
      </c>
      <c r="I697">
        <f t="shared" si="55"/>
        <v>0</v>
      </c>
      <c r="J697">
        <f>I697*_xlfn.XLOOKUP(B697,AG:AG,AI:AI)</f>
        <v>0</v>
      </c>
      <c r="K697" s="7">
        <f>_xlfn.XLOOKUP(A697,Z:Z,AD:AD)</f>
        <v>45966</v>
      </c>
      <c r="L697" s="7">
        <f t="shared" si="56"/>
        <v>45936</v>
      </c>
      <c r="M697">
        <f t="shared" si="57"/>
        <v>10</v>
      </c>
      <c r="N697">
        <f t="shared" si="58"/>
        <v>2025</v>
      </c>
      <c r="W697" s="9">
        <v>521</v>
      </c>
      <c r="X697" s="9" t="s">
        <v>28</v>
      </c>
      <c r="Z697">
        <v>741</v>
      </c>
      <c r="AA697">
        <v>24500</v>
      </c>
      <c r="AB697" t="s">
        <v>30</v>
      </c>
      <c r="AD697" s="20">
        <v>46063</v>
      </c>
    </row>
    <row r="698" spans="1:30">
      <c r="A698">
        <v>745</v>
      </c>
      <c r="B698" t="str">
        <f>_xlfn.XLOOKUP(A698,Z:Z,AB:AB,"not found")</f>
        <v>USD</v>
      </c>
      <c r="C698">
        <f>_xlfn.XLOOKUP(A698,Z:Z,AA:AA)-_xlfn.XLOOKUP(A698,Q:Q,R:R,"0")</f>
        <v>0</v>
      </c>
      <c r="D698">
        <f>C698*_xlfn.XLOOKUP(B698,AG:AG,AH:AH)</f>
        <v>0</v>
      </c>
      <c r="E698">
        <f>C698*_xlfn.XLOOKUP(B698,AG:AG,AI:AI)</f>
        <v>0</v>
      </c>
      <c r="F698">
        <v>11714.05</v>
      </c>
      <c r="G698">
        <f>F698*_xlfn.XLOOKUP(B698,AG:AG,AH:AH)</f>
        <v>10074.082999999999</v>
      </c>
      <c r="H698">
        <f>F698*_xlfn.XLOOKUP(B698,AG:AG,AI:AI)</f>
        <v>11714.05</v>
      </c>
      <c r="I698">
        <f t="shared" si="55"/>
        <v>0</v>
      </c>
      <c r="J698">
        <f>I698*_xlfn.XLOOKUP(B698,AG:AG,AI:AI)</f>
        <v>0</v>
      </c>
      <c r="K698" s="7">
        <f>_xlfn.XLOOKUP(A698,Z:Z,AD:AD)</f>
        <v>45967</v>
      </c>
      <c r="L698" s="7">
        <f t="shared" si="56"/>
        <v>45937</v>
      </c>
      <c r="M698">
        <f t="shared" si="57"/>
        <v>10</v>
      </c>
      <c r="N698">
        <f t="shared" si="58"/>
        <v>2025</v>
      </c>
      <c r="W698" s="9">
        <v>522</v>
      </c>
      <c r="X698" s="9" t="s">
        <v>27</v>
      </c>
      <c r="Z698">
        <v>742</v>
      </c>
      <c r="AA698">
        <v>14996.6</v>
      </c>
      <c r="AB698" t="s">
        <v>27</v>
      </c>
      <c r="AD698" s="20">
        <v>45933</v>
      </c>
    </row>
    <row r="699" spans="1:30">
      <c r="A699">
        <v>746</v>
      </c>
      <c r="B699" t="str">
        <f>_xlfn.XLOOKUP(A699,Z:Z,AB:AB,"not found")</f>
        <v>USD</v>
      </c>
      <c r="C699">
        <f>_xlfn.XLOOKUP(A699,Z:Z,AA:AA)-_xlfn.XLOOKUP(A699,Q:Q,R:R,"0")</f>
        <v>12072.83</v>
      </c>
      <c r="D699">
        <f>C699*_xlfn.XLOOKUP(B699,AG:AG,AH:AH)</f>
        <v>10382.6338</v>
      </c>
      <c r="E699">
        <f>C699*_xlfn.XLOOKUP(B699,AG:AG,AI:AI)</f>
        <v>12072.83</v>
      </c>
      <c r="F699">
        <v>7698.88</v>
      </c>
      <c r="G699">
        <f>F699*_xlfn.XLOOKUP(B699,AG:AG,AH:AH)</f>
        <v>6621.0367999999999</v>
      </c>
      <c r="H699">
        <f>F699*_xlfn.XLOOKUP(B699,AG:AG,AI:AI)</f>
        <v>7698.88</v>
      </c>
      <c r="I699">
        <f t="shared" si="55"/>
        <v>4373.95</v>
      </c>
      <c r="J699">
        <f>I699*_xlfn.XLOOKUP(B699,AG:AG,AI:AI)</f>
        <v>4373.95</v>
      </c>
      <c r="K699" s="7">
        <f>_xlfn.XLOOKUP(A699,Z:Z,AD:AD)</f>
        <v>46106</v>
      </c>
      <c r="L699" s="7">
        <f t="shared" si="56"/>
        <v>46076</v>
      </c>
      <c r="M699">
        <f t="shared" si="57"/>
        <v>2</v>
      </c>
      <c r="N699">
        <f t="shared" si="58"/>
        <v>2026</v>
      </c>
      <c r="W699" s="9">
        <v>523</v>
      </c>
      <c r="X699" s="9" t="s">
        <v>27</v>
      </c>
      <c r="Z699">
        <v>743</v>
      </c>
      <c r="AA699">
        <v>45093.17</v>
      </c>
      <c r="AB699" t="s">
        <v>29</v>
      </c>
      <c r="AD699" s="20">
        <v>45972</v>
      </c>
    </row>
    <row r="700" spans="1:30">
      <c r="A700">
        <v>748</v>
      </c>
      <c r="B700" t="str">
        <f>_xlfn.XLOOKUP(A700,Z:Z,AB:AB,"not found")</f>
        <v>USD</v>
      </c>
      <c r="C700">
        <f>_xlfn.XLOOKUP(A700,Z:Z,AA:AA)-_xlfn.XLOOKUP(A700,Q:Q,R:R,"0")</f>
        <v>54234.8</v>
      </c>
      <c r="D700">
        <f>C700*_xlfn.XLOOKUP(B700,AG:AG,AH:AH)</f>
        <v>46641.928</v>
      </c>
      <c r="E700">
        <f>C700*_xlfn.XLOOKUP(B700,AG:AG,AI:AI)</f>
        <v>54234.8</v>
      </c>
      <c r="F700">
        <v>54234.8</v>
      </c>
      <c r="G700">
        <f>F700*_xlfn.XLOOKUP(B700,AG:AG,AH:AH)</f>
        <v>46641.928</v>
      </c>
      <c r="H700">
        <f>F700*_xlfn.XLOOKUP(B700,AG:AG,AI:AI)</f>
        <v>54234.8</v>
      </c>
      <c r="I700">
        <f t="shared" si="55"/>
        <v>0</v>
      </c>
      <c r="J700">
        <f>I700*_xlfn.XLOOKUP(B700,AG:AG,AI:AI)</f>
        <v>0</v>
      </c>
      <c r="K700" s="7">
        <f>_xlfn.XLOOKUP(A700,Z:Z,AD:AD)</f>
        <v>45958</v>
      </c>
      <c r="L700" s="7">
        <f t="shared" si="56"/>
        <v>45928</v>
      </c>
      <c r="M700">
        <f t="shared" si="57"/>
        <v>9</v>
      </c>
      <c r="N700">
        <f t="shared" si="58"/>
        <v>2025</v>
      </c>
      <c r="W700" s="9">
        <v>524</v>
      </c>
      <c r="X700" s="9" t="s">
        <v>29</v>
      </c>
      <c r="Z700">
        <v>744</v>
      </c>
      <c r="AA700">
        <v>22009.16</v>
      </c>
      <c r="AB700" t="s">
        <v>29</v>
      </c>
      <c r="AD700" s="20">
        <v>45966</v>
      </c>
    </row>
    <row r="701" spans="1:30">
      <c r="A701">
        <v>749</v>
      </c>
      <c r="B701" t="str">
        <f>_xlfn.XLOOKUP(A701,Z:Z,AB:AB,"not found")</f>
        <v>USD</v>
      </c>
      <c r="C701">
        <f>_xlfn.XLOOKUP(A701,Z:Z,AA:AA)-_xlfn.XLOOKUP(A701,Q:Q,R:R,"0")</f>
        <v>0</v>
      </c>
      <c r="D701">
        <f>C701*_xlfn.XLOOKUP(B701,AG:AG,AH:AH)</f>
        <v>0</v>
      </c>
      <c r="E701">
        <f>C701*_xlfn.XLOOKUP(B701,AG:AG,AI:AI)</f>
        <v>0</v>
      </c>
      <c r="F701">
        <v>13873.49</v>
      </c>
      <c r="G701">
        <f>F701*_xlfn.XLOOKUP(B701,AG:AG,AH:AH)</f>
        <v>11931.2014</v>
      </c>
      <c r="H701">
        <f>F701*_xlfn.XLOOKUP(B701,AG:AG,AI:AI)</f>
        <v>13873.49</v>
      </c>
      <c r="I701">
        <f t="shared" si="55"/>
        <v>0</v>
      </c>
      <c r="J701">
        <f>I701*_xlfn.XLOOKUP(B701,AG:AG,AI:AI)</f>
        <v>0</v>
      </c>
      <c r="K701" s="7">
        <f>_xlfn.XLOOKUP(A701,Z:Z,AD:AD)</f>
        <v>45934</v>
      </c>
      <c r="L701" s="7">
        <f t="shared" si="56"/>
        <v>45904</v>
      </c>
      <c r="M701">
        <f t="shared" si="57"/>
        <v>9</v>
      </c>
      <c r="N701">
        <f t="shared" si="58"/>
        <v>2025</v>
      </c>
      <c r="W701" s="9">
        <v>524</v>
      </c>
      <c r="X701" s="9" t="s">
        <v>29</v>
      </c>
      <c r="Z701">
        <v>745</v>
      </c>
      <c r="AA701">
        <v>11714.05</v>
      </c>
      <c r="AB701" t="s">
        <v>29</v>
      </c>
      <c r="AD701" s="20">
        <v>45967</v>
      </c>
    </row>
    <row r="702" spans="1:30">
      <c r="A702">
        <v>750</v>
      </c>
      <c r="B702" t="str">
        <f>_xlfn.XLOOKUP(A702,Z:Z,AB:AB,"not found")</f>
        <v>USD</v>
      </c>
      <c r="C702">
        <f>_xlfn.XLOOKUP(A702,Z:Z,AA:AA)-_xlfn.XLOOKUP(A702,Q:Q,R:R,"0")</f>
        <v>48691</v>
      </c>
      <c r="D702">
        <f>C702*_xlfn.XLOOKUP(B702,AG:AG,AH:AH)</f>
        <v>41874.26</v>
      </c>
      <c r="E702">
        <f>C702*_xlfn.XLOOKUP(B702,AG:AG,AI:AI)</f>
        <v>48691</v>
      </c>
      <c r="F702">
        <v>42851.16</v>
      </c>
      <c r="G702">
        <f>F702*_xlfn.XLOOKUP(B702,AG:AG,AH:AH)</f>
        <v>36851.997600000002</v>
      </c>
      <c r="H702">
        <f>F702*_xlfn.XLOOKUP(B702,AG:AG,AI:AI)</f>
        <v>42851.16</v>
      </c>
      <c r="I702">
        <f t="shared" si="55"/>
        <v>16287.839999999997</v>
      </c>
      <c r="J702">
        <f>I702*_xlfn.XLOOKUP(B702,AG:AG,AI:AI)</f>
        <v>16287.839999999997</v>
      </c>
      <c r="K702" s="7">
        <f>_xlfn.XLOOKUP(A702,Z:Z,AD:AD)</f>
        <v>45960</v>
      </c>
      <c r="L702" s="7">
        <f t="shared" si="56"/>
        <v>45930</v>
      </c>
      <c r="M702">
        <f t="shared" si="57"/>
        <v>9</v>
      </c>
      <c r="N702">
        <f t="shared" si="58"/>
        <v>2025</v>
      </c>
      <c r="W702" s="9">
        <v>524</v>
      </c>
      <c r="X702" s="9" t="s">
        <v>29</v>
      </c>
      <c r="Z702">
        <v>746</v>
      </c>
      <c r="AA702">
        <v>12072.83</v>
      </c>
      <c r="AB702" t="s">
        <v>29</v>
      </c>
      <c r="AD702" s="20">
        <v>46106</v>
      </c>
    </row>
    <row r="703" spans="1:30">
      <c r="A703">
        <v>751</v>
      </c>
      <c r="B703" t="str">
        <f>_xlfn.XLOOKUP(A703,Z:Z,AB:AB,"not found")</f>
        <v>EUR</v>
      </c>
      <c r="C703">
        <f>_xlfn.XLOOKUP(A703,Z:Z,AA:AA)-_xlfn.XLOOKUP(A703,Q:Q,R:R,"0")</f>
        <v>0</v>
      </c>
      <c r="D703">
        <f>C703*_xlfn.XLOOKUP(B703,AG:AG,AH:AH)</f>
        <v>0</v>
      </c>
      <c r="E703">
        <f>C703*_xlfn.XLOOKUP(B703,AG:AG,AI:AI)</f>
        <v>0</v>
      </c>
      <c r="F703">
        <v>27327</v>
      </c>
      <c r="G703">
        <f>F703*_xlfn.XLOOKUP(B703,AG:AG,AH:AH)</f>
        <v>27327</v>
      </c>
      <c r="H703">
        <f>F703*_xlfn.XLOOKUP(B703,AG:AG,AI:AI)</f>
        <v>31699.319999999996</v>
      </c>
      <c r="I703">
        <f t="shared" si="55"/>
        <v>0</v>
      </c>
      <c r="J703">
        <f>I703*_xlfn.XLOOKUP(B703,AG:AG,AI:AI)</f>
        <v>0</v>
      </c>
      <c r="K703" s="7">
        <f>_xlfn.XLOOKUP(A703,Z:Z,AD:AD)</f>
        <v>45980</v>
      </c>
      <c r="L703" s="7">
        <f t="shared" si="56"/>
        <v>45950</v>
      </c>
      <c r="M703">
        <f t="shared" si="57"/>
        <v>10</v>
      </c>
      <c r="N703">
        <f t="shared" si="58"/>
        <v>2025</v>
      </c>
      <c r="W703" s="9">
        <v>525</v>
      </c>
      <c r="X703" s="9" t="s">
        <v>29</v>
      </c>
      <c r="Z703">
        <v>747</v>
      </c>
      <c r="AA703">
        <v>9298.7999999999993</v>
      </c>
      <c r="AB703" t="s">
        <v>27</v>
      </c>
      <c r="AD703" s="20">
        <v>46074</v>
      </c>
    </row>
    <row r="704" spans="1:30">
      <c r="A704">
        <v>752</v>
      </c>
      <c r="B704" t="str">
        <f>_xlfn.XLOOKUP(A704,Z:Z,AB:AB,"not found")</f>
        <v>MXN</v>
      </c>
      <c r="C704">
        <f>_xlfn.XLOOKUP(A704,Z:Z,AA:AA)-_xlfn.XLOOKUP(A704,Q:Q,R:R,"0")</f>
        <v>38190</v>
      </c>
      <c r="D704">
        <f>C704*_xlfn.XLOOKUP(B704,AG:AG,AH:AH)</f>
        <v>1833.1200000000001</v>
      </c>
      <c r="E704">
        <f>C704*_xlfn.XLOOKUP(B704,AG:AG,AI:AI)</f>
        <v>2138.64</v>
      </c>
      <c r="F704">
        <v>57810</v>
      </c>
      <c r="G704">
        <f>F704*_xlfn.XLOOKUP(B704,AG:AG,AH:AH)</f>
        <v>2774.88</v>
      </c>
      <c r="H704">
        <f>F704*_xlfn.XLOOKUP(B704,AG:AG,AI:AI)</f>
        <v>3237.36</v>
      </c>
      <c r="I704">
        <f t="shared" si="55"/>
        <v>0</v>
      </c>
      <c r="J704">
        <f>I704*_xlfn.XLOOKUP(B704,AG:AG,AI:AI)</f>
        <v>0</v>
      </c>
      <c r="K704" s="7">
        <f>_xlfn.XLOOKUP(A704,Z:Z,AD:AD)</f>
        <v>45952</v>
      </c>
      <c r="L704" s="7">
        <f t="shared" si="56"/>
        <v>45922</v>
      </c>
      <c r="M704">
        <f t="shared" si="57"/>
        <v>9</v>
      </c>
      <c r="N704">
        <f t="shared" si="58"/>
        <v>2025</v>
      </c>
      <c r="W704" s="9">
        <v>525</v>
      </c>
      <c r="X704" s="9" t="s">
        <v>29</v>
      </c>
      <c r="Z704">
        <v>748</v>
      </c>
      <c r="AA704">
        <v>54234.8</v>
      </c>
      <c r="AB704" t="s">
        <v>29</v>
      </c>
      <c r="AD704" s="20">
        <v>45958</v>
      </c>
    </row>
    <row r="705" spans="1:30">
      <c r="A705">
        <v>753</v>
      </c>
      <c r="B705" t="str">
        <f>_xlfn.XLOOKUP(A705,Z:Z,AB:AB,"not found")</f>
        <v>USD</v>
      </c>
      <c r="C705">
        <f>_xlfn.XLOOKUP(A705,Z:Z,AA:AA)-_xlfn.XLOOKUP(A705,Q:Q,R:R,"0")</f>
        <v>3396.01</v>
      </c>
      <c r="D705">
        <f>C705*_xlfn.XLOOKUP(B705,AG:AG,AH:AH)</f>
        <v>2920.5686000000001</v>
      </c>
      <c r="E705">
        <f>C705*_xlfn.XLOOKUP(B705,AG:AG,AI:AI)</f>
        <v>3396.01</v>
      </c>
      <c r="F705">
        <v>9449.61</v>
      </c>
      <c r="G705">
        <f>F705*_xlfn.XLOOKUP(B705,AG:AG,AH:AH)</f>
        <v>8126.6646000000001</v>
      </c>
      <c r="H705">
        <f>F705*_xlfn.XLOOKUP(B705,AG:AG,AI:AI)</f>
        <v>9449.61</v>
      </c>
      <c r="I705">
        <f t="shared" si="55"/>
        <v>0</v>
      </c>
      <c r="J705">
        <f>I705*_xlfn.XLOOKUP(B705,AG:AG,AI:AI)</f>
        <v>0</v>
      </c>
      <c r="K705" s="7">
        <f>_xlfn.XLOOKUP(A705,Z:Z,AD:AD)</f>
        <v>45956</v>
      </c>
      <c r="L705" s="7">
        <f t="shared" si="56"/>
        <v>45926</v>
      </c>
      <c r="M705">
        <f t="shared" si="57"/>
        <v>9</v>
      </c>
      <c r="N705">
        <f t="shared" si="58"/>
        <v>2025</v>
      </c>
      <c r="W705" s="9">
        <v>525</v>
      </c>
      <c r="X705" s="9" t="s">
        <v>29</v>
      </c>
      <c r="Z705">
        <v>749</v>
      </c>
      <c r="AA705">
        <v>13873.49</v>
      </c>
      <c r="AB705" t="s">
        <v>29</v>
      </c>
      <c r="AD705" s="20">
        <v>45934</v>
      </c>
    </row>
    <row r="706" spans="1:30">
      <c r="A706">
        <v>754</v>
      </c>
      <c r="B706" t="str">
        <f>_xlfn.XLOOKUP(A706,Z:Z,AB:AB,"not found")</f>
        <v>USD</v>
      </c>
      <c r="C706">
        <f>_xlfn.XLOOKUP(A706,Z:Z,AA:AA)-_xlfn.XLOOKUP(A706,Q:Q,R:R,"0")</f>
        <v>74842.84</v>
      </c>
      <c r="D706">
        <f>C706*_xlfn.XLOOKUP(B706,AG:AG,AH:AH)</f>
        <v>64364.842399999994</v>
      </c>
      <c r="E706">
        <f>C706*_xlfn.XLOOKUP(B706,AG:AG,AI:AI)</f>
        <v>74842.84</v>
      </c>
      <c r="F706">
        <v>74842.84</v>
      </c>
      <c r="G706">
        <f>F706*_xlfn.XLOOKUP(B706,AG:AG,AH:AH)</f>
        <v>64364.842399999994</v>
      </c>
      <c r="H706">
        <f>F706*_xlfn.XLOOKUP(B706,AG:AG,AI:AI)</f>
        <v>74842.84</v>
      </c>
      <c r="I706">
        <f t="shared" si="55"/>
        <v>0</v>
      </c>
      <c r="J706">
        <f>I706*_xlfn.XLOOKUP(B706,AG:AG,AI:AI)</f>
        <v>0</v>
      </c>
      <c r="K706" s="7">
        <f>_xlfn.XLOOKUP(A706,Z:Z,AD:AD)</f>
        <v>46005</v>
      </c>
      <c r="L706" s="7">
        <f t="shared" si="56"/>
        <v>45975</v>
      </c>
      <c r="M706">
        <f t="shared" si="57"/>
        <v>11</v>
      </c>
      <c r="N706">
        <f t="shared" si="58"/>
        <v>2025</v>
      </c>
      <c r="W706" s="9">
        <v>526</v>
      </c>
      <c r="X706" s="9" t="s">
        <v>28</v>
      </c>
      <c r="Z706">
        <v>750</v>
      </c>
      <c r="AA706">
        <v>59139</v>
      </c>
      <c r="AB706" t="s">
        <v>29</v>
      </c>
      <c r="AD706" s="20">
        <v>45960</v>
      </c>
    </row>
    <row r="707" spans="1:30">
      <c r="A707">
        <v>755</v>
      </c>
      <c r="B707" t="str">
        <f>_xlfn.XLOOKUP(A707,Z:Z,AB:AB,"not found")</f>
        <v>USD</v>
      </c>
      <c r="C707">
        <f>_xlfn.XLOOKUP(A707,Z:Z,AA:AA)-_xlfn.XLOOKUP(A707,Q:Q,R:R,"0")</f>
        <v>26438.639999999999</v>
      </c>
      <c r="D707">
        <f>C707*_xlfn.XLOOKUP(B707,AG:AG,AH:AH)</f>
        <v>22737.2304</v>
      </c>
      <c r="E707">
        <f>C707*_xlfn.XLOOKUP(B707,AG:AG,AI:AI)</f>
        <v>26438.639999999999</v>
      </c>
      <c r="F707">
        <v>26438.639999999999</v>
      </c>
      <c r="G707">
        <f>F707*_xlfn.XLOOKUP(B707,AG:AG,AH:AH)</f>
        <v>22737.2304</v>
      </c>
      <c r="H707">
        <f>F707*_xlfn.XLOOKUP(B707,AG:AG,AI:AI)</f>
        <v>26438.639999999999</v>
      </c>
      <c r="I707">
        <f t="shared" ref="I707:I770" si="59">C707-F707+_xlfn.XLOOKUP(A707,Q:Q,R:R,"0")</f>
        <v>0</v>
      </c>
      <c r="J707">
        <f>I707*_xlfn.XLOOKUP(B707,AG:AG,AI:AI)</f>
        <v>0</v>
      </c>
      <c r="K707" s="7">
        <f>_xlfn.XLOOKUP(A707,Z:Z,AD:AD)</f>
        <v>45968</v>
      </c>
      <c r="L707" s="7">
        <f t="shared" si="56"/>
        <v>45938</v>
      </c>
      <c r="M707">
        <f t="shared" si="57"/>
        <v>10</v>
      </c>
      <c r="N707">
        <f t="shared" si="58"/>
        <v>2025</v>
      </c>
      <c r="W707" s="9">
        <v>526</v>
      </c>
      <c r="X707" s="9" t="s">
        <v>28</v>
      </c>
      <c r="Z707">
        <v>751</v>
      </c>
      <c r="AA707">
        <v>27327</v>
      </c>
      <c r="AB707" t="s">
        <v>27</v>
      </c>
      <c r="AD707" s="20">
        <v>45980</v>
      </c>
    </row>
    <row r="708" spans="1:30">
      <c r="A708">
        <v>756</v>
      </c>
      <c r="B708" t="str">
        <f>_xlfn.XLOOKUP(A708,Z:Z,AB:AB,"not found")</f>
        <v>USD</v>
      </c>
      <c r="C708">
        <f>_xlfn.XLOOKUP(A708,Z:Z,AA:AA)-_xlfn.XLOOKUP(A708,Q:Q,R:R,"0")</f>
        <v>27416.48</v>
      </c>
      <c r="D708">
        <f>C708*_xlfn.XLOOKUP(B708,AG:AG,AH:AH)</f>
        <v>23578.1728</v>
      </c>
      <c r="E708">
        <f>C708*_xlfn.XLOOKUP(B708,AG:AG,AI:AI)</f>
        <v>27416.48</v>
      </c>
      <c r="F708">
        <v>27416.48</v>
      </c>
      <c r="G708">
        <f>F708*_xlfn.XLOOKUP(B708,AG:AG,AH:AH)</f>
        <v>23578.1728</v>
      </c>
      <c r="H708">
        <f>F708*_xlfn.XLOOKUP(B708,AG:AG,AI:AI)</f>
        <v>27416.48</v>
      </c>
      <c r="I708">
        <f t="shared" si="59"/>
        <v>0</v>
      </c>
      <c r="J708">
        <f>I708*_xlfn.XLOOKUP(B708,AG:AG,AI:AI)</f>
        <v>0</v>
      </c>
      <c r="K708" s="7">
        <f>_xlfn.XLOOKUP(A708,Z:Z,AD:AD)</f>
        <v>45947</v>
      </c>
      <c r="L708" s="7">
        <f t="shared" si="56"/>
        <v>45917</v>
      </c>
      <c r="M708">
        <f t="shared" si="57"/>
        <v>9</v>
      </c>
      <c r="N708">
        <f t="shared" si="58"/>
        <v>2025</v>
      </c>
      <c r="W708" s="9">
        <v>528</v>
      </c>
      <c r="X708" s="9" t="s">
        <v>29</v>
      </c>
      <c r="Z708">
        <v>752</v>
      </c>
      <c r="AA708">
        <v>57810</v>
      </c>
      <c r="AB708" t="s">
        <v>28</v>
      </c>
      <c r="AD708" s="20">
        <v>45952</v>
      </c>
    </row>
    <row r="709" spans="1:30">
      <c r="A709">
        <v>757</v>
      </c>
      <c r="B709" t="str">
        <f>_xlfn.XLOOKUP(A709,Z:Z,AB:AB,"not found")</f>
        <v>USD</v>
      </c>
      <c r="C709">
        <f>_xlfn.XLOOKUP(A709,Z:Z,AA:AA)-_xlfn.XLOOKUP(A709,Q:Q,R:R,"0")</f>
        <v>0</v>
      </c>
      <c r="D709">
        <f>C709*_xlfn.XLOOKUP(B709,AG:AG,AH:AH)</f>
        <v>0</v>
      </c>
      <c r="E709">
        <f>C709*_xlfn.XLOOKUP(B709,AG:AG,AI:AI)</f>
        <v>0</v>
      </c>
      <c r="F709">
        <v>1067.6400000000001</v>
      </c>
      <c r="G709">
        <f>F709*_xlfn.XLOOKUP(B709,AG:AG,AH:AH)</f>
        <v>918.17040000000009</v>
      </c>
      <c r="H709">
        <f>F709*_xlfn.XLOOKUP(B709,AG:AG,AI:AI)</f>
        <v>1067.6400000000001</v>
      </c>
      <c r="I709">
        <f t="shared" si="59"/>
        <v>0</v>
      </c>
      <c r="J709">
        <f>I709*_xlfn.XLOOKUP(B709,AG:AG,AI:AI)</f>
        <v>0</v>
      </c>
      <c r="K709" s="7">
        <f>_xlfn.XLOOKUP(A709,Z:Z,AD:AD)</f>
        <v>45911</v>
      </c>
      <c r="L709" s="7">
        <f t="shared" si="56"/>
        <v>45881</v>
      </c>
      <c r="M709">
        <f t="shared" si="57"/>
        <v>8</v>
      </c>
      <c r="N709">
        <f t="shared" si="58"/>
        <v>2025</v>
      </c>
      <c r="W709" s="9">
        <v>529</v>
      </c>
      <c r="X709" s="9" t="s">
        <v>30</v>
      </c>
      <c r="Z709">
        <v>753</v>
      </c>
      <c r="AA709">
        <v>9449.61</v>
      </c>
      <c r="AB709" t="s">
        <v>29</v>
      </c>
      <c r="AD709" s="20">
        <v>45956</v>
      </c>
    </row>
    <row r="710" spans="1:30">
      <c r="A710">
        <v>758</v>
      </c>
      <c r="B710" t="str">
        <f>_xlfn.XLOOKUP(A710,Z:Z,AB:AB,"not found")</f>
        <v>EUR</v>
      </c>
      <c r="C710">
        <f>_xlfn.XLOOKUP(A710,Z:Z,AA:AA)-_xlfn.XLOOKUP(A710,Q:Q,R:R,"0")</f>
        <v>0</v>
      </c>
      <c r="D710">
        <f>C710*_xlfn.XLOOKUP(B710,AG:AG,AH:AH)</f>
        <v>0</v>
      </c>
      <c r="E710">
        <f>C710*_xlfn.XLOOKUP(B710,AG:AG,AI:AI)</f>
        <v>0</v>
      </c>
      <c r="F710">
        <v>1002.1</v>
      </c>
      <c r="G710">
        <f>F710*_xlfn.XLOOKUP(B710,AG:AG,AH:AH)</f>
        <v>1002.1</v>
      </c>
      <c r="H710">
        <f>F710*_xlfn.XLOOKUP(B710,AG:AG,AI:AI)</f>
        <v>1162.4359999999999</v>
      </c>
      <c r="I710">
        <f t="shared" si="59"/>
        <v>0</v>
      </c>
      <c r="J710">
        <f>I710*_xlfn.XLOOKUP(B710,AG:AG,AI:AI)</f>
        <v>0</v>
      </c>
      <c r="K710" s="7">
        <f>_xlfn.XLOOKUP(A710,Z:Z,AD:AD)</f>
        <v>45899</v>
      </c>
      <c r="L710" s="7">
        <f t="shared" si="56"/>
        <v>45869</v>
      </c>
      <c r="M710">
        <f t="shared" si="57"/>
        <v>7</v>
      </c>
      <c r="N710">
        <f t="shared" si="58"/>
        <v>2025</v>
      </c>
      <c r="W710" s="9">
        <v>530</v>
      </c>
      <c r="X710" s="9" t="s">
        <v>29</v>
      </c>
      <c r="Z710">
        <v>754</v>
      </c>
      <c r="AA710">
        <v>74842.84</v>
      </c>
      <c r="AB710" t="s">
        <v>29</v>
      </c>
      <c r="AD710" s="20">
        <v>46005</v>
      </c>
    </row>
    <row r="711" spans="1:30">
      <c r="A711">
        <v>759</v>
      </c>
      <c r="B711" t="str">
        <f>_xlfn.XLOOKUP(A711,Z:Z,AB:AB,"not found")</f>
        <v>USD</v>
      </c>
      <c r="C711">
        <f>_xlfn.XLOOKUP(A711,Z:Z,AA:AA)-_xlfn.XLOOKUP(A711,Q:Q,R:R,"0")</f>
        <v>65499.65</v>
      </c>
      <c r="D711">
        <f>C711*_xlfn.XLOOKUP(B711,AG:AG,AH:AH)</f>
        <v>56329.699000000001</v>
      </c>
      <c r="E711">
        <f>C711*_xlfn.XLOOKUP(B711,AG:AG,AI:AI)</f>
        <v>65499.65</v>
      </c>
      <c r="F711">
        <v>65499.65</v>
      </c>
      <c r="G711">
        <f>F711*_xlfn.XLOOKUP(B711,AG:AG,AH:AH)</f>
        <v>56329.699000000001</v>
      </c>
      <c r="H711">
        <f>F711*_xlfn.XLOOKUP(B711,AG:AG,AI:AI)</f>
        <v>65499.65</v>
      </c>
      <c r="I711">
        <f t="shared" si="59"/>
        <v>0</v>
      </c>
      <c r="J711">
        <f>I711*_xlfn.XLOOKUP(B711,AG:AG,AI:AI)</f>
        <v>0</v>
      </c>
      <c r="K711" s="7">
        <f>_xlfn.XLOOKUP(A711,Z:Z,AD:AD)</f>
        <v>45894</v>
      </c>
      <c r="L711" s="7">
        <f t="shared" si="56"/>
        <v>45864</v>
      </c>
      <c r="M711">
        <f t="shared" si="57"/>
        <v>7</v>
      </c>
      <c r="N711">
        <f t="shared" si="58"/>
        <v>2025</v>
      </c>
      <c r="W711" s="9">
        <v>531</v>
      </c>
      <c r="X711" s="9" t="s">
        <v>29</v>
      </c>
      <c r="Z711">
        <v>755</v>
      </c>
      <c r="AA711">
        <v>26438.639999999999</v>
      </c>
      <c r="AB711" t="s">
        <v>29</v>
      </c>
      <c r="AD711" s="20">
        <v>45968</v>
      </c>
    </row>
    <row r="712" spans="1:30">
      <c r="A712">
        <v>760</v>
      </c>
      <c r="B712" t="str">
        <f>_xlfn.XLOOKUP(A712,Z:Z,AB:AB,"not found")</f>
        <v>USD</v>
      </c>
      <c r="C712">
        <f>_xlfn.XLOOKUP(A712,Z:Z,AA:AA)-_xlfn.XLOOKUP(A712,Q:Q,R:R,"0")</f>
        <v>30600</v>
      </c>
      <c r="D712">
        <f>C712*_xlfn.XLOOKUP(B712,AG:AG,AH:AH)</f>
        <v>26316</v>
      </c>
      <c r="E712">
        <f>C712*_xlfn.XLOOKUP(B712,AG:AG,AI:AI)</f>
        <v>30600</v>
      </c>
      <c r="F712">
        <v>30600</v>
      </c>
      <c r="G712">
        <f>F712*_xlfn.XLOOKUP(B712,AG:AG,AH:AH)</f>
        <v>26316</v>
      </c>
      <c r="H712">
        <f>F712*_xlfn.XLOOKUP(B712,AG:AG,AI:AI)</f>
        <v>30600</v>
      </c>
      <c r="I712">
        <f t="shared" si="59"/>
        <v>0</v>
      </c>
      <c r="J712">
        <f>I712*_xlfn.XLOOKUP(B712,AG:AG,AI:AI)</f>
        <v>0</v>
      </c>
      <c r="K712" s="7">
        <f>_xlfn.XLOOKUP(A712,Z:Z,AD:AD)</f>
        <v>45941</v>
      </c>
      <c r="L712" s="7">
        <f t="shared" si="56"/>
        <v>45911</v>
      </c>
      <c r="M712">
        <f t="shared" si="57"/>
        <v>9</v>
      </c>
      <c r="N712">
        <f t="shared" si="58"/>
        <v>2025</v>
      </c>
      <c r="W712" s="9">
        <v>531</v>
      </c>
      <c r="X712" s="9" t="s">
        <v>29</v>
      </c>
      <c r="Z712">
        <v>756</v>
      </c>
      <c r="AA712">
        <v>27416.48</v>
      </c>
      <c r="AB712" t="s">
        <v>29</v>
      </c>
      <c r="AD712" s="20">
        <v>45947</v>
      </c>
    </row>
    <row r="713" spans="1:30">
      <c r="A713">
        <v>761</v>
      </c>
      <c r="B713" t="str">
        <f>_xlfn.XLOOKUP(A713,Z:Z,AB:AB,"not found")</f>
        <v>USD</v>
      </c>
      <c r="C713">
        <f>_xlfn.XLOOKUP(A713,Z:Z,AA:AA)-_xlfn.XLOOKUP(A713,Q:Q,R:R,"0")</f>
        <v>140115.49</v>
      </c>
      <c r="D713">
        <f>C713*_xlfn.XLOOKUP(B713,AG:AG,AH:AH)</f>
        <v>120499.32139999999</v>
      </c>
      <c r="E713">
        <f>C713*_xlfn.XLOOKUP(B713,AG:AG,AI:AI)</f>
        <v>140115.49</v>
      </c>
      <c r="F713">
        <v>140115.49</v>
      </c>
      <c r="G713">
        <f>F713*_xlfn.XLOOKUP(B713,AG:AG,AH:AH)</f>
        <v>120499.32139999999</v>
      </c>
      <c r="H713">
        <f>F713*_xlfn.XLOOKUP(B713,AG:AG,AI:AI)</f>
        <v>140115.49</v>
      </c>
      <c r="I713">
        <f t="shared" si="59"/>
        <v>0</v>
      </c>
      <c r="J713">
        <f>I713*_xlfn.XLOOKUP(B713,AG:AG,AI:AI)</f>
        <v>0</v>
      </c>
      <c r="K713" s="7">
        <f>_xlfn.XLOOKUP(A713,Z:Z,AD:AD)</f>
        <v>45997</v>
      </c>
      <c r="L713" s="7">
        <f t="shared" si="56"/>
        <v>45967</v>
      </c>
      <c r="M713">
        <f t="shared" si="57"/>
        <v>11</v>
      </c>
      <c r="N713">
        <f t="shared" si="58"/>
        <v>2025</v>
      </c>
      <c r="W713" s="9">
        <v>531</v>
      </c>
      <c r="X713" s="9" t="s">
        <v>29</v>
      </c>
      <c r="Z713">
        <v>757</v>
      </c>
      <c r="AA713">
        <v>1067.6400000000001</v>
      </c>
      <c r="AB713" t="s">
        <v>29</v>
      </c>
      <c r="AD713" s="20">
        <v>45911</v>
      </c>
    </row>
    <row r="714" spans="1:30">
      <c r="A714">
        <v>762</v>
      </c>
      <c r="B714" t="str">
        <f>_xlfn.XLOOKUP(A714,Z:Z,AB:AB,"not found")</f>
        <v>USD</v>
      </c>
      <c r="C714">
        <f>_xlfn.XLOOKUP(A714,Z:Z,AA:AA)-_xlfn.XLOOKUP(A714,Q:Q,R:R,"0")</f>
        <v>72011.67</v>
      </c>
      <c r="D714">
        <f>C714*_xlfn.XLOOKUP(B714,AG:AG,AH:AH)</f>
        <v>61930.036199999995</v>
      </c>
      <c r="E714">
        <f>C714*_xlfn.XLOOKUP(B714,AG:AG,AI:AI)</f>
        <v>72011.67</v>
      </c>
      <c r="F714">
        <v>72011.67</v>
      </c>
      <c r="G714">
        <f>F714*_xlfn.XLOOKUP(B714,AG:AG,AH:AH)</f>
        <v>61930.036199999995</v>
      </c>
      <c r="H714">
        <f>F714*_xlfn.XLOOKUP(B714,AG:AG,AI:AI)</f>
        <v>72011.67</v>
      </c>
      <c r="I714">
        <f t="shared" si="59"/>
        <v>0</v>
      </c>
      <c r="J714">
        <f>I714*_xlfn.XLOOKUP(B714,AG:AG,AI:AI)</f>
        <v>0</v>
      </c>
      <c r="K714" s="7">
        <f>_xlfn.XLOOKUP(A714,Z:Z,AD:AD)</f>
        <v>45973</v>
      </c>
      <c r="L714" s="7">
        <f t="shared" si="56"/>
        <v>45943</v>
      </c>
      <c r="M714">
        <f t="shared" si="57"/>
        <v>10</v>
      </c>
      <c r="N714">
        <f t="shared" si="58"/>
        <v>2025</v>
      </c>
      <c r="W714" s="9">
        <v>531</v>
      </c>
      <c r="X714" s="9" t="s">
        <v>29</v>
      </c>
      <c r="Z714">
        <v>758</v>
      </c>
      <c r="AA714">
        <v>1002.1</v>
      </c>
      <c r="AB714" t="s">
        <v>27</v>
      </c>
      <c r="AD714" s="20">
        <v>45899</v>
      </c>
    </row>
    <row r="715" spans="1:30">
      <c r="A715">
        <v>763</v>
      </c>
      <c r="B715" t="str">
        <f>_xlfn.XLOOKUP(A715,Z:Z,AB:AB,"not found")</f>
        <v>EUR</v>
      </c>
      <c r="C715">
        <f>_xlfn.XLOOKUP(A715,Z:Z,AA:AA)-_xlfn.XLOOKUP(A715,Q:Q,R:R,"0")</f>
        <v>6014.95</v>
      </c>
      <c r="D715">
        <f>C715*_xlfn.XLOOKUP(B715,AG:AG,AH:AH)</f>
        <v>6014.95</v>
      </c>
      <c r="E715">
        <f>C715*_xlfn.XLOOKUP(B715,AG:AG,AI:AI)</f>
        <v>6977.3419999999996</v>
      </c>
      <c r="F715">
        <v>561</v>
      </c>
      <c r="G715">
        <f>F715*_xlfn.XLOOKUP(B715,AG:AG,AH:AH)</f>
        <v>561</v>
      </c>
      <c r="H715">
        <f>F715*_xlfn.XLOOKUP(B715,AG:AG,AI:AI)</f>
        <v>650.76</v>
      </c>
      <c r="I715">
        <f t="shared" si="59"/>
        <v>5453.95</v>
      </c>
      <c r="J715">
        <f>I715*_xlfn.XLOOKUP(B715,AG:AG,AI:AI)</f>
        <v>6326.5819999999994</v>
      </c>
      <c r="K715" s="7">
        <f>_xlfn.XLOOKUP(A715,Z:Z,AD:AD)</f>
        <v>45996</v>
      </c>
      <c r="L715" s="7">
        <f t="shared" si="56"/>
        <v>45966</v>
      </c>
      <c r="M715">
        <f t="shared" si="57"/>
        <v>11</v>
      </c>
      <c r="N715">
        <f t="shared" si="58"/>
        <v>2025</v>
      </c>
      <c r="W715" s="9">
        <v>533</v>
      </c>
      <c r="X715" s="9" t="s">
        <v>29</v>
      </c>
      <c r="Z715">
        <v>759</v>
      </c>
      <c r="AA715">
        <v>65499.65</v>
      </c>
      <c r="AB715" t="s">
        <v>29</v>
      </c>
      <c r="AD715" s="20">
        <v>45894</v>
      </c>
    </row>
    <row r="716" spans="1:30">
      <c r="A716">
        <v>764</v>
      </c>
      <c r="B716" t="str">
        <f>_xlfn.XLOOKUP(A716,Z:Z,AB:AB,"not found")</f>
        <v>USD</v>
      </c>
      <c r="C716">
        <f>_xlfn.XLOOKUP(A716,Z:Z,AA:AA)-_xlfn.XLOOKUP(A716,Q:Q,R:R,"0")</f>
        <v>12090.88</v>
      </c>
      <c r="D716">
        <f>C716*_xlfn.XLOOKUP(B716,AG:AG,AH:AH)</f>
        <v>10398.156799999999</v>
      </c>
      <c r="E716">
        <f>C716*_xlfn.XLOOKUP(B716,AG:AG,AI:AI)</f>
        <v>12090.88</v>
      </c>
      <c r="F716">
        <v>2074</v>
      </c>
      <c r="G716">
        <f>F716*_xlfn.XLOOKUP(B716,AG:AG,AH:AH)</f>
        <v>1783.6399999999999</v>
      </c>
      <c r="H716">
        <f>F716*_xlfn.XLOOKUP(B716,AG:AG,AI:AI)</f>
        <v>2074</v>
      </c>
      <c r="I716">
        <f t="shared" si="59"/>
        <v>10016.879999999999</v>
      </c>
      <c r="J716">
        <f>I716*_xlfn.XLOOKUP(B716,AG:AG,AI:AI)</f>
        <v>10016.879999999999</v>
      </c>
      <c r="K716" s="7">
        <f>_xlfn.XLOOKUP(A716,Z:Z,AD:AD)</f>
        <v>46137</v>
      </c>
      <c r="L716" s="7">
        <f t="shared" si="56"/>
        <v>46107</v>
      </c>
      <c r="M716">
        <f t="shared" si="57"/>
        <v>3</v>
      </c>
      <c r="N716">
        <f t="shared" si="58"/>
        <v>2026</v>
      </c>
      <c r="W716" s="9">
        <v>533</v>
      </c>
      <c r="X716" s="9" t="s">
        <v>29</v>
      </c>
      <c r="Z716">
        <v>760</v>
      </c>
      <c r="AA716">
        <v>30600</v>
      </c>
      <c r="AB716" t="s">
        <v>29</v>
      </c>
      <c r="AD716" s="20">
        <v>45941</v>
      </c>
    </row>
    <row r="717" spans="1:30">
      <c r="A717">
        <v>765</v>
      </c>
      <c r="B717" t="str">
        <f>_xlfn.XLOOKUP(A717,Z:Z,AB:AB,"not found")</f>
        <v>USD</v>
      </c>
      <c r="C717">
        <f>_xlfn.XLOOKUP(A717,Z:Z,AA:AA)-_xlfn.XLOOKUP(A717,Q:Q,R:R,"0")</f>
        <v>0</v>
      </c>
      <c r="D717">
        <f>C717*_xlfn.XLOOKUP(B717,AG:AG,AH:AH)</f>
        <v>0</v>
      </c>
      <c r="E717">
        <f>C717*_xlfn.XLOOKUP(B717,AG:AG,AI:AI)</f>
        <v>0</v>
      </c>
      <c r="F717">
        <v>418305.1</v>
      </c>
      <c r="G717">
        <f>F717*_xlfn.XLOOKUP(B717,AG:AG,AH:AH)</f>
        <v>359742.386</v>
      </c>
      <c r="H717">
        <f>F717*_xlfn.XLOOKUP(B717,AG:AG,AI:AI)</f>
        <v>418305.1</v>
      </c>
      <c r="I717">
        <f t="shared" si="59"/>
        <v>0</v>
      </c>
      <c r="J717">
        <f>I717*_xlfn.XLOOKUP(B717,AG:AG,AI:AI)</f>
        <v>0</v>
      </c>
      <c r="K717" s="7">
        <f>_xlfn.XLOOKUP(A717,Z:Z,AD:AD)</f>
        <v>45999</v>
      </c>
      <c r="L717" s="7">
        <f t="shared" si="56"/>
        <v>45969</v>
      </c>
      <c r="M717">
        <f t="shared" si="57"/>
        <v>11</v>
      </c>
      <c r="N717">
        <f t="shared" si="58"/>
        <v>2025</v>
      </c>
      <c r="W717" s="9">
        <v>535</v>
      </c>
      <c r="X717" s="9" t="s">
        <v>29</v>
      </c>
      <c r="Z717">
        <v>761</v>
      </c>
      <c r="AA717">
        <v>140115.49</v>
      </c>
      <c r="AB717" t="s">
        <v>29</v>
      </c>
      <c r="AD717" s="20">
        <v>45997</v>
      </c>
    </row>
    <row r="718" spans="1:30">
      <c r="A718">
        <v>766</v>
      </c>
      <c r="B718" t="str">
        <f>_xlfn.XLOOKUP(A718,Z:Z,AB:AB,"not found")</f>
        <v>USD</v>
      </c>
      <c r="C718">
        <f>_xlfn.XLOOKUP(A718,Z:Z,AA:AA)-_xlfn.XLOOKUP(A718,Q:Q,R:R,"0")</f>
        <v>0</v>
      </c>
      <c r="D718">
        <f>C718*_xlfn.XLOOKUP(B718,AG:AG,AH:AH)</f>
        <v>0</v>
      </c>
      <c r="E718">
        <f>C718*_xlfn.XLOOKUP(B718,AG:AG,AI:AI)</f>
        <v>0</v>
      </c>
      <c r="F718">
        <v>17247.439999999999</v>
      </c>
      <c r="G718">
        <f>F718*_xlfn.XLOOKUP(B718,AG:AG,AH:AH)</f>
        <v>14832.798399999998</v>
      </c>
      <c r="H718">
        <f>F718*_xlfn.XLOOKUP(B718,AG:AG,AI:AI)</f>
        <v>17247.439999999999</v>
      </c>
      <c r="I718">
        <f t="shared" si="59"/>
        <v>0</v>
      </c>
      <c r="J718">
        <f>I718*_xlfn.XLOOKUP(B718,AG:AG,AI:AI)</f>
        <v>0</v>
      </c>
      <c r="K718" s="7">
        <f>_xlfn.XLOOKUP(A718,Z:Z,AD:AD)</f>
        <v>45944</v>
      </c>
      <c r="L718" s="7">
        <f t="shared" si="56"/>
        <v>45914</v>
      </c>
      <c r="M718">
        <f t="shared" si="57"/>
        <v>9</v>
      </c>
      <c r="N718">
        <f t="shared" si="58"/>
        <v>2025</v>
      </c>
      <c r="W718" s="9">
        <v>536</v>
      </c>
      <c r="X718" s="9" t="s">
        <v>29</v>
      </c>
      <c r="Z718">
        <v>762</v>
      </c>
      <c r="AA718">
        <v>72011.67</v>
      </c>
      <c r="AB718" t="s">
        <v>29</v>
      </c>
      <c r="AD718" s="20">
        <v>45973</v>
      </c>
    </row>
    <row r="719" spans="1:30">
      <c r="A719">
        <v>767</v>
      </c>
      <c r="B719" t="str">
        <f>_xlfn.XLOOKUP(A719,Z:Z,AB:AB,"not found")</f>
        <v>USD</v>
      </c>
      <c r="C719">
        <f>_xlfn.XLOOKUP(A719,Z:Z,AA:AA)-_xlfn.XLOOKUP(A719,Q:Q,R:R,"0")</f>
        <v>0</v>
      </c>
      <c r="D719">
        <f>C719*_xlfn.XLOOKUP(B719,AG:AG,AH:AH)</f>
        <v>0</v>
      </c>
      <c r="E719">
        <f>C719*_xlfn.XLOOKUP(B719,AG:AG,AI:AI)</f>
        <v>0</v>
      </c>
      <c r="F719">
        <v>65660.42</v>
      </c>
      <c r="G719">
        <f>F719*_xlfn.XLOOKUP(B719,AG:AG,AH:AH)</f>
        <v>56467.961199999998</v>
      </c>
      <c r="H719">
        <f>F719*_xlfn.XLOOKUP(B719,AG:AG,AI:AI)</f>
        <v>65660.42</v>
      </c>
      <c r="I719">
        <f t="shared" si="59"/>
        <v>0</v>
      </c>
      <c r="J719">
        <f>I719*_xlfn.XLOOKUP(B719,AG:AG,AI:AI)</f>
        <v>0</v>
      </c>
      <c r="K719" s="7">
        <f>_xlfn.XLOOKUP(A719,Z:Z,AD:AD)</f>
        <v>45953</v>
      </c>
      <c r="L719" s="7">
        <f t="shared" si="56"/>
        <v>45923</v>
      </c>
      <c r="M719">
        <f t="shared" si="57"/>
        <v>9</v>
      </c>
      <c r="N719">
        <f t="shared" si="58"/>
        <v>2025</v>
      </c>
      <c r="W719" s="9">
        <v>536</v>
      </c>
      <c r="X719" s="9" t="s">
        <v>29</v>
      </c>
      <c r="Z719">
        <v>763</v>
      </c>
      <c r="AA719">
        <v>6014.95</v>
      </c>
      <c r="AB719" t="s">
        <v>27</v>
      </c>
      <c r="AD719" s="20">
        <v>45996</v>
      </c>
    </row>
    <row r="720" spans="1:30">
      <c r="A720">
        <v>769</v>
      </c>
      <c r="B720" t="str">
        <f>_xlfn.XLOOKUP(A720,Z:Z,AB:AB,"not found")</f>
        <v>EUR</v>
      </c>
      <c r="C720">
        <f>_xlfn.XLOOKUP(A720,Z:Z,AA:AA)-_xlfn.XLOOKUP(A720,Q:Q,R:R,"0")</f>
        <v>0</v>
      </c>
      <c r="D720">
        <f>C720*_xlfn.XLOOKUP(B720,AG:AG,AH:AH)</f>
        <v>0</v>
      </c>
      <c r="E720">
        <f>C720*_xlfn.XLOOKUP(B720,AG:AG,AI:AI)</f>
        <v>0</v>
      </c>
      <c r="F720">
        <v>1823</v>
      </c>
      <c r="G720">
        <f>F720*_xlfn.XLOOKUP(B720,AG:AG,AH:AH)</f>
        <v>1823</v>
      </c>
      <c r="H720">
        <f>F720*_xlfn.XLOOKUP(B720,AG:AG,AI:AI)</f>
        <v>2114.6799999999998</v>
      </c>
      <c r="I720">
        <f t="shared" si="59"/>
        <v>0</v>
      </c>
      <c r="J720">
        <f>I720*_xlfn.XLOOKUP(B720,AG:AG,AI:AI)</f>
        <v>0</v>
      </c>
      <c r="K720" s="7">
        <f>_xlfn.XLOOKUP(A720,Z:Z,AD:AD)</f>
        <v>45941</v>
      </c>
      <c r="L720" s="7">
        <f t="shared" si="56"/>
        <v>45911</v>
      </c>
      <c r="M720">
        <f t="shared" si="57"/>
        <v>9</v>
      </c>
      <c r="N720">
        <f t="shared" si="58"/>
        <v>2025</v>
      </c>
      <c r="W720" s="9">
        <v>536</v>
      </c>
      <c r="X720" s="9" t="s">
        <v>29</v>
      </c>
      <c r="Z720">
        <v>764</v>
      </c>
      <c r="AA720">
        <v>12090.88</v>
      </c>
      <c r="AB720" t="s">
        <v>29</v>
      </c>
      <c r="AD720" s="20">
        <v>46137</v>
      </c>
    </row>
    <row r="721" spans="1:30">
      <c r="A721">
        <v>770</v>
      </c>
      <c r="B721" t="str">
        <f>_xlfn.XLOOKUP(A721,Z:Z,AB:AB,"not found")</f>
        <v>EUR</v>
      </c>
      <c r="C721">
        <f>_xlfn.XLOOKUP(A721,Z:Z,AA:AA)-_xlfn.XLOOKUP(A721,Q:Q,R:R,"0")</f>
        <v>0</v>
      </c>
      <c r="D721">
        <f>C721*_xlfn.XLOOKUP(B721,AG:AG,AH:AH)</f>
        <v>0</v>
      </c>
      <c r="E721">
        <f>C721*_xlfn.XLOOKUP(B721,AG:AG,AI:AI)</f>
        <v>0</v>
      </c>
      <c r="F721">
        <v>5943.6</v>
      </c>
      <c r="G721">
        <f>F721*_xlfn.XLOOKUP(B721,AG:AG,AH:AH)</f>
        <v>5943.6</v>
      </c>
      <c r="H721">
        <f>F721*_xlfn.XLOOKUP(B721,AG:AG,AI:AI)</f>
        <v>6894.576</v>
      </c>
      <c r="I721">
        <f t="shared" si="59"/>
        <v>0</v>
      </c>
      <c r="J721">
        <f>I721*_xlfn.XLOOKUP(B721,AG:AG,AI:AI)</f>
        <v>0</v>
      </c>
      <c r="K721" s="7">
        <f>_xlfn.XLOOKUP(A721,Z:Z,AD:AD)</f>
        <v>45983</v>
      </c>
      <c r="L721" s="7">
        <f t="shared" si="56"/>
        <v>45953</v>
      </c>
      <c r="M721">
        <f t="shared" si="57"/>
        <v>10</v>
      </c>
      <c r="N721">
        <f t="shared" si="58"/>
        <v>2025</v>
      </c>
      <c r="W721" s="9">
        <v>536</v>
      </c>
      <c r="X721" s="9" t="s">
        <v>29</v>
      </c>
      <c r="Z721">
        <v>765</v>
      </c>
      <c r="AA721">
        <v>418305.1</v>
      </c>
      <c r="AB721" t="s">
        <v>29</v>
      </c>
      <c r="AD721" s="20">
        <v>45999</v>
      </c>
    </row>
    <row r="722" spans="1:30">
      <c r="A722">
        <v>772</v>
      </c>
      <c r="B722" t="str">
        <f>_xlfn.XLOOKUP(A722,Z:Z,AB:AB,"not found")</f>
        <v>USD</v>
      </c>
      <c r="C722">
        <f>_xlfn.XLOOKUP(A722,Z:Z,AA:AA)-_xlfn.XLOOKUP(A722,Q:Q,R:R,"0")</f>
        <v>10676.8</v>
      </c>
      <c r="D722">
        <f>C722*_xlfn.XLOOKUP(B722,AG:AG,AH:AH)</f>
        <v>9182.0479999999989</v>
      </c>
      <c r="E722">
        <f>C722*_xlfn.XLOOKUP(B722,AG:AG,AI:AI)</f>
        <v>10676.8</v>
      </c>
      <c r="F722">
        <v>10676.8</v>
      </c>
      <c r="G722">
        <f>F722*_xlfn.XLOOKUP(B722,AG:AG,AH:AH)</f>
        <v>9182.0479999999989</v>
      </c>
      <c r="H722">
        <f>F722*_xlfn.XLOOKUP(B722,AG:AG,AI:AI)</f>
        <v>10676.8</v>
      </c>
      <c r="I722">
        <f t="shared" si="59"/>
        <v>0</v>
      </c>
      <c r="J722">
        <f>I722*_xlfn.XLOOKUP(B722,AG:AG,AI:AI)</f>
        <v>0</v>
      </c>
      <c r="K722" s="7">
        <f>_xlfn.XLOOKUP(A722,Z:Z,AD:AD)</f>
        <v>46017</v>
      </c>
      <c r="L722" s="7">
        <f t="shared" si="56"/>
        <v>45987</v>
      </c>
      <c r="M722">
        <f t="shared" si="57"/>
        <v>11</v>
      </c>
      <c r="N722">
        <f t="shared" si="58"/>
        <v>2025</v>
      </c>
      <c r="W722" s="9">
        <v>536</v>
      </c>
      <c r="X722" s="9" t="s">
        <v>29</v>
      </c>
      <c r="Z722">
        <v>766</v>
      </c>
      <c r="AA722">
        <v>17247.439999999999</v>
      </c>
      <c r="AB722" t="s">
        <v>29</v>
      </c>
      <c r="AD722" s="20">
        <v>45944</v>
      </c>
    </row>
    <row r="723" spans="1:30">
      <c r="A723">
        <v>774</v>
      </c>
      <c r="B723" t="str">
        <f>_xlfn.XLOOKUP(A723,Z:Z,AB:AB,"not found")</f>
        <v>JPY</v>
      </c>
      <c r="C723">
        <f>_xlfn.XLOOKUP(A723,Z:Z,AA:AA)-_xlfn.XLOOKUP(A723,Q:Q,R:R,"0")</f>
        <v>0</v>
      </c>
      <c r="D723">
        <f>C723*_xlfn.XLOOKUP(B723,AG:AG,AH:AH)</f>
        <v>0</v>
      </c>
      <c r="E723">
        <f>C723*_xlfn.XLOOKUP(B723,AG:AG,AI:AI)</f>
        <v>0</v>
      </c>
      <c r="F723">
        <v>959220</v>
      </c>
      <c r="G723">
        <f>F723*_xlfn.XLOOKUP(B723,AG:AG,AH:AH)</f>
        <v>5275.71</v>
      </c>
      <c r="H723">
        <f>F723*_xlfn.XLOOKUP(B723,AG:AG,AI:AI)</f>
        <v>6139.0080000000007</v>
      </c>
      <c r="I723">
        <f t="shared" si="59"/>
        <v>0</v>
      </c>
      <c r="J723">
        <f>I723*_xlfn.XLOOKUP(B723,AG:AG,AI:AI)</f>
        <v>0</v>
      </c>
      <c r="K723" s="7">
        <f>_xlfn.XLOOKUP(A723,Z:Z,AD:AD)</f>
        <v>46014</v>
      </c>
      <c r="L723" s="7">
        <f t="shared" si="56"/>
        <v>45984</v>
      </c>
      <c r="M723">
        <f t="shared" si="57"/>
        <v>11</v>
      </c>
      <c r="N723">
        <f t="shared" si="58"/>
        <v>2025</v>
      </c>
      <c r="W723" s="9">
        <v>536</v>
      </c>
      <c r="X723" s="9" t="s">
        <v>29</v>
      </c>
      <c r="Z723">
        <v>767</v>
      </c>
      <c r="AA723">
        <v>65660.42</v>
      </c>
      <c r="AB723" t="s">
        <v>29</v>
      </c>
      <c r="AD723" s="20">
        <v>45953</v>
      </c>
    </row>
    <row r="724" spans="1:30">
      <c r="A724">
        <v>775</v>
      </c>
      <c r="B724" t="str">
        <f>_xlfn.XLOOKUP(A724,Z:Z,AB:AB,"not found")</f>
        <v>JPY</v>
      </c>
      <c r="C724">
        <f>_xlfn.XLOOKUP(A724,Z:Z,AA:AA)-_xlfn.XLOOKUP(A724,Q:Q,R:R,"0")</f>
        <v>0</v>
      </c>
      <c r="D724">
        <f>C724*_xlfn.XLOOKUP(B724,AG:AG,AH:AH)</f>
        <v>0</v>
      </c>
      <c r="E724">
        <f>C724*_xlfn.XLOOKUP(B724,AG:AG,AI:AI)</f>
        <v>0</v>
      </c>
      <c r="F724">
        <v>3689941</v>
      </c>
      <c r="G724">
        <f>F724*_xlfn.XLOOKUP(B724,AG:AG,AH:AH)</f>
        <v>20294.675499999998</v>
      </c>
      <c r="H724">
        <f>F724*_xlfn.XLOOKUP(B724,AG:AG,AI:AI)</f>
        <v>23615.6224</v>
      </c>
      <c r="I724">
        <f t="shared" si="59"/>
        <v>0</v>
      </c>
      <c r="J724">
        <f>I724*_xlfn.XLOOKUP(B724,AG:AG,AI:AI)</f>
        <v>0</v>
      </c>
      <c r="K724" s="7">
        <f>_xlfn.XLOOKUP(A724,Z:Z,AD:AD)</f>
        <v>46015</v>
      </c>
      <c r="L724" s="7">
        <f t="shared" si="56"/>
        <v>45985</v>
      </c>
      <c r="M724">
        <f t="shared" si="57"/>
        <v>11</v>
      </c>
      <c r="N724">
        <f t="shared" si="58"/>
        <v>2025</v>
      </c>
      <c r="W724" s="9">
        <v>536</v>
      </c>
      <c r="X724" s="9" t="s">
        <v>29</v>
      </c>
      <c r="Z724">
        <v>769</v>
      </c>
      <c r="AA724">
        <v>1823</v>
      </c>
      <c r="AB724" t="s">
        <v>27</v>
      </c>
      <c r="AD724" s="20">
        <v>45941</v>
      </c>
    </row>
    <row r="725" spans="1:30">
      <c r="A725">
        <v>776</v>
      </c>
      <c r="B725" t="str">
        <f>_xlfn.XLOOKUP(A725,Z:Z,AB:AB,"not found")</f>
        <v>JPY</v>
      </c>
      <c r="C725">
        <f>_xlfn.XLOOKUP(A725,Z:Z,AA:AA)-_xlfn.XLOOKUP(A725,Q:Q,R:R,"0")</f>
        <v>877203.89999999851</v>
      </c>
      <c r="D725">
        <f>C725*_xlfn.XLOOKUP(B725,AG:AG,AH:AH)</f>
        <v>4824.6214499999915</v>
      </c>
      <c r="E725">
        <f>C725*_xlfn.XLOOKUP(B725,AG:AG,AI:AI)</f>
        <v>5614.1049599999906</v>
      </c>
      <c r="F725">
        <v>24337648.5</v>
      </c>
      <c r="G725">
        <f>F725*_xlfn.XLOOKUP(B725,AG:AG,AH:AH)</f>
        <v>133857.06675</v>
      </c>
      <c r="H725">
        <f>F725*_xlfn.XLOOKUP(B725,AG:AG,AI:AI)</f>
        <v>155760.9504</v>
      </c>
      <c r="I725">
        <f t="shared" si="59"/>
        <v>24150</v>
      </c>
      <c r="J725">
        <f>I725*_xlfn.XLOOKUP(B725,AG:AG,AI:AI)</f>
        <v>154.56</v>
      </c>
      <c r="K725" s="7">
        <f>_xlfn.XLOOKUP(A725,Z:Z,AD:AD)</f>
        <v>46015</v>
      </c>
      <c r="L725" s="7">
        <f t="shared" si="56"/>
        <v>45985</v>
      </c>
      <c r="M725">
        <f t="shared" si="57"/>
        <v>11</v>
      </c>
      <c r="N725">
        <f t="shared" si="58"/>
        <v>2025</v>
      </c>
      <c r="W725" s="9">
        <v>536</v>
      </c>
      <c r="X725" s="9" t="s">
        <v>29</v>
      </c>
      <c r="Z725">
        <v>770</v>
      </c>
      <c r="AA725">
        <v>5943.6</v>
      </c>
      <c r="AB725" t="s">
        <v>27</v>
      </c>
      <c r="AD725" s="20">
        <v>45983</v>
      </c>
    </row>
    <row r="726" spans="1:30">
      <c r="A726">
        <v>777</v>
      </c>
      <c r="B726" t="str">
        <f>_xlfn.XLOOKUP(A726,Z:Z,AB:AB,"not found")</f>
        <v>EUR</v>
      </c>
      <c r="C726">
        <f>_xlfn.XLOOKUP(A726,Z:Z,AA:AA)-_xlfn.XLOOKUP(A726,Q:Q,R:R,"0")</f>
        <v>177346.04</v>
      </c>
      <c r="D726">
        <f>C726*_xlfn.XLOOKUP(B726,AG:AG,AH:AH)</f>
        <v>177346.04</v>
      </c>
      <c r="E726">
        <f>C726*_xlfn.XLOOKUP(B726,AG:AG,AI:AI)</f>
        <v>205721.40640000001</v>
      </c>
      <c r="F726">
        <v>177346.04</v>
      </c>
      <c r="G726">
        <f>F726*_xlfn.XLOOKUP(B726,AG:AG,AH:AH)</f>
        <v>177346.04</v>
      </c>
      <c r="H726">
        <f>F726*_xlfn.XLOOKUP(B726,AG:AG,AI:AI)</f>
        <v>205721.40640000001</v>
      </c>
      <c r="I726">
        <f t="shared" si="59"/>
        <v>0</v>
      </c>
      <c r="J726">
        <f>I726*_xlfn.XLOOKUP(B726,AG:AG,AI:AI)</f>
        <v>0</v>
      </c>
      <c r="K726" s="7">
        <f>_xlfn.XLOOKUP(A726,Z:Z,AD:AD)</f>
        <v>45966</v>
      </c>
      <c r="L726" s="7">
        <f t="shared" si="56"/>
        <v>45936</v>
      </c>
      <c r="M726">
        <f t="shared" si="57"/>
        <v>10</v>
      </c>
      <c r="N726">
        <f t="shared" si="58"/>
        <v>2025</v>
      </c>
      <c r="W726" s="9">
        <v>537</v>
      </c>
      <c r="X726" s="9" t="s">
        <v>27</v>
      </c>
      <c r="Z726">
        <v>772</v>
      </c>
      <c r="AA726">
        <v>10676.8</v>
      </c>
      <c r="AB726" t="s">
        <v>29</v>
      </c>
      <c r="AD726" s="20">
        <v>46017</v>
      </c>
    </row>
    <row r="727" spans="1:30">
      <c r="A727">
        <v>778</v>
      </c>
      <c r="B727" t="str">
        <f>_xlfn.XLOOKUP(A727,Z:Z,AB:AB,"not found")</f>
        <v>USD</v>
      </c>
      <c r="C727">
        <f>_xlfn.XLOOKUP(A727,Z:Z,AA:AA)-_xlfn.XLOOKUP(A727,Q:Q,R:R,"0")</f>
        <v>5160.68</v>
      </c>
      <c r="D727">
        <f>C727*_xlfn.XLOOKUP(B727,AG:AG,AH:AH)</f>
        <v>4438.1848</v>
      </c>
      <c r="E727">
        <f>C727*_xlfn.XLOOKUP(B727,AG:AG,AI:AI)</f>
        <v>5160.68</v>
      </c>
      <c r="F727">
        <v>5160.68</v>
      </c>
      <c r="G727">
        <f>F727*_xlfn.XLOOKUP(B727,AG:AG,AH:AH)</f>
        <v>4438.1848</v>
      </c>
      <c r="H727">
        <f>F727*_xlfn.XLOOKUP(B727,AG:AG,AI:AI)</f>
        <v>5160.68</v>
      </c>
      <c r="I727">
        <f t="shared" si="59"/>
        <v>0</v>
      </c>
      <c r="J727">
        <f>I727*_xlfn.XLOOKUP(B727,AG:AG,AI:AI)</f>
        <v>0</v>
      </c>
      <c r="K727" s="7">
        <f>_xlfn.XLOOKUP(A727,Z:Z,AD:AD)</f>
        <v>46006</v>
      </c>
      <c r="L727" s="7">
        <f t="shared" si="56"/>
        <v>45976</v>
      </c>
      <c r="M727">
        <f t="shared" si="57"/>
        <v>11</v>
      </c>
      <c r="N727">
        <f t="shared" si="58"/>
        <v>2025</v>
      </c>
      <c r="W727" s="9">
        <v>537</v>
      </c>
      <c r="X727" s="9" t="s">
        <v>27</v>
      </c>
      <c r="Z727">
        <v>773</v>
      </c>
      <c r="AA727">
        <v>14646</v>
      </c>
      <c r="AB727" t="s">
        <v>27</v>
      </c>
      <c r="AD727" s="20">
        <v>45931</v>
      </c>
    </row>
    <row r="728" spans="1:30">
      <c r="A728">
        <v>779</v>
      </c>
      <c r="B728" t="str">
        <f>_xlfn.XLOOKUP(A728,Z:Z,AB:AB,"not found")</f>
        <v>USD</v>
      </c>
      <c r="C728">
        <f>_xlfn.XLOOKUP(A728,Z:Z,AA:AA)-_xlfn.XLOOKUP(A728,Q:Q,R:R,"0")</f>
        <v>81930.78</v>
      </c>
      <c r="D728">
        <f>C728*_xlfn.XLOOKUP(B728,AG:AG,AH:AH)</f>
        <v>70460.470799999996</v>
      </c>
      <c r="E728">
        <f>C728*_xlfn.XLOOKUP(B728,AG:AG,AI:AI)</f>
        <v>81930.78</v>
      </c>
      <c r="F728">
        <v>81930.78</v>
      </c>
      <c r="G728">
        <f>F728*_xlfn.XLOOKUP(B728,AG:AG,AH:AH)</f>
        <v>70460.470799999996</v>
      </c>
      <c r="H728">
        <f>F728*_xlfn.XLOOKUP(B728,AG:AG,AI:AI)</f>
        <v>81930.78</v>
      </c>
      <c r="I728">
        <f t="shared" si="59"/>
        <v>0</v>
      </c>
      <c r="J728">
        <f>I728*_xlfn.XLOOKUP(B728,AG:AG,AI:AI)</f>
        <v>0</v>
      </c>
      <c r="K728" s="7">
        <f>_xlfn.XLOOKUP(A728,Z:Z,AD:AD)</f>
        <v>46108</v>
      </c>
      <c r="L728" s="7">
        <f t="shared" si="56"/>
        <v>46078</v>
      </c>
      <c r="M728">
        <f t="shared" si="57"/>
        <v>2</v>
      </c>
      <c r="N728">
        <f t="shared" si="58"/>
        <v>2026</v>
      </c>
      <c r="W728" s="9">
        <v>537</v>
      </c>
      <c r="X728" s="9" t="s">
        <v>27</v>
      </c>
      <c r="Z728">
        <v>774</v>
      </c>
      <c r="AA728">
        <v>959220</v>
      </c>
      <c r="AB728" t="s">
        <v>33</v>
      </c>
      <c r="AD728" s="20">
        <v>46014</v>
      </c>
    </row>
    <row r="729" spans="1:30">
      <c r="A729">
        <v>780</v>
      </c>
      <c r="B729" t="str">
        <f>_xlfn.XLOOKUP(A729,Z:Z,AB:AB,"not found")</f>
        <v>USD</v>
      </c>
      <c r="C729">
        <f>_xlfn.XLOOKUP(A729,Z:Z,AA:AA)-_xlfn.XLOOKUP(A729,Q:Q,R:R,"0")</f>
        <v>2697.83</v>
      </c>
      <c r="D729">
        <f>C729*_xlfn.XLOOKUP(B729,AG:AG,AH:AH)</f>
        <v>2320.1338000000001</v>
      </c>
      <c r="E729">
        <f>C729*_xlfn.XLOOKUP(B729,AG:AG,AI:AI)</f>
        <v>2697.83</v>
      </c>
      <c r="F729">
        <v>7785.9</v>
      </c>
      <c r="G729">
        <f>F729*_xlfn.XLOOKUP(B729,AG:AG,AH:AH)</f>
        <v>6695.8739999999998</v>
      </c>
      <c r="H729">
        <f>F729*_xlfn.XLOOKUP(B729,AG:AG,AI:AI)</f>
        <v>7785.9</v>
      </c>
      <c r="I729">
        <f t="shared" si="59"/>
        <v>0</v>
      </c>
      <c r="J729">
        <f>I729*_xlfn.XLOOKUP(B729,AG:AG,AI:AI)</f>
        <v>0</v>
      </c>
      <c r="K729" s="7">
        <f>_xlfn.XLOOKUP(A729,Z:Z,AD:AD)</f>
        <v>45973</v>
      </c>
      <c r="L729" s="7">
        <f t="shared" si="56"/>
        <v>45943</v>
      </c>
      <c r="M729">
        <f t="shared" si="57"/>
        <v>10</v>
      </c>
      <c r="N729">
        <f t="shared" si="58"/>
        <v>2025</v>
      </c>
      <c r="W729" s="9">
        <v>537</v>
      </c>
      <c r="X729" s="9" t="s">
        <v>27</v>
      </c>
      <c r="Z729">
        <v>775</v>
      </c>
      <c r="AA729">
        <v>3689941</v>
      </c>
      <c r="AB729" t="s">
        <v>33</v>
      </c>
      <c r="AD729" s="20">
        <v>46015</v>
      </c>
    </row>
    <row r="730" spans="1:30">
      <c r="A730">
        <v>781</v>
      </c>
      <c r="B730" t="str">
        <f>_xlfn.XLOOKUP(A730,Z:Z,AB:AB,"not found")</f>
        <v>USD</v>
      </c>
      <c r="C730">
        <f>_xlfn.XLOOKUP(A730,Z:Z,AA:AA)-_xlfn.XLOOKUP(A730,Q:Q,R:R,"0")</f>
        <v>0</v>
      </c>
      <c r="D730">
        <f>C730*_xlfn.XLOOKUP(B730,AG:AG,AH:AH)</f>
        <v>0</v>
      </c>
      <c r="E730">
        <f>C730*_xlfn.XLOOKUP(B730,AG:AG,AI:AI)</f>
        <v>0</v>
      </c>
      <c r="F730">
        <v>8424</v>
      </c>
      <c r="G730">
        <f>F730*_xlfn.XLOOKUP(B730,AG:AG,AH:AH)</f>
        <v>7244.64</v>
      </c>
      <c r="H730">
        <f>F730*_xlfn.XLOOKUP(B730,AG:AG,AI:AI)</f>
        <v>8424</v>
      </c>
      <c r="I730">
        <f t="shared" si="59"/>
        <v>0</v>
      </c>
      <c r="J730">
        <f>I730*_xlfn.XLOOKUP(B730,AG:AG,AI:AI)</f>
        <v>0</v>
      </c>
      <c r="K730" s="7">
        <f>_xlfn.XLOOKUP(A730,Z:Z,AD:AD)</f>
        <v>45925</v>
      </c>
      <c r="L730" s="7">
        <f t="shared" si="56"/>
        <v>45895</v>
      </c>
      <c r="M730">
        <f t="shared" si="57"/>
        <v>8</v>
      </c>
      <c r="N730">
        <f t="shared" si="58"/>
        <v>2025</v>
      </c>
      <c r="W730" s="9">
        <v>537</v>
      </c>
      <c r="X730" s="9" t="s">
        <v>27</v>
      </c>
      <c r="Z730">
        <v>776</v>
      </c>
      <c r="AA730">
        <v>24361798.5</v>
      </c>
      <c r="AB730" t="s">
        <v>33</v>
      </c>
      <c r="AD730" s="20">
        <v>46015</v>
      </c>
    </row>
    <row r="731" spans="1:30">
      <c r="A731">
        <v>782</v>
      </c>
      <c r="B731" t="str">
        <f>_xlfn.XLOOKUP(A731,Z:Z,AB:AB,"not found")</f>
        <v>USD</v>
      </c>
      <c r="C731">
        <f>_xlfn.XLOOKUP(A731,Z:Z,AA:AA)-_xlfn.XLOOKUP(A731,Q:Q,R:R,"0")</f>
        <v>4507.1999999999971</v>
      </c>
      <c r="D731">
        <f>C731*_xlfn.XLOOKUP(B731,AG:AG,AH:AH)</f>
        <v>3876.1919999999973</v>
      </c>
      <c r="E731">
        <f>C731*_xlfn.XLOOKUP(B731,AG:AG,AI:AI)</f>
        <v>4507.1999999999971</v>
      </c>
      <c r="F731">
        <v>36083.24</v>
      </c>
      <c r="G731">
        <f>F731*_xlfn.XLOOKUP(B731,AG:AG,AH:AH)</f>
        <v>31031.586399999997</v>
      </c>
      <c r="H731">
        <f>F731*_xlfn.XLOOKUP(B731,AG:AG,AI:AI)</f>
        <v>36083.24</v>
      </c>
      <c r="I731">
        <f t="shared" si="59"/>
        <v>0</v>
      </c>
      <c r="J731">
        <f>I731*_xlfn.XLOOKUP(B731,AG:AG,AI:AI)</f>
        <v>0</v>
      </c>
      <c r="K731" s="7">
        <f>_xlfn.XLOOKUP(A731,Z:Z,AD:AD)</f>
        <v>46015</v>
      </c>
      <c r="L731" s="7">
        <f t="shared" si="56"/>
        <v>45985</v>
      </c>
      <c r="M731">
        <f t="shared" si="57"/>
        <v>11</v>
      </c>
      <c r="N731">
        <f t="shared" si="58"/>
        <v>2025</v>
      </c>
      <c r="W731" s="9">
        <v>537</v>
      </c>
      <c r="X731" s="9" t="s">
        <v>27</v>
      </c>
      <c r="Z731">
        <v>777</v>
      </c>
      <c r="AA731">
        <v>177346.04</v>
      </c>
      <c r="AB731" t="s">
        <v>27</v>
      </c>
      <c r="AD731" s="20">
        <v>45966</v>
      </c>
    </row>
    <row r="732" spans="1:30">
      <c r="A732">
        <v>783</v>
      </c>
      <c r="B732" t="str">
        <f>_xlfn.XLOOKUP(A732,Z:Z,AB:AB,"not found")</f>
        <v>GBP</v>
      </c>
      <c r="C732">
        <f>_xlfn.XLOOKUP(A732,Z:Z,AA:AA)-_xlfn.XLOOKUP(A732,Q:Q,R:R,"0")</f>
        <v>0</v>
      </c>
      <c r="D732">
        <f>C732*_xlfn.XLOOKUP(B732,AG:AG,AH:AH)</f>
        <v>0</v>
      </c>
      <c r="E732">
        <f>C732*_xlfn.XLOOKUP(B732,AG:AG,AI:AI)</f>
        <v>0</v>
      </c>
      <c r="F732">
        <v>3925</v>
      </c>
      <c r="G732">
        <f>F732*_xlfn.XLOOKUP(B732,AG:AG,AH:AH)</f>
        <v>4513.75</v>
      </c>
      <c r="H732">
        <f>F732*_xlfn.XLOOKUP(B732,AG:AG,AI:AI)</f>
        <v>5259.5</v>
      </c>
      <c r="I732">
        <f t="shared" si="59"/>
        <v>0</v>
      </c>
      <c r="J732">
        <f>I732*_xlfn.XLOOKUP(B732,AG:AG,AI:AI)</f>
        <v>0</v>
      </c>
      <c r="K732" s="7">
        <f>_xlfn.XLOOKUP(A732,Z:Z,AD:AD)</f>
        <v>45968</v>
      </c>
      <c r="L732" s="7">
        <f t="shared" si="56"/>
        <v>45938</v>
      </c>
      <c r="M732">
        <f t="shared" si="57"/>
        <v>10</v>
      </c>
      <c r="N732">
        <f t="shared" si="58"/>
        <v>2025</v>
      </c>
      <c r="W732" s="9">
        <v>537</v>
      </c>
      <c r="X732" s="9" t="s">
        <v>27</v>
      </c>
      <c r="Z732">
        <v>778</v>
      </c>
      <c r="AA732">
        <v>5160.68</v>
      </c>
      <c r="AB732" t="s">
        <v>29</v>
      </c>
      <c r="AD732" s="20">
        <v>46006</v>
      </c>
    </row>
    <row r="733" spans="1:30">
      <c r="A733">
        <v>784</v>
      </c>
      <c r="B733" t="str">
        <f>_xlfn.XLOOKUP(A733,Z:Z,AB:AB,"not found")</f>
        <v>EUR</v>
      </c>
      <c r="C733">
        <f>_xlfn.XLOOKUP(A733,Z:Z,AA:AA)-_xlfn.XLOOKUP(A733,Q:Q,R:R,"0")</f>
        <v>1413.59</v>
      </c>
      <c r="D733">
        <f>C733*_xlfn.XLOOKUP(B733,AG:AG,AH:AH)</f>
        <v>1413.59</v>
      </c>
      <c r="E733">
        <f>C733*_xlfn.XLOOKUP(B733,AG:AG,AI:AI)</f>
        <v>1639.7643999999998</v>
      </c>
      <c r="F733">
        <v>1413.59</v>
      </c>
      <c r="G733">
        <f>F733*_xlfn.XLOOKUP(B733,AG:AG,AH:AH)</f>
        <v>1413.59</v>
      </c>
      <c r="H733">
        <f>F733*_xlfn.XLOOKUP(B733,AG:AG,AI:AI)</f>
        <v>1639.7643999999998</v>
      </c>
      <c r="I733">
        <f t="shared" si="59"/>
        <v>0</v>
      </c>
      <c r="J733">
        <f>I733*_xlfn.XLOOKUP(B733,AG:AG,AI:AI)</f>
        <v>0</v>
      </c>
      <c r="K733" s="7">
        <f>_xlfn.XLOOKUP(A733,Z:Z,AD:AD)</f>
        <v>45953</v>
      </c>
      <c r="L733" s="7">
        <f t="shared" si="56"/>
        <v>45923</v>
      </c>
      <c r="M733">
        <f t="shared" si="57"/>
        <v>9</v>
      </c>
      <c r="N733">
        <f t="shared" si="58"/>
        <v>2025</v>
      </c>
      <c r="W733" s="9">
        <v>539</v>
      </c>
      <c r="X733" s="9" t="s">
        <v>29</v>
      </c>
      <c r="Z733">
        <v>779</v>
      </c>
      <c r="AA733">
        <v>81930.78</v>
      </c>
      <c r="AB733" t="s">
        <v>29</v>
      </c>
      <c r="AD733" s="20">
        <v>46108</v>
      </c>
    </row>
    <row r="734" spans="1:30">
      <c r="A734">
        <v>785</v>
      </c>
      <c r="B734" t="str">
        <f>_xlfn.XLOOKUP(A734,Z:Z,AB:AB,"not found")</f>
        <v>USD</v>
      </c>
      <c r="C734">
        <f>_xlfn.XLOOKUP(A734,Z:Z,AA:AA)-_xlfn.XLOOKUP(A734,Q:Q,R:R,"0")</f>
        <v>17118</v>
      </c>
      <c r="D734">
        <f>C734*_xlfn.XLOOKUP(B734,AG:AG,AH:AH)</f>
        <v>14721.48</v>
      </c>
      <c r="E734">
        <f>C734*_xlfn.XLOOKUP(B734,AG:AG,AI:AI)</f>
        <v>17118</v>
      </c>
      <c r="F734">
        <v>17118</v>
      </c>
      <c r="G734">
        <f>F734*_xlfn.XLOOKUP(B734,AG:AG,AH:AH)</f>
        <v>14721.48</v>
      </c>
      <c r="H734">
        <f>F734*_xlfn.XLOOKUP(B734,AG:AG,AI:AI)</f>
        <v>17118</v>
      </c>
      <c r="I734">
        <f t="shared" si="59"/>
        <v>0</v>
      </c>
      <c r="J734">
        <f>I734*_xlfn.XLOOKUP(B734,AG:AG,AI:AI)</f>
        <v>0</v>
      </c>
      <c r="K734" s="7">
        <f>_xlfn.XLOOKUP(A734,Z:Z,AD:AD)</f>
        <v>45947</v>
      </c>
      <c r="L734" s="7">
        <f t="shared" si="56"/>
        <v>45917</v>
      </c>
      <c r="M734">
        <f t="shared" si="57"/>
        <v>9</v>
      </c>
      <c r="N734">
        <f t="shared" si="58"/>
        <v>2025</v>
      </c>
      <c r="W734" s="9">
        <v>540</v>
      </c>
      <c r="X734" s="9" t="s">
        <v>29</v>
      </c>
      <c r="Z734">
        <v>780</v>
      </c>
      <c r="AA734">
        <v>7785.9</v>
      </c>
      <c r="AB734" t="s">
        <v>29</v>
      </c>
      <c r="AD734" s="20">
        <v>45973</v>
      </c>
    </row>
    <row r="735" spans="1:30">
      <c r="A735">
        <v>786</v>
      </c>
      <c r="B735" t="str">
        <f>_xlfn.XLOOKUP(A735,Z:Z,AB:AB,"not found")</f>
        <v>EUR</v>
      </c>
      <c r="C735">
        <f>_xlfn.XLOOKUP(A735,Z:Z,AA:AA)-_xlfn.XLOOKUP(A735,Q:Q,R:R,"0")</f>
        <v>51375.71</v>
      </c>
      <c r="D735">
        <f>C735*_xlfn.XLOOKUP(B735,AG:AG,AH:AH)</f>
        <v>51375.71</v>
      </c>
      <c r="E735">
        <f>C735*_xlfn.XLOOKUP(B735,AG:AG,AI:AI)</f>
        <v>59595.823599999996</v>
      </c>
      <c r="F735">
        <v>51076.95</v>
      </c>
      <c r="G735">
        <f>F735*_xlfn.XLOOKUP(B735,AG:AG,AH:AH)</f>
        <v>51076.95</v>
      </c>
      <c r="H735">
        <f>F735*_xlfn.XLOOKUP(B735,AG:AG,AI:AI)</f>
        <v>59249.261999999995</v>
      </c>
      <c r="I735">
        <f t="shared" si="59"/>
        <v>298.76000000000204</v>
      </c>
      <c r="J735">
        <f>I735*_xlfn.XLOOKUP(B735,AG:AG,AI:AI)</f>
        <v>346.56160000000233</v>
      </c>
      <c r="K735" s="7">
        <f>_xlfn.XLOOKUP(A735,Z:Z,AD:AD)</f>
        <v>45982</v>
      </c>
      <c r="L735" s="7">
        <f t="shared" si="56"/>
        <v>45952</v>
      </c>
      <c r="M735">
        <f t="shared" si="57"/>
        <v>10</v>
      </c>
      <c r="N735">
        <f t="shared" si="58"/>
        <v>2025</v>
      </c>
      <c r="W735" s="9">
        <v>540</v>
      </c>
      <c r="X735" s="9" t="s">
        <v>29</v>
      </c>
      <c r="Z735">
        <v>781</v>
      </c>
      <c r="AA735">
        <v>8424</v>
      </c>
      <c r="AB735" t="s">
        <v>29</v>
      </c>
      <c r="AD735" s="20">
        <v>45925</v>
      </c>
    </row>
    <row r="736" spans="1:30">
      <c r="A736">
        <v>787</v>
      </c>
      <c r="B736" t="str">
        <f>_xlfn.XLOOKUP(A736,Z:Z,AB:AB,"not found")</f>
        <v>USD</v>
      </c>
      <c r="C736">
        <f>_xlfn.XLOOKUP(A736,Z:Z,AA:AA)-_xlfn.XLOOKUP(A736,Q:Q,R:R,"0")</f>
        <v>0</v>
      </c>
      <c r="D736">
        <f>C736*_xlfn.XLOOKUP(B736,AG:AG,AH:AH)</f>
        <v>0</v>
      </c>
      <c r="E736">
        <f>C736*_xlfn.XLOOKUP(B736,AG:AG,AI:AI)</f>
        <v>0</v>
      </c>
      <c r="F736">
        <v>9224.8799999999992</v>
      </c>
      <c r="G736">
        <f>F736*_xlfn.XLOOKUP(B736,AG:AG,AH:AH)</f>
        <v>7933.3967999999995</v>
      </c>
      <c r="H736">
        <f>F736*_xlfn.XLOOKUP(B736,AG:AG,AI:AI)</f>
        <v>9224.8799999999992</v>
      </c>
      <c r="I736">
        <f t="shared" si="59"/>
        <v>0</v>
      </c>
      <c r="J736">
        <f>I736*_xlfn.XLOOKUP(B736,AG:AG,AI:AI)</f>
        <v>0</v>
      </c>
      <c r="K736" s="7">
        <f>_xlfn.XLOOKUP(A736,Z:Z,AD:AD)</f>
        <v>45964</v>
      </c>
      <c r="L736" s="7">
        <f t="shared" si="56"/>
        <v>45934</v>
      </c>
      <c r="M736">
        <f t="shared" si="57"/>
        <v>10</v>
      </c>
      <c r="N736">
        <f t="shared" si="58"/>
        <v>2025</v>
      </c>
      <c r="W736" s="9">
        <v>540</v>
      </c>
      <c r="X736" s="9" t="s">
        <v>29</v>
      </c>
      <c r="Z736">
        <v>782</v>
      </c>
      <c r="AA736">
        <v>36083.24</v>
      </c>
      <c r="AB736" t="s">
        <v>29</v>
      </c>
      <c r="AD736" s="20">
        <v>46015</v>
      </c>
    </row>
    <row r="737" spans="1:30">
      <c r="A737">
        <v>788</v>
      </c>
      <c r="B737" t="str">
        <f>_xlfn.XLOOKUP(A737,Z:Z,AB:AB,"not found")</f>
        <v>USD</v>
      </c>
      <c r="C737">
        <f>_xlfn.XLOOKUP(A737,Z:Z,AA:AA)-_xlfn.XLOOKUP(A737,Q:Q,R:R,"0")</f>
        <v>1400</v>
      </c>
      <c r="D737">
        <f>C737*_xlfn.XLOOKUP(B737,AG:AG,AH:AH)</f>
        <v>1204</v>
      </c>
      <c r="E737">
        <f>C737*_xlfn.XLOOKUP(B737,AG:AG,AI:AI)</f>
        <v>1400</v>
      </c>
      <c r="F737">
        <v>1400</v>
      </c>
      <c r="G737">
        <f>F737*_xlfn.XLOOKUP(B737,AG:AG,AH:AH)</f>
        <v>1204</v>
      </c>
      <c r="H737">
        <f>F737*_xlfn.XLOOKUP(B737,AG:AG,AI:AI)</f>
        <v>1400</v>
      </c>
      <c r="I737">
        <f t="shared" si="59"/>
        <v>0</v>
      </c>
      <c r="J737">
        <f>I737*_xlfn.XLOOKUP(B737,AG:AG,AI:AI)</f>
        <v>0</v>
      </c>
      <c r="K737" s="7">
        <f>_xlfn.XLOOKUP(A737,Z:Z,AD:AD)</f>
        <v>45976</v>
      </c>
      <c r="L737" s="7">
        <f t="shared" si="56"/>
        <v>45946</v>
      </c>
      <c r="M737">
        <f t="shared" si="57"/>
        <v>10</v>
      </c>
      <c r="N737">
        <f t="shared" si="58"/>
        <v>2025</v>
      </c>
      <c r="W737" s="9">
        <v>540</v>
      </c>
      <c r="X737" s="9" t="s">
        <v>29</v>
      </c>
      <c r="Z737">
        <v>783</v>
      </c>
      <c r="AA737">
        <v>3925</v>
      </c>
      <c r="AB737" t="s">
        <v>31</v>
      </c>
      <c r="AD737" s="20">
        <v>45968</v>
      </c>
    </row>
    <row r="738" spans="1:30">
      <c r="A738">
        <v>789</v>
      </c>
      <c r="B738" t="str">
        <f>_xlfn.XLOOKUP(A738,Z:Z,AB:AB,"not found")</f>
        <v>EUR</v>
      </c>
      <c r="C738">
        <f>_xlfn.XLOOKUP(A738,Z:Z,AA:AA)-_xlfn.XLOOKUP(A738,Q:Q,R:R,"0")</f>
        <v>63397.07</v>
      </c>
      <c r="D738">
        <f>C738*_xlfn.XLOOKUP(B738,AG:AG,AH:AH)</f>
        <v>63397.07</v>
      </c>
      <c r="E738">
        <f>C738*_xlfn.XLOOKUP(B738,AG:AG,AI:AI)</f>
        <v>73540.60119999999</v>
      </c>
      <c r="F738">
        <v>46095.4</v>
      </c>
      <c r="G738">
        <f>F738*_xlfn.XLOOKUP(B738,AG:AG,AH:AH)</f>
        <v>46095.4</v>
      </c>
      <c r="H738">
        <f>F738*_xlfn.XLOOKUP(B738,AG:AG,AI:AI)</f>
        <v>53470.663999999997</v>
      </c>
      <c r="I738">
        <f t="shared" si="59"/>
        <v>15282.559999999998</v>
      </c>
      <c r="J738">
        <f>I738*_xlfn.XLOOKUP(B738,AG:AG,AI:AI)</f>
        <v>17727.769599999996</v>
      </c>
      <c r="K738" s="7">
        <f>_xlfn.XLOOKUP(A738,Z:Z,AD:AD)</f>
        <v>46116</v>
      </c>
      <c r="L738" s="7">
        <f t="shared" si="56"/>
        <v>46086</v>
      </c>
      <c r="M738">
        <f t="shared" si="57"/>
        <v>3</v>
      </c>
      <c r="N738">
        <f t="shared" si="58"/>
        <v>2026</v>
      </c>
      <c r="W738" s="9">
        <v>540</v>
      </c>
      <c r="X738" s="9" t="s">
        <v>29</v>
      </c>
      <c r="Z738">
        <v>784</v>
      </c>
      <c r="AA738">
        <v>1413.59</v>
      </c>
      <c r="AB738" t="s">
        <v>27</v>
      </c>
      <c r="AD738" s="20">
        <v>45953</v>
      </c>
    </row>
    <row r="739" spans="1:30">
      <c r="A739">
        <v>790</v>
      </c>
      <c r="B739" t="str">
        <f>_xlfn.XLOOKUP(A739,Z:Z,AB:AB,"not found")</f>
        <v>USD</v>
      </c>
      <c r="C739">
        <f>_xlfn.XLOOKUP(A739,Z:Z,AA:AA)-_xlfn.XLOOKUP(A739,Q:Q,R:R,"0")</f>
        <v>-75284.7</v>
      </c>
      <c r="D739">
        <f>C739*_xlfn.XLOOKUP(B739,AG:AG,AH:AH)</f>
        <v>-64744.841999999997</v>
      </c>
      <c r="E739">
        <f>C739*_xlfn.XLOOKUP(B739,AG:AG,AI:AI)</f>
        <v>-75284.7</v>
      </c>
      <c r="F739">
        <v>15647.3</v>
      </c>
      <c r="G739">
        <f>F739*_xlfn.XLOOKUP(B739,AG:AG,AH:AH)</f>
        <v>13456.678</v>
      </c>
      <c r="H739">
        <f>F739*_xlfn.XLOOKUP(B739,AG:AG,AI:AI)</f>
        <v>15647.3</v>
      </c>
      <c r="I739">
        <f t="shared" si="59"/>
        <v>0</v>
      </c>
      <c r="J739">
        <f>I739*_xlfn.XLOOKUP(B739,AG:AG,AI:AI)</f>
        <v>0</v>
      </c>
      <c r="K739" s="7">
        <f>_xlfn.XLOOKUP(A739,Z:Z,AD:AD)</f>
        <v>46013</v>
      </c>
      <c r="L739" s="7">
        <f t="shared" si="56"/>
        <v>45983</v>
      </c>
      <c r="M739">
        <f t="shared" si="57"/>
        <v>11</v>
      </c>
      <c r="N739">
        <f t="shared" si="58"/>
        <v>2025</v>
      </c>
      <c r="W739" s="9">
        <v>541</v>
      </c>
      <c r="X739" s="9" t="s">
        <v>29</v>
      </c>
      <c r="Z739">
        <v>785</v>
      </c>
      <c r="AA739">
        <v>17118</v>
      </c>
      <c r="AB739" t="s">
        <v>29</v>
      </c>
      <c r="AD739" s="20">
        <v>45947</v>
      </c>
    </row>
    <row r="740" spans="1:30">
      <c r="A740">
        <v>791</v>
      </c>
      <c r="B740" t="str">
        <f>_xlfn.XLOOKUP(A740,Z:Z,AB:AB,"not found")</f>
        <v>EUR</v>
      </c>
      <c r="C740">
        <f>_xlfn.XLOOKUP(A740,Z:Z,AA:AA)-_xlfn.XLOOKUP(A740,Q:Q,R:R,"0")</f>
        <v>691.72</v>
      </c>
      <c r="D740">
        <f>C740*_xlfn.XLOOKUP(B740,AG:AG,AH:AH)</f>
        <v>691.72</v>
      </c>
      <c r="E740">
        <f>C740*_xlfn.XLOOKUP(B740,AG:AG,AI:AI)</f>
        <v>802.39519999999993</v>
      </c>
      <c r="F740">
        <v>1982.72</v>
      </c>
      <c r="G740">
        <f>F740*_xlfn.XLOOKUP(B740,AG:AG,AH:AH)</f>
        <v>1982.72</v>
      </c>
      <c r="H740">
        <f>F740*_xlfn.XLOOKUP(B740,AG:AG,AI:AI)</f>
        <v>2299.9551999999999</v>
      </c>
      <c r="I740">
        <f t="shared" si="59"/>
        <v>0</v>
      </c>
      <c r="J740">
        <f>I740*_xlfn.XLOOKUP(B740,AG:AG,AI:AI)</f>
        <v>0</v>
      </c>
      <c r="K740" s="7">
        <f>_xlfn.XLOOKUP(A740,Z:Z,AD:AD)</f>
        <v>45957</v>
      </c>
      <c r="L740" s="7">
        <f t="shared" ref="L740:L803" si="60">K740-30</f>
        <v>45927</v>
      </c>
      <c r="M740">
        <f t="shared" ref="M740:M803" si="61">MONTH(L740)</f>
        <v>9</v>
      </c>
      <c r="N740">
        <f t="shared" ref="N740:N803" si="62">YEAR(L740)</f>
        <v>2025</v>
      </c>
      <c r="W740" s="9">
        <v>542</v>
      </c>
      <c r="X740" s="9" t="s">
        <v>29</v>
      </c>
      <c r="Z740">
        <v>786</v>
      </c>
      <c r="AA740">
        <v>51375.71</v>
      </c>
      <c r="AB740" t="s">
        <v>27</v>
      </c>
      <c r="AD740" s="20">
        <v>45982</v>
      </c>
    </row>
    <row r="741" spans="1:30">
      <c r="A741">
        <v>792</v>
      </c>
      <c r="B741" t="str">
        <f>_xlfn.XLOOKUP(A741,Z:Z,AB:AB,"not found")</f>
        <v>GBP</v>
      </c>
      <c r="C741">
        <f>_xlfn.XLOOKUP(A741,Z:Z,AA:AA)-_xlfn.XLOOKUP(A741,Q:Q,R:R,"0")</f>
        <v>0</v>
      </c>
      <c r="D741">
        <f>C741*_xlfn.XLOOKUP(B741,AG:AG,AH:AH)</f>
        <v>0</v>
      </c>
      <c r="E741">
        <f>C741*_xlfn.XLOOKUP(B741,AG:AG,AI:AI)</f>
        <v>0</v>
      </c>
      <c r="F741">
        <v>930</v>
      </c>
      <c r="G741">
        <f>F741*_xlfn.XLOOKUP(B741,AG:AG,AH:AH)</f>
        <v>1069.5</v>
      </c>
      <c r="H741">
        <f>F741*_xlfn.XLOOKUP(B741,AG:AG,AI:AI)</f>
        <v>1246.2</v>
      </c>
      <c r="I741">
        <f t="shared" si="59"/>
        <v>0</v>
      </c>
      <c r="J741">
        <f>I741*_xlfn.XLOOKUP(B741,AG:AG,AI:AI)</f>
        <v>0</v>
      </c>
      <c r="K741" s="7">
        <f>_xlfn.XLOOKUP(A741,Z:Z,AD:AD)</f>
        <v>45952</v>
      </c>
      <c r="L741" s="7">
        <f t="shared" si="60"/>
        <v>45922</v>
      </c>
      <c r="M741">
        <f t="shared" si="61"/>
        <v>9</v>
      </c>
      <c r="N741">
        <f t="shared" si="62"/>
        <v>2025</v>
      </c>
      <c r="W741" s="9">
        <v>542</v>
      </c>
      <c r="X741" s="9" t="s">
        <v>29</v>
      </c>
      <c r="Z741">
        <v>787</v>
      </c>
      <c r="AA741">
        <v>9224.8799999999992</v>
      </c>
      <c r="AB741" t="s">
        <v>29</v>
      </c>
      <c r="AD741" s="20">
        <v>45964</v>
      </c>
    </row>
    <row r="742" spans="1:30">
      <c r="A742">
        <v>793</v>
      </c>
      <c r="B742" t="str">
        <f>_xlfn.XLOOKUP(A742,Z:Z,AB:AB,"not found")</f>
        <v>EUR</v>
      </c>
      <c r="C742">
        <f>_xlfn.XLOOKUP(A742,Z:Z,AA:AA)-_xlfn.XLOOKUP(A742,Q:Q,R:R,"0")</f>
        <v>0</v>
      </c>
      <c r="D742">
        <f>C742*_xlfn.XLOOKUP(B742,AG:AG,AH:AH)</f>
        <v>0</v>
      </c>
      <c r="E742">
        <f>C742*_xlfn.XLOOKUP(B742,AG:AG,AI:AI)</f>
        <v>0</v>
      </c>
      <c r="F742">
        <v>4474</v>
      </c>
      <c r="G742">
        <f>F742*_xlfn.XLOOKUP(B742,AG:AG,AH:AH)</f>
        <v>4474</v>
      </c>
      <c r="H742">
        <f>F742*_xlfn.XLOOKUP(B742,AG:AG,AI:AI)</f>
        <v>5189.8399999999992</v>
      </c>
      <c r="I742">
        <f t="shared" si="59"/>
        <v>0</v>
      </c>
      <c r="J742">
        <f>I742*_xlfn.XLOOKUP(B742,AG:AG,AI:AI)</f>
        <v>0</v>
      </c>
      <c r="K742" s="7">
        <f>_xlfn.XLOOKUP(A742,Z:Z,AD:AD)</f>
        <v>46140</v>
      </c>
      <c r="L742" s="7">
        <f t="shared" si="60"/>
        <v>46110</v>
      </c>
      <c r="M742">
        <f t="shared" si="61"/>
        <v>3</v>
      </c>
      <c r="N742">
        <f t="shared" si="62"/>
        <v>2026</v>
      </c>
      <c r="W742" s="9">
        <v>542</v>
      </c>
      <c r="X742" s="9" t="s">
        <v>29</v>
      </c>
      <c r="Z742">
        <v>788</v>
      </c>
      <c r="AA742">
        <v>1400</v>
      </c>
      <c r="AB742" t="s">
        <v>29</v>
      </c>
      <c r="AD742" s="20">
        <v>45976</v>
      </c>
    </row>
    <row r="743" spans="1:30">
      <c r="A743">
        <v>794</v>
      </c>
      <c r="B743" t="str">
        <f>_xlfn.XLOOKUP(A743,Z:Z,AB:AB,"not found")</f>
        <v>USD</v>
      </c>
      <c r="C743">
        <f>_xlfn.XLOOKUP(A743,Z:Z,AA:AA)-_xlfn.XLOOKUP(A743,Q:Q,R:R,"0")</f>
        <v>15481.4</v>
      </c>
      <c r="D743">
        <f>C743*_xlfn.XLOOKUP(B743,AG:AG,AH:AH)</f>
        <v>13314.003999999999</v>
      </c>
      <c r="E743">
        <f>C743*_xlfn.XLOOKUP(B743,AG:AG,AI:AI)</f>
        <v>15481.4</v>
      </c>
      <c r="F743">
        <v>9139.26</v>
      </c>
      <c r="G743">
        <f>F743*_xlfn.XLOOKUP(B743,AG:AG,AH:AH)</f>
        <v>7859.7636000000002</v>
      </c>
      <c r="H743">
        <f>F743*_xlfn.XLOOKUP(B743,AG:AG,AI:AI)</f>
        <v>9139.26</v>
      </c>
      <c r="I743">
        <f t="shared" si="59"/>
        <v>6342.1399999999994</v>
      </c>
      <c r="J743">
        <f>I743*_xlfn.XLOOKUP(B743,AG:AG,AI:AI)</f>
        <v>6342.1399999999994</v>
      </c>
      <c r="K743" s="7">
        <f>_xlfn.XLOOKUP(A743,Z:Z,AD:AD)</f>
        <v>46027</v>
      </c>
      <c r="L743" s="7">
        <f t="shared" si="60"/>
        <v>45997</v>
      </c>
      <c r="M743">
        <f t="shared" si="61"/>
        <v>12</v>
      </c>
      <c r="N743">
        <f t="shared" si="62"/>
        <v>2025</v>
      </c>
      <c r="W743" s="9">
        <v>545</v>
      </c>
      <c r="X743" s="9" t="s">
        <v>29</v>
      </c>
      <c r="Z743">
        <v>789</v>
      </c>
      <c r="AA743">
        <v>61377.96</v>
      </c>
      <c r="AB743" t="s">
        <v>27</v>
      </c>
      <c r="AD743" s="20">
        <v>46116</v>
      </c>
    </row>
    <row r="744" spans="1:30">
      <c r="A744">
        <v>795</v>
      </c>
      <c r="B744" t="str">
        <f>_xlfn.XLOOKUP(A744,Z:Z,AB:AB,"not found")</f>
        <v>USD</v>
      </c>
      <c r="C744">
        <f>_xlfn.XLOOKUP(A744,Z:Z,AA:AA)-_xlfn.XLOOKUP(A744,Q:Q,R:R,"0")</f>
        <v>0</v>
      </c>
      <c r="D744">
        <f>C744*_xlfn.XLOOKUP(B744,AG:AG,AH:AH)</f>
        <v>0</v>
      </c>
      <c r="E744">
        <f>C744*_xlfn.XLOOKUP(B744,AG:AG,AI:AI)</f>
        <v>0</v>
      </c>
      <c r="F744">
        <v>11980.26</v>
      </c>
      <c r="G744">
        <f>F744*_xlfn.XLOOKUP(B744,AG:AG,AH:AH)</f>
        <v>10303.0236</v>
      </c>
      <c r="H744">
        <f>F744*_xlfn.XLOOKUP(B744,AG:AG,AI:AI)</f>
        <v>11980.26</v>
      </c>
      <c r="I744">
        <f t="shared" si="59"/>
        <v>0</v>
      </c>
      <c r="J744">
        <f>I744*_xlfn.XLOOKUP(B744,AG:AG,AI:AI)</f>
        <v>0</v>
      </c>
      <c r="K744" s="7">
        <f>_xlfn.XLOOKUP(A744,Z:Z,AD:AD)</f>
        <v>45958</v>
      </c>
      <c r="L744" s="7">
        <f t="shared" si="60"/>
        <v>45928</v>
      </c>
      <c r="M744">
        <f t="shared" si="61"/>
        <v>9</v>
      </c>
      <c r="N744">
        <f t="shared" si="62"/>
        <v>2025</v>
      </c>
      <c r="W744" s="9">
        <v>546</v>
      </c>
      <c r="X744" s="9" t="s">
        <v>28</v>
      </c>
      <c r="Z744">
        <v>790</v>
      </c>
      <c r="AA744">
        <v>15647.3</v>
      </c>
      <c r="AB744" t="s">
        <v>29</v>
      </c>
      <c r="AD744" s="20">
        <v>46013</v>
      </c>
    </row>
    <row r="745" spans="1:30">
      <c r="A745">
        <v>796</v>
      </c>
      <c r="B745" t="str">
        <f>_xlfn.XLOOKUP(A745,Z:Z,AB:AB,"not found")</f>
        <v>EUR</v>
      </c>
      <c r="C745">
        <f>_xlfn.XLOOKUP(A745,Z:Z,AA:AA)-_xlfn.XLOOKUP(A745,Q:Q,R:R,"0")</f>
        <v>32325</v>
      </c>
      <c r="D745">
        <f>C745*_xlfn.XLOOKUP(B745,AG:AG,AH:AH)</f>
        <v>32325</v>
      </c>
      <c r="E745">
        <f>C745*_xlfn.XLOOKUP(B745,AG:AG,AI:AI)</f>
        <v>37497</v>
      </c>
      <c r="F745">
        <v>9676.0499999999993</v>
      </c>
      <c r="G745">
        <f>F745*_xlfn.XLOOKUP(B745,AG:AG,AH:AH)</f>
        <v>9676.0499999999993</v>
      </c>
      <c r="H745">
        <f>F745*_xlfn.XLOOKUP(B745,AG:AG,AI:AI)</f>
        <v>11224.217999999999</v>
      </c>
      <c r="I745">
        <f t="shared" si="59"/>
        <v>22648.95</v>
      </c>
      <c r="J745">
        <f>I745*_xlfn.XLOOKUP(B745,AG:AG,AI:AI)</f>
        <v>26272.781999999999</v>
      </c>
      <c r="K745" s="7">
        <f>_xlfn.XLOOKUP(A745,Z:Z,AD:AD)</f>
        <v>46441</v>
      </c>
      <c r="L745" s="7">
        <f t="shared" si="60"/>
        <v>46411</v>
      </c>
      <c r="M745">
        <f t="shared" si="61"/>
        <v>1</v>
      </c>
      <c r="N745">
        <f t="shared" si="62"/>
        <v>2027</v>
      </c>
      <c r="W745" s="9">
        <v>546</v>
      </c>
      <c r="X745" s="9" t="s">
        <v>28</v>
      </c>
      <c r="Z745">
        <v>791</v>
      </c>
      <c r="AA745">
        <v>1982.72</v>
      </c>
      <c r="AB745" t="s">
        <v>27</v>
      </c>
      <c r="AD745" s="20">
        <v>45957</v>
      </c>
    </row>
    <row r="746" spans="1:30">
      <c r="A746">
        <v>797</v>
      </c>
      <c r="B746" t="str">
        <f>_xlfn.XLOOKUP(A746,Z:Z,AB:AB,"not found")</f>
        <v>USD</v>
      </c>
      <c r="C746">
        <f>_xlfn.XLOOKUP(A746,Z:Z,AA:AA)-_xlfn.XLOOKUP(A746,Q:Q,R:R,"0")</f>
        <v>2355.44</v>
      </c>
      <c r="D746">
        <f>C746*_xlfn.XLOOKUP(B746,AG:AG,AH:AH)</f>
        <v>2025.6784</v>
      </c>
      <c r="E746">
        <f>C746*_xlfn.XLOOKUP(B746,AG:AG,AI:AI)</f>
        <v>2355.44</v>
      </c>
      <c r="F746">
        <v>2355.44</v>
      </c>
      <c r="G746">
        <f>F746*_xlfn.XLOOKUP(B746,AG:AG,AH:AH)</f>
        <v>2025.6784</v>
      </c>
      <c r="H746">
        <f>F746*_xlfn.XLOOKUP(B746,AG:AG,AI:AI)</f>
        <v>2355.44</v>
      </c>
      <c r="I746">
        <f t="shared" si="59"/>
        <v>0</v>
      </c>
      <c r="J746">
        <f>I746*_xlfn.XLOOKUP(B746,AG:AG,AI:AI)</f>
        <v>0</v>
      </c>
      <c r="K746" s="7">
        <f>_xlfn.XLOOKUP(A746,Z:Z,AD:AD)</f>
        <v>45972</v>
      </c>
      <c r="L746" s="7">
        <f t="shared" si="60"/>
        <v>45942</v>
      </c>
      <c r="M746">
        <f t="shared" si="61"/>
        <v>10</v>
      </c>
      <c r="N746">
        <f t="shared" si="62"/>
        <v>2025</v>
      </c>
      <c r="W746" s="9">
        <v>547</v>
      </c>
      <c r="X746" s="9" t="s">
        <v>29</v>
      </c>
      <c r="Z746">
        <v>792</v>
      </c>
      <c r="AA746">
        <v>930</v>
      </c>
      <c r="AB746" t="s">
        <v>31</v>
      </c>
      <c r="AD746" s="20">
        <v>45952</v>
      </c>
    </row>
    <row r="747" spans="1:30">
      <c r="A747">
        <v>798</v>
      </c>
      <c r="B747" t="str">
        <f>_xlfn.XLOOKUP(A747,Z:Z,AB:AB,"not found")</f>
        <v>USD</v>
      </c>
      <c r="C747">
        <f>_xlfn.XLOOKUP(A747,Z:Z,AA:AA)-_xlfn.XLOOKUP(A747,Q:Q,R:R,"0")</f>
        <v>0</v>
      </c>
      <c r="D747">
        <f>C747*_xlfn.XLOOKUP(B747,AG:AG,AH:AH)</f>
        <v>0</v>
      </c>
      <c r="E747">
        <f>C747*_xlfn.XLOOKUP(B747,AG:AG,AI:AI)</f>
        <v>0</v>
      </c>
      <c r="F747">
        <v>5300</v>
      </c>
      <c r="G747">
        <f>F747*_xlfn.XLOOKUP(B747,AG:AG,AH:AH)</f>
        <v>4558</v>
      </c>
      <c r="H747">
        <f>F747*_xlfn.XLOOKUP(B747,AG:AG,AI:AI)</f>
        <v>5300</v>
      </c>
      <c r="I747">
        <f t="shared" si="59"/>
        <v>0</v>
      </c>
      <c r="J747">
        <f>I747*_xlfn.XLOOKUP(B747,AG:AG,AI:AI)</f>
        <v>0</v>
      </c>
      <c r="K747" s="7">
        <f>_xlfn.XLOOKUP(A747,Z:Z,AD:AD)</f>
        <v>45994</v>
      </c>
      <c r="L747" s="7">
        <f t="shared" si="60"/>
        <v>45964</v>
      </c>
      <c r="M747">
        <f t="shared" si="61"/>
        <v>11</v>
      </c>
      <c r="N747">
        <f t="shared" si="62"/>
        <v>2025</v>
      </c>
      <c r="W747" s="9">
        <v>547</v>
      </c>
      <c r="X747" s="9" t="s">
        <v>29</v>
      </c>
      <c r="Z747">
        <v>793</v>
      </c>
      <c r="AA747">
        <v>4474</v>
      </c>
      <c r="AB747" t="s">
        <v>27</v>
      </c>
      <c r="AD747" s="20">
        <v>46140</v>
      </c>
    </row>
    <row r="748" spans="1:30">
      <c r="A748">
        <v>799</v>
      </c>
      <c r="B748" t="str">
        <f>_xlfn.XLOOKUP(A748,Z:Z,AB:AB,"not found")</f>
        <v>JPY</v>
      </c>
      <c r="C748">
        <f>_xlfn.XLOOKUP(A748,Z:Z,AA:AA)-_xlfn.XLOOKUP(A748,Q:Q,R:R,"0")</f>
        <v>0</v>
      </c>
      <c r="D748">
        <f>C748*_xlfn.XLOOKUP(B748,AG:AG,AH:AH)</f>
        <v>0</v>
      </c>
      <c r="E748">
        <f>C748*_xlfn.XLOOKUP(B748,AG:AG,AI:AI)</f>
        <v>0</v>
      </c>
      <c r="F748">
        <v>2233369</v>
      </c>
      <c r="G748">
        <f>F748*_xlfn.XLOOKUP(B748,AG:AG,AH:AH)</f>
        <v>12283.529499999999</v>
      </c>
      <c r="H748">
        <f>F748*_xlfn.XLOOKUP(B748,AG:AG,AI:AI)</f>
        <v>14293.561600000001</v>
      </c>
      <c r="I748">
        <f t="shared" si="59"/>
        <v>0</v>
      </c>
      <c r="J748">
        <f>I748*_xlfn.XLOOKUP(B748,AG:AG,AI:AI)</f>
        <v>0</v>
      </c>
      <c r="K748" s="7">
        <f>_xlfn.XLOOKUP(A748,Z:Z,AD:AD)</f>
        <v>46018</v>
      </c>
      <c r="L748" s="7">
        <f t="shared" si="60"/>
        <v>45988</v>
      </c>
      <c r="M748">
        <f t="shared" si="61"/>
        <v>11</v>
      </c>
      <c r="N748">
        <f t="shared" si="62"/>
        <v>2025</v>
      </c>
      <c r="W748" s="9">
        <v>548</v>
      </c>
      <c r="X748" s="9" t="s">
        <v>27</v>
      </c>
      <c r="Z748">
        <v>794</v>
      </c>
      <c r="AA748">
        <v>15481.4</v>
      </c>
      <c r="AB748" t="s">
        <v>29</v>
      </c>
      <c r="AD748" s="20">
        <v>46027</v>
      </c>
    </row>
    <row r="749" spans="1:30">
      <c r="A749">
        <v>800</v>
      </c>
      <c r="B749" t="str">
        <f>_xlfn.XLOOKUP(A749,Z:Z,AB:AB,"not found")</f>
        <v>USD</v>
      </c>
      <c r="C749">
        <f>_xlfn.XLOOKUP(A749,Z:Z,AA:AA)-_xlfn.XLOOKUP(A749,Q:Q,R:R,"0")</f>
        <v>19306.560000000001</v>
      </c>
      <c r="D749">
        <f>C749*_xlfn.XLOOKUP(B749,AG:AG,AH:AH)</f>
        <v>16603.641600000003</v>
      </c>
      <c r="E749">
        <f>C749*_xlfn.XLOOKUP(B749,AG:AG,AI:AI)</f>
        <v>19306.560000000001</v>
      </c>
      <c r="F749">
        <v>15684.34</v>
      </c>
      <c r="G749">
        <f>F749*_xlfn.XLOOKUP(B749,AG:AG,AH:AH)</f>
        <v>13488.5324</v>
      </c>
      <c r="H749">
        <f>F749*_xlfn.XLOOKUP(B749,AG:AG,AI:AI)</f>
        <v>15684.34</v>
      </c>
      <c r="I749">
        <f t="shared" si="59"/>
        <v>3622.2200000000012</v>
      </c>
      <c r="J749">
        <f>I749*_xlfn.XLOOKUP(B749,AG:AG,AI:AI)</f>
        <v>3622.2200000000012</v>
      </c>
      <c r="K749" s="7">
        <f>_xlfn.XLOOKUP(A749,Z:Z,AD:AD)</f>
        <v>45967</v>
      </c>
      <c r="L749" s="7">
        <f t="shared" si="60"/>
        <v>45937</v>
      </c>
      <c r="M749">
        <f t="shared" si="61"/>
        <v>10</v>
      </c>
      <c r="N749">
        <f t="shared" si="62"/>
        <v>2025</v>
      </c>
      <c r="W749" s="9">
        <v>548</v>
      </c>
      <c r="X749" s="9" t="s">
        <v>27</v>
      </c>
      <c r="Z749">
        <v>795</v>
      </c>
      <c r="AA749">
        <v>11980.26</v>
      </c>
      <c r="AB749" t="s">
        <v>29</v>
      </c>
      <c r="AD749" s="20">
        <v>45958</v>
      </c>
    </row>
    <row r="750" spans="1:30">
      <c r="A750">
        <v>802</v>
      </c>
      <c r="B750" t="str">
        <f>_xlfn.XLOOKUP(A750,Z:Z,AB:AB,"not found")</f>
        <v>USD</v>
      </c>
      <c r="C750">
        <f>_xlfn.XLOOKUP(A750,Z:Z,AA:AA)-_xlfn.XLOOKUP(A750,Q:Q,R:R,"0")</f>
        <v>0</v>
      </c>
      <c r="D750">
        <f>C750*_xlfn.XLOOKUP(B750,AG:AG,AH:AH)</f>
        <v>0</v>
      </c>
      <c r="E750">
        <f>C750*_xlfn.XLOOKUP(B750,AG:AG,AI:AI)</f>
        <v>0</v>
      </c>
      <c r="F750">
        <v>858.4</v>
      </c>
      <c r="G750">
        <f>F750*_xlfn.XLOOKUP(B750,AG:AG,AH:AH)</f>
        <v>738.22399999999993</v>
      </c>
      <c r="H750">
        <f>F750*_xlfn.XLOOKUP(B750,AG:AG,AI:AI)</f>
        <v>858.4</v>
      </c>
      <c r="I750">
        <f t="shared" si="59"/>
        <v>0</v>
      </c>
      <c r="J750">
        <f>I750*_xlfn.XLOOKUP(B750,AG:AG,AI:AI)</f>
        <v>0</v>
      </c>
      <c r="K750" s="7">
        <f>_xlfn.XLOOKUP(A750,Z:Z,AD:AD)</f>
        <v>45954</v>
      </c>
      <c r="L750" s="7">
        <f t="shared" si="60"/>
        <v>45924</v>
      </c>
      <c r="M750">
        <f t="shared" si="61"/>
        <v>9</v>
      </c>
      <c r="N750">
        <f t="shared" si="62"/>
        <v>2025</v>
      </c>
      <c r="W750" s="9">
        <v>549</v>
      </c>
      <c r="X750" s="9" t="s">
        <v>30</v>
      </c>
      <c r="Z750">
        <v>796</v>
      </c>
      <c r="AA750">
        <v>32325</v>
      </c>
      <c r="AB750" t="s">
        <v>27</v>
      </c>
      <c r="AD750" s="20">
        <v>46441</v>
      </c>
    </row>
    <row r="751" spans="1:30">
      <c r="A751">
        <v>803</v>
      </c>
      <c r="B751" t="str">
        <f>_xlfn.XLOOKUP(A751,Z:Z,AB:AB,"not found")</f>
        <v>MXN</v>
      </c>
      <c r="C751">
        <f>_xlfn.XLOOKUP(A751,Z:Z,AA:AA)-_xlfn.XLOOKUP(A751,Q:Q,R:R,"0")</f>
        <v>0</v>
      </c>
      <c r="D751">
        <f>C751*_xlfn.XLOOKUP(B751,AG:AG,AH:AH)</f>
        <v>0</v>
      </c>
      <c r="E751">
        <f>C751*_xlfn.XLOOKUP(B751,AG:AG,AI:AI)</f>
        <v>0</v>
      </c>
      <c r="F751">
        <v>10075</v>
      </c>
      <c r="G751">
        <f>F751*_xlfn.XLOOKUP(B751,AG:AG,AH:AH)</f>
        <v>483.6</v>
      </c>
      <c r="H751">
        <f>F751*_xlfn.XLOOKUP(B751,AG:AG,AI:AI)</f>
        <v>564.20000000000005</v>
      </c>
      <c r="I751">
        <f t="shared" si="59"/>
        <v>0</v>
      </c>
      <c r="J751">
        <f>I751*_xlfn.XLOOKUP(B751,AG:AG,AI:AI)</f>
        <v>0</v>
      </c>
      <c r="K751" s="7">
        <f>_xlfn.XLOOKUP(A751,Z:Z,AD:AD)</f>
        <v>45955</v>
      </c>
      <c r="L751" s="7">
        <f t="shared" si="60"/>
        <v>45925</v>
      </c>
      <c r="M751">
        <f t="shared" si="61"/>
        <v>9</v>
      </c>
      <c r="N751">
        <f t="shared" si="62"/>
        <v>2025</v>
      </c>
      <c r="W751" s="9">
        <v>550</v>
      </c>
      <c r="X751" s="9" t="s">
        <v>29</v>
      </c>
      <c r="Z751">
        <v>797</v>
      </c>
      <c r="AA751">
        <v>2355.44</v>
      </c>
      <c r="AB751" t="s">
        <v>29</v>
      </c>
      <c r="AD751" s="20">
        <v>45972</v>
      </c>
    </row>
    <row r="752" spans="1:30">
      <c r="A752">
        <v>804</v>
      </c>
      <c r="B752" t="str">
        <f>_xlfn.XLOOKUP(A752,Z:Z,AB:AB,"not found")</f>
        <v>USD</v>
      </c>
      <c r="C752">
        <f>_xlfn.XLOOKUP(A752,Z:Z,AA:AA)-_xlfn.XLOOKUP(A752,Q:Q,R:R,"0")</f>
        <v>1672.78</v>
      </c>
      <c r="D752">
        <f>C752*_xlfn.XLOOKUP(B752,AG:AG,AH:AH)</f>
        <v>1438.5907999999999</v>
      </c>
      <c r="E752">
        <f>C752*_xlfn.XLOOKUP(B752,AG:AG,AI:AI)</f>
        <v>1672.78</v>
      </c>
      <c r="F752">
        <v>1672.8</v>
      </c>
      <c r="G752">
        <f>F752*_xlfn.XLOOKUP(B752,AG:AG,AH:AH)</f>
        <v>1438.6079999999999</v>
      </c>
      <c r="H752">
        <f>F752*_xlfn.XLOOKUP(B752,AG:AG,AI:AI)</f>
        <v>1672.8</v>
      </c>
      <c r="I752">
        <f t="shared" si="59"/>
        <v>-1.999999999998181E-2</v>
      </c>
      <c r="J752">
        <f>I752*_xlfn.XLOOKUP(B752,AG:AG,AI:AI)</f>
        <v>-1.999999999998181E-2</v>
      </c>
      <c r="K752" s="7">
        <f>_xlfn.XLOOKUP(A752,Z:Z,AD:AD)</f>
        <v>45967</v>
      </c>
      <c r="L752" s="7">
        <f t="shared" si="60"/>
        <v>45937</v>
      </c>
      <c r="M752">
        <f t="shared" si="61"/>
        <v>10</v>
      </c>
      <c r="N752">
        <f t="shared" si="62"/>
        <v>2025</v>
      </c>
      <c r="W752" s="9">
        <v>551</v>
      </c>
      <c r="X752" s="9" t="s">
        <v>28</v>
      </c>
      <c r="Z752">
        <v>798</v>
      </c>
      <c r="AA752">
        <v>5300</v>
      </c>
      <c r="AB752" t="s">
        <v>29</v>
      </c>
      <c r="AD752" s="20">
        <v>45994</v>
      </c>
    </row>
    <row r="753" spans="1:30">
      <c r="A753">
        <v>805</v>
      </c>
      <c r="B753" t="str">
        <f>_xlfn.XLOOKUP(A753,Z:Z,AB:AB,"not found")</f>
        <v>USD</v>
      </c>
      <c r="C753">
        <f>_xlfn.XLOOKUP(A753,Z:Z,AA:AA)-_xlfn.XLOOKUP(A753,Q:Q,R:R,"0")</f>
        <v>0</v>
      </c>
      <c r="D753">
        <f>C753*_xlfn.XLOOKUP(B753,AG:AG,AH:AH)</f>
        <v>0</v>
      </c>
      <c r="E753">
        <f>C753*_xlfn.XLOOKUP(B753,AG:AG,AI:AI)</f>
        <v>0</v>
      </c>
      <c r="F753">
        <v>1238.3</v>
      </c>
      <c r="G753">
        <f>F753*_xlfn.XLOOKUP(B753,AG:AG,AH:AH)</f>
        <v>1064.9379999999999</v>
      </c>
      <c r="H753">
        <f>F753*_xlfn.XLOOKUP(B753,AG:AG,AI:AI)</f>
        <v>1238.3</v>
      </c>
      <c r="I753">
        <f t="shared" si="59"/>
        <v>0</v>
      </c>
      <c r="J753">
        <f>I753*_xlfn.XLOOKUP(B753,AG:AG,AI:AI)</f>
        <v>0</v>
      </c>
      <c r="K753" s="7">
        <f>_xlfn.XLOOKUP(A753,Z:Z,AD:AD)</f>
        <v>45926</v>
      </c>
      <c r="L753" s="7">
        <f t="shared" si="60"/>
        <v>45896</v>
      </c>
      <c r="M753">
        <f t="shared" si="61"/>
        <v>8</v>
      </c>
      <c r="N753">
        <f t="shared" si="62"/>
        <v>2025</v>
      </c>
      <c r="W753" s="9">
        <v>552</v>
      </c>
      <c r="X753" s="9" t="s">
        <v>29</v>
      </c>
      <c r="Z753">
        <v>799</v>
      </c>
      <c r="AA753">
        <v>2233369</v>
      </c>
      <c r="AB753" t="s">
        <v>33</v>
      </c>
      <c r="AD753" s="20">
        <v>46018</v>
      </c>
    </row>
    <row r="754" spans="1:30">
      <c r="A754">
        <v>806</v>
      </c>
      <c r="B754" t="str">
        <f>_xlfn.XLOOKUP(A754,Z:Z,AB:AB,"not found")</f>
        <v>USD</v>
      </c>
      <c r="C754">
        <f>_xlfn.XLOOKUP(A754,Z:Z,AA:AA)-_xlfn.XLOOKUP(A754,Q:Q,R:R,"0")</f>
        <v>0</v>
      </c>
      <c r="D754">
        <f>C754*_xlfn.XLOOKUP(B754,AG:AG,AH:AH)</f>
        <v>0</v>
      </c>
      <c r="E754">
        <f>C754*_xlfn.XLOOKUP(B754,AG:AG,AI:AI)</f>
        <v>0</v>
      </c>
      <c r="F754">
        <v>14262</v>
      </c>
      <c r="G754">
        <f>F754*_xlfn.XLOOKUP(B754,AG:AG,AH:AH)</f>
        <v>12265.32</v>
      </c>
      <c r="H754">
        <f>F754*_xlfn.XLOOKUP(B754,AG:AG,AI:AI)</f>
        <v>14262</v>
      </c>
      <c r="I754">
        <f t="shared" si="59"/>
        <v>0</v>
      </c>
      <c r="J754">
        <f>I754*_xlfn.XLOOKUP(B754,AG:AG,AI:AI)</f>
        <v>0</v>
      </c>
      <c r="K754" s="7">
        <f>_xlfn.XLOOKUP(A754,Z:Z,AD:AD)</f>
        <v>45973</v>
      </c>
      <c r="L754" s="7">
        <f t="shared" si="60"/>
        <v>45943</v>
      </c>
      <c r="M754">
        <f t="shared" si="61"/>
        <v>10</v>
      </c>
      <c r="N754">
        <f t="shared" si="62"/>
        <v>2025</v>
      </c>
      <c r="W754" s="9">
        <v>552</v>
      </c>
      <c r="X754" s="9" t="s">
        <v>29</v>
      </c>
      <c r="Z754">
        <v>800</v>
      </c>
      <c r="AA754">
        <v>19306.560000000001</v>
      </c>
      <c r="AB754" t="s">
        <v>29</v>
      </c>
      <c r="AD754" s="20">
        <v>45967</v>
      </c>
    </row>
    <row r="755" spans="1:30">
      <c r="A755">
        <v>807</v>
      </c>
      <c r="B755" t="str">
        <f>_xlfn.XLOOKUP(A755,Z:Z,AB:AB,"not found")</f>
        <v>USD</v>
      </c>
      <c r="C755">
        <f>_xlfn.XLOOKUP(A755,Z:Z,AA:AA)-_xlfn.XLOOKUP(A755,Q:Q,R:R,"0")</f>
        <v>146203.39000000001</v>
      </c>
      <c r="D755">
        <f>C755*_xlfn.XLOOKUP(B755,AG:AG,AH:AH)</f>
        <v>125734.91540000001</v>
      </c>
      <c r="E755">
        <f>C755*_xlfn.XLOOKUP(B755,AG:AG,AI:AI)</f>
        <v>146203.39000000001</v>
      </c>
      <c r="F755">
        <v>128333.78</v>
      </c>
      <c r="G755">
        <f>F755*_xlfn.XLOOKUP(B755,AG:AG,AH:AH)</f>
        <v>110367.0508</v>
      </c>
      <c r="H755">
        <f>F755*_xlfn.XLOOKUP(B755,AG:AG,AI:AI)</f>
        <v>128333.78</v>
      </c>
      <c r="I755">
        <f t="shared" si="59"/>
        <v>17869.610000000015</v>
      </c>
      <c r="J755">
        <f>I755*_xlfn.XLOOKUP(B755,AG:AG,AI:AI)</f>
        <v>17869.610000000015</v>
      </c>
      <c r="K755" s="7">
        <f>_xlfn.XLOOKUP(A755,Z:Z,AD:AD)</f>
        <v>46005</v>
      </c>
      <c r="L755" s="7">
        <f t="shared" si="60"/>
        <v>45975</v>
      </c>
      <c r="M755">
        <f t="shared" si="61"/>
        <v>11</v>
      </c>
      <c r="N755">
        <f t="shared" si="62"/>
        <v>2025</v>
      </c>
      <c r="W755" s="9">
        <v>552</v>
      </c>
      <c r="X755" s="9" t="s">
        <v>27</v>
      </c>
      <c r="Z755">
        <v>802</v>
      </c>
      <c r="AA755">
        <v>858.4</v>
      </c>
      <c r="AB755" t="s">
        <v>29</v>
      </c>
      <c r="AD755" s="20">
        <v>45954</v>
      </c>
    </row>
    <row r="756" spans="1:30">
      <c r="A756">
        <v>808</v>
      </c>
      <c r="B756" t="str">
        <f>_xlfn.XLOOKUP(A756,Z:Z,AB:AB,"not found")</f>
        <v>EUR</v>
      </c>
      <c r="C756">
        <f>_xlfn.XLOOKUP(A756,Z:Z,AA:AA)-_xlfn.XLOOKUP(A756,Q:Q,R:R,"0")</f>
        <v>33150.06</v>
      </c>
      <c r="D756">
        <f>C756*_xlfn.XLOOKUP(B756,AG:AG,AH:AH)</f>
        <v>33150.06</v>
      </c>
      <c r="E756">
        <f>C756*_xlfn.XLOOKUP(B756,AG:AG,AI:AI)</f>
        <v>38454.069599999995</v>
      </c>
      <c r="F756">
        <v>28565</v>
      </c>
      <c r="G756">
        <f>F756*_xlfn.XLOOKUP(B756,AG:AG,AH:AH)</f>
        <v>28565</v>
      </c>
      <c r="H756">
        <f>F756*_xlfn.XLOOKUP(B756,AG:AG,AI:AI)</f>
        <v>33135.399999999994</v>
      </c>
      <c r="I756">
        <f t="shared" si="59"/>
        <v>4585.0599999999977</v>
      </c>
      <c r="J756">
        <f>I756*_xlfn.XLOOKUP(B756,AG:AG,AI:AI)</f>
        <v>5318.6695999999965</v>
      </c>
      <c r="K756" s="7">
        <f>_xlfn.XLOOKUP(A756,Z:Z,AD:AD)</f>
        <v>46008</v>
      </c>
      <c r="L756" s="7">
        <f t="shared" si="60"/>
        <v>45978</v>
      </c>
      <c r="M756">
        <f t="shared" si="61"/>
        <v>11</v>
      </c>
      <c r="N756">
        <f t="shared" si="62"/>
        <v>2025</v>
      </c>
      <c r="W756" s="9">
        <v>552</v>
      </c>
      <c r="X756" s="9" t="s">
        <v>29</v>
      </c>
      <c r="Z756">
        <v>803</v>
      </c>
      <c r="AA756">
        <v>10075</v>
      </c>
      <c r="AB756" t="s">
        <v>28</v>
      </c>
      <c r="AD756" s="20">
        <v>45955</v>
      </c>
    </row>
    <row r="757" spans="1:30">
      <c r="A757">
        <v>809</v>
      </c>
      <c r="B757" t="str">
        <f>_xlfn.XLOOKUP(A757,Z:Z,AB:AB,"not found")</f>
        <v>MXN</v>
      </c>
      <c r="C757">
        <f>_xlfn.XLOOKUP(A757,Z:Z,AA:AA)-_xlfn.XLOOKUP(A757,Q:Q,R:R,"0")</f>
        <v>151470</v>
      </c>
      <c r="D757">
        <f>C757*_xlfn.XLOOKUP(B757,AG:AG,AH:AH)</f>
        <v>7270.56</v>
      </c>
      <c r="E757">
        <f>C757*_xlfn.XLOOKUP(B757,AG:AG,AI:AI)</f>
        <v>8482.32</v>
      </c>
      <c r="F757">
        <v>151470</v>
      </c>
      <c r="G757">
        <f>F757*_xlfn.XLOOKUP(B757,AG:AG,AH:AH)</f>
        <v>7270.56</v>
      </c>
      <c r="H757">
        <f>F757*_xlfn.XLOOKUP(B757,AG:AG,AI:AI)</f>
        <v>8482.32</v>
      </c>
      <c r="I757">
        <f t="shared" si="59"/>
        <v>0</v>
      </c>
      <c r="J757">
        <f>I757*_xlfn.XLOOKUP(B757,AG:AG,AI:AI)</f>
        <v>0</v>
      </c>
      <c r="K757" s="7">
        <f>_xlfn.XLOOKUP(A757,Z:Z,AD:AD)</f>
        <v>46065</v>
      </c>
      <c r="L757" s="7">
        <f t="shared" si="60"/>
        <v>46035</v>
      </c>
      <c r="M757">
        <f t="shared" si="61"/>
        <v>1</v>
      </c>
      <c r="N757">
        <f t="shared" si="62"/>
        <v>2026</v>
      </c>
      <c r="W757" s="9">
        <v>553</v>
      </c>
      <c r="X757" s="9" t="s">
        <v>27</v>
      </c>
      <c r="Z757">
        <v>804</v>
      </c>
      <c r="AA757">
        <v>1672.78</v>
      </c>
      <c r="AB757" t="s">
        <v>29</v>
      </c>
      <c r="AD757" s="20">
        <v>45967</v>
      </c>
    </row>
    <row r="758" spans="1:30">
      <c r="A758">
        <v>810</v>
      </c>
      <c r="B758" t="str">
        <f>_xlfn.XLOOKUP(A758,Z:Z,AB:AB,"not found")</f>
        <v>USD</v>
      </c>
      <c r="C758">
        <f>_xlfn.XLOOKUP(A758,Z:Z,AA:AA)-_xlfn.XLOOKUP(A758,Q:Q,R:R,"0")</f>
        <v>4047.46</v>
      </c>
      <c r="D758">
        <f>C758*_xlfn.XLOOKUP(B758,AG:AG,AH:AH)</f>
        <v>3480.8155999999999</v>
      </c>
      <c r="E758">
        <f>C758*_xlfn.XLOOKUP(B758,AG:AG,AI:AI)</f>
        <v>4047.46</v>
      </c>
      <c r="F758">
        <v>4047.46</v>
      </c>
      <c r="G758">
        <f>F758*_xlfn.XLOOKUP(B758,AG:AG,AH:AH)</f>
        <v>3480.8155999999999</v>
      </c>
      <c r="H758">
        <f>F758*_xlfn.XLOOKUP(B758,AG:AG,AI:AI)</f>
        <v>4047.46</v>
      </c>
      <c r="I758">
        <f t="shared" si="59"/>
        <v>0</v>
      </c>
      <c r="J758">
        <f>I758*_xlfn.XLOOKUP(B758,AG:AG,AI:AI)</f>
        <v>0</v>
      </c>
      <c r="K758" s="7">
        <f>_xlfn.XLOOKUP(A758,Z:Z,AD:AD)</f>
        <v>46060</v>
      </c>
      <c r="L758" s="7">
        <f t="shared" si="60"/>
        <v>46030</v>
      </c>
      <c r="M758">
        <f t="shared" si="61"/>
        <v>1</v>
      </c>
      <c r="N758">
        <f t="shared" si="62"/>
        <v>2026</v>
      </c>
      <c r="W758" s="9">
        <v>553</v>
      </c>
      <c r="X758" s="9" t="s">
        <v>27</v>
      </c>
      <c r="Z758">
        <v>805</v>
      </c>
      <c r="AA758">
        <v>1238.3</v>
      </c>
      <c r="AB758" t="s">
        <v>29</v>
      </c>
      <c r="AD758" s="20">
        <v>45926</v>
      </c>
    </row>
    <row r="759" spans="1:30">
      <c r="A759">
        <v>811</v>
      </c>
      <c r="B759" t="str">
        <f>_xlfn.XLOOKUP(A759,Z:Z,AB:AB,"not found")</f>
        <v>USD</v>
      </c>
      <c r="C759">
        <f>_xlfn.XLOOKUP(A759,Z:Z,AA:AA)-_xlfn.XLOOKUP(A759,Q:Q,R:R,"0")</f>
        <v>7172.88</v>
      </c>
      <c r="D759">
        <f>C759*_xlfn.XLOOKUP(B759,AG:AG,AH:AH)</f>
        <v>6168.6768000000002</v>
      </c>
      <c r="E759">
        <f>C759*_xlfn.XLOOKUP(B759,AG:AG,AI:AI)</f>
        <v>7172.88</v>
      </c>
      <c r="F759">
        <v>7172.88</v>
      </c>
      <c r="G759">
        <f>F759*_xlfn.XLOOKUP(B759,AG:AG,AH:AH)</f>
        <v>6168.6768000000002</v>
      </c>
      <c r="H759">
        <f>F759*_xlfn.XLOOKUP(B759,AG:AG,AI:AI)</f>
        <v>7172.88</v>
      </c>
      <c r="I759">
        <f t="shared" si="59"/>
        <v>0</v>
      </c>
      <c r="J759">
        <f>I759*_xlfn.XLOOKUP(B759,AG:AG,AI:AI)</f>
        <v>0</v>
      </c>
      <c r="K759" s="7">
        <f>_xlfn.XLOOKUP(A759,Z:Z,AD:AD)</f>
        <v>45975</v>
      </c>
      <c r="L759" s="7">
        <f t="shared" si="60"/>
        <v>45945</v>
      </c>
      <c r="M759">
        <f t="shared" si="61"/>
        <v>10</v>
      </c>
      <c r="N759">
        <f t="shared" si="62"/>
        <v>2025</v>
      </c>
      <c r="W759" s="9">
        <v>554</v>
      </c>
      <c r="X759" s="9" t="s">
        <v>29</v>
      </c>
      <c r="Z759">
        <v>806</v>
      </c>
      <c r="AA759">
        <v>14262</v>
      </c>
      <c r="AB759" t="s">
        <v>29</v>
      </c>
      <c r="AD759" s="20">
        <v>45973</v>
      </c>
    </row>
    <row r="760" spans="1:30">
      <c r="A760">
        <v>812</v>
      </c>
      <c r="B760" t="str">
        <f>_xlfn.XLOOKUP(A760,Z:Z,AB:AB,"not found")</f>
        <v>USD</v>
      </c>
      <c r="C760">
        <f>_xlfn.XLOOKUP(A760,Z:Z,AA:AA)-_xlfn.XLOOKUP(A760,Q:Q,R:R,"0")</f>
        <v>25901.97</v>
      </c>
      <c r="D760">
        <f>C760*_xlfn.XLOOKUP(B760,AG:AG,AH:AH)</f>
        <v>22275.694200000002</v>
      </c>
      <c r="E760">
        <f>C760*_xlfn.XLOOKUP(B760,AG:AG,AI:AI)</f>
        <v>25901.97</v>
      </c>
      <c r="F760">
        <v>25901.97</v>
      </c>
      <c r="G760">
        <f>F760*_xlfn.XLOOKUP(B760,AG:AG,AH:AH)</f>
        <v>22275.694200000002</v>
      </c>
      <c r="H760">
        <f>F760*_xlfn.XLOOKUP(B760,AG:AG,AI:AI)</f>
        <v>25901.97</v>
      </c>
      <c r="I760">
        <f t="shared" si="59"/>
        <v>0</v>
      </c>
      <c r="J760">
        <f>I760*_xlfn.XLOOKUP(B760,AG:AG,AI:AI)</f>
        <v>0</v>
      </c>
      <c r="K760" s="7">
        <f>_xlfn.XLOOKUP(A760,Z:Z,AD:AD)</f>
        <v>45994</v>
      </c>
      <c r="L760" s="7">
        <f t="shared" si="60"/>
        <v>45964</v>
      </c>
      <c r="M760">
        <f t="shared" si="61"/>
        <v>11</v>
      </c>
      <c r="N760">
        <f t="shared" si="62"/>
        <v>2025</v>
      </c>
      <c r="W760" s="9">
        <v>555</v>
      </c>
      <c r="X760" s="9" t="s">
        <v>29</v>
      </c>
      <c r="Z760">
        <v>807</v>
      </c>
      <c r="AA760">
        <v>146203.39000000001</v>
      </c>
      <c r="AB760" t="s">
        <v>29</v>
      </c>
      <c r="AD760" s="20">
        <v>46005</v>
      </c>
    </row>
    <row r="761" spans="1:30">
      <c r="A761">
        <v>813</v>
      </c>
      <c r="B761" t="str">
        <f>_xlfn.XLOOKUP(A761,Z:Z,AB:AB,"not found")</f>
        <v>EUR</v>
      </c>
      <c r="C761">
        <f>_xlfn.XLOOKUP(A761,Z:Z,AA:AA)-_xlfn.XLOOKUP(A761,Q:Q,R:R,"0")</f>
        <v>78073.98</v>
      </c>
      <c r="D761">
        <f>C761*_xlfn.XLOOKUP(B761,AG:AG,AH:AH)</f>
        <v>78073.98</v>
      </c>
      <c r="E761">
        <f>C761*_xlfn.XLOOKUP(B761,AG:AG,AI:AI)</f>
        <v>90565.816799999986</v>
      </c>
      <c r="F761">
        <v>78073.98</v>
      </c>
      <c r="G761">
        <f>F761*_xlfn.XLOOKUP(B761,AG:AG,AH:AH)</f>
        <v>78073.98</v>
      </c>
      <c r="H761">
        <f>F761*_xlfn.XLOOKUP(B761,AG:AG,AI:AI)</f>
        <v>90565.816799999986</v>
      </c>
      <c r="I761">
        <f t="shared" si="59"/>
        <v>0</v>
      </c>
      <c r="J761">
        <f>I761*_xlfn.XLOOKUP(B761,AG:AG,AI:AI)</f>
        <v>0</v>
      </c>
      <c r="K761" s="7">
        <f>_xlfn.XLOOKUP(A761,Z:Z,AD:AD)</f>
        <v>46005</v>
      </c>
      <c r="L761" s="7">
        <f t="shared" si="60"/>
        <v>45975</v>
      </c>
      <c r="M761">
        <f t="shared" si="61"/>
        <v>11</v>
      </c>
      <c r="N761">
        <f t="shared" si="62"/>
        <v>2025</v>
      </c>
      <c r="W761" s="9">
        <v>557</v>
      </c>
      <c r="X761" s="9" t="s">
        <v>29</v>
      </c>
      <c r="Z761">
        <v>808</v>
      </c>
      <c r="AA761">
        <v>33150.06</v>
      </c>
      <c r="AB761" t="s">
        <v>27</v>
      </c>
      <c r="AD761" s="20">
        <v>46008</v>
      </c>
    </row>
    <row r="762" spans="1:30">
      <c r="A762">
        <v>814</v>
      </c>
      <c r="B762" t="str">
        <f>_xlfn.XLOOKUP(A762,Z:Z,AB:AB,"not found")</f>
        <v>EUR</v>
      </c>
      <c r="C762">
        <f>_xlfn.XLOOKUP(A762,Z:Z,AA:AA)-_xlfn.XLOOKUP(A762,Q:Q,R:R,"0")</f>
        <v>10102.64</v>
      </c>
      <c r="D762">
        <f>C762*_xlfn.XLOOKUP(B762,AG:AG,AH:AH)</f>
        <v>10102.64</v>
      </c>
      <c r="E762">
        <f>C762*_xlfn.XLOOKUP(B762,AG:AG,AI:AI)</f>
        <v>11719.062399999999</v>
      </c>
      <c r="F762">
        <v>3272</v>
      </c>
      <c r="G762">
        <f>F762*_xlfn.XLOOKUP(B762,AG:AG,AH:AH)</f>
        <v>3272</v>
      </c>
      <c r="H762">
        <f>F762*_xlfn.XLOOKUP(B762,AG:AG,AI:AI)</f>
        <v>3795.5199999999995</v>
      </c>
      <c r="I762">
        <f t="shared" si="59"/>
        <v>6830.6399999999994</v>
      </c>
      <c r="J762">
        <f>I762*_xlfn.XLOOKUP(B762,AG:AG,AI:AI)</f>
        <v>7923.5423999999985</v>
      </c>
      <c r="K762" s="7">
        <f>_xlfn.XLOOKUP(A762,Z:Z,AD:AD)</f>
        <v>46140</v>
      </c>
      <c r="L762" s="7">
        <f t="shared" si="60"/>
        <v>46110</v>
      </c>
      <c r="M762">
        <f t="shared" si="61"/>
        <v>3</v>
      </c>
      <c r="N762">
        <f t="shared" si="62"/>
        <v>2026</v>
      </c>
      <c r="W762" s="9">
        <v>557</v>
      </c>
      <c r="X762" s="9" t="s">
        <v>29</v>
      </c>
      <c r="Z762">
        <v>809</v>
      </c>
      <c r="AA762">
        <v>151470</v>
      </c>
      <c r="AB762" t="s">
        <v>28</v>
      </c>
      <c r="AD762" s="20">
        <v>46065</v>
      </c>
    </row>
    <row r="763" spans="1:30">
      <c r="A763">
        <v>815</v>
      </c>
      <c r="B763" t="str">
        <f>_xlfn.XLOOKUP(A763,Z:Z,AB:AB,"not found")</f>
        <v>MXN</v>
      </c>
      <c r="C763">
        <f>_xlfn.XLOOKUP(A763,Z:Z,AA:AA)-_xlfn.XLOOKUP(A763,Q:Q,R:R,"0")</f>
        <v>242062.51</v>
      </c>
      <c r="D763">
        <f>C763*_xlfn.XLOOKUP(B763,AG:AG,AH:AH)</f>
        <v>11619.000480000001</v>
      </c>
      <c r="E763">
        <f>C763*_xlfn.XLOOKUP(B763,AG:AG,AI:AI)</f>
        <v>13555.50056</v>
      </c>
      <c r="F763">
        <v>242062.51</v>
      </c>
      <c r="G763">
        <f>F763*_xlfn.XLOOKUP(B763,AG:AG,AH:AH)</f>
        <v>11619.000480000001</v>
      </c>
      <c r="H763">
        <f>F763*_xlfn.XLOOKUP(B763,AG:AG,AI:AI)</f>
        <v>13555.50056</v>
      </c>
      <c r="I763">
        <f t="shared" si="59"/>
        <v>0</v>
      </c>
      <c r="J763">
        <f>I763*_xlfn.XLOOKUP(B763,AG:AG,AI:AI)</f>
        <v>0</v>
      </c>
      <c r="K763" s="7">
        <f>_xlfn.XLOOKUP(A763,Z:Z,AD:AD)</f>
        <v>46007</v>
      </c>
      <c r="L763" s="7">
        <f t="shared" si="60"/>
        <v>45977</v>
      </c>
      <c r="M763">
        <f t="shared" si="61"/>
        <v>11</v>
      </c>
      <c r="N763">
        <f t="shared" si="62"/>
        <v>2025</v>
      </c>
      <c r="W763" s="9">
        <v>557</v>
      </c>
      <c r="X763" s="9" t="s">
        <v>29</v>
      </c>
      <c r="Z763">
        <v>810</v>
      </c>
      <c r="AA763">
        <v>4047.46</v>
      </c>
      <c r="AB763" t="s">
        <v>29</v>
      </c>
      <c r="AD763" s="20">
        <v>46060</v>
      </c>
    </row>
    <row r="764" spans="1:30">
      <c r="A764">
        <v>817</v>
      </c>
      <c r="B764" t="str">
        <f>_xlfn.XLOOKUP(A764,Z:Z,AB:AB,"not found")</f>
        <v>USD</v>
      </c>
      <c r="C764">
        <f>_xlfn.XLOOKUP(A764,Z:Z,AA:AA)-_xlfn.XLOOKUP(A764,Q:Q,R:R,"0")</f>
        <v>844.67</v>
      </c>
      <c r="D764">
        <f>C764*_xlfn.XLOOKUP(B764,AG:AG,AH:AH)</f>
        <v>726.4162</v>
      </c>
      <c r="E764">
        <f>C764*_xlfn.XLOOKUP(B764,AG:AG,AI:AI)</f>
        <v>844.67</v>
      </c>
      <c r="F764">
        <v>844.67</v>
      </c>
      <c r="G764">
        <f>F764*_xlfn.XLOOKUP(B764,AG:AG,AH:AH)</f>
        <v>726.4162</v>
      </c>
      <c r="H764">
        <f>F764*_xlfn.XLOOKUP(B764,AG:AG,AI:AI)</f>
        <v>844.67</v>
      </c>
      <c r="I764">
        <f t="shared" si="59"/>
        <v>0</v>
      </c>
      <c r="J764">
        <f>I764*_xlfn.XLOOKUP(B764,AG:AG,AI:AI)</f>
        <v>0</v>
      </c>
      <c r="K764" s="7">
        <f>_xlfn.XLOOKUP(A764,Z:Z,AD:AD)</f>
        <v>45987</v>
      </c>
      <c r="L764" s="7">
        <f t="shared" si="60"/>
        <v>45957</v>
      </c>
      <c r="M764">
        <f t="shared" si="61"/>
        <v>10</v>
      </c>
      <c r="N764">
        <f t="shared" si="62"/>
        <v>2025</v>
      </c>
      <c r="W764" s="9">
        <v>558</v>
      </c>
      <c r="X764" s="9" t="s">
        <v>29</v>
      </c>
      <c r="Z764">
        <v>811</v>
      </c>
      <c r="AA764">
        <v>7172.88</v>
      </c>
      <c r="AB764" t="s">
        <v>29</v>
      </c>
      <c r="AD764" s="20">
        <v>45975</v>
      </c>
    </row>
    <row r="765" spans="1:30">
      <c r="A765">
        <v>818</v>
      </c>
      <c r="B765" t="str">
        <f>_xlfn.XLOOKUP(A765,Z:Z,AB:AB,"not found")</f>
        <v>USD</v>
      </c>
      <c r="C765">
        <f>_xlfn.XLOOKUP(A765,Z:Z,AA:AA)-_xlfn.XLOOKUP(A765,Q:Q,R:R,"0")</f>
        <v>11620.08</v>
      </c>
      <c r="D765">
        <f>C765*_xlfn.XLOOKUP(B765,AG:AG,AH:AH)</f>
        <v>9993.2687999999998</v>
      </c>
      <c r="E765">
        <f>C765*_xlfn.XLOOKUP(B765,AG:AG,AI:AI)</f>
        <v>11620.08</v>
      </c>
      <c r="F765">
        <v>12605.78</v>
      </c>
      <c r="G765">
        <f>F765*_xlfn.XLOOKUP(B765,AG:AG,AH:AH)</f>
        <v>10840.970800000001</v>
      </c>
      <c r="H765">
        <f>F765*_xlfn.XLOOKUP(B765,AG:AG,AI:AI)</f>
        <v>12605.78</v>
      </c>
      <c r="I765">
        <f t="shared" si="59"/>
        <v>-985.70000000000073</v>
      </c>
      <c r="J765">
        <f>I765*_xlfn.XLOOKUP(B765,AG:AG,AI:AI)</f>
        <v>-985.70000000000073</v>
      </c>
      <c r="K765" s="7">
        <f>_xlfn.XLOOKUP(A765,Z:Z,AD:AD)</f>
        <v>45973</v>
      </c>
      <c r="L765" s="7">
        <f t="shared" si="60"/>
        <v>45943</v>
      </c>
      <c r="M765">
        <f t="shared" si="61"/>
        <v>10</v>
      </c>
      <c r="N765">
        <f t="shared" si="62"/>
        <v>2025</v>
      </c>
      <c r="W765" s="9">
        <v>558</v>
      </c>
      <c r="X765" s="9" t="s">
        <v>29</v>
      </c>
      <c r="Z765">
        <v>812</v>
      </c>
      <c r="AA765">
        <v>25901.97</v>
      </c>
      <c r="AB765" t="s">
        <v>29</v>
      </c>
      <c r="AD765" s="20">
        <v>45994</v>
      </c>
    </row>
    <row r="766" spans="1:30">
      <c r="A766">
        <v>819</v>
      </c>
      <c r="B766" t="str">
        <f>_xlfn.XLOOKUP(A766,Z:Z,AB:AB,"not found")</f>
        <v>USD</v>
      </c>
      <c r="C766">
        <f>_xlfn.XLOOKUP(A766,Z:Z,AA:AA)-_xlfn.XLOOKUP(A766,Q:Q,R:R,"0")</f>
        <v>1011.5999999999999</v>
      </c>
      <c r="D766">
        <f>C766*_xlfn.XLOOKUP(B766,AG:AG,AH:AH)</f>
        <v>869.97599999999989</v>
      </c>
      <c r="E766">
        <f>C766*_xlfn.XLOOKUP(B766,AG:AG,AI:AI)</f>
        <v>1011.5999999999999</v>
      </c>
      <c r="F766">
        <v>2695.29</v>
      </c>
      <c r="G766">
        <f>F766*_xlfn.XLOOKUP(B766,AG:AG,AH:AH)</f>
        <v>2317.9494</v>
      </c>
      <c r="H766">
        <f>F766*_xlfn.XLOOKUP(B766,AG:AG,AI:AI)</f>
        <v>2695.29</v>
      </c>
      <c r="I766">
        <f t="shared" si="59"/>
        <v>435.36000000000013</v>
      </c>
      <c r="J766">
        <f>I766*_xlfn.XLOOKUP(B766,AG:AG,AI:AI)</f>
        <v>435.36000000000013</v>
      </c>
      <c r="K766" s="7">
        <f>_xlfn.XLOOKUP(A766,Z:Z,AD:AD)</f>
        <v>45970</v>
      </c>
      <c r="L766" s="7">
        <f t="shared" si="60"/>
        <v>45940</v>
      </c>
      <c r="M766">
        <f t="shared" si="61"/>
        <v>10</v>
      </c>
      <c r="N766">
        <f t="shared" si="62"/>
        <v>2025</v>
      </c>
      <c r="W766" s="9">
        <v>558</v>
      </c>
      <c r="X766" s="9" t="s">
        <v>29</v>
      </c>
      <c r="Z766">
        <v>813</v>
      </c>
      <c r="AA766">
        <v>78073.98</v>
      </c>
      <c r="AB766" t="s">
        <v>27</v>
      </c>
      <c r="AD766" s="20">
        <v>46005</v>
      </c>
    </row>
    <row r="767" spans="1:30">
      <c r="A767">
        <v>820</v>
      </c>
      <c r="B767" t="str">
        <f>_xlfn.XLOOKUP(A767,Z:Z,AB:AB,"not found")</f>
        <v>MXN</v>
      </c>
      <c r="C767">
        <f>_xlfn.XLOOKUP(A767,Z:Z,AA:AA)-_xlfn.XLOOKUP(A767,Q:Q,R:R,"0")</f>
        <v>5044</v>
      </c>
      <c r="D767">
        <f>C767*_xlfn.XLOOKUP(B767,AG:AG,AH:AH)</f>
        <v>242.11199999999999</v>
      </c>
      <c r="E767">
        <f>C767*_xlfn.XLOOKUP(B767,AG:AG,AI:AI)</f>
        <v>282.464</v>
      </c>
      <c r="F767">
        <v>22963</v>
      </c>
      <c r="G767">
        <f>F767*_xlfn.XLOOKUP(B767,AG:AG,AH:AH)</f>
        <v>1102.2239999999999</v>
      </c>
      <c r="H767">
        <f>F767*_xlfn.XLOOKUP(B767,AG:AG,AI:AI)</f>
        <v>1285.9280000000001</v>
      </c>
      <c r="I767">
        <f t="shared" si="59"/>
        <v>0</v>
      </c>
      <c r="J767">
        <f>I767*_xlfn.XLOOKUP(B767,AG:AG,AI:AI)</f>
        <v>0</v>
      </c>
      <c r="K767" s="7">
        <f>_xlfn.XLOOKUP(A767,Z:Z,AD:AD)</f>
        <v>46001</v>
      </c>
      <c r="L767" s="7">
        <f t="shared" si="60"/>
        <v>45971</v>
      </c>
      <c r="M767">
        <f t="shared" si="61"/>
        <v>11</v>
      </c>
      <c r="N767">
        <f t="shared" si="62"/>
        <v>2025</v>
      </c>
      <c r="W767" s="9">
        <v>558</v>
      </c>
      <c r="X767" s="9" t="s">
        <v>29</v>
      </c>
      <c r="Z767">
        <v>814</v>
      </c>
      <c r="AA767">
        <v>10102.64</v>
      </c>
      <c r="AB767" t="s">
        <v>27</v>
      </c>
      <c r="AD767" s="20">
        <v>46140</v>
      </c>
    </row>
    <row r="768" spans="1:30">
      <c r="A768">
        <v>821</v>
      </c>
      <c r="B768" t="str">
        <f>_xlfn.XLOOKUP(A768,Z:Z,AB:AB,"not found")</f>
        <v>EUR</v>
      </c>
      <c r="C768">
        <f>_xlfn.XLOOKUP(A768,Z:Z,AA:AA)-_xlfn.XLOOKUP(A768,Q:Q,R:R,"0")</f>
        <v>1139.3599999999999</v>
      </c>
      <c r="D768">
        <f>C768*_xlfn.XLOOKUP(B768,AG:AG,AH:AH)</f>
        <v>1139.3599999999999</v>
      </c>
      <c r="E768">
        <f>C768*_xlfn.XLOOKUP(B768,AG:AG,AI:AI)</f>
        <v>1321.6575999999998</v>
      </c>
      <c r="F768">
        <v>1581.36</v>
      </c>
      <c r="G768">
        <f>F768*_xlfn.XLOOKUP(B768,AG:AG,AH:AH)</f>
        <v>1581.36</v>
      </c>
      <c r="H768">
        <f>F768*_xlfn.XLOOKUP(B768,AG:AG,AI:AI)</f>
        <v>1834.3775999999998</v>
      </c>
      <c r="I768">
        <f t="shared" si="59"/>
        <v>0</v>
      </c>
      <c r="J768">
        <f>I768*_xlfn.XLOOKUP(B768,AG:AG,AI:AI)</f>
        <v>0</v>
      </c>
      <c r="K768" s="7">
        <f>_xlfn.XLOOKUP(A768,Z:Z,AD:AD)</f>
        <v>45972</v>
      </c>
      <c r="L768" s="7">
        <f t="shared" si="60"/>
        <v>45942</v>
      </c>
      <c r="M768">
        <f t="shared" si="61"/>
        <v>10</v>
      </c>
      <c r="N768">
        <f t="shared" si="62"/>
        <v>2025</v>
      </c>
      <c r="W768" s="9">
        <v>560</v>
      </c>
      <c r="X768" s="9" t="s">
        <v>32</v>
      </c>
      <c r="Z768">
        <v>815</v>
      </c>
      <c r="AA768">
        <v>242062.51</v>
      </c>
      <c r="AB768" t="s">
        <v>28</v>
      </c>
      <c r="AD768" s="20">
        <v>46007</v>
      </c>
    </row>
    <row r="769" spans="1:30">
      <c r="A769">
        <v>822</v>
      </c>
      <c r="B769" t="str">
        <f>_xlfn.XLOOKUP(A769,Z:Z,AB:AB,"not found")</f>
        <v>USD</v>
      </c>
      <c r="C769">
        <f>_xlfn.XLOOKUP(A769,Z:Z,AA:AA)-_xlfn.XLOOKUP(A769,Q:Q,R:R,"0")</f>
        <v>9030</v>
      </c>
      <c r="D769">
        <f>C769*_xlfn.XLOOKUP(B769,AG:AG,AH:AH)</f>
        <v>7765.8</v>
      </c>
      <c r="E769">
        <f>C769*_xlfn.XLOOKUP(B769,AG:AG,AI:AI)</f>
        <v>9030</v>
      </c>
      <c r="F769">
        <v>9030</v>
      </c>
      <c r="G769">
        <f>F769*_xlfn.XLOOKUP(B769,AG:AG,AH:AH)</f>
        <v>7765.8</v>
      </c>
      <c r="H769">
        <f>F769*_xlfn.XLOOKUP(B769,AG:AG,AI:AI)</f>
        <v>9030</v>
      </c>
      <c r="I769">
        <f t="shared" si="59"/>
        <v>0</v>
      </c>
      <c r="J769">
        <f>I769*_xlfn.XLOOKUP(B769,AG:AG,AI:AI)</f>
        <v>0</v>
      </c>
      <c r="K769" s="7">
        <f>_xlfn.XLOOKUP(A769,Z:Z,AD:AD)</f>
        <v>45973</v>
      </c>
      <c r="L769" s="7">
        <f t="shared" si="60"/>
        <v>45943</v>
      </c>
      <c r="M769">
        <f t="shared" si="61"/>
        <v>10</v>
      </c>
      <c r="N769">
        <f t="shared" si="62"/>
        <v>2025</v>
      </c>
      <c r="W769" s="9">
        <v>561</v>
      </c>
      <c r="X769" s="9" t="s">
        <v>28</v>
      </c>
      <c r="Z769">
        <v>817</v>
      </c>
      <c r="AA769">
        <v>844.67</v>
      </c>
      <c r="AB769" t="s">
        <v>29</v>
      </c>
      <c r="AD769" s="20">
        <v>45987</v>
      </c>
    </row>
    <row r="770" spans="1:30">
      <c r="A770">
        <v>823</v>
      </c>
      <c r="B770" t="str">
        <f>_xlfn.XLOOKUP(A770,Z:Z,AB:AB,"not found")</f>
        <v>GBP</v>
      </c>
      <c r="C770">
        <f>_xlfn.XLOOKUP(A770,Z:Z,AA:AA)-_xlfn.XLOOKUP(A770,Q:Q,R:R,"0")</f>
        <v>37000</v>
      </c>
      <c r="D770">
        <f>C770*_xlfn.XLOOKUP(B770,AG:AG,AH:AH)</f>
        <v>42550</v>
      </c>
      <c r="E770">
        <f>C770*_xlfn.XLOOKUP(B770,AG:AG,AI:AI)</f>
        <v>49580</v>
      </c>
      <c r="F770">
        <v>37000</v>
      </c>
      <c r="G770">
        <f>F770*_xlfn.XLOOKUP(B770,AG:AG,AH:AH)</f>
        <v>42550</v>
      </c>
      <c r="H770">
        <f>F770*_xlfn.XLOOKUP(B770,AG:AG,AI:AI)</f>
        <v>49580</v>
      </c>
      <c r="I770">
        <f t="shared" si="59"/>
        <v>0</v>
      </c>
      <c r="J770">
        <f>I770*_xlfn.XLOOKUP(B770,AG:AG,AI:AI)</f>
        <v>0</v>
      </c>
      <c r="K770" s="7">
        <f>_xlfn.XLOOKUP(A770,Z:Z,AD:AD)</f>
        <v>46210</v>
      </c>
      <c r="L770" s="7">
        <f t="shared" si="60"/>
        <v>46180</v>
      </c>
      <c r="M770">
        <f t="shared" si="61"/>
        <v>6</v>
      </c>
      <c r="N770">
        <f t="shared" si="62"/>
        <v>2026</v>
      </c>
      <c r="W770" s="9">
        <v>561</v>
      </c>
      <c r="X770" s="9" t="s">
        <v>28</v>
      </c>
      <c r="Z770">
        <v>818</v>
      </c>
      <c r="AA770">
        <v>11620.08</v>
      </c>
      <c r="AB770" t="s">
        <v>29</v>
      </c>
      <c r="AD770" s="20">
        <v>45973</v>
      </c>
    </row>
    <row r="771" spans="1:30">
      <c r="A771">
        <v>824</v>
      </c>
      <c r="B771" t="str">
        <f>_xlfn.XLOOKUP(A771,Z:Z,AB:AB,"not found")</f>
        <v>MXN</v>
      </c>
      <c r="C771">
        <f>_xlfn.XLOOKUP(A771,Z:Z,AA:AA)-_xlfn.XLOOKUP(A771,Q:Q,R:R,"0")</f>
        <v>0</v>
      </c>
      <c r="D771">
        <f>C771*_xlfn.XLOOKUP(B771,AG:AG,AH:AH)</f>
        <v>0</v>
      </c>
      <c r="E771">
        <f>C771*_xlfn.XLOOKUP(B771,AG:AG,AI:AI)</f>
        <v>0</v>
      </c>
      <c r="F771">
        <v>107577</v>
      </c>
      <c r="G771">
        <f>F771*_xlfn.XLOOKUP(B771,AG:AG,AH:AH)</f>
        <v>5163.6959999999999</v>
      </c>
      <c r="H771">
        <f>F771*_xlfn.XLOOKUP(B771,AG:AG,AI:AI)</f>
        <v>6024.3119999999999</v>
      </c>
      <c r="I771">
        <f t="shared" ref="I771:I834" si="63">C771-F771+_xlfn.XLOOKUP(A771,Q:Q,R:R,"0")</f>
        <v>0</v>
      </c>
      <c r="J771">
        <f>I771*_xlfn.XLOOKUP(B771,AG:AG,AI:AI)</f>
        <v>0</v>
      </c>
      <c r="K771" s="7">
        <f>_xlfn.XLOOKUP(A771,Z:Z,AD:AD)</f>
        <v>45981</v>
      </c>
      <c r="L771" s="7">
        <f t="shared" si="60"/>
        <v>45951</v>
      </c>
      <c r="M771">
        <f t="shared" si="61"/>
        <v>10</v>
      </c>
      <c r="N771">
        <f t="shared" si="62"/>
        <v>2025</v>
      </c>
      <c r="W771" s="9">
        <v>561</v>
      </c>
      <c r="X771" s="9" t="s">
        <v>28</v>
      </c>
      <c r="Z771">
        <v>819</v>
      </c>
      <c r="AA771">
        <v>3130.65</v>
      </c>
      <c r="AB771" t="s">
        <v>29</v>
      </c>
      <c r="AD771" s="20">
        <v>45970</v>
      </c>
    </row>
    <row r="772" spans="1:30">
      <c r="A772">
        <v>827</v>
      </c>
      <c r="B772" t="str">
        <f>_xlfn.XLOOKUP(A772,Z:Z,AB:AB,"not found")</f>
        <v>USD</v>
      </c>
      <c r="C772">
        <f>_xlfn.XLOOKUP(A772,Z:Z,AA:AA)-_xlfn.XLOOKUP(A772,Q:Q,R:R,"0")</f>
        <v>0</v>
      </c>
      <c r="D772">
        <f>C772*_xlfn.XLOOKUP(B772,AG:AG,AH:AH)</f>
        <v>0</v>
      </c>
      <c r="E772">
        <f>C772*_xlfn.XLOOKUP(B772,AG:AG,AI:AI)</f>
        <v>0</v>
      </c>
      <c r="F772">
        <v>5500</v>
      </c>
      <c r="G772">
        <f>F772*_xlfn.XLOOKUP(B772,AG:AG,AH:AH)</f>
        <v>4730</v>
      </c>
      <c r="H772">
        <f>F772*_xlfn.XLOOKUP(B772,AG:AG,AI:AI)</f>
        <v>5500</v>
      </c>
      <c r="I772">
        <f t="shared" si="63"/>
        <v>0</v>
      </c>
      <c r="J772">
        <f>I772*_xlfn.XLOOKUP(B772,AG:AG,AI:AI)</f>
        <v>0</v>
      </c>
      <c r="K772" s="7">
        <f>_xlfn.XLOOKUP(A772,Z:Z,AD:AD)</f>
        <v>45969</v>
      </c>
      <c r="L772" s="7">
        <f t="shared" si="60"/>
        <v>45939</v>
      </c>
      <c r="M772">
        <f t="shared" si="61"/>
        <v>10</v>
      </c>
      <c r="N772">
        <f t="shared" si="62"/>
        <v>2025</v>
      </c>
      <c r="W772" s="9">
        <v>561</v>
      </c>
      <c r="X772" s="9" t="s">
        <v>28</v>
      </c>
      <c r="Z772">
        <v>820</v>
      </c>
      <c r="AA772">
        <v>22963</v>
      </c>
      <c r="AB772" t="s">
        <v>28</v>
      </c>
      <c r="AD772" s="20">
        <v>46001</v>
      </c>
    </row>
    <row r="773" spans="1:30">
      <c r="A773">
        <v>828</v>
      </c>
      <c r="B773" t="str">
        <f>_xlfn.XLOOKUP(A773,Z:Z,AB:AB,"not found")</f>
        <v>MXN</v>
      </c>
      <c r="C773">
        <f>_xlfn.XLOOKUP(A773,Z:Z,AA:AA)-_xlfn.XLOOKUP(A773,Q:Q,R:R,"0")</f>
        <v>0</v>
      </c>
      <c r="D773">
        <f>C773*_xlfn.XLOOKUP(B773,AG:AG,AH:AH)</f>
        <v>0</v>
      </c>
      <c r="E773">
        <f>C773*_xlfn.XLOOKUP(B773,AG:AG,AI:AI)</f>
        <v>0</v>
      </c>
      <c r="F773">
        <v>124392</v>
      </c>
      <c r="G773">
        <f>F773*_xlfn.XLOOKUP(B773,AG:AG,AH:AH)</f>
        <v>5970.8159999999998</v>
      </c>
      <c r="H773">
        <f>F773*_xlfn.XLOOKUP(B773,AG:AG,AI:AI)</f>
        <v>6965.9520000000002</v>
      </c>
      <c r="I773">
        <f t="shared" si="63"/>
        <v>0</v>
      </c>
      <c r="J773">
        <f>I773*_xlfn.XLOOKUP(B773,AG:AG,AI:AI)</f>
        <v>0</v>
      </c>
      <c r="K773" s="7">
        <f>_xlfn.XLOOKUP(A773,Z:Z,AD:AD)</f>
        <v>46011</v>
      </c>
      <c r="L773" s="7">
        <f t="shared" si="60"/>
        <v>45981</v>
      </c>
      <c r="M773">
        <f t="shared" si="61"/>
        <v>11</v>
      </c>
      <c r="N773">
        <f t="shared" si="62"/>
        <v>2025</v>
      </c>
      <c r="W773" s="9">
        <v>562</v>
      </c>
      <c r="X773" s="9" t="s">
        <v>29</v>
      </c>
      <c r="Z773">
        <v>821</v>
      </c>
      <c r="AA773">
        <v>1581.36</v>
      </c>
      <c r="AB773" t="s">
        <v>27</v>
      </c>
      <c r="AD773" s="20">
        <v>45972</v>
      </c>
    </row>
    <row r="774" spans="1:30">
      <c r="A774">
        <v>829</v>
      </c>
      <c r="B774" t="str">
        <f>_xlfn.XLOOKUP(A774,Z:Z,AB:AB,"not found")</f>
        <v>USD</v>
      </c>
      <c r="C774">
        <f>_xlfn.XLOOKUP(A774,Z:Z,AA:AA)-_xlfn.XLOOKUP(A774,Q:Q,R:R,"0")</f>
        <v>0</v>
      </c>
      <c r="D774">
        <f>C774*_xlfn.XLOOKUP(B774,AG:AG,AH:AH)</f>
        <v>0</v>
      </c>
      <c r="E774">
        <f>C774*_xlfn.XLOOKUP(B774,AG:AG,AI:AI)</f>
        <v>0</v>
      </c>
      <c r="F774">
        <v>6388.26</v>
      </c>
      <c r="G774">
        <f>F774*_xlfn.XLOOKUP(B774,AG:AG,AH:AH)</f>
        <v>5493.9036000000006</v>
      </c>
      <c r="H774">
        <f>F774*_xlfn.XLOOKUP(B774,AG:AG,AI:AI)</f>
        <v>6388.26</v>
      </c>
      <c r="I774">
        <f t="shared" si="63"/>
        <v>0</v>
      </c>
      <c r="J774">
        <f>I774*_xlfn.XLOOKUP(B774,AG:AG,AI:AI)</f>
        <v>0</v>
      </c>
      <c r="K774" s="7">
        <f>_xlfn.XLOOKUP(A774,Z:Z,AD:AD)</f>
        <v>45954</v>
      </c>
      <c r="L774" s="7">
        <f t="shared" si="60"/>
        <v>45924</v>
      </c>
      <c r="M774">
        <f t="shared" si="61"/>
        <v>9</v>
      </c>
      <c r="N774">
        <f t="shared" si="62"/>
        <v>2025</v>
      </c>
      <c r="W774" s="9">
        <v>562</v>
      </c>
      <c r="X774" s="9" t="s">
        <v>29</v>
      </c>
      <c r="Z774">
        <v>822</v>
      </c>
      <c r="AA774">
        <v>9030</v>
      </c>
      <c r="AB774" t="s">
        <v>29</v>
      </c>
      <c r="AD774" s="20">
        <v>45973</v>
      </c>
    </row>
    <row r="775" spans="1:30">
      <c r="A775">
        <v>830</v>
      </c>
      <c r="B775" t="str">
        <f>_xlfn.XLOOKUP(A775,Z:Z,AB:AB,"not found")</f>
        <v>USD</v>
      </c>
      <c r="C775">
        <f>_xlfn.XLOOKUP(A775,Z:Z,AA:AA)-_xlfn.XLOOKUP(A775,Q:Q,R:R,"0")</f>
        <v>93180</v>
      </c>
      <c r="D775">
        <f>C775*_xlfn.XLOOKUP(B775,AG:AG,AH:AH)</f>
        <v>80134.8</v>
      </c>
      <c r="E775">
        <f>C775*_xlfn.XLOOKUP(B775,AG:AG,AI:AI)</f>
        <v>93180</v>
      </c>
      <c r="F775">
        <v>116083.09</v>
      </c>
      <c r="G775">
        <f>F775*_xlfn.XLOOKUP(B775,AG:AG,AH:AH)</f>
        <v>99831.457399999999</v>
      </c>
      <c r="H775">
        <f>F775*_xlfn.XLOOKUP(B775,AG:AG,AI:AI)</f>
        <v>116083.09</v>
      </c>
      <c r="I775">
        <f t="shared" si="63"/>
        <v>-1.0899999999965075</v>
      </c>
      <c r="J775">
        <f>I775*_xlfn.XLOOKUP(B775,AG:AG,AI:AI)</f>
        <v>-1.0899999999965075</v>
      </c>
      <c r="K775" s="7">
        <f>_xlfn.XLOOKUP(A775,Z:Z,AD:AD)</f>
        <v>46015</v>
      </c>
      <c r="L775" s="7">
        <f t="shared" si="60"/>
        <v>45985</v>
      </c>
      <c r="M775">
        <f t="shared" si="61"/>
        <v>11</v>
      </c>
      <c r="N775">
        <f t="shared" si="62"/>
        <v>2025</v>
      </c>
      <c r="W775" s="9">
        <v>563</v>
      </c>
      <c r="X775" s="9" t="s">
        <v>29</v>
      </c>
      <c r="Z775">
        <v>823</v>
      </c>
      <c r="AA775">
        <v>37000</v>
      </c>
      <c r="AB775" t="s">
        <v>31</v>
      </c>
      <c r="AD775" s="20">
        <v>46210</v>
      </c>
    </row>
    <row r="776" spans="1:30">
      <c r="A776">
        <v>831</v>
      </c>
      <c r="B776" t="str">
        <f>_xlfn.XLOOKUP(A776,Z:Z,AB:AB,"not found")</f>
        <v>USD</v>
      </c>
      <c r="C776">
        <f>_xlfn.XLOOKUP(A776,Z:Z,AA:AA)-_xlfn.XLOOKUP(A776,Q:Q,R:R,"0")</f>
        <v>4157.8</v>
      </c>
      <c r="D776">
        <f>C776*_xlfn.XLOOKUP(B776,AG:AG,AH:AH)</f>
        <v>3575.7080000000001</v>
      </c>
      <c r="E776">
        <f>C776*_xlfn.XLOOKUP(B776,AG:AG,AI:AI)</f>
        <v>4157.8</v>
      </c>
      <c r="F776">
        <v>2739.53</v>
      </c>
      <c r="G776">
        <f>F776*_xlfn.XLOOKUP(B776,AG:AG,AH:AH)</f>
        <v>2355.9958000000001</v>
      </c>
      <c r="H776">
        <f>F776*_xlfn.XLOOKUP(B776,AG:AG,AI:AI)</f>
        <v>2739.53</v>
      </c>
      <c r="I776">
        <f t="shared" si="63"/>
        <v>1418.27</v>
      </c>
      <c r="J776">
        <f>I776*_xlfn.XLOOKUP(B776,AG:AG,AI:AI)</f>
        <v>1418.27</v>
      </c>
      <c r="K776" s="7">
        <f>_xlfn.XLOOKUP(A776,Z:Z,AD:AD)</f>
        <v>46010</v>
      </c>
      <c r="L776" s="7">
        <f t="shared" si="60"/>
        <v>45980</v>
      </c>
      <c r="M776">
        <f t="shared" si="61"/>
        <v>11</v>
      </c>
      <c r="N776">
        <f t="shared" si="62"/>
        <v>2025</v>
      </c>
      <c r="W776" s="9">
        <v>563</v>
      </c>
      <c r="X776" s="9" t="s">
        <v>29</v>
      </c>
      <c r="Z776">
        <v>824</v>
      </c>
      <c r="AA776">
        <v>107577</v>
      </c>
      <c r="AB776" t="s">
        <v>28</v>
      </c>
      <c r="AD776" s="20">
        <v>45981</v>
      </c>
    </row>
    <row r="777" spans="1:30">
      <c r="A777">
        <v>832</v>
      </c>
      <c r="B777" t="str">
        <f>_xlfn.XLOOKUP(A777,Z:Z,AB:AB,"not found")</f>
        <v>USD</v>
      </c>
      <c r="C777">
        <f>_xlfn.XLOOKUP(A777,Z:Z,AA:AA)-_xlfn.XLOOKUP(A777,Q:Q,R:R,"0")</f>
        <v>51426.66</v>
      </c>
      <c r="D777">
        <f>C777*_xlfn.XLOOKUP(B777,AG:AG,AH:AH)</f>
        <v>44226.927600000003</v>
      </c>
      <c r="E777">
        <f>C777*_xlfn.XLOOKUP(B777,AG:AG,AI:AI)</f>
        <v>51426.66</v>
      </c>
      <c r="F777">
        <v>51426.83</v>
      </c>
      <c r="G777">
        <f>F777*_xlfn.XLOOKUP(B777,AG:AG,AH:AH)</f>
        <v>44227.073799999998</v>
      </c>
      <c r="H777">
        <f>F777*_xlfn.XLOOKUP(B777,AG:AG,AI:AI)</f>
        <v>51426.83</v>
      </c>
      <c r="I777">
        <f t="shared" si="63"/>
        <v>-0.16999999999825377</v>
      </c>
      <c r="J777">
        <f>I777*_xlfn.XLOOKUP(B777,AG:AG,AI:AI)</f>
        <v>-0.16999999999825377</v>
      </c>
      <c r="K777" s="7">
        <f>_xlfn.XLOOKUP(A777,Z:Z,AD:AD)</f>
        <v>46008</v>
      </c>
      <c r="L777" s="7">
        <f t="shared" si="60"/>
        <v>45978</v>
      </c>
      <c r="M777">
        <f t="shared" si="61"/>
        <v>11</v>
      </c>
      <c r="N777">
        <f t="shared" si="62"/>
        <v>2025</v>
      </c>
      <c r="W777" s="9">
        <v>563</v>
      </c>
      <c r="X777" s="9" t="s">
        <v>29</v>
      </c>
      <c r="Z777">
        <v>825</v>
      </c>
      <c r="AA777">
        <v>9000</v>
      </c>
      <c r="AB777" t="s">
        <v>28</v>
      </c>
      <c r="AD777" s="20">
        <v>46164</v>
      </c>
    </row>
    <row r="778" spans="1:30">
      <c r="A778">
        <v>833</v>
      </c>
      <c r="B778" t="str">
        <f>_xlfn.XLOOKUP(A778,Z:Z,AB:AB,"not found")</f>
        <v>USD</v>
      </c>
      <c r="C778">
        <f>_xlfn.XLOOKUP(A778,Z:Z,AA:AA)-_xlfn.XLOOKUP(A778,Q:Q,R:R,"0")</f>
        <v>8538</v>
      </c>
      <c r="D778">
        <f>C778*_xlfn.XLOOKUP(B778,AG:AG,AH:AH)</f>
        <v>7342.68</v>
      </c>
      <c r="E778">
        <f>C778*_xlfn.XLOOKUP(B778,AG:AG,AI:AI)</f>
        <v>8538</v>
      </c>
      <c r="F778">
        <v>8538</v>
      </c>
      <c r="G778">
        <f>F778*_xlfn.XLOOKUP(B778,AG:AG,AH:AH)</f>
        <v>7342.68</v>
      </c>
      <c r="H778">
        <f>F778*_xlfn.XLOOKUP(B778,AG:AG,AI:AI)</f>
        <v>8538</v>
      </c>
      <c r="I778">
        <f t="shared" si="63"/>
        <v>0</v>
      </c>
      <c r="J778">
        <f>I778*_xlfn.XLOOKUP(B778,AG:AG,AI:AI)</f>
        <v>0</v>
      </c>
      <c r="K778" s="7">
        <f>_xlfn.XLOOKUP(A778,Z:Z,AD:AD)</f>
        <v>45983</v>
      </c>
      <c r="L778" s="7">
        <f t="shared" si="60"/>
        <v>45953</v>
      </c>
      <c r="M778">
        <f t="shared" si="61"/>
        <v>10</v>
      </c>
      <c r="N778">
        <f t="shared" si="62"/>
        <v>2025</v>
      </c>
      <c r="W778" s="9">
        <v>567</v>
      </c>
      <c r="X778" s="9" t="s">
        <v>29</v>
      </c>
      <c r="Z778">
        <v>826</v>
      </c>
      <c r="AA778">
        <v>9610.3700000000008</v>
      </c>
      <c r="AB778" t="s">
        <v>27</v>
      </c>
      <c r="AD778" s="20">
        <v>46091</v>
      </c>
    </row>
    <row r="779" spans="1:30">
      <c r="A779">
        <v>834</v>
      </c>
      <c r="B779" t="str">
        <f>_xlfn.XLOOKUP(A779,Z:Z,AB:AB,"not found")</f>
        <v>USD</v>
      </c>
      <c r="C779">
        <f>_xlfn.XLOOKUP(A779,Z:Z,AA:AA)-_xlfn.XLOOKUP(A779,Q:Q,R:R,"0")</f>
        <v>79523.44</v>
      </c>
      <c r="D779">
        <f>C779*_xlfn.XLOOKUP(B779,AG:AG,AH:AH)</f>
        <v>68390.1584</v>
      </c>
      <c r="E779">
        <f>C779*_xlfn.XLOOKUP(B779,AG:AG,AI:AI)</f>
        <v>79523.44</v>
      </c>
      <c r="F779">
        <v>82593.440000000002</v>
      </c>
      <c r="G779">
        <f>F779*_xlfn.XLOOKUP(B779,AG:AG,AH:AH)</f>
        <v>71030.358399999997</v>
      </c>
      <c r="H779">
        <f>F779*_xlfn.XLOOKUP(B779,AG:AG,AI:AI)</f>
        <v>82593.440000000002</v>
      </c>
      <c r="I779">
        <f t="shared" si="63"/>
        <v>-3070</v>
      </c>
      <c r="J779">
        <f>I779*_xlfn.XLOOKUP(B779,AG:AG,AI:AI)</f>
        <v>-3070</v>
      </c>
      <c r="K779" s="7">
        <f>_xlfn.XLOOKUP(A779,Z:Z,AD:AD)</f>
        <v>46008</v>
      </c>
      <c r="L779" s="7">
        <f t="shared" si="60"/>
        <v>45978</v>
      </c>
      <c r="M779">
        <f t="shared" si="61"/>
        <v>11</v>
      </c>
      <c r="N779">
        <f t="shared" si="62"/>
        <v>2025</v>
      </c>
      <c r="W779" s="9">
        <v>568</v>
      </c>
      <c r="X779" s="9" t="s">
        <v>32</v>
      </c>
      <c r="Z779">
        <v>827</v>
      </c>
      <c r="AA779">
        <v>5500</v>
      </c>
      <c r="AB779" t="s">
        <v>29</v>
      </c>
      <c r="AD779" s="20">
        <v>45969</v>
      </c>
    </row>
    <row r="780" spans="1:30">
      <c r="A780">
        <v>835</v>
      </c>
      <c r="B780" t="str">
        <f>_xlfn.XLOOKUP(A780,Z:Z,AB:AB,"not found")</f>
        <v>USD</v>
      </c>
      <c r="C780">
        <f>_xlfn.XLOOKUP(A780,Z:Z,AA:AA)-_xlfn.XLOOKUP(A780,Q:Q,R:R,"0")</f>
        <v>62976.1</v>
      </c>
      <c r="D780">
        <f>C780*_xlfn.XLOOKUP(B780,AG:AG,AH:AH)</f>
        <v>54159.445999999996</v>
      </c>
      <c r="E780">
        <f>C780*_xlfn.XLOOKUP(B780,AG:AG,AI:AI)</f>
        <v>62976.1</v>
      </c>
      <c r="F780">
        <v>10528.22</v>
      </c>
      <c r="G780">
        <f>F780*_xlfn.XLOOKUP(B780,AG:AG,AH:AH)</f>
        <v>9054.2691999999988</v>
      </c>
      <c r="H780">
        <f>F780*_xlfn.XLOOKUP(B780,AG:AG,AI:AI)</f>
        <v>10528.22</v>
      </c>
      <c r="I780">
        <f t="shared" si="63"/>
        <v>52447.88</v>
      </c>
      <c r="J780">
        <f>I780*_xlfn.XLOOKUP(B780,AG:AG,AI:AI)</f>
        <v>52447.88</v>
      </c>
      <c r="K780" s="7">
        <f>_xlfn.XLOOKUP(A780,Z:Z,AD:AD)</f>
        <v>46130</v>
      </c>
      <c r="L780" s="7">
        <f t="shared" si="60"/>
        <v>46100</v>
      </c>
      <c r="M780">
        <f t="shared" si="61"/>
        <v>3</v>
      </c>
      <c r="N780">
        <f t="shared" si="62"/>
        <v>2026</v>
      </c>
      <c r="W780" s="9">
        <v>570</v>
      </c>
      <c r="X780" s="9" t="s">
        <v>31</v>
      </c>
      <c r="Z780">
        <v>828</v>
      </c>
      <c r="AA780">
        <v>124392</v>
      </c>
      <c r="AB780" t="s">
        <v>28</v>
      </c>
      <c r="AD780" s="20">
        <v>46011</v>
      </c>
    </row>
    <row r="781" spans="1:30">
      <c r="A781">
        <v>836</v>
      </c>
      <c r="B781" t="str">
        <f>_xlfn.XLOOKUP(A781,Z:Z,AB:AB,"not found")</f>
        <v>USD</v>
      </c>
      <c r="C781">
        <f>_xlfn.XLOOKUP(A781,Z:Z,AA:AA)-_xlfn.XLOOKUP(A781,Q:Q,R:R,"0")</f>
        <v>26700.5</v>
      </c>
      <c r="D781">
        <f>C781*_xlfn.XLOOKUP(B781,AG:AG,AH:AH)</f>
        <v>22962.43</v>
      </c>
      <c r="E781">
        <f>C781*_xlfn.XLOOKUP(B781,AG:AG,AI:AI)</f>
        <v>26700.5</v>
      </c>
      <c r="F781">
        <v>27015.5</v>
      </c>
      <c r="G781">
        <f>F781*_xlfn.XLOOKUP(B781,AG:AG,AH:AH)</f>
        <v>23233.329999999998</v>
      </c>
      <c r="H781">
        <f>F781*_xlfn.XLOOKUP(B781,AG:AG,AI:AI)</f>
        <v>27015.5</v>
      </c>
      <c r="I781">
        <f t="shared" si="63"/>
        <v>0</v>
      </c>
      <c r="J781">
        <f>I781*_xlfn.XLOOKUP(B781,AG:AG,AI:AI)</f>
        <v>0</v>
      </c>
      <c r="K781" s="7">
        <f>_xlfn.XLOOKUP(A781,Z:Z,AD:AD)</f>
        <v>45995</v>
      </c>
      <c r="L781" s="7">
        <f t="shared" si="60"/>
        <v>45965</v>
      </c>
      <c r="M781">
        <f t="shared" si="61"/>
        <v>11</v>
      </c>
      <c r="N781">
        <f t="shared" si="62"/>
        <v>2025</v>
      </c>
      <c r="W781" s="9">
        <v>571</v>
      </c>
      <c r="X781" s="9" t="s">
        <v>28</v>
      </c>
      <c r="Z781">
        <v>829</v>
      </c>
      <c r="AA781">
        <v>6388.26</v>
      </c>
      <c r="AB781" t="s">
        <v>29</v>
      </c>
      <c r="AD781" s="20">
        <v>45954</v>
      </c>
    </row>
    <row r="782" spans="1:30">
      <c r="A782">
        <v>837</v>
      </c>
      <c r="B782" t="str">
        <f>_xlfn.XLOOKUP(A782,Z:Z,AB:AB,"not found")</f>
        <v>USD</v>
      </c>
      <c r="C782">
        <f>_xlfn.XLOOKUP(A782,Z:Z,AA:AA)-_xlfn.XLOOKUP(A782,Q:Q,R:R,"0")</f>
        <v>1946</v>
      </c>
      <c r="D782">
        <f>C782*_xlfn.XLOOKUP(B782,AG:AG,AH:AH)</f>
        <v>1673.56</v>
      </c>
      <c r="E782">
        <f>C782*_xlfn.XLOOKUP(B782,AG:AG,AI:AI)</f>
        <v>1946</v>
      </c>
      <c r="F782">
        <v>6537.37</v>
      </c>
      <c r="G782">
        <f>F782*_xlfn.XLOOKUP(B782,AG:AG,AH:AH)</f>
        <v>5622.1381999999994</v>
      </c>
      <c r="H782">
        <f>F782*_xlfn.XLOOKUP(B782,AG:AG,AI:AI)</f>
        <v>6537.37</v>
      </c>
      <c r="I782">
        <f t="shared" si="63"/>
        <v>0</v>
      </c>
      <c r="J782">
        <f>I782*_xlfn.XLOOKUP(B782,AG:AG,AI:AI)</f>
        <v>0</v>
      </c>
      <c r="K782" s="7">
        <f>_xlfn.XLOOKUP(A782,Z:Z,AD:AD)</f>
        <v>46033</v>
      </c>
      <c r="L782" s="7">
        <f t="shared" si="60"/>
        <v>46003</v>
      </c>
      <c r="M782">
        <f t="shared" si="61"/>
        <v>12</v>
      </c>
      <c r="N782">
        <f t="shared" si="62"/>
        <v>2025</v>
      </c>
      <c r="W782" s="9">
        <v>572</v>
      </c>
      <c r="X782" s="9" t="s">
        <v>29</v>
      </c>
      <c r="Z782">
        <v>830</v>
      </c>
      <c r="AA782">
        <v>116082</v>
      </c>
      <c r="AB782" t="s">
        <v>29</v>
      </c>
      <c r="AD782" s="20">
        <v>46015</v>
      </c>
    </row>
    <row r="783" spans="1:30">
      <c r="A783">
        <v>838</v>
      </c>
      <c r="B783" t="str">
        <f>_xlfn.XLOOKUP(A783,Z:Z,AB:AB,"not found")</f>
        <v>USD</v>
      </c>
      <c r="C783">
        <f>_xlfn.XLOOKUP(A783,Z:Z,AA:AA)-_xlfn.XLOOKUP(A783,Q:Q,R:R,"0")</f>
        <v>30415.019999999997</v>
      </c>
      <c r="D783">
        <f>C783*_xlfn.XLOOKUP(B783,AG:AG,AH:AH)</f>
        <v>26156.917199999996</v>
      </c>
      <c r="E783">
        <f>C783*_xlfn.XLOOKUP(B783,AG:AG,AI:AI)</f>
        <v>30415.019999999997</v>
      </c>
      <c r="F783">
        <v>33174.519999999997</v>
      </c>
      <c r="G783">
        <f>F783*_xlfn.XLOOKUP(B783,AG:AG,AH:AH)</f>
        <v>28530.087199999998</v>
      </c>
      <c r="H783">
        <f>F783*_xlfn.XLOOKUP(B783,AG:AG,AI:AI)</f>
        <v>33174.519999999997</v>
      </c>
      <c r="I783">
        <f t="shared" si="63"/>
        <v>59.25</v>
      </c>
      <c r="J783">
        <f>I783*_xlfn.XLOOKUP(B783,AG:AG,AI:AI)</f>
        <v>59.25</v>
      </c>
      <c r="K783" s="7">
        <f>_xlfn.XLOOKUP(A783,Z:Z,AD:AD)</f>
        <v>46104</v>
      </c>
      <c r="L783" s="7">
        <f t="shared" si="60"/>
        <v>46074</v>
      </c>
      <c r="M783">
        <f t="shared" si="61"/>
        <v>2</v>
      </c>
      <c r="N783">
        <f t="shared" si="62"/>
        <v>2026</v>
      </c>
      <c r="W783" s="9">
        <v>573</v>
      </c>
      <c r="X783" s="9" t="s">
        <v>29</v>
      </c>
      <c r="Z783">
        <v>831</v>
      </c>
      <c r="AA783">
        <v>4157.8</v>
      </c>
      <c r="AB783" t="s">
        <v>29</v>
      </c>
      <c r="AD783" s="20">
        <v>46010</v>
      </c>
    </row>
    <row r="784" spans="1:30">
      <c r="A784">
        <v>839</v>
      </c>
      <c r="B784" t="str">
        <f>_xlfn.XLOOKUP(A784,Z:Z,AB:AB,"not found")</f>
        <v>MXN</v>
      </c>
      <c r="C784">
        <f>_xlfn.XLOOKUP(A784,Z:Z,AA:AA)-_xlfn.XLOOKUP(A784,Q:Q,R:R,"0")</f>
        <v>0</v>
      </c>
      <c r="D784">
        <f>C784*_xlfn.XLOOKUP(B784,AG:AG,AH:AH)</f>
        <v>0</v>
      </c>
      <c r="E784">
        <f>C784*_xlfn.XLOOKUP(B784,AG:AG,AI:AI)</f>
        <v>0</v>
      </c>
      <c r="F784">
        <v>40532</v>
      </c>
      <c r="G784">
        <f>F784*_xlfn.XLOOKUP(B784,AG:AG,AH:AH)</f>
        <v>1945.5360000000001</v>
      </c>
      <c r="H784">
        <f>F784*_xlfn.XLOOKUP(B784,AG:AG,AI:AI)</f>
        <v>2269.7919999999999</v>
      </c>
      <c r="I784">
        <f t="shared" si="63"/>
        <v>0</v>
      </c>
      <c r="J784">
        <f>I784*_xlfn.XLOOKUP(B784,AG:AG,AI:AI)</f>
        <v>0</v>
      </c>
      <c r="K784" s="7">
        <f>_xlfn.XLOOKUP(A784,Z:Z,AD:AD)</f>
        <v>46009</v>
      </c>
      <c r="L784" s="7">
        <f t="shared" si="60"/>
        <v>45979</v>
      </c>
      <c r="M784">
        <f t="shared" si="61"/>
        <v>11</v>
      </c>
      <c r="N784">
        <f t="shared" si="62"/>
        <v>2025</v>
      </c>
      <c r="W784" s="9">
        <v>575</v>
      </c>
      <c r="X784" s="9" t="s">
        <v>29</v>
      </c>
      <c r="Z784">
        <v>832</v>
      </c>
      <c r="AA784">
        <v>51426.66</v>
      </c>
      <c r="AB784" t="s">
        <v>29</v>
      </c>
      <c r="AD784" s="20">
        <v>46008</v>
      </c>
    </row>
    <row r="785" spans="1:30">
      <c r="A785">
        <v>840</v>
      </c>
      <c r="B785" t="str">
        <f>_xlfn.XLOOKUP(A785,Z:Z,AB:AB,"not found")</f>
        <v>USD</v>
      </c>
      <c r="C785">
        <f>_xlfn.XLOOKUP(A785,Z:Z,AA:AA)-_xlfn.XLOOKUP(A785,Q:Q,R:R,"0")</f>
        <v>6083.58</v>
      </c>
      <c r="D785">
        <f>C785*_xlfn.XLOOKUP(B785,AG:AG,AH:AH)</f>
        <v>5231.8787999999995</v>
      </c>
      <c r="E785">
        <f>C785*_xlfn.XLOOKUP(B785,AG:AG,AI:AI)</f>
        <v>6083.58</v>
      </c>
      <c r="F785">
        <v>6083.58</v>
      </c>
      <c r="G785">
        <f>F785*_xlfn.XLOOKUP(B785,AG:AG,AH:AH)</f>
        <v>5231.8787999999995</v>
      </c>
      <c r="H785">
        <f>F785*_xlfn.XLOOKUP(B785,AG:AG,AI:AI)</f>
        <v>6083.58</v>
      </c>
      <c r="I785">
        <f t="shared" si="63"/>
        <v>0</v>
      </c>
      <c r="J785">
        <f>I785*_xlfn.XLOOKUP(B785,AG:AG,AI:AI)</f>
        <v>0</v>
      </c>
      <c r="K785" s="7">
        <f>_xlfn.XLOOKUP(A785,Z:Z,AD:AD)</f>
        <v>45980</v>
      </c>
      <c r="L785" s="7">
        <f t="shared" si="60"/>
        <v>45950</v>
      </c>
      <c r="M785">
        <f t="shared" si="61"/>
        <v>10</v>
      </c>
      <c r="N785">
        <f t="shared" si="62"/>
        <v>2025</v>
      </c>
      <c r="W785" s="9">
        <v>575</v>
      </c>
      <c r="X785" s="9" t="s">
        <v>29</v>
      </c>
      <c r="Z785">
        <v>833</v>
      </c>
      <c r="AA785">
        <v>8538</v>
      </c>
      <c r="AB785" t="s">
        <v>29</v>
      </c>
      <c r="AD785" s="20">
        <v>45983</v>
      </c>
    </row>
    <row r="786" spans="1:30">
      <c r="A786">
        <v>841</v>
      </c>
      <c r="B786" t="str">
        <f>_xlfn.XLOOKUP(A786,Z:Z,AB:AB,"not found")</f>
        <v>USD</v>
      </c>
      <c r="C786">
        <f>_xlfn.XLOOKUP(A786,Z:Z,AA:AA)-_xlfn.XLOOKUP(A786,Q:Q,R:R,"0")</f>
        <v>-481646.82</v>
      </c>
      <c r="D786">
        <f>C786*_xlfn.XLOOKUP(B786,AG:AG,AH:AH)</f>
        <v>-414216.26520000002</v>
      </c>
      <c r="E786">
        <f>C786*_xlfn.XLOOKUP(B786,AG:AG,AI:AI)</f>
        <v>-481646.82</v>
      </c>
      <c r="F786">
        <v>51285.18</v>
      </c>
      <c r="G786">
        <f>F786*_xlfn.XLOOKUP(B786,AG:AG,AH:AH)</f>
        <v>44105.254800000002</v>
      </c>
      <c r="H786">
        <f>F786*_xlfn.XLOOKUP(B786,AG:AG,AI:AI)</f>
        <v>51285.18</v>
      </c>
      <c r="I786">
        <f t="shared" si="63"/>
        <v>0</v>
      </c>
      <c r="J786">
        <f>I786*_xlfn.XLOOKUP(B786,AG:AG,AI:AI)</f>
        <v>0</v>
      </c>
      <c r="K786" s="7">
        <f>_xlfn.XLOOKUP(A786,Z:Z,AD:AD)</f>
        <v>46017</v>
      </c>
      <c r="L786" s="7">
        <f t="shared" si="60"/>
        <v>45987</v>
      </c>
      <c r="M786">
        <f t="shared" si="61"/>
        <v>11</v>
      </c>
      <c r="N786">
        <f t="shared" si="62"/>
        <v>2025</v>
      </c>
      <c r="W786" s="9">
        <v>575</v>
      </c>
      <c r="X786" s="9" t="s">
        <v>29</v>
      </c>
      <c r="Z786">
        <v>834</v>
      </c>
      <c r="AA786">
        <v>79523.44</v>
      </c>
      <c r="AB786" t="s">
        <v>29</v>
      </c>
      <c r="AD786" s="20">
        <v>46008</v>
      </c>
    </row>
    <row r="787" spans="1:30">
      <c r="A787">
        <v>842</v>
      </c>
      <c r="B787" t="str">
        <f>_xlfn.XLOOKUP(A787,Z:Z,AB:AB,"not found")</f>
        <v>USD</v>
      </c>
      <c r="C787">
        <f>_xlfn.XLOOKUP(A787,Z:Z,AA:AA)-_xlfn.XLOOKUP(A787,Q:Q,R:R,"0")</f>
        <v>1209.2</v>
      </c>
      <c r="D787">
        <f>C787*_xlfn.XLOOKUP(B787,AG:AG,AH:AH)</f>
        <v>1039.912</v>
      </c>
      <c r="E787">
        <f>C787*_xlfn.XLOOKUP(B787,AG:AG,AI:AI)</f>
        <v>1209.2</v>
      </c>
      <c r="F787">
        <v>1209.2</v>
      </c>
      <c r="G787">
        <f>F787*_xlfn.XLOOKUP(B787,AG:AG,AH:AH)</f>
        <v>1039.912</v>
      </c>
      <c r="H787">
        <f>F787*_xlfn.XLOOKUP(B787,AG:AG,AI:AI)</f>
        <v>1209.2</v>
      </c>
      <c r="I787">
        <f t="shared" si="63"/>
        <v>0</v>
      </c>
      <c r="J787">
        <f>I787*_xlfn.XLOOKUP(B787,AG:AG,AI:AI)</f>
        <v>0</v>
      </c>
      <c r="K787" s="7">
        <f>_xlfn.XLOOKUP(A787,Z:Z,AD:AD)</f>
        <v>46066</v>
      </c>
      <c r="L787" s="7">
        <f t="shared" si="60"/>
        <v>46036</v>
      </c>
      <c r="M787">
        <f t="shared" si="61"/>
        <v>1</v>
      </c>
      <c r="N787">
        <f t="shared" si="62"/>
        <v>2026</v>
      </c>
      <c r="W787" s="9">
        <v>576</v>
      </c>
      <c r="X787" s="9" t="s">
        <v>29</v>
      </c>
      <c r="Z787">
        <v>835</v>
      </c>
      <c r="AA787">
        <v>62976.1</v>
      </c>
      <c r="AB787" t="s">
        <v>29</v>
      </c>
      <c r="AD787" s="20">
        <v>46130</v>
      </c>
    </row>
    <row r="788" spans="1:30">
      <c r="A788">
        <v>843</v>
      </c>
      <c r="B788" t="str">
        <f>_xlfn.XLOOKUP(A788,Z:Z,AB:AB,"not found")</f>
        <v>USD</v>
      </c>
      <c r="C788">
        <f>_xlfn.XLOOKUP(A788,Z:Z,AA:AA)-_xlfn.XLOOKUP(A788,Q:Q,R:R,"0")</f>
        <v>1305.8500000000004</v>
      </c>
      <c r="D788">
        <f>C788*_xlfn.XLOOKUP(B788,AG:AG,AH:AH)</f>
        <v>1123.0310000000004</v>
      </c>
      <c r="E788">
        <f>C788*_xlfn.XLOOKUP(B788,AG:AG,AI:AI)</f>
        <v>1305.8500000000004</v>
      </c>
      <c r="F788">
        <v>5187.59</v>
      </c>
      <c r="G788">
        <f>F788*_xlfn.XLOOKUP(B788,AG:AG,AH:AH)</f>
        <v>4461.3274000000001</v>
      </c>
      <c r="H788">
        <f>F788*_xlfn.XLOOKUP(B788,AG:AG,AI:AI)</f>
        <v>5187.59</v>
      </c>
      <c r="I788">
        <f t="shared" si="63"/>
        <v>0</v>
      </c>
      <c r="J788">
        <f>I788*_xlfn.XLOOKUP(B788,AG:AG,AI:AI)</f>
        <v>0</v>
      </c>
      <c r="K788" s="7">
        <f>_xlfn.XLOOKUP(A788,Z:Z,AD:AD)</f>
        <v>45963</v>
      </c>
      <c r="L788" s="7">
        <f t="shared" si="60"/>
        <v>45933</v>
      </c>
      <c r="M788">
        <f t="shared" si="61"/>
        <v>10</v>
      </c>
      <c r="N788">
        <f t="shared" si="62"/>
        <v>2025</v>
      </c>
      <c r="W788" s="9">
        <v>576</v>
      </c>
      <c r="X788" s="9" t="s">
        <v>29</v>
      </c>
      <c r="Z788">
        <v>836</v>
      </c>
      <c r="AA788">
        <v>27015.5</v>
      </c>
      <c r="AB788" t="s">
        <v>29</v>
      </c>
      <c r="AD788" s="20">
        <v>45995</v>
      </c>
    </row>
    <row r="789" spans="1:30">
      <c r="A789">
        <v>844</v>
      </c>
      <c r="B789" t="str">
        <f>_xlfn.XLOOKUP(A789,Z:Z,AB:AB,"not found")</f>
        <v>EUR</v>
      </c>
      <c r="C789">
        <f>_xlfn.XLOOKUP(A789,Z:Z,AA:AA)-_xlfn.XLOOKUP(A789,Q:Q,R:R,"0")</f>
        <v>0</v>
      </c>
      <c r="D789">
        <f>C789*_xlfn.XLOOKUP(B789,AG:AG,AH:AH)</f>
        <v>0</v>
      </c>
      <c r="E789">
        <f>C789*_xlfn.XLOOKUP(B789,AG:AG,AI:AI)</f>
        <v>0</v>
      </c>
      <c r="F789">
        <v>12165.93</v>
      </c>
      <c r="G789">
        <f>F789*_xlfn.XLOOKUP(B789,AG:AG,AH:AH)</f>
        <v>12165.93</v>
      </c>
      <c r="H789">
        <f>F789*_xlfn.XLOOKUP(B789,AG:AG,AI:AI)</f>
        <v>14112.478799999999</v>
      </c>
      <c r="I789">
        <f t="shared" si="63"/>
        <v>0</v>
      </c>
      <c r="J789">
        <f>I789*_xlfn.XLOOKUP(B789,AG:AG,AI:AI)</f>
        <v>0</v>
      </c>
      <c r="K789" s="7">
        <f>_xlfn.XLOOKUP(A789,Z:Z,AD:AD)</f>
        <v>46016</v>
      </c>
      <c r="L789" s="7">
        <f t="shared" si="60"/>
        <v>45986</v>
      </c>
      <c r="M789">
        <f t="shared" si="61"/>
        <v>11</v>
      </c>
      <c r="N789">
        <f t="shared" si="62"/>
        <v>2025</v>
      </c>
      <c r="W789" s="9">
        <v>576</v>
      </c>
      <c r="X789" s="9" t="s">
        <v>29</v>
      </c>
      <c r="Z789">
        <v>837</v>
      </c>
      <c r="AA789">
        <v>6537.37</v>
      </c>
      <c r="AB789" t="s">
        <v>29</v>
      </c>
      <c r="AD789" s="20">
        <v>46033</v>
      </c>
    </row>
    <row r="790" spans="1:30">
      <c r="A790">
        <v>845</v>
      </c>
      <c r="B790" t="str">
        <f>_xlfn.XLOOKUP(A790,Z:Z,AB:AB,"not found")</f>
        <v>USD</v>
      </c>
      <c r="C790">
        <f>_xlfn.XLOOKUP(A790,Z:Z,AA:AA)-_xlfn.XLOOKUP(A790,Q:Q,R:R,"0")</f>
        <v>5253.68</v>
      </c>
      <c r="D790">
        <f>C790*_xlfn.XLOOKUP(B790,AG:AG,AH:AH)</f>
        <v>4518.1648000000005</v>
      </c>
      <c r="E790">
        <f>C790*_xlfn.XLOOKUP(B790,AG:AG,AI:AI)</f>
        <v>5253.68</v>
      </c>
      <c r="F790">
        <v>8207.68</v>
      </c>
      <c r="G790">
        <f>F790*_xlfn.XLOOKUP(B790,AG:AG,AH:AH)</f>
        <v>7058.6048000000001</v>
      </c>
      <c r="H790">
        <f>F790*_xlfn.XLOOKUP(B790,AG:AG,AI:AI)</f>
        <v>8207.68</v>
      </c>
      <c r="I790">
        <f t="shared" si="63"/>
        <v>0</v>
      </c>
      <c r="J790">
        <f>I790*_xlfn.XLOOKUP(B790,AG:AG,AI:AI)</f>
        <v>0</v>
      </c>
      <c r="K790" s="7">
        <f>_xlfn.XLOOKUP(A790,Z:Z,AD:AD)</f>
        <v>46114</v>
      </c>
      <c r="L790" s="7">
        <f t="shared" si="60"/>
        <v>46084</v>
      </c>
      <c r="M790">
        <f t="shared" si="61"/>
        <v>3</v>
      </c>
      <c r="N790">
        <f t="shared" si="62"/>
        <v>2026</v>
      </c>
      <c r="W790" s="9">
        <v>576</v>
      </c>
      <c r="X790" s="9" t="s">
        <v>29</v>
      </c>
      <c r="Z790">
        <v>838</v>
      </c>
      <c r="AA790">
        <v>33233.769999999997</v>
      </c>
      <c r="AB790" t="s">
        <v>29</v>
      </c>
      <c r="AD790" s="20">
        <v>46104</v>
      </c>
    </row>
    <row r="791" spans="1:30">
      <c r="A791">
        <v>846</v>
      </c>
      <c r="B791" t="str">
        <f>_xlfn.XLOOKUP(A791,Z:Z,AB:AB,"not found")</f>
        <v>USD</v>
      </c>
      <c r="C791">
        <f>_xlfn.XLOOKUP(A791,Z:Z,AA:AA)-_xlfn.XLOOKUP(A791,Q:Q,R:R,"0")</f>
        <v>112038.5</v>
      </c>
      <c r="D791">
        <f>C791*_xlfn.XLOOKUP(B791,AG:AG,AH:AH)</f>
        <v>96353.11</v>
      </c>
      <c r="E791">
        <f>C791*_xlfn.XLOOKUP(B791,AG:AG,AI:AI)</f>
        <v>112038.5</v>
      </c>
      <c r="F791">
        <v>25445.5</v>
      </c>
      <c r="G791">
        <f>F791*_xlfn.XLOOKUP(B791,AG:AG,AH:AH)</f>
        <v>21883.13</v>
      </c>
      <c r="H791">
        <f>F791*_xlfn.XLOOKUP(B791,AG:AG,AI:AI)</f>
        <v>25445.5</v>
      </c>
      <c r="I791">
        <f t="shared" si="63"/>
        <v>86593</v>
      </c>
      <c r="J791">
        <f>I791*_xlfn.XLOOKUP(B791,AG:AG,AI:AI)</f>
        <v>86593</v>
      </c>
      <c r="K791" s="7">
        <f>_xlfn.XLOOKUP(A791,Z:Z,AD:AD)</f>
        <v>46108</v>
      </c>
      <c r="L791" s="7">
        <f t="shared" si="60"/>
        <v>46078</v>
      </c>
      <c r="M791">
        <f t="shared" si="61"/>
        <v>2</v>
      </c>
      <c r="N791">
        <f t="shared" si="62"/>
        <v>2026</v>
      </c>
      <c r="W791" s="9">
        <v>576</v>
      </c>
      <c r="X791" s="9" t="s">
        <v>29</v>
      </c>
      <c r="Z791">
        <v>839</v>
      </c>
      <c r="AA791">
        <v>40532</v>
      </c>
      <c r="AB791" t="s">
        <v>28</v>
      </c>
      <c r="AD791" s="20">
        <v>46009</v>
      </c>
    </row>
    <row r="792" spans="1:30">
      <c r="A792">
        <v>847</v>
      </c>
      <c r="B792" t="str">
        <f>_xlfn.XLOOKUP(A792,Z:Z,AB:AB,"not found")</f>
        <v>USD</v>
      </c>
      <c r="C792">
        <f>_xlfn.XLOOKUP(A792,Z:Z,AA:AA)-_xlfn.XLOOKUP(A792,Q:Q,R:R,"0")</f>
        <v>1078.53</v>
      </c>
      <c r="D792">
        <f>C792*_xlfn.XLOOKUP(B792,AG:AG,AH:AH)</f>
        <v>927.53579999999999</v>
      </c>
      <c r="E792">
        <f>C792*_xlfn.XLOOKUP(B792,AG:AG,AI:AI)</f>
        <v>1078.53</v>
      </c>
      <c r="F792">
        <v>1078.53</v>
      </c>
      <c r="G792">
        <f>F792*_xlfn.XLOOKUP(B792,AG:AG,AH:AH)</f>
        <v>927.53579999999999</v>
      </c>
      <c r="H792">
        <f>F792*_xlfn.XLOOKUP(B792,AG:AG,AI:AI)</f>
        <v>1078.53</v>
      </c>
      <c r="I792">
        <f t="shared" si="63"/>
        <v>0</v>
      </c>
      <c r="J792">
        <f>I792*_xlfn.XLOOKUP(B792,AG:AG,AI:AI)</f>
        <v>0</v>
      </c>
      <c r="K792" s="7">
        <f>_xlfn.XLOOKUP(A792,Z:Z,AD:AD)</f>
        <v>45982</v>
      </c>
      <c r="L792" s="7">
        <f t="shared" si="60"/>
        <v>45952</v>
      </c>
      <c r="M792">
        <f t="shared" si="61"/>
        <v>10</v>
      </c>
      <c r="N792">
        <f t="shared" si="62"/>
        <v>2025</v>
      </c>
      <c r="W792" s="9">
        <v>577</v>
      </c>
      <c r="X792" s="9" t="s">
        <v>29</v>
      </c>
      <c r="Z792">
        <v>840</v>
      </c>
      <c r="AA792">
        <v>6083.58</v>
      </c>
      <c r="AB792" t="s">
        <v>29</v>
      </c>
      <c r="AD792" s="20">
        <v>45980</v>
      </c>
    </row>
    <row r="793" spans="1:30">
      <c r="A793">
        <v>848</v>
      </c>
      <c r="B793" t="str">
        <f>_xlfn.XLOOKUP(A793,Z:Z,AB:AB,"not found")</f>
        <v>USD</v>
      </c>
      <c r="C793">
        <f>_xlfn.XLOOKUP(A793,Z:Z,AA:AA)-_xlfn.XLOOKUP(A793,Q:Q,R:R,"0")</f>
        <v>42385.359999999993</v>
      </c>
      <c r="D793">
        <f>C793*_xlfn.XLOOKUP(B793,AG:AG,AH:AH)</f>
        <v>36451.409599999992</v>
      </c>
      <c r="E793">
        <f>C793*_xlfn.XLOOKUP(B793,AG:AG,AI:AI)</f>
        <v>42385.359999999993</v>
      </c>
      <c r="F793">
        <v>79509.33</v>
      </c>
      <c r="G793">
        <f>F793*_xlfn.XLOOKUP(B793,AG:AG,AH:AH)</f>
        <v>68378.023799999995</v>
      </c>
      <c r="H793">
        <f>F793*_xlfn.XLOOKUP(B793,AG:AG,AI:AI)</f>
        <v>79509.33</v>
      </c>
      <c r="I793">
        <f t="shared" si="63"/>
        <v>486.42999999999302</v>
      </c>
      <c r="J793">
        <f>I793*_xlfn.XLOOKUP(B793,AG:AG,AI:AI)</f>
        <v>486.42999999999302</v>
      </c>
      <c r="K793" s="7">
        <f>_xlfn.XLOOKUP(A793,Z:Z,AD:AD)</f>
        <v>46009</v>
      </c>
      <c r="L793" s="7">
        <f t="shared" si="60"/>
        <v>45979</v>
      </c>
      <c r="M793">
        <f t="shared" si="61"/>
        <v>11</v>
      </c>
      <c r="N793">
        <f t="shared" si="62"/>
        <v>2025</v>
      </c>
      <c r="W793" s="9">
        <v>577</v>
      </c>
      <c r="X793" s="9" t="s">
        <v>29</v>
      </c>
      <c r="Z793">
        <v>841</v>
      </c>
      <c r="AA793">
        <v>51285.18</v>
      </c>
      <c r="AB793" t="s">
        <v>29</v>
      </c>
      <c r="AD793" s="20">
        <v>46017</v>
      </c>
    </row>
    <row r="794" spans="1:30">
      <c r="A794">
        <v>849</v>
      </c>
      <c r="B794" t="str">
        <f>_xlfn.XLOOKUP(A794,Z:Z,AB:AB,"not found")</f>
        <v>USD</v>
      </c>
      <c r="C794">
        <f>_xlfn.XLOOKUP(A794,Z:Z,AA:AA)-_xlfn.XLOOKUP(A794,Q:Q,R:R,"0")</f>
        <v>1576.8000000000002</v>
      </c>
      <c r="D794">
        <f>C794*_xlfn.XLOOKUP(B794,AG:AG,AH:AH)</f>
        <v>1356.0480000000002</v>
      </c>
      <c r="E794">
        <f>C794*_xlfn.XLOOKUP(B794,AG:AG,AI:AI)</f>
        <v>1576.8000000000002</v>
      </c>
      <c r="F794">
        <v>3782.82</v>
      </c>
      <c r="G794">
        <f>F794*_xlfn.XLOOKUP(B794,AG:AG,AH:AH)</f>
        <v>3253.2252000000003</v>
      </c>
      <c r="H794">
        <f>F794*_xlfn.XLOOKUP(B794,AG:AG,AI:AI)</f>
        <v>3782.82</v>
      </c>
      <c r="I794">
        <f t="shared" si="63"/>
        <v>0</v>
      </c>
      <c r="J794">
        <f>I794*_xlfn.XLOOKUP(B794,AG:AG,AI:AI)</f>
        <v>0</v>
      </c>
      <c r="K794" s="7">
        <f>_xlfn.XLOOKUP(A794,Z:Z,AD:AD)</f>
        <v>46013</v>
      </c>
      <c r="L794" s="7">
        <f t="shared" si="60"/>
        <v>45983</v>
      </c>
      <c r="M794">
        <f t="shared" si="61"/>
        <v>11</v>
      </c>
      <c r="N794">
        <f t="shared" si="62"/>
        <v>2025</v>
      </c>
      <c r="W794" s="9">
        <v>577</v>
      </c>
      <c r="X794" s="9" t="s">
        <v>29</v>
      </c>
      <c r="Z794">
        <v>842</v>
      </c>
      <c r="AA794">
        <v>1209.2</v>
      </c>
      <c r="AB794" t="s">
        <v>29</v>
      </c>
      <c r="AD794" s="20">
        <v>46066</v>
      </c>
    </row>
    <row r="795" spans="1:30">
      <c r="A795">
        <v>850</v>
      </c>
      <c r="B795" t="str">
        <f>_xlfn.XLOOKUP(A795,Z:Z,AB:AB,"not found")</f>
        <v>USD</v>
      </c>
      <c r="C795">
        <f>_xlfn.XLOOKUP(A795,Z:Z,AA:AA)-_xlfn.XLOOKUP(A795,Q:Q,R:R,"0")</f>
        <v>-560094.23</v>
      </c>
      <c r="D795">
        <f>C795*_xlfn.XLOOKUP(B795,AG:AG,AH:AH)</f>
        <v>-481681.03779999999</v>
      </c>
      <c r="E795">
        <f>C795*_xlfn.XLOOKUP(B795,AG:AG,AI:AI)</f>
        <v>-560094.23</v>
      </c>
      <c r="F795">
        <v>159582.73000000001</v>
      </c>
      <c r="G795">
        <f>F795*_xlfn.XLOOKUP(B795,AG:AG,AH:AH)</f>
        <v>137241.14780000001</v>
      </c>
      <c r="H795">
        <f>F795*_xlfn.XLOOKUP(B795,AG:AG,AI:AI)</f>
        <v>159582.73000000001</v>
      </c>
      <c r="I795">
        <f t="shared" si="63"/>
        <v>4.0000000037252903E-2</v>
      </c>
      <c r="J795">
        <f>I795*_xlfn.XLOOKUP(B795,AG:AG,AI:AI)</f>
        <v>4.0000000037252903E-2</v>
      </c>
      <c r="K795" s="7">
        <f>_xlfn.XLOOKUP(A795,Z:Z,AD:AD)</f>
        <v>46016</v>
      </c>
      <c r="L795" s="7">
        <f t="shared" si="60"/>
        <v>45986</v>
      </c>
      <c r="M795">
        <f t="shared" si="61"/>
        <v>11</v>
      </c>
      <c r="N795">
        <f t="shared" si="62"/>
        <v>2025</v>
      </c>
      <c r="W795" s="9">
        <v>577</v>
      </c>
      <c r="X795" s="9" t="s">
        <v>29</v>
      </c>
      <c r="Z795">
        <v>843</v>
      </c>
      <c r="AA795">
        <v>5187.59</v>
      </c>
      <c r="AB795" t="s">
        <v>29</v>
      </c>
      <c r="AD795" s="20">
        <v>45963</v>
      </c>
    </row>
    <row r="796" spans="1:30">
      <c r="A796">
        <v>851</v>
      </c>
      <c r="B796" t="str">
        <f>_xlfn.XLOOKUP(A796,Z:Z,AB:AB,"not found")</f>
        <v>USD</v>
      </c>
      <c r="C796">
        <f>_xlfn.XLOOKUP(A796,Z:Z,AA:AA)-_xlfn.XLOOKUP(A796,Q:Q,R:R,"0")</f>
        <v>358.58</v>
      </c>
      <c r="D796">
        <f>C796*_xlfn.XLOOKUP(B796,AG:AG,AH:AH)</f>
        <v>308.37879999999996</v>
      </c>
      <c r="E796">
        <f>C796*_xlfn.XLOOKUP(B796,AG:AG,AI:AI)</f>
        <v>358.58</v>
      </c>
      <c r="F796">
        <v>358.58</v>
      </c>
      <c r="G796">
        <f>F796*_xlfn.XLOOKUP(B796,AG:AG,AH:AH)</f>
        <v>308.37879999999996</v>
      </c>
      <c r="H796">
        <f>F796*_xlfn.XLOOKUP(B796,AG:AG,AI:AI)</f>
        <v>358.58</v>
      </c>
      <c r="I796">
        <f t="shared" si="63"/>
        <v>0</v>
      </c>
      <c r="J796">
        <f>I796*_xlfn.XLOOKUP(B796,AG:AG,AI:AI)</f>
        <v>0</v>
      </c>
      <c r="K796" s="7">
        <f>_xlfn.XLOOKUP(A796,Z:Z,AD:AD)</f>
        <v>45987</v>
      </c>
      <c r="L796" s="7">
        <f t="shared" si="60"/>
        <v>45957</v>
      </c>
      <c r="M796">
        <f t="shared" si="61"/>
        <v>10</v>
      </c>
      <c r="N796">
        <f t="shared" si="62"/>
        <v>2025</v>
      </c>
      <c r="W796" s="9">
        <v>581</v>
      </c>
      <c r="X796" s="9" t="s">
        <v>29</v>
      </c>
      <c r="Z796">
        <v>844</v>
      </c>
      <c r="AA796">
        <v>12165.93</v>
      </c>
      <c r="AB796" t="s">
        <v>27</v>
      </c>
      <c r="AD796" s="20">
        <v>46016</v>
      </c>
    </row>
    <row r="797" spans="1:30">
      <c r="A797">
        <v>855</v>
      </c>
      <c r="B797" t="str">
        <f>_xlfn.XLOOKUP(A797,Z:Z,AB:AB,"not found")</f>
        <v>USD</v>
      </c>
      <c r="C797">
        <f>_xlfn.XLOOKUP(A797,Z:Z,AA:AA)-_xlfn.XLOOKUP(A797,Q:Q,R:R,"0")</f>
        <v>12685.93</v>
      </c>
      <c r="D797">
        <f>C797*_xlfn.XLOOKUP(B797,AG:AG,AH:AH)</f>
        <v>10909.899799999999</v>
      </c>
      <c r="E797">
        <f>C797*_xlfn.XLOOKUP(B797,AG:AG,AI:AI)</f>
        <v>12685.93</v>
      </c>
      <c r="F797">
        <v>1003</v>
      </c>
      <c r="G797">
        <f>F797*_xlfn.XLOOKUP(B797,AG:AG,AH:AH)</f>
        <v>862.58</v>
      </c>
      <c r="H797">
        <f>F797*_xlfn.XLOOKUP(B797,AG:AG,AI:AI)</f>
        <v>1003</v>
      </c>
      <c r="I797">
        <f t="shared" si="63"/>
        <v>11682.93</v>
      </c>
      <c r="J797">
        <f>I797*_xlfn.XLOOKUP(B797,AG:AG,AI:AI)</f>
        <v>11682.93</v>
      </c>
      <c r="K797" s="7">
        <f>_xlfn.XLOOKUP(A797,Z:Z,AD:AD)</f>
        <v>46260</v>
      </c>
      <c r="L797" s="7">
        <f t="shared" si="60"/>
        <v>46230</v>
      </c>
      <c r="M797">
        <f t="shared" si="61"/>
        <v>7</v>
      </c>
      <c r="N797">
        <f t="shared" si="62"/>
        <v>2026</v>
      </c>
      <c r="W797" s="9">
        <v>583</v>
      </c>
      <c r="X797" s="9" t="s">
        <v>27</v>
      </c>
      <c r="Z797">
        <v>845</v>
      </c>
      <c r="AA797">
        <v>8207.68</v>
      </c>
      <c r="AB797" t="s">
        <v>29</v>
      </c>
      <c r="AD797" s="20">
        <v>46114</v>
      </c>
    </row>
    <row r="798" spans="1:30">
      <c r="A798">
        <v>856</v>
      </c>
      <c r="B798" t="str">
        <f>_xlfn.XLOOKUP(A798,Z:Z,AB:AB,"not found")</f>
        <v>EUR</v>
      </c>
      <c r="C798">
        <f>_xlfn.XLOOKUP(A798,Z:Z,AA:AA)-_xlfn.XLOOKUP(A798,Q:Q,R:R,"0")</f>
        <v>0</v>
      </c>
      <c r="D798">
        <f>C798*_xlfn.XLOOKUP(B798,AG:AG,AH:AH)</f>
        <v>0</v>
      </c>
      <c r="E798">
        <f>C798*_xlfn.XLOOKUP(B798,AG:AG,AI:AI)</f>
        <v>0</v>
      </c>
      <c r="F798">
        <v>8775</v>
      </c>
      <c r="G798">
        <f>F798*_xlfn.XLOOKUP(B798,AG:AG,AH:AH)</f>
        <v>8775</v>
      </c>
      <c r="H798">
        <f>F798*_xlfn.XLOOKUP(B798,AG:AG,AI:AI)</f>
        <v>10179</v>
      </c>
      <c r="I798">
        <f t="shared" si="63"/>
        <v>0</v>
      </c>
      <c r="J798">
        <f>I798*_xlfn.XLOOKUP(B798,AG:AG,AI:AI)</f>
        <v>0</v>
      </c>
      <c r="K798" s="7">
        <f>_xlfn.XLOOKUP(A798,Z:Z,AD:AD)</f>
        <v>45982</v>
      </c>
      <c r="L798" s="7">
        <f t="shared" si="60"/>
        <v>45952</v>
      </c>
      <c r="M798">
        <f t="shared" si="61"/>
        <v>10</v>
      </c>
      <c r="N798">
        <f t="shared" si="62"/>
        <v>2025</v>
      </c>
      <c r="W798" s="9">
        <v>585</v>
      </c>
      <c r="X798" s="9" t="s">
        <v>28</v>
      </c>
      <c r="Z798">
        <v>846</v>
      </c>
      <c r="AA798">
        <v>112038.5</v>
      </c>
      <c r="AB798" t="s">
        <v>29</v>
      </c>
      <c r="AD798" s="20">
        <v>46108</v>
      </c>
    </row>
    <row r="799" spans="1:30">
      <c r="A799">
        <v>857</v>
      </c>
      <c r="B799" t="str">
        <f>_xlfn.XLOOKUP(A799,Z:Z,AB:AB,"not found")</f>
        <v>EUR</v>
      </c>
      <c r="C799">
        <f>_xlfn.XLOOKUP(A799,Z:Z,AA:AA)-_xlfn.XLOOKUP(A799,Q:Q,R:R,"0")</f>
        <v>0</v>
      </c>
      <c r="D799">
        <f>C799*_xlfn.XLOOKUP(B799,AG:AG,AH:AH)</f>
        <v>0</v>
      </c>
      <c r="E799">
        <f>C799*_xlfn.XLOOKUP(B799,AG:AG,AI:AI)</f>
        <v>0</v>
      </c>
      <c r="F799">
        <v>9081</v>
      </c>
      <c r="G799">
        <f>F799*_xlfn.XLOOKUP(B799,AG:AG,AH:AH)</f>
        <v>9081</v>
      </c>
      <c r="H799">
        <f>F799*_xlfn.XLOOKUP(B799,AG:AG,AI:AI)</f>
        <v>10533.96</v>
      </c>
      <c r="I799">
        <f t="shared" si="63"/>
        <v>0</v>
      </c>
      <c r="J799">
        <f>I799*_xlfn.XLOOKUP(B799,AG:AG,AI:AI)</f>
        <v>0</v>
      </c>
      <c r="K799" s="7">
        <f>_xlfn.XLOOKUP(A799,Z:Z,AD:AD)</f>
        <v>45984</v>
      </c>
      <c r="L799" s="7">
        <f t="shared" si="60"/>
        <v>45954</v>
      </c>
      <c r="M799">
        <f t="shared" si="61"/>
        <v>10</v>
      </c>
      <c r="N799">
        <f t="shared" si="62"/>
        <v>2025</v>
      </c>
      <c r="W799" s="9">
        <v>585</v>
      </c>
      <c r="X799" s="9" t="s">
        <v>28</v>
      </c>
      <c r="Z799">
        <v>847</v>
      </c>
      <c r="AA799">
        <v>1078.53</v>
      </c>
      <c r="AB799" t="s">
        <v>29</v>
      </c>
      <c r="AD799" s="20">
        <v>45982</v>
      </c>
    </row>
    <row r="800" spans="1:30">
      <c r="A800">
        <v>858</v>
      </c>
      <c r="B800" t="str">
        <f>_xlfn.XLOOKUP(A800,Z:Z,AB:AB,"not found")</f>
        <v>USD</v>
      </c>
      <c r="C800">
        <f>_xlfn.XLOOKUP(A800,Z:Z,AA:AA)-_xlfn.XLOOKUP(A800,Q:Q,R:R,"0")</f>
        <v>0</v>
      </c>
      <c r="D800">
        <f>C800*_xlfn.XLOOKUP(B800,AG:AG,AH:AH)</f>
        <v>0</v>
      </c>
      <c r="E800">
        <f>C800*_xlfn.XLOOKUP(B800,AG:AG,AI:AI)</f>
        <v>0</v>
      </c>
      <c r="F800">
        <v>6523.9</v>
      </c>
      <c r="G800">
        <f>F800*_xlfn.XLOOKUP(B800,AG:AG,AH:AH)</f>
        <v>5610.5539999999992</v>
      </c>
      <c r="H800">
        <f>F800*_xlfn.XLOOKUP(B800,AG:AG,AI:AI)</f>
        <v>6523.9</v>
      </c>
      <c r="I800">
        <f t="shared" si="63"/>
        <v>0</v>
      </c>
      <c r="J800">
        <f>I800*_xlfn.XLOOKUP(B800,AG:AG,AI:AI)</f>
        <v>0</v>
      </c>
      <c r="K800" s="7">
        <f>_xlfn.XLOOKUP(A800,Z:Z,AD:AD)</f>
        <v>45975</v>
      </c>
      <c r="L800" s="7">
        <f t="shared" si="60"/>
        <v>45945</v>
      </c>
      <c r="M800">
        <f t="shared" si="61"/>
        <v>10</v>
      </c>
      <c r="N800">
        <f t="shared" si="62"/>
        <v>2025</v>
      </c>
      <c r="W800" s="9">
        <v>585</v>
      </c>
      <c r="X800" s="9" t="s">
        <v>28</v>
      </c>
      <c r="Z800">
        <v>848</v>
      </c>
      <c r="AA800">
        <v>79995.759999999995</v>
      </c>
      <c r="AB800" t="s">
        <v>29</v>
      </c>
      <c r="AD800" s="20">
        <v>46009</v>
      </c>
    </row>
    <row r="801" spans="1:30">
      <c r="A801">
        <v>859</v>
      </c>
      <c r="B801" t="str">
        <f>_xlfn.XLOOKUP(A801,Z:Z,AB:AB,"not found")</f>
        <v>USD</v>
      </c>
      <c r="C801">
        <f>_xlfn.XLOOKUP(A801,Z:Z,AA:AA)-_xlfn.XLOOKUP(A801,Q:Q,R:R,"0")</f>
        <v>36400</v>
      </c>
      <c r="D801">
        <f>C801*_xlfn.XLOOKUP(B801,AG:AG,AH:AH)</f>
        <v>31304</v>
      </c>
      <c r="E801">
        <f>C801*_xlfn.XLOOKUP(B801,AG:AG,AI:AI)</f>
        <v>36400</v>
      </c>
      <c r="F801">
        <v>36400</v>
      </c>
      <c r="G801">
        <f>F801*_xlfn.XLOOKUP(B801,AG:AG,AH:AH)</f>
        <v>31304</v>
      </c>
      <c r="H801">
        <f>F801*_xlfn.XLOOKUP(B801,AG:AG,AI:AI)</f>
        <v>36400</v>
      </c>
      <c r="I801">
        <f t="shared" si="63"/>
        <v>36400</v>
      </c>
      <c r="J801">
        <f>I801*_xlfn.XLOOKUP(B801,AG:AG,AI:AI)</f>
        <v>36400</v>
      </c>
      <c r="K801" s="7">
        <f>_xlfn.XLOOKUP(A801,Z:Z,AD:AD)</f>
        <v>46351</v>
      </c>
      <c r="L801" s="7">
        <f t="shared" si="60"/>
        <v>46321</v>
      </c>
      <c r="M801">
        <f t="shared" si="61"/>
        <v>10</v>
      </c>
      <c r="N801">
        <f t="shared" si="62"/>
        <v>2026</v>
      </c>
      <c r="W801" s="9">
        <v>585</v>
      </c>
      <c r="X801" s="9" t="s">
        <v>28</v>
      </c>
      <c r="Z801">
        <v>849</v>
      </c>
      <c r="AA801">
        <v>3782.82</v>
      </c>
      <c r="AB801" t="s">
        <v>29</v>
      </c>
      <c r="AD801" s="20">
        <v>46013</v>
      </c>
    </row>
    <row r="802" spans="1:30">
      <c r="A802">
        <v>860</v>
      </c>
      <c r="B802" t="str">
        <f>_xlfn.XLOOKUP(A802,Z:Z,AB:AB,"not found")</f>
        <v>GBP</v>
      </c>
      <c r="C802">
        <f>_xlfn.XLOOKUP(A802,Z:Z,AA:AA)-_xlfn.XLOOKUP(A802,Q:Q,R:R,"0")</f>
        <v>0</v>
      </c>
      <c r="D802">
        <f>C802*_xlfn.XLOOKUP(B802,AG:AG,AH:AH)</f>
        <v>0</v>
      </c>
      <c r="E802">
        <f>C802*_xlfn.XLOOKUP(B802,AG:AG,AI:AI)</f>
        <v>0</v>
      </c>
      <c r="F802">
        <v>10493</v>
      </c>
      <c r="G802">
        <f>F802*_xlfn.XLOOKUP(B802,AG:AG,AH:AH)</f>
        <v>12066.949999999999</v>
      </c>
      <c r="H802">
        <f>F802*_xlfn.XLOOKUP(B802,AG:AG,AI:AI)</f>
        <v>14060.62</v>
      </c>
      <c r="I802">
        <f t="shared" si="63"/>
        <v>0</v>
      </c>
      <c r="J802">
        <f>I802*_xlfn.XLOOKUP(B802,AG:AG,AI:AI)</f>
        <v>0</v>
      </c>
      <c r="K802" s="7">
        <f>_xlfn.XLOOKUP(A802,Z:Z,AD:AD)</f>
        <v>46003</v>
      </c>
      <c r="L802" s="7">
        <f t="shared" si="60"/>
        <v>45973</v>
      </c>
      <c r="M802">
        <f t="shared" si="61"/>
        <v>11</v>
      </c>
      <c r="N802">
        <f t="shared" si="62"/>
        <v>2025</v>
      </c>
      <c r="W802" s="9">
        <v>587</v>
      </c>
      <c r="X802" s="9" t="s">
        <v>29</v>
      </c>
      <c r="Z802">
        <v>850</v>
      </c>
      <c r="AA802">
        <v>159582.76999999999</v>
      </c>
      <c r="AB802" t="s">
        <v>29</v>
      </c>
      <c r="AD802" s="20">
        <v>46016</v>
      </c>
    </row>
    <row r="803" spans="1:30">
      <c r="A803">
        <v>861</v>
      </c>
      <c r="B803" t="str">
        <f>_xlfn.XLOOKUP(A803,Z:Z,AB:AB,"not found")</f>
        <v>EUR</v>
      </c>
      <c r="C803">
        <f>_xlfn.XLOOKUP(A803,Z:Z,AA:AA)-_xlfn.XLOOKUP(A803,Q:Q,R:R,"0")</f>
        <v>0</v>
      </c>
      <c r="D803">
        <f>C803*_xlfn.XLOOKUP(B803,AG:AG,AH:AH)</f>
        <v>0</v>
      </c>
      <c r="E803">
        <f>C803*_xlfn.XLOOKUP(B803,AG:AG,AI:AI)</f>
        <v>0</v>
      </c>
      <c r="F803">
        <v>275.92</v>
      </c>
      <c r="G803">
        <f>F803*_xlfn.XLOOKUP(B803,AG:AG,AH:AH)</f>
        <v>275.92</v>
      </c>
      <c r="H803">
        <f>F803*_xlfn.XLOOKUP(B803,AG:AG,AI:AI)</f>
        <v>320.06720000000001</v>
      </c>
      <c r="I803">
        <f t="shared" si="63"/>
        <v>0</v>
      </c>
      <c r="J803">
        <f>I803*_xlfn.XLOOKUP(B803,AG:AG,AI:AI)</f>
        <v>0</v>
      </c>
      <c r="K803" s="7">
        <f>_xlfn.XLOOKUP(A803,Z:Z,AD:AD)</f>
        <v>45930</v>
      </c>
      <c r="L803" s="7">
        <f t="shared" si="60"/>
        <v>45900</v>
      </c>
      <c r="M803">
        <f t="shared" si="61"/>
        <v>8</v>
      </c>
      <c r="N803">
        <f t="shared" si="62"/>
        <v>2025</v>
      </c>
      <c r="W803" s="9">
        <v>588</v>
      </c>
      <c r="X803" s="9" t="s">
        <v>27</v>
      </c>
      <c r="Z803">
        <v>851</v>
      </c>
      <c r="AA803">
        <v>358.58</v>
      </c>
      <c r="AB803" t="s">
        <v>29</v>
      </c>
      <c r="AD803" s="20">
        <v>45987</v>
      </c>
    </row>
    <row r="804" spans="1:30">
      <c r="A804">
        <v>862</v>
      </c>
      <c r="B804" t="str">
        <f>_xlfn.XLOOKUP(A804,Z:Z,AB:AB,"not found")</f>
        <v>USD</v>
      </c>
      <c r="C804">
        <f>_xlfn.XLOOKUP(A804,Z:Z,AA:AA)-_xlfn.XLOOKUP(A804,Q:Q,R:R,"0")</f>
        <v>0</v>
      </c>
      <c r="D804">
        <f>C804*_xlfn.XLOOKUP(B804,AG:AG,AH:AH)</f>
        <v>0</v>
      </c>
      <c r="E804">
        <f>C804*_xlfn.XLOOKUP(B804,AG:AG,AI:AI)</f>
        <v>0</v>
      </c>
      <c r="F804">
        <v>263.72000000000003</v>
      </c>
      <c r="G804">
        <f>F804*_xlfn.XLOOKUP(B804,AG:AG,AH:AH)</f>
        <v>226.79920000000001</v>
      </c>
      <c r="H804">
        <f>F804*_xlfn.XLOOKUP(B804,AG:AG,AI:AI)</f>
        <v>263.72000000000003</v>
      </c>
      <c r="I804">
        <f t="shared" si="63"/>
        <v>0</v>
      </c>
      <c r="J804">
        <f>I804*_xlfn.XLOOKUP(B804,AG:AG,AI:AI)</f>
        <v>0</v>
      </c>
      <c r="K804" s="7">
        <f>_xlfn.XLOOKUP(A804,Z:Z,AD:AD)</f>
        <v>46008</v>
      </c>
      <c r="L804" s="7">
        <f t="shared" ref="L804:L867" si="64">K804-30</f>
        <v>45978</v>
      </c>
      <c r="M804">
        <f t="shared" ref="M804:M867" si="65">MONTH(L804)</f>
        <v>11</v>
      </c>
      <c r="N804">
        <f t="shared" ref="N804:N867" si="66">YEAR(L804)</f>
        <v>2025</v>
      </c>
      <c r="W804" s="9">
        <v>588</v>
      </c>
      <c r="X804" s="9" t="s">
        <v>27</v>
      </c>
      <c r="Z804">
        <v>852</v>
      </c>
      <c r="AA804">
        <v>11149.92</v>
      </c>
      <c r="AB804" t="s">
        <v>29</v>
      </c>
      <c r="AD804" s="20">
        <v>46116</v>
      </c>
    </row>
    <row r="805" spans="1:30">
      <c r="A805">
        <v>863</v>
      </c>
      <c r="B805" t="str">
        <f>_xlfn.XLOOKUP(A805,Z:Z,AB:AB,"not found")</f>
        <v>EUR</v>
      </c>
      <c r="C805">
        <f>_xlfn.XLOOKUP(A805,Z:Z,AA:AA)-_xlfn.XLOOKUP(A805,Q:Q,R:R,"0")</f>
        <v>12500</v>
      </c>
      <c r="D805">
        <f>C805*_xlfn.XLOOKUP(B805,AG:AG,AH:AH)</f>
        <v>12500</v>
      </c>
      <c r="E805">
        <f>C805*_xlfn.XLOOKUP(B805,AG:AG,AI:AI)</f>
        <v>14499.999999999998</v>
      </c>
      <c r="F805">
        <v>12500</v>
      </c>
      <c r="G805">
        <f>F805*_xlfn.XLOOKUP(B805,AG:AG,AH:AH)</f>
        <v>12500</v>
      </c>
      <c r="H805">
        <f>F805*_xlfn.XLOOKUP(B805,AG:AG,AI:AI)</f>
        <v>14499.999999999998</v>
      </c>
      <c r="I805">
        <f t="shared" si="63"/>
        <v>0</v>
      </c>
      <c r="J805">
        <f>I805*_xlfn.XLOOKUP(B805,AG:AG,AI:AI)</f>
        <v>0</v>
      </c>
      <c r="K805" s="7">
        <f>_xlfn.XLOOKUP(A805,Z:Z,AD:AD)</f>
        <v>46020</v>
      </c>
      <c r="L805" s="7">
        <f t="shared" si="64"/>
        <v>45990</v>
      </c>
      <c r="M805">
        <f t="shared" si="65"/>
        <v>11</v>
      </c>
      <c r="N805">
        <f t="shared" si="66"/>
        <v>2025</v>
      </c>
      <c r="W805" s="9">
        <v>588</v>
      </c>
      <c r="X805" s="9" t="s">
        <v>27</v>
      </c>
      <c r="Z805">
        <v>855</v>
      </c>
      <c r="AA805">
        <v>12685.93</v>
      </c>
      <c r="AB805" t="s">
        <v>29</v>
      </c>
      <c r="AD805" s="20">
        <v>46260</v>
      </c>
    </row>
    <row r="806" spans="1:30">
      <c r="A806">
        <v>864</v>
      </c>
      <c r="B806" t="str">
        <f>_xlfn.XLOOKUP(A806,Z:Z,AB:AB,"not found")</f>
        <v>USD</v>
      </c>
      <c r="C806">
        <f>_xlfn.XLOOKUP(A806,Z:Z,AA:AA)-_xlfn.XLOOKUP(A806,Q:Q,R:R,"0")</f>
        <v>251.31</v>
      </c>
      <c r="D806">
        <f>C806*_xlfn.XLOOKUP(B806,AG:AG,AH:AH)</f>
        <v>216.1266</v>
      </c>
      <c r="E806">
        <f>C806*_xlfn.XLOOKUP(B806,AG:AG,AI:AI)</f>
        <v>251.31</v>
      </c>
      <c r="F806">
        <v>251.31</v>
      </c>
      <c r="G806">
        <f>F806*_xlfn.XLOOKUP(B806,AG:AG,AH:AH)</f>
        <v>216.1266</v>
      </c>
      <c r="H806">
        <f>F806*_xlfn.XLOOKUP(B806,AG:AG,AI:AI)</f>
        <v>251.31</v>
      </c>
      <c r="I806">
        <f t="shared" si="63"/>
        <v>0</v>
      </c>
      <c r="J806">
        <f>I806*_xlfn.XLOOKUP(B806,AG:AG,AI:AI)</f>
        <v>0</v>
      </c>
      <c r="K806" s="7">
        <f>_xlfn.XLOOKUP(A806,Z:Z,AD:AD)</f>
        <v>46006</v>
      </c>
      <c r="L806" s="7">
        <f t="shared" si="64"/>
        <v>45976</v>
      </c>
      <c r="M806">
        <f t="shared" si="65"/>
        <v>11</v>
      </c>
      <c r="N806">
        <f t="shared" si="66"/>
        <v>2025</v>
      </c>
      <c r="W806" s="9">
        <v>589</v>
      </c>
      <c r="X806" s="9" t="s">
        <v>32</v>
      </c>
      <c r="Z806">
        <v>856</v>
      </c>
      <c r="AA806">
        <v>8775</v>
      </c>
      <c r="AB806" t="s">
        <v>27</v>
      </c>
      <c r="AD806" s="20">
        <v>45982</v>
      </c>
    </row>
    <row r="807" spans="1:30">
      <c r="A807">
        <v>866</v>
      </c>
      <c r="B807" t="str">
        <f>_xlfn.XLOOKUP(A807,Z:Z,AB:AB,"not found")</f>
        <v>MXN</v>
      </c>
      <c r="C807">
        <f>_xlfn.XLOOKUP(A807,Z:Z,AA:AA)-_xlfn.XLOOKUP(A807,Q:Q,R:R,"0")</f>
        <v>83104</v>
      </c>
      <c r="D807">
        <f>C807*_xlfn.XLOOKUP(B807,AG:AG,AH:AH)</f>
        <v>3988.9920000000002</v>
      </c>
      <c r="E807">
        <f>C807*_xlfn.XLOOKUP(B807,AG:AG,AI:AI)</f>
        <v>4653.8240000000005</v>
      </c>
      <c r="F807">
        <v>8000</v>
      </c>
      <c r="G807">
        <f>F807*_xlfn.XLOOKUP(B807,AG:AG,AH:AH)</f>
        <v>384</v>
      </c>
      <c r="H807">
        <f>F807*_xlfn.XLOOKUP(B807,AG:AG,AI:AI)</f>
        <v>448</v>
      </c>
      <c r="I807">
        <f t="shared" si="63"/>
        <v>75104</v>
      </c>
      <c r="J807">
        <f>I807*_xlfn.XLOOKUP(B807,AG:AG,AI:AI)</f>
        <v>4205.8240000000005</v>
      </c>
      <c r="K807" s="7">
        <f>_xlfn.XLOOKUP(A807,Z:Z,AD:AD)</f>
        <v>46328</v>
      </c>
      <c r="L807" s="7">
        <f t="shared" si="64"/>
        <v>46298</v>
      </c>
      <c r="M807">
        <f t="shared" si="65"/>
        <v>10</v>
      </c>
      <c r="N807">
        <f t="shared" si="66"/>
        <v>2026</v>
      </c>
      <c r="W807" s="9">
        <v>590</v>
      </c>
      <c r="X807" s="9" t="s">
        <v>29</v>
      </c>
      <c r="Z807">
        <v>857</v>
      </c>
      <c r="AA807">
        <v>9081</v>
      </c>
      <c r="AB807" t="s">
        <v>27</v>
      </c>
      <c r="AD807" s="20">
        <v>45984</v>
      </c>
    </row>
    <row r="808" spans="1:30">
      <c r="A808">
        <v>867</v>
      </c>
      <c r="B808" t="str">
        <f>_xlfn.XLOOKUP(A808,Z:Z,AB:AB,"not found")</f>
        <v>EUR</v>
      </c>
      <c r="C808">
        <f>_xlfn.XLOOKUP(A808,Z:Z,AA:AA)-_xlfn.XLOOKUP(A808,Q:Q,R:R,"0")</f>
        <v>12656.59</v>
      </c>
      <c r="D808">
        <f>C808*_xlfn.XLOOKUP(B808,AG:AG,AH:AH)</f>
        <v>12656.59</v>
      </c>
      <c r="E808">
        <f>C808*_xlfn.XLOOKUP(B808,AG:AG,AI:AI)</f>
        <v>14681.644399999999</v>
      </c>
      <c r="F808">
        <v>4803.8599999999997</v>
      </c>
      <c r="G808">
        <f>F808*_xlfn.XLOOKUP(B808,AG:AG,AH:AH)</f>
        <v>4803.8599999999997</v>
      </c>
      <c r="H808">
        <f>F808*_xlfn.XLOOKUP(B808,AG:AG,AI:AI)</f>
        <v>5572.4775999999993</v>
      </c>
      <c r="I808">
        <f t="shared" si="63"/>
        <v>7852.7300000000005</v>
      </c>
      <c r="J808">
        <f>I808*_xlfn.XLOOKUP(B808,AG:AG,AI:AI)</f>
        <v>9109.1667999999991</v>
      </c>
      <c r="K808" s="7">
        <f>_xlfn.XLOOKUP(A808,Z:Z,AD:AD)</f>
        <v>46169</v>
      </c>
      <c r="L808" s="7">
        <f t="shared" si="64"/>
        <v>46139</v>
      </c>
      <c r="M808">
        <f t="shared" si="65"/>
        <v>4</v>
      </c>
      <c r="N808">
        <f t="shared" si="66"/>
        <v>2026</v>
      </c>
      <c r="W808" s="9">
        <v>591</v>
      </c>
      <c r="X808" s="9" t="s">
        <v>29</v>
      </c>
      <c r="Z808">
        <v>858</v>
      </c>
      <c r="AA808">
        <v>6523.9</v>
      </c>
      <c r="AB808" t="s">
        <v>29</v>
      </c>
      <c r="AD808" s="20">
        <v>45975</v>
      </c>
    </row>
    <row r="809" spans="1:30">
      <c r="A809">
        <v>868</v>
      </c>
      <c r="B809" t="str">
        <f>_xlfn.XLOOKUP(A809,Z:Z,AB:AB,"not found")</f>
        <v>USD</v>
      </c>
      <c r="C809">
        <f>_xlfn.XLOOKUP(A809,Z:Z,AA:AA)-_xlfn.XLOOKUP(A809,Q:Q,R:R,"0")</f>
        <v>7739.08</v>
      </c>
      <c r="D809">
        <f>C809*_xlfn.XLOOKUP(B809,AG:AG,AH:AH)</f>
        <v>6655.6088</v>
      </c>
      <c r="E809">
        <f>C809*_xlfn.XLOOKUP(B809,AG:AG,AI:AI)</f>
        <v>7739.08</v>
      </c>
      <c r="F809">
        <v>7739.08</v>
      </c>
      <c r="G809">
        <f>F809*_xlfn.XLOOKUP(B809,AG:AG,AH:AH)</f>
        <v>6655.6088</v>
      </c>
      <c r="H809">
        <f>F809*_xlfn.XLOOKUP(B809,AG:AG,AI:AI)</f>
        <v>7739.08</v>
      </c>
      <c r="I809">
        <f t="shared" si="63"/>
        <v>0</v>
      </c>
      <c r="J809">
        <f>I809*_xlfn.XLOOKUP(B809,AG:AG,AI:AI)</f>
        <v>0</v>
      </c>
      <c r="K809" s="7">
        <f>_xlfn.XLOOKUP(A809,Z:Z,AD:AD)</f>
        <v>46017</v>
      </c>
      <c r="L809" s="7">
        <f t="shared" si="64"/>
        <v>45987</v>
      </c>
      <c r="M809">
        <f t="shared" si="65"/>
        <v>11</v>
      </c>
      <c r="N809">
        <f t="shared" si="66"/>
        <v>2025</v>
      </c>
      <c r="W809" s="9">
        <v>592</v>
      </c>
      <c r="X809" s="9" t="s">
        <v>29</v>
      </c>
      <c r="Z809">
        <v>859</v>
      </c>
      <c r="AA809">
        <v>72800</v>
      </c>
      <c r="AB809" t="s">
        <v>29</v>
      </c>
      <c r="AD809" s="20">
        <v>46351</v>
      </c>
    </row>
    <row r="810" spans="1:30">
      <c r="A810">
        <v>869</v>
      </c>
      <c r="B810" t="str">
        <f>_xlfn.XLOOKUP(A810,Z:Z,AB:AB,"not found")</f>
        <v>USD</v>
      </c>
      <c r="C810">
        <f>_xlfn.XLOOKUP(A810,Z:Z,AA:AA)-_xlfn.XLOOKUP(A810,Q:Q,R:R,"0")</f>
        <v>1279.6099999999999</v>
      </c>
      <c r="D810">
        <f>C810*_xlfn.XLOOKUP(B810,AG:AG,AH:AH)</f>
        <v>1100.4645999999998</v>
      </c>
      <c r="E810">
        <f>C810*_xlfn.XLOOKUP(B810,AG:AG,AI:AI)</f>
        <v>1279.6099999999999</v>
      </c>
      <c r="F810">
        <v>1279.6099999999999</v>
      </c>
      <c r="G810">
        <f>F810*_xlfn.XLOOKUP(B810,AG:AG,AH:AH)</f>
        <v>1100.4645999999998</v>
      </c>
      <c r="H810">
        <f>F810*_xlfn.XLOOKUP(B810,AG:AG,AI:AI)</f>
        <v>1279.6099999999999</v>
      </c>
      <c r="I810">
        <f t="shared" si="63"/>
        <v>0</v>
      </c>
      <c r="J810">
        <f>I810*_xlfn.XLOOKUP(B810,AG:AG,AI:AI)</f>
        <v>0</v>
      </c>
      <c r="K810" s="7">
        <f>_xlfn.XLOOKUP(A810,Z:Z,AD:AD)</f>
        <v>45993</v>
      </c>
      <c r="L810" s="7">
        <f t="shared" si="64"/>
        <v>45963</v>
      </c>
      <c r="M810">
        <f t="shared" si="65"/>
        <v>11</v>
      </c>
      <c r="N810">
        <f t="shared" si="66"/>
        <v>2025</v>
      </c>
      <c r="W810" s="9">
        <v>593</v>
      </c>
      <c r="X810" s="9" t="s">
        <v>29</v>
      </c>
      <c r="Z810">
        <v>860</v>
      </c>
      <c r="AA810">
        <v>10493</v>
      </c>
      <c r="AB810" t="s">
        <v>31</v>
      </c>
      <c r="AD810" s="20">
        <v>46003</v>
      </c>
    </row>
    <row r="811" spans="1:30">
      <c r="A811">
        <v>870</v>
      </c>
      <c r="B811" t="str">
        <f>_xlfn.XLOOKUP(A811,Z:Z,AB:AB,"not found")</f>
        <v>USD</v>
      </c>
      <c r="C811">
        <f>_xlfn.XLOOKUP(A811,Z:Z,AA:AA)-_xlfn.XLOOKUP(A811,Q:Q,R:R,"0")</f>
        <v>19002</v>
      </c>
      <c r="D811">
        <f>C811*_xlfn.XLOOKUP(B811,AG:AG,AH:AH)</f>
        <v>16341.72</v>
      </c>
      <c r="E811">
        <f>C811*_xlfn.XLOOKUP(B811,AG:AG,AI:AI)</f>
        <v>19002</v>
      </c>
      <c r="F811">
        <v>8336</v>
      </c>
      <c r="G811">
        <f>F811*_xlfn.XLOOKUP(B811,AG:AG,AH:AH)</f>
        <v>7168.96</v>
      </c>
      <c r="H811">
        <f>F811*_xlfn.XLOOKUP(B811,AG:AG,AI:AI)</f>
        <v>8336</v>
      </c>
      <c r="I811">
        <f t="shared" si="63"/>
        <v>10666</v>
      </c>
      <c r="J811">
        <f>I811*_xlfn.XLOOKUP(B811,AG:AG,AI:AI)</f>
        <v>10666</v>
      </c>
      <c r="K811" s="7">
        <f>_xlfn.XLOOKUP(A811,Z:Z,AD:AD)</f>
        <v>46138</v>
      </c>
      <c r="L811" s="7">
        <f t="shared" si="64"/>
        <v>46108</v>
      </c>
      <c r="M811">
        <f t="shared" si="65"/>
        <v>3</v>
      </c>
      <c r="N811">
        <f t="shared" si="66"/>
        <v>2026</v>
      </c>
      <c r="W811" s="9">
        <v>594</v>
      </c>
      <c r="X811" s="9" t="s">
        <v>32</v>
      </c>
      <c r="Z811">
        <v>861</v>
      </c>
      <c r="AA811">
        <v>275.92</v>
      </c>
      <c r="AB811" t="s">
        <v>27</v>
      </c>
      <c r="AD811" s="20">
        <v>45930</v>
      </c>
    </row>
    <row r="812" spans="1:30">
      <c r="A812">
        <v>871</v>
      </c>
      <c r="B812" t="str">
        <f>_xlfn.XLOOKUP(A812,Z:Z,AB:AB,"not found")</f>
        <v>MXN</v>
      </c>
      <c r="C812">
        <f>_xlfn.XLOOKUP(A812,Z:Z,AA:AA)-_xlfn.XLOOKUP(A812,Q:Q,R:R,"0")</f>
        <v>103792</v>
      </c>
      <c r="D812">
        <f>C812*_xlfn.XLOOKUP(B812,AG:AG,AH:AH)</f>
        <v>4982.0160000000005</v>
      </c>
      <c r="E812">
        <f>C812*_xlfn.XLOOKUP(B812,AG:AG,AI:AI)</f>
        <v>5812.3519999999999</v>
      </c>
      <c r="F812">
        <v>103792</v>
      </c>
      <c r="G812">
        <f>F812*_xlfn.XLOOKUP(B812,AG:AG,AH:AH)</f>
        <v>4982.0160000000005</v>
      </c>
      <c r="H812">
        <f>F812*_xlfn.XLOOKUP(B812,AG:AG,AI:AI)</f>
        <v>5812.3519999999999</v>
      </c>
      <c r="I812">
        <f t="shared" si="63"/>
        <v>0</v>
      </c>
      <c r="J812">
        <f>I812*_xlfn.XLOOKUP(B812,AG:AG,AI:AI)</f>
        <v>0</v>
      </c>
      <c r="K812" s="7">
        <f>_xlfn.XLOOKUP(A812,Z:Z,AD:AD)</f>
        <v>45993</v>
      </c>
      <c r="L812" s="7">
        <f t="shared" si="64"/>
        <v>45963</v>
      </c>
      <c r="M812">
        <f t="shared" si="65"/>
        <v>11</v>
      </c>
      <c r="N812">
        <f t="shared" si="66"/>
        <v>2025</v>
      </c>
      <c r="W812" s="9">
        <v>594</v>
      </c>
      <c r="X812" s="9" t="s">
        <v>31</v>
      </c>
      <c r="Z812">
        <v>862</v>
      </c>
      <c r="AA812">
        <v>263.72000000000003</v>
      </c>
      <c r="AB812" t="s">
        <v>29</v>
      </c>
      <c r="AD812" s="20">
        <v>46008</v>
      </c>
    </row>
    <row r="813" spans="1:30">
      <c r="A813">
        <v>872</v>
      </c>
      <c r="B813" t="str">
        <f>_xlfn.XLOOKUP(A813,Z:Z,AB:AB,"not found")</f>
        <v>MXN</v>
      </c>
      <c r="C813">
        <f>_xlfn.XLOOKUP(A813,Z:Z,AA:AA)-_xlfn.XLOOKUP(A813,Q:Q,R:R,"0")</f>
        <v>41552</v>
      </c>
      <c r="D813">
        <f>C813*_xlfn.XLOOKUP(B813,AG:AG,AH:AH)</f>
        <v>1994.4960000000001</v>
      </c>
      <c r="E813">
        <f>C813*_xlfn.XLOOKUP(B813,AG:AG,AI:AI)</f>
        <v>2326.9120000000003</v>
      </c>
      <c r="F813">
        <v>10000</v>
      </c>
      <c r="G813">
        <f>F813*_xlfn.XLOOKUP(B813,AG:AG,AH:AH)</f>
        <v>480</v>
      </c>
      <c r="H813">
        <f>F813*_xlfn.XLOOKUP(B813,AG:AG,AI:AI)</f>
        <v>560</v>
      </c>
      <c r="I813">
        <f t="shared" si="63"/>
        <v>31552</v>
      </c>
      <c r="J813">
        <f>I813*_xlfn.XLOOKUP(B813,AG:AG,AI:AI)</f>
        <v>1766.912</v>
      </c>
      <c r="K813" s="7">
        <f>_xlfn.XLOOKUP(A813,Z:Z,AD:AD)</f>
        <v>46328</v>
      </c>
      <c r="L813" s="7">
        <f t="shared" si="64"/>
        <v>46298</v>
      </c>
      <c r="M813">
        <f t="shared" si="65"/>
        <v>10</v>
      </c>
      <c r="N813">
        <f t="shared" si="66"/>
        <v>2026</v>
      </c>
      <c r="W813" s="9">
        <v>598</v>
      </c>
      <c r="X813" s="9" t="s">
        <v>27</v>
      </c>
      <c r="Z813">
        <v>863</v>
      </c>
      <c r="AA813">
        <v>12500</v>
      </c>
      <c r="AB813" t="s">
        <v>27</v>
      </c>
      <c r="AD813" s="20">
        <v>46020</v>
      </c>
    </row>
    <row r="814" spans="1:30">
      <c r="A814">
        <v>874</v>
      </c>
      <c r="B814" t="str">
        <f>_xlfn.XLOOKUP(A814,Z:Z,AB:AB,"not found")</f>
        <v>USD</v>
      </c>
      <c r="C814">
        <f>_xlfn.XLOOKUP(A814,Z:Z,AA:AA)-_xlfn.XLOOKUP(A814,Q:Q,R:R,"0")</f>
        <v>15078</v>
      </c>
      <c r="D814">
        <f>C814*_xlfn.XLOOKUP(B814,AG:AG,AH:AH)</f>
        <v>12967.08</v>
      </c>
      <c r="E814">
        <f>C814*_xlfn.XLOOKUP(B814,AG:AG,AI:AI)</f>
        <v>15078</v>
      </c>
      <c r="F814">
        <v>4600</v>
      </c>
      <c r="G814">
        <f>F814*_xlfn.XLOOKUP(B814,AG:AG,AH:AH)</f>
        <v>3956</v>
      </c>
      <c r="H814">
        <f>F814*_xlfn.XLOOKUP(B814,AG:AG,AI:AI)</f>
        <v>4600</v>
      </c>
      <c r="I814">
        <f t="shared" si="63"/>
        <v>10478</v>
      </c>
      <c r="J814">
        <f>I814*_xlfn.XLOOKUP(B814,AG:AG,AI:AI)</f>
        <v>10478</v>
      </c>
      <c r="K814" s="7">
        <f>_xlfn.XLOOKUP(A814,Z:Z,AD:AD)</f>
        <v>46230</v>
      </c>
      <c r="L814" s="7">
        <f t="shared" si="64"/>
        <v>46200</v>
      </c>
      <c r="M814">
        <f t="shared" si="65"/>
        <v>6</v>
      </c>
      <c r="N814">
        <f t="shared" si="66"/>
        <v>2026</v>
      </c>
      <c r="W814" s="9">
        <v>600</v>
      </c>
      <c r="X814" s="9" t="s">
        <v>29</v>
      </c>
      <c r="Z814">
        <v>864</v>
      </c>
      <c r="AA814">
        <v>251.31</v>
      </c>
      <c r="AB814" t="s">
        <v>29</v>
      </c>
      <c r="AD814" s="20">
        <v>46006</v>
      </c>
    </row>
    <row r="815" spans="1:30">
      <c r="A815">
        <v>875</v>
      </c>
      <c r="B815" t="str">
        <f>_xlfn.XLOOKUP(A815,Z:Z,AB:AB,"not found")</f>
        <v>USD</v>
      </c>
      <c r="C815">
        <f>_xlfn.XLOOKUP(A815,Z:Z,AA:AA)-_xlfn.XLOOKUP(A815,Q:Q,R:R,"0")</f>
        <v>-15547.880000000001</v>
      </c>
      <c r="D815">
        <f>C815*_xlfn.XLOOKUP(B815,AG:AG,AH:AH)</f>
        <v>-13371.176800000001</v>
      </c>
      <c r="E815">
        <f>C815*_xlfn.XLOOKUP(B815,AG:AG,AI:AI)</f>
        <v>-15547.880000000001</v>
      </c>
      <c r="F815">
        <v>6617.34</v>
      </c>
      <c r="G815">
        <f>F815*_xlfn.XLOOKUP(B815,AG:AG,AH:AH)</f>
        <v>5690.9124000000002</v>
      </c>
      <c r="H815">
        <f>F815*_xlfn.XLOOKUP(B815,AG:AG,AI:AI)</f>
        <v>6617.34</v>
      </c>
      <c r="I815">
        <f t="shared" si="63"/>
        <v>0</v>
      </c>
      <c r="J815">
        <f>I815*_xlfn.XLOOKUP(B815,AG:AG,AI:AI)</f>
        <v>0</v>
      </c>
      <c r="K815" s="7">
        <f>_xlfn.XLOOKUP(A815,Z:Z,AD:AD)</f>
        <v>46025</v>
      </c>
      <c r="L815" s="7">
        <f t="shared" si="64"/>
        <v>45995</v>
      </c>
      <c r="M815">
        <f t="shared" si="65"/>
        <v>12</v>
      </c>
      <c r="N815">
        <f t="shared" si="66"/>
        <v>2025</v>
      </c>
      <c r="W815" s="9">
        <v>601</v>
      </c>
      <c r="X815" s="9" t="s">
        <v>30</v>
      </c>
      <c r="Z815">
        <v>866</v>
      </c>
      <c r="AA815">
        <v>83104</v>
      </c>
      <c r="AB815" t="s">
        <v>28</v>
      </c>
      <c r="AD815" s="20">
        <v>46328</v>
      </c>
    </row>
    <row r="816" spans="1:30">
      <c r="A816">
        <v>876</v>
      </c>
      <c r="B816" t="str">
        <f>_xlfn.XLOOKUP(A816,Z:Z,AB:AB,"not found")</f>
        <v>USD</v>
      </c>
      <c r="C816">
        <f>_xlfn.XLOOKUP(A816,Z:Z,AA:AA)-_xlfn.XLOOKUP(A816,Q:Q,R:R,"0")</f>
        <v>0</v>
      </c>
      <c r="D816">
        <f>C816*_xlfn.XLOOKUP(B816,AG:AG,AH:AH)</f>
        <v>0</v>
      </c>
      <c r="E816">
        <f>C816*_xlfn.XLOOKUP(B816,AG:AG,AI:AI)</f>
        <v>0</v>
      </c>
      <c r="F816">
        <v>508.64</v>
      </c>
      <c r="G816">
        <f>F816*_xlfn.XLOOKUP(B816,AG:AG,AH:AH)</f>
        <v>437.43039999999996</v>
      </c>
      <c r="H816">
        <f>F816*_xlfn.XLOOKUP(B816,AG:AG,AI:AI)</f>
        <v>508.64</v>
      </c>
      <c r="I816">
        <f t="shared" si="63"/>
        <v>0</v>
      </c>
      <c r="J816">
        <f>I816*_xlfn.XLOOKUP(B816,AG:AG,AI:AI)</f>
        <v>0</v>
      </c>
      <c r="K816" s="7">
        <f>_xlfn.XLOOKUP(A816,Z:Z,AD:AD)</f>
        <v>45807</v>
      </c>
      <c r="L816" s="7">
        <f t="shared" si="64"/>
        <v>45777</v>
      </c>
      <c r="M816">
        <f t="shared" si="65"/>
        <v>4</v>
      </c>
      <c r="N816">
        <f t="shared" si="66"/>
        <v>2025</v>
      </c>
      <c r="W816" s="9">
        <v>601</v>
      </c>
      <c r="X816" s="9" t="s">
        <v>30</v>
      </c>
      <c r="Z816">
        <v>867</v>
      </c>
      <c r="AA816">
        <v>12656.59</v>
      </c>
      <c r="AB816" t="s">
        <v>27</v>
      </c>
      <c r="AD816" s="20">
        <v>46169</v>
      </c>
    </row>
    <row r="817" spans="1:30">
      <c r="A817">
        <v>877</v>
      </c>
      <c r="B817" t="str">
        <f>_xlfn.XLOOKUP(A817,Z:Z,AB:AB,"not found")</f>
        <v>USD</v>
      </c>
      <c r="C817">
        <f>_xlfn.XLOOKUP(A817,Z:Z,AA:AA)-_xlfn.XLOOKUP(A817,Q:Q,R:R,"0")</f>
        <v>0</v>
      </c>
      <c r="D817">
        <f>C817*_xlfn.XLOOKUP(B817,AG:AG,AH:AH)</f>
        <v>0</v>
      </c>
      <c r="E817">
        <f>C817*_xlfn.XLOOKUP(B817,AG:AG,AI:AI)</f>
        <v>0</v>
      </c>
      <c r="F817">
        <v>10000</v>
      </c>
      <c r="G817">
        <f>F817*_xlfn.XLOOKUP(B817,AG:AG,AH:AH)</f>
        <v>8600</v>
      </c>
      <c r="H817">
        <f>F817*_xlfn.XLOOKUP(B817,AG:AG,AI:AI)</f>
        <v>10000</v>
      </c>
      <c r="I817">
        <f t="shared" si="63"/>
        <v>0</v>
      </c>
      <c r="J817">
        <f>I817*_xlfn.XLOOKUP(B817,AG:AG,AI:AI)</f>
        <v>0</v>
      </c>
      <c r="K817" s="7">
        <f>_xlfn.XLOOKUP(A817,Z:Z,AD:AD)</f>
        <v>45978</v>
      </c>
      <c r="L817" s="7">
        <f t="shared" si="64"/>
        <v>45948</v>
      </c>
      <c r="M817">
        <f t="shared" si="65"/>
        <v>10</v>
      </c>
      <c r="N817">
        <f t="shared" si="66"/>
        <v>2025</v>
      </c>
      <c r="W817" s="9">
        <v>602</v>
      </c>
      <c r="X817" s="9" t="s">
        <v>27</v>
      </c>
      <c r="Z817">
        <v>868</v>
      </c>
      <c r="AA817">
        <v>7739.08</v>
      </c>
      <c r="AB817" t="s">
        <v>29</v>
      </c>
      <c r="AD817" s="20">
        <v>46017</v>
      </c>
    </row>
    <row r="818" spans="1:30">
      <c r="A818">
        <v>878</v>
      </c>
      <c r="B818" t="str">
        <f>_xlfn.XLOOKUP(A818,Z:Z,AB:AB,"not found")</f>
        <v>EUR</v>
      </c>
      <c r="C818">
        <f>_xlfn.XLOOKUP(A818,Z:Z,AA:AA)-_xlfn.XLOOKUP(A818,Q:Q,R:R,"0")</f>
        <v>820</v>
      </c>
      <c r="D818">
        <f>C818*_xlfn.XLOOKUP(B818,AG:AG,AH:AH)</f>
        <v>820</v>
      </c>
      <c r="E818">
        <f>C818*_xlfn.XLOOKUP(B818,AG:AG,AI:AI)</f>
        <v>951.19999999999993</v>
      </c>
      <c r="F818">
        <v>820</v>
      </c>
      <c r="G818">
        <f>F818*_xlfn.XLOOKUP(B818,AG:AG,AH:AH)</f>
        <v>820</v>
      </c>
      <c r="H818">
        <f>F818*_xlfn.XLOOKUP(B818,AG:AG,AI:AI)</f>
        <v>951.19999999999993</v>
      </c>
      <c r="I818">
        <f t="shared" si="63"/>
        <v>0</v>
      </c>
      <c r="J818">
        <f>I818*_xlfn.XLOOKUP(B818,AG:AG,AI:AI)</f>
        <v>0</v>
      </c>
      <c r="K818" s="7">
        <f>_xlfn.XLOOKUP(A818,Z:Z,AD:AD)</f>
        <v>45995</v>
      </c>
      <c r="L818" s="7">
        <f t="shared" si="64"/>
        <v>45965</v>
      </c>
      <c r="M818">
        <f t="shared" si="65"/>
        <v>11</v>
      </c>
      <c r="N818">
        <f t="shared" si="66"/>
        <v>2025</v>
      </c>
      <c r="W818" s="9">
        <v>603</v>
      </c>
      <c r="X818" s="9" t="s">
        <v>29</v>
      </c>
      <c r="Z818">
        <v>869</v>
      </c>
      <c r="AA818">
        <v>1279.6099999999999</v>
      </c>
      <c r="AB818" t="s">
        <v>29</v>
      </c>
      <c r="AD818" s="20">
        <v>45993</v>
      </c>
    </row>
    <row r="819" spans="1:30">
      <c r="A819">
        <v>879</v>
      </c>
      <c r="B819" t="str">
        <f>_xlfn.XLOOKUP(A819,Z:Z,AB:AB,"not found")</f>
        <v>USD</v>
      </c>
      <c r="C819">
        <f>_xlfn.XLOOKUP(A819,Z:Z,AA:AA)-_xlfn.XLOOKUP(A819,Q:Q,R:R,"0")</f>
        <v>0</v>
      </c>
      <c r="D819">
        <f>C819*_xlfn.XLOOKUP(B819,AG:AG,AH:AH)</f>
        <v>0</v>
      </c>
      <c r="E819">
        <f>C819*_xlfn.XLOOKUP(B819,AG:AG,AI:AI)</f>
        <v>0</v>
      </c>
      <c r="F819">
        <v>5281.02</v>
      </c>
      <c r="G819">
        <f>F819*_xlfn.XLOOKUP(B819,AG:AG,AH:AH)</f>
        <v>4541.6772000000001</v>
      </c>
      <c r="H819">
        <f>F819*_xlfn.XLOOKUP(B819,AG:AG,AI:AI)</f>
        <v>5281.02</v>
      </c>
      <c r="I819">
        <f t="shared" si="63"/>
        <v>0</v>
      </c>
      <c r="J819">
        <f>I819*_xlfn.XLOOKUP(B819,AG:AG,AI:AI)</f>
        <v>0</v>
      </c>
      <c r="K819" s="7">
        <f>_xlfn.XLOOKUP(A819,Z:Z,AD:AD)</f>
        <v>45950</v>
      </c>
      <c r="L819" s="7">
        <f t="shared" si="64"/>
        <v>45920</v>
      </c>
      <c r="M819">
        <f t="shared" si="65"/>
        <v>9</v>
      </c>
      <c r="N819">
        <f t="shared" si="66"/>
        <v>2025</v>
      </c>
      <c r="W819" s="9">
        <v>604</v>
      </c>
      <c r="X819" s="9" t="s">
        <v>27</v>
      </c>
      <c r="Z819">
        <v>870</v>
      </c>
      <c r="AA819">
        <v>19002</v>
      </c>
      <c r="AB819" t="s">
        <v>29</v>
      </c>
      <c r="AD819" s="20">
        <v>46138</v>
      </c>
    </row>
    <row r="820" spans="1:30">
      <c r="A820">
        <v>880</v>
      </c>
      <c r="B820" t="str">
        <f>_xlfn.XLOOKUP(A820,Z:Z,AB:AB,"not found")</f>
        <v>USD</v>
      </c>
      <c r="C820">
        <f>_xlfn.XLOOKUP(A820,Z:Z,AA:AA)-_xlfn.XLOOKUP(A820,Q:Q,R:R,"0")</f>
        <v>0</v>
      </c>
      <c r="D820">
        <f>C820*_xlfn.XLOOKUP(B820,AG:AG,AH:AH)</f>
        <v>0</v>
      </c>
      <c r="E820">
        <f>C820*_xlfn.XLOOKUP(B820,AG:AG,AI:AI)</f>
        <v>0</v>
      </c>
      <c r="F820">
        <v>7141.22</v>
      </c>
      <c r="G820">
        <f>F820*_xlfn.XLOOKUP(B820,AG:AG,AH:AH)</f>
        <v>6141.4492</v>
      </c>
      <c r="H820">
        <f>F820*_xlfn.XLOOKUP(B820,AG:AG,AI:AI)</f>
        <v>7141.22</v>
      </c>
      <c r="I820">
        <f t="shared" si="63"/>
        <v>0</v>
      </c>
      <c r="J820">
        <f>I820*_xlfn.XLOOKUP(B820,AG:AG,AI:AI)</f>
        <v>0</v>
      </c>
      <c r="K820" s="7">
        <f>_xlfn.XLOOKUP(A820,Z:Z,AD:AD)</f>
        <v>45955</v>
      </c>
      <c r="L820" s="7">
        <f t="shared" si="64"/>
        <v>45925</v>
      </c>
      <c r="M820">
        <f t="shared" si="65"/>
        <v>9</v>
      </c>
      <c r="N820">
        <f t="shared" si="66"/>
        <v>2025</v>
      </c>
      <c r="W820" s="9">
        <v>605</v>
      </c>
      <c r="X820" s="9" t="s">
        <v>29</v>
      </c>
      <c r="Z820">
        <v>871</v>
      </c>
      <c r="AA820">
        <v>103792</v>
      </c>
      <c r="AB820" t="s">
        <v>28</v>
      </c>
      <c r="AD820" s="20">
        <v>45993</v>
      </c>
    </row>
    <row r="821" spans="1:30">
      <c r="A821">
        <v>882</v>
      </c>
      <c r="B821" t="str">
        <f>_xlfn.XLOOKUP(A821,Z:Z,AB:AB,"not found")</f>
        <v>JPY</v>
      </c>
      <c r="C821">
        <f>_xlfn.XLOOKUP(A821,Z:Z,AA:AA)-_xlfn.XLOOKUP(A821,Q:Q,R:R,"0")</f>
        <v>0</v>
      </c>
      <c r="D821">
        <f>C821*_xlfn.XLOOKUP(B821,AG:AG,AH:AH)</f>
        <v>0</v>
      </c>
      <c r="E821">
        <f>C821*_xlfn.XLOOKUP(B821,AG:AG,AI:AI)</f>
        <v>0</v>
      </c>
      <c r="F821">
        <v>427120</v>
      </c>
      <c r="G821">
        <f>F821*_xlfn.XLOOKUP(B821,AG:AG,AH:AH)</f>
        <v>2349.16</v>
      </c>
      <c r="H821">
        <f>F821*_xlfn.XLOOKUP(B821,AG:AG,AI:AI)</f>
        <v>2733.5680000000002</v>
      </c>
      <c r="I821">
        <f t="shared" si="63"/>
        <v>0</v>
      </c>
      <c r="J821">
        <f>I821*_xlfn.XLOOKUP(B821,AG:AG,AI:AI)</f>
        <v>0</v>
      </c>
      <c r="K821" s="7">
        <f>_xlfn.XLOOKUP(A821,Z:Z,AD:AD)</f>
        <v>46032</v>
      </c>
      <c r="L821" s="7">
        <f t="shared" si="64"/>
        <v>46002</v>
      </c>
      <c r="M821">
        <f t="shared" si="65"/>
        <v>12</v>
      </c>
      <c r="N821">
        <f t="shared" si="66"/>
        <v>2025</v>
      </c>
      <c r="W821" s="9">
        <v>607</v>
      </c>
      <c r="X821" s="9" t="s">
        <v>27</v>
      </c>
      <c r="Z821">
        <v>872</v>
      </c>
      <c r="AA821">
        <v>41552</v>
      </c>
      <c r="AB821" t="s">
        <v>28</v>
      </c>
      <c r="AD821" s="20">
        <v>46328</v>
      </c>
    </row>
    <row r="822" spans="1:30">
      <c r="A822">
        <v>884</v>
      </c>
      <c r="B822" t="str">
        <f>_xlfn.XLOOKUP(A822,Z:Z,AB:AB,"not found")</f>
        <v>USD</v>
      </c>
      <c r="C822">
        <f>_xlfn.XLOOKUP(A822,Z:Z,AA:AA)-_xlfn.XLOOKUP(A822,Q:Q,R:R,"0")</f>
        <v>0</v>
      </c>
      <c r="D822">
        <f>C822*_xlfn.XLOOKUP(B822,AG:AG,AH:AH)</f>
        <v>0</v>
      </c>
      <c r="E822">
        <f>C822*_xlfn.XLOOKUP(B822,AG:AG,AI:AI)</f>
        <v>0</v>
      </c>
      <c r="F822">
        <v>759.07</v>
      </c>
      <c r="G822">
        <f>F822*_xlfn.XLOOKUP(B822,AG:AG,AH:AH)</f>
        <v>652.80020000000002</v>
      </c>
      <c r="H822">
        <f>F822*_xlfn.XLOOKUP(B822,AG:AG,AI:AI)</f>
        <v>759.07</v>
      </c>
      <c r="I822">
        <f t="shared" si="63"/>
        <v>0</v>
      </c>
      <c r="J822">
        <f>I822*_xlfn.XLOOKUP(B822,AG:AG,AI:AI)</f>
        <v>0</v>
      </c>
      <c r="K822" s="7">
        <f>_xlfn.XLOOKUP(A822,Z:Z,AD:AD)</f>
        <v>45941</v>
      </c>
      <c r="L822" s="7">
        <f t="shared" si="64"/>
        <v>45911</v>
      </c>
      <c r="M822">
        <f t="shared" si="65"/>
        <v>9</v>
      </c>
      <c r="N822">
        <f t="shared" si="66"/>
        <v>2025</v>
      </c>
      <c r="W822" s="9">
        <v>608</v>
      </c>
      <c r="X822" s="9" t="s">
        <v>27</v>
      </c>
      <c r="Z822">
        <v>873</v>
      </c>
      <c r="AA822">
        <v>4827</v>
      </c>
      <c r="AB822" t="s">
        <v>29</v>
      </c>
      <c r="AD822" s="20">
        <v>45957</v>
      </c>
    </row>
    <row r="823" spans="1:30">
      <c r="A823">
        <v>886</v>
      </c>
      <c r="B823" t="str">
        <f>_xlfn.XLOOKUP(A823,Z:Z,AB:AB,"not found")</f>
        <v>USD</v>
      </c>
      <c r="C823">
        <f>_xlfn.XLOOKUP(A823,Z:Z,AA:AA)-_xlfn.XLOOKUP(A823,Q:Q,R:R,"0")</f>
        <v>285249</v>
      </c>
      <c r="D823">
        <f>C823*_xlfn.XLOOKUP(B823,AG:AG,AH:AH)</f>
        <v>245314.13999999998</v>
      </c>
      <c r="E823">
        <f>C823*_xlfn.XLOOKUP(B823,AG:AG,AI:AI)</f>
        <v>285249</v>
      </c>
      <c r="F823">
        <v>96601.07</v>
      </c>
      <c r="G823">
        <f>F823*_xlfn.XLOOKUP(B823,AG:AG,AH:AH)</f>
        <v>83076.920200000008</v>
      </c>
      <c r="H823">
        <f>F823*_xlfn.XLOOKUP(B823,AG:AG,AI:AI)</f>
        <v>96601.07</v>
      </c>
      <c r="I823">
        <f t="shared" si="63"/>
        <v>188647.93</v>
      </c>
      <c r="J823">
        <f>I823*_xlfn.XLOOKUP(B823,AG:AG,AI:AI)</f>
        <v>188647.93</v>
      </c>
      <c r="K823" s="7">
        <f>_xlfn.XLOOKUP(A823,Z:Z,AD:AD)</f>
        <v>46226</v>
      </c>
      <c r="L823" s="7">
        <f t="shared" si="64"/>
        <v>46196</v>
      </c>
      <c r="M823">
        <f t="shared" si="65"/>
        <v>6</v>
      </c>
      <c r="N823">
        <f t="shared" si="66"/>
        <v>2026</v>
      </c>
      <c r="W823" s="9">
        <v>609</v>
      </c>
      <c r="X823" s="9" t="s">
        <v>29</v>
      </c>
      <c r="Z823">
        <v>874</v>
      </c>
      <c r="AA823">
        <v>15078</v>
      </c>
      <c r="AB823" t="s">
        <v>29</v>
      </c>
      <c r="AD823" s="20">
        <v>46230</v>
      </c>
    </row>
    <row r="824" spans="1:30">
      <c r="A824">
        <v>887</v>
      </c>
      <c r="B824" t="str">
        <f>_xlfn.XLOOKUP(A824,Z:Z,AB:AB,"not found")</f>
        <v>MXN</v>
      </c>
      <c r="C824">
        <f>_xlfn.XLOOKUP(A824,Z:Z,AA:AA)-_xlfn.XLOOKUP(A824,Q:Q,R:R,"0")</f>
        <v>340500.12</v>
      </c>
      <c r="D824">
        <f>C824*_xlfn.XLOOKUP(B824,AG:AG,AH:AH)</f>
        <v>16344.00576</v>
      </c>
      <c r="E824">
        <f>C824*_xlfn.XLOOKUP(B824,AG:AG,AI:AI)</f>
        <v>19068.006720000001</v>
      </c>
      <c r="F824">
        <v>335168.8</v>
      </c>
      <c r="G824">
        <f>F824*_xlfn.XLOOKUP(B824,AG:AG,AH:AH)</f>
        <v>16088.1024</v>
      </c>
      <c r="H824">
        <f>F824*_xlfn.XLOOKUP(B824,AG:AG,AI:AI)</f>
        <v>18769.452799999999</v>
      </c>
      <c r="I824">
        <f t="shared" si="63"/>
        <v>5331.320000000007</v>
      </c>
      <c r="J824">
        <f>I824*_xlfn.XLOOKUP(B824,AG:AG,AI:AI)</f>
        <v>298.5539200000004</v>
      </c>
      <c r="K824" s="7">
        <f>_xlfn.XLOOKUP(A824,Z:Z,AD:AD)</f>
        <v>46096</v>
      </c>
      <c r="L824" s="7">
        <f t="shared" si="64"/>
        <v>46066</v>
      </c>
      <c r="M824">
        <f t="shared" si="65"/>
        <v>2</v>
      </c>
      <c r="N824">
        <f t="shared" si="66"/>
        <v>2026</v>
      </c>
      <c r="W824" s="9">
        <v>610</v>
      </c>
      <c r="X824" s="9" t="s">
        <v>29</v>
      </c>
      <c r="Z824">
        <v>875</v>
      </c>
      <c r="AA824">
        <v>6617.34</v>
      </c>
      <c r="AB824" t="s">
        <v>29</v>
      </c>
      <c r="AD824" s="20">
        <v>46025</v>
      </c>
    </row>
    <row r="825" spans="1:30">
      <c r="A825">
        <v>888</v>
      </c>
      <c r="B825" t="str">
        <f>_xlfn.XLOOKUP(A825,Z:Z,AB:AB,"not found")</f>
        <v>MXN</v>
      </c>
      <c r="C825">
        <f>_xlfn.XLOOKUP(A825,Z:Z,AA:AA)-_xlfn.XLOOKUP(A825,Q:Q,R:R,"0")</f>
        <v>22149</v>
      </c>
      <c r="D825">
        <f>C825*_xlfn.XLOOKUP(B825,AG:AG,AH:AH)</f>
        <v>1063.152</v>
      </c>
      <c r="E825">
        <f>C825*_xlfn.XLOOKUP(B825,AG:AG,AI:AI)</f>
        <v>1240.3440000000001</v>
      </c>
      <c r="F825">
        <v>22149</v>
      </c>
      <c r="G825">
        <f>F825*_xlfn.XLOOKUP(B825,AG:AG,AH:AH)</f>
        <v>1063.152</v>
      </c>
      <c r="H825">
        <f>F825*_xlfn.XLOOKUP(B825,AG:AG,AI:AI)</f>
        <v>1240.3440000000001</v>
      </c>
      <c r="I825">
        <f t="shared" si="63"/>
        <v>0</v>
      </c>
      <c r="J825">
        <f>I825*_xlfn.XLOOKUP(B825,AG:AG,AI:AI)</f>
        <v>0</v>
      </c>
      <c r="K825" s="7">
        <f>_xlfn.XLOOKUP(A825,Z:Z,AD:AD)</f>
        <v>46013</v>
      </c>
      <c r="L825" s="7">
        <f t="shared" si="64"/>
        <v>45983</v>
      </c>
      <c r="M825">
        <f t="shared" si="65"/>
        <v>11</v>
      </c>
      <c r="N825">
        <f t="shared" si="66"/>
        <v>2025</v>
      </c>
      <c r="W825" s="9">
        <v>610</v>
      </c>
      <c r="X825" s="9" t="s">
        <v>29</v>
      </c>
      <c r="Z825">
        <v>876</v>
      </c>
      <c r="AA825">
        <v>508.64</v>
      </c>
      <c r="AB825" t="s">
        <v>29</v>
      </c>
      <c r="AD825" s="20">
        <v>45807</v>
      </c>
    </row>
    <row r="826" spans="1:30">
      <c r="A826">
        <v>889</v>
      </c>
      <c r="B826" t="str">
        <f>_xlfn.XLOOKUP(A826,Z:Z,AB:AB,"not found")</f>
        <v>USD</v>
      </c>
      <c r="C826">
        <f>_xlfn.XLOOKUP(A826,Z:Z,AA:AA)-_xlfn.XLOOKUP(A826,Q:Q,R:R,"0")</f>
        <v>11350.88</v>
      </c>
      <c r="D826">
        <f>C826*_xlfn.XLOOKUP(B826,AG:AG,AH:AH)</f>
        <v>9761.7567999999992</v>
      </c>
      <c r="E826">
        <f>C826*_xlfn.XLOOKUP(B826,AG:AG,AI:AI)</f>
        <v>11350.88</v>
      </c>
      <c r="F826">
        <v>5800</v>
      </c>
      <c r="G826">
        <f>F826*_xlfn.XLOOKUP(B826,AG:AG,AH:AH)</f>
        <v>4988</v>
      </c>
      <c r="H826">
        <f>F826*_xlfn.XLOOKUP(B826,AG:AG,AI:AI)</f>
        <v>5800</v>
      </c>
      <c r="I826">
        <f t="shared" si="63"/>
        <v>5550.8799999999992</v>
      </c>
      <c r="J826">
        <f>I826*_xlfn.XLOOKUP(B826,AG:AG,AI:AI)</f>
        <v>5550.8799999999992</v>
      </c>
      <c r="K826" s="7">
        <f>_xlfn.XLOOKUP(A826,Z:Z,AD:AD)</f>
        <v>46013</v>
      </c>
      <c r="L826" s="7">
        <f t="shared" si="64"/>
        <v>45983</v>
      </c>
      <c r="M826">
        <f t="shared" si="65"/>
        <v>11</v>
      </c>
      <c r="N826">
        <f t="shared" si="66"/>
        <v>2025</v>
      </c>
      <c r="W826" s="9">
        <v>610</v>
      </c>
      <c r="X826" s="9" t="s">
        <v>29</v>
      </c>
      <c r="Z826">
        <v>877</v>
      </c>
      <c r="AA826">
        <v>10000</v>
      </c>
      <c r="AB826" t="s">
        <v>29</v>
      </c>
      <c r="AD826" s="20">
        <v>45978</v>
      </c>
    </row>
    <row r="827" spans="1:30">
      <c r="A827">
        <v>890</v>
      </c>
      <c r="B827" t="str">
        <f>_xlfn.XLOOKUP(A827,Z:Z,AB:AB,"not found")</f>
        <v>MXN</v>
      </c>
      <c r="C827">
        <f>_xlfn.XLOOKUP(A827,Z:Z,AA:AA)-_xlfn.XLOOKUP(A827,Q:Q,R:R,"0")</f>
        <v>40428</v>
      </c>
      <c r="D827">
        <f>C827*_xlfn.XLOOKUP(B827,AG:AG,AH:AH)</f>
        <v>1940.5440000000001</v>
      </c>
      <c r="E827">
        <f>C827*_xlfn.XLOOKUP(B827,AG:AG,AI:AI)</f>
        <v>2263.9679999999998</v>
      </c>
      <c r="F827">
        <v>40428</v>
      </c>
      <c r="G827">
        <f>F827*_xlfn.XLOOKUP(B827,AG:AG,AH:AH)</f>
        <v>1940.5440000000001</v>
      </c>
      <c r="H827">
        <f>F827*_xlfn.XLOOKUP(B827,AG:AG,AI:AI)</f>
        <v>2263.9679999999998</v>
      </c>
      <c r="I827">
        <f t="shared" si="63"/>
        <v>0</v>
      </c>
      <c r="J827">
        <f>I827*_xlfn.XLOOKUP(B827,AG:AG,AI:AI)</f>
        <v>0</v>
      </c>
      <c r="K827" s="7">
        <f>_xlfn.XLOOKUP(A827,Z:Z,AD:AD)</f>
        <v>46017</v>
      </c>
      <c r="L827" s="7">
        <f t="shared" si="64"/>
        <v>45987</v>
      </c>
      <c r="M827">
        <f t="shared" si="65"/>
        <v>11</v>
      </c>
      <c r="N827">
        <f t="shared" si="66"/>
        <v>2025</v>
      </c>
      <c r="W827" s="9">
        <v>613</v>
      </c>
      <c r="X827" s="9" t="s">
        <v>29</v>
      </c>
      <c r="Z827">
        <v>878</v>
      </c>
      <c r="AA827">
        <v>820</v>
      </c>
      <c r="AB827" t="s">
        <v>27</v>
      </c>
      <c r="AD827" s="20">
        <v>45995</v>
      </c>
    </row>
    <row r="828" spans="1:30">
      <c r="A828">
        <v>891</v>
      </c>
      <c r="B828" t="str">
        <f>_xlfn.XLOOKUP(A828,Z:Z,AB:AB,"not found")</f>
        <v>MXN</v>
      </c>
      <c r="C828">
        <f>_xlfn.XLOOKUP(A828,Z:Z,AA:AA)-_xlfn.XLOOKUP(A828,Q:Q,R:R,"0")</f>
        <v>0</v>
      </c>
      <c r="D828">
        <f>C828*_xlfn.XLOOKUP(B828,AG:AG,AH:AH)</f>
        <v>0</v>
      </c>
      <c r="E828">
        <f>C828*_xlfn.XLOOKUP(B828,AG:AG,AI:AI)</f>
        <v>0</v>
      </c>
      <c r="F828">
        <v>5550906</v>
      </c>
      <c r="G828">
        <f>F828*_xlfn.XLOOKUP(B828,AG:AG,AH:AH)</f>
        <v>266443.48800000001</v>
      </c>
      <c r="H828">
        <f>F828*_xlfn.XLOOKUP(B828,AG:AG,AI:AI)</f>
        <v>310850.73600000003</v>
      </c>
      <c r="I828">
        <f t="shared" si="63"/>
        <v>0</v>
      </c>
      <c r="J828">
        <f>I828*_xlfn.XLOOKUP(B828,AG:AG,AI:AI)</f>
        <v>0</v>
      </c>
      <c r="K828" s="7">
        <f>_xlfn.XLOOKUP(A828,Z:Z,AD:AD)</f>
        <v>46184</v>
      </c>
      <c r="L828" s="7">
        <f t="shared" si="64"/>
        <v>46154</v>
      </c>
      <c r="M828">
        <f t="shared" si="65"/>
        <v>5</v>
      </c>
      <c r="N828">
        <f t="shared" si="66"/>
        <v>2026</v>
      </c>
      <c r="W828" s="9">
        <v>615</v>
      </c>
      <c r="X828" s="9" t="s">
        <v>27</v>
      </c>
      <c r="Z828">
        <v>879</v>
      </c>
      <c r="AA828">
        <v>5281.02</v>
      </c>
      <c r="AB828" t="s">
        <v>29</v>
      </c>
      <c r="AD828" s="20">
        <v>45950</v>
      </c>
    </row>
    <row r="829" spans="1:30">
      <c r="A829">
        <v>892</v>
      </c>
      <c r="B829" t="str">
        <f>_xlfn.XLOOKUP(A829,Z:Z,AB:AB,"not found")</f>
        <v>USD</v>
      </c>
      <c r="C829">
        <f>_xlfn.XLOOKUP(A829,Z:Z,AA:AA)-_xlfn.XLOOKUP(A829,Q:Q,R:R,"0")</f>
        <v>0</v>
      </c>
      <c r="D829">
        <f>C829*_xlfn.XLOOKUP(B829,AG:AG,AH:AH)</f>
        <v>0</v>
      </c>
      <c r="E829">
        <f>C829*_xlfn.XLOOKUP(B829,AG:AG,AI:AI)</f>
        <v>0</v>
      </c>
      <c r="F829">
        <v>4772.49</v>
      </c>
      <c r="G829">
        <f>F829*_xlfn.XLOOKUP(B829,AG:AG,AH:AH)</f>
        <v>4104.3413999999993</v>
      </c>
      <c r="H829">
        <f>F829*_xlfn.XLOOKUP(B829,AG:AG,AI:AI)</f>
        <v>4772.49</v>
      </c>
      <c r="I829">
        <f t="shared" si="63"/>
        <v>0</v>
      </c>
      <c r="J829">
        <f>I829*_xlfn.XLOOKUP(B829,AG:AG,AI:AI)</f>
        <v>0</v>
      </c>
      <c r="K829" s="7">
        <f>_xlfn.XLOOKUP(A829,Z:Z,AD:AD)</f>
        <v>45939</v>
      </c>
      <c r="L829" s="7">
        <f t="shared" si="64"/>
        <v>45909</v>
      </c>
      <c r="M829">
        <f t="shared" si="65"/>
        <v>9</v>
      </c>
      <c r="N829">
        <f t="shared" si="66"/>
        <v>2025</v>
      </c>
      <c r="W829" s="9">
        <v>616</v>
      </c>
      <c r="X829" s="9" t="s">
        <v>30</v>
      </c>
      <c r="Z829">
        <v>880</v>
      </c>
      <c r="AA829">
        <v>7141.22</v>
      </c>
      <c r="AB829" t="s">
        <v>29</v>
      </c>
      <c r="AD829" s="20">
        <v>45955</v>
      </c>
    </row>
    <row r="830" spans="1:30">
      <c r="A830">
        <v>893</v>
      </c>
      <c r="B830" t="str">
        <f>_xlfn.XLOOKUP(A830,Z:Z,AB:AB,"not found")</f>
        <v>USD</v>
      </c>
      <c r="C830">
        <f>_xlfn.XLOOKUP(A830,Z:Z,AA:AA)-_xlfn.XLOOKUP(A830,Q:Q,R:R,"0")</f>
        <v>105144.89</v>
      </c>
      <c r="D830">
        <f>C830*_xlfn.XLOOKUP(B830,AG:AG,AH:AH)</f>
        <v>90424.6054</v>
      </c>
      <c r="E830">
        <f>C830*_xlfn.XLOOKUP(B830,AG:AG,AI:AI)</f>
        <v>105144.89</v>
      </c>
      <c r="F830">
        <v>107555</v>
      </c>
      <c r="G830">
        <f>F830*_xlfn.XLOOKUP(B830,AG:AG,AH:AH)</f>
        <v>92497.3</v>
      </c>
      <c r="H830">
        <f>F830*_xlfn.XLOOKUP(B830,AG:AG,AI:AI)</f>
        <v>107555</v>
      </c>
      <c r="I830">
        <f t="shared" si="63"/>
        <v>-2410.1100000000006</v>
      </c>
      <c r="J830">
        <f>I830*_xlfn.XLOOKUP(B830,AG:AG,AI:AI)</f>
        <v>-2410.1100000000006</v>
      </c>
      <c r="K830" s="7">
        <f>_xlfn.XLOOKUP(A830,Z:Z,AD:AD)</f>
        <v>46010</v>
      </c>
      <c r="L830" s="7">
        <f t="shared" si="64"/>
        <v>45980</v>
      </c>
      <c r="M830">
        <f t="shared" si="65"/>
        <v>11</v>
      </c>
      <c r="N830">
        <f t="shared" si="66"/>
        <v>2025</v>
      </c>
      <c r="W830" s="9">
        <v>616</v>
      </c>
      <c r="X830" s="9" t="s">
        <v>30</v>
      </c>
      <c r="Z830">
        <v>881</v>
      </c>
      <c r="AA830">
        <v>81600</v>
      </c>
      <c r="AB830" t="s">
        <v>28</v>
      </c>
      <c r="AD830" s="20">
        <v>46050</v>
      </c>
    </row>
    <row r="831" spans="1:30">
      <c r="A831">
        <v>894</v>
      </c>
      <c r="B831" t="str">
        <f>_xlfn.XLOOKUP(A831,Z:Z,AB:AB,"not found")</f>
        <v>MXN</v>
      </c>
      <c r="C831">
        <f>_xlfn.XLOOKUP(A831,Z:Z,AA:AA)-_xlfn.XLOOKUP(A831,Q:Q,R:R,"0")</f>
        <v>6055.53</v>
      </c>
      <c r="D831">
        <f>C831*_xlfn.XLOOKUP(B831,AG:AG,AH:AH)</f>
        <v>290.66543999999999</v>
      </c>
      <c r="E831">
        <f>C831*_xlfn.XLOOKUP(B831,AG:AG,AI:AI)</f>
        <v>339.10967999999997</v>
      </c>
      <c r="F831">
        <v>6055.53</v>
      </c>
      <c r="G831">
        <f>F831*_xlfn.XLOOKUP(B831,AG:AG,AH:AH)</f>
        <v>290.66543999999999</v>
      </c>
      <c r="H831">
        <f>F831*_xlfn.XLOOKUP(B831,AG:AG,AI:AI)</f>
        <v>339.10967999999997</v>
      </c>
      <c r="I831">
        <f t="shared" si="63"/>
        <v>0</v>
      </c>
      <c r="J831">
        <f>I831*_xlfn.XLOOKUP(B831,AG:AG,AI:AI)</f>
        <v>0</v>
      </c>
      <c r="K831" s="7">
        <f>_xlfn.XLOOKUP(A831,Z:Z,AD:AD)</f>
        <v>45996</v>
      </c>
      <c r="L831" s="7">
        <f t="shared" si="64"/>
        <v>45966</v>
      </c>
      <c r="M831">
        <f t="shared" si="65"/>
        <v>11</v>
      </c>
      <c r="N831">
        <f t="shared" si="66"/>
        <v>2025</v>
      </c>
      <c r="W831" s="9">
        <v>617</v>
      </c>
      <c r="X831" s="9" t="s">
        <v>29</v>
      </c>
      <c r="Z831">
        <v>882</v>
      </c>
      <c r="AA831">
        <v>427120</v>
      </c>
      <c r="AB831" t="s">
        <v>33</v>
      </c>
      <c r="AD831" s="20">
        <v>46032</v>
      </c>
    </row>
    <row r="832" spans="1:30">
      <c r="A832">
        <v>895</v>
      </c>
      <c r="B832" t="str">
        <f>_xlfn.XLOOKUP(A832,Z:Z,AB:AB,"not found")</f>
        <v>MXN</v>
      </c>
      <c r="C832">
        <f>_xlfn.XLOOKUP(A832,Z:Z,AA:AA)-_xlfn.XLOOKUP(A832,Q:Q,R:R,"0")</f>
        <v>298605</v>
      </c>
      <c r="D832">
        <f>C832*_xlfn.XLOOKUP(B832,AG:AG,AH:AH)</f>
        <v>14333.04</v>
      </c>
      <c r="E832">
        <f>C832*_xlfn.XLOOKUP(B832,AG:AG,AI:AI)</f>
        <v>16721.88</v>
      </c>
      <c r="F832">
        <v>298604.49</v>
      </c>
      <c r="G832">
        <f>F832*_xlfn.XLOOKUP(B832,AG:AG,AH:AH)</f>
        <v>14333.015519999999</v>
      </c>
      <c r="H832">
        <f>F832*_xlfn.XLOOKUP(B832,AG:AG,AI:AI)</f>
        <v>16721.851439999999</v>
      </c>
      <c r="I832">
        <f t="shared" si="63"/>
        <v>0.51000000000931323</v>
      </c>
      <c r="J832">
        <f>I832*_xlfn.XLOOKUP(B832,AG:AG,AI:AI)</f>
        <v>2.856000000052154E-2</v>
      </c>
      <c r="K832" s="7">
        <f>_xlfn.XLOOKUP(A832,Z:Z,AD:AD)</f>
        <v>46113</v>
      </c>
      <c r="L832" s="7">
        <f t="shared" si="64"/>
        <v>46083</v>
      </c>
      <c r="M832">
        <f t="shared" si="65"/>
        <v>3</v>
      </c>
      <c r="N832">
        <f t="shared" si="66"/>
        <v>2026</v>
      </c>
      <c r="W832" s="9">
        <v>617</v>
      </c>
      <c r="X832" s="9" t="s">
        <v>29</v>
      </c>
      <c r="Z832">
        <v>884</v>
      </c>
      <c r="AA832">
        <v>759.07</v>
      </c>
      <c r="AB832" t="s">
        <v>29</v>
      </c>
      <c r="AD832" s="20">
        <v>45941</v>
      </c>
    </row>
    <row r="833" spans="1:30">
      <c r="A833">
        <v>896</v>
      </c>
      <c r="B833" t="str">
        <f>_xlfn.XLOOKUP(A833,Z:Z,AB:AB,"not found")</f>
        <v>USD</v>
      </c>
      <c r="C833">
        <f>_xlfn.XLOOKUP(A833,Z:Z,AA:AA)-_xlfn.XLOOKUP(A833,Q:Q,R:R,"0")</f>
        <v>1017.8999999999996</v>
      </c>
      <c r="D833">
        <f>C833*_xlfn.XLOOKUP(B833,AG:AG,AH:AH)</f>
        <v>875.39399999999966</v>
      </c>
      <c r="E833">
        <f>C833*_xlfn.XLOOKUP(B833,AG:AG,AI:AI)</f>
        <v>1017.8999999999996</v>
      </c>
      <c r="F833">
        <v>12935.9</v>
      </c>
      <c r="G833">
        <f>F833*_xlfn.XLOOKUP(B833,AG:AG,AH:AH)</f>
        <v>11124.874</v>
      </c>
      <c r="H833">
        <f>F833*_xlfn.XLOOKUP(B833,AG:AG,AI:AI)</f>
        <v>12935.9</v>
      </c>
      <c r="I833">
        <f t="shared" si="63"/>
        <v>0</v>
      </c>
      <c r="J833">
        <f>I833*_xlfn.XLOOKUP(B833,AG:AG,AI:AI)</f>
        <v>0</v>
      </c>
      <c r="K833" s="7">
        <f>_xlfn.XLOOKUP(A833,Z:Z,AD:AD)</f>
        <v>46009</v>
      </c>
      <c r="L833" s="7">
        <f t="shared" si="64"/>
        <v>45979</v>
      </c>
      <c r="M833">
        <f t="shared" si="65"/>
        <v>11</v>
      </c>
      <c r="N833">
        <f t="shared" si="66"/>
        <v>2025</v>
      </c>
      <c r="W833" s="9">
        <v>618</v>
      </c>
      <c r="X833" s="9" t="s">
        <v>27</v>
      </c>
      <c r="Z833">
        <v>886</v>
      </c>
      <c r="AA833">
        <v>285249</v>
      </c>
      <c r="AB833" t="s">
        <v>29</v>
      </c>
      <c r="AD833" s="20">
        <v>46226</v>
      </c>
    </row>
    <row r="834" spans="1:30">
      <c r="A834">
        <v>898</v>
      </c>
      <c r="B834" t="str">
        <f>_xlfn.XLOOKUP(A834,Z:Z,AB:AB,"not found")</f>
        <v>USD</v>
      </c>
      <c r="C834">
        <f>_xlfn.XLOOKUP(A834,Z:Z,AA:AA)-_xlfn.XLOOKUP(A834,Q:Q,R:R,"0")</f>
        <v>39691</v>
      </c>
      <c r="D834">
        <f>C834*_xlfn.XLOOKUP(B834,AG:AG,AH:AH)</f>
        <v>34134.26</v>
      </c>
      <c r="E834">
        <f>C834*_xlfn.XLOOKUP(B834,AG:AG,AI:AI)</f>
        <v>39691</v>
      </c>
      <c r="F834">
        <v>39691</v>
      </c>
      <c r="G834">
        <f>F834*_xlfn.XLOOKUP(B834,AG:AG,AH:AH)</f>
        <v>34134.26</v>
      </c>
      <c r="H834">
        <f>F834*_xlfn.XLOOKUP(B834,AG:AG,AI:AI)</f>
        <v>39691</v>
      </c>
      <c r="I834">
        <f t="shared" si="63"/>
        <v>0</v>
      </c>
      <c r="J834">
        <f>I834*_xlfn.XLOOKUP(B834,AG:AG,AI:AI)</f>
        <v>0</v>
      </c>
      <c r="K834" s="7">
        <f>_xlfn.XLOOKUP(A834,Z:Z,AD:AD)</f>
        <v>46054</v>
      </c>
      <c r="L834" s="7">
        <f t="shared" si="64"/>
        <v>46024</v>
      </c>
      <c r="M834">
        <f t="shared" si="65"/>
        <v>1</v>
      </c>
      <c r="N834">
        <f t="shared" si="66"/>
        <v>2026</v>
      </c>
      <c r="W834" s="9">
        <v>622</v>
      </c>
      <c r="X834" s="9" t="s">
        <v>27</v>
      </c>
      <c r="Z834">
        <v>887</v>
      </c>
      <c r="AA834">
        <v>340500.12</v>
      </c>
      <c r="AB834" t="s">
        <v>28</v>
      </c>
      <c r="AD834" s="20">
        <v>46096</v>
      </c>
    </row>
    <row r="835" spans="1:30">
      <c r="A835">
        <v>899</v>
      </c>
      <c r="B835" t="str">
        <f>_xlfn.XLOOKUP(A835,Z:Z,AB:AB,"not found")</f>
        <v>USD</v>
      </c>
      <c r="C835">
        <f>_xlfn.XLOOKUP(A835,Z:Z,AA:AA)-_xlfn.XLOOKUP(A835,Q:Q,R:R,"0")</f>
        <v>54633.5</v>
      </c>
      <c r="D835">
        <f>C835*_xlfn.XLOOKUP(B835,AG:AG,AH:AH)</f>
        <v>46984.81</v>
      </c>
      <c r="E835">
        <f>C835*_xlfn.XLOOKUP(B835,AG:AG,AI:AI)</f>
        <v>54633.5</v>
      </c>
      <c r="F835">
        <v>55287</v>
      </c>
      <c r="G835">
        <f>F835*_xlfn.XLOOKUP(B835,AG:AG,AH:AH)</f>
        <v>47546.82</v>
      </c>
      <c r="H835">
        <f>F835*_xlfn.XLOOKUP(B835,AG:AG,AI:AI)</f>
        <v>55287</v>
      </c>
      <c r="I835">
        <f t="shared" ref="I835:I898" si="67">C835-F835+_xlfn.XLOOKUP(A835,Q:Q,R:R,"0")</f>
        <v>0</v>
      </c>
      <c r="J835">
        <f>I835*_xlfn.XLOOKUP(B835,AG:AG,AI:AI)</f>
        <v>0</v>
      </c>
      <c r="K835" s="7">
        <f>_xlfn.XLOOKUP(A835,Z:Z,AD:AD)</f>
        <v>46006</v>
      </c>
      <c r="L835" s="7">
        <f t="shared" si="64"/>
        <v>45976</v>
      </c>
      <c r="M835">
        <f t="shared" si="65"/>
        <v>11</v>
      </c>
      <c r="N835">
        <f t="shared" si="66"/>
        <v>2025</v>
      </c>
      <c r="W835" s="9">
        <v>624</v>
      </c>
      <c r="X835" s="9" t="s">
        <v>29</v>
      </c>
      <c r="Z835">
        <v>888</v>
      </c>
      <c r="AA835">
        <v>22149</v>
      </c>
      <c r="AB835" t="s">
        <v>28</v>
      </c>
      <c r="AD835" s="20">
        <v>46013</v>
      </c>
    </row>
    <row r="836" spans="1:30">
      <c r="A836">
        <v>900</v>
      </c>
      <c r="B836" t="str">
        <f>_xlfn.XLOOKUP(A836,Z:Z,AB:AB,"not found")</f>
        <v>MXN</v>
      </c>
      <c r="C836">
        <f>_xlfn.XLOOKUP(A836,Z:Z,AA:AA)-_xlfn.XLOOKUP(A836,Q:Q,R:R,"0")</f>
        <v>13767.72</v>
      </c>
      <c r="D836">
        <f>C836*_xlfn.XLOOKUP(B836,AG:AG,AH:AH)</f>
        <v>660.85055999999997</v>
      </c>
      <c r="E836">
        <f>C836*_xlfn.XLOOKUP(B836,AG:AG,AI:AI)</f>
        <v>770.99231999999995</v>
      </c>
      <c r="F836">
        <v>13767.72</v>
      </c>
      <c r="G836">
        <f>F836*_xlfn.XLOOKUP(B836,AG:AG,AH:AH)</f>
        <v>660.85055999999997</v>
      </c>
      <c r="H836">
        <f>F836*_xlfn.XLOOKUP(B836,AG:AG,AI:AI)</f>
        <v>770.99231999999995</v>
      </c>
      <c r="I836">
        <f t="shared" si="67"/>
        <v>0</v>
      </c>
      <c r="J836">
        <f>I836*_xlfn.XLOOKUP(B836,AG:AG,AI:AI)</f>
        <v>0</v>
      </c>
      <c r="K836" s="7">
        <f>_xlfn.XLOOKUP(A836,Z:Z,AD:AD)</f>
        <v>46000</v>
      </c>
      <c r="L836" s="7">
        <f t="shared" si="64"/>
        <v>45970</v>
      </c>
      <c r="M836">
        <f t="shared" si="65"/>
        <v>11</v>
      </c>
      <c r="N836">
        <f t="shared" si="66"/>
        <v>2025</v>
      </c>
      <c r="W836" s="9">
        <v>624</v>
      </c>
      <c r="X836" s="9" t="s">
        <v>29</v>
      </c>
      <c r="Z836">
        <v>889</v>
      </c>
      <c r="AA836">
        <v>11350.88</v>
      </c>
      <c r="AB836" t="s">
        <v>29</v>
      </c>
      <c r="AD836" s="20">
        <v>46013</v>
      </c>
    </row>
    <row r="837" spans="1:30">
      <c r="A837">
        <v>901</v>
      </c>
      <c r="B837" t="str">
        <f>_xlfn.XLOOKUP(A837,Z:Z,AB:AB,"not found")</f>
        <v>EUR</v>
      </c>
      <c r="C837">
        <f>_xlfn.XLOOKUP(A837,Z:Z,AA:AA)-_xlfn.XLOOKUP(A837,Q:Q,R:R,"0")</f>
        <v>3421.5499999999993</v>
      </c>
      <c r="D837">
        <f>C837*_xlfn.XLOOKUP(B837,AG:AG,AH:AH)</f>
        <v>3421.5499999999993</v>
      </c>
      <c r="E837">
        <f>C837*_xlfn.XLOOKUP(B837,AG:AG,AI:AI)</f>
        <v>3968.9979999999987</v>
      </c>
      <c r="F837">
        <v>9851.0499999999993</v>
      </c>
      <c r="G837">
        <f>F837*_xlfn.XLOOKUP(B837,AG:AG,AH:AH)</f>
        <v>9851.0499999999993</v>
      </c>
      <c r="H837">
        <f>F837*_xlfn.XLOOKUP(B837,AG:AG,AI:AI)</f>
        <v>11427.217999999999</v>
      </c>
      <c r="I837">
        <f t="shared" si="67"/>
        <v>0</v>
      </c>
      <c r="J837">
        <f>I837*_xlfn.XLOOKUP(B837,AG:AG,AI:AI)</f>
        <v>0</v>
      </c>
      <c r="K837" s="7">
        <f>_xlfn.XLOOKUP(A837,Z:Z,AD:AD)</f>
        <v>46012</v>
      </c>
      <c r="L837" s="7">
        <f t="shared" si="64"/>
        <v>45982</v>
      </c>
      <c r="M837">
        <f t="shared" si="65"/>
        <v>11</v>
      </c>
      <c r="N837">
        <f t="shared" si="66"/>
        <v>2025</v>
      </c>
      <c r="W837" s="9">
        <v>625</v>
      </c>
      <c r="X837" s="9" t="s">
        <v>33</v>
      </c>
      <c r="Z837">
        <v>890</v>
      </c>
      <c r="AA837">
        <v>40428</v>
      </c>
      <c r="AB837" t="s">
        <v>28</v>
      </c>
      <c r="AD837" s="20">
        <v>46017</v>
      </c>
    </row>
    <row r="838" spans="1:30">
      <c r="A838">
        <v>902</v>
      </c>
      <c r="B838" t="str">
        <f>_xlfn.XLOOKUP(A838,Z:Z,AB:AB,"not found")</f>
        <v>USD</v>
      </c>
      <c r="C838">
        <f>_xlfn.XLOOKUP(A838,Z:Z,AA:AA)-_xlfn.XLOOKUP(A838,Q:Q,R:R,"0")</f>
        <v>0</v>
      </c>
      <c r="D838">
        <f>C838*_xlfn.XLOOKUP(B838,AG:AG,AH:AH)</f>
        <v>0</v>
      </c>
      <c r="E838">
        <f>C838*_xlfn.XLOOKUP(B838,AG:AG,AI:AI)</f>
        <v>0</v>
      </c>
      <c r="F838">
        <v>16350.41</v>
      </c>
      <c r="G838">
        <f>F838*_xlfn.XLOOKUP(B838,AG:AG,AH:AH)</f>
        <v>14061.3526</v>
      </c>
      <c r="H838">
        <f>F838*_xlfn.XLOOKUP(B838,AG:AG,AI:AI)</f>
        <v>16350.41</v>
      </c>
      <c r="I838">
        <f t="shared" si="67"/>
        <v>0</v>
      </c>
      <c r="J838">
        <f>I838*_xlfn.XLOOKUP(B838,AG:AG,AI:AI)</f>
        <v>0</v>
      </c>
      <c r="K838" s="7">
        <f>_xlfn.XLOOKUP(A838,Z:Z,AD:AD)</f>
        <v>46120</v>
      </c>
      <c r="L838" s="7">
        <f t="shared" si="64"/>
        <v>46090</v>
      </c>
      <c r="M838">
        <f t="shared" si="65"/>
        <v>3</v>
      </c>
      <c r="N838">
        <f t="shared" si="66"/>
        <v>2026</v>
      </c>
      <c r="W838" s="9">
        <v>626</v>
      </c>
      <c r="X838" s="9" t="s">
        <v>33</v>
      </c>
      <c r="Z838">
        <v>891</v>
      </c>
      <c r="AA838">
        <v>5550906</v>
      </c>
      <c r="AB838" t="s">
        <v>28</v>
      </c>
      <c r="AD838" s="20">
        <v>46184</v>
      </c>
    </row>
    <row r="839" spans="1:30">
      <c r="A839">
        <v>903</v>
      </c>
      <c r="B839" t="str">
        <f>_xlfn.XLOOKUP(A839,Z:Z,AB:AB,"not found")</f>
        <v>USD</v>
      </c>
      <c r="C839">
        <f>_xlfn.XLOOKUP(A839,Z:Z,AA:AA)-_xlfn.XLOOKUP(A839,Q:Q,R:R,"0")</f>
        <v>51914.84</v>
      </c>
      <c r="D839">
        <f>C839*_xlfn.XLOOKUP(B839,AG:AG,AH:AH)</f>
        <v>44646.7624</v>
      </c>
      <c r="E839">
        <f>C839*_xlfn.XLOOKUP(B839,AG:AG,AI:AI)</f>
        <v>51914.84</v>
      </c>
      <c r="F839">
        <v>8712.85</v>
      </c>
      <c r="G839">
        <f>F839*_xlfn.XLOOKUP(B839,AG:AG,AH:AH)</f>
        <v>7493.0510000000004</v>
      </c>
      <c r="H839">
        <f>F839*_xlfn.XLOOKUP(B839,AG:AG,AI:AI)</f>
        <v>8712.85</v>
      </c>
      <c r="I839">
        <f t="shared" si="67"/>
        <v>43201.99</v>
      </c>
      <c r="J839">
        <f>I839*_xlfn.XLOOKUP(B839,AG:AG,AI:AI)</f>
        <v>43201.99</v>
      </c>
      <c r="K839" s="7">
        <f>_xlfn.XLOOKUP(A839,Z:Z,AD:AD)</f>
        <v>46148</v>
      </c>
      <c r="L839" s="7">
        <f t="shared" si="64"/>
        <v>46118</v>
      </c>
      <c r="M839">
        <f t="shared" si="65"/>
        <v>4</v>
      </c>
      <c r="N839">
        <f t="shared" si="66"/>
        <v>2026</v>
      </c>
      <c r="W839" s="9">
        <v>626</v>
      </c>
      <c r="X839" s="9" t="s">
        <v>33</v>
      </c>
      <c r="Z839">
        <v>892</v>
      </c>
      <c r="AA839">
        <v>4772.49</v>
      </c>
      <c r="AB839" t="s">
        <v>29</v>
      </c>
      <c r="AD839" s="20">
        <v>45939</v>
      </c>
    </row>
    <row r="840" spans="1:30">
      <c r="A840">
        <v>904</v>
      </c>
      <c r="B840" t="str">
        <f>_xlfn.XLOOKUP(A840,Z:Z,AB:AB,"not found")</f>
        <v>USD</v>
      </c>
      <c r="C840">
        <f>_xlfn.XLOOKUP(A840,Z:Z,AA:AA)-_xlfn.XLOOKUP(A840,Q:Q,R:R,"0")</f>
        <v>1250</v>
      </c>
      <c r="D840">
        <f>C840*_xlfn.XLOOKUP(B840,AG:AG,AH:AH)</f>
        <v>1075</v>
      </c>
      <c r="E840">
        <f>C840*_xlfn.XLOOKUP(B840,AG:AG,AI:AI)</f>
        <v>1250</v>
      </c>
      <c r="F840">
        <v>8068</v>
      </c>
      <c r="G840">
        <f>F840*_xlfn.XLOOKUP(B840,AG:AG,AH:AH)</f>
        <v>6938.48</v>
      </c>
      <c r="H840">
        <f>F840*_xlfn.XLOOKUP(B840,AG:AG,AI:AI)</f>
        <v>8068</v>
      </c>
      <c r="I840">
        <f t="shared" si="67"/>
        <v>0</v>
      </c>
      <c r="J840">
        <f>I840*_xlfn.XLOOKUP(B840,AG:AG,AI:AI)</f>
        <v>0</v>
      </c>
      <c r="K840" s="7">
        <f>_xlfn.XLOOKUP(A840,Z:Z,AD:AD)</f>
        <v>46019</v>
      </c>
      <c r="L840" s="7">
        <f t="shared" si="64"/>
        <v>45989</v>
      </c>
      <c r="M840">
        <f t="shared" si="65"/>
        <v>11</v>
      </c>
      <c r="N840">
        <f t="shared" si="66"/>
        <v>2025</v>
      </c>
      <c r="W840" s="9">
        <v>627</v>
      </c>
      <c r="X840" s="9" t="s">
        <v>32</v>
      </c>
      <c r="Z840">
        <v>893</v>
      </c>
      <c r="AA840">
        <v>105144.89</v>
      </c>
      <c r="AB840" t="s">
        <v>29</v>
      </c>
      <c r="AD840" s="20">
        <v>46010</v>
      </c>
    </row>
    <row r="841" spans="1:30">
      <c r="A841">
        <v>908</v>
      </c>
      <c r="B841" t="str">
        <f>_xlfn.XLOOKUP(A841,Z:Z,AB:AB,"not found")</f>
        <v>USD</v>
      </c>
      <c r="C841">
        <f>_xlfn.XLOOKUP(A841,Z:Z,AA:AA)-_xlfn.XLOOKUP(A841,Q:Q,R:R,"0")</f>
        <v>2729.1200000000008</v>
      </c>
      <c r="D841">
        <f>C841*_xlfn.XLOOKUP(B841,AG:AG,AH:AH)</f>
        <v>2347.0432000000005</v>
      </c>
      <c r="E841">
        <f>C841*_xlfn.XLOOKUP(B841,AG:AG,AI:AI)</f>
        <v>2729.1200000000008</v>
      </c>
      <c r="F841">
        <v>7177.03</v>
      </c>
      <c r="G841">
        <f>F841*_xlfn.XLOOKUP(B841,AG:AG,AH:AH)</f>
        <v>6172.2457999999997</v>
      </c>
      <c r="H841">
        <f>F841*_xlfn.XLOOKUP(B841,AG:AG,AI:AI)</f>
        <v>7177.03</v>
      </c>
      <c r="I841">
        <f t="shared" si="67"/>
        <v>1833.3200000000006</v>
      </c>
      <c r="J841">
        <f>I841*_xlfn.XLOOKUP(B841,AG:AG,AI:AI)</f>
        <v>1833.3200000000006</v>
      </c>
      <c r="K841" s="7">
        <f>_xlfn.XLOOKUP(A841,Z:Z,AD:AD)</f>
        <v>46023</v>
      </c>
      <c r="L841" s="7">
        <f t="shared" si="64"/>
        <v>45993</v>
      </c>
      <c r="M841">
        <f t="shared" si="65"/>
        <v>12</v>
      </c>
      <c r="N841">
        <f t="shared" si="66"/>
        <v>2025</v>
      </c>
      <c r="W841" s="9">
        <v>628</v>
      </c>
      <c r="X841" s="9" t="s">
        <v>29</v>
      </c>
      <c r="Z841">
        <v>894</v>
      </c>
      <c r="AA841">
        <v>6055.53</v>
      </c>
      <c r="AB841" t="s">
        <v>28</v>
      </c>
      <c r="AD841" s="20">
        <v>45996</v>
      </c>
    </row>
    <row r="842" spans="1:30">
      <c r="A842">
        <v>909</v>
      </c>
      <c r="B842" t="str">
        <f>_xlfn.XLOOKUP(A842,Z:Z,AB:AB,"not found")</f>
        <v>MXN</v>
      </c>
      <c r="C842">
        <f>_xlfn.XLOOKUP(A842,Z:Z,AA:AA)-_xlfn.XLOOKUP(A842,Q:Q,R:R,"0")</f>
        <v>0</v>
      </c>
      <c r="D842">
        <f>C842*_xlfn.XLOOKUP(B842,AG:AG,AH:AH)</f>
        <v>0</v>
      </c>
      <c r="E842">
        <f>C842*_xlfn.XLOOKUP(B842,AG:AG,AI:AI)</f>
        <v>0</v>
      </c>
      <c r="F842">
        <v>31592</v>
      </c>
      <c r="G842">
        <f>F842*_xlfn.XLOOKUP(B842,AG:AG,AH:AH)</f>
        <v>1516.4159999999999</v>
      </c>
      <c r="H842">
        <f>F842*_xlfn.XLOOKUP(B842,AG:AG,AI:AI)</f>
        <v>1769.152</v>
      </c>
      <c r="I842">
        <f t="shared" si="67"/>
        <v>0</v>
      </c>
      <c r="J842">
        <f>I842*_xlfn.XLOOKUP(B842,AG:AG,AI:AI)</f>
        <v>0</v>
      </c>
      <c r="K842" s="7">
        <f>_xlfn.XLOOKUP(A842,Z:Z,AD:AD)</f>
        <v>46030</v>
      </c>
      <c r="L842" s="7">
        <f t="shared" si="64"/>
        <v>46000</v>
      </c>
      <c r="M842">
        <f t="shared" si="65"/>
        <v>12</v>
      </c>
      <c r="N842">
        <f t="shared" si="66"/>
        <v>2025</v>
      </c>
      <c r="W842" s="9">
        <v>628</v>
      </c>
      <c r="X842" s="9" t="s">
        <v>29</v>
      </c>
      <c r="Z842">
        <v>895</v>
      </c>
      <c r="AA842">
        <v>298605</v>
      </c>
      <c r="AB842" t="s">
        <v>28</v>
      </c>
      <c r="AD842" s="20">
        <v>46113</v>
      </c>
    </row>
    <row r="843" spans="1:30">
      <c r="A843">
        <v>910</v>
      </c>
      <c r="B843" t="str">
        <f>_xlfn.XLOOKUP(A843,Z:Z,AB:AB,"not found")</f>
        <v>USD</v>
      </c>
      <c r="C843">
        <f>_xlfn.XLOOKUP(A843,Z:Z,AA:AA)-_xlfn.XLOOKUP(A843,Q:Q,R:R,"0")</f>
        <v>0</v>
      </c>
      <c r="D843">
        <f>C843*_xlfn.XLOOKUP(B843,AG:AG,AH:AH)</f>
        <v>0</v>
      </c>
      <c r="E843">
        <f>C843*_xlfn.XLOOKUP(B843,AG:AG,AI:AI)</f>
        <v>0</v>
      </c>
      <c r="F843">
        <v>767.06</v>
      </c>
      <c r="G843">
        <f>F843*_xlfn.XLOOKUP(B843,AG:AG,AH:AH)</f>
        <v>659.6715999999999</v>
      </c>
      <c r="H843">
        <f>F843*_xlfn.XLOOKUP(B843,AG:AG,AI:AI)</f>
        <v>767.06</v>
      </c>
      <c r="I843">
        <f t="shared" si="67"/>
        <v>0</v>
      </c>
      <c r="J843">
        <f>I843*_xlfn.XLOOKUP(B843,AG:AG,AI:AI)</f>
        <v>0</v>
      </c>
      <c r="K843" s="7">
        <f>_xlfn.XLOOKUP(A843,Z:Z,AD:AD)</f>
        <v>46045</v>
      </c>
      <c r="L843" s="7">
        <f t="shared" si="64"/>
        <v>46015</v>
      </c>
      <c r="M843">
        <f t="shared" si="65"/>
        <v>12</v>
      </c>
      <c r="N843">
        <f t="shared" si="66"/>
        <v>2025</v>
      </c>
      <c r="W843" s="9">
        <v>629</v>
      </c>
      <c r="X843" s="9" t="s">
        <v>28</v>
      </c>
      <c r="Z843">
        <v>896</v>
      </c>
      <c r="AA843">
        <v>12935.9</v>
      </c>
      <c r="AB843" t="s">
        <v>29</v>
      </c>
      <c r="AD843" s="20">
        <v>46009</v>
      </c>
    </row>
    <row r="844" spans="1:30">
      <c r="A844">
        <v>911</v>
      </c>
      <c r="B844" t="str">
        <f>_xlfn.XLOOKUP(A844,Z:Z,AB:AB,"not found")</f>
        <v>USD</v>
      </c>
      <c r="C844">
        <f>_xlfn.XLOOKUP(A844,Z:Z,AA:AA)-_xlfn.XLOOKUP(A844,Q:Q,R:R,"0")</f>
        <v>0</v>
      </c>
      <c r="D844">
        <f>C844*_xlfn.XLOOKUP(B844,AG:AG,AH:AH)</f>
        <v>0</v>
      </c>
      <c r="E844">
        <f>C844*_xlfn.XLOOKUP(B844,AG:AG,AI:AI)</f>
        <v>0</v>
      </c>
      <c r="F844">
        <v>13252</v>
      </c>
      <c r="G844">
        <f>F844*_xlfn.XLOOKUP(B844,AG:AG,AH:AH)</f>
        <v>11396.72</v>
      </c>
      <c r="H844">
        <f>F844*_xlfn.XLOOKUP(B844,AG:AG,AI:AI)</f>
        <v>13252</v>
      </c>
      <c r="I844">
        <f t="shared" si="67"/>
        <v>0</v>
      </c>
      <c r="J844">
        <f>I844*_xlfn.XLOOKUP(B844,AG:AG,AI:AI)</f>
        <v>0</v>
      </c>
      <c r="K844" s="7">
        <f>_xlfn.XLOOKUP(A844,Z:Z,AD:AD)</f>
        <v>45945</v>
      </c>
      <c r="L844" s="7">
        <f t="shared" si="64"/>
        <v>45915</v>
      </c>
      <c r="M844">
        <f t="shared" si="65"/>
        <v>9</v>
      </c>
      <c r="N844">
        <f t="shared" si="66"/>
        <v>2025</v>
      </c>
      <c r="W844" s="9">
        <v>629</v>
      </c>
      <c r="X844" s="9" t="s">
        <v>29</v>
      </c>
      <c r="Z844">
        <v>897</v>
      </c>
      <c r="AA844">
        <v>21206</v>
      </c>
      <c r="AB844" t="s">
        <v>29</v>
      </c>
      <c r="AD844" s="20">
        <v>46006</v>
      </c>
    </row>
    <row r="845" spans="1:30">
      <c r="A845">
        <v>912</v>
      </c>
      <c r="B845" t="str">
        <f>_xlfn.XLOOKUP(A845,Z:Z,AB:AB,"not found")</f>
        <v>USD</v>
      </c>
      <c r="C845">
        <f>_xlfn.XLOOKUP(A845,Z:Z,AA:AA)-_xlfn.XLOOKUP(A845,Q:Q,R:R,"0")</f>
        <v>0</v>
      </c>
      <c r="D845">
        <f>C845*_xlfn.XLOOKUP(B845,AG:AG,AH:AH)</f>
        <v>0</v>
      </c>
      <c r="E845">
        <f>C845*_xlfn.XLOOKUP(B845,AG:AG,AI:AI)</f>
        <v>0</v>
      </c>
      <c r="F845">
        <v>2058</v>
      </c>
      <c r="G845">
        <f>F845*_xlfn.XLOOKUP(B845,AG:AG,AH:AH)</f>
        <v>1769.8799999999999</v>
      </c>
      <c r="H845">
        <f>F845*_xlfn.XLOOKUP(B845,AG:AG,AI:AI)</f>
        <v>2058</v>
      </c>
      <c r="I845">
        <f t="shared" si="67"/>
        <v>0</v>
      </c>
      <c r="J845">
        <f>I845*_xlfn.XLOOKUP(B845,AG:AG,AI:AI)</f>
        <v>0</v>
      </c>
      <c r="K845" s="7">
        <f>_xlfn.XLOOKUP(A845,Z:Z,AD:AD)</f>
        <v>45847</v>
      </c>
      <c r="L845" s="7">
        <f t="shared" si="64"/>
        <v>45817</v>
      </c>
      <c r="M845">
        <f t="shared" si="65"/>
        <v>6</v>
      </c>
      <c r="N845">
        <f t="shared" si="66"/>
        <v>2025</v>
      </c>
      <c r="W845" s="9">
        <v>629</v>
      </c>
      <c r="X845" s="9" t="s">
        <v>29</v>
      </c>
      <c r="Z845">
        <v>898</v>
      </c>
      <c r="AA845">
        <v>39691</v>
      </c>
      <c r="AB845" t="s">
        <v>29</v>
      </c>
      <c r="AD845" s="20">
        <v>46054</v>
      </c>
    </row>
    <row r="846" spans="1:30">
      <c r="A846">
        <v>913</v>
      </c>
      <c r="B846" t="str">
        <f>_xlfn.XLOOKUP(A846,Z:Z,AB:AB,"not found")</f>
        <v>MXN</v>
      </c>
      <c r="C846">
        <f>_xlfn.XLOOKUP(A846,Z:Z,AA:AA)-_xlfn.XLOOKUP(A846,Q:Q,R:R,"0")</f>
        <v>0</v>
      </c>
      <c r="D846">
        <f>C846*_xlfn.XLOOKUP(B846,AG:AG,AH:AH)</f>
        <v>0</v>
      </c>
      <c r="E846">
        <f>C846*_xlfn.XLOOKUP(B846,AG:AG,AI:AI)</f>
        <v>0</v>
      </c>
      <c r="F846">
        <v>299292.08</v>
      </c>
      <c r="G846">
        <f>F846*_xlfn.XLOOKUP(B846,AG:AG,AH:AH)</f>
        <v>14366.019840000001</v>
      </c>
      <c r="H846">
        <f>F846*_xlfn.XLOOKUP(B846,AG:AG,AI:AI)</f>
        <v>16760.356480000002</v>
      </c>
      <c r="I846">
        <f t="shared" si="67"/>
        <v>0</v>
      </c>
      <c r="J846">
        <f>I846*_xlfn.XLOOKUP(B846,AG:AG,AI:AI)</f>
        <v>0</v>
      </c>
      <c r="K846" s="7">
        <f>_xlfn.XLOOKUP(A846,Z:Z,AD:AD)</f>
        <v>46270</v>
      </c>
      <c r="L846" s="7">
        <f t="shared" si="64"/>
        <v>46240</v>
      </c>
      <c r="M846">
        <f t="shared" si="65"/>
        <v>8</v>
      </c>
      <c r="N846">
        <f t="shared" si="66"/>
        <v>2026</v>
      </c>
      <c r="W846" s="9">
        <v>629</v>
      </c>
      <c r="X846" s="9" t="s">
        <v>29</v>
      </c>
      <c r="Z846">
        <v>899</v>
      </c>
      <c r="AA846">
        <v>55287</v>
      </c>
      <c r="AB846" t="s">
        <v>29</v>
      </c>
      <c r="AD846" s="20">
        <v>46006</v>
      </c>
    </row>
    <row r="847" spans="1:30">
      <c r="A847">
        <v>914</v>
      </c>
      <c r="B847" t="str">
        <f>_xlfn.XLOOKUP(A847,Z:Z,AB:AB,"not found")</f>
        <v>USD</v>
      </c>
      <c r="C847">
        <f>_xlfn.XLOOKUP(A847,Z:Z,AA:AA)-_xlfn.XLOOKUP(A847,Q:Q,R:R,"0")</f>
        <v>7520.6</v>
      </c>
      <c r="D847">
        <f>C847*_xlfn.XLOOKUP(B847,AG:AG,AH:AH)</f>
        <v>6467.7160000000003</v>
      </c>
      <c r="E847">
        <f>C847*_xlfn.XLOOKUP(B847,AG:AG,AI:AI)</f>
        <v>7520.6</v>
      </c>
      <c r="F847">
        <v>7520.6</v>
      </c>
      <c r="G847">
        <f>F847*_xlfn.XLOOKUP(B847,AG:AG,AH:AH)</f>
        <v>6467.7160000000003</v>
      </c>
      <c r="H847">
        <f>F847*_xlfn.XLOOKUP(B847,AG:AG,AI:AI)</f>
        <v>7520.6</v>
      </c>
      <c r="I847">
        <f t="shared" si="67"/>
        <v>0</v>
      </c>
      <c r="J847">
        <f>I847*_xlfn.XLOOKUP(B847,AG:AG,AI:AI)</f>
        <v>0</v>
      </c>
      <c r="K847" s="7">
        <f>_xlfn.XLOOKUP(A847,Z:Z,AD:AD)</f>
        <v>46110</v>
      </c>
      <c r="L847" s="7">
        <f t="shared" si="64"/>
        <v>46080</v>
      </c>
      <c r="M847">
        <f t="shared" si="65"/>
        <v>2</v>
      </c>
      <c r="N847">
        <f t="shared" si="66"/>
        <v>2026</v>
      </c>
      <c r="W847" s="9">
        <v>629</v>
      </c>
      <c r="X847" s="9" t="s">
        <v>28</v>
      </c>
      <c r="Z847">
        <v>900</v>
      </c>
      <c r="AA847">
        <v>13767.72</v>
      </c>
      <c r="AB847" t="s">
        <v>28</v>
      </c>
      <c r="AD847" s="20">
        <v>46000</v>
      </c>
    </row>
    <row r="848" spans="1:30">
      <c r="A848">
        <v>915</v>
      </c>
      <c r="B848" t="str">
        <f>_xlfn.XLOOKUP(A848,Z:Z,AB:AB,"not found")</f>
        <v>USD</v>
      </c>
      <c r="C848">
        <f>_xlfn.XLOOKUP(A848,Z:Z,AA:AA)-_xlfn.XLOOKUP(A848,Q:Q,R:R,"0")</f>
        <v>28301.41</v>
      </c>
      <c r="D848">
        <f>C848*_xlfn.XLOOKUP(B848,AG:AG,AH:AH)</f>
        <v>24339.212599999999</v>
      </c>
      <c r="E848">
        <f>C848*_xlfn.XLOOKUP(B848,AG:AG,AI:AI)</f>
        <v>28301.41</v>
      </c>
      <c r="F848">
        <v>28301.41</v>
      </c>
      <c r="G848">
        <f>F848*_xlfn.XLOOKUP(B848,AG:AG,AH:AH)</f>
        <v>24339.212599999999</v>
      </c>
      <c r="H848">
        <f>F848*_xlfn.XLOOKUP(B848,AG:AG,AI:AI)</f>
        <v>28301.41</v>
      </c>
      <c r="I848">
        <f t="shared" si="67"/>
        <v>0</v>
      </c>
      <c r="J848">
        <f>I848*_xlfn.XLOOKUP(B848,AG:AG,AI:AI)</f>
        <v>0</v>
      </c>
      <c r="K848" s="7">
        <f>_xlfn.XLOOKUP(A848,Z:Z,AD:AD)</f>
        <v>46010</v>
      </c>
      <c r="L848" s="7">
        <f t="shared" si="64"/>
        <v>45980</v>
      </c>
      <c r="M848">
        <f t="shared" si="65"/>
        <v>11</v>
      </c>
      <c r="N848">
        <f t="shared" si="66"/>
        <v>2025</v>
      </c>
      <c r="W848" s="9">
        <v>629</v>
      </c>
      <c r="X848" s="9" t="s">
        <v>28</v>
      </c>
      <c r="Z848">
        <v>901</v>
      </c>
      <c r="AA848">
        <v>9851.0499999999993</v>
      </c>
      <c r="AB848" t="s">
        <v>27</v>
      </c>
      <c r="AD848" s="20">
        <v>46012</v>
      </c>
    </row>
    <row r="849" spans="1:30">
      <c r="A849">
        <v>916</v>
      </c>
      <c r="B849" t="str">
        <f>_xlfn.XLOOKUP(A849,Z:Z,AB:AB,"not found")</f>
        <v>USD</v>
      </c>
      <c r="C849">
        <f>_xlfn.XLOOKUP(A849,Z:Z,AA:AA)-_xlfn.XLOOKUP(A849,Q:Q,R:R,"0")</f>
        <v>16900</v>
      </c>
      <c r="D849">
        <f>C849*_xlfn.XLOOKUP(B849,AG:AG,AH:AH)</f>
        <v>14534</v>
      </c>
      <c r="E849">
        <f>C849*_xlfn.XLOOKUP(B849,AG:AG,AI:AI)</f>
        <v>16900</v>
      </c>
      <c r="F849">
        <v>3000</v>
      </c>
      <c r="G849">
        <f>F849*_xlfn.XLOOKUP(B849,AG:AG,AH:AH)</f>
        <v>2580</v>
      </c>
      <c r="H849">
        <f>F849*_xlfn.XLOOKUP(B849,AG:AG,AI:AI)</f>
        <v>3000</v>
      </c>
      <c r="I849">
        <f t="shared" si="67"/>
        <v>13900</v>
      </c>
      <c r="J849">
        <f>I849*_xlfn.XLOOKUP(B849,AG:AG,AI:AI)</f>
        <v>13900</v>
      </c>
      <c r="K849" s="7">
        <f>_xlfn.XLOOKUP(A849,Z:Z,AD:AD)</f>
        <v>46302</v>
      </c>
      <c r="L849" s="7">
        <f t="shared" si="64"/>
        <v>46272</v>
      </c>
      <c r="M849">
        <f t="shared" si="65"/>
        <v>9</v>
      </c>
      <c r="N849">
        <f t="shared" si="66"/>
        <v>2026</v>
      </c>
      <c r="W849" s="9">
        <v>629</v>
      </c>
      <c r="X849" s="9" t="s">
        <v>28</v>
      </c>
      <c r="Z849">
        <v>902</v>
      </c>
      <c r="AA849">
        <v>16350.41</v>
      </c>
      <c r="AB849" t="s">
        <v>29</v>
      </c>
      <c r="AD849" s="20">
        <v>46120</v>
      </c>
    </row>
    <row r="850" spans="1:30">
      <c r="A850">
        <v>917</v>
      </c>
      <c r="B850" t="str">
        <f>_xlfn.XLOOKUP(A850,Z:Z,AB:AB,"not found")</f>
        <v>EUR</v>
      </c>
      <c r="C850">
        <f>_xlfn.XLOOKUP(A850,Z:Z,AA:AA)-_xlfn.XLOOKUP(A850,Q:Q,R:R,"0")</f>
        <v>25473.49</v>
      </c>
      <c r="D850">
        <f>C850*_xlfn.XLOOKUP(B850,AG:AG,AH:AH)</f>
        <v>25473.49</v>
      </c>
      <c r="E850">
        <f>C850*_xlfn.XLOOKUP(B850,AG:AG,AI:AI)</f>
        <v>29549.2484</v>
      </c>
      <c r="F850">
        <v>12338.44</v>
      </c>
      <c r="G850">
        <f>F850*_xlfn.XLOOKUP(B850,AG:AG,AH:AH)</f>
        <v>12338.44</v>
      </c>
      <c r="H850">
        <f>F850*_xlfn.XLOOKUP(B850,AG:AG,AI:AI)</f>
        <v>14312.590399999999</v>
      </c>
      <c r="I850">
        <f t="shared" si="67"/>
        <v>13135.050000000001</v>
      </c>
      <c r="J850">
        <f>I850*_xlfn.XLOOKUP(B850,AG:AG,AI:AI)</f>
        <v>15236.657999999999</v>
      </c>
      <c r="K850" s="7">
        <f>_xlfn.XLOOKUP(A850,Z:Z,AD:AD)</f>
        <v>46111</v>
      </c>
      <c r="L850" s="7">
        <f t="shared" si="64"/>
        <v>46081</v>
      </c>
      <c r="M850">
        <f t="shared" si="65"/>
        <v>2</v>
      </c>
      <c r="N850">
        <f t="shared" si="66"/>
        <v>2026</v>
      </c>
      <c r="W850" s="9">
        <v>629</v>
      </c>
      <c r="X850" s="9" t="s">
        <v>28</v>
      </c>
      <c r="Z850">
        <v>903</v>
      </c>
      <c r="AA850">
        <v>51914.84</v>
      </c>
      <c r="AB850" t="s">
        <v>29</v>
      </c>
      <c r="AD850" s="20">
        <v>46148</v>
      </c>
    </row>
    <row r="851" spans="1:30">
      <c r="A851">
        <v>919</v>
      </c>
      <c r="B851" t="str">
        <f>_xlfn.XLOOKUP(A851,Z:Z,AB:AB,"not found")</f>
        <v>USD</v>
      </c>
      <c r="C851">
        <f>_xlfn.XLOOKUP(A851,Z:Z,AA:AA)-_xlfn.XLOOKUP(A851,Q:Q,R:R,"0")</f>
        <v>0</v>
      </c>
      <c r="D851">
        <f>C851*_xlfn.XLOOKUP(B851,AG:AG,AH:AH)</f>
        <v>0</v>
      </c>
      <c r="E851">
        <f>C851*_xlfn.XLOOKUP(B851,AG:AG,AI:AI)</f>
        <v>0</v>
      </c>
      <c r="F851">
        <v>16765</v>
      </c>
      <c r="G851">
        <f>F851*_xlfn.XLOOKUP(B851,AG:AG,AH:AH)</f>
        <v>14417.9</v>
      </c>
      <c r="H851">
        <f>F851*_xlfn.XLOOKUP(B851,AG:AG,AI:AI)</f>
        <v>16765</v>
      </c>
      <c r="I851">
        <f t="shared" si="67"/>
        <v>0</v>
      </c>
      <c r="J851">
        <f>I851*_xlfn.XLOOKUP(B851,AG:AG,AI:AI)</f>
        <v>0</v>
      </c>
      <c r="K851" s="7">
        <f>_xlfn.XLOOKUP(A851,Z:Z,AD:AD)</f>
        <v>46012</v>
      </c>
      <c r="L851" s="7">
        <f t="shared" si="64"/>
        <v>45982</v>
      </c>
      <c r="M851">
        <f t="shared" si="65"/>
        <v>11</v>
      </c>
      <c r="N851">
        <f t="shared" si="66"/>
        <v>2025</v>
      </c>
      <c r="W851" s="9">
        <v>629</v>
      </c>
      <c r="X851" s="9" t="s">
        <v>28</v>
      </c>
      <c r="Z851">
        <v>904</v>
      </c>
      <c r="AA851">
        <v>8068</v>
      </c>
      <c r="AB851" t="s">
        <v>29</v>
      </c>
      <c r="AD851" s="20">
        <v>46019</v>
      </c>
    </row>
    <row r="852" spans="1:30">
      <c r="A852">
        <v>920</v>
      </c>
      <c r="B852" t="str">
        <f>_xlfn.XLOOKUP(A852,Z:Z,AB:AB,"not found")</f>
        <v>USD</v>
      </c>
      <c r="C852">
        <f>_xlfn.XLOOKUP(A852,Z:Z,AA:AA)-_xlfn.XLOOKUP(A852,Q:Q,R:R,"0")</f>
        <v>0</v>
      </c>
      <c r="D852">
        <f>C852*_xlfn.XLOOKUP(B852,AG:AG,AH:AH)</f>
        <v>0</v>
      </c>
      <c r="E852">
        <f>C852*_xlfn.XLOOKUP(B852,AG:AG,AI:AI)</f>
        <v>0</v>
      </c>
      <c r="F852">
        <v>5067.5200000000004</v>
      </c>
      <c r="G852">
        <f>F852*_xlfn.XLOOKUP(B852,AG:AG,AH:AH)</f>
        <v>4358.0672000000004</v>
      </c>
      <c r="H852">
        <f>F852*_xlfn.XLOOKUP(B852,AG:AG,AI:AI)</f>
        <v>5067.5200000000004</v>
      </c>
      <c r="I852">
        <f t="shared" si="67"/>
        <v>0</v>
      </c>
      <c r="J852">
        <f>I852*_xlfn.XLOOKUP(B852,AG:AG,AI:AI)</f>
        <v>0</v>
      </c>
      <c r="K852" s="7">
        <f>_xlfn.XLOOKUP(A852,Z:Z,AD:AD)</f>
        <v>45954</v>
      </c>
      <c r="L852" s="7">
        <f t="shared" si="64"/>
        <v>45924</v>
      </c>
      <c r="M852">
        <f t="shared" si="65"/>
        <v>9</v>
      </c>
      <c r="N852">
        <f t="shared" si="66"/>
        <v>2025</v>
      </c>
      <c r="W852" s="9">
        <v>633</v>
      </c>
      <c r="X852" s="9" t="s">
        <v>27</v>
      </c>
      <c r="Z852">
        <v>905</v>
      </c>
      <c r="AA852">
        <v>11144</v>
      </c>
      <c r="AB852" t="s">
        <v>29</v>
      </c>
      <c r="AD852" s="20">
        <v>46025</v>
      </c>
    </row>
    <row r="853" spans="1:30">
      <c r="A853">
        <v>921</v>
      </c>
      <c r="B853" t="str">
        <f>_xlfn.XLOOKUP(A853,Z:Z,AB:AB,"not found")</f>
        <v>USD</v>
      </c>
      <c r="C853">
        <f>_xlfn.XLOOKUP(A853,Z:Z,AA:AA)-_xlfn.XLOOKUP(A853,Q:Q,R:R,"0")</f>
        <v>0</v>
      </c>
      <c r="D853">
        <f>C853*_xlfn.XLOOKUP(B853,AG:AG,AH:AH)</f>
        <v>0</v>
      </c>
      <c r="E853">
        <f>C853*_xlfn.XLOOKUP(B853,AG:AG,AI:AI)</f>
        <v>0</v>
      </c>
      <c r="F853">
        <v>2533.7600000000002</v>
      </c>
      <c r="G853">
        <f>F853*_xlfn.XLOOKUP(B853,AG:AG,AH:AH)</f>
        <v>2179.0336000000002</v>
      </c>
      <c r="H853">
        <f>F853*_xlfn.XLOOKUP(B853,AG:AG,AI:AI)</f>
        <v>2533.7600000000002</v>
      </c>
      <c r="I853">
        <f t="shared" si="67"/>
        <v>0</v>
      </c>
      <c r="J853">
        <f>I853*_xlfn.XLOOKUP(B853,AG:AG,AI:AI)</f>
        <v>0</v>
      </c>
      <c r="K853" s="7">
        <f>_xlfn.XLOOKUP(A853,Z:Z,AD:AD)</f>
        <v>45954</v>
      </c>
      <c r="L853" s="7">
        <f t="shared" si="64"/>
        <v>45924</v>
      </c>
      <c r="M853">
        <f t="shared" si="65"/>
        <v>9</v>
      </c>
      <c r="N853">
        <f t="shared" si="66"/>
        <v>2025</v>
      </c>
      <c r="W853" s="9">
        <v>634</v>
      </c>
      <c r="X853" s="9" t="s">
        <v>27</v>
      </c>
      <c r="Z853">
        <v>907</v>
      </c>
      <c r="AA853">
        <v>23996</v>
      </c>
      <c r="AB853" t="s">
        <v>28</v>
      </c>
      <c r="AD853" s="20">
        <v>46128</v>
      </c>
    </row>
    <row r="854" spans="1:30">
      <c r="A854">
        <v>922</v>
      </c>
      <c r="B854" t="str">
        <f>_xlfn.XLOOKUP(A854,Z:Z,AB:AB,"not found")</f>
        <v>EUR</v>
      </c>
      <c r="C854">
        <f>_xlfn.XLOOKUP(A854,Z:Z,AA:AA)-_xlfn.XLOOKUP(A854,Q:Q,R:R,"0")</f>
        <v>0</v>
      </c>
      <c r="D854">
        <f>C854*_xlfn.XLOOKUP(B854,AG:AG,AH:AH)</f>
        <v>0</v>
      </c>
      <c r="E854">
        <f>C854*_xlfn.XLOOKUP(B854,AG:AG,AI:AI)</f>
        <v>0</v>
      </c>
      <c r="F854">
        <v>2403.5</v>
      </c>
      <c r="G854">
        <f>F854*_xlfn.XLOOKUP(B854,AG:AG,AH:AH)</f>
        <v>2403.5</v>
      </c>
      <c r="H854">
        <f>F854*_xlfn.XLOOKUP(B854,AG:AG,AI:AI)</f>
        <v>2788.06</v>
      </c>
      <c r="I854">
        <f t="shared" si="67"/>
        <v>0</v>
      </c>
      <c r="J854">
        <f>I854*_xlfn.XLOOKUP(B854,AG:AG,AI:AI)</f>
        <v>0</v>
      </c>
      <c r="K854" s="7">
        <f>_xlfn.XLOOKUP(A854,Z:Z,AD:AD)</f>
        <v>45970</v>
      </c>
      <c r="L854" s="7">
        <f t="shared" si="64"/>
        <v>45940</v>
      </c>
      <c r="M854">
        <f t="shared" si="65"/>
        <v>10</v>
      </c>
      <c r="N854">
        <f t="shared" si="66"/>
        <v>2025</v>
      </c>
      <c r="W854" s="9">
        <v>635</v>
      </c>
      <c r="X854" s="9" t="s">
        <v>32</v>
      </c>
      <c r="Z854">
        <v>908</v>
      </c>
      <c r="AA854">
        <v>9010.35</v>
      </c>
      <c r="AB854" t="s">
        <v>29</v>
      </c>
      <c r="AD854" s="20">
        <v>46023</v>
      </c>
    </row>
    <row r="855" spans="1:30">
      <c r="A855">
        <v>923</v>
      </c>
      <c r="B855" t="str">
        <f>_xlfn.XLOOKUP(A855,Z:Z,AB:AB,"not found")</f>
        <v>EUR</v>
      </c>
      <c r="C855">
        <f>_xlfn.XLOOKUP(A855,Z:Z,AA:AA)-_xlfn.XLOOKUP(A855,Q:Q,R:R,"0")</f>
        <v>0</v>
      </c>
      <c r="D855">
        <f>C855*_xlfn.XLOOKUP(B855,AG:AG,AH:AH)</f>
        <v>0</v>
      </c>
      <c r="E855">
        <f>C855*_xlfn.XLOOKUP(B855,AG:AG,AI:AI)</f>
        <v>0</v>
      </c>
      <c r="F855">
        <v>1039.5</v>
      </c>
      <c r="G855">
        <f>F855*_xlfn.XLOOKUP(B855,AG:AG,AH:AH)</f>
        <v>1039.5</v>
      </c>
      <c r="H855">
        <f>F855*_xlfn.XLOOKUP(B855,AG:AG,AI:AI)</f>
        <v>1205.82</v>
      </c>
      <c r="I855">
        <f t="shared" si="67"/>
        <v>0</v>
      </c>
      <c r="J855">
        <f>I855*_xlfn.XLOOKUP(B855,AG:AG,AI:AI)</f>
        <v>0</v>
      </c>
      <c r="K855" s="7">
        <f>_xlfn.XLOOKUP(A855,Z:Z,AD:AD)</f>
        <v>45973</v>
      </c>
      <c r="L855" s="7">
        <f t="shared" si="64"/>
        <v>45943</v>
      </c>
      <c r="M855">
        <f t="shared" si="65"/>
        <v>10</v>
      </c>
      <c r="N855">
        <f t="shared" si="66"/>
        <v>2025</v>
      </c>
      <c r="W855" s="9">
        <v>636</v>
      </c>
      <c r="X855" s="9" t="s">
        <v>27</v>
      </c>
      <c r="Z855">
        <v>909</v>
      </c>
      <c r="AA855">
        <v>31592</v>
      </c>
      <c r="AB855" t="s">
        <v>28</v>
      </c>
      <c r="AD855" s="20">
        <v>46030</v>
      </c>
    </row>
    <row r="856" spans="1:30">
      <c r="A856">
        <v>924</v>
      </c>
      <c r="B856" t="str">
        <f>_xlfn.XLOOKUP(A856,Z:Z,AB:AB,"not found")</f>
        <v>USD</v>
      </c>
      <c r="C856">
        <f>_xlfn.XLOOKUP(A856,Z:Z,AA:AA)-_xlfn.XLOOKUP(A856,Q:Q,R:R,"0")</f>
        <v>60640.7</v>
      </c>
      <c r="D856">
        <f>C856*_xlfn.XLOOKUP(B856,AG:AG,AH:AH)</f>
        <v>52151.001999999993</v>
      </c>
      <c r="E856">
        <f>C856*_xlfn.XLOOKUP(B856,AG:AG,AI:AI)</f>
        <v>60640.7</v>
      </c>
      <c r="F856">
        <v>51285.74</v>
      </c>
      <c r="G856">
        <f>F856*_xlfn.XLOOKUP(B856,AG:AG,AH:AH)</f>
        <v>44105.736399999994</v>
      </c>
      <c r="H856">
        <f>F856*_xlfn.XLOOKUP(B856,AG:AG,AI:AI)</f>
        <v>51285.74</v>
      </c>
      <c r="I856">
        <f t="shared" si="67"/>
        <v>9354.9599999999991</v>
      </c>
      <c r="J856">
        <f>I856*_xlfn.XLOOKUP(B856,AG:AG,AI:AI)</f>
        <v>9354.9599999999991</v>
      </c>
      <c r="K856" s="7">
        <f>_xlfn.XLOOKUP(A856,Z:Z,AD:AD)</f>
        <v>46120</v>
      </c>
      <c r="L856" s="7">
        <f t="shared" si="64"/>
        <v>46090</v>
      </c>
      <c r="M856">
        <f t="shared" si="65"/>
        <v>3</v>
      </c>
      <c r="N856">
        <f t="shared" si="66"/>
        <v>2026</v>
      </c>
      <c r="W856" s="9">
        <v>637</v>
      </c>
      <c r="X856" s="9" t="s">
        <v>27</v>
      </c>
      <c r="Z856">
        <v>910</v>
      </c>
      <c r="AA856">
        <v>767.06</v>
      </c>
      <c r="AB856" t="s">
        <v>29</v>
      </c>
      <c r="AD856" s="20">
        <v>46045</v>
      </c>
    </row>
    <row r="857" spans="1:30">
      <c r="A857">
        <v>925</v>
      </c>
      <c r="B857" t="str">
        <f>_xlfn.XLOOKUP(A857,Z:Z,AB:AB,"not found")</f>
        <v>EUR</v>
      </c>
      <c r="C857">
        <f>_xlfn.XLOOKUP(A857,Z:Z,AA:AA)-_xlfn.XLOOKUP(A857,Q:Q,R:R,"0")</f>
        <v>0</v>
      </c>
      <c r="D857">
        <f>C857*_xlfn.XLOOKUP(B857,AG:AG,AH:AH)</f>
        <v>0</v>
      </c>
      <c r="E857">
        <f>C857*_xlfn.XLOOKUP(B857,AG:AG,AI:AI)</f>
        <v>0</v>
      </c>
      <c r="F857">
        <v>136</v>
      </c>
      <c r="G857">
        <f>F857*_xlfn.XLOOKUP(B857,AG:AG,AH:AH)</f>
        <v>136</v>
      </c>
      <c r="H857">
        <f>F857*_xlfn.XLOOKUP(B857,AG:AG,AI:AI)</f>
        <v>157.76</v>
      </c>
      <c r="I857">
        <f t="shared" si="67"/>
        <v>0</v>
      </c>
      <c r="J857">
        <f>I857*_xlfn.XLOOKUP(B857,AG:AG,AI:AI)</f>
        <v>0</v>
      </c>
      <c r="K857" s="7">
        <f>_xlfn.XLOOKUP(A857,Z:Z,AD:AD)</f>
        <v>45972</v>
      </c>
      <c r="L857" s="7">
        <f t="shared" si="64"/>
        <v>45942</v>
      </c>
      <c r="M857">
        <f t="shared" si="65"/>
        <v>10</v>
      </c>
      <c r="N857">
        <f t="shared" si="66"/>
        <v>2025</v>
      </c>
      <c r="W857" s="9">
        <v>638</v>
      </c>
      <c r="X857" s="9" t="s">
        <v>27</v>
      </c>
      <c r="Z857">
        <v>911</v>
      </c>
      <c r="AA857">
        <v>13252</v>
      </c>
      <c r="AB857" t="s">
        <v>29</v>
      </c>
      <c r="AD857" s="20">
        <v>45945</v>
      </c>
    </row>
    <row r="858" spans="1:30">
      <c r="A858">
        <v>926</v>
      </c>
      <c r="B858" t="str">
        <f>_xlfn.XLOOKUP(A858,Z:Z,AB:AB,"not found")</f>
        <v>USD</v>
      </c>
      <c r="C858">
        <f>_xlfn.XLOOKUP(A858,Z:Z,AA:AA)-_xlfn.XLOOKUP(A858,Q:Q,R:R,"0")</f>
        <v>1383.74</v>
      </c>
      <c r="D858">
        <f>C858*_xlfn.XLOOKUP(B858,AG:AG,AH:AH)</f>
        <v>1190.0164</v>
      </c>
      <c r="E858">
        <f>C858*_xlfn.XLOOKUP(B858,AG:AG,AI:AI)</f>
        <v>1383.74</v>
      </c>
      <c r="F858">
        <v>1383.74</v>
      </c>
      <c r="G858">
        <f>F858*_xlfn.XLOOKUP(B858,AG:AG,AH:AH)</f>
        <v>1190.0164</v>
      </c>
      <c r="H858">
        <f>F858*_xlfn.XLOOKUP(B858,AG:AG,AI:AI)</f>
        <v>1383.74</v>
      </c>
      <c r="I858">
        <f t="shared" si="67"/>
        <v>0</v>
      </c>
      <c r="J858">
        <f>I858*_xlfn.XLOOKUP(B858,AG:AG,AI:AI)</f>
        <v>0</v>
      </c>
      <c r="K858" s="7">
        <f>_xlfn.XLOOKUP(A858,Z:Z,AD:AD)</f>
        <v>46005</v>
      </c>
      <c r="L858" s="7">
        <f t="shared" si="64"/>
        <v>45975</v>
      </c>
      <c r="M858">
        <f t="shared" si="65"/>
        <v>11</v>
      </c>
      <c r="N858">
        <f t="shared" si="66"/>
        <v>2025</v>
      </c>
      <c r="W858" s="9">
        <v>640</v>
      </c>
      <c r="X858" s="9" t="s">
        <v>27</v>
      </c>
      <c r="Z858">
        <v>912</v>
      </c>
      <c r="AA858">
        <v>2058</v>
      </c>
      <c r="AB858" t="s">
        <v>29</v>
      </c>
      <c r="AD858" s="20">
        <v>45847</v>
      </c>
    </row>
    <row r="859" spans="1:30">
      <c r="A859">
        <v>927</v>
      </c>
      <c r="B859" t="str">
        <f>_xlfn.XLOOKUP(A859,Z:Z,AB:AB,"not found")</f>
        <v>USD</v>
      </c>
      <c r="C859">
        <f>_xlfn.XLOOKUP(A859,Z:Z,AA:AA)-_xlfn.XLOOKUP(A859,Q:Q,R:R,"0")</f>
        <v>2743.95</v>
      </c>
      <c r="D859">
        <f>C859*_xlfn.XLOOKUP(B859,AG:AG,AH:AH)</f>
        <v>2359.797</v>
      </c>
      <c r="E859">
        <f>C859*_xlfn.XLOOKUP(B859,AG:AG,AI:AI)</f>
        <v>2743.95</v>
      </c>
      <c r="F859">
        <v>2743.95</v>
      </c>
      <c r="G859">
        <f>F859*_xlfn.XLOOKUP(B859,AG:AG,AH:AH)</f>
        <v>2359.797</v>
      </c>
      <c r="H859">
        <f>F859*_xlfn.XLOOKUP(B859,AG:AG,AI:AI)</f>
        <v>2743.95</v>
      </c>
      <c r="I859">
        <f t="shared" si="67"/>
        <v>0</v>
      </c>
      <c r="J859">
        <f>I859*_xlfn.XLOOKUP(B859,AG:AG,AI:AI)</f>
        <v>0</v>
      </c>
      <c r="K859" s="7">
        <f>_xlfn.XLOOKUP(A859,Z:Z,AD:AD)</f>
        <v>46012</v>
      </c>
      <c r="L859" s="7">
        <f t="shared" si="64"/>
        <v>45982</v>
      </c>
      <c r="M859">
        <f t="shared" si="65"/>
        <v>11</v>
      </c>
      <c r="N859">
        <f t="shared" si="66"/>
        <v>2025</v>
      </c>
      <c r="W859" s="9">
        <v>642</v>
      </c>
      <c r="X859" s="9" t="s">
        <v>27</v>
      </c>
      <c r="Z859">
        <v>913</v>
      </c>
      <c r="AA859">
        <v>299292.08</v>
      </c>
      <c r="AB859" t="s">
        <v>28</v>
      </c>
      <c r="AD859" s="20">
        <v>46270</v>
      </c>
    </row>
    <row r="860" spans="1:30">
      <c r="A860">
        <v>928</v>
      </c>
      <c r="B860" t="str">
        <f>_xlfn.XLOOKUP(A860,Z:Z,AB:AB,"not found")</f>
        <v>USD</v>
      </c>
      <c r="C860">
        <f>_xlfn.XLOOKUP(A860,Z:Z,AA:AA)-_xlfn.XLOOKUP(A860,Q:Q,R:R,"0")</f>
        <v>28181</v>
      </c>
      <c r="D860">
        <f>C860*_xlfn.XLOOKUP(B860,AG:AG,AH:AH)</f>
        <v>24235.66</v>
      </c>
      <c r="E860">
        <f>C860*_xlfn.XLOOKUP(B860,AG:AG,AI:AI)</f>
        <v>28181</v>
      </c>
      <c r="F860">
        <v>10500</v>
      </c>
      <c r="G860">
        <f>F860*_xlfn.XLOOKUP(B860,AG:AG,AH:AH)</f>
        <v>9030</v>
      </c>
      <c r="H860">
        <f>F860*_xlfn.XLOOKUP(B860,AG:AG,AI:AI)</f>
        <v>10500</v>
      </c>
      <c r="I860">
        <f t="shared" si="67"/>
        <v>17681</v>
      </c>
      <c r="J860">
        <f>I860*_xlfn.XLOOKUP(B860,AG:AG,AI:AI)</f>
        <v>17681</v>
      </c>
      <c r="K860" s="7">
        <f>_xlfn.XLOOKUP(A860,Z:Z,AD:AD)</f>
        <v>46204</v>
      </c>
      <c r="L860" s="7">
        <f t="shared" si="64"/>
        <v>46174</v>
      </c>
      <c r="M860">
        <f t="shared" si="65"/>
        <v>6</v>
      </c>
      <c r="N860">
        <f t="shared" si="66"/>
        <v>2026</v>
      </c>
      <c r="W860" s="9">
        <v>643</v>
      </c>
      <c r="X860" s="9" t="s">
        <v>33</v>
      </c>
      <c r="Z860">
        <v>914</v>
      </c>
      <c r="AA860">
        <v>7520.6</v>
      </c>
      <c r="AB860" t="s">
        <v>29</v>
      </c>
      <c r="AD860" s="20">
        <v>46110</v>
      </c>
    </row>
    <row r="861" spans="1:30">
      <c r="A861">
        <v>929</v>
      </c>
      <c r="B861" t="str">
        <f>_xlfn.XLOOKUP(A861,Z:Z,AB:AB,"not found")</f>
        <v>EUR</v>
      </c>
      <c r="C861">
        <f>_xlfn.XLOOKUP(A861,Z:Z,AA:AA)-_xlfn.XLOOKUP(A861,Q:Q,R:R,"0")</f>
        <v>12187.2</v>
      </c>
      <c r="D861">
        <f>C861*_xlfn.XLOOKUP(B861,AG:AG,AH:AH)</f>
        <v>12187.2</v>
      </c>
      <c r="E861">
        <f>C861*_xlfn.XLOOKUP(B861,AG:AG,AI:AI)</f>
        <v>14137.152</v>
      </c>
      <c r="F861">
        <v>12187.2</v>
      </c>
      <c r="G861">
        <f>F861*_xlfn.XLOOKUP(B861,AG:AG,AH:AH)</f>
        <v>12187.2</v>
      </c>
      <c r="H861">
        <f>F861*_xlfn.XLOOKUP(B861,AG:AG,AI:AI)</f>
        <v>14137.152</v>
      </c>
      <c r="I861">
        <f t="shared" si="67"/>
        <v>0</v>
      </c>
      <c r="J861">
        <f>I861*_xlfn.XLOOKUP(B861,AG:AG,AI:AI)</f>
        <v>0</v>
      </c>
      <c r="K861" s="7">
        <f>_xlfn.XLOOKUP(A861,Z:Z,AD:AD)</f>
        <v>46066</v>
      </c>
      <c r="L861" s="7">
        <f t="shared" si="64"/>
        <v>46036</v>
      </c>
      <c r="M861">
        <f t="shared" si="65"/>
        <v>1</v>
      </c>
      <c r="N861">
        <f t="shared" si="66"/>
        <v>2026</v>
      </c>
      <c r="W861" s="9">
        <v>644</v>
      </c>
      <c r="X861" s="9" t="s">
        <v>29</v>
      </c>
      <c r="Z861">
        <v>915</v>
      </c>
      <c r="AA861">
        <v>28301.41</v>
      </c>
      <c r="AB861" t="s">
        <v>29</v>
      </c>
      <c r="AD861" s="20">
        <v>46010</v>
      </c>
    </row>
    <row r="862" spans="1:30">
      <c r="A862">
        <v>930</v>
      </c>
      <c r="B862" t="str">
        <f>_xlfn.XLOOKUP(A862,Z:Z,AB:AB,"not found")</f>
        <v>USD</v>
      </c>
      <c r="C862">
        <f>_xlfn.XLOOKUP(A862,Z:Z,AA:AA)-_xlfn.XLOOKUP(A862,Q:Q,R:R,"0")</f>
        <v>0</v>
      </c>
      <c r="D862">
        <f>C862*_xlfn.XLOOKUP(B862,AG:AG,AH:AH)</f>
        <v>0</v>
      </c>
      <c r="E862">
        <f>C862*_xlfn.XLOOKUP(B862,AG:AG,AI:AI)</f>
        <v>0</v>
      </c>
      <c r="F862">
        <v>3485</v>
      </c>
      <c r="G862">
        <f>F862*_xlfn.XLOOKUP(B862,AG:AG,AH:AH)</f>
        <v>2997.1</v>
      </c>
      <c r="H862">
        <f>F862*_xlfn.XLOOKUP(B862,AG:AG,AI:AI)</f>
        <v>3485</v>
      </c>
      <c r="I862">
        <f t="shared" si="67"/>
        <v>0</v>
      </c>
      <c r="J862">
        <f>I862*_xlfn.XLOOKUP(B862,AG:AG,AI:AI)</f>
        <v>0</v>
      </c>
      <c r="K862" s="7">
        <f>_xlfn.XLOOKUP(A862,Z:Z,AD:AD)</f>
        <v>45912</v>
      </c>
      <c r="L862" s="7">
        <f t="shared" si="64"/>
        <v>45882</v>
      </c>
      <c r="M862">
        <f t="shared" si="65"/>
        <v>8</v>
      </c>
      <c r="N862">
        <f t="shared" si="66"/>
        <v>2025</v>
      </c>
      <c r="W862" s="9">
        <v>645</v>
      </c>
      <c r="X862" s="9" t="s">
        <v>29</v>
      </c>
      <c r="Z862">
        <v>916</v>
      </c>
      <c r="AA862">
        <v>16900</v>
      </c>
      <c r="AB862" t="s">
        <v>29</v>
      </c>
      <c r="AD862" s="20">
        <v>46302</v>
      </c>
    </row>
    <row r="863" spans="1:30">
      <c r="A863">
        <v>931</v>
      </c>
      <c r="B863" t="str">
        <f>_xlfn.XLOOKUP(A863,Z:Z,AB:AB,"not found")</f>
        <v>USD</v>
      </c>
      <c r="C863">
        <f>_xlfn.XLOOKUP(A863,Z:Z,AA:AA)-_xlfn.XLOOKUP(A863,Q:Q,R:R,"0")</f>
        <v>16242</v>
      </c>
      <c r="D863">
        <f>C863*_xlfn.XLOOKUP(B863,AG:AG,AH:AH)</f>
        <v>13968.119999999999</v>
      </c>
      <c r="E863">
        <f>C863*_xlfn.XLOOKUP(B863,AG:AG,AI:AI)</f>
        <v>16242</v>
      </c>
      <c r="F863">
        <v>16242</v>
      </c>
      <c r="G863">
        <f>F863*_xlfn.XLOOKUP(B863,AG:AG,AH:AH)</f>
        <v>13968.119999999999</v>
      </c>
      <c r="H863">
        <f>F863*_xlfn.XLOOKUP(B863,AG:AG,AI:AI)</f>
        <v>16242</v>
      </c>
      <c r="I863">
        <f t="shared" si="67"/>
        <v>0</v>
      </c>
      <c r="J863">
        <f>I863*_xlfn.XLOOKUP(B863,AG:AG,AI:AI)</f>
        <v>0</v>
      </c>
      <c r="K863" s="7">
        <f>_xlfn.XLOOKUP(A863,Z:Z,AD:AD)</f>
        <v>46096</v>
      </c>
      <c r="L863" s="7">
        <f t="shared" si="64"/>
        <v>46066</v>
      </c>
      <c r="M863">
        <f t="shared" si="65"/>
        <v>2</v>
      </c>
      <c r="N863">
        <f t="shared" si="66"/>
        <v>2026</v>
      </c>
      <c r="W863" s="9">
        <v>646</v>
      </c>
      <c r="X863" s="9" t="s">
        <v>29</v>
      </c>
      <c r="Z863">
        <v>917</v>
      </c>
      <c r="AA863">
        <v>25473.49</v>
      </c>
      <c r="AB863" t="s">
        <v>27</v>
      </c>
      <c r="AD863" s="20">
        <v>46111</v>
      </c>
    </row>
    <row r="864" spans="1:30">
      <c r="A864">
        <v>932</v>
      </c>
      <c r="B864" t="str">
        <f>_xlfn.XLOOKUP(A864,Z:Z,AB:AB,"not found")</f>
        <v>MXN</v>
      </c>
      <c r="C864">
        <f>_xlfn.XLOOKUP(A864,Z:Z,AA:AA)-_xlfn.XLOOKUP(A864,Q:Q,R:R,"0")</f>
        <v>289559.08</v>
      </c>
      <c r="D864">
        <f>C864*_xlfn.XLOOKUP(B864,AG:AG,AH:AH)</f>
        <v>13898.835840000002</v>
      </c>
      <c r="E864">
        <f>C864*_xlfn.XLOOKUP(B864,AG:AG,AI:AI)</f>
        <v>16215.308480000002</v>
      </c>
      <c r="F864">
        <v>289559.08</v>
      </c>
      <c r="G864">
        <f>F864*_xlfn.XLOOKUP(B864,AG:AG,AH:AH)</f>
        <v>13898.835840000002</v>
      </c>
      <c r="H864">
        <f>F864*_xlfn.XLOOKUP(B864,AG:AG,AI:AI)</f>
        <v>16215.308480000002</v>
      </c>
      <c r="I864">
        <f t="shared" si="67"/>
        <v>0</v>
      </c>
      <c r="J864">
        <f>I864*_xlfn.XLOOKUP(B864,AG:AG,AI:AI)</f>
        <v>0</v>
      </c>
      <c r="K864" s="7">
        <f>_xlfn.XLOOKUP(A864,Z:Z,AD:AD)</f>
        <v>46096</v>
      </c>
      <c r="L864" s="7">
        <f t="shared" si="64"/>
        <v>46066</v>
      </c>
      <c r="M864">
        <f t="shared" si="65"/>
        <v>2</v>
      </c>
      <c r="N864">
        <f t="shared" si="66"/>
        <v>2026</v>
      </c>
      <c r="W864" s="9">
        <v>647</v>
      </c>
      <c r="X864" s="9" t="s">
        <v>29</v>
      </c>
      <c r="Z864">
        <v>918</v>
      </c>
      <c r="AA864">
        <v>0</v>
      </c>
      <c r="AB864" t="s">
        <v>29</v>
      </c>
      <c r="AD864" s="20">
        <v>46011</v>
      </c>
    </row>
    <row r="865" spans="1:30">
      <c r="A865">
        <v>933</v>
      </c>
      <c r="B865" t="str">
        <f>_xlfn.XLOOKUP(A865,Z:Z,AB:AB,"not found")</f>
        <v>USD</v>
      </c>
      <c r="C865">
        <f>_xlfn.XLOOKUP(A865,Z:Z,AA:AA)-_xlfn.XLOOKUP(A865,Q:Q,R:R,"0")</f>
        <v>2218.46</v>
      </c>
      <c r="D865">
        <f>C865*_xlfn.XLOOKUP(B865,AG:AG,AH:AH)</f>
        <v>1907.8756000000001</v>
      </c>
      <c r="E865">
        <f>C865*_xlfn.XLOOKUP(B865,AG:AG,AI:AI)</f>
        <v>2218.46</v>
      </c>
      <c r="F865">
        <v>2218.46</v>
      </c>
      <c r="G865">
        <f>F865*_xlfn.XLOOKUP(B865,AG:AG,AH:AH)</f>
        <v>1907.8756000000001</v>
      </c>
      <c r="H865">
        <f>F865*_xlfn.XLOOKUP(B865,AG:AG,AI:AI)</f>
        <v>2218.46</v>
      </c>
      <c r="I865">
        <f t="shared" si="67"/>
        <v>0</v>
      </c>
      <c r="J865">
        <f>I865*_xlfn.XLOOKUP(B865,AG:AG,AI:AI)</f>
        <v>0</v>
      </c>
      <c r="K865" s="7">
        <f>_xlfn.XLOOKUP(A865,Z:Z,AD:AD)</f>
        <v>46017</v>
      </c>
      <c r="L865" s="7">
        <f t="shared" si="64"/>
        <v>45987</v>
      </c>
      <c r="M865">
        <f t="shared" si="65"/>
        <v>11</v>
      </c>
      <c r="N865">
        <f t="shared" si="66"/>
        <v>2025</v>
      </c>
      <c r="W865" s="9">
        <v>648</v>
      </c>
      <c r="X865" s="9" t="s">
        <v>33</v>
      </c>
      <c r="Z865">
        <v>919</v>
      </c>
      <c r="AA865">
        <v>16765</v>
      </c>
      <c r="AB865" t="s">
        <v>29</v>
      </c>
      <c r="AD865" s="20">
        <v>46012</v>
      </c>
    </row>
    <row r="866" spans="1:30">
      <c r="A866">
        <v>934</v>
      </c>
      <c r="B866" t="str">
        <f>_xlfn.XLOOKUP(A866,Z:Z,AB:AB,"not found")</f>
        <v>USD</v>
      </c>
      <c r="C866">
        <f>_xlfn.XLOOKUP(A866,Z:Z,AA:AA)-_xlfn.XLOOKUP(A866,Q:Q,R:R,"0")</f>
        <v>3688.57</v>
      </c>
      <c r="D866">
        <f>C866*_xlfn.XLOOKUP(B866,AG:AG,AH:AH)</f>
        <v>3172.1702</v>
      </c>
      <c r="E866">
        <f>C866*_xlfn.XLOOKUP(B866,AG:AG,AI:AI)</f>
        <v>3688.57</v>
      </c>
      <c r="F866">
        <v>3687.57</v>
      </c>
      <c r="G866">
        <f>F866*_xlfn.XLOOKUP(B866,AG:AG,AH:AH)</f>
        <v>3171.3101999999999</v>
      </c>
      <c r="H866">
        <f>F866*_xlfn.XLOOKUP(B866,AG:AG,AI:AI)</f>
        <v>3687.57</v>
      </c>
      <c r="I866">
        <f t="shared" si="67"/>
        <v>1</v>
      </c>
      <c r="J866">
        <f>I866*_xlfn.XLOOKUP(B866,AG:AG,AI:AI)</f>
        <v>1</v>
      </c>
      <c r="K866" s="7">
        <f>_xlfn.XLOOKUP(A866,Z:Z,AD:AD)</f>
        <v>46058</v>
      </c>
      <c r="L866" s="7">
        <f t="shared" si="64"/>
        <v>46028</v>
      </c>
      <c r="M866">
        <f t="shared" si="65"/>
        <v>1</v>
      </c>
      <c r="N866">
        <f t="shared" si="66"/>
        <v>2026</v>
      </c>
      <c r="W866" s="9">
        <v>648</v>
      </c>
      <c r="X866" s="9" t="s">
        <v>33</v>
      </c>
      <c r="Z866">
        <v>920</v>
      </c>
      <c r="AA866">
        <v>5067.5200000000004</v>
      </c>
      <c r="AB866" t="s">
        <v>29</v>
      </c>
      <c r="AD866" s="20">
        <v>45954</v>
      </c>
    </row>
    <row r="867" spans="1:30">
      <c r="A867">
        <v>936</v>
      </c>
      <c r="B867" t="str">
        <f>_xlfn.XLOOKUP(A867,Z:Z,AB:AB,"not found")</f>
        <v>EUR</v>
      </c>
      <c r="C867">
        <f>_xlfn.XLOOKUP(A867,Z:Z,AA:AA)-_xlfn.XLOOKUP(A867,Q:Q,R:R,"0")</f>
        <v>4652</v>
      </c>
      <c r="D867">
        <f>C867*_xlfn.XLOOKUP(B867,AG:AG,AH:AH)</f>
        <v>4652</v>
      </c>
      <c r="E867">
        <f>C867*_xlfn.XLOOKUP(B867,AG:AG,AI:AI)</f>
        <v>5396.32</v>
      </c>
      <c r="F867">
        <v>4652</v>
      </c>
      <c r="G867">
        <f>F867*_xlfn.XLOOKUP(B867,AG:AG,AH:AH)</f>
        <v>4652</v>
      </c>
      <c r="H867">
        <f>F867*_xlfn.XLOOKUP(B867,AG:AG,AI:AI)</f>
        <v>5396.32</v>
      </c>
      <c r="I867">
        <f t="shared" si="67"/>
        <v>0</v>
      </c>
      <c r="J867">
        <f>I867*_xlfn.XLOOKUP(B867,AG:AG,AI:AI)</f>
        <v>0</v>
      </c>
      <c r="K867" s="7">
        <f>_xlfn.XLOOKUP(A867,Z:Z,AD:AD)</f>
        <v>46281</v>
      </c>
      <c r="L867" s="7">
        <f t="shared" si="64"/>
        <v>46251</v>
      </c>
      <c r="M867">
        <f t="shared" si="65"/>
        <v>8</v>
      </c>
      <c r="N867">
        <f t="shared" si="66"/>
        <v>2026</v>
      </c>
      <c r="W867" s="9">
        <v>648</v>
      </c>
      <c r="X867" s="9" t="s">
        <v>33</v>
      </c>
      <c r="Z867">
        <v>921</v>
      </c>
      <c r="AA867">
        <v>2533.7600000000002</v>
      </c>
      <c r="AB867" t="s">
        <v>29</v>
      </c>
      <c r="AD867" s="20">
        <v>45954</v>
      </c>
    </row>
    <row r="868" spans="1:30">
      <c r="A868">
        <v>937</v>
      </c>
      <c r="B868" t="str">
        <f>_xlfn.XLOOKUP(A868,Z:Z,AB:AB,"not found")</f>
        <v>USD</v>
      </c>
      <c r="C868">
        <f>_xlfn.XLOOKUP(A868,Z:Z,AA:AA)-_xlfn.XLOOKUP(A868,Q:Q,R:R,"0")</f>
        <v>6251.4600000000009</v>
      </c>
      <c r="D868">
        <f>C868*_xlfn.XLOOKUP(B868,AG:AG,AH:AH)</f>
        <v>5376.2556000000004</v>
      </c>
      <c r="E868">
        <f>C868*_xlfn.XLOOKUP(B868,AG:AG,AI:AI)</f>
        <v>6251.4600000000009</v>
      </c>
      <c r="F868">
        <v>14695.29</v>
      </c>
      <c r="G868">
        <f>F868*_xlfn.XLOOKUP(B868,AG:AG,AH:AH)</f>
        <v>12637.949400000001</v>
      </c>
      <c r="H868">
        <f>F868*_xlfn.XLOOKUP(B868,AG:AG,AI:AI)</f>
        <v>14695.29</v>
      </c>
      <c r="I868">
        <f t="shared" si="67"/>
        <v>0</v>
      </c>
      <c r="J868">
        <f>I868*_xlfn.XLOOKUP(B868,AG:AG,AI:AI)</f>
        <v>0</v>
      </c>
      <c r="K868" s="7">
        <f>_xlfn.XLOOKUP(A868,Z:Z,AD:AD)</f>
        <v>46072</v>
      </c>
      <c r="L868" s="7">
        <f t="shared" ref="L868:L931" si="68">K868-30</f>
        <v>46042</v>
      </c>
      <c r="M868">
        <f t="shared" ref="M868:M931" si="69">MONTH(L868)</f>
        <v>1</v>
      </c>
      <c r="N868">
        <f t="shared" ref="N868:N931" si="70">YEAR(L868)</f>
        <v>2026</v>
      </c>
      <c r="W868" s="9">
        <v>648</v>
      </c>
      <c r="X868" s="9" t="s">
        <v>33</v>
      </c>
      <c r="Z868">
        <v>922</v>
      </c>
      <c r="AA868">
        <v>2403.5</v>
      </c>
      <c r="AB868" t="s">
        <v>27</v>
      </c>
      <c r="AD868" s="20">
        <v>45970</v>
      </c>
    </row>
    <row r="869" spans="1:30">
      <c r="A869">
        <v>938</v>
      </c>
      <c r="B869" t="str">
        <f>_xlfn.XLOOKUP(A869,Z:Z,AB:AB,"not found")</f>
        <v>USD</v>
      </c>
      <c r="C869">
        <f>_xlfn.XLOOKUP(A869,Z:Z,AA:AA)-_xlfn.XLOOKUP(A869,Q:Q,R:R,"0")</f>
        <v>45714.3</v>
      </c>
      <c r="D869">
        <f>C869*_xlfn.XLOOKUP(B869,AG:AG,AH:AH)</f>
        <v>39314.298000000003</v>
      </c>
      <c r="E869">
        <f>C869*_xlfn.XLOOKUP(B869,AG:AG,AI:AI)</f>
        <v>45714.3</v>
      </c>
      <c r="F869">
        <v>96328.3</v>
      </c>
      <c r="G869">
        <f>F869*_xlfn.XLOOKUP(B869,AG:AG,AH:AH)</f>
        <v>82842.338000000003</v>
      </c>
      <c r="H869">
        <f>F869*_xlfn.XLOOKUP(B869,AG:AG,AI:AI)</f>
        <v>96328.3</v>
      </c>
      <c r="I869">
        <f t="shared" si="67"/>
        <v>0</v>
      </c>
      <c r="J869">
        <f>I869*_xlfn.XLOOKUP(B869,AG:AG,AI:AI)</f>
        <v>0</v>
      </c>
      <c r="K869" s="7">
        <f>_xlfn.XLOOKUP(A869,Z:Z,AD:AD)</f>
        <v>46041</v>
      </c>
      <c r="L869" s="7">
        <f t="shared" si="68"/>
        <v>46011</v>
      </c>
      <c r="M869">
        <f t="shared" si="69"/>
        <v>12</v>
      </c>
      <c r="N869">
        <f t="shared" si="70"/>
        <v>2025</v>
      </c>
      <c r="W869" s="9">
        <v>648</v>
      </c>
      <c r="X869" s="9" t="s">
        <v>33</v>
      </c>
      <c r="Z869">
        <v>923</v>
      </c>
      <c r="AA869">
        <v>1039.5</v>
      </c>
      <c r="AB869" t="s">
        <v>27</v>
      </c>
      <c r="AD869" s="20">
        <v>45973</v>
      </c>
    </row>
    <row r="870" spans="1:30">
      <c r="A870">
        <v>939</v>
      </c>
      <c r="B870" t="str">
        <f>_xlfn.XLOOKUP(A870,Z:Z,AB:AB,"not found")</f>
        <v>MXN</v>
      </c>
      <c r="C870">
        <f>_xlfn.XLOOKUP(A870,Z:Z,AA:AA)-_xlfn.XLOOKUP(A870,Q:Q,R:R,"0")</f>
        <v>279447.28000000003</v>
      </c>
      <c r="D870">
        <f>C870*_xlfn.XLOOKUP(B870,AG:AG,AH:AH)</f>
        <v>13413.469440000001</v>
      </c>
      <c r="E870">
        <f>C870*_xlfn.XLOOKUP(B870,AG:AG,AI:AI)</f>
        <v>15649.047680000001</v>
      </c>
      <c r="F870">
        <v>279447.28000000003</v>
      </c>
      <c r="G870">
        <f>F870*_xlfn.XLOOKUP(B870,AG:AG,AH:AH)</f>
        <v>13413.469440000001</v>
      </c>
      <c r="H870">
        <f>F870*_xlfn.XLOOKUP(B870,AG:AG,AI:AI)</f>
        <v>15649.047680000001</v>
      </c>
      <c r="I870">
        <f t="shared" si="67"/>
        <v>0</v>
      </c>
      <c r="J870">
        <f>I870*_xlfn.XLOOKUP(B870,AG:AG,AI:AI)</f>
        <v>0</v>
      </c>
      <c r="K870" s="7">
        <f>_xlfn.XLOOKUP(A870,Z:Z,AD:AD)</f>
        <v>46099</v>
      </c>
      <c r="L870" s="7">
        <f t="shared" si="68"/>
        <v>46069</v>
      </c>
      <c r="M870">
        <f t="shared" si="69"/>
        <v>2</v>
      </c>
      <c r="N870">
        <f t="shared" si="70"/>
        <v>2026</v>
      </c>
      <c r="W870" s="9">
        <v>649</v>
      </c>
      <c r="X870" s="9" t="s">
        <v>29</v>
      </c>
      <c r="Z870">
        <v>924</v>
      </c>
      <c r="AA870">
        <v>60640.7</v>
      </c>
      <c r="AB870" t="s">
        <v>29</v>
      </c>
      <c r="AD870" s="20">
        <v>46120</v>
      </c>
    </row>
    <row r="871" spans="1:30">
      <c r="A871">
        <v>940</v>
      </c>
      <c r="B871" t="str">
        <f>_xlfn.XLOOKUP(A871,Z:Z,AB:AB,"not found")</f>
        <v>USD</v>
      </c>
      <c r="C871">
        <f>_xlfn.XLOOKUP(A871,Z:Z,AA:AA)-_xlfn.XLOOKUP(A871,Q:Q,R:R,"0")</f>
        <v>18938</v>
      </c>
      <c r="D871">
        <f>C871*_xlfn.XLOOKUP(B871,AG:AG,AH:AH)</f>
        <v>16286.68</v>
      </c>
      <c r="E871">
        <f>C871*_xlfn.XLOOKUP(B871,AG:AG,AI:AI)</f>
        <v>18938</v>
      </c>
      <c r="F871">
        <v>7616</v>
      </c>
      <c r="G871">
        <f>F871*_xlfn.XLOOKUP(B871,AG:AG,AH:AH)</f>
        <v>6549.76</v>
      </c>
      <c r="H871">
        <f>F871*_xlfn.XLOOKUP(B871,AG:AG,AI:AI)</f>
        <v>7616</v>
      </c>
      <c r="I871">
        <f t="shared" si="67"/>
        <v>11322</v>
      </c>
      <c r="J871">
        <f>I871*_xlfn.XLOOKUP(B871,AG:AG,AI:AI)</f>
        <v>11322</v>
      </c>
      <c r="K871" s="7">
        <f>_xlfn.XLOOKUP(A871,Z:Z,AD:AD)</f>
        <v>46096</v>
      </c>
      <c r="L871" s="7">
        <f t="shared" si="68"/>
        <v>46066</v>
      </c>
      <c r="M871">
        <f t="shared" si="69"/>
        <v>2</v>
      </c>
      <c r="N871">
        <f t="shared" si="70"/>
        <v>2026</v>
      </c>
      <c r="W871" s="9">
        <v>649</v>
      </c>
      <c r="X871" s="9" t="s">
        <v>29</v>
      </c>
      <c r="Z871">
        <v>925</v>
      </c>
      <c r="AA871">
        <v>136</v>
      </c>
      <c r="AB871" t="s">
        <v>27</v>
      </c>
      <c r="AD871" s="20">
        <v>45972</v>
      </c>
    </row>
    <row r="872" spans="1:30">
      <c r="A872">
        <v>941</v>
      </c>
      <c r="B872" t="str">
        <f>_xlfn.XLOOKUP(A872,Z:Z,AB:AB,"not found")</f>
        <v>USD</v>
      </c>
      <c r="C872">
        <f>_xlfn.XLOOKUP(A872,Z:Z,AA:AA)-_xlfn.XLOOKUP(A872,Q:Q,R:R,"0")</f>
        <v>0</v>
      </c>
      <c r="D872">
        <f>C872*_xlfn.XLOOKUP(B872,AG:AG,AH:AH)</f>
        <v>0</v>
      </c>
      <c r="E872">
        <f>C872*_xlfn.XLOOKUP(B872,AG:AG,AI:AI)</f>
        <v>0</v>
      </c>
      <c r="F872">
        <v>20200</v>
      </c>
      <c r="G872">
        <f>F872*_xlfn.XLOOKUP(B872,AG:AG,AH:AH)</f>
        <v>17372</v>
      </c>
      <c r="H872">
        <f>F872*_xlfn.XLOOKUP(B872,AG:AG,AI:AI)</f>
        <v>20200</v>
      </c>
      <c r="I872">
        <f t="shared" si="67"/>
        <v>0</v>
      </c>
      <c r="J872">
        <f>I872*_xlfn.XLOOKUP(B872,AG:AG,AI:AI)</f>
        <v>0</v>
      </c>
      <c r="K872" s="7">
        <f>_xlfn.XLOOKUP(A872,Z:Z,AD:AD)</f>
        <v>46019</v>
      </c>
      <c r="L872" s="7">
        <f t="shared" si="68"/>
        <v>45989</v>
      </c>
      <c r="M872">
        <f t="shared" si="69"/>
        <v>11</v>
      </c>
      <c r="N872">
        <f t="shared" si="70"/>
        <v>2025</v>
      </c>
      <c r="W872" s="9">
        <v>649</v>
      </c>
      <c r="X872" s="9" t="s">
        <v>29</v>
      </c>
      <c r="Z872">
        <v>926</v>
      </c>
      <c r="AA872">
        <v>1383.74</v>
      </c>
      <c r="AB872" t="s">
        <v>29</v>
      </c>
      <c r="AD872" s="20">
        <v>46005</v>
      </c>
    </row>
    <row r="873" spans="1:30">
      <c r="A873">
        <v>942</v>
      </c>
      <c r="B873" t="str">
        <f>_xlfn.XLOOKUP(A873,Z:Z,AB:AB,"not found")</f>
        <v>USD</v>
      </c>
      <c r="C873">
        <f>_xlfn.XLOOKUP(A873,Z:Z,AA:AA)-_xlfn.XLOOKUP(A873,Q:Q,R:R,"0")</f>
        <v>0</v>
      </c>
      <c r="D873">
        <f>C873*_xlfn.XLOOKUP(B873,AG:AG,AH:AH)</f>
        <v>0</v>
      </c>
      <c r="E873">
        <f>C873*_xlfn.XLOOKUP(B873,AG:AG,AI:AI)</f>
        <v>0</v>
      </c>
      <c r="F873">
        <v>1155.8900000000001</v>
      </c>
      <c r="G873">
        <f>F873*_xlfn.XLOOKUP(B873,AG:AG,AH:AH)</f>
        <v>994.06540000000007</v>
      </c>
      <c r="H873">
        <f>F873*_xlfn.XLOOKUP(B873,AG:AG,AI:AI)</f>
        <v>1155.8900000000001</v>
      </c>
      <c r="I873">
        <f t="shared" si="67"/>
        <v>0</v>
      </c>
      <c r="J873">
        <f>I873*_xlfn.XLOOKUP(B873,AG:AG,AI:AI)</f>
        <v>0</v>
      </c>
      <c r="K873" s="7">
        <f>_xlfn.XLOOKUP(A873,Z:Z,AD:AD)</f>
        <v>46011</v>
      </c>
      <c r="L873" s="7">
        <f t="shared" si="68"/>
        <v>45981</v>
      </c>
      <c r="M873">
        <f t="shared" si="69"/>
        <v>11</v>
      </c>
      <c r="N873">
        <f t="shared" si="70"/>
        <v>2025</v>
      </c>
      <c r="W873" s="9">
        <v>649</v>
      </c>
      <c r="X873" s="9" t="s">
        <v>29</v>
      </c>
      <c r="Z873">
        <v>927</v>
      </c>
      <c r="AA873">
        <v>2743.95</v>
      </c>
      <c r="AB873" t="s">
        <v>29</v>
      </c>
      <c r="AD873" s="20">
        <v>46012</v>
      </c>
    </row>
    <row r="874" spans="1:30">
      <c r="A874">
        <v>943</v>
      </c>
      <c r="B874" t="str">
        <f>_xlfn.XLOOKUP(A874,Z:Z,AB:AB,"not found")</f>
        <v>USD</v>
      </c>
      <c r="C874">
        <f>_xlfn.XLOOKUP(A874,Z:Z,AA:AA)-_xlfn.XLOOKUP(A874,Q:Q,R:R,"0")</f>
        <v>0</v>
      </c>
      <c r="D874">
        <f>C874*_xlfn.XLOOKUP(B874,AG:AG,AH:AH)</f>
        <v>0</v>
      </c>
      <c r="E874">
        <f>C874*_xlfn.XLOOKUP(B874,AG:AG,AI:AI)</f>
        <v>0</v>
      </c>
      <c r="F874">
        <v>1080</v>
      </c>
      <c r="G874">
        <f>F874*_xlfn.XLOOKUP(B874,AG:AG,AH:AH)</f>
        <v>928.8</v>
      </c>
      <c r="H874">
        <f>F874*_xlfn.XLOOKUP(B874,AG:AG,AI:AI)</f>
        <v>1080</v>
      </c>
      <c r="I874">
        <f t="shared" si="67"/>
        <v>0</v>
      </c>
      <c r="J874">
        <f>I874*_xlfn.XLOOKUP(B874,AG:AG,AI:AI)</f>
        <v>0</v>
      </c>
      <c r="K874" s="7">
        <f>_xlfn.XLOOKUP(A874,Z:Z,AD:AD)</f>
        <v>46011</v>
      </c>
      <c r="L874" s="7">
        <f t="shared" si="68"/>
        <v>45981</v>
      </c>
      <c r="M874">
        <f t="shared" si="69"/>
        <v>11</v>
      </c>
      <c r="N874">
        <f t="shared" si="70"/>
        <v>2025</v>
      </c>
      <c r="W874" s="9">
        <v>649</v>
      </c>
      <c r="X874" s="9" t="s">
        <v>29</v>
      </c>
      <c r="Z874">
        <v>928</v>
      </c>
      <c r="AA874">
        <v>28181</v>
      </c>
      <c r="AB874" t="s">
        <v>29</v>
      </c>
      <c r="AD874" s="20">
        <v>46204</v>
      </c>
    </row>
    <row r="875" spans="1:30">
      <c r="A875">
        <v>944</v>
      </c>
      <c r="B875" t="str">
        <f>_xlfn.XLOOKUP(A875,Z:Z,AB:AB,"not found")</f>
        <v>MXN</v>
      </c>
      <c r="C875">
        <f>_xlfn.XLOOKUP(A875,Z:Z,AA:AA)-_xlfn.XLOOKUP(A875,Q:Q,R:R,"0")</f>
        <v>0</v>
      </c>
      <c r="D875">
        <f>C875*_xlfn.XLOOKUP(B875,AG:AG,AH:AH)</f>
        <v>0</v>
      </c>
      <c r="E875">
        <f>C875*_xlfn.XLOOKUP(B875,AG:AG,AI:AI)</f>
        <v>0</v>
      </c>
      <c r="F875">
        <v>84200</v>
      </c>
      <c r="G875">
        <f>F875*_xlfn.XLOOKUP(B875,AG:AG,AH:AH)</f>
        <v>4041.6</v>
      </c>
      <c r="H875">
        <f>F875*_xlfn.XLOOKUP(B875,AG:AG,AI:AI)</f>
        <v>4715.2</v>
      </c>
      <c r="I875">
        <f t="shared" si="67"/>
        <v>0</v>
      </c>
      <c r="J875">
        <f>I875*_xlfn.XLOOKUP(B875,AG:AG,AI:AI)</f>
        <v>0</v>
      </c>
      <c r="K875" s="7">
        <f>_xlfn.XLOOKUP(A875,Z:Z,AD:AD)</f>
        <v>45974</v>
      </c>
      <c r="L875" s="7">
        <f t="shared" si="68"/>
        <v>45944</v>
      </c>
      <c r="M875">
        <f t="shared" si="69"/>
        <v>10</v>
      </c>
      <c r="N875">
        <f t="shared" si="70"/>
        <v>2025</v>
      </c>
      <c r="W875" s="9">
        <v>649</v>
      </c>
      <c r="X875" s="9" t="s">
        <v>29</v>
      </c>
      <c r="Z875">
        <v>929</v>
      </c>
      <c r="AA875">
        <v>12187.2</v>
      </c>
      <c r="AB875" t="s">
        <v>27</v>
      </c>
      <c r="AD875" s="20">
        <v>46066</v>
      </c>
    </row>
    <row r="876" spans="1:30">
      <c r="A876">
        <v>945</v>
      </c>
      <c r="B876" t="str">
        <f>_xlfn.XLOOKUP(A876,Z:Z,AB:AB,"not found")</f>
        <v>GBP</v>
      </c>
      <c r="C876">
        <f>_xlfn.XLOOKUP(A876,Z:Z,AA:AA)-_xlfn.XLOOKUP(A876,Q:Q,R:R,"0")</f>
        <v>0</v>
      </c>
      <c r="D876">
        <f>C876*_xlfn.XLOOKUP(B876,AG:AG,AH:AH)</f>
        <v>0</v>
      </c>
      <c r="E876">
        <f>C876*_xlfn.XLOOKUP(B876,AG:AG,AI:AI)</f>
        <v>0</v>
      </c>
      <c r="F876">
        <v>2308</v>
      </c>
      <c r="G876">
        <f>F876*_xlfn.XLOOKUP(B876,AG:AG,AH:AH)</f>
        <v>2654.2</v>
      </c>
      <c r="H876">
        <f>F876*_xlfn.XLOOKUP(B876,AG:AG,AI:AI)</f>
        <v>3092.7200000000003</v>
      </c>
      <c r="I876">
        <f t="shared" si="67"/>
        <v>0</v>
      </c>
      <c r="J876">
        <f>I876*_xlfn.XLOOKUP(B876,AG:AG,AI:AI)</f>
        <v>0</v>
      </c>
      <c r="K876" s="7">
        <f>_xlfn.XLOOKUP(A876,Z:Z,AD:AD)</f>
        <v>46009</v>
      </c>
      <c r="L876" s="7">
        <f t="shared" si="68"/>
        <v>45979</v>
      </c>
      <c r="M876">
        <f t="shared" si="69"/>
        <v>11</v>
      </c>
      <c r="N876">
        <f t="shared" si="70"/>
        <v>2025</v>
      </c>
      <c r="W876" s="9">
        <v>649</v>
      </c>
      <c r="X876" s="9" t="s">
        <v>29</v>
      </c>
      <c r="Z876">
        <v>930</v>
      </c>
      <c r="AA876">
        <v>3485</v>
      </c>
      <c r="AB876" t="s">
        <v>29</v>
      </c>
      <c r="AD876" s="20">
        <v>45912</v>
      </c>
    </row>
    <row r="877" spans="1:30">
      <c r="A877">
        <v>946</v>
      </c>
      <c r="B877" t="str">
        <f>_xlfn.XLOOKUP(A877,Z:Z,AB:AB,"not found")</f>
        <v>GBP</v>
      </c>
      <c r="C877">
        <f>_xlfn.XLOOKUP(A877,Z:Z,AA:AA)-_xlfn.XLOOKUP(A877,Q:Q,R:R,"0")</f>
        <v>0</v>
      </c>
      <c r="D877">
        <f>C877*_xlfn.XLOOKUP(B877,AG:AG,AH:AH)</f>
        <v>0</v>
      </c>
      <c r="E877">
        <f>C877*_xlfn.XLOOKUP(B877,AG:AG,AI:AI)</f>
        <v>0</v>
      </c>
      <c r="F877">
        <v>2464</v>
      </c>
      <c r="G877">
        <f>F877*_xlfn.XLOOKUP(B877,AG:AG,AH:AH)</f>
        <v>2833.6</v>
      </c>
      <c r="H877">
        <f>F877*_xlfn.XLOOKUP(B877,AG:AG,AI:AI)</f>
        <v>3301.76</v>
      </c>
      <c r="I877">
        <f t="shared" si="67"/>
        <v>0</v>
      </c>
      <c r="J877">
        <f>I877*_xlfn.XLOOKUP(B877,AG:AG,AI:AI)</f>
        <v>0</v>
      </c>
      <c r="K877" s="7">
        <f>_xlfn.XLOOKUP(A877,Z:Z,AD:AD)</f>
        <v>46009</v>
      </c>
      <c r="L877" s="7">
        <f t="shared" si="68"/>
        <v>45979</v>
      </c>
      <c r="M877">
        <f t="shared" si="69"/>
        <v>11</v>
      </c>
      <c r="N877">
        <f t="shared" si="70"/>
        <v>2025</v>
      </c>
      <c r="W877" s="9">
        <v>649</v>
      </c>
      <c r="X877" s="9" t="s">
        <v>29</v>
      </c>
      <c r="Z877">
        <v>931</v>
      </c>
      <c r="AA877">
        <v>16242</v>
      </c>
      <c r="AB877" t="s">
        <v>29</v>
      </c>
      <c r="AD877" s="20">
        <v>46096</v>
      </c>
    </row>
    <row r="878" spans="1:30">
      <c r="A878">
        <v>947</v>
      </c>
      <c r="B878" t="str">
        <f>_xlfn.XLOOKUP(A878,Z:Z,AB:AB,"not found")</f>
        <v>USD</v>
      </c>
      <c r="C878">
        <f>_xlfn.XLOOKUP(A878,Z:Z,AA:AA)-_xlfn.XLOOKUP(A878,Q:Q,R:R,"0")</f>
        <v>0</v>
      </c>
      <c r="D878">
        <f>C878*_xlfn.XLOOKUP(B878,AG:AG,AH:AH)</f>
        <v>0</v>
      </c>
      <c r="E878">
        <f>C878*_xlfn.XLOOKUP(B878,AG:AG,AI:AI)</f>
        <v>0</v>
      </c>
      <c r="F878">
        <v>142.08000000000001</v>
      </c>
      <c r="G878">
        <f>F878*_xlfn.XLOOKUP(B878,AG:AG,AH:AH)</f>
        <v>122.18880000000001</v>
      </c>
      <c r="H878">
        <f>F878*_xlfn.XLOOKUP(B878,AG:AG,AI:AI)</f>
        <v>142.08000000000001</v>
      </c>
      <c r="I878">
        <f t="shared" si="67"/>
        <v>0</v>
      </c>
      <c r="J878">
        <f>I878*_xlfn.XLOOKUP(B878,AG:AG,AI:AI)</f>
        <v>0</v>
      </c>
      <c r="K878" s="7">
        <f>_xlfn.XLOOKUP(A878,Z:Z,AD:AD)</f>
        <v>46018</v>
      </c>
      <c r="L878" s="7">
        <f t="shared" si="68"/>
        <v>45988</v>
      </c>
      <c r="M878">
        <f t="shared" si="69"/>
        <v>11</v>
      </c>
      <c r="N878">
        <f t="shared" si="70"/>
        <v>2025</v>
      </c>
      <c r="W878" s="9">
        <v>650</v>
      </c>
      <c r="X878" s="9" t="s">
        <v>27</v>
      </c>
      <c r="Z878">
        <v>932</v>
      </c>
      <c r="AA878">
        <v>289559.08</v>
      </c>
      <c r="AB878" t="s">
        <v>28</v>
      </c>
      <c r="AD878" s="20">
        <v>46096</v>
      </c>
    </row>
    <row r="879" spans="1:30">
      <c r="A879">
        <v>948</v>
      </c>
      <c r="B879" t="str">
        <f>_xlfn.XLOOKUP(A879,Z:Z,AB:AB,"not found")</f>
        <v>USD</v>
      </c>
      <c r="C879">
        <f>_xlfn.XLOOKUP(A879,Z:Z,AA:AA)-_xlfn.XLOOKUP(A879,Q:Q,R:R,"0")</f>
        <v>0</v>
      </c>
      <c r="D879">
        <f>C879*_xlfn.XLOOKUP(B879,AG:AG,AH:AH)</f>
        <v>0</v>
      </c>
      <c r="E879">
        <f>C879*_xlfn.XLOOKUP(B879,AG:AG,AI:AI)</f>
        <v>0</v>
      </c>
      <c r="F879">
        <v>3052</v>
      </c>
      <c r="G879">
        <f>F879*_xlfn.XLOOKUP(B879,AG:AG,AH:AH)</f>
        <v>2624.72</v>
      </c>
      <c r="H879">
        <f>F879*_xlfn.XLOOKUP(B879,AG:AG,AI:AI)</f>
        <v>3052</v>
      </c>
      <c r="I879">
        <f t="shared" si="67"/>
        <v>0</v>
      </c>
      <c r="J879">
        <f>I879*_xlfn.XLOOKUP(B879,AG:AG,AI:AI)</f>
        <v>0</v>
      </c>
      <c r="K879" s="7">
        <f>_xlfn.XLOOKUP(A879,Z:Z,AD:AD)</f>
        <v>45946</v>
      </c>
      <c r="L879" s="7">
        <f t="shared" si="68"/>
        <v>45916</v>
      </c>
      <c r="M879">
        <f t="shared" si="69"/>
        <v>9</v>
      </c>
      <c r="N879">
        <f t="shared" si="70"/>
        <v>2025</v>
      </c>
      <c r="W879" s="9">
        <v>651</v>
      </c>
      <c r="X879" s="9" t="s">
        <v>29</v>
      </c>
      <c r="Z879">
        <v>933</v>
      </c>
      <c r="AA879">
        <v>2218.46</v>
      </c>
      <c r="AB879" t="s">
        <v>29</v>
      </c>
      <c r="AD879" s="20">
        <v>46017</v>
      </c>
    </row>
    <row r="880" spans="1:30">
      <c r="A880">
        <v>949</v>
      </c>
      <c r="B880" t="str">
        <f>_xlfn.XLOOKUP(A880,Z:Z,AB:AB,"not found")</f>
        <v>USD</v>
      </c>
      <c r="C880">
        <f>_xlfn.XLOOKUP(A880,Z:Z,AA:AA)-_xlfn.XLOOKUP(A880,Q:Q,R:R,"0")</f>
        <v>0</v>
      </c>
      <c r="D880">
        <f>C880*_xlfn.XLOOKUP(B880,AG:AG,AH:AH)</f>
        <v>0</v>
      </c>
      <c r="E880">
        <f>C880*_xlfn.XLOOKUP(B880,AG:AG,AI:AI)</f>
        <v>0</v>
      </c>
      <c r="F880">
        <v>1685.86</v>
      </c>
      <c r="G880">
        <f>F880*_xlfn.XLOOKUP(B880,AG:AG,AH:AH)</f>
        <v>1449.8395999999998</v>
      </c>
      <c r="H880">
        <f>F880*_xlfn.XLOOKUP(B880,AG:AG,AI:AI)</f>
        <v>1685.86</v>
      </c>
      <c r="I880">
        <f t="shared" si="67"/>
        <v>0</v>
      </c>
      <c r="J880">
        <f>I880*_xlfn.XLOOKUP(B880,AG:AG,AI:AI)</f>
        <v>0</v>
      </c>
      <c r="K880" s="7">
        <f>_xlfn.XLOOKUP(A880,Z:Z,AD:AD)</f>
        <v>45997</v>
      </c>
      <c r="L880" s="7">
        <f t="shared" si="68"/>
        <v>45967</v>
      </c>
      <c r="M880">
        <f t="shared" si="69"/>
        <v>11</v>
      </c>
      <c r="N880">
        <f t="shared" si="70"/>
        <v>2025</v>
      </c>
      <c r="W880" s="9">
        <v>652</v>
      </c>
      <c r="X880" s="9" t="s">
        <v>27</v>
      </c>
      <c r="Z880">
        <v>934</v>
      </c>
      <c r="AA880">
        <v>3688.57</v>
      </c>
      <c r="AB880" t="s">
        <v>29</v>
      </c>
      <c r="AD880" s="20">
        <v>46058</v>
      </c>
    </row>
    <row r="881" spans="1:30">
      <c r="A881">
        <v>950</v>
      </c>
      <c r="B881" t="str">
        <f>_xlfn.XLOOKUP(A881,Z:Z,AB:AB,"not found")</f>
        <v>USD</v>
      </c>
      <c r="C881">
        <f>_xlfn.XLOOKUP(A881,Z:Z,AA:AA)-_xlfn.XLOOKUP(A881,Q:Q,R:R,"0")</f>
        <v>582.66</v>
      </c>
      <c r="D881">
        <f>C881*_xlfn.XLOOKUP(B881,AG:AG,AH:AH)</f>
        <v>501.08759999999995</v>
      </c>
      <c r="E881">
        <f>C881*_xlfn.XLOOKUP(B881,AG:AG,AI:AI)</f>
        <v>582.66</v>
      </c>
      <c r="F881">
        <v>582.66</v>
      </c>
      <c r="G881">
        <f>F881*_xlfn.XLOOKUP(B881,AG:AG,AH:AH)</f>
        <v>501.08759999999995</v>
      </c>
      <c r="H881">
        <f>F881*_xlfn.XLOOKUP(B881,AG:AG,AI:AI)</f>
        <v>582.66</v>
      </c>
      <c r="I881">
        <f t="shared" si="67"/>
        <v>0</v>
      </c>
      <c r="J881">
        <f>I881*_xlfn.XLOOKUP(B881,AG:AG,AI:AI)</f>
        <v>0</v>
      </c>
      <c r="K881" s="7">
        <f>_xlfn.XLOOKUP(A881,Z:Z,AD:AD)</f>
        <v>46026</v>
      </c>
      <c r="L881" s="7">
        <f t="shared" si="68"/>
        <v>45996</v>
      </c>
      <c r="M881">
        <f t="shared" si="69"/>
        <v>12</v>
      </c>
      <c r="N881">
        <f t="shared" si="70"/>
        <v>2025</v>
      </c>
      <c r="W881" s="9">
        <v>653</v>
      </c>
      <c r="X881" s="9" t="s">
        <v>29</v>
      </c>
      <c r="Z881">
        <v>936</v>
      </c>
      <c r="AA881">
        <v>4652</v>
      </c>
      <c r="AB881" t="s">
        <v>27</v>
      </c>
      <c r="AD881" s="20">
        <v>46281</v>
      </c>
    </row>
    <row r="882" spans="1:30">
      <c r="A882">
        <v>951</v>
      </c>
      <c r="B882" t="str">
        <f>_xlfn.XLOOKUP(A882,Z:Z,AB:AB,"not found")</f>
        <v>MXN</v>
      </c>
      <c r="C882">
        <f>_xlfn.XLOOKUP(A882,Z:Z,AA:AA)-_xlfn.XLOOKUP(A882,Q:Q,R:R,"0")</f>
        <v>176378.05</v>
      </c>
      <c r="D882">
        <f>C882*_xlfn.XLOOKUP(B882,AG:AG,AH:AH)</f>
        <v>8466.1463999999996</v>
      </c>
      <c r="E882">
        <f>C882*_xlfn.XLOOKUP(B882,AG:AG,AI:AI)</f>
        <v>9877.1707999999999</v>
      </c>
      <c r="F882">
        <v>171212.79999999999</v>
      </c>
      <c r="G882">
        <f>F882*_xlfn.XLOOKUP(B882,AG:AG,AH:AH)</f>
        <v>8218.2143999999989</v>
      </c>
      <c r="H882">
        <f>F882*_xlfn.XLOOKUP(B882,AG:AG,AI:AI)</f>
        <v>9587.9167999999991</v>
      </c>
      <c r="I882">
        <f t="shared" si="67"/>
        <v>5165.25</v>
      </c>
      <c r="J882">
        <f>I882*_xlfn.XLOOKUP(B882,AG:AG,AI:AI)</f>
        <v>289.25400000000002</v>
      </c>
      <c r="K882" s="7">
        <f>_xlfn.XLOOKUP(A882,Z:Z,AD:AD)</f>
        <v>46094</v>
      </c>
      <c r="L882" s="7">
        <f t="shared" si="68"/>
        <v>46064</v>
      </c>
      <c r="M882">
        <f t="shared" si="69"/>
        <v>2</v>
      </c>
      <c r="N882">
        <f t="shared" si="70"/>
        <v>2026</v>
      </c>
      <c r="W882" s="9">
        <v>654</v>
      </c>
      <c r="X882" s="9" t="s">
        <v>29</v>
      </c>
      <c r="Z882">
        <v>937</v>
      </c>
      <c r="AA882">
        <v>14695.29</v>
      </c>
      <c r="AB882" t="s">
        <v>29</v>
      </c>
      <c r="AD882" s="20">
        <v>46072</v>
      </c>
    </row>
    <row r="883" spans="1:30">
      <c r="A883">
        <v>952</v>
      </c>
      <c r="B883" t="str">
        <f>_xlfn.XLOOKUP(A883,Z:Z,AB:AB,"not found")</f>
        <v>USD</v>
      </c>
      <c r="C883">
        <f>_xlfn.XLOOKUP(A883,Z:Z,AA:AA)-_xlfn.XLOOKUP(A883,Q:Q,R:R,"0")</f>
        <v>-19678.03</v>
      </c>
      <c r="D883">
        <f>C883*_xlfn.XLOOKUP(B883,AG:AG,AH:AH)</f>
        <v>-16923.105799999998</v>
      </c>
      <c r="E883">
        <f>C883*_xlfn.XLOOKUP(B883,AG:AG,AI:AI)</f>
        <v>-19678.03</v>
      </c>
      <c r="F883">
        <v>10125.280000000001</v>
      </c>
      <c r="G883">
        <f>F883*_xlfn.XLOOKUP(B883,AG:AG,AH:AH)</f>
        <v>8707.7407999999996</v>
      </c>
      <c r="H883">
        <f>F883*_xlfn.XLOOKUP(B883,AG:AG,AI:AI)</f>
        <v>10125.280000000001</v>
      </c>
      <c r="I883">
        <f t="shared" si="67"/>
        <v>3984.6900000000023</v>
      </c>
      <c r="J883">
        <f>I883*_xlfn.XLOOKUP(B883,AG:AG,AI:AI)</f>
        <v>3984.6900000000023</v>
      </c>
      <c r="K883" s="7">
        <f>_xlfn.XLOOKUP(A883,Z:Z,AD:AD)</f>
        <v>46109</v>
      </c>
      <c r="L883" s="7">
        <f t="shared" si="68"/>
        <v>46079</v>
      </c>
      <c r="M883">
        <f t="shared" si="69"/>
        <v>2</v>
      </c>
      <c r="N883">
        <f t="shared" si="70"/>
        <v>2026</v>
      </c>
      <c r="W883" s="9">
        <v>655</v>
      </c>
      <c r="X883" s="9" t="s">
        <v>29</v>
      </c>
      <c r="Z883">
        <v>938</v>
      </c>
      <c r="AA883">
        <v>96328.3</v>
      </c>
      <c r="AB883" t="s">
        <v>29</v>
      </c>
      <c r="AD883" s="20">
        <v>46041</v>
      </c>
    </row>
    <row r="884" spans="1:30">
      <c r="A884">
        <v>953</v>
      </c>
      <c r="B884" t="str">
        <f>_xlfn.XLOOKUP(A884,Z:Z,AB:AB,"not found")</f>
        <v>USD</v>
      </c>
      <c r="C884">
        <f>_xlfn.XLOOKUP(A884,Z:Z,AA:AA)-_xlfn.XLOOKUP(A884,Q:Q,R:R,"0")</f>
        <v>0</v>
      </c>
      <c r="D884">
        <f>C884*_xlfn.XLOOKUP(B884,AG:AG,AH:AH)</f>
        <v>0</v>
      </c>
      <c r="E884">
        <f>C884*_xlfn.XLOOKUP(B884,AG:AG,AI:AI)</f>
        <v>0</v>
      </c>
      <c r="F884">
        <v>10472.799999999999</v>
      </c>
      <c r="G884">
        <f>F884*_xlfn.XLOOKUP(B884,AG:AG,AH:AH)</f>
        <v>9006.6079999999984</v>
      </c>
      <c r="H884">
        <f>F884*_xlfn.XLOOKUP(B884,AG:AG,AI:AI)</f>
        <v>10472.799999999999</v>
      </c>
      <c r="I884">
        <f t="shared" si="67"/>
        <v>0</v>
      </c>
      <c r="J884">
        <f>I884*_xlfn.XLOOKUP(B884,AG:AG,AI:AI)</f>
        <v>0</v>
      </c>
      <c r="K884" s="7">
        <f>_xlfn.XLOOKUP(A884,Z:Z,AD:AD)</f>
        <v>46029</v>
      </c>
      <c r="L884" s="7">
        <f t="shared" si="68"/>
        <v>45999</v>
      </c>
      <c r="M884">
        <f t="shared" si="69"/>
        <v>12</v>
      </c>
      <c r="N884">
        <f t="shared" si="70"/>
        <v>2025</v>
      </c>
      <c r="W884" s="9">
        <v>657</v>
      </c>
      <c r="X884" s="9" t="s">
        <v>29</v>
      </c>
      <c r="Z884">
        <v>939</v>
      </c>
      <c r="AA884">
        <v>279447.28000000003</v>
      </c>
      <c r="AB884" t="s">
        <v>28</v>
      </c>
      <c r="AD884" s="20">
        <v>46099</v>
      </c>
    </row>
    <row r="885" spans="1:30">
      <c r="A885">
        <v>954</v>
      </c>
      <c r="B885" t="str">
        <f>_xlfn.XLOOKUP(A885,Z:Z,AB:AB,"not found")</f>
        <v>USD</v>
      </c>
      <c r="C885">
        <f>_xlfn.XLOOKUP(A885,Z:Z,AA:AA)-_xlfn.XLOOKUP(A885,Q:Q,R:R,"0")</f>
        <v>2169.2199999999998</v>
      </c>
      <c r="D885">
        <f>C885*_xlfn.XLOOKUP(B885,AG:AG,AH:AH)</f>
        <v>1865.5291999999997</v>
      </c>
      <c r="E885">
        <f>C885*_xlfn.XLOOKUP(B885,AG:AG,AI:AI)</f>
        <v>2169.2199999999998</v>
      </c>
      <c r="F885">
        <v>1214.1199999999999</v>
      </c>
      <c r="G885">
        <f>F885*_xlfn.XLOOKUP(B885,AG:AG,AH:AH)</f>
        <v>1044.1432</v>
      </c>
      <c r="H885">
        <f>F885*_xlfn.XLOOKUP(B885,AG:AG,AI:AI)</f>
        <v>1214.1199999999999</v>
      </c>
      <c r="I885">
        <f t="shared" si="67"/>
        <v>955.09999999999991</v>
      </c>
      <c r="J885">
        <f>I885*_xlfn.XLOOKUP(B885,AG:AG,AI:AI)</f>
        <v>955.09999999999991</v>
      </c>
      <c r="K885" s="7">
        <f>_xlfn.XLOOKUP(A885,Z:Z,AD:AD)</f>
        <v>46098</v>
      </c>
      <c r="L885" s="7">
        <f t="shared" si="68"/>
        <v>46068</v>
      </c>
      <c r="M885">
        <f t="shared" si="69"/>
        <v>2</v>
      </c>
      <c r="N885">
        <f t="shared" si="70"/>
        <v>2026</v>
      </c>
      <c r="W885" s="9">
        <v>658</v>
      </c>
      <c r="X885" s="9" t="s">
        <v>28</v>
      </c>
      <c r="Z885">
        <v>940</v>
      </c>
      <c r="AA885">
        <v>18938</v>
      </c>
      <c r="AB885" t="s">
        <v>29</v>
      </c>
      <c r="AD885" s="20">
        <v>46096</v>
      </c>
    </row>
    <row r="886" spans="1:30">
      <c r="A886">
        <v>955</v>
      </c>
      <c r="B886" t="str">
        <f>_xlfn.XLOOKUP(A886,Z:Z,AB:AB,"not found")</f>
        <v>USD</v>
      </c>
      <c r="C886">
        <f>_xlfn.XLOOKUP(A886,Z:Z,AA:AA)-_xlfn.XLOOKUP(A886,Q:Q,R:R,"0")</f>
        <v>105825</v>
      </c>
      <c r="D886">
        <f>C886*_xlfn.XLOOKUP(B886,AG:AG,AH:AH)</f>
        <v>91009.5</v>
      </c>
      <c r="E886">
        <f>C886*_xlfn.XLOOKUP(B886,AG:AG,AI:AI)</f>
        <v>105825</v>
      </c>
      <c r="F886">
        <v>31747</v>
      </c>
      <c r="G886">
        <f>F886*_xlfn.XLOOKUP(B886,AG:AG,AH:AH)</f>
        <v>27302.42</v>
      </c>
      <c r="H886">
        <f>F886*_xlfn.XLOOKUP(B886,AG:AG,AI:AI)</f>
        <v>31747</v>
      </c>
      <c r="I886">
        <f t="shared" si="67"/>
        <v>74078</v>
      </c>
      <c r="J886">
        <f>I886*_xlfn.XLOOKUP(B886,AG:AG,AI:AI)</f>
        <v>74078</v>
      </c>
      <c r="K886" s="7">
        <f>_xlfn.XLOOKUP(A886,Z:Z,AD:AD)</f>
        <v>46280</v>
      </c>
      <c r="L886" s="7">
        <f t="shared" si="68"/>
        <v>46250</v>
      </c>
      <c r="M886">
        <f t="shared" si="69"/>
        <v>8</v>
      </c>
      <c r="N886">
        <f t="shared" si="70"/>
        <v>2026</v>
      </c>
      <c r="W886" s="9">
        <v>658</v>
      </c>
      <c r="X886" s="9" t="s">
        <v>28</v>
      </c>
      <c r="Z886">
        <v>941</v>
      </c>
      <c r="AA886">
        <v>20200</v>
      </c>
      <c r="AB886" t="s">
        <v>29</v>
      </c>
      <c r="AD886" s="20">
        <v>46019</v>
      </c>
    </row>
    <row r="887" spans="1:30">
      <c r="A887">
        <v>956</v>
      </c>
      <c r="B887" t="str">
        <f>_xlfn.XLOOKUP(A887,Z:Z,AB:AB,"not found")</f>
        <v>USD</v>
      </c>
      <c r="C887">
        <f>_xlfn.XLOOKUP(A887,Z:Z,AA:AA)-_xlfn.XLOOKUP(A887,Q:Q,R:R,"0")</f>
        <v>0</v>
      </c>
      <c r="D887">
        <f>C887*_xlfn.XLOOKUP(B887,AG:AG,AH:AH)</f>
        <v>0</v>
      </c>
      <c r="E887">
        <f>C887*_xlfn.XLOOKUP(B887,AG:AG,AI:AI)</f>
        <v>0</v>
      </c>
      <c r="F887">
        <v>63072</v>
      </c>
      <c r="G887">
        <f>F887*_xlfn.XLOOKUP(B887,AG:AG,AH:AH)</f>
        <v>54241.919999999998</v>
      </c>
      <c r="H887">
        <f>F887*_xlfn.XLOOKUP(B887,AG:AG,AI:AI)</f>
        <v>63072</v>
      </c>
      <c r="I887">
        <f t="shared" si="67"/>
        <v>0</v>
      </c>
      <c r="J887">
        <f>I887*_xlfn.XLOOKUP(B887,AG:AG,AI:AI)</f>
        <v>0</v>
      </c>
      <c r="K887" s="7">
        <f>_xlfn.XLOOKUP(A887,Z:Z,AD:AD)</f>
        <v>46009</v>
      </c>
      <c r="L887" s="7">
        <f t="shared" si="68"/>
        <v>45979</v>
      </c>
      <c r="M887">
        <f t="shared" si="69"/>
        <v>11</v>
      </c>
      <c r="N887">
        <f t="shared" si="70"/>
        <v>2025</v>
      </c>
      <c r="W887" s="9">
        <v>658</v>
      </c>
      <c r="X887" s="9" t="s">
        <v>28</v>
      </c>
      <c r="Z887">
        <v>942</v>
      </c>
      <c r="AA887">
        <v>1155.8900000000001</v>
      </c>
      <c r="AB887" t="s">
        <v>29</v>
      </c>
      <c r="AD887" s="20">
        <v>46011</v>
      </c>
    </row>
    <row r="888" spans="1:30">
      <c r="A888">
        <v>957</v>
      </c>
      <c r="B888" t="str">
        <f>_xlfn.XLOOKUP(A888,Z:Z,AB:AB,"not found")</f>
        <v>USD</v>
      </c>
      <c r="C888">
        <f>_xlfn.XLOOKUP(A888,Z:Z,AA:AA)-_xlfn.XLOOKUP(A888,Q:Q,R:R,"0")</f>
        <v>5836.88</v>
      </c>
      <c r="D888">
        <f>C888*_xlfn.XLOOKUP(B888,AG:AG,AH:AH)</f>
        <v>5019.7168000000001</v>
      </c>
      <c r="E888">
        <f>C888*_xlfn.XLOOKUP(B888,AG:AG,AI:AI)</f>
        <v>5836.88</v>
      </c>
      <c r="F888">
        <v>2836.88</v>
      </c>
      <c r="G888">
        <f>F888*_xlfn.XLOOKUP(B888,AG:AG,AH:AH)</f>
        <v>2439.7168000000001</v>
      </c>
      <c r="H888">
        <f>F888*_xlfn.XLOOKUP(B888,AG:AG,AI:AI)</f>
        <v>2836.88</v>
      </c>
      <c r="I888">
        <f t="shared" si="67"/>
        <v>3000</v>
      </c>
      <c r="J888">
        <f>I888*_xlfn.XLOOKUP(B888,AG:AG,AI:AI)</f>
        <v>3000</v>
      </c>
      <c r="K888" s="7">
        <f>_xlfn.XLOOKUP(A888,Z:Z,AD:AD)</f>
        <v>46045</v>
      </c>
      <c r="L888" s="7">
        <f t="shared" si="68"/>
        <v>46015</v>
      </c>
      <c r="M888">
        <f t="shared" si="69"/>
        <v>12</v>
      </c>
      <c r="N888">
        <f t="shared" si="70"/>
        <v>2025</v>
      </c>
      <c r="W888" s="9">
        <v>658</v>
      </c>
      <c r="X888" s="9" t="s">
        <v>28</v>
      </c>
      <c r="Z888">
        <v>943</v>
      </c>
      <c r="AA888">
        <v>1080</v>
      </c>
      <c r="AB888" t="s">
        <v>29</v>
      </c>
      <c r="AD888" s="20">
        <v>46011</v>
      </c>
    </row>
    <row r="889" spans="1:30">
      <c r="A889">
        <v>959</v>
      </c>
      <c r="B889" t="str">
        <f>_xlfn.XLOOKUP(A889,Z:Z,AB:AB,"not found")</f>
        <v>MXN</v>
      </c>
      <c r="C889">
        <f>_xlfn.XLOOKUP(A889,Z:Z,AA:AA)-_xlfn.XLOOKUP(A889,Q:Q,R:R,"0")</f>
        <v>29540</v>
      </c>
      <c r="D889">
        <f>C889*_xlfn.XLOOKUP(B889,AG:AG,AH:AH)</f>
        <v>1417.92</v>
      </c>
      <c r="E889">
        <f>C889*_xlfn.XLOOKUP(B889,AG:AG,AI:AI)</f>
        <v>1654.24</v>
      </c>
      <c r="F889">
        <v>29540</v>
      </c>
      <c r="G889">
        <f>F889*_xlfn.XLOOKUP(B889,AG:AG,AH:AH)</f>
        <v>1417.92</v>
      </c>
      <c r="H889">
        <f>F889*_xlfn.XLOOKUP(B889,AG:AG,AI:AI)</f>
        <v>1654.24</v>
      </c>
      <c r="I889">
        <f t="shared" si="67"/>
        <v>0</v>
      </c>
      <c r="J889">
        <f>I889*_xlfn.XLOOKUP(B889,AG:AG,AI:AI)</f>
        <v>0</v>
      </c>
      <c r="K889" s="7">
        <f>_xlfn.XLOOKUP(A889,Z:Z,AD:AD)</f>
        <v>46029</v>
      </c>
      <c r="L889" s="7">
        <f t="shared" si="68"/>
        <v>45999</v>
      </c>
      <c r="M889">
        <f t="shared" si="69"/>
        <v>12</v>
      </c>
      <c r="N889">
        <f t="shared" si="70"/>
        <v>2025</v>
      </c>
      <c r="W889" s="9">
        <v>658</v>
      </c>
      <c r="X889" s="9" t="s">
        <v>28</v>
      </c>
      <c r="Z889">
        <v>944</v>
      </c>
      <c r="AA889">
        <v>84200</v>
      </c>
      <c r="AB889" t="s">
        <v>28</v>
      </c>
      <c r="AD889" s="20">
        <v>45974</v>
      </c>
    </row>
    <row r="890" spans="1:30">
      <c r="A890">
        <v>960</v>
      </c>
      <c r="B890" t="str">
        <f>_xlfn.XLOOKUP(A890,Z:Z,AB:AB,"not found")</f>
        <v>USD</v>
      </c>
      <c r="C890">
        <f>_xlfn.XLOOKUP(A890,Z:Z,AA:AA)-_xlfn.XLOOKUP(A890,Q:Q,R:R,"0")</f>
        <v>2640</v>
      </c>
      <c r="D890">
        <f>C890*_xlfn.XLOOKUP(B890,AG:AG,AH:AH)</f>
        <v>2270.4</v>
      </c>
      <c r="E890">
        <f>C890*_xlfn.XLOOKUP(B890,AG:AG,AI:AI)</f>
        <v>2640</v>
      </c>
      <c r="F890">
        <v>2640</v>
      </c>
      <c r="G890">
        <f>F890*_xlfn.XLOOKUP(B890,AG:AG,AH:AH)</f>
        <v>2270.4</v>
      </c>
      <c r="H890">
        <f>F890*_xlfn.XLOOKUP(B890,AG:AG,AI:AI)</f>
        <v>2640</v>
      </c>
      <c r="I890">
        <f t="shared" si="67"/>
        <v>0</v>
      </c>
      <c r="J890">
        <f>I890*_xlfn.XLOOKUP(B890,AG:AG,AI:AI)</f>
        <v>0</v>
      </c>
      <c r="K890" s="7">
        <f>_xlfn.XLOOKUP(A890,Z:Z,AD:AD)</f>
        <v>46035</v>
      </c>
      <c r="L890" s="7">
        <f t="shared" si="68"/>
        <v>46005</v>
      </c>
      <c r="M890">
        <f t="shared" si="69"/>
        <v>12</v>
      </c>
      <c r="N890">
        <f t="shared" si="70"/>
        <v>2025</v>
      </c>
      <c r="W890" s="9">
        <v>658</v>
      </c>
      <c r="X890" s="9" t="s">
        <v>28</v>
      </c>
      <c r="Z890">
        <v>945</v>
      </c>
      <c r="AA890">
        <v>2308</v>
      </c>
      <c r="AB890" t="s">
        <v>31</v>
      </c>
      <c r="AD890" s="20">
        <v>46009</v>
      </c>
    </row>
    <row r="891" spans="1:30">
      <c r="A891">
        <v>961</v>
      </c>
      <c r="B891" t="str">
        <f>_xlfn.XLOOKUP(A891,Z:Z,AB:AB,"not found")</f>
        <v>USD</v>
      </c>
      <c r="C891">
        <f>_xlfn.XLOOKUP(A891,Z:Z,AA:AA)-_xlfn.XLOOKUP(A891,Q:Q,R:R,"0")</f>
        <v>1799.3999999999996</v>
      </c>
      <c r="D891">
        <f>C891*_xlfn.XLOOKUP(B891,AG:AG,AH:AH)</f>
        <v>1547.4839999999997</v>
      </c>
      <c r="E891">
        <f>C891*_xlfn.XLOOKUP(B891,AG:AG,AI:AI)</f>
        <v>1799.3999999999996</v>
      </c>
      <c r="F891">
        <v>13846.6</v>
      </c>
      <c r="G891">
        <f>F891*_xlfn.XLOOKUP(B891,AG:AG,AH:AH)</f>
        <v>11908.076000000001</v>
      </c>
      <c r="H891">
        <f>F891*_xlfn.XLOOKUP(B891,AG:AG,AI:AI)</f>
        <v>13846.6</v>
      </c>
      <c r="I891">
        <f t="shared" si="67"/>
        <v>0</v>
      </c>
      <c r="J891">
        <f>I891*_xlfn.XLOOKUP(B891,AG:AG,AI:AI)</f>
        <v>0</v>
      </c>
      <c r="K891" s="7">
        <f>_xlfn.XLOOKUP(A891,Z:Z,AD:AD)</f>
        <v>46279</v>
      </c>
      <c r="L891" s="7">
        <f t="shared" si="68"/>
        <v>46249</v>
      </c>
      <c r="M891">
        <f t="shared" si="69"/>
        <v>8</v>
      </c>
      <c r="N891">
        <f t="shared" si="70"/>
        <v>2026</v>
      </c>
      <c r="W891" s="9">
        <v>660</v>
      </c>
      <c r="X891" s="9" t="s">
        <v>29</v>
      </c>
      <c r="Z891">
        <v>946</v>
      </c>
      <c r="AA891">
        <v>2464</v>
      </c>
      <c r="AB891" t="s">
        <v>31</v>
      </c>
      <c r="AD891" s="20">
        <v>46009</v>
      </c>
    </row>
    <row r="892" spans="1:30">
      <c r="A892">
        <v>962</v>
      </c>
      <c r="B892" t="str">
        <f>_xlfn.XLOOKUP(A892,Z:Z,AB:AB,"not found")</f>
        <v>USD</v>
      </c>
      <c r="C892">
        <f>_xlfn.XLOOKUP(A892,Z:Z,AA:AA)-_xlfn.XLOOKUP(A892,Q:Q,R:R,"0")</f>
        <v>8535</v>
      </c>
      <c r="D892">
        <f>C892*_xlfn.XLOOKUP(B892,AG:AG,AH:AH)</f>
        <v>7340.0999999999995</v>
      </c>
      <c r="E892">
        <f>C892*_xlfn.XLOOKUP(B892,AG:AG,AI:AI)</f>
        <v>8535</v>
      </c>
      <c r="F892">
        <v>1707</v>
      </c>
      <c r="G892">
        <f>F892*_xlfn.XLOOKUP(B892,AG:AG,AH:AH)</f>
        <v>1468.02</v>
      </c>
      <c r="H892">
        <f>F892*_xlfn.XLOOKUP(B892,AG:AG,AI:AI)</f>
        <v>1707</v>
      </c>
      <c r="I892">
        <f t="shared" si="67"/>
        <v>8535</v>
      </c>
      <c r="J892">
        <f>I892*_xlfn.XLOOKUP(B892,AG:AG,AI:AI)</f>
        <v>8535</v>
      </c>
      <c r="K892" s="7">
        <f>_xlfn.XLOOKUP(A892,Z:Z,AD:AD)</f>
        <v>46028</v>
      </c>
      <c r="L892" s="7">
        <f t="shared" si="68"/>
        <v>45998</v>
      </c>
      <c r="M892">
        <f t="shared" si="69"/>
        <v>12</v>
      </c>
      <c r="N892">
        <f t="shared" si="70"/>
        <v>2025</v>
      </c>
      <c r="W892" s="9">
        <v>661</v>
      </c>
      <c r="X892" s="9" t="s">
        <v>28</v>
      </c>
      <c r="Z892">
        <v>947</v>
      </c>
      <c r="AA892">
        <v>142.08000000000001</v>
      </c>
      <c r="AB892" t="s">
        <v>29</v>
      </c>
      <c r="AD892" s="20">
        <v>46018</v>
      </c>
    </row>
    <row r="893" spans="1:30">
      <c r="A893">
        <v>963</v>
      </c>
      <c r="B893" t="str">
        <f>_xlfn.XLOOKUP(A893,Z:Z,AB:AB,"not found")</f>
        <v>USD</v>
      </c>
      <c r="C893">
        <f>_xlfn.XLOOKUP(A893,Z:Z,AA:AA)-_xlfn.XLOOKUP(A893,Q:Q,R:R,"0")</f>
        <v>0</v>
      </c>
      <c r="D893">
        <f>C893*_xlfn.XLOOKUP(B893,AG:AG,AH:AH)</f>
        <v>0</v>
      </c>
      <c r="E893">
        <f>C893*_xlfn.XLOOKUP(B893,AG:AG,AI:AI)</f>
        <v>0</v>
      </c>
      <c r="F893">
        <v>2595</v>
      </c>
      <c r="G893">
        <f>F893*_xlfn.XLOOKUP(B893,AG:AG,AH:AH)</f>
        <v>2231.6999999999998</v>
      </c>
      <c r="H893">
        <f>F893*_xlfn.XLOOKUP(B893,AG:AG,AI:AI)</f>
        <v>2595</v>
      </c>
      <c r="I893">
        <f t="shared" si="67"/>
        <v>0</v>
      </c>
      <c r="J893">
        <f>I893*_xlfn.XLOOKUP(B893,AG:AG,AI:AI)</f>
        <v>0</v>
      </c>
      <c r="K893" s="7">
        <f>_xlfn.XLOOKUP(A893,Z:Z,AD:AD)</f>
        <v>46044</v>
      </c>
      <c r="L893" s="7">
        <f t="shared" si="68"/>
        <v>46014</v>
      </c>
      <c r="M893">
        <f t="shared" si="69"/>
        <v>12</v>
      </c>
      <c r="N893">
        <f t="shared" si="70"/>
        <v>2025</v>
      </c>
      <c r="W893" s="9">
        <v>662</v>
      </c>
      <c r="X893" s="9" t="s">
        <v>28</v>
      </c>
      <c r="Z893">
        <v>948</v>
      </c>
      <c r="AA893">
        <v>3052</v>
      </c>
      <c r="AB893" t="s">
        <v>29</v>
      </c>
      <c r="AD893" s="20">
        <v>45946</v>
      </c>
    </row>
    <row r="894" spans="1:30">
      <c r="A894">
        <v>964</v>
      </c>
      <c r="B894" t="str">
        <f>_xlfn.XLOOKUP(A894,Z:Z,AB:AB,"not found")</f>
        <v>USD</v>
      </c>
      <c r="C894">
        <f>_xlfn.XLOOKUP(A894,Z:Z,AA:AA)-_xlfn.XLOOKUP(A894,Q:Q,R:R,"0")</f>
        <v>114262</v>
      </c>
      <c r="D894">
        <f>C894*_xlfn.XLOOKUP(B894,AG:AG,AH:AH)</f>
        <v>98265.319999999992</v>
      </c>
      <c r="E894">
        <f>C894*_xlfn.XLOOKUP(B894,AG:AG,AI:AI)</f>
        <v>114262</v>
      </c>
      <c r="F894">
        <v>75618</v>
      </c>
      <c r="G894">
        <f>F894*_xlfn.XLOOKUP(B894,AG:AG,AH:AH)</f>
        <v>65031.479999999996</v>
      </c>
      <c r="H894">
        <f>F894*_xlfn.XLOOKUP(B894,AG:AG,AI:AI)</f>
        <v>75618</v>
      </c>
      <c r="I894">
        <f t="shared" si="67"/>
        <v>114262</v>
      </c>
      <c r="J894">
        <f>I894*_xlfn.XLOOKUP(B894,AG:AG,AI:AI)</f>
        <v>114262</v>
      </c>
      <c r="K894" s="7">
        <f>_xlfn.XLOOKUP(A894,Z:Z,AD:AD)</f>
        <v>46179</v>
      </c>
      <c r="L894" s="7">
        <f t="shared" si="68"/>
        <v>46149</v>
      </c>
      <c r="M894">
        <f t="shared" si="69"/>
        <v>5</v>
      </c>
      <c r="N894">
        <f t="shared" si="70"/>
        <v>2026</v>
      </c>
      <c r="W894" s="9">
        <v>664</v>
      </c>
      <c r="X894" s="9" t="s">
        <v>29</v>
      </c>
      <c r="Z894">
        <v>949</v>
      </c>
      <c r="AA894">
        <v>1685.86</v>
      </c>
      <c r="AB894" t="s">
        <v>29</v>
      </c>
      <c r="AD894" s="20">
        <v>45997</v>
      </c>
    </row>
    <row r="895" spans="1:30">
      <c r="A895">
        <v>965</v>
      </c>
      <c r="B895" t="str">
        <f>_xlfn.XLOOKUP(A895,Z:Z,AB:AB,"not found")</f>
        <v>USD</v>
      </c>
      <c r="C895">
        <f>_xlfn.XLOOKUP(A895,Z:Z,AA:AA)-_xlfn.XLOOKUP(A895,Q:Q,R:R,"0")</f>
        <v>0</v>
      </c>
      <c r="D895">
        <f>C895*_xlfn.XLOOKUP(B895,AG:AG,AH:AH)</f>
        <v>0</v>
      </c>
      <c r="E895">
        <f>C895*_xlfn.XLOOKUP(B895,AG:AG,AI:AI)</f>
        <v>0</v>
      </c>
      <c r="F895">
        <v>2685</v>
      </c>
      <c r="G895">
        <f>F895*_xlfn.XLOOKUP(B895,AG:AG,AH:AH)</f>
        <v>2309.1</v>
      </c>
      <c r="H895">
        <f>F895*_xlfn.XLOOKUP(B895,AG:AG,AI:AI)</f>
        <v>2685</v>
      </c>
      <c r="I895">
        <f t="shared" si="67"/>
        <v>0</v>
      </c>
      <c r="J895">
        <f>I895*_xlfn.XLOOKUP(B895,AG:AG,AI:AI)</f>
        <v>0</v>
      </c>
      <c r="K895" s="7">
        <f>_xlfn.XLOOKUP(A895,Z:Z,AD:AD)</f>
        <v>46008</v>
      </c>
      <c r="L895" s="7">
        <f t="shared" si="68"/>
        <v>45978</v>
      </c>
      <c r="M895">
        <f t="shared" si="69"/>
        <v>11</v>
      </c>
      <c r="N895">
        <f t="shared" si="70"/>
        <v>2025</v>
      </c>
      <c r="W895" s="9">
        <v>665</v>
      </c>
      <c r="X895" s="9" t="s">
        <v>29</v>
      </c>
      <c r="Z895">
        <v>950</v>
      </c>
      <c r="AA895">
        <v>582.66</v>
      </c>
      <c r="AB895" t="s">
        <v>29</v>
      </c>
      <c r="AD895" s="20">
        <v>46026</v>
      </c>
    </row>
    <row r="896" spans="1:30">
      <c r="A896">
        <v>966</v>
      </c>
      <c r="B896" t="str">
        <f>_xlfn.XLOOKUP(A896,Z:Z,AB:AB,"not found")</f>
        <v>USD</v>
      </c>
      <c r="C896">
        <f>_xlfn.XLOOKUP(A896,Z:Z,AA:AA)-_xlfn.XLOOKUP(A896,Q:Q,R:R,"0")</f>
        <v>0</v>
      </c>
      <c r="D896">
        <f>C896*_xlfn.XLOOKUP(B896,AG:AG,AH:AH)</f>
        <v>0</v>
      </c>
      <c r="E896">
        <f>C896*_xlfn.XLOOKUP(B896,AG:AG,AI:AI)</f>
        <v>0</v>
      </c>
      <c r="F896">
        <v>4363</v>
      </c>
      <c r="G896">
        <f>F896*_xlfn.XLOOKUP(B896,AG:AG,AH:AH)</f>
        <v>3752.18</v>
      </c>
      <c r="H896">
        <f>F896*_xlfn.XLOOKUP(B896,AG:AG,AI:AI)</f>
        <v>4363</v>
      </c>
      <c r="I896">
        <f t="shared" si="67"/>
        <v>0</v>
      </c>
      <c r="J896">
        <f>I896*_xlfn.XLOOKUP(B896,AG:AG,AI:AI)</f>
        <v>0</v>
      </c>
      <c r="K896" s="7">
        <f>_xlfn.XLOOKUP(A896,Z:Z,AD:AD)</f>
        <v>45993</v>
      </c>
      <c r="L896" s="7">
        <f t="shared" si="68"/>
        <v>45963</v>
      </c>
      <c r="M896">
        <f t="shared" si="69"/>
        <v>11</v>
      </c>
      <c r="N896">
        <f t="shared" si="70"/>
        <v>2025</v>
      </c>
      <c r="W896" s="9">
        <v>665</v>
      </c>
      <c r="X896" s="9" t="s">
        <v>29</v>
      </c>
      <c r="Z896">
        <v>951</v>
      </c>
      <c r="AA896">
        <v>176378.05</v>
      </c>
      <c r="AB896" t="s">
        <v>28</v>
      </c>
      <c r="AD896" s="20">
        <v>46094</v>
      </c>
    </row>
    <row r="897" spans="1:30">
      <c r="A897">
        <v>968</v>
      </c>
      <c r="B897" t="str">
        <f>_xlfn.XLOOKUP(A897,Z:Z,AB:AB,"not found")</f>
        <v>USD</v>
      </c>
      <c r="C897">
        <f>_xlfn.XLOOKUP(A897,Z:Z,AA:AA)-_xlfn.XLOOKUP(A897,Q:Q,R:R,"0")</f>
        <v>25647.190000000002</v>
      </c>
      <c r="D897">
        <f>C897*_xlfn.XLOOKUP(B897,AG:AG,AH:AH)</f>
        <v>22056.583400000003</v>
      </c>
      <c r="E897">
        <f>C897*_xlfn.XLOOKUP(B897,AG:AG,AI:AI)</f>
        <v>25647.190000000002</v>
      </c>
      <c r="F897">
        <v>41379.339999999997</v>
      </c>
      <c r="G897">
        <f>F897*_xlfn.XLOOKUP(B897,AG:AG,AH:AH)</f>
        <v>35586.232399999994</v>
      </c>
      <c r="H897">
        <f>F897*_xlfn.XLOOKUP(B897,AG:AG,AI:AI)</f>
        <v>41379.339999999997</v>
      </c>
      <c r="I897">
        <f t="shared" si="67"/>
        <v>17554.570000000007</v>
      </c>
      <c r="J897">
        <f>I897*_xlfn.XLOOKUP(B897,AG:AG,AI:AI)</f>
        <v>17554.570000000007</v>
      </c>
      <c r="K897" s="7">
        <f>_xlfn.XLOOKUP(A897,Z:Z,AD:AD)</f>
        <v>46279</v>
      </c>
      <c r="L897" s="7">
        <f t="shared" si="68"/>
        <v>46249</v>
      </c>
      <c r="M897">
        <f t="shared" si="69"/>
        <v>8</v>
      </c>
      <c r="N897">
        <f t="shared" si="70"/>
        <v>2026</v>
      </c>
      <c r="W897" s="9">
        <v>667</v>
      </c>
      <c r="X897" s="9" t="s">
        <v>29</v>
      </c>
      <c r="Z897">
        <v>952</v>
      </c>
      <c r="AA897">
        <v>14109.97</v>
      </c>
      <c r="AB897" t="s">
        <v>29</v>
      </c>
      <c r="AD897" s="20">
        <v>46109</v>
      </c>
    </row>
    <row r="898" spans="1:30">
      <c r="A898">
        <v>969</v>
      </c>
      <c r="B898" t="str">
        <f>_xlfn.XLOOKUP(A898,Z:Z,AB:AB,"not found")</f>
        <v>USD</v>
      </c>
      <c r="C898">
        <f>_xlfn.XLOOKUP(A898,Z:Z,AA:AA)-_xlfn.XLOOKUP(A898,Q:Q,R:R,"0")</f>
        <v>4040</v>
      </c>
      <c r="D898">
        <f>C898*_xlfn.XLOOKUP(B898,AG:AG,AH:AH)</f>
        <v>3474.4</v>
      </c>
      <c r="E898">
        <f>C898*_xlfn.XLOOKUP(B898,AG:AG,AI:AI)</f>
        <v>4040</v>
      </c>
      <c r="F898">
        <v>3895.5</v>
      </c>
      <c r="G898">
        <f>F898*_xlfn.XLOOKUP(B898,AG:AG,AH:AH)</f>
        <v>3350.13</v>
      </c>
      <c r="H898">
        <f>F898*_xlfn.XLOOKUP(B898,AG:AG,AI:AI)</f>
        <v>3895.5</v>
      </c>
      <c r="I898">
        <f t="shared" si="67"/>
        <v>144.5</v>
      </c>
      <c r="J898">
        <f>I898*_xlfn.XLOOKUP(B898,AG:AG,AI:AI)</f>
        <v>144.5</v>
      </c>
      <c r="K898" s="7">
        <f>_xlfn.XLOOKUP(A898,Z:Z,AD:AD)</f>
        <v>46057</v>
      </c>
      <c r="L898" s="7">
        <f t="shared" si="68"/>
        <v>46027</v>
      </c>
      <c r="M898">
        <f t="shared" si="69"/>
        <v>1</v>
      </c>
      <c r="N898">
        <f t="shared" si="70"/>
        <v>2026</v>
      </c>
      <c r="W898" s="9">
        <v>668</v>
      </c>
      <c r="X898" s="9" t="s">
        <v>27</v>
      </c>
      <c r="Z898">
        <v>953</v>
      </c>
      <c r="AA898">
        <v>10472.799999999999</v>
      </c>
      <c r="AB898" t="s">
        <v>29</v>
      </c>
      <c r="AD898" s="20">
        <v>46029</v>
      </c>
    </row>
    <row r="899" spans="1:30">
      <c r="A899">
        <v>970</v>
      </c>
      <c r="B899" t="str">
        <f>_xlfn.XLOOKUP(A899,Z:Z,AB:AB,"not found")</f>
        <v>EUR</v>
      </c>
      <c r="C899">
        <f>_xlfn.XLOOKUP(A899,Z:Z,AA:AA)-_xlfn.XLOOKUP(A899,Q:Q,R:R,"0")</f>
        <v>0</v>
      </c>
      <c r="D899">
        <f>C899*_xlfn.XLOOKUP(B899,AG:AG,AH:AH)</f>
        <v>0</v>
      </c>
      <c r="E899">
        <f>C899*_xlfn.XLOOKUP(B899,AG:AG,AI:AI)</f>
        <v>0</v>
      </c>
      <c r="F899">
        <v>2320</v>
      </c>
      <c r="G899">
        <f>F899*_xlfn.XLOOKUP(B899,AG:AG,AH:AH)</f>
        <v>2320</v>
      </c>
      <c r="H899">
        <f>F899*_xlfn.XLOOKUP(B899,AG:AG,AI:AI)</f>
        <v>2691.2</v>
      </c>
      <c r="I899">
        <f t="shared" ref="I899:I962" si="71">C899-F899+_xlfn.XLOOKUP(A899,Q:Q,R:R,"0")</f>
        <v>0</v>
      </c>
      <c r="J899">
        <f>I899*_xlfn.XLOOKUP(B899,AG:AG,AI:AI)</f>
        <v>0</v>
      </c>
      <c r="K899" s="7">
        <f>_xlfn.XLOOKUP(A899,Z:Z,AD:AD)</f>
        <v>46001</v>
      </c>
      <c r="L899" s="7">
        <f t="shared" si="68"/>
        <v>45971</v>
      </c>
      <c r="M899">
        <f t="shared" si="69"/>
        <v>11</v>
      </c>
      <c r="N899">
        <f t="shared" si="70"/>
        <v>2025</v>
      </c>
      <c r="W899" s="9">
        <v>669</v>
      </c>
      <c r="X899" s="9" t="s">
        <v>29</v>
      </c>
      <c r="Z899">
        <v>954</v>
      </c>
      <c r="AA899">
        <v>2169.2199999999998</v>
      </c>
      <c r="AB899" t="s">
        <v>29</v>
      </c>
      <c r="AD899" s="20">
        <v>46098</v>
      </c>
    </row>
    <row r="900" spans="1:30">
      <c r="A900">
        <v>971</v>
      </c>
      <c r="B900" t="str">
        <f>_xlfn.XLOOKUP(A900,Z:Z,AB:AB,"not found")</f>
        <v>MXN</v>
      </c>
      <c r="C900">
        <f>_xlfn.XLOOKUP(A900,Z:Z,AA:AA)-_xlfn.XLOOKUP(A900,Q:Q,R:R,"0")</f>
        <v>0</v>
      </c>
      <c r="D900">
        <f>C900*_xlfn.XLOOKUP(B900,AG:AG,AH:AH)</f>
        <v>0</v>
      </c>
      <c r="E900">
        <f>C900*_xlfn.XLOOKUP(B900,AG:AG,AI:AI)</f>
        <v>0</v>
      </c>
      <c r="F900">
        <v>90124.479999999996</v>
      </c>
      <c r="G900">
        <f>F900*_xlfn.XLOOKUP(B900,AG:AG,AH:AH)</f>
        <v>4325.9750400000003</v>
      </c>
      <c r="H900">
        <f>F900*_xlfn.XLOOKUP(B900,AG:AG,AI:AI)</f>
        <v>5046.9708799999999</v>
      </c>
      <c r="I900">
        <f t="shared" si="71"/>
        <v>0</v>
      </c>
      <c r="J900">
        <f>I900*_xlfn.XLOOKUP(B900,AG:AG,AI:AI)</f>
        <v>0</v>
      </c>
      <c r="K900" s="7">
        <f>_xlfn.XLOOKUP(A900,Z:Z,AD:AD)</f>
        <v>45990</v>
      </c>
      <c r="L900" s="7">
        <f t="shared" si="68"/>
        <v>45960</v>
      </c>
      <c r="M900">
        <f t="shared" si="69"/>
        <v>10</v>
      </c>
      <c r="N900">
        <f t="shared" si="70"/>
        <v>2025</v>
      </c>
      <c r="W900" s="9">
        <v>670</v>
      </c>
      <c r="X900" s="9" t="s">
        <v>29</v>
      </c>
      <c r="Z900">
        <v>955</v>
      </c>
      <c r="AA900">
        <v>105825</v>
      </c>
      <c r="AB900" t="s">
        <v>29</v>
      </c>
      <c r="AD900" s="20">
        <v>46280</v>
      </c>
    </row>
    <row r="901" spans="1:30">
      <c r="A901">
        <v>972</v>
      </c>
      <c r="B901" t="str">
        <f>_xlfn.XLOOKUP(A901,Z:Z,AB:AB,"not found")</f>
        <v>GBP</v>
      </c>
      <c r="C901">
        <f>_xlfn.XLOOKUP(A901,Z:Z,AA:AA)-_xlfn.XLOOKUP(A901,Q:Q,R:R,"0")</f>
        <v>0</v>
      </c>
      <c r="D901">
        <f>C901*_xlfn.XLOOKUP(B901,AG:AG,AH:AH)</f>
        <v>0</v>
      </c>
      <c r="E901">
        <f>C901*_xlfn.XLOOKUP(B901,AG:AG,AI:AI)</f>
        <v>0</v>
      </c>
      <c r="F901">
        <v>2040</v>
      </c>
      <c r="G901">
        <f>F901*_xlfn.XLOOKUP(B901,AG:AG,AH:AH)</f>
        <v>2346</v>
      </c>
      <c r="H901">
        <f>F901*_xlfn.XLOOKUP(B901,AG:AG,AI:AI)</f>
        <v>2733.6000000000004</v>
      </c>
      <c r="I901">
        <f t="shared" si="71"/>
        <v>0</v>
      </c>
      <c r="J901">
        <f>I901*_xlfn.XLOOKUP(B901,AG:AG,AI:AI)</f>
        <v>0</v>
      </c>
      <c r="K901" s="7">
        <f>_xlfn.XLOOKUP(A901,Z:Z,AD:AD)</f>
        <v>46043</v>
      </c>
      <c r="L901" s="7">
        <f t="shared" si="68"/>
        <v>46013</v>
      </c>
      <c r="M901">
        <f t="shared" si="69"/>
        <v>12</v>
      </c>
      <c r="N901">
        <f t="shared" si="70"/>
        <v>2025</v>
      </c>
      <c r="W901" s="9">
        <v>671</v>
      </c>
      <c r="X901" s="9" t="s">
        <v>29</v>
      </c>
      <c r="Z901">
        <v>956</v>
      </c>
      <c r="AA901">
        <v>63072</v>
      </c>
      <c r="AB901" t="s">
        <v>29</v>
      </c>
      <c r="AD901" s="20">
        <v>46009</v>
      </c>
    </row>
    <row r="902" spans="1:30">
      <c r="A902">
        <v>974</v>
      </c>
      <c r="B902" t="str">
        <f>_xlfn.XLOOKUP(A902,Z:Z,AB:AB,"not found")</f>
        <v>EUR</v>
      </c>
      <c r="C902">
        <f>_xlfn.XLOOKUP(A902,Z:Z,AA:AA)-_xlfn.XLOOKUP(A902,Q:Q,R:R,"0")</f>
        <v>95200</v>
      </c>
      <c r="D902">
        <f>C902*_xlfn.XLOOKUP(B902,AG:AG,AH:AH)</f>
        <v>95200</v>
      </c>
      <c r="E902">
        <f>C902*_xlfn.XLOOKUP(B902,AG:AG,AI:AI)</f>
        <v>110431.99999999999</v>
      </c>
      <c r="F902">
        <v>47600</v>
      </c>
      <c r="G902">
        <f>F902*_xlfn.XLOOKUP(B902,AG:AG,AH:AH)</f>
        <v>47600</v>
      </c>
      <c r="H902">
        <f>F902*_xlfn.XLOOKUP(B902,AG:AG,AI:AI)</f>
        <v>55215.999999999993</v>
      </c>
      <c r="I902">
        <f t="shared" si="71"/>
        <v>47600</v>
      </c>
      <c r="J902">
        <f>I902*_xlfn.XLOOKUP(B902,AG:AG,AI:AI)</f>
        <v>55215.999999999993</v>
      </c>
      <c r="K902" s="7">
        <f>_xlfn.XLOOKUP(A902,Z:Z,AD:AD)</f>
        <v>46221</v>
      </c>
      <c r="L902" s="7">
        <f t="shared" si="68"/>
        <v>46191</v>
      </c>
      <c r="M902">
        <f t="shared" si="69"/>
        <v>6</v>
      </c>
      <c r="N902">
        <f t="shared" si="70"/>
        <v>2026</v>
      </c>
      <c r="W902" s="9">
        <v>672</v>
      </c>
      <c r="X902" s="9" t="s">
        <v>27</v>
      </c>
      <c r="Z902">
        <v>957</v>
      </c>
      <c r="AA902">
        <v>5836.88</v>
      </c>
      <c r="AB902" t="s">
        <v>29</v>
      </c>
      <c r="AD902" s="20">
        <v>46045</v>
      </c>
    </row>
    <row r="903" spans="1:30">
      <c r="A903">
        <v>975</v>
      </c>
      <c r="B903" t="str">
        <f>_xlfn.XLOOKUP(A903,Z:Z,AB:AB,"not found")</f>
        <v>MXN</v>
      </c>
      <c r="C903">
        <f>_xlfn.XLOOKUP(A903,Z:Z,AA:AA)-_xlfn.XLOOKUP(A903,Q:Q,R:R,"0")</f>
        <v>0</v>
      </c>
      <c r="D903">
        <f>C903*_xlfn.XLOOKUP(B903,AG:AG,AH:AH)</f>
        <v>0</v>
      </c>
      <c r="E903">
        <f>C903*_xlfn.XLOOKUP(B903,AG:AG,AI:AI)</f>
        <v>0</v>
      </c>
      <c r="F903">
        <v>11920.39</v>
      </c>
      <c r="G903">
        <f>F903*_xlfn.XLOOKUP(B903,AG:AG,AH:AH)</f>
        <v>572.17872</v>
      </c>
      <c r="H903">
        <f>F903*_xlfn.XLOOKUP(B903,AG:AG,AI:AI)</f>
        <v>667.54183999999998</v>
      </c>
      <c r="I903">
        <f t="shared" si="71"/>
        <v>0</v>
      </c>
      <c r="J903">
        <f>I903*_xlfn.XLOOKUP(B903,AG:AG,AI:AI)</f>
        <v>0</v>
      </c>
      <c r="K903" s="7">
        <f>_xlfn.XLOOKUP(A903,Z:Z,AD:AD)</f>
        <v>46032</v>
      </c>
      <c r="L903" s="7">
        <f t="shared" si="68"/>
        <v>46002</v>
      </c>
      <c r="M903">
        <f t="shared" si="69"/>
        <v>12</v>
      </c>
      <c r="N903">
        <f t="shared" si="70"/>
        <v>2025</v>
      </c>
      <c r="W903" s="9">
        <v>672</v>
      </c>
      <c r="X903" s="9" t="s">
        <v>27</v>
      </c>
      <c r="Z903">
        <v>959</v>
      </c>
      <c r="AA903">
        <v>29540</v>
      </c>
      <c r="AB903" t="s">
        <v>28</v>
      </c>
      <c r="AD903" s="20">
        <v>46029</v>
      </c>
    </row>
    <row r="904" spans="1:30">
      <c r="A904">
        <v>976</v>
      </c>
      <c r="B904" t="str">
        <f>_xlfn.XLOOKUP(A904,Z:Z,AB:AB,"not found")</f>
        <v>EUR</v>
      </c>
      <c r="C904">
        <f>_xlfn.XLOOKUP(A904,Z:Z,AA:AA)-_xlfn.XLOOKUP(A904,Q:Q,R:R,"0")</f>
        <v>38202</v>
      </c>
      <c r="D904">
        <f>C904*_xlfn.XLOOKUP(B904,AG:AG,AH:AH)</f>
        <v>38202</v>
      </c>
      <c r="E904">
        <f>C904*_xlfn.XLOOKUP(B904,AG:AG,AI:AI)</f>
        <v>44314.32</v>
      </c>
      <c r="F904">
        <v>9484.2000000000007</v>
      </c>
      <c r="G904">
        <f>F904*_xlfn.XLOOKUP(B904,AG:AG,AH:AH)</f>
        <v>9484.2000000000007</v>
      </c>
      <c r="H904">
        <f>F904*_xlfn.XLOOKUP(B904,AG:AG,AI:AI)</f>
        <v>11001.672</v>
      </c>
      <c r="I904">
        <f t="shared" si="71"/>
        <v>28717.8</v>
      </c>
      <c r="J904">
        <f>I904*_xlfn.XLOOKUP(B904,AG:AG,AI:AI)</f>
        <v>33312.647999999994</v>
      </c>
      <c r="K904" s="7">
        <f>_xlfn.XLOOKUP(A904,Z:Z,AD:AD)</f>
        <v>46179</v>
      </c>
      <c r="L904" s="7">
        <f t="shared" si="68"/>
        <v>46149</v>
      </c>
      <c r="M904">
        <f t="shared" si="69"/>
        <v>5</v>
      </c>
      <c r="N904">
        <f t="shared" si="70"/>
        <v>2026</v>
      </c>
      <c r="W904" s="9">
        <v>672</v>
      </c>
      <c r="X904" s="9" t="s">
        <v>27</v>
      </c>
      <c r="Z904">
        <v>960</v>
      </c>
      <c r="AA904">
        <v>2640</v>
      </c>
      <c r="AB904" t="s">
        <v>29</v>
      </c>
      <c r="AD904" s="20">
        <v>46035</v>
      </c>
    </row>
    <row r="905" spans="1:30">
      <c r="A905">
        <v>978</v>
      </c>
      <c r="B905" t="str">
        <f>_xlfn.XLOOKUP(A905,Z:Z,AB:AB,"not found")</f>
        <v>MXN</v>
      </c>
      <c r="C905">
        <f>_xlfn.XLOOKUP(A905,Z:Z,AA:AA)-_xlfn.XLOOKUP(A905,Q:Q,R:R,"0")</f>
        <v>46833</v>
      </c>
      <c r="D905">
        <f>C905*_xlfn.XLOOKUP(B905,AG:AG,AH:AH)</f>
        <v>2247.9839999999999</v>
      </c>
      <c r="E905">
        <f>C905*_xlfn.XLOOKUP(B905,AG:AG,AI:AI)</f>
        <v>2622.6480000000001</v>
      </c>
      <c r="F905">
        <v>46833</v>
      </c>
      <c r="G905">
        <f>F905*_xlfn.XLOOKUP(B905,AG:AG,AH:AH)</f>
        <v>2247.9839999999999</v>
      </c>
      <c r="H905">
        <f>F905*_xlfn.XLOOKUP(B905,AG:AG,AI:AI)</f>
        <v>2622.6480000000001</v>
      </c>
      <c r="I905">
        <f t="shared" si="71"/>
        <v>0</v>
      </c>
      <c r="J905">
        <f>I905*_xlfn.XLOOKUP(B905,AG:AG,AI:AI)</f>
        <v>0</v>
      </c>
      <c r="K905" s="7">
        <f>_xlfn.XLOOKUP(A905,Z:Z,AD:AD)</f>
        <v>46058</v>
      </c>
      <c r="L905" s="7">
        <f t="shared" si="68"/>
        <v>46028</v>
      </c>
      <c r="M905">
        <f t="shared" si="69"/>
        <v>1</v>
      </c>
      <c r="N905">
        <f t="shared" si="70"/>
        <v>2026</v>
      </c>
      <c r="W905" s="9">
        <v>672</v>
      </c>
      <c r="X905" s="9" t="s">
        <v>27</v>
      </c>
      <c r="Z905">
        <v>961</v>
      </c>
      <c r="AA905">
        <v>13846.6</v>
      </c>
      <c r="AB905" t="s">
        <v>29</v>
      </c>
      <c r="AD905" s="20">
        <v>46279</v>
      </c>
    </row>
    <row r="906" spans="1:30">
      <c r="A906">
        <v>979</v>
      </c>
      <c r="B906" t="str">
        <f>_xlfn.XLOOKUP(A906,Z:Z,AB:AB,"not found")</f>
        <v>USD</v>
      </c>
      <c r="C906">
        <f>_xlfn.XLOOKUP(A906,Z:Z,AA:AA)-_xlfn.XLOOKUP(A906,Q:Q,R:R,"0")</f>
        <v>0</v>
      </c>
      <c r="D906">
        <f>C906*_xlfn.XLOOKUP(B906,AG:AG,AH:AH)</f>
        <v>0</v>
      </c>
      <c r="E906">
        <f>C906*_xlfn.XLOOKUP(B906,AG:AG,AI:AI)</f>
        <v>0</v>
      </c>
      <c r="F906">
        <v>2523</v>
      </c>
      <c r="G906">
        <f>F906*_xlfn.XLOOKUP(B906,AG:AG,AH:AH)</f>
        <v>2169.7799999999997</v>
      </c>
      <c r="H906">
        <f>F906*_xlfn.XLOOKUP(B906,AG:AG,AI:AI)</f>
        <v>2523</v>
      </c>
      <c r="I906">
        <f t="shared" si="71"/>
        <v>0</v>
      </c>
      <c r="J906">
        <f>I906*_xlfn.XLOOKUP(B906,AG:AG,AI:AI)</f>
        <v>0</v>
      </c>
      <c r="K906" s="7">
        <f>_xlfn.XLOOKUP(A906,Z:Z,AD:AD)</f>
        <v>46000</v>
      </c>
      <c r="L906" s="7">
        <f t="shared" si="68"/>
        <v>45970</v>
      </c>
      <c r="M906">
        <f t="shared" si="69"/>
        <v>11</v>
      </c>
      <c r="N906">
        <f t="shared" si="70"/>
        <v>2025</v>
      </c>
      <c r="W906" s="9">
        <v>672</v>
      </c>
      <c r="X906" s="9" t="s">
        <v>27</v>
      </c>
      <c r="Z906">
        <v>962</v>
      </c>
      <c r="AA906">
        <v>10242</v>
      </c>
      <c r="AB906" t="s">
        <v>29</v>
      </c>
      <c r="AD906" s="20">
        <v>46028</v>
      </c>
    </row>
    <row r="907" spans="1:30">
      <c r="A907">
        <v>980</v>
      </c>
      <c r="B907" t="str">
        <f>_xlfn.XLOOKUP(A907,Z:Z,AB:AB,"not found")</f>
        <v>USD</v>
      </c>
      <c r="C907">
        <f>_xlfn.XLOOKUP(A907,Z:Z,AA:AA)-_xlfn.XLOOKUP(A907,Q:Q,R:R,"0")</f>
        <v>0</v>
      </c>
      <c r="D907">
        <f>C907*_xlfn.XLOOKUP(B907,AG:AG,AH:AH)</f>
        <v>0</v>
      </c>
      <c r="E907">
        <f>C907*_xlfn.XLOOKUP(B907,AG:AG,AI:AI)</f>
        <v>0</v>
      </c>
      <c r="F907">
        <v>6766</v>
      </c>
      <c r="G907">
        <f>F907*_xlfn.XLOOKUP(B907,AG:AG,AH:AH)</f>
        <v>5818.76</v>
      </c>
      <c r="H907">
        <f>F907*_xlfn.XLOOKUP(B907,AG:AG,AI:AI)</f>
        <v>6766</v>
      </c>
      <c r="I907">
        <f t="shared" si="71"/>
        <v>0</v>
      </c>
      <c r="J907">
        <f>I907*_xlfn.XLOOKUP(B907,AG:AG,AI:AI)</f>
        <v>0</v>
      </c>
      <c r="K907" s="7">
        <f>_xlfn.XLOOKUP(A907,Z:Z,AD:AD)</f>
        <v>46021</v>
      </c>
      <c r="L907" s="7">
        <f t="shared" si="68"/>
        <v>45991</v>
      </c>
      <c r="M907">
        <f t="shared" si="69"/>
        <v>11</v>
      </c>
      <c r="N907">
        <f t="shared" si="70"/>
        <v>2025</v>
      </c>
      <c r="W907" s="9">
        <v>672</v>
      </c>
      <c r="X907" s="9" t="s">
        <v>27</v>
      </c>
      <c r="Z907">
        <v>963</v>
      </c>
      <c r="AA907">
        <v>2595</v>
      </c>
      <c r="AB907" t="s">
        <v>29</v>
      </c>
      <c r="AD907" s="20">
        <v>46044</v>
      </c>
    </row>
    <row r="908" spans="1:30">
      <c r="A908">
        <v>982</v>
      </c>
      <c r="B908" t="str">
        <f>_xlfn.XLOOKUP(A908,Z:Z,AB:AB,"not found")</f>
        <v>USD</v>
      </c>
      <c r="C908">
        <f>_xlfn.XLOOKUP(A908,Z:Z,AA:AA)-_xlfn.XLOOKUP(A908,Q:Q,R:R,"0")</f>
        <v>2707</v>
      </c>
      <c r="D908">
        <f>C908*_xlfn.XLOOKUP(B908,AG:AG,AH:AH)</f>
        <v>2328.02</v>
      </c>
      <c r="E908">
        <f>C908*_xlfn.XLOOKUP(B908,AG:AG,AI:AI)</f>
        <v>2707</v>
      </c>
      <c r="F908">
        <v>2707</v>
      </c>
      <c r="G908">
        <f>F908*_xlfn.XLOOKUP(B908,AG:AG,AH:AH)</f>
        <v>2328.02</v>
      </c>
      <c r="H908">
        <f>F908*_xlfn.XLOOKUP(B908,AG:AG,AI:AI)</f>
        <v>2707</v>
      </c>
      <c r="I908">
        <f t="shared" si="71"/>
        <v>0</v>
      </c>
      <c r="J908">
        <f>I908*_xlfn.XLOOKUP(B908,AG:AG,AI:AI)</f>
        <v>0</v>
      </c>
      <c r="K908" s="7">
        <f>_xlfn.XLOOKUP(A908,Z:Z,AD:AD)</f>
        <v>46055</v>
      </c>
      <c r="L908" s="7">
        <f t="shared" si="68"/>
        <v>46025</v>
      </c>
      <c r="M908">
        <f t="shared" si="69"/>
        <v>1</v>
      </c>
      <c r="N908">
        <f t="shared" si="70"/>
        <v>2026</v>
      </c>
      <c r="W908" s="9">
        <v>672</v>
      </c>
      <c r="X908" s="9" t="s">
        <v>27</v>
      </c>
      <c r="Z908">
        <v>964</v>
      </c>
      <c r="AA908">
        <v>189880</v>
      </c>
      <c r="AB908" t="s">
        <v>29</v>
      </c>
      <c r="AD908" s="20">
        <v>46179</v>
      </c>
    </row>
    <row r="909" spans="1:30">
      <c r="A909">
        <v>984</v>
      </c>
      <c r="B909" t="str">
        <f>_xlfn.XLOOKUP(A909,Z:Z,AB:AB,"not found")</f>
        <v>EUR</v>
      </c>
      <c r="C909">
        <f>_xlfn.XLOOKUP(A909,Z:Z,AA:AA)-_xlfn.XLOOKUP(A909,Q:Q,R:R,"0")</f>
        <v>3561.5700000000006</v>
      </c>
      <c r="D909">
        <f>C909*_xlfn.XLOOKUP(B909,AG:AG,AH:AH)</f>
        <v>3561.5700000000006</v>
      </c>
      <c r="E909">
        <f>C909*_xlfn.XLOOKUP(B909,AG:AG,AI:AI)</f>
        <v>4131.4212000000007</v>
      </c>
      <c r="F909">
        <v>10181.61</v>
      </c>
      <c r="G909">
        <f>F909*_xlfn.XLOOKUP(B909,AG:AG,AH:AH)</f>
        <v>10181.61</v>
      </c>
      <c r="H909">
        <f>F909*_xlfn.XLOOKUP(B909,AG:AG,AI:AI)</f>
        <v>11810.667600000001</v>
      </c>
      <c r="I909">
        <f t="shared" si="71"/>
        <v>0</v>
      </c>
      <c r="J909">
        <f>I909*_xlfn.XLOOKUP(B909,AG:AG,AI:AI)</f>
        <v>0</v>
      </c>
      <c r="K909" s="7">
        <f>_xlfn.XLOOKUP(A909,Z:Z,AD:AD)</f>
        <v>46124</v>
      </c>
      <c r="L909" s="7">
        <f t="shared" si="68"/>
        <v>46094</v>
      </c>
      <c r="M909">
        <f t="shared" si="69"/>
        <v>3</v>
      </c>
      <c r="N909">
        <f t="shared" si="70"/>
        <v>2026</v>
      </c>
      <c r="W909" s="9">
        <v>672</v>
      </c>
      <c r="X909" s="9" t="s">
        <v>27</v>
      </c>
      <c r="Z909">
        <v>965</v>
      </c>
      <c r="AA909">
        <v>2685</v>
      </c>
      <c r="AB909" t="s">
        <v>29</v>
      </c>
      <c r="AD909" s="20">
        <v>46008</v>
      </c>
    </row>
    <row r="910" spans="1:30">
      <c r="A910">
        <v>985</v>
      </c>
      <c r="B910" t="str">
        <f>_xlfn.XLOOKUP(A910,Z:Z,AB:AB,"not found")</f>
        <v>USD</v>
      </c>
      <c r="C910">
        <f>_xlfn.XLOOKUP(A910,Z:Z,AA:AA)-_xlfn.XLOOKUP(A910,Q:Q,R:R,"0")</f>
        <v>-20748.810000000001</v>
      </c>
      <c r="D910">
        <f>C910*_xlfn.XLOOKUP(B910,AG:AG,AH:AH)</f>
        <v>-17843.976600000002</v>
      </c>
      <c r="E910">
        <f>C910*_xlfn.XLOOKUP(B910,AG:AG,AI:AI)</f>
        <v>-20748.810000000001</v>
      </c>
      <c r="F910">
        <v>1227.19</v>
      </c>
      <c r="G910">
        <f>F910*_xlfn.XLOOKUP(B910,AG:AG,AH:AH)</f>
        <v>1055.3833999999999</v>
      </c>
      <c r="H910">
        <f>F910*_xlfn.XLOOKUP(B910,AG:AG,AI:AI)</f>
        <v>1227.19</v>
      </c>
      <c r="I910">
        <f t="shared" si="71"/>
        <v>0</v>
      </c>
      <c r="J910">
        <f>I910*_xlfn.XLOOKUP(B910,AG:AG,AI:AI)</f>
        <v>0</v>
      </c>
      <c r="K910" s="7">
        <f>_xlfn.XLOOKUP(A910,Z:Z,AD:AD)</f>
        <v>46042</v>
      </c>
      <c r="L910" s="7">
        <f t="shared" si="68"/>
        <v>46012</v>
      </c>
      <c r="M910">
        <f t="shared" si="69"/>
        <v>12</v>
      </c>
      <c r="N910">
        <f t="shared" si="70"/>
        <v>2025</v>
      </c>
      <c r="W910" s="9">
        <v>672</v>
      </c>
      <c r="X910" s="9" t="s">
        <v>27</v>
      </c>
      <c r="Z910">
        <v>966</v>
      </c>
      <c r="AA910">
        <v>4363</v>
      </c>
      <c r="AB910" t="s">
        <v>29</v>
      </c>
      <c r="AD910" s="20">
        <v>45993</v>
      </c>
    </row>
    <row r="911" spans="1:30">
      <c r="A911">
        <v>986</v>
      </c>
      <c r="B911" t="str">
        <f>_xlfn.XLOOKUP(A911,Z:Z,AB:AB,"not found")</f>
        <v>EUR</v>
      </c>
      <c r="C911">
        <f>_xlfn.XLOOKUP(A911,Z:Z,AA:AA)-_xlfn.XLOOKUP(A911,Q:Q,R:R,"0")</f>
        <v>0</v>
      </c>
      <c r="D911">
        <f>C911*_xlfn.XLOOKUP(B911,AG:AG,AH:AH)</f>
        <v>0</v>
      </c>
      <c r="E911">
        <f>C911*_xlfn.XLOOKUP(B911,AG:AG,AI:AI)</f>
        <v>0</v>
      </c>
      <c r="F911">
        <v>5224</v>
      </c>
      <c r="G911">
        <f>F911*_xlfn.XLOOKUP(B911,AG:AG,AH:AH)</f>
        <v>5224</v>
      </c>
      <c r="H911">
        <f>F911*_xlfn.XLOOKUP(B911,AG:AG,AI:AI)</f>
        <v>6059.8399999999992</v>
      </c>
      <c r="I911">
        <f t="shared" si="71"/>
        <v>0</v>
      </c>
      <c r="J911">
        <f>I911*_xlfn.XLOOKUP(B911,AG:AG,AI:AI)</f>
        <v>0</v>
      </c>
      <c r="K911" s="7">
        <f>_xlfn.XLOOKUP(A911,Z:Z,AD:AD)</f>
        <v>46038</v>
      </c>
      <c r="L911" s="7">
        <f t="shared" si="68"/>
        <v>46008</v>
      </c>
      <c r="M911">
        <f t="shared" si="69"/>
        <v>12</v>
      </c>
      <c r="N911">
        <f t="shared" si="70"/>
        <v>2025</v>
      </c>
      <c r="W911" s="9">
        <v>672</v>
      </c>
      <c r="X911" s="9" t="s">
        <v>27</v>
      </c>
      <c r="Z911">
        <v>968</v>
      </c>
      <c r="AA911">
        <v>58933.91</v>
      </c>
      <c r="AB911" t="s">
        <v>29</v>
      </c>
      <c r="AD911" s="20">
        <v>46279</v>
      </c>
    </row>
    <row r="912" spans="1:30">
      <c r="A912">
        <v>987</v>
      </c>
      <c r="B912" t="str">
        <f>_xlfn.XLOOKUP(A912,Z:Z,AB:AB,"not found")</f>
        <v>USD</v>
      </c>
      <c r="C912">
        <f>_xlfn.XLOOKUP(A912,Z:Z,AA:AA)-_xlfn.XLOOKUP(A912,Q:Q,R:R,"0")</f>
        <v>0</v>
      </c>
      <c r="D912">
        <f>C912*_xlfn.XLOOKUP(B912,AG:AG,AH:AH)</f>
        <v>0</v>
      </c>
      <c r="E912">
        <f>C912*_xlfn.XLOOKUP(B912,AG:AG,AI:AI)</f>
        <v>0</v>
      </c>
      <c r="F912">
        <v>5251</v>
      </c>
      <c r="G912">
        <f>F912*_xlfn.XLOOKUP(B912,AG:AG,AH:AH)</f>
        <v>4515.8599999999997</v>
      </c>
      <c r="H912">
        <f>F912*_xlfn.XLOOKUP(B912,AG:AG,AI:AI)</f>
        <v>5251</v>
      </c>
      <c r="I912">
        <f t="shared" si="71"/>
        <v>0</v>
      </c>
      <c r="J912">
        <f>I912*_xlfn.XLOOKUP(B912,AG:AG,AI:AI)</f>
        <v>0</v>
      </c>
      <c r="K912" s="7">
        <f>_xlfn.XLOOKUP(A912,Z:Z,AD:AD)</f>
        <v>45904</v>
      </c>
      <c r="L912" s="7">
        <f t="shared" si="68"/>
        <v>45874</v>
      </c>
      <c r="M912">
        <f t="shared" si="69"/>
        <v>8</v>
      </c>
      <c r="N912">
        <f t="shared" si="70"/>
        <v>2025</v>
      </c>
      <c r="W912" s="9">
        <v>673</v>
      </c>
      <c r="X912" s="9" t="s">
        <v>29</v>
      </c>
      <c r="Z912">
        <v>969</v>
      </c>
      <c r="AA912">
        <v>4040</v>
      </c>
      <c r="AB912" t="s">
        <v>29</v>
      </c>
      <c r="AD912" s="20">
        <v>46057</v>
      </c>
    </row>
    <row r="913" spans="1:30">
      <c r="A913">
        <v>988</v>
      </c>
      <c r="B913" t="str">
        <f>_xlfn.XLOOKUP(A913,Z:Z,AB:AB,"not found")</f>
        <v>USD</v>
      </c>
      <c r="C913">
        <f>_xlfn.XLOOKUP(A913,Z:Z,AA:AA)-_xlfn.XLOOKUP(A913,Q:Q,R:R,"0")</f>
        <v>2107.1499999999996</v>
      </c>
      <c r="D913">
        <f>C913*_xlfn.XLOOKUP(B913,AG:AG,AH:AH)</f>
        <v>1812.1489999999997</v>
      </c>
      <c r="E913">
        <f>C913*_xlfn.XLOOKUP(B913,AG:AG,AI:AI)</f>
        <v>2107.1499999999996</v>
      </c>
      <c r="F913">
        <v>3308.41</v>
      </c>
      <c r="G913">
        <f>F913*_xlfn.XLOOKUP(B913,AG:AG,AH:AH)</f>
        <v>2845.2325999999998</v>
      </c>
      <c r="H913">
        <f>F913*_xlfn.XLOOKUP(B913,AG:AG,AI:AI)</f>
        <v>3308.41</v>
      </c>
      <c r="I913">
        <f t="shared" si="71"/>
        <v>0</v>
      </c>
      <c r="J913">
        <f>I913*_xlfn.XLOOKUP(B913,AG:AG,AI:AI)</f>
        <v>0</v>
      </c>
      <c r="K913" s="7">
        <f>_xlfn.XLOOKUP(A913,Z:Z,AD:AD)</f>
        <v>46040</v>
      </c>
      <c r="L913" s="7">
        <f t="shared" si="68"/>
        <v>46010</v>
      </c>
      <c r="M913">
        <f t="shared" si="69"/>
        <v>12</v>
      </c>
      <c r="N913">
        <f t="shared" si="70"/>
        <v>2025</v>
      </c>
      <c r="W913" s="9">
        <v>674</v>
      </c>
      <c r="X913" s="9" t="s">
        <v>29</v>
      </c>
      <c r="Z913">
        <v>970</v>
      </c>
      <c r="AA913">
        <v>2320</v>
      </c>
      <c r="AB913" t="s">
        <v>27</v>
      </c>
      <c r="AD913" s="20">
        <v>46001</v>
      </c>
    </row>
    <row r="914" spans="1:30">
      <c r="A914">
        <v>989</v>
      </c>
      <c r="B914" t="str">
        <f>_xlfn.XLOOKUP(A914,Z:Z,AB:AB,"not found")</f>
        <v>USD</v>
      </c>
      <c r="C914">
        <f>_xlfn.XLOOKUP(A914,Z:Z,AA:AA)-_xlfn.XLOOKUP(A914,Q:Q,R:R,"0")</f>
        <v>5720</v>
      </c>
      <c r="D914">
        <f>C914*_xlfn.XLOOKUP(B914,AG:AG,AH:AH)</f>
        <v>4919.2</v>
      </c>
      <c r="E914">
        <f>C914*_xlfn.XLOOKUP(B914,AG:AG,AI:AI)</f>
        <v>5720</v>
      </c>
      <c r="F914">
        <v>5720</v>
      </c>
      <c r="G914">
        <f>F914*_xlfn.XLOOKUP(B914,AG:AG,AH:AH)</f>
        <v>4919.2</v>
      </c>
      <c r="H914">
        <f>F914*_xlfn.XLOOKUP(B914,AG:AG,AI:AI)</f>
        <v>5720</v>
      </c>
      <c r="I914">
        <f t="shared" si="71"/>
        <v>0</v>
      </c>
      <c r="J914">
        <f>I914*_xlfn.XLOOKUP(B914,AG:AG,AI:AI)</f>
        <v>0</v>
      </c>
      <c r="K914" s="7">
        <f>_xlfn.XLOOKUP(A914,Z:Z,AD:AD)</f>
        <v>46050</v>
      </c>
      <c r="L914" s="7">
        <f t="shared" si="68"/>
        <v>46020</v>
      </c>
      <c r="M914">
        <f t="shared" si="69"/>
        <v>12</v>
      </c>
      <c r="N914">
        <f t="shared" si="70"/>
        <v>2025</v>
      </c>
      <c r="W914" s="9">
        <v>674</v>
      </c>
      <c r="X914" s="9" t="s">
        <v>29</v>
      </c>
      <c r="Z914">
        <v>971</v>
      </c>
      <c r="AA914">
        <v>90124.479999999996</v>
      </c>
      <c r="AB914" t="s">
        <v>28</v>
      </c>
      <c r="AD914" s="20">
        <v>45990</v>
      </c>
    </row>
    <row r="915" spans="1:30">
      <c r="A915">
        <v>990</v>
      </c>
      <c r="B915" t="str">
        <f>_xlfn.XLOOKUP(A915,Z:Z,AB:AB,"not found")</f>
        <v>MXN</v>
      </c>
      <c r="C915">
        <f>_xlfn.XLOOKUP(A915,Z:Z,AA:AA)-_xlfn.XLOOKUP(A915,Q:Q,R:R,"0")</f>
        <v>93117</v>
      </c>
      <c r="D915">
        <f>C915*_xlfn.XLOOKUP(B915,AG:AG,AH:AH)</f>
        <v>4469.616</v>
      </c>
      <c r="E915">
        <f>C915*_xlfn.XLOOKUP(B915,AG:AG,AI:AI)</f>
        <v>5214.5519999999997</v>
      </c>
      <c r="F915">
        <v>93117</v>
      </c>
      <c r="G915">
        <f>F915*_xlfn.XLOOKUP(B915,AG:AG,AH:AH)</f>
        <v>4469.616</v>
      </c>
      <c r="H915">
        <f>F915*_xlfn.XLOOKUP(B915,AG:AG,AI:AI)</f>
        <v>5214.5519999999997</v>
      </c>
      <c r="I915">
        <f t="shared" si="71"/>
        <v>0</v>
      </c>
      <c r="J915">
        <f>I915*_xlfn.XLOOKUP(B915,AG:AG,AI:AI)</f>
        <v>0</v>
      </c>
      <c r="K915" s="7">
        <f>_xlfn.XLOOKUP(A915,Z:Z,AD:AD)</f>
        <v>46052</v>
      </c>
      <c r="L915" s="7">
        <f t="shared" si="68"/>
        <v>46022</v>
      </c>
      <c r="M915">
        <f t="shared" si="69"/>
        <v>12</v>
      </c>
      <c r="N915">
        <f t="shared" si="70"/>
        <v>2025</v>
      </c>
      <c r="W915" s="9">
        <v>676</v>
      </c>
      <c r="X915" s="9" t="s">
        <v>27</v>
      </c>
      <c r="Z915">
        <v>972</v>
      </c>
      <c r="AA915">
        <v>2040</v>
      </c>
      <c r="AB915" t="s">
        <v>31</v>
      </c>
      <c r="AD915" s="20">
        <v>46043</v>
      </c>
    </row>
    <row r="916" spans="1:30">
      <c r="A916">
        <v>991</v>
      </c>
      <c r="B916" t="str">
        <f>_xlfn.XLOOKUP(A916,Z:Z,AB:AB,"not found")</f>
        <v>USD</v>
      </c>
      <c r="C916">
        <f>_xlfn.XLOOKUP(A916,Z:Z,AA:AA)-_xlfn.XLOOKUP(A916,Q:Q,R:R,"0")</f>
        <v>13898.8</v>
      </c>
      <c r="D916">
        <f>C916*_xlfn.XLOOKUP(B916,AG:AG,AH:AH)</f>
        <v>11952.967999999999</v>
      </c>
      <c r="E916">
        <f>C916*_xlfn.XLOOKUP(B916,AG:AG,AI:AI)</f>
        <v>13898.8</v>
      </c>
      <c r="F916">
        <v>13898.8</v>
      </c>
      <c r="G916">
        <f>F916*_xlfn.XLOOKUP(B916,AG:AG,AH:AH)</f>
        <v>11952.967999999999</v>
      </c>
      <c r="H916">
        <f>F916*_xlfn.XLOOKUP(B916,AG:AG,AI:AI)</f>
        <v>13898.8</v>
      </c>
      <c r="I916">
        <f t="shared" si="71"/>
        <v>0</v>
      </c>
      <c r="J916">
        <f>I916*_xlfn.XLOOKUP(B916,AG:AG,AI:AI)</f>
        <v>0</v>
      </c>
      <c r="K916" s="7">
        <f>_xlfn.XLOOKUP(A916,Z:Z,AD:AD)</f>
        <v>46279</v>
      </c>
      <c r="L916" s="7">
        <f t="shared" si="68"/>
        <v>46249</v>
      </c>
      <c r="M916">
        <f t="shared" si="69"/>
        <v>8</v>
      </c>
      <c r="N916">
        <f t="shared" si="70"/>
        <v>2026</v>
      </c>
      <c r="W916" s="9">
        <v>676</v>
      </c>
      <c r="X916" s="9" t="s">
        <v>27</v>
      </c>
      <c r="Z916">
        <v>973</v>
      </c>
      <c r="AA916">
        <v>2422.38</v>
      </c>
      <c r="AB916" t="s">
        <v>27</v>
      </c>
      <c r="AD916" s="20">
        <v>46040</v>
      </c>
    </row>
    <row r="917" spans="1:30">
      <c r="A917">
        <v>993</v>
      </c>
      <c r="B917" t="str">
        <f>_xlfn.XLOOKUP(A917,Z:Z,AB:AB,"not found")</f>
        <v>USD</v>
      </c>
      <c r="C917">
        <f>_xlfn.XLOOKUP(A917,Z:Z,AA:AA)-_xlfn.XLOOKUP(A917,Q:Q,R:R,"0")</f>
        <v>6219.56</v>
      </c>
      <c r="D917">
        <f>C917*_xlfn.XLOOKUP(B917,AG:AG,AH:AH)</f>
        <v>5348.8216000000002</v>
      </c>
      <c r="E917">
        <f>C917*_xlfn.XLOOKUP(B917,AG:AG,AI:AI)</f>
        <v>6219.56</v>
      </c>
      <c r="F917">
        <v>6219.56</v>
      </c>
      <c r="G917">
        <f>F917*_xlfn.XLOOKUP(B917,AG:AG,AH:AH)</f>
        <v>5348.8216000000002</v>
      </c>
      <c r="H917">
        <f>F917*_xlfn.XLOOKUP(B917,AG:AG,AI:AI)</f>
        <v>6219.56</v>
      </c>
      <c r="I917">
        <f t="shared" si="71"/>
        <v>0</v>
      </c>
      <c r="J917">
        <f>I917*_xlfn.XLOOKUP(B917,AG:AG,AI:AI)</f>
        <v>0</v>
      </c>
      <c r="K917" s="7">
        <f>_xlfn.XLOOKUP(A917,Z:Z,AD:AD)</f>
        <v>46176</v>
      </c>
      <c r="L917" s="7">
        <f t="shared" si="68"/>
        <v>46146</v>
      </c>
      <c r="M917">
        <f t="shared" si="69"/>
        <v>5</v>
      </c>
      <c r="N917">
        <f t="shared" si="70"/>
        <v>2026</v>
      </c>
      <c r="W917" s="9">
        <v>676</v>
      </c>
      <c r="X917" s="9" t="s">
        <v>27</v>
      </c>
      <c r="Z917">
        <v>974</v>
      </c>
      <c r="AA917">
        <v>95200</v>
      </c>
      <c r="AB917" t="s">
        <v>27</v>
      </c>
      <c r="AD917" s="20">
        <v>46221</v>
      </c>
    </row>
    <row r="918" spans="1:30">
      <c r="A918">
        <v>994</v>
      </c>
      <c r="B918" t="str">
        <f>_xlfn.XLOOKUP(A918,Z:Z,AB:AB,"not found")</f>
        <v>MXN</v>
      </c>
      <c r="C918">
        <f>_xlfn.XLOOKUP(A918,Z:Z,AA:AA)-_xlfn.XLOOKUP(A918,Q:Q,R:R,"0")</f>
        <v>260547.55</v>
      </c>
      <c r="D918">
        <f>C918*_xlfn.XLOOKUP(B918,AG:AG,AH:AH)</f>
        <v>12506.2824</v>
      </c>
      <c r="E918">
        <f>C918*_xlfn.XLOOKUP(B918,AG:AG,AI:AI)</f>
        <v>14590.6628</v>
      </c>
      <c r="F918">
        <v>260561.62</v>
      </c>
      <c r="G918">
        <f>F918*_xlfn.XLOOKUP(B918,AG:AG,AH:AH)</f>
        <v>12506.957759999999</v>
      </c>
      <c r="H918">
        <f>F918*_xlfn.XLOOKUP(B918,AG:AG,AI:AI)</f>
        <v>14591.450720000001</v>
      </c>
      <c r="I918">
        <f t="shared" si="71"/>
        <v>-14.070000000006985</v>
      </c>
      <c r="J918">
        <f>I918*_xlfn.XLOOKUP(B918,AG:AG,AI:AI)</f>
        <v>-0.7879200000003912</v>
      </c>
      <c r="K918" s="7">
        <f>_xlfn.XLOOKUP(A918,Z:Z,AD:AD)</f>
        <v>46175</v>
      </c>
      <c r="L918" s="7">
        <f t="shared" si="68"/>
        <v>46145</v>
      </c>
      <c r="M918">
        <f t="shared" si="69"/>
        <v>5</v>
      </c>
      <c r="N918">
        <f t="shared" si="70"/>
        <v>2026</v>
      </c>
      <c r="W918" s="9">
        <v>678</v>
      </c>
      <c r="X918" s="9" t="s">
        <v>29</v>
      </c>
      <c r="Z918">
        <v>975</v>
      </c>
      <c r="AA918">
        <v>11920.39</v>
      </c>
      <c r="AB918" t="s">
        <v>28</v>
      </c>
      <c r="AD918" s="20">
        <v>46032</v>
      </c>
    </row>
    <row r="919" spans="1:30">
      <c r="A919">
        <v>995</v>
      </c>
      <c r="B919" t="str">
        <f>_xlfn.XLOOKUP(A919,Z:Z,AB:AB,"not found")</f>
        <v>USD</v>
      </c>
      <c r="C919">
        <f>_xlfn.XLOOKUP(A919,Z:Z,AA:AA)-_xlfn.XLOOKUP(A919,Q:Q,R:R,"0")</f>
        <v>75439.38</v>
      </c>
      <c r="D919">
        <f>C919*_xlfn.XLOOKUP(B919,AG:AG,AH:AH)</f>
        <v>64877.866800000003</v>
      </c>
      <c r="E919">
        <f>C919*_xlfn.XLOOKUP(B919,AG:AG,AI:AI)</f>
        <v>75439.38</v>
      </c>
      <c r="F919">
        <v>6624.75</v>
      </c>
      <c r="G919">
        <f>F919*_xlfn.XLOOKUP(B919,AG:AG,AH:AH)</f>
        <v>5697.2849999999999</v>
      </c>
      <c r="H919">
        <f>F919*_xlfn.XLOOKUP(B919,AG:AG,AI:AI)</f>
        <v>6624.75</v>
      </c>
      <c r="I919">
        <f t="shared" si="71"/>
        <v>68814.63</v>
      </c>
      <c r="J919">
        <f>I919*_xlfn.XLOOKUP(B919,AG:AG,AI:AI)</f>
        <v>68814.63</v>
      </c>
      <c r="K919" s="7">
        <f>_xlfn.XLOOKUP(A919,Z:Z,AD:AD)</f>
        <v>46111</v>
      </c>
      <c r="L919" s="7">
        <f t="shared" si="68"/>
        <v>46081</v>
      </c>
      <c r="M919">
        <f t="shared" si="69"/>
        <v>2</v>
      </c>
      <c r="N919">
        <f t="shared" si="70"/>
        <v>2026</v>
      </c>
      <c r="W919" s="9">
        <v>679</v>
      </c>
      <c r="X919" s="9" t="s">
        <v>29</v>
      </c>
      <c r="Z919">
        <v>976</v>
      </c>
      <c r="AA919">
        <v>38202</v>
      </c>
      <c r="AB919" t="s">
        <v>27</v>
      </c>
      <c r="AD919" s="20">
        <v>46179</v>
      </c>
    </row>
    <row r="920" spans="1:30">
      <c r="A920">
        <v>996</v>
      </c>
      <c r="B920" t="str">
        <f>_xlfn.XLOOKUP(A920,Z:Z,AB:AB,"not found")</f>
        <v>USD</v>
      </c>
      <c r="C920">
        <f>_xlfn.XLOOKUP(A920,Z:Z,AA:AA)-_xlfn.XLOOKUP(A920,Q:Q,R:R,"0")</f>
        <v>2903.06</v>
      </c>
      <c r="D920">
        <f>C920*_xlfn.XLOOKUP(B920,AG:AG,AH:AH)</f>
        <v>2496.6315999999997</v>
      </c>
      <c r="E920">
        <f>C920*_xlfn.XLOOKUP(B920,AG:AG,AI:AI)</f>
        <v>2903.06</v>
      </c>
      <c r="F920">
        <v>2902.56</v>
      </c>
      <c r="G920">
        <f>F920*_xlfn.XLOOKUP(B920,AG:AG,AH:AH)</f>
        <v>2496.2015999999999</v>
      </c>
      <c r="H920">
        <f>F920*_xlfn.XLOOKUP(B920,AG:AG,AI:AI)</f>
        <v>2902.56</v>
      </c>
      <c r="I920">
        <f t="shared" si="71"/>
        <v>0.5</v>
      </c>
      <c r="J920">
        <f>I920*_xlfn.XLOOKUP(B920,AG:AG,AI:AI)</f>
        <v>0.5</v>
      </c>
      <c r="K920" s="7">
        <f>_xlfn.XLOOKUP(A920,Z:Z,AD:AD)</f>
        <v>46079</v>
      </c>
      <c r="L920" s="7">
        <f t="shared" si="68"/>
        <v>46049</v>
      </c>
      <c r="M920">
        <f t="shared" si="69"/>
        <v>1</v>
      </c>
      <c r="N920">
        <f t="shared" si="70"/>
        <v>2026</v>
      </c>
      <c r="W920" s="9">
        <v>680</v>
      </c>
      <c r="X920" s="9" t="s">
        <v>29</v>
      </c>
      <c r="Z920">
        <v>978</v>
      </c>
      <c r="AA920">
        <v>46833</v>
      </c>
      <c r="AB920" t="s">
        <v>28</v>
      </c>
      <c r="AD920" s="20">
        <v>46058</v>
      </c>
    </row>
    <row r="921" spans="1:30">
      <c r="A921">
        <v>997</v>
      </c>
      <c r="B921" t="str">
        <f>_xlfn.XLOOKUP(A921,Z:Z,AB:AB,"not found")</f>
        <v>USD</v>
      </c>
      <c r="C921">
        <f>_xlfn.XLOOKUP(A921,Z:Z,AA:AA)-_xlfn.XLOOKUP(A921,Q:Q,R:R,"0")</f>
        <v>0</v>
      </c>
      <c r="D921">
        <f>C921*_xlfn.XLOOKUP(B921,AG:AG,AH:AH)</f>
        <v>0</v>
      </c>
      <c r="E921">
        <f>C921*_xlfn.XLOOKUP(B921,AG:AG,AI:AI)</f>
        <v>0</v>
      </c>
      <c r="F921">
        <v>8610</v>
      </c>
      <c r="G921">
        <f>F921*_xlfn.XLOOKUP(B921,AG:AG,AH:AH)</f>
        <v>7404.5999999999995</v>
      </c>
      <c r="H921">
        <f>F921*_xlfn.XLOOKUP(B921,AG:AG,AI:AI)</f>
        <v>8610</v>
      </c>
      <c r="I921">
        <f t="shared" si="71"/>
        <v>0</v>
      </c>
      <c r="J921">
        <f>I921*_xlfn.XLOOKUP(B921,AG:AG,AI:AI)</f>
        <v>0</v>
      </c>
      <c r="K921" s="7">
        <f>_xlfn.XLOOKUP(A921,Z:Z,AD:AD)</f>
        <v>46079</v>
      </c>
      <c r="L921" s="7">
        <f t="shared" si="68"/>
        <v>46049</v>
      </c>
      <c r="M921">
        <f t="shared" si="69"/>
        <v>1</v>
      </c>
      <c r="N921">
        <f t="shared" si="70"/>
        <v>2026</v>
      </c>
      <c r="W921" s="9">
        <v>680</v>
      </c>
      <c r="X921" s="9" t="s">
        <v>29</v>
      </c>
      <c r="Z921">
        <v>979</v>
      </c>
      <c r="AA921">
        <v>2523</v>
      </c>
      <c r="AB921" t="s">
        <v>29</v>
      </c>
      <c r="AD921" s="20">
        <v>46000</v>
      </c>
    </row>
    <row r="922" spans="1:30">
      <c r="A922">
        <v>998</v>
      </c>
      <c r="B922" t="str">
        <f>_xlfn.XLOOKUP(A922,Z:Z,AB:AB,"not found")</f>
        <v>USD</v>
      </c>
      <c r="C922">
        <f>_xlfn.XLOOKUP(A922,Z:Z,AA:AA)-_xlfn.XLOOKUP(A922,Q:Q,R:R,"0")</f>
        <v>0</v>
      </c>
      <c r="D922">
        <f>C922*_xlfn.XLOOKUP(B922,AG:AG,AH:AH)</f>
        <v>0</v>
      </c>
      <c r="E922">
        <f>C922*_xlfn.XLOOKUP(B922,AG:AG,AI:AI)</f>
        <v>0</v>
      </c>
      <c r="F922">
        <v>494.88</v>
      </c>
      <c r="G922">
        <f>F922*_xlfn.XLOOKUP(B922,AG:AG,AH:AH)</f>
        <v>425.59679999999997</v>
      </c>
      <c r="H922">
        <f>F922*_xlfn.XLOOKUP(B922,AG:AG,AI:AI)</f>
        <v>494.88</v>
      </c>
      <c r="I922">
        <f t="shared" si="71"/>
        <v>0</v>
      </c>
      <c r="J922">
        <f>I922*_xlfn.XLOOKUP(B922,AG:AG,AI:AI)</f>
        <v>0</v>
      </c>
      <c r="K922" s="7">
        <f>_xlfn.XLOOKUP(A922,Z:Z,AD:AD)</f>
        <v>45979</v>
      </c>
      <c r="L922" s="7">
        <f t="shared" si="68"/>
        <v>45949</v>
      </c>
      <c r="M922">
        <f t="shared" si="69"/>
        <v>10</v>
      </c>
      <c r="N922">
        <f t="shared" si="70"/>
        <v>2025</v>
      </c>
      <c r="W922" s="9">
        <v>680</v>
      </c>
      <c r="X922" s="9" t="s">
        <v>29</v>
      </c>
      <c r="Z922">
        <v>980</v>
      </c>
      <c r="AA922">
        <v>6766</v>
      </c>
      <c r="AB922" t="s">
        <v>29</v>
      </c>
      <c r="AD922" s="20">
        <v>46021</v>
      </c>
    </row>
    <row r="923" spans="1:30">
      <c r="A923">
        <v>1000</v>
      </c>
      <c r="B923" t="str">
        <f>_xlfn.XLOOKUP(A923,Z:Z,AB:AB,"not found")</f>
        <v>USD</v>
      </c>
      <c r="C923">
        <f>_xlfn.XLOOKUP(A923,Z:Z,AA:AA)-_xlfn.XLOOKUP(A923,Q:Q,R:R,"0")</f>
        <v>0</v>
      </c>
      <c r="D923">
        <f>C923*_xlfn.XLOOKUP(B923,AG:AG,AH:AH)</f>
        <v>0</v>
      </c>
      <c r="E923">
        <f>C923*_xlfn.XLOOKUP(B923,AG:AG,AI:AI)</f>
        <v>0</v>
      </c>
      <c r="F923">
        <v>7147.49</v>
      </c>
      <c r="G923">
        <f>F923*_xlfn.XLOOKUP(B923,AG:AG,AH:AH)</f>
        <v>6146.8413999999993</v>
      </c>
      <c r="H923">
        <f>F923*_xlfn.XLOOKUP(B923,AG:AG,AI:AI)</f>
        <v>7147.49</v>
      </c>
      <c r="I923">
        <f t="shared" si="71"/>
        <v>0</v>
      </c>
      <c r="J923">
        <f>I923*_xlfn.XLOOKUP(B923,AG:AG,AI:AI)</f>
        <v>0</v>
      </c>
      <c r="K923" s="7">
        <f>_xlfn.XLOOKUP(A923,Z:Z,AD:AD)</f>
        <v>46120</v>
      </c>
      <c r="L923" s="7">
        <f t="shared" si="68"/>
        <v>46090</v>
      </c>
      <c r="M923">
        <f t="shared" si="69"/>
        <v>3</v>
      </c>
      <c r="N923">
        <f t="shared" si="70"/>
        <v>2026</v>
      </c>
      <c r="W923" s="9">
        <v>680</v>
      </c>
      <c r="X923" s="9" t="s">
        <v>29</v>
      </c>
      <c r="Z923">
        <v>982</v>
      </c>
      <c r="AA923">
        <v>2707</v>
      </c>
      <c r="AB923" t="s">
        <v>29</v>
      </c>
      <c r="AD923" s="20">
        <v>46055</v>
      </c>
    </row>
    <row r="924" spans="1:30">
      <c r="A924">
        <v>1002</v>
      </c>
      <c r="B924" t="str">
        <f>_xlfn.XLOOKUP(A924,Z:Z,AB:AB,"not found")</f>
        <v>MXN</v>
      </c>
      <c r="C924">
        <f>_xlfn.XLOOKUP(A924,Z:Z,AA:AA)-_xlfn.XLOOKUP(A924,Q:Q,R:R,"0")</f>
        <v>72680</v>
      </c>
      <c r="D924">
        <f>C924*_xlfn.XLOOKUP(B924,AG:AG,AH:AH)</f>
        <v>3488.64</v>
      </c>
      <c r="E924">
        <f>C924*_xlfn.XLOOKUP(B924,AG:AG,AI:AI)</f>
        <v>4070.08</v>
      </c>
      <c r="F924">
        <v>72680</v>
      </c>
      <c r="G924">
        <f>F924*_xlfn.XLOOKUP(B924,AG:AG,AH:AH)</f>
        <v>3488.64</v>
      </c>
      <c r="H924">
        <f>F924*_xlfn.XLOOKUP(B924,AG:AG,AI:AI)</f>
        <v>4070.08</v>
      </c>
      <c r="I924">
        <f t="shared" si="71"/>
        <v>0</v>
      </c>
      <c r="J924">
        <f>I924*_xlfn.XLOOKUP(B924,AG:AG,AI:AI)</f>
        <v>0</v>
      </c>
      <c r="K924" s="7">
        <f>_xlfn.XLOOKUP(A924,Z:Z,AD:AD)</f>
        <v>46071</v>
      </c>
      <c r="L924" s="7">
        <f t="shared" si="68"/>
        <v>46041</v>
      </c>
      <c r="M924">
        <f t="shared" si="69"/>
        <v>1</v>
      </c>
      <c r="N924">
        <f t="shared" si="70"/>
        <v>2026</v>
      </c>
      <c r="W924" s="9">
        <v>680</v>
      </c>
      <c r="X924" s="9" t="s">
        <v>28</v>
      </c>
      <c r="Z924">
        <v>983</v>
      </c>
      <c r="AA924">
        <v>0</v>
      </c>
      <c r="AB924" t="s">
        <v>28</v>
      </c>
      <c r="AD924" s="20">
        <v>46052</v>
      </c>
    </row>
    <row r="925" spans="1:30">
      <c r="A925">
        <v>1003</v>
      </c>
      <c r="B925" t="str">
        <f>_xlfn.XLOOKUP(A925,Z:Z,AB:AB,"not found")</f>
        <v>USD</v>
      </c>
      <c r="C925">
        <f>_xlfn.XLOOKUP(A925,Z:Z,AA:AA)-_xlfn.XLOOKUP(A925,Q:Q,R:R,"0")</f>
        <v>305.62</v>
      </c>
      <c r="D925">
        <f>C925*_xlfn.XLOOKUP(B925,AG:AG,AH:AH)</f>
        <v>262.83319999999998</v>
      </c>
      <c r="E925">
        <f>C925*_xlfn.XLOOKUP(B925,AG:AG,AI:AI)</f>
        <v>305.62</v>
      </c>
      <c r="F925">
        <v>305.49</v>
      </c>
      <c r="G925">
        <f>F925*_xlfn.XLOOKUP(B925,AG:AG,AH:AH)</f>
        <v>262.72140000000002</v>
      </c>
      <c r="H925">
        <f>F925*_xlfn.XLOOKUP(B925,AG:AG,AI:AI)</f>
        <v>305.49</v>
      </c>
      <c r="I925">
        <f t="shared" si="71"/>
        <v>0.12999999999999545</v>
      </c>
      <c r="J925">
        <f>I925*_xlfn.XLOOKUP(B925,AG:AG,AI:AI)</f>
        <v>0.12999999999999545</v>
      </c>
      <c r="K925" s="7">
        <f>_xlfn.XLOOKUP(A925,Z:Z,AD:AD)</f>
        <v>46074</v>
      </c>
      <c r="L925" s="7">
        <f t="shared" si="68"/>
        <v>46044</v>
      </c>
      <c r="M925">
        <f t="shared" si="69"/>
        <v>1</v>
      </c>
      <c r="N925">
        <f t="shared" si="70"/>
        <v>2026</v>
      </c>
      <c r="W925" s="9">
        <v>680</v>
      </c>
      <c r="X925" s="9" t="s">
        <v>28</v>
      </c>
      <c r="Z925">
        <v>984</v>
      </c>
      <c r="AA925">
        <v>10181.61</v>
      </c>
      <c r="AB925" t="s">
        <v>27</v>
      </c>
      <c r="AD925" s="20">
        <v>46124</v>
      </c>
    </row>
    <row r="926" spans="1:30">
      <c r="A926">
        <v>1004</v>
      </c>
      <c r="B926" t="str">
        <f>_xlfn.XLOOKUP(A926,Z:Z,AB:AB,"not found")</f>
        <v>MXN</v>
      </c>
      <c r="C926">
        <f>_xlfn.XLOOKUP(A926,Z:Z,AA:AA)-_xlfn.XLOOKUP(A926,Q:Q,R:R,"0")</f>
        <v>14828</v>
      </c>
      <c r="D926">
        <f>C926*_xlfn.XLOOKUP(B926,AG:AG,AH:AH)</f>
        <v>711.74400000000003</v>
      </c>
      <c r="E926">
        <f>C926*_xlfn.XLOOKUP(B926,AG:AG,AI:AI)</f>
        <v>830.36800000000005</v>
      </c>
      <c r="F926">
        <v>14828</v>
      </c>
      <c r="G926">
        <f>F926*_xlfn.XLOOKUP(B926,AG:AG,AH:AH)</f>
        <v>711.74400000000003</v>
      </c>
      <c r="H926">
        <f>F926*_xlfn.XLOOKUP(B926,AG:AG,AI:AI)</f>
        <v>830.36800000000005</v>
      </c>
      <c r="I926">
        <f t="shared" si="71"/>
        <v>0</v>
      </c>
      <c r="J926">
        <f>I926*_xlfn.XLOOKUP(B926,AG:AG,AI:AI)</f>
        <v>0</v>
      </c>
      <c r="K926" s="7">
        <f>_xlfn.XLOOKUP(A926,Z:Z,AD:AD)</f>
        <v>46058</v>
      </c>
      <c r="L926" s="7">
        <f t="shared" si="68"/>
        <v>46028</v>
      </c>
      <c r="M926">
        <f t="shared" si="69"/>
        <v>1</v>
      </c>
      <c r="N926">
        <f t="shared" si="70"/>
        <v>2026</v>
      </c>
      <c r="W926" s="9">
        <v>683</v>
      </c>
      <c r="X926" s="9" t="s">
        <v>32</v>
      </c>
      <c r="Z926">
        <v>985</v>
      </c>
      <c r="AA926">
        <v>1227.19</v>
      </c>
      <c r="AB926" t="s">
        <v>29</v>
      </c>
      <c r="AD926" s="20">
        <v>46042</v>
      </c>
    </row>
    <row r="927" spans="1:30">
      <c r="A927">
        <v>1005</v>
      </c>
      <c r="B927" t="str">
        <f>_xlfn.XLOOKUP(A927,Z:Z,AB:AB,"not found")</f>
        <v>EUR</v>
      </c>
      <c r="C927">
        <f>_xlfn.XLOOKUP(A927,Z:Z,AA:AA)-_xlfn.XLOOKUP(A927,Q:Q,R:R,"0")</f>
        <v>0</v>
      </c>
      <c r="D927">
        <f>C927*_xlfn.XLOOKUP(B927,AG:AG,AH:AH)</f>
        <v>0</v>
      </c>
      <c r="E927">
        <f>C927*_xlfn.XLOOKUP(B927,AG:AG,AI:AI)</f>
        <v>0</v>
      </c>
      <c r="F927">
        <v>20006.439999999999</v>
      </c>
      <c r="G927">
        <f>F927*_xlfn.XLOOKUP(B927,AG:AG,AH:AH)</f>
        <v>20006.439999999999</v>
      </c>
      <c r="H927">
        <f>F927*_xlfn.XLOOKUP(B927,AG:AG,AI:AI)</f>
        <v>23207.470399999998</v>
      </c>
      <c r="I927">
        <f t="shared" si="71"/>
        <v>0</v>
      </c>
      <c r="J927">
        <f>I927*_xlfn.XLOOKUP(B927,AG:AG,AI:AI)</f>
        <v>0</v>
      </c>
      <c r="K927" s="7">
        <f>_xlfn.XLOOKUP(A927,Z:Z,AD:AD)</f>
        <v>46139</v>
      </c>
      <c r="L927" s="7">
        <f t="shared" si="68"/>
        <v>46109</v>
      </c>
      <c r="M927">
        <f t="shared" si="69"/>
        <v>3</v>
      </c>
      <c r="N927">
        <f t="shared" si="70"/>
        <v>2026</v>
      </c>
      <c r="W927" s="9">
        <v>684</v>
      </c>
      <c r="X927" s="9" t="s">
        <v>29</v>
      </c>
      <c r="Z927">
        <v>986</v>
      </c>
      <c r="AA927">
        <v>5224</v>
      </c>
      <c r="AB927" t="s">
        <v>27</v>
      </c>
      <c r="AD927" s="20">
        <v>46038</v>
      </c>
    </row>
    <row r="928" spans="1:30">
      <c r="A928">
        <v>1006</v>
      </c>
      <c r="B928" t="str">
        <f>_xlfn.XLOOKUP(A928,Z:Z,AB:AB,"not found")</f>
        <v>USD</v>
      </c>
      <c r="C928">
        <f>_xlfn.XLOOKUP(A928,Z:Z,AA:AA)-_xlfn.XLOOKUP(A928,Q:Q,R:R,"0")</f>
        <v>0</v>
      </c>
      <c r="D928">
        <f>C928*_xlfn.XLOOKUP(B928,AG:AG,AH:AH)</f>
        <v>0</v>
      </c>
      <c r="E928">
        <f>C928*_xlfn.XLOOKUP(B928,AG:AG,AI:AI)</f>
        <v>0</v>
      </c>
      <c r="F928">
        <v>12022.15</v>
      </c>
      <c r="G928">
        <f>F928*_xlfn.XLOOKUP(B928,AG:AG,AH:AH)</f>
        <v>10339.048999999999</v>
      </c>
      <c r="H928">
        <f>F928*_xlfn.XLOOKUP(B928,AG:AG,AI:AI)</f>
        <v>12022.15</v>
      </c>
      <c r="I928">
        <f t="shared" si="71"/>
        <v>0</v>
      </c>
      <c r="J928">
        <f>I928*_xlfn.XLOOKUP(B928,AG:AG,AI:AI)</f>
        <v>0</v>
      </c>
      <c r="K928" s="7">
        <f>_xlfn.XLOOKUP(A928,Z:Z,AD:AD)</f>
        <v>46019</v>
      </c>
      <c r="L928" s="7">
        <f t="shared" si="68"/>
        <v>45989</v>
      </c>
      <c r="M928">
        <f t="shared" si="69"/>
        <v>11</v>
      </c>
      <c r="N928">
        <f t="shared" si="70"/>
        <v>2025</v>
      </c>
      <c r="W928" s="9">
        <v>686</v>
      </c>
      <c r="X928" s="9" t="s">
        <v>27</v>
      </c>
      <c r="Z928">
        <v>987</v>
      </c>
      <c r="AA928">
        <v>5251</v>
      </c>
      <c r="AB928" t="s">
        <v>29</v>
      </c>
      <c r="AD928" s="20">
        <v>45904</v>
      </c>
    </row>
    <row r="929" spans="1:30">
      <c r="A929">
        <v>1007</v>
      </c>
      <c r="B929" t="str">
        <f>_xlfn.XLOOKUP(A929,Z:Z,AB:AB,"not found")</f>
        <v>USD</v>
      </c>
      <c r="C929">
        <f>_xlfn.XLOOKUP(A929,Z:Z,AA:AA)-_xlfn.XLOOKUP(A929,Q:Q,R:R,"0")</f>
        <v>0</v>
      </c>
      <c r="D929">
        <f>C929*_xlfn.XLOOKUP(B929,AG:AG,AH:AH)</f>
        <v>0</v>
      </c>
      <c r="E929">
        <f>C929*_xlfn.XLOOKUP(B929,AG:AG,AI:AI)</f>
        <v>0</v>
      </c>
      <c r="F929">
        <v>219</v>
      </c>
      <c r="G929">
        <f>F929*_xlfn.XLOOKUP(B929,AG:AG,AH:AH)</f>
        <v>188.34</v>
      </c>
      <c r="H929">
        <f>F929*_xlfn.XLOOKUP(B929,AG:AG,AI:AI)</f>
        <v>219</v>
      </c>
      <c r="I929">
        <f t="shared" si="71"/>
        <v>0</v>
      </c>
      <c r="J929">
        <f>I929*_xlfn.XLOOKUP(B929,AG:AG,AI:AI)</f>
        <v>0</v>
      </c>
      <c r="K929" s="7">
        <f>_xlfn.XLOOKUP(A929,Z:Z,AD:AD)</f>
        <v>45992</v>
      </c>
      <c r="L929" s="7">
        <f t="shared" si="68"/>
        <v>45962</v>
      </c>
      <c r="M929">
        <f t="shared" si="69"/>
        <v>11</v>
      </c>
      <c r="N929">
        <f t="shared" si="70"/>
        <v>2025</v>
      </c>
      <c r="W929" s="9">
        <v>686</v>
      </c>
      <c r="X929" s="9" t="s">
        <v>27</v>
      </c>
      <c r="Z929">
        <v>988</v>
      </c>
      <c r="AA929">
        <v>3308.41</v>
      </c>
      <c r="AB929" t="s">
        <v>29</v>
      </c>
      <c r="AD929" s="20">
        <v>46040</v>
      </c>
    </row>
    <row r="930" spans="1:30">
      <c r="A930">
        <v>1008</v>
      </c>
      <c r="B930" t="str">
        <f>_xlfn.XLOOKUP(A930,Z:Z,AB:AB,"not found")</f>
        <v>USD</v>
      </c>
      <c r="C930">
        <f>_xlfn.XLOOKUP(A930,Z:Z,AA:AA)-_xlfn.XLOOKUP(A930,Q:Q,R:R,"0")</f>
        <v>0</v>
      </c>
      <c r="D930">
        <f>C930*_xlfn.XLOOKUP(B930,AG:AG,AH:AH)</f>
        <v>0</v>
      </c>
      <c r="E930">
        <f>C930*_xlfn.XLOOKUP(B930,AG:AG,AI:AI)</f>
        <v>0</v>
      </c>
      <c r="F930">
        <v>219</v>
      </c>
      <c r="G930">
        <f>F930*_xlfn.XLOOKUP(B930,AG:AG,AH:AH)</f>
        <v>188.34</v>
      </c>
      <c r="H930">
        <f>F930*_xlfn.XLOOKUP(B930,AG:AG,AI:AI)</f>
        <v>219</v>
      </c>
      <c r="I930">
        <f t="shared" si="71"/>
        <v>0</v>
      </c>
      <c r="J930">
        <f>I930*_xlfn.XLOOKUP(B930,AG:AG,AI:AI)</f>
        <v>0</v>
      </c>
      <c r="K930" s="7">
        <f>_xlfn.XLOOKUP(A930,Z:Z,AD:AD)</f>
        <v>45992</v>
      </c>
      <c r="L930" s="7">
        <f t="shared" si="68"/>
        <v>45962</v>
      </c>
      <c r="M930">
        <f t="shared" si="69"/>
        <v>11</v>
      </c>
      <c r="N930">
        <f t="shared" si="70"/>
        <v>2025</v>
      </c>
      <c r="W930" s="9">
        <v>686</v>
      </c>
      <c r="X930" s="9" t="s">
        <v>27</v>
      </c>
      <c r="Z930">
        <v>989</v>
      </c>
      <c r="AA930">
        <v>5720</v>
      </c>
      <c r="AB930" t="s">
        <v>29</v>
      </c>
      <c r="AD930" s="20">
        <v>46050</v>
      </c>
    </row>
    <row r="931" spans="1:30">
      <c r="A931">
        <v>1009</v>
      </c>
      <c r="B931" t="str">
        <f>_xlfn.XLOOKUP(A931,Z:Z,AB:AB,"not found")</f>
        <v>MXN</v>
      </c>
      <c r="C931">
        <f>_xlfn.XLOOKUP(A931,Z:Z,AA:AA)-_xlfn.XLOOKUP(A931,Q:Q,R:R,"0")</f>
        <v>0</v>
      </c>
      <c r="D931">
        <f>C931*_xlfn.XLOOKUP(B931,AG:AG,AH:AH)</f>
        <v>0</v>
      </c>
      <c r="E931">
        <f>C931*_xlfn.XLOOKUP(B931,AG:AG,AI:AI)</f>
        <v>0</v>
      </c>
      <c r="F931">
        <v>76952</v>
      </c>
      <c r="G931">
        <f>F931*_xlfn.XLOOKUP(B931,AG:AG,AH:AH)</f>
        <v>3693.6959999999999</v>
      </c>
      <c r="H931">
        <f>F931*_xlfn.XLOOKUP(B931,AG:AG,AI:AI)</f>
        <v>4309.3119999999999</v>
      </c>
      <c r="I931">
        <f t="shared" si="71"/>
        <v>0</v>
      </c>
      <c r="J931">
        <f>I931*_xlfn.XLOOKUP(B931,AG:AG,AI:AI)</f>
        <v>0</v>
      </c>
      <c r="K931" s="7">
        <f>_xlfn.XLOOKUP(A931,Z:Z,AD:AD)</f>
        <v>46134</v>
      </c>
      <c r="L931" s="7">
        <f t="shared" si="68"/>
        <v>46104</v>
      </c>
      <c r="M931">
        <f t="shared" si="69"/>
        <v>3</v>
      </c>
      <c r="N931">
        <f t="shared" si="70"/>
        <v>2026</v>
      </c>
      <c r="W931" s="9">
        <v>686</v>
      </c>
      <c r="X931" s="9" t="s">
        <v>27</v>
      </c>
      <c r="Z931">
        <v>990</v>
      </c>
      <c r="AA931">
        <v>93117</v>
      </c>
      <c r="AB931" t="s">
        <v>28</v>
      </c>
      <c r="AD931" s="20">
        <v>46052</v>
      </c>
    </row>
    <row r="932" spans="1:30">
      <c r="A932">
        <v>1010</v>
      </c>
      <c r="B932" t="str">
        <f>_xlfn.XLOOKUP(A932,Z:Z,AB:AB,"not found")</f>
        <v>USD</v>
      </c>
      <c r="C932">
        <f>_xlfn.XLOOKUP(A932,Z:Z,AA:AA)-_xlfn.XLOOKUP(A932,Q:Q,R:R,"0")</f>
        <v>0</v>
      </c>
      <c r="D932">
        <f>C932*_xlfn.XLOOKUP(B932,AG:AG,AH:AH)</f>
        <v>0</v>
      </c>
      <c r="E932">
        <f>C932*_xlfn.XLOOKUP(B932,AG:AG,AI:AI)</f>
        <v>0</v>
      </c>
      <c r="F932">
        <v>9639</v>
      </c>
      <c r="G932">
        <f>F932*_xlfn.XLOOKUP(B932,AG:AG,AH:AH)</f>
        <v>8289.5399999999991</v>
      </c>
      <c r="H932">
        <f>F932*_xlfn.XLOOKUP(B932,AG:AG,AI:AI)</f>
        <v>9639</v>
      </c>
      <c r="I932">
        <f t="shared" si="71"/>
        <v>0</v>
      </c>
      <c r="J932">
        <f>I932*_xlfn.XLOOKUP(B932,AG:AG,AI:AI)</f>
        <v>0</v>
      </c>
      <c r="K932" s="7">
        <f>_xlfn.XLOOKUP(A932,Z:Z,AD:AD)</f>
        <v>46025</v>
      </c>
      <c r="L932" s="7">
        <f t="shared" ref="L932:L995" si="72">K932-30</f>
        <v>45995</v>
      </c>
      <c r="M932">
        <f t="shared" ref="M932:M995" si="73">MONTH(L932)</f>
        <v>12</v>
      </c>
      <c r="N932">
        <f t="shared" ref="N932:N995" si="74">YEAR(L932)</f>
        <v>2025</v>
      </c>
      <c r="W932" s="9">
        <v>692</v>
      </c>
      <c r="X932" s="9" t="s">
        <v>29</v>
      </c>
      <c r="Z932">
        <v>991</v>
      </c>
      <c r="AA932">
        <v>13898.8</v>
      </c>
      <c r="AB932" t="s">
        <v>29</v>
      </c>
      <c r="AD932" s="20">
        <v>46279</v>
      </c>
    </row>
    <row r="933" spans="1:30">
      <c r="A933">
        <v>1011</v>
      </c>
      <c r="B933" t="str">
        <f>_xlfn.XLOOKUP(A933,Z:Z,AB:AB,"not found")</f>
        <v>MXN</v>
      </c>
      <c r="C933">
        <f>_xlfn.XLOOKUP(A933,Z:Z,AA:AA)-_xlfn.XLOOKUP(A933,Q:Q,R:R,"0")</f>
        <v>98933.6</v>
      </c>
      <c r="D933">
        <f>C933*_xlfn.XLOOKUP(B933,AG:AG,AH:AH)</f>
        <v>4748.8128000000006</v>
      </c>
      <c r="E933">
        <f>C933*_xlfn.XLOOKUP(B933,AG:AG,AI:AI)</f>
        <v>5540.2816000000003</v>
      </c>
      <c r="F933">
        <v>90452</v>
      </c>
      <c r="G933">
        <f>F933*_xlfn.XLOOKUP(B933,AG:AG,AH:AH)</f>
        <v>4341.6959999999999</v>
      </c>
      <c r="H933">
        <f>F933*_xlfn.XLOOKUP(B933,AG:AG,AI:AI)</f>
        <v>5065.3119999999999</v>
      </c>
      <c r="I933">
        <f t="shared" si="71"/>
        <v>8481.6000000000058</v>
      </c>
      <c r="J933">
        <f>I933*_xlfn.XLOOKUP(B933,AG:AG,AI:AI)</f>
        <v>474.96960000000036</v>
      </c>
      <c r="K933" s="7">
        <f>_xlfn.XLOOKUP(A933,Z:Z,AD:AD)</f>
        <v>46109</v>
      </c>
      <c r="L933" s="7">
        <f t="shared" si="72"/>
        <v>46079</v>
      </c>
      <c r="M933">
        <f t="shared" si="73"/>
        <v>2</v>
      </c>
      <c r="N933">
        <f t="shared" si="74"/>
        <v>2026</v>
      </c>
      <c r="W933" s="9">
        <v>693</v>
      </c>
      <c r="X933" s="9" t="s">
        <v>27</v>
      </c>
      <c r="Z933">
        <v>992</v>
      </c>
      <c r="AA933">
        <v>967.5</v>
      </c>
      <c r="AB933" t="s">
        <v>29</v>
      </c>
      <c r="AD933" s="20">
        <v>46037</v>
      </c>
    </row>
    <row r="934" spans="1:30">
      <c r="A934">
        <v>1012</v>
      </c>
      <c r="B934" t="str">
        <f>_xlfn.XLOOKUP(A934,Z:Z,AB:AB,"not found")</f>
        <v>MXN</v>
      </c>
      <c r="C934">
        <f>_xlfn.XLOOKUP(A934,Z:Z,AA:AA)-_xlfn.XLOOKUP(A934,Q:Q,R:R,"0")</f>
        <v>186720</v>
      </c>
      <c r="D934">
        <f>C934*_xlfn.XLOOKUP(B934,AG:AG,AH:AH)</f>
        <v>8962.56</v>
      </c>
      <c r="E934">
        <f>C934*_xlfn.XLOOKUP(B934,AG:AG,AI:AI)</f>
        <v>10456.32</v>
      </c>
      <c r="F934">
        <v>186720</v>
      </c>
      <c r="G934">
        <f>F934*_xlfn.XLOOKUP(B934,AG:AG,AH:AH)</f>
        <v>8962.56</v>
      </c>
      <c r="H934">
        <f>F934*_xlfn.XLOOKUP(B934,AG:AG,AI:AI)</f>
        <v>10456.32</v>
      </c>
      <c r="I934">
        <f t="shared" si="71"/>
        <v>0</v>
      </c>
      <c r="J934">
        <f>I934*_xlfn.XLOOKUP(B934,AG:AG,AI:AI)</f>
        <v>0</v>
      </c>
      <c r="K934" s="7">
        <f>_xlfn.XLOOKUP(A934,Z:Z,AD:AD)</f>
        <v>46053</v>
      </c>
      <c r="L934" s="7">
        <f t="shared" si="72"/>
        <v>46023</v>
      </c>
      <c r="M934">
        <f t="shared" si="73"/>
        <v>1</v>
      </c>
      <c r="N934">
        <f t="shared" si="74"/>
        <v>2026</v>
      </c>
      <c r="W934" s="9">
        <v>694</v>
      </c>
      <c r="X934" s="9" t="s">
        <v>27</v>
      </c>
      <c r="Z934">
        <v>993</v>
      </c>
      <c r="AA934">
        <v>6219.56</v>
      </c>
      <c r="AB934" t="s">
        <v>29</v>
      </c>
      <c r="AD934" s="20">
        <v>46176</v>
      </c>
    </row>
    <row r="935" spans="1:30">
      <c r="A935">
        <v>1014</v>
      </c>
      <c r="B935" t="str">
        <f>_xlfn.XLOOKUP(A935,Z:Z,AB:AB,"not found")</f>
        <v>USD</v>
      </c>
      <c r="C935">
        <f>_xlfn.XLOOKUP(A935,Z:Z,AA:AA)-_xlfn.XLOOKUP(A935,Q:Q,R:R,"0")</f>
        <v>0</v>
      </c>
      <c r="D935">
        <f>C935*_xlfn.XLOOKUP(B935,AG:AG,AH:AH)</f>
        <v>0</v>
      </c>
      <c r="E935">
        <f>C935*_xlfn.XLOOKUP(B935,AG:AG,AI:AI)</f>
        <v>0</v>
      </c>
      <c r="F935">
        <v>3300.7</v>
      </c>
      <c r="G935">
        <f>F935*_xlfn.XLOOKUP(B935,AG:AG,AH:AH)</f>
        <v>2838.6019999999999</v>
      </c>
      <c r="H935">
        <f>F935*_xlfn.XLOOKUP(B935,AG:AG,AI:AI)</f>
        <v>3300.7</v>
      </c>
      <c r="I935">
        <f t="shared" si="71"/>
        <v>0</v>
      </c>
      <c r="J935">
        <f>I935*_xlfn.XLOOKUP(B935,AG:AG,AI:AI)</f>
        <v>0</v>
      </c>
      <c r="K935" s="7">
        <f>_xlfn.XLOOKUP(A935,Z:Z,AD:AD)</f>
        <v>45699</v>
      </c>
      <c r="L935" s="7">
        <f t="shared" si="72"/>
        <v>45669</v>
      </c>
      <c r="M935">
        <f t="shared" si="73"/>
        <v>1</v>
      </c>
      <c r="N935">
        <f t="shared" si="74"/>
        <v>2025</v>
      </c>
      <c r="W935" s="9">
        <v>694</v>
      </c>
      <c r="X935" s="9" t="s">
        <v>27</v>
      </c>
      <c r="Z935">
        <v>994</v>
      </c>
      <c r="AA935">
        <v>260547.55</v>
      </c>
      <c r="AB935" t="s">
        <v>28</v>
      </c>
      <c r="AD935" s="20">
        <v>46175</v>
      </c>
    </row>
    <row r="936" spans="1:30">
      <c r="A936">
        <v>1016</v>
      </c>
      <c r="B936" t="str">
        <f>_xlfn.XLOOKUP(A936,Z:Z,AB:AB,"not found")</f>
        <v>USD</v>
      </c>
      <c r="C936">
        <f>_xlfn.XLOOKUP(A936,Z:Z,AA:AA)-_xlfn.XLOOKUP(A936,Q:Q,R:R,"0")</f>
        <v>0</v>
      </c>
      <c r="D936">
        <f>C936*_xlfn.XLOOKUP(B936,AG:AG,AH:AH)</f>
        <v>0</v>
      </c>
      <c r="E936">
        <f>C936*_xlfn.XLOOKUP(B936,AG:AG,AI:AI)</f>
        <v>0</v>
      </c>
      <c r="F936">
        <v>2644</v>
      </c>
      <c r="G936">
        <f>F936*_xlfn.XLOOKUP(B936,AG:AG,AH:AH)</f>
        <v>2273.84</v>
      </c>
      <c r="H936">
        <f>F936*_xlfn.XLOOKUP(B936,AG:AG,AI:AI)</f>
        <v>2644</v>
      </c>
      <c r="I936">
        <f t="shared" si="71"/>
        <v>0</v>
      </c>
      <c r="J936">
        <f>I936*_xlfn.XLOOKUP(B936,AG:AG,AI:AI)</f>
        <v>0</v>
      </c>
      <c r="K936" s="7">
        <f>_xlfn.XLOOKUP(A936,Z:Z,AD:AD)</f>
        <v>45964</v>
      </c>
      <c r="L936" s="7">
        <f t="shared" si="72"/>
        <v>45934</v>
      </c>
      <c r="M936">
        <f t="shared" si="73"/>
        <v>10</v>
      </c>
      <c r="N936">
        <f t="shared" si="74"/>
        <v>2025</v>
      </c>
      <c r="W936" s="9">
        <v>694</v>
      </c>
      <c r="X936" s="9" t="s">
        <v>27</v>
      </c>
      <c r="Z936">
        <v>995</v>
      </c>
      <c r="AA936">
        <v>75439.38</v>
      </c>
      <c r="AB936" t="s">
        <v>29</v>
      </c>
      <c r="AD936" s="20">
        <v>46111</v>
      </c>
    </row>
    <row r="937" spans="1:30">
      <c r="A937">
        <v>1017</v>
      </c>
      <c r="B937" t="str">
        <f>_xlfn.XLOOKUP(A937,Z:Z,AB:AB,"not found")</f>
        <v>EUR</v>
      </c>
      <c r="C937">
        <f>_xlfn.XLOOKUP(A937,Z:Z,AA:AA)-_xlfn.XLOOKUP(A937,Q:Q,R:R,"0")</f>
        <v>1386.99</v>
      </c>
      <c r="D937">
        <f>C937*_xlfn.XLOOKUP(B937,AG:AG,AH:AH)</f>
        <v>1386.99</v>
      </c>
      <c r="E937">
        <f>C937*_xlfn.XLOOKUP(B937,AG:AG,AI:AI)</f>
        <v>1608.9083999999998</v>
      </c>
      <c r="F937">
        <v>1386.99</v>
      </c>
      <c r="G937">
        <f>F937*_xlfn.XLOOKUP(B937,AG:AG,AH:AH)</f>
        <v>1386.99</v>
      </c>
      <c r="H937">
        <f>F937*_xlfn.XLOOKUP(B937,AG:AG,AI:AI)</f>
        <v>1608.9083999999998</v>
      </c>
      <c r="I937">
        <f t="shared" si="71"/>
        <v>0</v>
      </c>
      <c r="J937">
        <f>I937*_xlfn.XLOOKUP(B937,AG:AG,AI:AI)</f>
        <v>0</v>
      </c>
      <c r="K937" s="7">
        <f>_xlfn.XLOOKUP(A937,Z:Z,AD:AD)</f>
        <v>46061</v>
      </c>
      <c r="L937" s="7">
        <f t="shared" si="72"/>
        <v>46031</v>
      </c>
      <c r="M937">
        <f t="shared" si="73"/>
        <v>1</v>
      </c>
      <c r="N937">
        <f t="shared" si="74"/>
        <v>2026</v>
      </c>
      <c r="W937" s="9">
        <v>696</v>
      </c>
      <c r="X937" s="9" t="s">
        <v>29</v>
      </c>
      <c r="Z937">
        <v>996</v>
      </c>
      <c r="AA937">
        <v>2903.06</v>
      </c>
      <c r="AB937" t="s">
        <v>29</v>
      </c>
      <c r="AD937" s="20">
        <v>46079</v>
      </c>
    </row>
    <row r="938" spans="1:30">
      <c r="A938">
        <v>1018</v>
      </c>
      <c r="B938" t="str">
        <f>_xlfn.XLOOKUP(A938,Z:Z,AB:AB,"not found")</f>
        <v>USD</v>
      </c>
      <c r="C938">
        <f>_xlfn.XLOOKUP(A938,Z:Z,AA:AA)-_xlfn.XLOOKUP(A938,Q:Q,R:R,"0")</f>
        <v>0</v>
      </c>
      <c r="D938">
        <f>C938*_xlfn.XLOOKUP(B938,AG:AG,AH:AH)</f>
        <v>0</v>
      </c>
      <c r="E938">
        <f>C938*_xlfn.XLOOKUP(B938,AG:AG,AI:AI)</f>
        <v>0</v>
      </c>
      <c r="F938">
        <v>5312</v>
      </c>
      <c r="G938">
        <f>F938*_xlfn.XLOOKUP(B938,AG:AG,AH:AH)</f>
        <v>4568.32</v>
      </c>
      <c r="H938">
        <f>F938*_xlfn.XLOOKUP(B938,AG:AG,AI:AI)</f>
        <v>5312</v>
      </c>
      <c r="I938">
        <f t="shared" si="71"/>
        <v>0</v>
      </c>
      <c r="J938">
        <f>I938*_xlfn.XLOOKUP(B938,AG:AG,AI:AI)</f>
        <v>0</v>
      </c>
      <c r="K938" s="7">
        <f>_xlfn.XLOOKUP(A938,Z:Z,AD:AD)</f>
        <v>46051</v>
      </c>
      <c r="L938" s="7">
        <f t="shared" si="72"/>
        <v>46021</v>
      </c>
      <c r="M938">
        <f t="shared" si="73"/>
        <v>12</v>
      </c>
      <c r="N938">
        <f t="shared" si="74"/>
        <v>2025</v>
      </c>
      <c r="W938" s="9">
        <v>696</v>
      </c>
      <c r="X938" s="9" t="s">
        <v>29</v>
      </c>
      <c r="Z938">
        <v>997</v>
      </c>
      <c r="AA938">
        <v>8610</v>
      </c>
      <c r="AB938" t="s">
        <v>29</v>
      </c>
      <c r="AD938" s="20">
        <v>46079</v>
      </c>
    </row>
    <row r="939" spans="1:30">
      <c r="A939">
        <v>1019</v>
      </c>
      <c r="B939" t="str">
        <f>_xlfn.XLOOKUP(A939,Z:Z,AB:AB,"not found")</f>
        <v>USD</v>
      </c>
      <c r="C939">
        <f>_xlfn.XLOOKUP(A939,Z:Z,AA:AA)-_xlfn.XLOOKUP(A939,Q:Q,R:R,"0")</f>
        <v>55322.5</v>
      </c>
      <c r="D939">
        <f>C939*_xlfn.XLOOKUP(B939,AG:AG,AH:AH)</f>
        <v>47577.35</v>
      </c>
      <c r="E939">
        <f>C939*_xlfn.XLOOKUP(B939,AG:AG,AI:AI)</f>
        <v>55322.5</v>
      </c>
      <c r="F939">
        <v>22996.639999999999</v>
      </c>
      <c r="G939">
        <f>F939*_xlfn.XLOOKUP(B939,AG:AG,AH:AH)</f>
        <v>19777.110399999998</v>
      </c>
      <c r="H939">
        <f>F939*_xlfn.XLOOKUP(B939,AG:AG,AI:AI)</f>
        <v>22996.639999999999</v>
      </c>
      <c r="I939">
        <f t="shared" si="71"/>
        <v>32325.86</v>
      </c>
      <c r="J939">
        <f>I939*_xlfn.XLOOKUP(B939,AG:AG,AI:AI)</f>
        <v>32325.86</v>
      </c>
      <c r="K939" s="7">
        <f>_xlfn.XLOOKUP(A939,Z:Z,AD:AD)</f>
        <v>46290</v>
      </c>
      <c r="L939" s="7">
        <f t="shared" si="72"/>
        <v>46260</v>
      </c>
      <c r="M939">
        <f t="shared" si="73"/>
        <v>8</v>
      </c>
      <c r="N939">
        <f t="shared" si="74"/>
        <v>2026</v>
      </c>
      <c r="W939" s="9">
        <v>696</v>
      </c>
      <c r="X939" s="9" t="s">
        <v>29</v>
      </c>
      <c r="Z939">
        <v>998</v>
      </c>
      <c r="AA939">
        <v>494.88</v>
      </c>
      <c r="AB939" t="s">
        <v>29</v>
      </c>
      <c r="AD939" s="20">
        <v>45979</v>
      </c>
    </row>
    <row r="940" spans="1:30">
      <c r="A940">
        <v>1020</v>
      </c>
      <c r="B940" t="str">
        <f>_xlfn.XLOOKUP(A940,Z:Z,AB:AB,"not found")</f>
        <v>USD</v>
      </c>
      <c r="C940">
        <f>_xlfn.XLOOKUP(A940,Z:Z,AA:AA)-_xlfn.XLOOKUP(A940,Q:Q,R:R,"0")</f>
        <v>52527.88</v>
      </c>
      <c r="D940">
        <f>C940*_xlfn.XLOOKUP(B940,AG:AG,AH:AH)</f>
        <v>45173.976799999997</v>
      </c>
      <c r="E940">
        <f>C940*_xlfn.XLOOKUP(B940,AG:AG,AI:AI)</f>
        <v>52527.88</v>
      </c>
      <c r="F940">
        <v>51562.18</v>
      </c>
      <c r="G940">
        <f>F940*_xlfn.XLOOKUP(B940,AG:AG,AH:AH)</f>
        <v>44343.474799999996</v>
      </c>
      <c r="H940">
        <f>F940*_xlfn.XLOOKUP(B940,AG:AG,AI:AI)</f>
        <v>51562.18</v>
      </c>
      <c r="I940">
        <f t="shared" si="71"/>
        <v>965.69999999999709</v>
      </c>
      <c r="J940">
        <f>I940*_xlfn.XLOOKUP(B940,AG:AG,AI:AI)</f>
        <v>965.69999999999709</v>
      </c>
      <c r="K940" s="7">
        <f>_xlfn.XLOOKUP(A940,Z:Z,AD:AD)</f>
        <v>45798</v>
      </c>
      <c r="L940" s="7">
        <f t="shared" si="72"/>
        <v>45768</v>
      </c>
      <c r="M940">
        <f t="shared" si="73"/>
        <v>4</v>
      </c>
      <c r="N940">
        <f t="shared" si="74"/>
        <v>2025</v>
      </c>
      <c r="W940" s="9">
        <v>696</v>
      </c>
      <c r="X940" s="9" t="s">
        <v>29</v>
      </c>
      <c r="Z940">
        <v>999</v>
      </c>
      <c r="AA940">
        <v>1436</v>
      </c>
      <c r="AB940" t="s">
        <v>29</v>
      </c>
      <c r="AD940" s="20">
        <v>46050</v>
      </c>
    </row>
    <row r="941" spans="1:30">
      <c r="A941">
        <v>1022</v>
      </c>
      <c r="B941" t="str">
        <f>_xlfn.XLOOKUP(A941,Z:Z,AB:AB,"not found")</f>
        <v>USD</v>
      </c>
      <c r="C941">
        <f>_xlfn.XLOOKUP(A941,Z:Z,AA:AA)-_xlfn.XLOOKUP(A941,Q:Q,R:R,"0")</f>
        <v>10000</v>
      </c>
      <c r="D941">
        <f>C941*_xlfn.XLOOKUP(B941,AG:AG,AH:AH)</f>
        <v>8600</v>
      </c>
      <c r="E941">
        <f>C941*_xlfn.XLOOKUP(B941,AG:AG,AI:AI)</f>
        <v>10000</v>
      </c>
      <c r="F941">
        <v>3520</v>
      </c>
      <c r="G941">
        <f>F941*_xlfn.XLOOKUP(B941,AG:AG,AH:AH)</f>
        <v>3027.2</v>
      </c>
      <c r="H941">
        <f>F941*_xlfn.XLOOKUP(B941,AG:AG,AI:AI)</f>
        <v>3520</v>
      </c>
      <c r="I941">
        <f t="shared" si="71"/>
        <v>6480</v>
      </c>
      <c r="J941">
        <f>I941*_xlfn.XLOOKUP(B941,AG:AG,AI:AI)</f>
        <v>6480</v>
      </c>
      <c r="K941" s="7">
        <f>_xlfn.XLOOKUP(A941,Z:Z,AD:AD)</f>
        <v>46148</v>
      </c>
      <c r="L941" s="7">
        <f t="shared" si="72"/>
        <v>46118</v>
      </c>
      <c r="M941">
        <f t="shared" si="73"/>
        <v>4</v>
      </c>
      <c r="N941">
        <f t="shared" si="74"/>
        <v>2026</v>
      </c>
      <c r="W941" s="9">
        <v>699</v>
      </c>
      <c r="X941" s="9" t="s">
        <v>29</v>
      </c>
      <c r="Z941">
        <v>1000</v>
      </c>
      <c r="AA941">
        <v>7147.49</v>
      </c>
      <c r="AB941" t="s">
        <v>29</v>
      </c>
      <c r="AD941" s="20">
        <v>46120</v>
      </c>
    </row>
    <row r="942" spans="1:30">
      <c r="A942">
        <v>1024</v>
      </c>
      <c r="B942" t="str">
        <f>_xlfn.XLOOKUP(A942,Z:Z,AB:AB,"not found")</f>
        <v>USD</v>
      </c>
      <c r="C942">
        <f>_xlfn.XLOOKUP(A942,Z:Z,AA:AA)-_xlfn.XLOOKUP(A942,Q:Q,R:R,"0")</f>
        <v>0</v>
      </c>
      <c r="D942">
        <f>C942*_xlfn.XLOOKUP(B942,AG:AG,AH:AH)</f>
        <v>0</v>
      </c>
      <c r="E942">
        <f>C942*_xlfn.XLOOKUP(B942,AG:AG,AI:AI)</f>
        <v>0</v>
      </c>
      <c r="F942">
        <v>12996</v>
      </c>
      <c r="G942">
        <f>F942*_xlfn.XLOOKUP(B942,AG:AG,AH:AH)</f>
        <v>11176.56</v>
      </c>
      <c r="H942">
        <f>F942*_xlfn.XLOOKUP(B942,AG:AG,AI:AI)</f>
        <v>12996</v>
      </c>
      <c r="I942">
        <f t="shared" si="71"/>
        <v>0</v>
      </c>
      <c r="J942">
        <f>I942*_xlfn.XLOOKUP(B942,AG:AG,AI:AI)</f>
        <v>0</v>
      </c>
      <c r="K942" s="7">
        <f>_xlfn.XLOOKUP(A942,Z:Z,AD:AD)</f>
        <v>46080</v>
      </c>
      <c r="L942" s="7">
        <f t="shared" si="72"/>
        <v>46050</v>
      </c>
      <c r="M942">
        <f t="shared" si="73"/>
        <v>1</v>
      </c>
      <c r="N942">
        <f t="shared" si="74"/>
        <v>2026</v>
      </c>
      <c r="W942" s="9">
        <v>699</v>
      </c>
      <c r="X942" s="9" t="s">
        <v>29</v>
      </c>
      <c r="Z942">
        <v>1001</v>
      </c>
      <c r="AA942">
        <v>3372.84</v>
      </c>
      <c r="AB942" t="s">
        <v>29</v>
      </c>
      <c r="AD942" s="20">
        <v>46199</v>
      </c>
    </row>
    <row r="943" spans="1:30">
      <c r="A943">
        <v>1025</v>
      </c>
      <c r="B943" t="str">
        <f>_xlfn.XLOOKUP(A943,Z:Z,AB:AB,"not found")</f>
        <v>USD</v>
      </c>
      <c r="C943">
        <f>_xlfn.XLOOKUP(A943,Z:Z,AA:AA)-_xlfn.XLOOKUP(A943,Q:Q,R:R,"0")</f>
        <v>12708.96</v>
      </c>
      <c r="D943">
        <f>C943*_xlfn.XLOOKUP(B943,AG:AG,AH:AH)</f>
        <v>10929.705599999999</v>
      </c>
      <c r="E943">
        <f>C943*_xlfn.XLOOKUP(B943,AG:AG,AI:AI)</f>
        <v>12708.96</v>
      </c>
      <c r="F943">
        <v>12708.96</v>
      </c>
      <c r="G943">
        <f>F943*_xlfn.XLOOKUP(B943,AG:AG,AH:AH)</f>
        <v>10929.705599999999</v>
      </c>
      <c r="H943">
        <f>F943*_xlfn.XLOOKUP(B943,AG:AG,AI:AI)</f>
        <v>12708.96</v>
      </c>
      <c r="I943">
        <f t="shared" si="71"/>
        <v>0</v>
      </c>
      <c r="J943">
        <f>I943*_xlfn.XLOOKUP(B943,AG:AG,AI:AI)</f>
        <v>0</v>
      </c>
      <c r="K943" s="7">
        <f>_xlfn.XLOOKUP(A943,Z:Z,AD:AD)</f>
        <v>46143</v>
      </c>
      <c r="L943" s="7">
        <f t="shared" si="72"/>
        <v>46113</v>
      </c>
      <c r="M943">
        <f t="shared" si="73"/>
        <v>4</v>
      </c>
      <c r="N943">
        <f t="shared" si="74"/>
        <v>2026</v>
      </c>
      <c r="W943" s="9">
        <v>700</v>
      </c>
      <c r="X943" s="9" t="s">
        <v>29</v>
      </c>
      <c r="Z943">
        <v>1002</v>
      </c>
      <c r="AA943">
        <v>72680</v>
      </c>
      <c r="AB943" t="s">
        <v>28</v>
      </c>
      <c r="AD943" s="20">
        <v>46071</v>
      </c>
    </row>
    <row r="944" spans="1:30">
      <c r="A944">
        <v>1026</v>
      </c>
      <c r="B944" t="str">
        <f>_xlfn.XLOOKUP(A944,Z:Z,AB:AB,"not found")</f>
        <v>USD</v>
      </c>
      <c r="C944">
        <f>_xlfn.XLOOKUP(A944,Z:Z,AA:AA)-_xlfn.XLOOKUP(A944,Q:Q,R:R,"0")</f>
        <v>4713.5600000000004</v>
      </c>
      <c r="D944">
        <f>C944*_xlfn.XLOOKUP(B944,AG:AG,AH:AH)</f>
        <v>4053.6616000000004</v>
      </c>
      <c r="E944">
        <f>C944*_xlfn.XLOOKUP(B944,AG:AG,AI:AI)</f>
        <v>4713.5600000000004</v>
      </c>
      <c r="F944">
        <v>4713.5600000000004</v>
      </c>
      <c r="G944">
        <f>F944*_xlfn.XLOOKUP(B944,AG:AG,AH:AH)</f>
        <v>4053.6616000000004</v>
      </c>
      <c r="H944">
        <f>F944*_xlfn.XLOOKUP(B944,AG:AG,AI:AI)</f>
        <v>4713.5600000000004</v>
      </c>
      <c r="I944">
        <f t="shared" si="71"/>
        <v>0</v>
      </c>
      <c r="J944">
        <f>I944*_xlfn.XLOOKUP(B944,AG:AG,AI:AI)</f>
        <v>0</v>
      </c>
      <c r="K944" s="7">
        <f>_xlfn.XLOOKUP(A944,Z:Z,AD:AD)</f>
        <v>46167</v>
      </c>
      <c r="L944" s="7">
        <f t="shared" si="72"/>
        <v>46137</v>
      </c>
      <c r="M944">
        <f t="shared" si="73"/>
        <v>4</v>
      </c>
      <c r="N944">
        <f t="shared" si="74"/>
        <v>2026</v>
      </c>
      <c r="W944" s="9">
        <v>701</v>
      </c>
      <c r="X944" s="9" t="s">
        <v>29</v>
      </c>
      <c r="Z944">
        <v>1003</v>
      </c>
      <c r="AA944">
        <v>305.62</v>
      </c>
      <c r="AB944" t="s">
        <v>29</v>
      </c>
      <c r="AD944" s="20">
        <v>46074</v>
      </c>
    </row>
    <row r="945" spans="1:30">
      <c r="A945">
        <v>1029</v>
      </c>
      <c r="B945" t="str">
        <f>_xlfn.XLOOKUP(A945,Z:Z,AB:AB,"not found")</f>
        <v>EUR</v>
      </c>
      <c r="C945">
        <f>_xlfn.XLOOKUP(A945,Z:Z,AA:AA)-_xlfn.XLOOKUP(A945,Q:Q,R:R,"0")</f>
        <v>7097</v>
      </c>
      <c r="D945">
        <f>C945*_xlfn.XLOOKUP(B945,AG:AG,AH:AH)</f>
        <v>7097</v>
      </c>
      <c r="E945">
        <f>C945*_xlfn.XLOOKUP(B945,AG:AG,AI:AI)</f>
        <v>8232.5199999999986</v>
      </c>
      <c r="F945">
        <v>2099</v>
      </c>
      <c r="G945">
        <f>F945*_xlfn.XLOOKUP(B945,AG:AG,AH:AH)</f>
        <v>2099</v>
      </c>
      <c r="H945">
        <f>F945*_xlfn.XLOOKUP(B945,AG:AG,AI:AI)</f>
        <v>2434.8399999999997</v>
      </c>
      <c r="I945">
        <f t="shared" si="71"/>
        <v>4998</v>
      </c>
      <c r="J945">
        <f>I945*_xlfn.XLOOKUP(B945,AG:AG,AI:AI)</f>
        <v>5797.6799999999994</v>
      </c>
      <c r="K945" s="7">
        <f>_xlfn.XLOOKUP(A945,Z:Z,AD:AD)</f>
        <v>46102</v>
      </c>
      <c r="L945" s="7">
        <f t="shared" si="72"/>
        <v>46072</v>
      </c>
      <c r="M945">
        <f t="shared" si="73"/>
        <v>2</v>
      </c>
      <c r="N945">
        <f t="shared" si="74"/>
        <v>2026</v>
      </c>
      <c r="W945" s="9">
        <v>702</v>
      </c>
      <c r="X945" s="9" t="s">
        <v>29</v>
      </c>
      <c r="Z945">
        <v>1004</v>
      </c>
      <c r="AA945">
        <v>14828</v>
      </c>
      <c r="AB945" t="s">
        <v>28</v>
      </c>
      <c r="AD945" s="20">
        <v>46058</v>
      </c>
    </row>
    <row r="946" spans="1:30">
      <c r="A946">
        <v>1030</v>
      </c>
      <c r="B946" t="str">
        <f>_xlfn.XLOOKUP(A946,Z:Z,AB:AB,"not found")</f>
        <v>EUR</v>
      </c>
      <c r="C946">
        <f>_xlfn.XLOOKUP(A946,Z:Z,AA:AA)-_xlfn.XLOOKUP(A946,Q:Q,R:R,"0")</f>
        <v>980.05</v>
      </c>
      <c r="D946">
        <f>C946*_xlfn.XLOOKUP(B946,AG:AG,AH:AH)</f>
        <v>980.05</v>
      </c>
      <c r="E946">
        <f>C946*_xlfn.XLOOKUP(B946,AG:AG,AI:AI)</f>
        <v>1136.8579999999999</v>
      </c>
      <c r="F946">
        <v>1548.55</v>
      </c>
      <c r="G946">
        <f>F946*_xlfn.XLOOKUP(B946,AG:AG,AH:AH)</f>
        <v>1548.55</v>
      </c>
      <c r="H946">
        <f>F946*_xlfn.XLOOKUP(B946,AG:AG,AI:AI)</f>
        <v>1796.3179999999998</v>
      </c>
      <c r="I946">
        <f t="shared" si="71"/>
        <v>0</v>
      </c>
      <c r="J946">
        <f>I946*_xlfn.XLOOKUP(B946,AG:AG,AI:AI)</f>
        <v>0</v>
      </c>
      <c r="K946" s="7">
        <f>_xlfn.XLOOKUP(A946,Z:Z,AD:AD)</f>
        <v>46054</v>
      </c>
      <c r="L946" s="7">
        <f t="shared" si="72"/>
        <v>46024</v>
      </c>
      <c r="M946">
        <f t="shared" si="73"/>
        <v>1</v>
      </c>
      <c r="N946">
        <f t="shared" si="74"/>
        <v>2026</v>
      </c>
      <c r="W946" s="9">
        <v>704</v>
      </c>
      <c r="X946" s="9" t="s">
        <v>29</v>
      </c>
      <c r="Z946">
        <v>1005</v>
      </c>
      <c r="AA946">
        <v>20006.439999999999</v>
      </c>
      <c r="AB946" t="s">
        <v>27</v>
      </c>
      <c r="AD946" s="20">
        <v>46139</v>
      </c>
    </row>
    <row r="947" spans="1:30">
      <c r="A947">
        <v>1031</v>
      </c>
      <c r="B947" t="str">
        <f>_xlfn.XLOOKUP(A947,Z:Z,AB:AB,"not found")</f>
        <v>EUR</v>
      </c>
      <c r="C947">
        <f>_xlfn.XLOOKUP(A947,Z:Z,AA:AA)-_xlfn.XLOOKUP(A947,Q:Q,R:R,"0")</f>
        <v>43069.88</v>
      </c>
      <c r="D947">
        <f>C947*_xlfn.XLOOKUP(B947,AG:AG,AH:AH)</f>
        <v>43069.88</v>
      </c>
      <c r="E947">
        <f>C947*_xlfn.XLOOKUP(B947,AG:AG,AI:AI)</f>
        <v>49961.060799999992</v>
      </c>
      <c r="F947">
        <v>15847.65</v>
      </c>
      <c r="G947">
        <f>F947*_xlfn.XLOOKUP(B947,AG:AG,AH:AH)</f>
        <v>15847.65</v>
      </c>
      <c r="H947">
        <f>F947*_xlfn.XLOOKUP(B947,AG:AG,AI:AI)</f>
        <v>18383.273999999998</v>
      </c>
      <c r="I947">
        <f t="shared" si="71"/>
        <v>27222.229999999996</v>
      </c>
      <c r="J947">
        <f>I947*_xlfn.XLOOKUP(B947,AG:AG,AI:AI)</f>
        <v>31577.786799999994</v>
      </c>
      <c r="K947" s="7">
        <f>_xlfn.XLOOKUP(A947,Z:Z,AD:AD)</f>
        <v>46108</v>
      </c>
      <c r="L947" s="7">
        <f t="shared" si="72"/>
        <v>46078</v>
      </c>
      <c r="M947">
        <f t="shared" si="73"/>
        <v>2</v>
      </c>
      <c r="N947">
        <f t="shared" si="74"/>
        <v>2026</v>
      </c>
      <c r="W947" s="9">
        <v>704</v>
      </c>
      <c r="X947" s="9" t="s">
        <v>29</v>
      </c>
      <c r="Z947">
        <v>1006</v>
      </c>
      <c r="AA947">
        <v>12022.15</v>
      </c>
      <c r="AB947" t="s">
        <v>29</v>
      </c>
      <c r="AD947" s="20">
        <v>46019</v>
      </c>
    </row>
    <row r="948" spans="1:30">
      <c r="A948">
        <v>1032</v>
      </c>
      <c r="B948" t="str">
        <f>_xlfn.XLOOKUP(A948,Z:Z,AB:AB,"not found")</f>
        <v>EUR</v>
      </c>
      <c r="C948">
        <f>_xlfn.XLOOKUP(A948,Z:Z,AA:AA)-_xlfn.XLOOKUP(A948,Q:Q,R:R,"0")</f>
        <v>11328</v>
      </c>
      <c r="D948">
        <f>C948*_xlfn.XLOOKUP(B948,AG:AG,AH:AH)</f>
        <v>11328</v>
      </c>
      <c r="E948">
        <f>C948*_xlfn.XLOOKUP(B948,AG:AG,AI:AI)</f>
        <v>13140.48</v>
      </c>
      <c r="F948">
        <v>3808.2</v>
      </c>
      <c r="G948">
        <f>F948*_xlfn.XLOOKUP(B948,AG:AG,AH:AH)</f>
        <v>3808.2</v>
      </c>
      <c r="H948">
        <f>F948*_xlfn.XLOOKUP(B948,AG:AG,AI:AI)</f>
        <v>4417.5119999999997</v>
      </c>
      <c r="I948">
        <f t="shared" si="71"/>
        <v>7519.8</v>
      </c>
      <c r="J948">
        <f>I948*_xlfn.XLOOKUP(B948,AG:AG,AI:AI)</f>
        <v>8722.9679999999989</v>
      </c>
      <c r="K948" s="7">
        <f>_xlfn.XLOOKUP(A948,Z:Z,AD:AD)</f>
        <v>46187</v>
      </c>
      <c r="L948" s="7">
        <f t="shared" si="72"/>
        <v>46157</v>
      </c>
      <c r="M948">
        <f t="shared" si="73"/>
        <v>5</v>
      </c>
      <c r="N948">
        <f t="shared" si="74"/>
        <v>2026</v>
      </c>
      <c r="W948" s="9">
        <v>706</v>
      </c>
      <c r="X948" s="9" t="s">
        <v>29</v>
      </c>
      <c r="Z948">
        <v>1007</v>
      </c>
      <c r="AA948">
        <v>219</v>
      </c>
      <c r="AB948" t="s">
        <v>29</v>
      </c>
      <c r="AD948" s="20">
        <v>45992</v>
      </c>
    </row>
    <row r="949" spans="1:30">
      <c r="A949">
        <v>1033</v>
      </c>
      <c r="B949" t="str">
        <f>_xlfn.XLOOKUP(A949,Z:Z,AB:AB,"not found")</f>
        <v>USD</v>
      </c>
      <c r="C949">
        <f>_xlfn.XLOOKUP(A949,Z:Z,AA:AA)-_xlfn.XLOOKUP(A949,Q:Q,R:R,"0")</f>
        <v>0</v>
      </c>
      <c r="D949">
        <f>C949*_xlfn.XLOOKUP(B949,AG:AG,AH:AH)</f>
        <v>0</v>
      </c>
      <c r="E949">
        <f>C949*_xlfn.XLOOKUP(B949,AG:AG,AI:AI)</f>
        <v>0</v>
      </c>
      <c r="F949">
        <v>3000.27</v>
      </c>
      <c r="G949">
        <f>F949*_xlfn.XLOOKUP(B949,AG:AG,AH:AH)</f>
        <v>2580.2321999999999</v>
      </c>
      <c r="H949">
        <f>F949*_xlfn.XLOOKUP(B949,AG:AG,AI:AI)</f>
        <v>3000.27</v>
      </c>
      <c r="I949">
        <f t="shared" si="71"/>
        <v>0</v>
      </c>
      <c r="J949">
        <f>I949*_xlfn.XLOOKUP(B949,AG:AG,AI:AI)</f>
        <v>0</v>
      </c>
      <c r="K949" s="7">
        <f>_xlfn.XLOOKUP(A949,Z:Z,AD:AD)</f>
        <v>46059</v>
      </c>
      <c r="L949" s="7">
        <f t="shared" si="72"/>
        <v>46029</v>
      </c>
      <c r="M949">
        <f t="shared" si="73"/>
        <v>1</v>
      </c>
      <c r="N949">
        <f t="shared" si="74"/>
        <v>2026</v>
      </c>
      <c r="W949" s="9">
        <v>707</v>
      </c>
      <c r="X949" s="9" t="s">
        <v>29</v>
      </c>
      <c r="Z949">
        <v>1008</v>
      </c>
      <c r="AA949">
        <v>219</v>
      </c>
      <c r="AB949" t="s">
        <v>29</v>
      </c>
      <c r="AD949" s="20">
        <v>45992</v>
      </c>
    </row>
    <row r="950" spans="1:30">
      <c r="A950">
        <v>1034</v>
      </c>
      <c r="B950" t="str">
        <f>_xlfn.XLOOKUP(A950,Z:Z,AB:AB,"not found")</f>
        <v>USD</v>
      </c>
      <c r="C950">
        <f>_xlfn.XLOOKUP(A950,Z:Z,AA:AA)-_xlfn.XLOOKUP(A950,Q:Q,R:R,"0")</f>
        <v>10147.24</v>
      </c>
      <c r="D950">
        <f>C950*_xlfn.XLOOKUP(B950,AG:AG,AH:AH)</f>
        <v>8726.6263999999992</v>
      </c>
      <c r="E950">
        <f>C950*_xlfn.XLOOKUP(B950,AG:AG,AI:AI)</f>
        <v>10147.24</v>
      </c>
      <c r="F950">
        <v>10147.24</v>
      </c>
      <c r="G950">
        <f>F950*_xlfn.XLOOKUP(B950,AG:AG,AH:AH)</f>
        <v>8726.6263999999992</v>
      </c>
      <c r="H950">
        <f>F950*_xlfn.XLOOKUP(B950,AG:AG,AI:AI)</f>
        <v>10147.24</v>
      </c>
      <c r="I950">
        <f t="shared" si="71"/>
        <v>0</v>
      </c>
      <c r="J950">
        <f>I950*_xlfn.XLOOKUP(B950,AG:AG,AI:AI)</f>
        <v>0</v>
      </c>
      <c r="K950" s="7">
        <f>_xlfn.XLOOKUP(A950,Z:Z,AD:AD)</f>
        <v>46291</v>
      </c>
      <c r="L950" s="7">
        <f t="shared" si="72"/>
        <v>46261</v>
      </c>
      <c r="M950">
        <f t="shared" si="73"/>
        <v>8</v>
      </c>
      <c r="N950">
        <f t="shared" si="74"/>
        <v>2026</v>
      </c>
      <c r="W950" s="9">
        <v>707</v>
      </c>
      <c r="X950" s="9" t="s">
        <v>29</v>
      </c>
      <c r="Z950">
        <v>1009</v>
      </c>
      <c r="AA950">
        <v>76952</v>
      </c>
      <c r="AB950" t="s">
        <v>28</v>
      </c>
      <c r="AD950" s="20">
        <v>46134</v>
      </c>
    </row>
    <row r="951" spans="1:30">
      <c r="A951">
        <v>1036</v>
      </c>
      <c r="B951" t="str">
        <f>_xlfn.XLOOKUP(A951,Z:Z,AB:AB,"not found")</f>
        <v>USD</v>
      </c>
      <c r="C951">
        <f>_xlfn.XLOOKUP(A951,Z:Z,AA:AA)-_xlfn.XLOOKUP(A951,Q:Q,R:R,"0")</f>
        <v>0</v>
      </c>
      <c r="D951">
        <f>C951*_xlfn.XLOOKUP(B951,AG:AG,AH:AH)</f>
        <v>0</v>
      </c>
      <c r="E951">
        <f>C951*_xlfn.XLOOKUP(B951,AG:AG,AI:AI)</f>
        <v>0</v>
      </c>
      <c r="F951">
        <v>551.29999999999995</v>
      </c>
      <c r="G951">
        <f>F951*_xlfn.XLOOKUP(B951,AG:AG,AH:AH)</f>
        <v>474.11799999999994</v>
      </c>
      <c r="H951">
        <f>F951*_xlfn.XLOOKUP(B951,AG:AG,AI:AI)</f>
        <v>551.29999999999995</v>
      </c>
      <c r="I951">
        <f t="shared" si="71"/>
        <v>0</v>
      </c>
      <c r="J951">
        <f>I951*_xlfn.XLOOKUP(B951,AG:AG,AI:AI)</f>
        <v>0</v>
      </c>
      <c r="K951" s="7">
        <f>_xlfn.XLOOKUP(A951,Z:Z,AD:AD)</f>
        <v>46075</v>
      </c>
      <c r="L951" s="7">
        <f t="shared" si="72"/>
        <v>46045</v>
      </c>
      <c r="M951">
        <f t="shared" si="73"/>
        <v>1</v>
      </c>
      <c r="N951">
        <f t="shared" si="74"/>
        <v>2026</v>
      </c>
      <c r="W951" s="9">
        <v>707</v>
      </c>
      <c r="X951" s="9" t="s">
        <v>29</v>
      </c>
      <c r="Z951">
        <v>1010</v>
      </c>
      <c r="AA951">
        <v>9639</v>
      </c>
      <c r="AB951" t="s">
        <v>29</v>
      </c>
      <c r="AD951" s="20">
        <v>46025</v>
      </c>
    </row>
    <row r="952" spans="1:30">
      <c r="A952">
        <v>1037</v>
      </c>
      <c r="B952" t="str">
        <f>_xlfn.XLOOKUP(A952,Z:Z,AB:AB,"not found")</f>
        <v>USD</v>
      </c>
      <c r="C952">
        <f>_xlfn.XLOOKUP(A952,Z:Z,AA:AA)-_xlfn.XLOOKUP(A952,Q:Q,R:R,"0")</f>
        <v>0</v>
      </c>
      <c r="D952">
        <f>C952*_xlfn.XLOOKUP(B952,AG:AG,AH:AH)</f>
        <v>0</v>
      </c>
      <c r="E952">
        <f>C952*_xlfn.XLOOKUP(B952,AG:AG,AI:AI)</f>
        <v>0</v>
      </c>
      <c r="F952">
        <v>5589</v>
      </c>
      <c r="G952">
        <f>F952*_xlfn.XLOOKUP(B952,AG:AG,AH:AH)</f>
        <v>4806.54</v>
      </c>
      <c r="H952">
        <f>F952*_xlfn.XLOOKUP(B952,AG:AG,AI:AI)</f>
        <v>5589</v>
      </c>
      <c r="I952">
        <f t="shared" si="71"/>
        <v>0</v>
      </c>
      <c r="J952">
        <f>I952*_xlfn.XLOOKUP(B952,AG:AG,AI:AI)</f>
        <v>0</v>
      </c>
      <c r="K952" s="7">
        <f>_xlfn.XLOOKUP(A952,Z:Z,AD:AD)</f>
        <v>46018</v>
      </c>
      <c r="L952" s="7">
        <f t="shared" si="72"/>
        <v>45988</v>
      </c>
      <c r="M952">
        <f t="shared" si="73"/>
        <v>11</v>
      </c>
      <c r="N952">
        <f t="shared" si="74"/>
        <v>2025</v>
      </c>
      <c r="W952" s="9">
        <v>707</v>
      </c>
      <c r="X952" s="9" t="s">
        <v>29</v>
      </c>
      <c r="Z952">
        <v>1011</v>
      </c>
      <c r="AA952">
        <v>98933.6</v>
      </c>
      <c r="AB952" t="s">
        <v>28</v>
      </c>
      <c r="AD952" s="20">
        <v>46109</v>
      </c>
    </row>
    <row r="953" spans="1:30">
      <c r="A953">
        <v>1038</v>
      </c>
      <c r="B953" t="str">
        <f>_xlfn.XLOOKUP(A953,Z:Z,AB:AB,"not found")</f>
        <v>EUR</v>
      </c>
      <c r="C953">
        <f>_xlfn.XLOOKUP(A953,Z:Z,AA:AA)-_xlfn.XLOOKUP(A953,Q:Q,R:R,"0")</f>
        <v>4614.18</v>
      </c>
      <c r="D953">
        <f>C953*_xlfn.XLOOKUP(B953,AG:AG,AH:AH)</f>
        <v>4614.18</v>
      </c>
      <c r="E953">
        <f>C953*_xlfn.XLOOKUP(B953,AG:AG,AI:AI)</f>
        <v>5352.4488000000001</v>
      </c>
      <c r="F953">
        <v>5954.04</v>
      </c>
      <c r="G953">
        <f>F953*_xlfn.XLOOKUP(B953,AG:AG,AH:AH)</f>
        <v>5954.04</v>
      </c>
      <c r="H953">
        <f>F953*_xlfn.XLOOKUP(B953,AG:AG,AI:AI)</f>
        <v>6906.6863999999996</v>
      </c>
      <c r="I953">
        <f t="shared" si="71"/>
        <v>-1339.8599999999997</v>
      </c>
      <c r="J953">
        <f>I953*_xlfn.XLOOKUP(B953,AG:AG,AI:AI)</f>
        <v>-1554.2375999999995</v>
      </c>
      <c r="K953" s="7">
        <f>_xlfn.XLOOKUP(A953,Z:Z,AD:AD)</f>
        <v>46061</v>
      </c>
      <c r="L953" s="7">
        <f t="shared" si="72"/>
        <v>46031</v>
      </c>
      <c r="M953">
        <f t="shared" si="73"/>
        <v>1</v>
      </c>
      <c r="N953">
        <f t="shared" si="74"/>
        <v>2026</v>
      </c>
      <c r="W953" s="9">
        <v>709</v>
      </c>
      <c r="X953" s="9" t="s">
        <v>30</v>
      </c>
      <c r="Z953">
        <v>1012</v>
      </c>
      <c r="AA953">
        <v>186720</v>
      </c>
      <c r="AB953" t="s">
        <v>28</v>
      </c>
      <c r="AD953" s="20">
        <v>46053</v>
      </c>
    </row>
    <row r="954" spans="1:30">
      <c r="A954">
        <v>1039</v>
      </c>
      <c r="B954" t="str">
        <f>_xlfn.XLOOKUP(A954,Z:Z,AB:AB,"not found")</f>
        <v>USD</v>
      </c>
      <c r="C954">
        <f>_xlfn.XLOOKUP(A954,Z:Z,AA:AA)-_xlfn.XLOOKUP(A954,Q:Q,R:R,"0")</f>
        <v>18728</v>
      </c>
      <c r="D954">
        <f>C954*_xlfn.XLOOKUP(B954,AG:AG,AH:AH)</f>
        <v>16106.08</v>
      </c>
      <c r="E954">
        <f>C954*_xlfn.XLOOKUP(B954,AG:AG,AI:AI)</f>
        <v>18728</v>
      </c>
      <c r="F954">
        <v>18728</v>
      </c>
      <c r="G954">
        <f>F954*_xlfn.XLOOKUP(B954,AG:AG,AH:AH)</f>
        <v>16106.08</v>
      </c>
      <c r="H954">
        <f>F954*_xlfn.XLOOKUP(B954,AG:AG,AI:AI)</f>
        <v>18728</v>
      </c>
      <c r="I954">
        <f t="shared" si="71"/>
        <v>0</v>
      </c>
      <c r="J954">
        <f>I954*_xlfn.XLOOKUP(B954,AG:AG,AI:AI)</f>
        <v>0</v>
      </c>
      <c r="K954" s="7">
        <f>_xlfn.XLOOKUP(A954,Z:Z,AD:AD)</f>
        <v>46106</v>
      </c>
      <c r="L954" s="7">
        <f t="shared" si="72"/>
        <v>46076</v>
      </c>
      <c r="M954">
        <f t="shared" si="73"/>
        <v>2</v>
      </c>
      <c r="N954">
        <f t="shared" si="74"/>
        <v>2026</v>
      </c>
      <c r="W954" s="9">
        <v>710</v>
      </c>
      <c r="X954" s="9" t="s">
        <v>27</v>
      </c>
      <c r="Z954">
        <v>1014</v>
      </c>
      <c r="AA954">
        <v>3300.7</v>
      </c>
      <c r="AB954" t="s">
        <v>29</v>
      </c>
      <c r="AD954" s="20">
        <v>45699</v>
      </c>
    </row>
    <row r="955" spans="1:30">
      <c r="A955">
        <v>1041</v>
      </c>
      <c r="B955" t="str">
        <f>_xlfn.XLOOKUP(A955,Z:Z,AB:AB,"not found")</f>
        <v>MXN</v>
      </c>
      <c r="C955">
        <f>_xlfn.XLOOKUP(A955,Z:Z,AA:AA)-_xlfn.XLOOKUP(A955,Q:Q,R:R,"0")</f>
        <v>7127.04</v>
      </c>
      <c r="D955">
        <f>C955*_xlfn.XLOOKUP(B955,AG:AG,AH:AH)</f>
        <v>342.09791999999999</v>
      </c>
      <c r="E955">
        <f>C955*_xlfn.XLOOKUP(B955,AG:AG,AI:AI)</f>
        <v>399.11424</v>
      </c>
      <c r="F955">
        <v>7127.04</v>
      </c>
      <c r="G955">
        <f>F955*_xlfn.XLOOKUP(B955,AG:AG,AH:AH)</f>
        <v>342.09791999999999</v>
      </c>
      <c r="H955">
        <f>F955*_xlfn.XLOOKUP(B955,AG:AG,AI:AI)</f>
        <v>399.11424</v>
      </c>
      <c r="I955">
        <f t="shared" si="71"/>
        <v>0</v>
      </c>
      <c r="J955">
        <f>I955*_xlfn.XLOOKUP(B955,AG:AG,AI:AI)</f>
        <v>0</v>
      </c>
      <c r="K955" s="7">
        <f>_xlfn.XLOOKUP(A955,Z:Z,AD:AD)</f>
        <v>46053</v>
      </c>
      <c r="L955" s="7">
        <f t="shared" si="72"/>
        <v>46023</v>
      </c>
      <c r="M955">
        <f t="shared" si="73"/>
        <v>1</v>
      </c>
      <c r="N955">
        <f t="shared" si="74"/>
        <v>2026</v>
      </c>
      <c r="W955" s="9">
        <v>710</v>
      </c>
      <c r="X955" s="9" t="s">
        <v>27</v>
      </c>
      <c r="Z955">
        <v>1015</v>
      </c>
      <c r="AA955">
        <v>55900</v>
      </c>
      <c r="AB955" t="s">
        <v>29</v>
      </c>
      <c r="AD955" s="20">
        <v>46117</v>
      </c>
    </row>
    <row r="956" spans="1:30">
      <c r="A956">
        <v>1042</v>
      </c>
      <c r="B956" t="str">
        <f>_xlfn.XLOOKUP(A956,Z:Z,AB:AB,"not found")</f>
        <v>EUR</v>
      </c>
      <c r="C956">
        <f>_xlfn.XLOOKUP(A956,Z:Z,AA:AA)-_xlfn.XLOOKUP(A956,Q:Q,R:R,"0")</f>
        <v>7427.1</v>
      </c>
      <c r="D956">
        <f>C956*_xlfn.XLOOKUP(B956,AG:AG,AH:AH)</f>
        <v>7427.1</v>
      </c>
      <c r="E956">
        <f>C956*_xlfn.XLOOKUP(B956,AG:AG,AI:AI)</f>
        <v>8615.4359999999997</v>
      </c>
      <c r="F956">
        <v>2231.6999999999998</v>
      </c>
      <c r="G956">
        <f>F956*_xlfn.XLOOKUP(B956,AG:AG,AH:AH)</f>
        <v>2231.6999999999998</v>
      </c>
      <c r="H956">
        <f>F956*_xlfn.XLOOKUP(B956,AG:AG,AI:AI)</f>
        <v>2588.7719999999995</v>
      </c>
      <c r="I956">
        <f t="shared" si="71"/>
        <v>5195.4000000000005</v>
      </c>
      <c r="J956">
        <f>I956*_xlfn.XLOOKUP(B956,AG:AG,AI:AI)</f>
        <v>6026.6640000000007</v>
      </c>
      <c r="K956" s="7">
        <f>_xlfn.XLOOKUP(A956,Z:Z,AD:AD)</f>
        <v>46207</v>
      </c>
      <c r="L956" s="7">
        <f t="shared" si="72"/>
        <v>46177</v>
      </c>
      <c r="M956">
        <f t="shared" si="73"/>
        <v>6</v>
      </c>
      <c r="N956">
        <f t="shared" si="74"/>
        <v>2026</v>
      </c>
      <c r="W956" s="9">
        <v>710</v>
      </c>
      <c r="X956" s="9" t="s">
        <v>27</v>
      </c>
      <c r="Z956">
        <v>1016</v>
      </c>
      <c r="AA956">
        <v>2644</v>
      </c>
      <c r="AB956" t="s">
        <v>29</v>
      </c>
      <c r="AD956" s="20">
        <v>45964</v>
      </c>
    </row>
    <row r="957" spans="1:30">
      <c r="A957">
        <v>1043</v>
      </c>
      <c r="B957" t="str">
        <f>_xlfn.XLOOKUP(A957,Z:Z,AB:AB,"not found")</f>
        <v>USD</v>
      </c>
      <c r="C957">
        <f>_xlfn.XLOOKUP(A957,Z:Z,AA:AA)-_xlfn.XLOOKUP(A957,Q:Q,R:R,"0")</f>
        <v>32887.39</v>
      </c>
      <c r="D957">
        <f>C957*_xlfn.XLOOKUP(B957,AG:AG,AH:AH)</f>
        <v>28283.1554</v>
      </c>
      <c r="E957">
        <f>C957*_xlfn.XLOOKUP(B957,AG:AG,AI:AI)</f>
        <v>32887.39</v>
      </c>
      <c r="F957">
        <v>32887.39</v>
      </c>
      <c r="G957">
        <f>F957*_xlfn.XLOOKUP(B957,AG:AG,AH:AH)</f>
        <v>28283.1554</v>
      </c>
      <c r="H957">
        <f>F957*_xlfn.XLOOKUP(B957,AG:AG,AI:AI)</f>
        <v>32887.39</v>
      </c>
      <c r="I957">
        <f t="shared" si="71"/>
        <v>0</v>
      </c>
      <c r="J957">
        <f>I957*_xlfn.XLOOKUP(B957,AG:AG,AI:AI)</f>
        <v>0</v>
      </c>
      <c r="K957" s="7">
        <f>_xlfn.XLOOKUP(A957,Z:Z,AD:AD)</f>
        <v>46290</v>
      </c>
      <c r="L957" s="7">
        <f t="shared" si="72"/>
        <v>46260</v>
      </c>
      <c r="M957">
        <f t="shared" si="73"/>
        <v>8</v>
      </c>
      <c r="N957">
        <f t="shared" si="74"/>
        <v>2026</v>
      </c>
      <c r="W957" s="9">
        <v>711</v>
      </c>
      <c r="X957" s="9" t="s">
        <v>27</v>
      </c>
      <c r="Z957">
        <v>1017</v>
      </c>
      <c r="AA957">
        <v>1386.99</v>
      </c>
      <c r="AB957" t="s">
        <v>27</v>
      </c>
      <c r="AD957" s="20">
        <v>46061</v>
      </c>
    </row>
    <row r="958" spans="1:30">
      <c r="A958">
        <v>1044</v>
      </c>
      <c r="B958" t="str">
        <f>_xlfn.XLOOKUP(A958,Z:Z,AB:AB,"not found")</f>
        <v>EUR</v>
      </c>
      <c r="C958">
        <f>_xlfn.XLOOKUP(A958,Z:Z,AA:AA)-_xlfn.XLOOKUP(A958,Q:Q,R:R,"0")</f>
        <v>24021</v>
      </c>
      <c r="D958">
        <f>C958*_xlfn.XLOOKUP(B958,AG:AG,AH:AH)</f>
        <v>24021</v>
      </c>
      <c r="E958">
        <f>C958*_xlfn.XLOOKUP(B958,AG:AG,AI:AI)</f>
        <v>27864.359999999997</v>
      </c>
      <c r="F958">
        <v>24008.14</v>
      </c>
      <c r="G958">
        <f>F958*_xlfn.XLOOKUP(B958,AG:AG,AH:AH)</f>
        <v>24008.14</v>
      </c>
      <c r="H958">
        <f>F958*_xlfn.XLOOKUP(B958,AG:AG,AI:AI)</f>
        <v>27849.442399999996</v>
      </c>
      <c r="I958">
        <f t="shared" si="71"/>
        <v>12.860000000000582</v>
      </c>
      <c r="J958">
        <f>I958*_xlfn.XLOOKUP(B958,AG:AG,AI:AI)</f>
        <v>14.917600000000673</v>
      </c>
      <c r="K958" s="7">
        <f>_xlfn.XLOOKUP(A958,Z:Z,AD:AD)</f>
        <v>46074</v>
      </c>
      <c r="L958" s="7">
        <f t="shared" si="72"/>
        <v>46044</v>
      </c>
      <c r="M958">
        <f t="shared" si="73"/>
        <v>1</v>
      </c>
      <c r="N958">
        <f t="shared" si="74"/>
        <v>2026</v>
      </c>
      <c r="W958" s="9">
        <v>711</v>
      </c>
      <c r="X958" s="9" t="s">
        <v>27</v>
      </c>
      <c r="Z958">
        <v>1018</v>
      </c>
      <c r="AA958">
        <v>5312</v>
      </c>
      <c r="AB958" t="s">
        <v>29</v>
      </c>
      <c r="AD958" s="20">
        <v>46051</v>
      </c>
    </row>
    <row r="959" spans="1:30">
      <c r="A959">
        <v>1045</v>
      </c>
      <c r="B959" t="str">
        <f>_xlfn.XLOOKUP(A959,Z:Z,AB:AB,"not found")</f>
        <v>USD</v>
      </c>
      <c r="C959">
        <f>_xlfn.XLOOKUP(A959,Z:Z,AA:AA)-_xlfn.XLOOKUP(A959,Q:Q,R:R,"0")</f>
        <v>0</v>
      </c>
      <c r="D959">
        <f>C959*_xlfn.XLOOKUP(B959,AG:AG,AH:AH)</f>
        <v>0</v>
      </c>
      <c r="E959">
        <f>C959*_xlfn.XLOOKUP(B959,AG:AG,AI:AI)</f>
        <v>0</v>
      </c>
      <c r="F959">
        <v>2065</v>
      </c>
      <c r="G959">
        <f>F959*_xlfn.XLOOKUP(B959,AG:AG,AH:AH)</f>
        <v>1775.8999999999999</v>
      </c>
      <c r="H959">
        <f>F959*_xlfn.XLOOKUP(B959,AG:AG,AI:AI)</f>
        <v>2065</v>
      </c>
      <c r="I959">
        <f t="shared" si="71"/>
        <v>0</v>
      </c>
      <c r="J959">
        <f>I959*_xlfn.XLOOKUP(B959,AG:AG,AI:AI)</f>
        <v>0</v>
      </c>
      <c r="K959" s="7">
        <f>_xlfn.XLOOKUP(A959,Z:Z,AD:AD)</f>
        <v>46011</v>
      </c>
      <c r="L959" s="7">
        <f t="shared" si="72"/>
        <v>45981</v>
      </c>
      <c r="M959">
        <f t="shared" si="73"/>
        <v>11</v>
      </c>
      <c r="N959">
        <f t="shared" si="74"/>
        <v>2025</v>
      </c>
      <c r="W959" s="9">
        <v>712</v>
      </c>
      <c r="X959" s="9" t="s">
        <v>27</v>
      </c>
      <c r="Z959">
        <v>1019</v>
      </c>
      <c r="AA959">
        <v>55322.5</v>
      </c>
      <c r="AB959" t="s">
        <v>29</v>
      </c>
      <c r="AD959" s="20">
        <v>46290</v>
      </c>
    </row>
    <row r="960" spans="1:30">
      <c r="A960">
        <v>1046</v>
      </c>
      <c r="B960" t="str">
        <f>_xlfn.XLOOKUP(A960,Z:Z,AB:AB,"not found")</f>
        <v>USD</v>
      </c>
      <c r="C960">
        <f>_xlfn.XLOOKUP(A960,Z:Z,AA:AA)-_xlfn.XLOOKUP(A960,Q:Q,R:R,"0")</f>
        <v>261000</v>
      </c>
      <c r="D960">
        <f>C960*_xlfn.XLOOKUP(B960,AG:AG,AH:AH)</f>
        <v>224460</v>
      </c>
      <c r="E960">
        <f>C960*_xlfn.XLOOKUP(B960,AG:AG,AI:AI)</f>
        <v>261000</v>
      </c>
      <c r="F960">
        <v>15103</v>
      </c>
      <c r="G960">
        <f>F960*_xlfn.XLOOKUP(B960,AG:AG,AH:AH)</f>
        <v>12988.58</v>
      </c>
      <c r="H960">
        <f>F960*_xlfn.XLOOKUP(B960,AG:AG,AI:AI)</f>
        <v>15103</v>
      </c>
      <c r="I960">
        <f t="shared" si="71"/>
        <v>245897</v>
      </c>
      <c r="J960">
        <f>I960*_xlfn.XLOOKUP(B960,AG:AG,AI:AI)</f>
        <v>245897</v>
      </c>
      <c r="K960" s="7">
        <f>_xlfn.XLOOKUP(A960,Z:Z,AD:AD)</f>
        <v>46151</v>
      </c>
      <c r="L960" s="7">
        <f t="shared" si="72"/>
        <v>46121</v>
      </c>
      <c r="M960">
        <f t="shared" si="73"/>
        <v>4</v>
      </c>
      <c r="N960">
        <f t="shared" si="74"/>
        <v>2026</v>
      </c>
      <c r="W960" s="9">
        <v>714</v>
      </c>
      <c r="X960" s="9" t="s">
        <v>29</v>
      </c>
      <c r="Z960">
        <v>1020</v>
      </c>
      <c r="AA960">
        <v>52527.88</v>
      </c>
      <c r="AB960" t="s">
        <v>29</v>
      </c>
      <c r="AD960" s="20">
        <v>45798</v>
      </c>
    </row>
    <row r="961" spans="1:30">
      <c r="A961">
        <v>1047</v>
      </c>
      <c r="B961" t="str">
        <f>_xlfn.XLOOKUP(A961,Z:Z,AB:AB,"not found")</f>
        <v>USD</v>
      </c>
      <c r="C961">
        <f>_xlfn.XLOOKUP(A961,Z:Z,AA:AA)-_xlfn.XLOOKUP(A961,Q:Q,R:R,"0")</f>
        <v>15448</v>
      </c>
      <c r="D961">
        <f>C961*_xlfn.XLOOKUP(B961,AG:AG,AH:AH)</f>
        <v>13285.28</v>
      </c>
      <c r="E961">
        <f>C961*_xlfn.XLOOKUP(B961,AG:AG,AI:AI)</f>
        <v>15448</v>
      </c>
      <c r="F961">
        <v>15448</v>
      </c>
      <c r="G961">
        <f>F961*_xlfn.XLOOKUP(B961,AG:AG,AH:AH)</f>
        <v>13285.28</v>
      </c>
      <c r="H961">
        <f>F961*_xlfn.XLOOKUP(B961,AG:AG,AI:AI)</f>
        <v>15448</v>
      </c>
      <c r="I961">
        <f t="shared" si="71"/>
        <v>0</v>
      </c>
      <c r="J961">
        <f>I961*_xlfn.XLOOKUP(B961,AG:AG,AI:AI)</f>
        <v>0</v>
      </c>
      <c r="K961" s="7">
        <f>_xlfn.XLOOKUP(A961,Z:Z,AD:AD)</f>
        <v>46088</v>
      </c>
      <c r="L961" s="7">
        <f t="shared" si="72"/>
        <v>46058</v>
      </c>
      <c r="M961">
        <f t="shared" si="73"/>
        <v>2</v>
      </c>
      <c r="N961">
        <f t="shared" si="74"/>
        <v>2026</v>
      </c>
      <c r="W961" s="9">
        <v>714</v>
      </c>
      <c r="X961" s="9" t="s">
        <v>29</v>
      </c>
      <c r="Z961">
        <v>1022</v>
      </c>
      <c r="AA961">
        <v>10000</v>
      </c>
      <c r="AB961" t="s">
        <v>29</v>
      </c>
      <c r="AD961" s="20">
        <v>46148</v>
      </c>
    </row>
    <row r="962" spans="1:30">
      <c r="A962">
        <v>1048</v>
      </c>
      <c r="B962" t="str">
        <f>_xlfn.XLOOKUP(A962,Z:Z,AB:AB,"not found")</f>
        <v>MXN</v>
      </c>
      <c r="C962">
        <f>_xlfn.XLOOKUP(A962,Z:Z,AA:AA)-_xlfn.XLOOKUP(A962,Q:Q,R:R,"0")</f>
        <v>79800</v>
      </c>
      <c r="D962">
        <f>C962*_xlfn.XLOOKUP(B962,AG:AG,AH:AH)</f>
        <v>3830.4</v>
      </c>
      <c r="E962">
        <f>C962*_xlfn.XLOOKUP(B962,AG:AG,AI:AI)</f>
        <v>4468.8</v>
      </c>
      <c r="F962">
        <v>30000</v>
      </c>
      <c r="G962">
        <f>F962*_xlfn.XLOOKUP(B962,AG:AG,AH:AH)</f>
        <v>1440</v>
      </c>
      <c r="H962">
        <f>F962*_xlfn.XLOOKUP(B962,AG:AG,AI:AI)</f>
        <v>1680</v>
      </c>
      <c r="I962">
        <f t="shared" si="71"/>
        <v>49800</v>
      </c>
      <c r="J962">
        <f>I962*_xlfn.XLOOKUP(B962,AG:AG,AI:AI)</f>
        <v>2788.8</v>
      </c>
      <c r="K962" s="7">
        <f>_xlfn.XLOOKUP(A962,Z:Z,AD:AD)</f>
        <v>46328</v>
      </c>
      <c r="L962" s="7">
        <f t="shared" si="72"/>
        <v>46298</v>
      </c>
      <c r="M962">
        <f t="shared" si="73"/>
        <v>10</v>
      </c>
      <c r="N962">
        <f t="shared" si="74"/>
        <v>2026</v>
      </c>
      <c r="W962" s="9">
        <v>715</v>
      </c>
      <c r="X962" s="9" t="s">
        <v>28</v>
      </c>
      <c r="Z962">
        <v>1023</v>
      </c>
      <c r="AA962">
        <v>5341.18</v>
      </c>
      <c r="AB962" t="s">
        <v>29</v>
      </c>
      <c r="AD962" s="20">
        <v>46045</v>
      </c>
    </row>
    <row r="963" spans="1:30">
      <c r="A963">
        <v>1049</v>
      </c>
      <c r="B963" t="str">
        <f>_xlfn.XLOOKUP(A963,Z:Z,AB:AB,"not found")</f>
        <v>USD</v>
      </c>
      <c r="C963">
        <f>_xlfn.XLOOKUP(A963,Z:Z,AA:AA)-_xlfn.XLOOKUP(A963,Q:Q,R:R,"0")</f>
        <v>1512.47</v>
      </c>
      <c r="D963">
        <f>C963*_xlfn.XLOOKUP(B963,AG:AG,AH:AH)</f>
        <v>1300.7242000000001</v>
      </c>
      <c r="E963">
        <f>C963*_xlfn.XLOOKUP(B963,AG:AG,AI:AI)</f>
        <v>1512.47</v>
      </c>
      <c r="F963">
        <v>1512.47</v>
      </c>
      <c r="G963">
        <f>F963*_xlfn.XLOOKUP(B963,AG:AG,AH:AH)</f>
        <v>1300.7242000000001</v>
      </c>
      <c r="H963">
        <f>F963*_xlfn.XLOOKUP(B963,AG:AG,AI:AI)</f>
        <v>1512.47</v>
      </c>
      <c r="I963">
        <f t="shared" ref="I963:I1015" si="75">C963-F963+_xlfn.XLOOKUP(A963,Q:Q,R:R,"0")</f>
        <v>0</v>
      </c>
      <c r="J963">
        <f>I963*_xlfn.XLOOKUP(B963,AG:AG,AI:AI)</f>
        <v>0</v>
      </c>
      <c r="K963" s="7">
        <f>_xlfn.XLOOKUP(A963,Z:Z,AD:AD)</f>
        <v>46079</v>
      </c>
      <c r="L963" s="7">
        <f t="shared" si="72"/>
        <v>46049</v>
      </c>
      <c r="M963">
        <f t="shared" si="73"/>
        <v>1</v>
      </c>
      <c r="N963">
        <f t="shared" si="74"/>
        <v>2026</v>
      </c>
      <c r="W963" s="9">
        <v>716</v>
      </c>
      <c r="X963" s="9" t="s">
        <v>29</v>
      </c>
      <c r="Z963">
        <v>1024</v>
      </c>
      <c r="AA963">
        <v>12996</v>
      </c>
      <c r="AB963" t="s">
        <v>29</v>
      </c>
      <c r="AD963" s="20">
        <v>46080</v>
      </c>
    </row>
    <row r="964" spans="1:30">
      <c r="A964">
        <v>1050</v>
      </c>
      <c r="B964" t="str">
        <f>_xlfn.XLOOKUP(A964,Z:Z,AB:AB,"not found")</f>
        <v>EUR</v>
      </c>
      <c r="C964">
        <f>_xlfn.XLOOKUP(A964,Z:Z,AA:AA)-_xlfn.XLOOKUP(A964,Q:Q,R:R,"0")</f>
        <v>3390.99</v>
      </c>
      <c r="D964">
        <f>C964*_xlfn.XLOOKUP(B964,AG:AG,AH:AH)</f>
        <v>3390.99</v>
      </c>
      <c r="E964">
        <f>C964*_xlfn.XLOOKUP(B964,AG:AG,AI:AI)</f>
        <v>3933.5483999999997</v>
      </c>
      <c r="F964">
        <v>3325.18</v>
      </c>
      <c r="G964">
        <f>F964*_xlfn.XLOOKUP(B964,AG:AG,AH:AH)</f>
        <v>3325.18</v>
      </c>
      <c r="H964">
        <f>F964*_xlfn.XLOOKUP(B964,AG:AG,AI:AI)</f>
        <v>3857.2087999999994</v>
      </c>
      <c r="I964">
        <f t="shared" si="75"/>
        <v>65.809999999999945</v>
      </c>
      <c r="J964">
        <f>I964*_xlfn.XLOOKUP(B964,AG:AG,AI:AI)</f>
        <v>76.339599999999933</v>
      </c>
      <c r="K964" s="7">
        <f>_xlfn.XLOOKUP(A964,Z:Z,AD:AD)</f>
        <v>46186</v>
      </c>
      <c r="L964" s="7">
        <f t="shared" si="72"/>
        <v>46156</v>
      </c>
      <c r="M964">
        <f t="shared" si="73"/>
        <v>5</v>
      </c>
      <c r="N964">
        <f t="shared" si="74"/>
        <v>2026</v>
      </c>
      <c r="W964" s="9">
        <v>722</v>
      </c>
      <c r="X964" s="9" t="s">
        <v>29</v>
      </c>
      <c r="Z964">
        <v>1025</v>
      </c>
      <c r="AA964">
        <v>12708.96</v>
      </c>
      <c r="AB964" t="s">
        <v>29</v>
      </c>
      <c r="AD964" s="20">
        <v>46143</v>
      </c>
    </row>
    <row r="965" spans="1:30">
      <c r="A965">
        <v>1051</v>
      </c>
      <c r="B965" t="str">
        <f>_xlfn.XLOOKUP(A965,Z:Z,AB:AB,"not found")</f>
        <v>EUR</v>
      </c>
      <c r="C965">
        <f>_xlfn.XLOOKUP(A965,Z:Z,AA:AA)-_xlfn.XLOOKUP(A965,Q:Q,R:R,"0")</f>
        <v>2567.36</v>
      </c>
      <c r="D965">
        <f>C965*_xlfn.XLOOKUP(B965,AG:AG,AH:AH)</f>
        <v>2567.36</v>
      </c>
      <c r="E965">
        <f>C965*_xlfn.XLOOKUP(B965,AG:AG,AI:AI)</f>
        <v>2978.1376</v>
      </c>
      <c r="F965">
        <v>2567.36</v>
      </c>
      <c r="G965">
        <f>F965*_xlfn.XLOOKUP(B965,AG:AG,AH:AH)</f>
        <v>2567.36</v>
      </c>
      <c r="H965">
        <f>F965*_xlfn.XLOOKUP(B965,AG:AG,AI:AI)</f>
        <v>2978.1376</v>
      </c>
      <c r="I965">
        <f t="shared" si="75"/>
        <v>0</v>
      </c>
      <c r="J965">
        <f>I965*_xlfn.XLOOKUP(B965,AG:AG,AI:AI)</f>
        <v>0</v>
      </c>
      <c r="K965" s="7">
        <f>_xlfn.XLOOKUP(A965,Z:Z,AD:AD)</f>
        <v>46226</v>
      </c>
      <c r="L965" s="7">
        <f t="shared" si="72"/>
        <v>46196</v>
      </c>
      <c r="M965">
        <f t="shared" si="73"/>
        <v>6</v>
      </c>
      <c r="N965">
        <f t="shared" si="74"/>
        <v>2026</v>
      </c>
      <c r="W965" s="9">
        <v>727</v>
      </c>
      <c r="X965" s="9" t="s">
        <v>29</v>
      </c>
      <c r="Z965">
        <v>1026</v>
      </c>
      <c r="AA965">
        <v>4713.5600000000004</v>
      </c>
      <c r="AB965" t="s">
        <v>29</v>
      </c>
      <c r="AD965" s="20">
        <v>46167</v>
      </c>
    </row>
    <row r="966" spans="1:30">
      <c r="A966">
        <v>1052</v>
      </c>
      <c r="B966" t="str">
        <f>_xlfn.XLOOKUP(A966,Z:Z,AB:AB,"not found")</f>
        <v>USD</v>
      </c>
      <c r="C966">
        <f>_xlfn.XLOOKUP(A966,Z:Z,AA:AA)-_xlfn.XLOOKUP(A966,Q:Q,R:R,"0")</f>
        <v>62000</v>
      </c>
      <c r="D966">
        <f>C966*_xlfn.XLOOKUP(B966,AG:AG,AH:AH)</f>
        <v>53320</v>
      </c>
      <c r="E966">
        <f>C966*_xlfn.XLOOKUP(B966,AG:AG,AI:AI)</f>
        <v>62000</v>
      </c>
      <c r="F966">
        <v>6200</v>
      </c>
      <c r="G966">
        <f>F966*_xlfn.XLOOKUP(B966,AG:AG,AH:AH)</f>
        <v>5332</v>
      </c>
      <c r="H966">
        <f>F966*_xlfn.XLOOKUP(B966,AG:AG,AI:AI)</f>
        <v>6200</v>
      </c>
      <c r="I966">
        <f t="shared" si="75"/>
        <v>55800</v>
      </c>
      <c r="J966">
        <f>I966*_xlfn.XLOOKUP(B966,AG:AG,AI:AI)</f>
        <v>55800</v>
      </c>
      <c r="K966" s="7">
        <f>_xlfn.XLOOKUP(A966,Z:Z,AD:AD)</f>
        <v>46563</v>
      </c>
      <c r="L966" s="7">
        <f t="shared" si="72"/>
        <v>46533</v>
      </c>
      <c r="M966">
        <f t="shared" si="73"/>
        <v>5</v>
      </c>
      <c r="N966">
        <f t="shared" si="74"/>
        <v>2027</v>
      </c>
      <c r="W966" s="9">
        <v>727</v>
      </c>
      <c r="X966" s="9" t="s">
        <v>29</v>
      </c>
      <c r="Z966">
        <v>1027</v>
      </c>
      <c r="AA966">
        <v>2209.44</v>
      </c>
      <c r="AB966" t="s">
        <v>27</v>
      </c>
      <c r="AD966" s="20">
        <v>46250</v>
      </c>
    </row>
    <row r="967" spans="1:30">
      <c r="A967">
        <v>1054</v>
      </c>
      <c r="B967" t="str">
        <f>_xlfn.XLOOKUP(A967,Z:Z,AB:AB,"not found")</f>
        <v>USD</v>
      </c>
      <c r="C967">
        <f>_xlfn.XLOOKUP(A967,Z:Z,AA:AA)-_xlfn.XLOOKUP(A967,Q:Q,R:R,"0")</f>
        <v>5075.45</v>
      </c>
      <c r="D967">
        <f>C967*_xlfn.XLOOKUP(B967,AG:AG,AH:AH)</f>
        <v>4364.8869999999997</v>
      </c>
      <c r="E967">
        <f>C967*_xlfn.XLOOKUP(B967,AG:AG,AI:AI)</f>
        <v>5075.45</v>
      </c>
      <c r="F967">
        <v>5084.22</v>
      </c>
      <c r="G967">
        <f>F967*_xlfn.XLOOKUP(B967,AG:AG,AH:AH)</f>
        <v>4372.4292000000005</v>
      </c>
      <c r="H967">
        <f>F967*_xlfn.XLOOKUP(B967,AG:AG,AI:AI)</f>
        <v>5084.22</v>
      </c>
      <c r="I967">
        <f t="shared" si="75"/>
        <v>-8.7700000000004366</v>
      </c>
      <c r="J967">
        <f>I967*_xlfn.XLOOKUP(B967,AG:AG,AI:AI)</f>
        <v>-8.7700000000004366</v>
      </c>
      <c r="K967" s="7">
        <f>_xlfn.XLOOKUP(A967,Z:Z,AD:AD)</f>
        <v>46085</v>
      </c>
      <c r="L967" s="7">
        <f t="shared" si="72"/>
        <v>46055</v>
      </c>
      <c r="M967">
        <f t="shared" si="73"/>
        <v>2</v>
      </c>
      <c r="N967">
        <f t="shared" si="74"/>
        <v>2026</v>
      </c>
      <c r="W967" s="9">
        <v>727</v>
      </c>
      <c r="X967" s="9" t="s">
        <v>29</v>
      </c>
      <c r="Z967">
        <v>1029</v>
      </c>
      <c r="AA967">
        <v>7097</v>
      </c>
      <c r="AB967" t="s">
        <v>27</v>
      </c>
      <c r="AD967" s="20">
        <v>46102</v>
      </c>
    </row>
    <row r="968" spans="1:30">
      <c r="A968">
        <v>1055</v>
      </c>
      <c r="B968" t="str">
        <f>_xlfn.XLOOKUP(A968,Z:Z,AB:AB,"not found")</f>
        <v>USD</v>
      </c>
      <c r="C968">
        <f>_xlfn.XLOOKUP(A968,Z:Z,AA:AA)-_xlfn.XLOOKUP(A968,Q:Q,R:R,"0")</f>
        <v>0</v>
      </c>
      <c r="D968">
        <f>C968*_xlfn.XLOOKUP(B968,AG:AG,AH:AH)</f>
        <v>0</v>
      </c>
      <c r="E968">
        <f>C968*_xlfn.XLOOKUP(B968,AG:AG,AI:AI)</f>
        <v>0</v>
      </c>
      <c r="F968">
        <v>447.48</v>
      </c>
      <c r="G968">
        <f>F968*_xlfn.XLOOKUP(B968,AG:AG,AH:AH)</f>
        <v>384.83280000000002</v>
      </c>
      <c r="H968">
        <f>F968*_xlfn.XLOOKUP(B968,AG:AG,AI:AI)</f>
        <v>447.48</v>
      </c>
      <c r="I968">
        <f t="shared" si="75"/>
        <v>0</v>
      </c>
      <c r="J968">
        <f>I968*_xlfn.XLOOKUP(B968,AG:AG,AI:AI)</f>
        <v>0</v>
      </c>
      <c r="K968" s="7">
        <f>_xlfn.XLOOKUP(A968,Z:Z,AD:AD)</f>
        <v>46058</v>
      </c>
      <c r="L968" s="7">
        <f t="shared" si="72"/>
        <v>46028</v>
      </c>
      <c r="M968">
        <f t="shared" si="73"/>
        <v>1</v>
      </c>
      <c r="N968">
        <f t="shared" si="74"/>
        <v>2026</v>
      </c>
      <c r="W968" s="9">
        <v>727</v>
      </c>
      <c r="X968" s="9" t="s">
        <v>29</v>
      </c>
      <c r="Z968">
        <v>1030</v>
      </c>
      <c r="AA968">
        <v>1548.55</v>
      </c>
      <c r="AB968" t="s">
        <v>27</v>
      </c>
      <c r="AD968" s="20">
        <v>46054</v>
      </c>
    </row>
    <row r="969" spans="1:30">
      <c r="A969">
        <v>1056</v>
      </c>
      <c r="B969" t="str">
        <f>_xlfn.XLOOKUP(A969,Z:Z,AB:AB,"not found")</f>
        <v>USD</v>
      </c>
      <c r="C969">
        <f>_xlfn.XLOOKUP(A969,Z:Z,AA:AA)-_xlfn.XLOOKUP(A969,Q:Q,R:R,"0")</f>
        <v>582.4</v>
      </c>
      <c r="D969">
        <f>C969*_xlfn.XLOOKUP(B969,AG:AG,AH:AH)</f>
        <v>500.86399999999998</v>
      </c>
      <c r="E969">
        <f>C969*_xlfn.XLOOKUP(B969,AG:AG,AI:AI)</f>
        <v>582.4</v>
      </c>
      <c r="F969">
        <v>582.4</v>
      </c>
      <c r="G969">
        <f>F969*_xlfn.XLOOKUP(B969,AG:AG,AH:AH)</f>
        <v>500.86399999999998</v>
      </c>
      <c r="H969">
        <f>F969*_xlfn.XLOOKUP(B969,AG:AG,AI:AI)</f>
        <v>582.4</v>
      </c>
      <c r="I969">
        <f t="shared" si="75"/>
        <v>0</v>
      </c>
      <c r="J969">
        <f>I969*_xlfn.XLOOKUP(B969,AG:AG,AI:AI)</f>
        <v>0</v>
      </c>
      <c r="K969" s="7">
        <f>_xlfn.XLOOKUP(A969,Z:Z,AD:AD)</f>
        <v>46169</v>
      </c>
      <c r="L969" s="7">
        <f t="shared" si="72"/>
        <v>46139</v>
      </c>
      <c r="M969">
        <f t="shared" si="73"/>
        <v>4</v>
      </c>
      <c r="N969">
        <f t="shared" si="74"/>
        <v>2026</v>
      </c>
      <c r="W969" s="9">
        <v>727</v>
      </c>
      <c r="X969" s="9" t="s">
        <v>29</v>
      </c>
      <c r="Z969">
        <v>1031</v>
      </c>
      <c r="AA969">
        <v>43069.88</v>
      </c>
      <c r="AB969" t="s">
        <v>27</v>
      </c>
      <c r="AD969" s="20">
        <v>46108</v>
      </c>
    </row>
    <row r="970" spans="1:30">
      <c r="A970">
        <v>1058</v>
      </c>
      <c r="B970" t="str">
        <f>_xlfn.XLOOKUP(A970,Z:Z,AB:AB,"not found")</f>
        <v>USD</v>
      </c>
      <c r="C970">
        <f>_xlfn.XLOOKUP(A970,Z:Z,AA:AA)-_xlfn.XLOOKUP(A970,Q:Q,R:R,"0")</f>
        <v>6744.55</v>
      </c>
      <c r="D970">
        <f>C970*_xlfn.XLOOKUP(B970,AG:AG,AH:AH)</f>
        <v>5800.3130000000001</v>
      </c>
      <c r="E970">
        <f>C970*_xlfn.XLOOKUP(B970,AG:AG,AI:AI)</f>
        <v>6744.55</v>
      </c>
      <c r="F970">
        <v>6744.55</v>
      </c>
      <c r="G970">
        <f>F970*_xlfn.XLOOKUP(B970,AG:AG,AH:AH)</f>
        <v>5800.3130000000001</v>
      </c>
      <c r="H970">
        <f>F970*_xlfn.XLOOKUP(B970,AG:AG,AI:AI)</f>
        <v>6744.55</v>
      </c>
      <c r="I970">
        <f t="shared" si="75"/>
        <v>0</v>
      </c>
      <c r="J970">
        <f>I970*_xlfn.XLOOKUP(B970,AG:AG,AI:AI)</f>
        <v>0</v>
      </c>
      <c r="K970" s="7">
        <f>_xlfn.XLOOKUP(A970,Z:Z,AD:AD)</f>
        <v>46108</v>
      </c>
      <c r="L970" s="7">
        <f t="shared" si="72"/>
        <v>46078</v>
      </c>
      <c r="M970">
        <f t="shared" si="73"/>
        <v>2</v>
      </c>
      <c r="N970">
        <f t="shared" si="74"/>
        <v>2026</v>
      </c>
      <c r="W970" s="9">
        <v>727</v>
      </c>
      <c r="X970" s="9" t="s">
        <v>29</v>
      </c>
      <c r="Z970">
        <v>1032</v>
      </c>
      <c r="AA970">
        <v>11328</v>
      </c>
      <c r="AB970" t="s">
        <v>27</v>
      </c>
      <c r="AD970" s="20">
        <v>46187</v>
      </c>
    </row>
    <row r="971" spans="1:30">
      <c r="A971">
        <v>1059</v>
      </c>
      <c r="B971" t="str">
        <f>_xlfn.XLOOKUP(A971,Z:Z,AB:AB,"not found")</f>
        <v>GBP</v>
      </c>
      <c r="C971">
        <f>_xlfn.XLOOKUP(A971,Z:Z,AA:AA)-_xlfn.XLOOKUP(A971,Q:Q,R:R,"0")</f>
        <v>0</v>
      </c>
      <c r="D971">
        <f>C971*_xlfn.XLOOKUP(B971,AG:AG,AH:AH)</f>
        <v>0</v>
      </c>
      <c r="E971">
        <f>C971*_xlfn.XLOOKUP(B971,AG:AG,AI:AI)</f>
        <v>0</v>
      </c>
      <c r="F971">
        <v>873</v>
      </c>
      <c r="G971">
        <f>F971*_xlfn.XLOOKUP(B971,AG:AG,AH:AH)</f>
        <v>1003.9499999999999</v>
      </c>
      <c r="H971">
        <f>F971*_xlfn.XLOOKUP(B971,AG:AG,AI:AI)</f>
        <v>1169.8200000000002</v>
      </c>
      <c r="I971">
        <f t="shared" si="75"/>
        <v>0</v>
      </c>
      <c r="J971">
        <f>I971*_xlfn.XLOOKUP(B971,AG:AG,AI:AI)</f>
        <v>0</v>
      </c>
      <c r="K971" s="7">
        <f>_xlfn.XLOOKUP(A971,Z:Z,AD:AD)</f>
        <v>46095</v>
      </c>
      <c r="L971" s="7">
        <f t="shared" si="72"/>
        <v>46065</v>
      </c>
      <c r="M971">
        <f t="shared" si="73"/>
        <v>2</v>
      </c>
      <c r="N971">
        <f t="shared" si="74"/>
        <v>2026</v>
      </c>
      <c r="W971" s="9">
        <v>728</v>
      </c>
      <c r="X971" s="9" t="s">
        <v>29</v>
      </c>
      <c r="Z971">
        <v>1033</v>
      </c>
      <c r="AA971">
        <v>3000.27</v>
      </c>
      <c r="AB971" t="s">
        <v>29</v>
      </c>
      <c r="AD971" s="20">
        <v>46059</v>
      </c>
    </row>
    <row r="972" spans="1:30">
      <c r="A972">
        <v>1060</v>
      </c>
      <c r="B972" t="str">
        <f>_xlfn.XLOOKUP(A972,Z:Z,AB:AB,"not found")</f>
        <v>EUR</v>
      </c>
      <c r="C972">
        <f>_xlfn.XLOOKUP(A972,Z:Z,AA:AA)-_xlfn.XLOOKUP(A972,Q:Q,R:R,"0")</f>
        <v>0</v>
      </c>
      <c r="D972">
        <f>C972*_xlfn.XLOOKUP(B972,AG:AG,AH:AH)</f>
        <v>0</v>
      </c>
      <c r="E972">
        <f>C972*_xlfn.XLOOKUP(B972,AG:AG,AI:AI)</f>
        <v>0</v>
      </c>
      <c r="F972">
        <v>3420</v>
      </c>
      <c r="G972">
        <f>F972*_xlfn.XLOOKUP(B972,AG:AG,AH:AH)</f>
        <v>3420</v>
      </c>
      <c r="H972">
        <f>F972*_xlfn.XLOOKUP(B972,AG:AG,AI:AI)</f>
        <v>3967.2</v>
      </c>
      <c r="I972">
        <f t="shared" si="75"/>
        <v>0</v>
      </c>
      <c r="J972">
        <f>I972*_xlfn.XLOOKUP(B972,AG:AG,AI:AI)</f>
        <v>0</v>
      </c>
      <c r="K972" s="7">
        <f>_xlfn.XLOOKUP(A972,Z:Z,AD:AD)</f>
        <v>46101</v>
      </c>
      <c r="L972" s="7">
        <f t="shared" si="72"/>
        <v>46071</v>
      </c>
      <c r="M972">
        <f t="shared" si="73"/>
        <v>2</v>
      </c>
      <c r="N972">
        <f t="shared" si="74"/>
        <v>2026</v>
      </c>
      <c r="W972" s="9">
        <v>729</v>
      </c>
      <c r="X972" s="9" t="s">
        <v>29</v>
      </c>
      <c r="Z972">
        <v>1034</v>
      </c>
      <c r="AA972">
        <v>10147.24</v>
      </c>
      <c r="AB972" t="s">
        <v>29</v>
      </c>
      <c r="AD972" s="20">
        <v>46291</v>
      </c>
    </row>
    <row r="973" spans="1:30">
      <c r="A973">
        <v>1061</v>
      </c>
      <c r="B973" t="str">
        <f>_xlfn.XLOOKUP(A973,Z:Z,AB:AB,"not found")</f>
        <v>EUR</v>
      </c>
      <c r="C973">
        <f>_xlfn.XLOOKUP(A973,Z:Z,AA:AA)-_xlfn.XLOOKUP(A973,Q:Q,R:R,"0")</f>
        <v>960</v>
      </c>
      <c r="D973">
        <f>C973*_xlfn.XLOOKUP(B973,AG:AG,AH:AH)</f>
        <v>960</v>
      </c>
      <c r="E973">
        <f>C973*_xlfn.XLOOKUP(B973,AG:AG,AI:AI)</f>
        <v>1113.5999999999999</v>
      </c>
      <c r="F973">
        <v>10777</v>
      </c>
      <c r="G973">
        <f>F973*_xlfn.XLOOKUP(B973,AG:AG,AH:AH)</f>
        <v>10777</v>
      </c>
      <c r="H973">
        <f>F973*_xlfn.XLOOKUP(B973,AG:AG,AI:AI)</f>
        <v>12501.32</v>
      </c>
      <c r="I973">
        <f t="shared" si="75"/>
        <v>0</v>
      </c>
      <c r="J973">
        <f>I973*_xlfn.XLOOKUP(B973,AG:AG,AI:AI)</f>
        <v>0</v>
      </c>
      <c r="K973" s="7">
        <f>_xlfn.XLOOKUP(A973,Z:Z,AD:AD)</f>
        <v>46084</v>
      </c>
      <c r="L973" s="7">
        <f t="shared" si="72"/>
        <v>46054</v>
      </c>
      <c r="M973">
        <f t="shared" si="73"/>
        <v>2</v>
      </c>
      <c r="N973">
        <f t="shared" si="74"/>
        <v>2026</v>
      </c>
      <c r="W973" s="9">
        <v>730</v>
      </c>
      <c r="X973" s="9" t="s">
        <v>29</v>
      </c>
      <c r="Z973">
        <v>1036</v>
      </c>
      <c r="AA973">
        <v>551.29999999999995</v>
      </c>
      <c r="AB973" t="s">
        <v>29</v>
      </c>
      <c r="AD973" s="20">
        <v>46075</v>
      </c>
    </row>
    <row r="974" spans="1:30">
      <c r="A974">
        <v>1062</v>
      </c>
      <c r="B974" t="str">
        <f>_xlfn.XLOOKUP(A974,Z:Z,AB:AB,"not found")</f>
        <v>EUR</v>
      </c>
      <c r="C974">
        <f>_xlfn.XLOOKUP(A974,Z:Z,AA:AA)-_xlfn.XLOOKUP(A974,Q:Q,R:R,"0")</f>
        <v>3680.4499999999971</v>
      </c>
      <c r="D974">
        <f>C974*_xlfn.XLOOKUP(B974,AG:AG,AH:AH)</f>
        <v>3680.4499999999971</v>
      </c>
      <c r="E974">
        <f>C974*_xlfn.XLOOKUP(B974,AG:AG,AI:AI)</f>
        <v>4269.3219999999965</v>
      </c>
      <c r="F974">
        <v>74200</v>
      </c>
      <c r="G974">
        <f>F974*_xlfn.XLOOKUP(B974,AG:AG,AH:AH)</f>
        <v>74200</v>
      </c>
      <c r="H974">
        <f>F974*_xlfn.XLOOKUP(B974,AG:AG,AI:AI)</f>
        <v>86072</v>
      </c>
      <c r="I974">
        <f t="shared" si="75"/>
        <v>3680.4499999999971</v>
      </c>
      <c r="J974">
        <f>I974*_xlfn.XLOOKUP(B974,AG:AG,AI:AI)</f>
        <v>4269.3219999999965</v>
      </c>
      <c r="K974" s="7">
        <f>_xlfn.XLOOKUP(A974,Z:Z,AD:AD)</f>
        <v>46382</v>
      </c>
      <c r="L974" s="7">
        <f t="shared" si="72"/>
        <v>46352</v>
      </c>
      <c r="M974">
        <f t="shared" si="73"/>
        <v>11</v>
      </c>
      <c r="N974">
        <f t="shared" si="74"/>
        <v>2026</v>
      </c>
      <c r="W974" s="9">
        <v>731</v>
      </c>
      <c r="X974" s="9" t="s">
        <v>29</v>
      </c>
      <c r="Z974">
        <v>1037</v>
      </c>
      <c r="AA974">
        <v>5589</v>
      </c>
      <c r="AB974" t="s">
        <v>29</v>
      </c>
      <c r="AD974" s="20">
        <v>46018</v>
      </c>
    </row>
    <row r="975" spans="1:30">
      <c r="A975">
        <v>1063</v>
      </c>
      <c r="B975" t="str">
        <f>_xlfn.XLOOKUP(A975,Z:Z,AB:AB,"not found")</f>
        <v>USD</v>
      </c>
      <c r="C975">
        <f>_xlfn.XLOOKUP(A975,Z:Z,AA:AA)-_xlfn.XLOOKUP(A975,Q:Q,R:R,"0")</f>
        <v>0</v>
      </c>
      <c r="D975">
        <f>C975*_xlfn.XLOOKUP(B975,AG:AG,AH:AH)</f>
        <v>0</v>
      </c>
      <c r="E975">
        <f>C975*_xlfn.XLOOKUP(B975,AG:AG,AI:AI)</f>
        <v>0</v>
      </c>
      <c r="F975">
        <v>1845.54</v>
      </c>
      <c r="G975">
        <f>F975*_xlfn.XLOOKUP(B975,AG:AG,AH:AH)</f>
        <v>1587.1643999999999</v>
      </c>
      <c r="H975">
        <f>F975*_xlfn.XLOOKUP(B975,AG:AG,AI:AI)</f>
        <v>1845.54</v>
      </c>
      <c r="I975">
        <f t="shared" si="75"/>
        <v>0</v>
      </c>
      <c r="J975">
        <f>I975*_xlfn.XLOOKUP(B975,AG:AG,AI:AI)</f>
        <v>0</v>
      </c>
      <c r="K975" s="7">
        <f>_xlfn.XLOOKUP(A975,Z:Z,AD:AD)</f>
        <v>46063</v>
      </c>
      <c r="L975" s="7">
        <f t="shared" si="72"/>
        <v>46033</v>
      </c>
      <c r="M975">
        <f t="shared" si="73"/>
        <v>1</v>
      </c>
      <c r="N975">
        <f t="shared" si="74"/>
        <v>2026</v>
      </c>
      <c r="W975" s="9">
        <v>734</v>
      </c>
      <c r="X975" s="9" t="s">
        <v>29</v>
      </c>
      <c r="Z975">
        <v>1038</v>
      </c>
      <c r="AA975">
        <v>4614.18</v>
      </c>
      <c r="AB975" t="s">
        <v>27</v>
      </c>
      <c r="AD975" s="20">
        <v>46061</v>
      </c>
    </row>
    <row r="976" spans="1:30">
      <c r="A976">
        <v>1064</v>
      </c>
      <c r="B976" t="str">
        <f>_xlfn.XLOOKUP(A976,Z:Z,AB:AB,"not found")</f>
        <v>EUR</v>
      </c>
      <c r="C976">
        <f>_xlfn.XLOOKUP(A976,Z:Z,AA:AA)-_xlfn.XLOOKUP(A976,Q:Q,R:R,"0")</f>
        <v>28675</v>
      </c>
      <c r="D976">
        <f>C976*_xlfn.XLOOKUP(B976,AG:AG,AH:AH)</f>
        <v>28675</v>
      </c>
      <c r="E976">
        <f>C976*_xlfn.XLOOKUP(B976,AG:AG,AI:AI)</f>
        <v>33263</v>
      </c>
      <c r="F976">
        <v>13718</v>
      </c>
      <c r="G976">
        <f>F976*_xlfn.XLOOKUP(B976,AG:AG,AH:AH)</f>
        <v>13718</v>
      </c>
      <c r="H976">
        <f>F976*_xlfn.XLOOKUP(B976,AG:AG,AI:AI)</f>
        <v>15912.88</v>
      </c>
      <c r="I976">
        <f t="shared" si="75"/>
        <v>14957</v>
      </c>
      <c r="J976">
        <f>I976*_xlfn.XLOOKUP(B976,AG:AG,AI:AI)</f>
        <v>17350.12</v>
      </c>
      <c r="K976" s="7">
        <f>_xlfn.XLOOKUP(A976,Z:Z,AD:AD)</f>
        <v>46228</v>
      </c>
      <c r="L976" s="7">
        <f t="shared" si="72"/>
        <v>46198</v>
      </c>
      <c r="M976">
        <f t="shared" si="73"/>
        <v>6</v>
      </c>
      <c r="N976">
        <f t="shared" si="74"/>
        <v>2026</v>
      </c>
      <c r="W976" s="9">
        <v>734</v>
      </c>
      <c r="X976" s="9" t="s">
        <v>29</v>
      </c>
      <c r="Z976">
        <v>1039</v>
      </c>
      <c r="AA976">
        <v>18728</v>
      </c>
      <c r="AB976" t="s">
        <v>29</v>
      </c>
      <c r="AD976" s="20">
        <v>46106</v>
      </c>
    </row>
    <row r="977" spans="1:30">
      <c r="A977">
        <v>1065</v>
      </c>
      <c r="B977" t="str">
        <f>_xlfn.XLOOKUP(A977,Z:Z,AB:AB,"not found")</f>
        <v>USD</v>
      </c>
      <c r="C977">
        <f>_xlfn.XLOOKUP(A977,Z:Z,AA:AA)-_xlfn.XLOOKUP(A977,Q:Q,R:R,"0")</f>
        <v>0</v>
      </c>
      <c r="D977">
        <f>C977*_xlfn.XLOOKUP(B977,AG:AG,AH:AH)</f>
        <v>0</v>
      </c>
      <c r="E977">
        <f>C977*_xlfn.XLOOKUP(B977,AG:AG,AI:AI)</f>
        <v>0</v>
      </c>
      <c r="F977">
        <v>3014.1</v>
      </c>
      <c r="G977">
        <f>F977*_xlfn.XLOOKUP(B977,AG:AG,AH:AH)</f>
        <v>2592.1259999999997</v>
      </c>
      <c r="H977">
        <f>F977*_xlfn.XLOOKUP(B977,AG:AG,AI:AI)</f>
        <v>3014.1</v>
      </c>
      <c r="I977">
        <f t="shared" si="75"/>
        <v>0</v>
      </c>
      <c r="J977">
        <f>I977*_xlfn.XLOOKUP(B977,AG:AG,AI:AI)</f>
        <v>0</v>
      </c>
      <c r="K977" s="7">
        <f>_xlfn.XLOOKUP(A977,Z:Z,AD:AD)</f>
        <v>45861</v>
      </c>
      <c r="L977" s="7">
        <f t="shared" si="72"/>
        <v>45831</v>
      </c>
      <c r="M977">
        <f t="shared" si="73"/>
        <v>6</v>
      </c>
      <c r="N977">
        <f t="shared" si="74"/>
        <v>2025</v>
      </c>
      <c r="W977" s="9">
        <v>734</v>
      </c>
      <c r="X977" s="9" t="s">
        <v>29</v>
      </c>
      <c r="Z977">
        <v>1040</v>
      </c>
      <c r="AA977">
        <v>921.6</v>
      </c>
      <c r="AB977" t="s">
        <v>29</v>
      </c>
      <c r="AD977" s="20">
        <v>45969</v>
      </c>
    </row>
    <row r="978" spans="1:30">
      <c r="A978">
        <v>1066</v>
      </c>
      <c r="B978" t="str">
        <f>_xlfn.XLOOKUP(A978,Z:Z,AB:AB,"not found")</f>
        <v>USD</v>
      </c>
      <c r="C978">
        <f>_xlfn.XLOOKUP(A978,Z:Z,AA:AA)-_xlfn.XLOOKUP(A978,Q:Q,R:R,"0")</f>
        <v>10941.66</v>
      </c>
      <c r="D978">
        <f>C978*_xlfn.XLOOKUP(B978,AG:AG,AH:AH)</f>
        <v>9409.8276000000005</v>
      </c>
      <c r="E978">
        <f>C978*_xlfn.XLOOKUP(B978,AG:AG,AI:AI)</f>
        <v>10941.66</v>
      </c>
      <c r="F978">
        <v>1474.4</v>
      </c>
      <c r="G978">
        <f>F978*_xlfn.XLOOKUP(B978,AG:AG,AH:AH)</f>
        <v>1267.9840000000002</v>
      </c>
      <c r="H978">
        <f>F978*_xlfn.XLOOKUP(B978,AG:AG,AI:AI)</f>
        <v>1474.4</v>
      </c>
      <c r="I978">
        <f t="shared" si="75"/>
        <v>9467.26</v>
      </c>
      <c r="J978">
        <f>I978*_xlfn.XLOOKUP(B978,AG:AG,AI:AI)</f>
        <v>9467.26</v>
      </c>
      <c r="K978" s="7">
        <f>_xlfn.XLOOKUP(A978,Z:Z,AD:AD)</f>
        <v>46189</v>
      </c>
      <c r="L978" s="7">
        <f t="shared" si="72"/>
        <v>46159</v>
      </c>
      <c r="M978">
        <f t="shared" si="73"/>
        <v>5</v>
      </c>
      <c r="N978">
        <f t="shared" si="74"/>
        <v>2026</v>
      </c>
      <c r="W978" s="9">
        <v>737</v>
      </c>
      <c r="X978" s="9" t="s">
        <v>27</v>
      </c>
      <c r="Z978">
        <v>1041</v>
      </c>
      <c r="AA978">
        <v>7127.04</v>
      </c>
      <c r="AB978" t="s">
        <v>28</v>
      </c>
      <c r="AD978" s="20">
        <v>46053</v>
      </c>
    </row>
    <row r="979" spans="1:30">
      <c r="A979">
        <v>1067</v>
      </c>
      <c r="B979" t="str">
        <f>_xlfn.XLOOKUP(A979,Z:Z,AB:AB,"not found")</f>
        <v>USD</v>
      </c>
      <c r="C979">
        <f>_xlfn.XLOOKUP(A979,Z:Z,AA:AA)-_xlfn.XLOOKUP(A979,Q:Q,R:R,"0")</f>
        <v>0</v>
      </c>
      <c r="D979">
        <f>C979*_xlfn.XLOOKUP(B979,AG:AG,AH:AH)</f>
        <v>0</v>
      </c>
      <c r="E979">
        <f>C979*_xlfn.XLOOKUP(B979,AG:AG,AI:AI)</f>
        <v>0</v>
      </c>
      <c r="F979">
        <v>8760</v>
      </c>
      <c r="G979">
        <f>F979*_xlfn.XLOOKUP(B979,AG:AG,AH:AH)</f>
        <v>7533.5999999999995</v>
      </c>
      <c r="H979">
        <f>F979*_xlfn.XLOOKUP(B979,AG:AG,AI:AI)</f>
        <v>8760</v>
      </c>
      <c r="I979">
        <f t="shared" si="75"/>
        <v>0</v>
      </c>
      <c r="J979">
        <f>I979*_xlfn.XLOOKUP(B979,AG:AG,AI:AI)</f>
        <v>0</v>
      </c>
      <c r="K979" s="7">
        <f>_xlfn.XLOOKUP(A979,Z:Z,AD:AD)</f>
        <v>46059</v>
      </c>
      <c r="L979" s="7">
        <f t="shared" si="72"/>
        <v>46029</v>
      </c>
      <c r="M979">
        <f t="shared" si="73"/>
        <v>1</v>
      </c>
      <c r="N979">
        <f t="shared" si="74"/>
        <v>2026</v>
      </c>
      <c r="W979" s="9">
        <v>737</v>
      </c>
      <c r="X979" s="9" t="s">
        <v>27</v>
      </c>
      <c r="Z979">
        <v>1042</v>
      </c>
      <c r="AA979">
        <v>7427.1</v>
      </c>
      <c r="AB979" t="s">
        <v>27</v>
      </c>
      <c r="AD979" s="20">
        <v>46207</v>
      </c>
    </row>
    <row r="980" spans="1:30">
      <c r="A980">
        <v>1068</v>
      </c>
      <c r="B980" t="str">
        <f>_xlfn.XLOOKUP(A980,Z:Z,AB:AB,"not found")</f>
        <v>EUR</v>
      </c>
      <c r="C980">
        <f>_xlfn.XLOOKUP(A980,Z:Z,AA:AA)-_xlfn.XLOOKUP(A980,Q:Q,R:R,"0")</f>
        <v>7264.64</v>
      </c>
      <c r="D980">
        <f>C980*_xlfn.XLOOKUP(B980,AG:AG,AH:AH)</f>
        <v>7264.64</v>
      </c>
      <c r="E980">
        <f>C980*_xlfn.XLOOKUP(B980,AG:AG,AI:AI)</f>
        <v>8426.982399999999</v>
      </c>
      <c r="F980">
        <v>857.32</v>
      </c>
      <c r="G980">
        <f>F980*_xlfn.XLOOKUP(B980,AG:AG,AH:AH)</f>
        <v>857.32</v>
      </c>
      <c r="H980">
        <f>F980*_xlfn.XLOOKUP(B980,AG:AG,AI:AI)</f>
        <v>994.49119999999994</v>
      </c>
      <c r="I980">
        <f t="shared" si="75"/>
        <v>7264.64</v>
      </c>
      <c r="J980">
        <f>I980*_xlfn.XLOOKUP(B980,AG:AG,AI:AI)</f>
        <v>8426.982399999999</v>
      </c>
      <c r="K980" s="7">
        <f>_xlfn.XLOOKUP(A980,Z:Z,AD:AD)</f>
        <v>46202</v>
      </c>
      <c r="L980" s="7">
        <f t="shared" si="72"/>
        <v>46172</v>
      </c>
      <c r="M980">
        <f t="shared" si="73"/>
        <v>5</v>
      </c>
      <c r="N980">
        <f t="shared" si="74"/>
        <v>2026</v>
      </c>
      <c r="W980" s="9">
        <v>738</v>
      </c>
      <c r="X980" s="9" t="s">
        <v>27</v>
      </c>
      <c r="Z980">
        <v>1043</v>
      </c>
      <c r="AA980">
        <v>32887.39</v>
      </c>
      <c r="AB980" t="s">
        <v>29</v>
      </c>
      <c r="AD980" s="20">
        <v>46290</v>
      </c>
    </row>
    <row r="981" spans="1:30">
      <c r="A981">
        <v>1069</v>
      </c>
      <c r="B981" t="str">
        <f>_xlfn.XLOOKUP(A981,Z:Z,AB:AB,"not found")</f>
        <v>USD</v>
      </c>
      <c r="C981">
        <f>_xlfn.XLOOKUP(A981,Z:Z,AA:AA)-_xlfn.XLOOKUP(A981,Q:Q,R:R,"0")</f>
        <v>17603</v>
      </c>
      <c r="D981">
        <f>C981*_xlfn.XLOOKUP(B981,AG:AG,AH:AH)</f>
        <v>15138.58</v>
      </c>
      <c r="E981">
        <f>C981*_xlfn.XLOOKUP(B981,AG:AG,AI:AI)</f>
        <v>17603</v>
      </c>
      <c r="F981">
        <v>8062.15</v>
      </c>
      <c r="G981">
        <f>F981*_xlfn.XLOOKUP(B981,AG:AG,AH:AH)</f>
        <v>6933.4489999999996</v>
      </c>
      <c r="H981">
        <f>F981*_xlfn.XLOOKUP(B981,AG:AG,AI:AI)</f>
        <v>8062.15</v>
      </c>
      <c r="I981">
        <f t="shared" si="75"/>
        <v>11438.050000000001</v>
      </c>
      <c r="J981">
        <f>I981*_xlfn.XLOOKUP(B981,AG:AG,AI:AI)</f>
        <v>11438.050000000001</v>
      </c>
      <c r="K981" s="7">
        <f>_xlfn.XLOOKUP(A981,Z:Z,AD:AD)</f>
        <v>46139</v>
      </c>
      <c r="L981" s="7">
        <f t="shared" si="72"/>
        <v>46109</v>
      </c>
      <c r="M981">
        <f t="shared" si="73"/>
        <v>3</v>
      </c>
      <c r="N981">
        <f t="shared" si="74"/>
        <v>2026</v>
      </c>
      <c r="W981" s="9">
        <v>738</v>
      </c>
      <c r="X981" s="9" t="s">
        <v>27</v>
      </c>
      <c r="Z981">
        <v>1044</v>
      </c>
      <c r="AA981">
        <v>24021</v>
      </c>
      <c r="AB981" t="s">
        <v>27</v>
      </c>
      <c r="AD981" s="20">
        <v>46074</v>
      </c>
    </row>
    <row r="982" spans="1:30">
      <c r="A982">
        <v>1070</v>
      </c>
      <c r="B982" t="str">
        <f>_xlfn.XLOOKUP(A982,Z:Z,AB:AB,"not found")</f>
        <v>USD</v>
      </c>
      <c r="C982">
        <f>_xlfn.XLOOKUP(A982,Z:Z,AA:AA)-_xlfn.XLOOKUP(A982,Q:Q,R:R,"0")</f>
        <v>9130</v>
      </c>
      <c r="D982">
        <f>C982*_xlfn.XLOOKUP(B982,AG:AG,AH:AH)</f>
        <v>7851.8</v>
      </c>
      <c r="E982">
        <f>C982*_xlfn.XLOOKUP(B982,AG:AG,AI:AI)</f>
        <v>9130</v>
      </c>
      <c r="F982">
        <v>9192</v>
      </c>
      <c r="G982">
        <f>F982*_xlfn.XLOOKUP(B982,AG:AG,AH:AH)</f>
        <v>7905.12</v>
      </c>
      <c r="H982">
        <f>F982*_xlfn.XLOOKUP(B982,AG:AG,AI:AI)</f>
        <v>9192</v>
      </c>
      <c r="I982">
        <f t="shared" si="75"/>
        <v>-62</v>
      </c>
      <c r="J982">
        <f>I982*_xlfn.XLOOKUP(B982,AG:AG,AI:AI)</f>
        <v>-62</v>
      </c>
      <c r="K982" s="7">
        <f>_xlfn.XLOOKUP(A982,Z:Z,AD:AD)</f>
        <v>46096</v>
      </c>
      <c r="L982" s="7">
        <f t="shared" si="72"/>
        <v>46066</v>
      </c>
      <c r="M982">
        <f t="shared" si="73"/>
        <v>2</v>
      </c>
      <c r="N982">
        <f t="shared" si="74"/>
        <v>2026</v>
      </c>
      <c r="W982" s="9">
        <v>739</v>
      </c>
      <c r="X982" s="9" t="s">
        <v>27</v>
      </c>
      <c r="Z982">
        <v>1045</v>
      </c>
      <c r="AA982">
        <v>2065</v>
      </c>
      <c r="AB982" t="s">
        <v>29</v>
      </c>
      <c r="AD982" s="20">
        <v>46011</v>
      </c>
    </row>
    <row r="983" spans="1:30">
      <c r="A983">
        <v>1071</v>
      </c>
      <c r="B983" t="str">
        <f>_xlfn.XLOOKUP(A983,Z:Z,AB:AB,"not found")</f>
        <v>USD</v>
      </c>
      <c r="C983">
        <f>_xlfn.XLOOKUP(A983,Z:Z,AA:AA)-_xlfn.XLOOKUP(A983,Q:Q,R:R,"0")</f>
        <v>0</v>
      </c>
      <c r="D983">
        <f>C983*_xlfn.XLOOKUP(B983,AG:AG,AH:AH)</f>
        <v>0</v>
      </c>
      <c r="E983">
        <f>C983*_xlfn.XLOOKUP(B983,AG:AG,AI:AI)</f>
        <v>0</v>
      </c>
      <c r="F983">
        <v>788.74</v>
      </c>
      <c r="G983">
        <f>F983*_xlfn.XLOOKUP(B983,AG:AG,AH:AH)</f>
        <v>678.31640000000004</v>
      </c>
      <c r="H983">
        <f>F983*_xlfn.XLOOKUP(B983,AG:AG,AI:AI)</f>
        <v>788.74</v>
      </c>
      <c r="I983">
        <f t="shared" si="75"/>
        <v>0</v>
      </c>
      <c r="J983">
        <f>I983*_xlfn.XLOOKUP(B983,AG:AG,AI:AI)</f>
        <v>0</v>
      </c>
      <c r="K983" s="7">
        <f>_xlfn.XLOOKUP(A983,Z:Z,AD:AD)</f>
        <v>46058</v>
      </c>
      <c r="L983" s="7">
        <f t="shared" si="72"/>
        <v>46028</v>
      </c>
      <c r="M983">
        <f t="shared" si="73"/>
        <v>1</v>
      </c>
      <c r="N983">
        <f t="shared" si="74"/>
        <v>2026</v>
      </c>
      <c r="W983" s="9">
        <v>739</v>
      </c>
      <c r="X983" s="9" t="s">
        <v>27</v>
      </c>
      <c r="Z983">
        <v>1046</v>
      </c>
      <c r="AA983">
        <v>261000</v>
      </c>
      <c r="AB983" t="s">
        <v>29</v>
      </c>
      <c r="AD983" s="20">
        <v>46151</v>
      </c>
    </row>
    <row r="984" spans="1:30">
      <c r="A984">
        <v>1072</v>
      </c>
      <c r="B984" t="str">
        <f>_xlfn.XLOOKUP(A984,Z:Z,AB:AB,"not found")</f>
        <v>USD</v>
      </c>
      <c r="C984">
        <f>_xlfn.XLOOKUP(A984,Z:Z,AA:AA)-_xlfn.XLOOKUP(A984,Q:Q,R:R,"0")</f>
        <v>0</v>
      </c>
      <c r="D984">
        <f>C984*_xlfn.XLOOKUP(B984,AG:AG,AH:AH)</f>
        <v>0</v>
      </c>
      <c r="E984">
        <f>C984*_xlfn.XLOOKUP(B984,AG:AG,AI:AI)</f>
        <v>0</v>
      </c>
      <c r="F984">
        <v>708.8</v>
      </c>
      <c r="G984">
        <f>F984*_xlfn.XLOOKUP(B984,AG:AG,AH:AH)</f>
        <v>609.56799999999998</v>
      </c>
      <c r="H984">
        <f>F984*_xlfn.XLOOKUP(B984,AG:AG,AI:AI)</f>
        <v>708.8</v>
      </c>
      <c r="I984">
        <f t="shared" si="75"/>
        <v>0</v>
      </c>
      <c r="J984">
        <f>I984*_xlfn.XLOOKUP(B984,AG:AG,AI:AI)</f>
        <v>0</v>
      </c>
      <c r="K984" s="7">
        <f>_xlfn.XLOOKUP(A984,Z:Z,AD:AD)</f>
        <v>46016</v>
      </c>
      <c r="L984" s="7">
        <f t="shared" si="72"/>
        <v>45986</v>
      </c>
      <c r="M984">
        <f t="shared" si="73"/>
        <v>11</v>
      </c>
      <c r="N984">
        <f t="shared" si="74"/>
        <v>2025</v>
      </c>
      <c r="W984" s="9">
        <v>739</v>
      </c>
      <c r="X984" s="9" t="s">
        <v>27</v>
      </c>
      <c r="Z984">
        <v>1047</v>
      </c>
      <c r="AA984">
        <v>15448</v>
      </c>
      <c r="AB984" t="s">
        <v>29</v>
      </c>
      <c r="AD984" s="20">
        <v>46088</v>
      </c>
    </row>
    <row r="985" spans="1:30">
      <c r="A985">
        <v>1073</v>
      </c>
      <c r="B985" t="str">
        <f>_xlfn.XLOOKUP(A985,Z:Z,AB:AB,"not found")</f>
        <v>USD</v>
      </c>
      <c r="C985">
        <f>_xlfn.XLOOKUP(A985,Z:Z,AA:AA)-_xlfn.XLOOKUP(A985,Q:Q,R:R,"0")</f>
        <v>-57419.91</v>
      </c>
      <c r="D985">
        <f>C985*_xlfn.XLOOKUP(B985,AG:AG,AH:AH)</f>
        <v>-49381.122600000002</v>
      </c>
      <c r="E985">
        <f>C985*_xlfn.XLOOKUP(B985,AG:AG,AI:AI)</f>
        <v>-57419.91</v>
      </c>
      <c r="F985">
        <v>3553.22</v>
      </c>
      <c r="G985">
        <f>F985*_xlfn.XLOOKUP(B985,AG:AG,AH:AH)</f>
        <v>3055.7691999999997</v>
      </c>
      <c r="H985">
        <f>F985*_xlfn.XLOOKUP(B985,AG:AG,AI:AI)</f>
        <v>3553.22</v>
      </c>
      <c r="I985">
        <f t="shared" si="75"/>
        <v>390.86999999999534</v>
      </c>
      <c r="J985">
        <f>I985*_xlfn.XLOOKUP(B985,AG:AG,AI:AI)</f>
        <v>390.86999999999534</v>
      </c>
      <c r="K985" s="7">
        <f>_xlfn.XLOOKUP(A985,Z:Z,AD:AD)</f>
        <v>46062</v>
      </c>
      <c r="L985" s="7">
        <f t="shared" si="72"/>
        <v>46032</v>
      </c>
      <c r="M985">
        <f t="shared" si="73"/>
        <v>1</v>
      </c>
      <c r="N985">
        <f t="shared" si="74"/>
        <v>2026</v>
      </c>
      <c r="W985" s="9">
        <v>740</v>
      </c>
      <c r="X985" s="9" t="s">
        <v>29</v>
      </c>
      <c r="Z985">
        <v>1048</v>
      </c>
      <c r="AA985">
        <v>79800</v>
      </c>
      <c r="AB985" t="s">
        <v>28</v>
      </c>
      <c r="AD985" s="20">
        <v>46328</v>
      </c>
    </row>
    <row r="986" spans="1:30">
      <c r="A986">
        <v>1074</v>
      </c>
      <c r="B986" t="str">
        <f>_xlfn.XLOOKUP(A986,Z:Z,AB:AB,"not found")</f>
        <v>MXN</v>
      </c>
      <c r="C986">
        <f>_xlfn.XLOOKUP(A986,Z:Z,AA:AA)-_xlfn.XLOOKUP(A986,Q:Q,R:R,"0")</f>
        <v>14395</v>
      </c>
      <c r="D986">
        <f>C986*_xlfn.XLOOKUP(B986,AG:AG,AH:AH)</f>
        <v>690.96</v>
      </c>
      <c r="E986">
        <f>C986*_xlfn.XLOOKUP(B986,AG:AG,AI:AI)</f>
        <v>806.12</v>
      </c>
      <c r="F986">
        <v>14395</v>
      </c>
      <c r="G986">
        <f>F986*_xlfn.XLOOKUP(B986,AG:AG,AH:AH)</f>
        <v>690.96</v>
      </c>
      <c r="H986">
        <f>F986*_xlfn.XLOOKUP(B986,AG:AG,AI:AI)</f>
        <v>806.12</v>
      </c>
      <c r="I986">
        <f t="shared" si="75"/>
        <v>0</v>
      </c>
      <c r="J986">
        <f>I986*_xlfn.XLOOKUP(B986,AG:AG,AI:AI)</f>
        <v>0</v>
      </c>
      <c r="K986" s="7">
        <f>_xlfn.XLOOKUP(A986,Z:Z,AD:AD)</f>
        <v>46061</v>
      </c>
      <c r="L986" s="7">
        <f t="shared" si="72"/>
        <v>46031</v>
      </c>
      <c r="M986">
        <f t="shared" si="73"/>
        <v>1</v>
      </c>
      <c r="N986">
        <f t="shared" si="74"/>
        <v>2026</v>
      </c>
      <c r="W986" s="9">
        <v>740</v>
      </c>
      <c r="X986" s="9" t="s">
        <v>29</v>
      </c>
      <c r="Z986">
        <v>1049</v>
      </c>
      <c r="AA986">
        <v>1512.47</v>
      </c>
      <c r="AB986" t="s">
        <v>29</v>
      </c>
      <c r="AD986" s="20">
        <v>46079</v>
      </c>
    </row>
    <row r="987" spans="1:30">
      <c r="A987">
        <v>1075</v>
      </c>
      <c r="B987" t="str">
        <f>_xlfn.XLOOKUP(A987,Z:Z,AB:AB,"not found")</f>
        <v>EUR</v>
      </c>
      <c r="C987">
        <f>_xlfn.XLOOKUP(A987,Z:Z,AA:AA)-_xlfn.XLOOKUP(A987,Q:Q,R:R,"0")</f>
        <v>3652.32</v>
      </c>
      <c r="D987">
        <f>C987*_xlfn.XLOOKUP(B987,AG:AG,AH:AH)</f>
        <v>3652.32</v>
      </c>
      <c r="E987">
        <f>C987*_xlfn.XLOOKUP(B987,AG:AG,AI:AI)</f>
        <v>4236.6912000000002</v>
      </c>
      <c r="F987">
        <v>3378</v>
      </c>
      <c r="G987">
        <f>F987*_xlfn.XLOOKUP(B987,AG:AG,AH:AH)</f>
        <v>3378</v>
      </c>
      <c r="H987">
        <f>F987*_xlfn.XLOOKUP(B987,AG:AG,AI:AI)</f>
        <v>3918.4799999999996</v>
      </c>
      <c r="I987">
        <f t="shared" si="75"/>
        <v>274.32000000000016</v>
      </c>
      <c r="J987">
        <f>I987*_xlfn.XLOOKUP(B987,AG:AG,AI:AI)</f>
        <v>318.21120000000019</v>
      </c>
      <c r="K987" s="7">
        <f>_xlfn.XLOOKUP(A987,Z:Z,AD:AD)</f>
        <v>46077</v>
      </c>
      <c r="L987" s="7">
        <f t="shared" si="72"/>
        <v>46047</v>
      </c>
      <c r="M987">
        <f t="shared" si="73"/>
        <v>1</v>
      </c>
      <c r="N987">
        <f t="shared" si="74"/>
        <v>2026</v>
      </c>
      <c r="W987" s="9">
        <v>742</v>
      </c>
      <c r="X987" s="9" t="s">
        <v>27</v>
      </c>
      <c r="Z987">
        <v>1050</v>
      </c>
      <c r="AA987">
        <v>3390.99</v>
      </c>
      <c r="AB987" t="s">
        <v>27</v>
      </c>
      <c r="AD987" s="20">
        <v>46186</v>
      </c>
    </row>
    <row r="988" spans="1:30">
      <c r="A988">
        <v>1076</v>
      </c>
      <c r="B988" t="str">
        <f>_xlfn.XLOOKUP(A988,Z:Z,AB:AB,"not found")</f>
        <v>USD</v>
      </c>
      <c r="C988">
        <f>_xlfn.XLOOKUP(A988,Z:Z,AA:AA)-_xlfn.XLOOKUP(A988,Q:Q,R:R,"0")</f>
        <v>22474.13</v>
      </c>
      <c r="D988">
        <f>C988*_xlfn.XLOOKUP(B988,AG:AG,AH:AH)</f>
        <v>19327.751800000002</v>
      </c>
      <c r="E988">
        <f>C988*_xlfn.XLOOKUP(B988,AG:AG,AI:AI)</f>
        <v>22474.13</v>
      </c>
      <c r="F988">
        <v>22474.13</v>
      </c>
      <c r="G988">
        <f>F988*_xlfn.XLOOKUP(B988,AG:AG,AH:AH)</f>
        <v>19327.751800000002</v>
      </c>
      <c r="H988">
        <f>F988*_xlfn.XLOOKUP(B988,AG:AG,AI:AI)</f>
        <v>22474.13</v>
      </c>
      <c r="I988">
        <f t="shared" si="75"/>
        <v>0</v>
      </c>
      <c r="J988">
        <f>I988*_xlfn.XLOOKUP(B988,AG:AG,AI:AI)</f>
        <v>0</v>
      </c>
      <c r="K988" s="7">
        <f>_xlfn.XLOOKUP(A988,Z:Z,AD:AD)</f>
        <v>46101</v>
      </c>
      <c r="L988" s="7">
        <f t="shared" si="72"/>
        <v>46071</v>
      </c>
      <c r="M988">
        <f t="shared" si="73"/>
        <v>2</v>
      </c>
      <c r="N988">
        <f t="shared" si="74"/>
        <v>2026</v>
      </c>
      <c r="W988" s="9">
        <v>742</v>
      </c>
      <c r="X988" s="9" t="s">
        <v>27</v>
      </c>
      <c r="Z988">
        <v>1051</v>
      </c>
      <c r="AA988">
        <v>2567.36</v>
      </c>
      <c r="AB988" t="s">
        <v>27</v>
      </c>
      <c r="AD988" s="20">
        <v>46226</v>
      </c>
    </row>
    <row r="989" spans="1:30">
      <c r="A989">
        <v>1077</v>
      </c>
      <c r="B989" t="str">
        <f>_xlfn.XLOOKUP(A989,Z:Z,AB:AB,"not found")</f>
        <v>EUR</v>
      </c>
      <c r="C989">
        <f>_xlfn.XLOOKUP(A989,Z:Z,AA:AA)-_xlfn.XLOOKUP(A989,Q:Q,R:R,"0")</f>
        <v>9847.08</v>
      </c>
      <c r="D989">
        <f>C989*_xlfn.XLOOKUP(B989,AG:AG,AH:AH)</f>
        <v>9847.08</v>
      </c>
      <c r="E989">
        <f>C989*_xlfn.XLOOKUP(B989,AG:AG,AI:AI)</f>
        <v>11422.612799999999</v>
      </c>
      <c r="F989">
        <v>9846.08</v>
      </c>
      <c r="G989">
        <f>F989*_xlfn.XLOOKUP(B989,AG:AG,AH:AH)</f>
        <v>9846.08</v>
      </c>
      <c r="H989">
        <f>F989*_xlfn.XLOOKUP(B989,AG:AG,AI:AI)</f>
        <v>11421.452799999999</v>
      </c>
      <c r="I989">
        <f t="shared" si="75"/>
        <v>1</v>
      </c>
      <c r="J989">
        <f>I989*_xlfn.XLOOKUP(B989,AG:AG,AI:AI)</f>
        <v>1.1599999999999999</v>
      </c>
      <c r="K989" s="7">
        <f>_xlfn.XLOOKUP(A989,Z:Z,AD:AD)</f>
        <v>46108</v>
      </c>
      <c r="L989" s="7">
        <f t="shared" si="72"/>
        <v>46078</v>
      </c>
      <c r="M989">
        <f t="shared" si="73"/>
        <v>2</v>
      </c>
      <c r="N989">
        <f t="shared" si="74"/>
        <v>2026</v>
      </c>
      <c r="W989" s="9">
        <v>743</v>
      </c>
      <c r="X989" s="9" t="s">
        <v>29</v>
      </c>
      <c r="Z989">
        <v>1052</v>
      </c>
      <c r="AA989">
        <v>62000</v>
      </c>
      <c r="AB989" t="s">
        <v>29</v>
      </c>
      <c r="AD989" s="20">
        <v>46563</v>
      </c>
    </row>
    <row r="990" spans="1:30">
      <c r="A990">
        <v>1078</v>
      </c>
      <c r="B990" t="str">
        <f>_xlfn.XLOOKUP(A990,Z:Z,AB:AB,"not found")</f>
        <v>EUR</v>
      </c>
      <c r="C990">
        <f>_xlfn.XLOOKUP(A990,Z:Z,AA:AA)-_xlfn.XLOOKUP(A990,Q:Q,R:R,"0")</f>
        <v>5786.63</v>
      </c>
      <c r="D990">
        <f>C990*_xlfn.XLOOKUP(B990,AG:AG,AH:AH)</f>
        <v>5786.63</v>
      </c>
      <c r="E990">
        <f>C990*_xlfn.XLOOKUP(B990,AG:AG,AI:AI)</f>
        <v>6712.4907999999996</v>
      </c>
      <c r="F990">
        <v>526.6</v>
      </c>
      <c r="G990">
        <f>F990*_xlfn.XLOOKUP(B990,AG:AG,AH:AH)</f>
        <v>526.6</v>
      </c>
      <c r="H990">
        <f>F990*_xlfn.XLOOKUP(B990,AG:AG,AI:AI)</f>
        <v>610.85599999999999</v>
      </c>
      <c r="I990">
        <f t="shared" si="75"/>
        <v>5260.03</v>
      </c>
      <c r="J990">
        <f>I990*_xlfn.XLOOKUP(B990,AG:AG,AI:AI)</f>
        <v>6101.6347999999989</v>
      </c>
      <c r="K990" s="7">
        <f>_xlfn.XLOOKUP(A990,Z:Z,AD:AD)</f>
        <v>46202</v>
      </c>
      <c r="L990" s="7">
        <f t="shared" si="72"/>
        <v>46172</v>
      </c>
      <c r="M990">
        <f t="shared" si="73"/>
        <v>5</v>
      </c>
      <c r="N990">
        <f t="shared" si="74"/>
        <v>2026</v>
      </c>
      <c r="W990" s="9">
        <v>743</v>
      </c>
      <c r="X990" s="9" t="s">
        <v>29</v>
      </c>
      <c r="Z990">
        <v>1053</v>
      </c>
      <c r="AA990">
        <v>100</v>
      </c>
      <c r="AB990" t="s">
        <v>29</v>
      </c>
      <c r="AD990" s="20">
        <v>46137</v>
      </c>
    </row>
    <row r="991" spans="1:30">
      <c r="A991">
        <v>1079</v>
      </c>
      <c r="B991" t="str">
        <f>_xlfn.XLOOKUP(A991,Z:Z,AB:AB,"not found")</f>
        <v>MXN</v>
      </c>
      <c r="C991">
        <f>_xlfn.XLOOKUP(A991,Z:Z,AA:AA)-_xlfn.XLOOKUP(A991,Q:Q,R:R,"0")</f>
        <v>12900</v>
      </c>
      <c r="D991">
        <f>C991*_xlfn.XLOOKUP(B991,AG:AG,AH:AH)</f>
        <v>619.20000000000005</v>
      </c>
      <c r="E991">
        <f>C991*_xlfn.XLOOKUP(B991,AG:AG,AI:AI)</f>
        <v>722.4</v>
      </c>
      <c r="F991">
        <v>12900</v>
      </c>
      <c r="G991">
        <f>F991*_xlfn.XLOOKUP(B991,AG:AG,AH:AH)</f>
        <v>619.20000000000005</v>
      </c>
      <c r="H991">
        <f>F991*_xlfn.XLOOKUP(B991,AG:AG,AI:AI)</f>
        <v>722.4</v>
      </c>
      <c r="I991">
        <f t="shared" si="75"/>
        <v>0</v>
      </c>
      <c r="J991">
        <f>I991*_xlfn.XLOOKUP(B991,AG:AG,AI:AI)</f>
        <v>0</v>
      </c>
      <c r="K991" s="7">
        <f>_xlfn.XLOOKUP(A991,Z:Z,AD:AD)</f>
        <v>46058</v>
      </c>
      <c r="L991" s="7">
        <f t="shared" si="72"/>
        <v>46028</v>
      </c>
      <c r="M991">
        <f t="shared" si="73"/>
        <v>1</v>
      </c>
      <c r="N991">
        <f t="shared" si="74"/>
        <v>2026</v>
      </c>
      <c r="W991" s="9">
        <v>743</v>
      </c>
      <c r="X991" s="9" t="s">
        <v>29</v>
      </c>
      <c r="Z991">
        <v>1054</v>
      </c>
      <c r="AA991">
        <v>5075.45</v>
      </c>
      <c r="AB991" t="s">
        <v>29</v>
      </c>
      <c r="AD991" s="20">
        <v>46085</v>
      </c>
    </row>
    <row r="992" spans="1:30">
      <c r="A992">
        <v>1080</v>
      </c>
      <c r="B992" t="str">
        <f>_xlfn.XLOOKUP(A992,Z:Z,AB:AB,"not found")</f>
        <v>USD</v>
      </c>
      <c r="C992">
        <f>_xlfn.XLOOKUP(A992,Z:Z,AA:AA)-_xlfn.XLOOKUP(A992,Q:Q,R:R,"0")</f>
        <v>7068.84</v>
      </c>
      <c r="D992">
        <f>C992*_xlfn.XLOOKUP(B992,AG:AG,AH:AH)</f>
        <v>6079.2024000000001</v>
      </c>
      <c r="E992">
        <f>C992*_xlfn.XLOOKUP(B992,AG:AG,AI:AI)</f>
        <v>7068.84</v>
      </c>
      <c r="F992">
        <v>5917.79</v>
      </c>
      <c r="G992">
        <f>F992*_xlfn.XLOOKUP(B992,AG:AG,AH:AH)</f>
        <v>5089.2993999999999</v>
      </c>
      <c r="H992">
        <f>F992*_xlfn.XLOOKUP(B992,AG:AG,AI:AI)</f>
        <v>5917.79</v>
      </c>
      <c r="I992">
        <f t="shared" si="75"/>
        <v>1151.0500000000002</v>
      </c>
      <c r="J992">
        <f>I992*_xlfn.XLOOKUP(B992,AG:AG,AI:AI)</f>
        <v>1151.0500000000002</v>
      </c>
      <c r="K992" s="7">
        <f>_xlfn.XLOOKUP(A992,Z:Z,AD:AD)</f>
        <v>46169</v>
      </c>
      <c r="L992" s="7">
        <f t="shared" si="72"/>
        <v>46139</v>
      </c>
      <c r="M992">
        <f t="shared" si="73"/>
        <v>4</v>
      </c>
      <c r="N992">
        <f t="shared" si="74"/>
        <v>2026</v>
      </c>
      <c r="W992" s="9">
        <v>743</v>
      </c>
      <c r="X992" s="9" t="s">
        <v>29</v>
      </c>
      <c r="Z992">
        <v>1055</v>
      </c>
      <c r="AA992">
        <v>447.48</v>
      </c>
      <c r="AB992" t="s">
        <v>29</v>
      </c>
      <c r="AD992" s="20">
        <v>46058</v>
      </c>
    </row>
    <row r="993" spans="1:30">
      <c r="A993">
        <v>1081</v>
      </c>
      <c r="B993" t="str">
        <f>_xlfn.XLOOKUP(A993,Z:Z,AB:AB,"not found")</f>
        <v>USD</v>
      </c>
      <c r="C993">
        <f>_xlfn.XLOOKUP(A993,Z:Z,AA:AA)-_xlfn.XLOOKUP(A993,Q:Q,R:R,"0")</f>
        <v>4263.8</v>
      </c>
      <c r="D993">
        <f>C993*_xlfn.XLOOKUP(B993,AG:AG,AH:AH)</f>
        <v>3666.8679999999999</v>
      </c>
      <c r="E993">
        <f>C993*_xlfn.XLOOKUP(B993,AG:AG,AI:AI)</f>
        <v>4263.8</v>
      </c>
      <c r="F993">
        <v>4263.8</v>
      </c>
      <c r="G993">
        <f>F993*_xlfn.XLOOKUP(B993,AG:AG,AH:AH)</f>
        <v>3666.8679999999999</v>
      </c>
      <c r="H993">
        <f>F993*_xlfn.XLOOKUP(B993,AG:AG,AI:AI)</f>
        <v>4263.8</v>
      </c>
      <c r="I993">
        <f t="shared" si="75"/>
        <v>0</v>
      </c>
      <c r="J993">
        <f>I993*_xlfn.XLOOKUP(B993,AG:AG,AI:AI)</f>
        <v>0</v>
      </c>
      <c r="K993" s="7">
        <f>_xlfn.XLOOKUP(A993,Z:Z,AD:AD)</f>
        <v>46240</v>
      </c>
      <c r="L993" s="7">
        <f t="shared" si="72"/>
        <v>46210</v>
      </c>
      <c r="M993">
        <f t="shared" si="73"/>
        <v>7</v>
      </c>
      <c r="N993">
        <f t="shared" si="74"/>
        <v>2026</v>
      </c>
      <c r="W993" s="9">
        <v>743</v>
      </c>
      <c r="X993" s="9" t="s">
        <v>29</v>
      </c>
      <c r="Z993">
        <v>1056</v>
      </c>
      <c r="AA993">
        <v>582.4</v>
      </c>
      <c r="AB993" t="s">
        <v>29</v>
      </c>
      <c r="AD993" s="20">
        <v>46169</v>
      </c>
    </row>
    <row r="994" spans="1:30">
      <c r="A994">
        <v>1082</v>
      </c>
      <c r="B994" t="str">
        <f>_xlfn.XLOOKUP(A994,Z:Z,AB:AB,"not found")</f>
        <v>USD</v>
      </c>
      <c r="C994">
        <f>_xlfn.XLOOKUP(A994,Z:Z,AA:AA)-_xlfn.XLOOKUP(A994,Q:Q,R:R,"0")</f>
        <v>0</v>
      </c>
      <c r="D994">
        <f>C994*_xlfn.XLOOKUP(B994,AG:AG,AH:AH)</f>
        <v>0</v>
      </c>
      <c r="E994">
        <f>C994*_xlfn.XLOOKUP(B994,AG:AG,AI:AI)</f>
        <v>0</v>
      </c>
      <c r="F994">
        <v>21042.880000000001</v>
      </c>
      <c r="G994">
        <f>F994*_xlfn.XLOOKUP(B994,AG:AG,AH:AH)</f>
        <v>18096.876800000002</v>
      </c>
      <c r="H994">
        <f>F994*_xlfn.XLOOKUP(B994,AG:AG,AI:AI)</f>
        <v>21042.880000000001</v>
      </c>
      <c r="I994">
        <f t="shared" si="75"/>
        <v>0</v>
      </c>
      <c r="J994">
        <f>I994*_xlfn.XLOOKUP(B994,AG:AG,AI:AI)</f>
        <v>0</v>
      </c>
      <c r="K994" s="7">
        <f>_xlfn.XLOOKUP(A994,Z:Z,AD:AD)</f>
        <v>46021</v>
      </c>
      <c r="L994" s="7">
        <f t="shared" si="72"/>
        <v>45991</v>
      </c>
      <c r="M994">
        <f t="shared" si="73"/>
        <v>11</v>
      </c>
      <c r="N994">
        <f t="shared" si="74"/>
        <v>2025</v>
      </c>
      <c r="W994" s="9">
        <v>743</v>
      </c>
      <c r="X994" s="9" t="s">
        <v>29</v>
      </c>
      <c r="Z994">
        <v>1058</v>
      </c>
      <c r="AA994">
        <v>6744.55</v>
      </c>
      <c r="AB994" t="s">
        <v>29</v>
      </c>
      <c r="AD994" s="20">
        <v>46108</v>
      </c>
    </row>
    <row r="995" spans="1:30">
      <c r="A995">
        <v>1083</v>
      </c>
      <c r="B995" t="str">
        <f>_xlfn.XLOOKUP(A995,Z:Z,AB:AB,"not found")</f>
        <v>USD</v>
      </c>
      <c r="C995">
        <f>_xlfn.XLOOKUP(A995,Z:Z,AA:AA)-_xlfn.XLOOKUP(A995,Q:Q,R:R,"0")</f>
        <v>0</v>
      </c>
      <c r="D995">
        <f>C995*_xlfn.XLOOKUP(B995,AG:AG,AH:AH)</f>
        <v>0</v>
      </c>
      <c r="E995">
        <f>C995*_xlfn.XLOOKUP(B995,AG:AG,AI:AI)</f>
        <v>0</v>
      </c>
      <c r="F995">
        <v>11627</v>
      </c>
      <c r="G995">
        <f>F995*_xlfn.XLOOKUP(B995,AG:AG,AH:AH)</f>
        <v>9999.2199999999993</v>
      </c>
      <c r="H995">
        <f>F995*_xlfn.XLOOKUP(B995,AG:AG,AI:AI)</f>
        <v>11627</v>
      </c>
      <c r="I995">
        <f t="shared" si="75"/>
        <v>0</v>
      </c>
      <c r="J995">
        <f>I995*_xlfn.XLOOKUP(B995,AG:AG,AI:AI)</f>
        <v>0</v>
      </c>
      <c r="K995" s="7">
        <f>_xlfn.XLOOKUP(A995,Z:Z,AD:AD)</f>
        <v>46066</v>
      </c>
      <c r="L995" s="7">
        <f t="shared" si="72"/>
        <v>46036</v>
      </c>
      <c r="M995">
        <f t="shared" si="73"/>
        <v>1</v>
      </c>
      <c r="N995">
        <f t="shared" si="74"/>
        <v>2026</v>
      </c>
      <c r="W995" s="9">
        <v>743</v>
      </c>
      <c r="X995" s="9" t="s">
        <v>29</v>
      </c>
      <c r="Z995">
        <v>1059</v>
      </c>
      <c r="AA995">
        <v>873</v>
      </c>
      <c r="AB995" t="s">
        <v>31</v>
      </c>
      <c r="AD995" s="20">
        <v>46095</v>
      </c>
    </row>
    <row r="996" spans="1:30">
      <c r="A996">
        <v>1084</v>
      </c>
      <c r="B996" t="str">
        <f>_xlfn.XLOOKUP(A996,Z:Z,AB:AB,"not found")</f>
        <v>USD</v>
      </c>
      <c r="C996">
        <f>_xlfn.XLOOKUP(A996,Z:Z,AA:AA)-_xlfn.XLOOKUP(A996,Q:Q,R:R,"0")</f>
        <v>0</v>
      </c>
      <c r="D996">
        <f>C996*_xlfn.XLOOKUP(B996,AG:AG,AH:AH)</f>
        <v>0</v>
      </c>
      <c r="E996">
        <f>C996*_xlfn.XLOOKUP(B996,AG:AG,AI:AI)</f>
        <v>0</v>
      </c>
      <c r="F996">
        <v>4655.67</v>
      </c>
      <c r="G996">
        <f>F996*_xlfn.XLOOKUP(B996,AG:AG,AH:AH)</f>
        <v>4003.8762000000002</v>
      </c>
      <c r="H996">
        <f>F996*_xlfn.XLOOKUP(B996,AG:AG,AI:AI)</f>
        <v>4655.67</v>
      </c>
      <c r="I996">
        <f t="shared" si="75"/>
        <v>0</v>
      </c>
      <c r="J996">
        <f>I996*_xlfn.XLOOKUP(B996,AG:AG,AI:AI)</f>
        <v>0</v>
      </c>
      <c r="K996" s="7">
        <f>_xlfn.XLOOKUP(A996,Z:Z,AD:AD)</f>
        <v>46029</v>
      </c>
      <c r="L996" s="7">
        <f t="shared" ref="L996:L1015" si="76">K996-30</f>
        <v>45999</v>
      </c>
      <c r="M996">
        <f t="shared" ref="M996:M1015" si="77">MONTH(L996)</f>
        <v>12</v>
      </c>
      <c r="N996">
        <f t="shared" ref="N996:N1015" si="78">YEAR(L996)</f>
        <v>2025</v>
      </c>
      <c r="W996" s="9">
        <v>744</v>
      </c>
      <c r="X996" s="9" t="s">
        <v>29</v>
      </c>
      <c r="Z996">
        <v>1060</v>
      </c>
      <c r="AA996">
        <v>3420</v>
      </c>
      <c r="AB996" t="s">
        <v>27</v>
      </c>
      <c r="AD996" s="20">
        <v>46101</v>
      </c>
    </row>
    <row r="997" spans="1:30">
      <c r="A997">
        <v>1086</v>
      </c>
      <c r="B997" t="str">
        <f>_xlfn.XLOOKUP(A997,Z:Z,AB:AB,"not found")</f>
        <v>USD</v>
      </c>
      <c r="C997">
        <f>_xlfn.XLOOKUP(A997,Z:Z,AA:AA)-_xlfn.XLOOKUP(A997,Q:Q,R:R,"0")</f>
        <v>2792.56</v>
      </c>
      <c r="D997">
        <f>C997*_xlfn.XLOOKUP(B997,AG:AG,AH:AH)</f>
        <v>2401.6016</v>
      </c>
      <c r="E997">
        <f>C997*_xlfn.XLOOKUP(B997,AG:AG,AI:AI)</f>
        <v>2792.56</v>
      </c>
      <c r="F997">
        <v>2792.56</v>
      </c>
      <c r="G997">
        <f>F997*_xlfn.XLOOKUP(B997,AG:AG,AH:AH)</f>
        <v>2401.6016</v>
      </c>
      <c r="H997">
        <f>F997*_xlfn.XLOOKUP(B997,AG:AG,AI:AI)</f>
        <v>2792.56</v>
      </c>
      <c r="I997">
        <f t="shared" si="75"/>
        <v>0</v>
      </c>
      <c r="J997">
        <f>I997*_xlfn.XLOOKUP(B997,AG:AG,AI:AI)</f>
        <v>0</v>
      </c>
      <c r="K997" s="7">
        <f>_xlfn.XLOOKUP(A997,Z:Z,AD:AD)</f>
        <v>46118</v>
      </c>
      <c r="L997" s="7">
        <f t="shared" si="76"/>
        <v>46088</v>
      </c>
      <c r="M997">
        <f t="shared" si="77"/>
        <v>3</v>
      </c>
      <c r="N997">
        <f t="shared" si="78"/>
        <v>2026</v>
      </c>
      <c r="W997" s="9">
        <v>745</v>
      </c>
      <c r="X997" s="9" t="s">
        <v>29</v>
      </c>
      <c r="Z997">
        <v>1061</v>
      </c>
      <c r="AA997">
        <v>10777</v>
      </c>
      <c r="AB997" t="s">
        <v>27</v>
      </c>
      <c r="AD997" s="20">
        <v>46084</v>
      </c>
    </row>
    <row r="998" spans="1:30">
      <c r="A998">
        <v>1088</v>
      </c>
      <c r="B998" t="str">
        <f>_xlfn.XLOOKUP(A998,Z:Z,AB:AB,"not found")</f>
        <v>MXN</v>
      </c>
      <c r="C998">
        <f>_xlfn.XLOOKUP(A998,Z:Z,AA:AA)-_xlfn.XLOOKUP(A998,Q:Q,R:R,"0")</f>
        <v>1514423.15</v>
      </c>
      <c r="D998">
        <f>C998*_xlfn.XLOOKUP(B998,AG:AG,AH:AH)</f>
        <v>72692.311199999996</v>
      </c>
      <c r="E998">
        <f>C998*_xlfn.XLOOKUP(B998,AG:AG,AI:AI)</f>
        <v>84807.696400000001</v>
      </c>
      <c r="F998">
        <v>1283871.95</v>
      </c>
      <c r="G998">
        <f>F998*_xlfn.XLOOKUP(B998,AG:AG,AH:AH)</f>
        <v>61625.853600000002</v>
      </c>
      <c r="H998">
        <f>F998*_xlfn.XLOOKUP(B998,AG:AG,AI:AI)</f>
        <v>71896.829199999993</v>
      </c>
      <c r="I998">
        <f t="shared" si="75"/>
        <v>230551.19999999995</v>
      </c>
      <c r="J998">
        <f>I998*_xlfn.XLOOKUP(B998,AG:AG,AI:AI)</f>
        <v>12910.867199999997</v>
      </c>
      <c r="K998" s="7">
        <f>_xlfn.XLOOKUP(A998,Z:Z,AD:AD)</f>
        <v>46159</v>
      </c>
      <c r="L998" s="7">
        <f t="shared" si="76"/>
        <v>46129</v>
      </c>
      <c r="M998">
        <f t="shared" si="77"/>
        <v>4</v>
      </c>
      <c r="N998">
        <f t="shared" si="78"/>
        <v>2026</v>
      </c>
      <c r="W998" s="9">
        <v>749</v>
      </c>
      <c r="X998" s="9" t="s">
        <v>29</v>
      </c>
      <c r="Z998">
        <v>1062</v>
      </c>
      <c r="AA998">
        <v>77880.45</v>
      </c>
      <c r="AB998" t="s">
        <v>27</v>
      </c>
      <c r="AD998" s="20">
        <v>46382</v>
      </c>
    </row>
    <row r="999" spans="1:30">
      <c r="A999">
        <v>1090</v>
      </c>
      <c r="B999" t="str">
        <f>_xlfn.XLOOKUP(A999,Z:Z,AB:AB,"not found")</f>
        <v>USD</v>
      </c>
      <c r="C999">
        <f>_xlfn.XLOOKUP(A999,Z:Z,AA:AA)-_xlfn.XLOOKUP(A999,Q:Q,R:R,"0")</f>
        <v>6045</v>
      </c>
      <c r="D999">
        <f>C999*_xlfn.XLOOKUP(B999,AG:AG,AH:AH)</f>
        <v>5198.7</v>
      </c>
      <c r="E999">
        <f>C999*_xlfn.XLOOKUP(B999,AG:AG,AI:AI)</f>
        <v>6045</v>
      </c>
      <c r="F999">
        <v>6030.25</v>
      </c>
      <c r="G999">
        <f>F999*_xlfn.XLOOKUP(B999,AG:AG,AH:AH)</f>
        <v>5186.0150000000003</v>
      </c>
      <c r="H999">
        <f>F999*_xlfn.XLOOKUP(B999,AG:AG,AI:AI)</f>
        <v>6030.25</v>
      </c>
      <c r="I999">
        <f t="shared" si="75"/>
        <v>14.75</v>
      </c>
      <c r="J999">
        <f>I999*_xlfn.XLOOKUP(B999,AG:AG,AI:AI)</f>
        <v>14.75</v>
      </c>
      <c r="K999" s="7">
        <f>_xlfn.XLOOKUP(A999,Z:Z,AD:AD)</f>
        <v>46108</v>
      </c>
      <c r="L999" s="7">
        <f t="shared" si="76"/>
        <v>46078</v>
      </c>
      <c r="M999">
        <f t="shared" si="77"/>
        <v>2</v>
      </c>
      <c r="N999">
        <f t="shared" si="78"/>
        <v>2026</v>
      </c>
      <c r="W999" s="9">
        <v>750</v>
      </c>
      <c r="X999" s="9" t="s">
        <v>29</v>
      </c>
      <c r="Z999">
        <v>1063</v>
      </c>
      <c r="AA999">
        <v>1845.54</v>
      </c>
      <c r="AB999" t="s">
        <v>29</v>
      </c>
      <c r="AD999" s="20">
        <v>46063</v>
      </c>
    </row>
    <row r="1000" spans="1:30">
      <c r="A1000">
        <v>1091</v>
      </c>
      <c r="B1000" t="str">
        <f>_xlfn.XLOOKUP(A1000,Z:Z,AB:AB,"not found")</f>
        <v>USD</v>
      </c>
      <c r="C1000">
        <f>_xlfn.XLOOKUP(A1000,Z:Z,AA:AA)-_xlfn.XLOOKUP(A1000,Q:Q,R:R,"0")</f>
        <v>0</v>
      </c>
      <c r="D1000">
        <f>C1000*_xlfn.XLOOKUP(B1000,AG:AG,AH:AH)</f>
        <v>0</v>
      </c>
      <c r="E1000">
        <f>C1000*_xlfn.XLOOKUP(B1000,AG:AG,AI:AI)</f>
        <v>0</v>
      </c>
      <c r="F1000">
        <v>59189</v>
      </c>
      <c r="G1000">
        <f>F1000*_xlfn.XLOOKUP(B1000,AG:AG,AH:AH)</f>
        <v>50902.54</v>
      </c>
      <c r="H1000">
        <f>F1000*_xlfn.XLOOKUP(B1000,AG:AG,AI:AI)</f>
        <v>59189</v>
      </c>
      <c r="I1000">
        <f t="shared" si="75"/>
        <v>0</v>
      </c>
      <c r="J1000">
        <f>I1000*_xlfn.XLOOKUP(B1000,AG:AG,AI:AI)</f>
        <v>0</v>
      </c>
      <c r="K1000" s="7">
        <f>_xlfn.XLOOKUP(A1000,Z:Z,AD:AD)</f>
        <v>46101</v>
      </c>
      <c r="L1000" s="7">
        <f t="shared" si="76"/>
        <v>46071</v>
      </c>
      <c r="M1000">
        <f t="shared" si="77"/>
        <v>2</v>
      </c>
      <c r="N1000">
        <f t="shared" si="78"/>
        <v>2026</v>
      </c>
      <c r="W1000" s="9">
        <v>750</v>
      </c>
      <c r="X1000" s="9" t="s">
        <v>29</v>
      </c>
      <c r="Z1000">
        <v>1064</v>
      </c>
      <c r="AA1000">
        <v>28675</v>
      </c>
      <c r="AB1000" t="s">
        <v>27</v>
      </c>
      <c r="AD1000" s="20">
        <v>46228</v>
      </c>
    </row>
    <row r="1001" spans="1:30">
      <c r="A1001">
        <v>1092</v>
      </c>
      <c r="B1001" t="str">
        <f>_xlfn.XLOOKUP(A1001,Z:Z,AB:AB,"not found")</f>
        <v>USD</v>
      </c>
      <c r="C1001">
        <f>_xlfn.XLOOKUP(A1001,Z:Z,AA:AA)-_xlfn.XLOOKUP(A1001,Q:Q,R:R,"0")</f>
        <v>22103.08</v>
      </c>
      <c r="D1001">
        <f>C1001*_xlfn.XLOOKUP(B1001,AG:AG,AH:AH)</f>
        <v>19008.648800000003</v>
      </c>
      <c r="E1001">
        <f>C1001*_xlfn.XLOOKUP(B1001,AG:AG,AI:AI)</f>
        <v>22103.08</v>
      </c>
      <c r="F1001">
        <v>19721.88</v>
      </c>
      <c r="G1001">
        <f>F1001*_xlfn.XLOOKUP(B1001,AG:AG,AH:AH)</f>
        <v>16960.816800000001</v>
      </c>
      <c r="H1001">
        <f>F1001*_xlfn.XLOOKUP(B1001,AG:AG,AI:AI)</f>
        <v>19721.88</v>
      </c>
      <c r="I1001">
        <f t="shared" si="75"/>
        <v>2381.2000000000007</v>
      </c>
      <c r="J1001">
        <f>I1001*_xlfn.XLOOKUP(B1001,AG:AG,AI:AI)</f>
        <v>2381.2000000000007</v>
      </c>
      <c r="K1001" s="7">
        <f>_xlfn.XLOOKUP(A1001,Z:Z,AD:AD)</f>
        <v>46082</v>
      </c>
      <c r="L1001" s="7">
        <f t="shared" si="76"/>
        <v>46052</v>
      </c>
      <c r="M1001">
        <f t="shared" si="77"/>
        <v>1</v>
      </c>
      <c r="N1001">
        <f t="shared" si="78"/>
        <v>2026</v>
      </c>
      <c r="W1001" s="9">
        <v>750</v>
      </c>
      <c r="X1001" s="9" t="s">
        <v>29</v>
      </c>
      <c r="Z1001">
        <v>1065</v>
      </c>
      <c r="AA1001">
        <v>3014.1</v>
      </c>
      <c r="AB1001" t="s">
        <v>29</v>
      </c>
      <c r="AD1001" s="20">
        <v>45861</v>
      </c>
    </row>
    <row r="1002" spans="1:30">
      <c r="A1002">
        <v>1093</v>
      </c>
      <c r="B1002" t="str">
        <f>_xlfn.XLOOKUP(A1002,Z:Z,AB:AB,"not found")</f>
        <v>EUR</v>
      </c>
      <c r="C1002">
        <f>_xlfn.XLOOKUP(A1002,Z:Z,AA:AA)-_xlfn.XLOOKUP(A1002,Q:Q,R:R,"0")</f>
        <v>16905.34</v>
      </c>
      <c r="D1002">
        <f>C1002*_xlfn.XLOOKUP(B1002,AG:AG,AH:AH)</f>
        <v>16905.34</v>
      </c>
      <c r="E1002">
        <f>C1002*_xlfn.XLOOKUP(B1002,AG:AG,AI:AI)</f>
        <v>19610.1944</v>
      </c>
      <c r="F1002">
        <v>2576.64</v>
      </c>
      <c r="G1002">
        <f>F1002*_xlfn.XLOOKUP(B1002,AG:AG,AH:AH)</f>
        <v>2576.64</v>
      </c>
      <c r="H1002">
        <f>F1002*_xlfn.XLOOKUP(B1002,AG:AG,AI:AI)</f>
        <v>2988.9023999999995</v>
      </c>
      <c r="I1002">
        <f t="shared" si="75"/>
        <v>14328.7</v>
      </c>
      <c r="J1002">
        <f>I1002*_xlfn.XLOOKUP(B1002,AG:AG,AI:AI)</f>
        <v>16621.292000000001</v>
      </c>
      <c r="K1002" s="7">
        <f>_xlfn.XLOOKUP(A1002,Z:Z,AD:AD)</f>
        <v>46328</v>
      </c>
      <c r="L1002" s="7">
        <f t="shared" si="76"/>
        <v>46298</v>
      </c>
      <c r="M1002">
        <f t="shared" si="77"/>
        <v>10</v>
      </c>
      <c r="N1002">
        <f t="shared" si="78"/>
        <v>2026</v>
      </c>
      <c r="W1002" s="9">
        <v>751</v>
      </c>
      <c r="X1002" s="9" t="s">
        <v>27</v>
      </c>
      <c r="Z1002">
        <v>1066</v>
      </c>
      <c r="AA1002">
        <v>10941.66</v>
      </c>
      <c r="AB1002" t="s">
        <v>29</v>
      </c>
      <c r="AD1002" s="20">
        <v>46189</v>
      </c>
    </row>
    <row r="1003" spans="1:30">
      <c r="A1003">
        <v>1095</v>
      </c>
      <c r="B1003" t="str">
        <f>_xlfn.XLOOKUP(A1003,Z:Z,AB:AB,"not found")</f>
        <v>USD</v>
      </c>
      <c r="C1003">
        <f>_xlfn.XLOOKUP(A1003,Z:Z,AA:AA)-_xlfn.XLOOKUP(A1003,Q:Q,R:R,"0")</f>
        <v>15444</v>
      </c>
      <c r="D1003">
        <f>C1003*_xlfn.XLOOKUP(B1003,AG:AG,AH:AH)</f>
        <v>13281.84</v>
      </c>
      <c r="E1003">
        <f>C1003*_xlfn.XLOOKUP(B1003,AG:AG,AI:AI)</f>
        <v>15444</v>
      </c>
      <c r="F1003">
        <v>52636</v>
      </c>
      <c r="G1003">
        <f>F1003*_xlfn.XLOOKUP(B1003,AG:AG,AH:AH)</f>
        <v>45266.96</v>
      </c>
      <c r="H1003">
        <f>F1003*_xlfn.XLOOKUP(B1003,AG:AG,AI:AI)</f>
        <v>52636</v>
      </c>
      <c r="I1003">
        <f t="shared" si="75"/>
        <v>0</v>
      </c>
      <c r="J1003">
        <f>I1003*_xlfn.XLOOKUP(B1003,AG:AG,AI:AI)</f>
        <v>0</v>
      </c>
      <c r="K1003" s="7">
        <f>_xlfn.XLOOKUP(A1003,Z:Z,AD:AD)</f>
        <v>46113</v>
      </c>
      <c r="L1003" s="7">
        <f t="shared" si="76"/>
        <v>46083</v>
      </c>
      <c r="M1003">
        <f t="shared" si="77"/>
        <v>3</v>
      </c>
      <c r="N1003">
        <f t="shared" si="78"/>
        <v>2026</v>
      </c>
      <c r="W1003" s="9">
        <v>752</v>
      </c>
      <c r="X1003" s="9" t="s">
        <v>28</v>
      </c>
      <c r="Z1003">
        <v>1067</v>
      </c>
      <c r="AA1003">
        <v>8760</v>
      </c>
      <c r="AB1003" t="s">
        <v>29</v>
      </c>
      <c r="AD1003" s="20">
        <v>46059</v>
      </c>
    </row>
    <row r="1004" spans="1:30">
      <c r="A1004">
        <v>1096</v>
      </c>
      <c r="B1004" t="str">
        <f>_xlfn.XLOOKUP(A1004,Z:Z,AB:AB,"not found")</f>
        <v>MXN</v>
      </c>
      <c r="C1004">
        <f>_xlfn.XLOOKUP(A1004,Z:Z,AA:AA)-_xlfn.XLOOKUP(A1004,Q:Q,R:R,"0")</f>
        <v>75616.02</v>
      </c>
      <c r="D1004">
        <f>C1004*_xlfn.XLOOKUP(B1004,AG:AG,AH:AH)</f>
        <v>3629.5689600000001</v>
      </c>
      <c r="E1004">
        <f>C1004*_xlfn.XLOOKUP(B1004,AG:AG,AI:AI)</f>
        <v>4234.49712</v>
      </c>
      <c r="F1004">
        <v>75616.02</v>
      </c>
      <c r="G1004">
        <f>F1004*_xlfn.XLOOKUP(B1004,AG:AG,AH:AH)</f>
        <v>3629.5689600000001</v>
      </c>
      <c r="H1004">
        <f>F1004*_xlfn.XLOOKUP(B1004,AG:AG,AI:AI)</f>
        <v>4234.49712</v>
      </c>
      <c r="I1004">
        <f t="shared" si="75"/>
        <v>0</v>
      </c>
      <c r="J1004">
        <f>I1004*_xlfn.XLOOKUP(B1004,AG:AG,AI:AI)</f>
        <v>0</v>
      </c>
      <c r="K1004" s="7">
        <f>_xlfn.XLOOKUP(A1004,Z:Z,AD:AD)</f>
        <v>46142</v>
      </c>
      <c r="L1004" s="7">
        <f t="shared" si="76"/>
        <v>46112</v>
      </c>
      <c r="M1004">
        <f t="shared" si="77"/>
        <v>3</v>
      </c>
      <c r="N1004">
        <f t="shared" si="78"/>
        <v>2026</v>
      </c>
      <c r="W1004" s="9">
        <v>753</v>
      </c>
      <c r="X1004" s="9" t="s">
        <v>29</v>
      </c>
      <c r="Z1004">
        <v>1068</v>
      </c>
      <c r="AA1004">
        <v>8121.96</v>
      </c>
      <c r="AB1004" t="s">
        <v>27</v>
      </c>
      <c r="AD1004" s="20">
        <v>46202</v>
      </c>
    </row>
    <row r="1005" spans="1:30">
      <c r="A1005">
        <v>1098</v>
      </c>
      <c r="B1005" t="str">
        <f>_xlfn.XLOOKUP(A1005,Z:Z,AB:AB,"not found")</f>
        <v>USD</v>
      </c>
      <c r="C1005">
        <f>_xlfn.XLOOKUP(A1005,Z:Z,AA:AA)-_xlfn.XLOOKUP(A1005,Q:Q,R:R,"0")</f>
        <v>79900</v>
      </c>
      <c r="D1005">
        <f>C1005*_xlfn.XLOOKUP(B1005,AG:AG,AH:AH)</f>
        <v>68714</v>
      </c>
      <c r="E1005">
        <f>C1005*_xlfn.XLOOKUP(B1005,AG:AG,AI:AI)</f>
        <v>79900</v>
      </c>
      <c r="F1005">
        <v>20000</v>
      </c>
      <c r="G1005">
        <f>F1005*_xlfn.XLOOKUP(B1005,AG:AG,AH:AH)</f>
        <v>17200</v>
      </c>
      <c r="H1005">
        <f>F1005*_xlfn.XLOOKUP(B1005,AG:AG,AI:AI)</f>
        <v>20000</v>
      </c>
      <c r="I1005">
        <f t="shared" si="75"/>
        <v>59900</v>
      </c>
      <c r="J1005">
        <f>I1005*_xlfn.XLOOKUP(B1005,AG:AG,AI:AI)</f>
        <v>59900</v>
      </c>
      <c r="K1005" s="7">
        <f>_xlfn.XLOOKUP(A1005,Z:Z,AD:AD)</f>
        <v>46143</v>
      </c>
      <c r="L1005" s="7">
        <f t="shared" si="76"/>
        <v>46113</v>
      </c>
      <c r="M1005">
        <f t="shared" si="77"/>
        <v>4</v>
      </c>
      <c r="N1005">
        <f t="shared" si="78"/>
        <v>2026</v>
      </c>
      <c r="W1005" s="9">
        <v>757</v>
      </c>
      <c r="X1005" s="9" t="s">
        <v>29</v>
      </c>
      <c r="Z1005">
        <v>1069</v>
      </c>
      <c r="AA1005">
        <v>19500.2</v>
      </c>
      <c r="AB1005" t="s">
        <v>29</v>
      </c>
      <c r="AD1005" s="20">
        <v>46139</v>
      </c>
    </row>
    <row r="1006" spans="1:30">
      <c r="A1006">
        <v>1100</v>
      </c>
      <c r="B1006" t="str">
        <f>_xlfn.XLOOKUP(A1006,Z:Z,AB:AB,"not found")</f>
        <v>MXN</v>
      </c>
      <c r="C1006">
        <f>_xlfn.XLOOKUP(A1006,Z:Z,AA:AA)-_xlfn.XLOOKUP(A1006,Q:Q,R:R,"0")</f>
        <v>0</v>
      </c>
      <c r="D1006">
        <f>C1006*_xlfn.XLOOKUP(B1006,AG:AG,AH:AH)</f>
        <v>0</v>
      </c>
      <c r="E1006">
        <f>C1006*_xlfn.XLOOKUP(B1006,AG:AG,AI:AI)</f>
        <v>0</v>
      </c>
      <c r="F1006">
        <v>51816</v>
      </c>
      <c r="G1006">
        <f>F1006*_xlfn.XLOOKUP(B1006,AG:AG,AH:AH)</f>
        <v>2487.1680000000001</v>
      </c>
      <c r="H1006">
        <f>F1006*_xlfn.XLOOKUP(B1006,AG:AG,AI:AI)</f>
        <v>2901.6959999999999</v>
      </c>
      <c r="I1006">
        <f t="shared" si="75"/>
        <v>0</v>
      </c>
      <c r="J1006">
        <f>I1006*_xlfn.XLOOKUP(B1006,AG:AG,AI:AI)</f>
        <v>0</v>
      </c>
      <c r="K1006" s="7">
        <f>_xlfn.XLOOKUP(A1006,Z:Z,AD:AD)</f>
        <v>46100</v>
      </c>
      <c r="L1006" s="7">
        <f t="shared" si="76"/>
        <v>46070</v>
      </c>
      <c r="M1006">
        <f t="shared" si="77"/>
        <v>2</v>
      </c>
      <c r="N1006">
        <f t="shared" si="78"/>
        <v>2026</v>
      </c>
      <c r="W1006" s="9">
        <v>758</v>
      </c>
      <c r="X1006" s="9" t="s">
        <v>27</v>
      </c>
      <c r="Z1006">
        <v>1070</v>
      </c>
      <c r="AA1006">
        <v>9130</v>
      </c>
      <c r="AB1006" t="s">
        <v>29</v>
      </c>
      <c r="AD1006" s="20">
        <v>46096</v>
      </c>
    </row>
    <row r="1007" spans="1:30">
      <c r="A1007">
        <v>1101</v>
      </c>
      <c r="B1007" t="str">
        <f>_xlfn.XLOOKUP(A1007,Z:Z,AB:AB,"not found")</f>
        <v>USD</v>
      </c>
      <c r="C1007">
        <f>_xlfn.XLOOKUP(A1007,Z:Z,AA:AA)-_xlfn.XLOOKUP(A1007,Q:Q,R:R,"0")</f>
        <v>1976</v>
      </c>
      <c r="D1007">
        <f>C1007*_xlfn.XLOOKUP(B1007,AG:AG,AH:AH)</f>
        <v>1699.36</v>
      </c>
      <c r="E1007">
        <f>C1007*_xlfn.XLOOKUP(B1007,AG:AG,AI:AI)</f>
        <v>1976</v>
      </c>
      <c r="F1007">
        <v>1978.82</v>
      </c>
      <c r="G1007">
        <f>F1007*_xlfn.XLOOKUP(B1007,AG:AG,AH:AH)</f>
        <v>1701.7852</v>
      </c>
      <c r="H1007">
        <f>F1007*_xlfn.XLOOKUP(B1007,AG:AG,AI:AI)</f>
        <v>1978.82</v>
      </c>
      <c r="I1007">
        <f t="shared" si="75"/>
        <v>-2.8199999999999363</v>
      </c>
      <c r="J1007">
        <f>I1007*_xlfn.XLOOKUP(B1007,AG:AG,AI:AI)</f>
        <v>-2.8199999999999363</v>
      </c>
      <c r="K1007" s="7">
        <f>_xlfn.XLOOKUP(A1007,Z:Z,AD:AD)</f>
        <v>46145</v>
      </c>
      <c r="L1007" s="7">
        <f t="shared" si="76"/>
        <v>46115</v>
      </c>
      <c r="M1007">
        <f t="shared" si="77"/>
        <v>4</v>
      </c>
      <c r="N1007">
        <f t="shared" si="78"/>
        <v>2026</v>
      </c>
      <c r="W1007" s="9">
        <v>765</v>
      </c>
      <c r="X1007" s="9" t="s">
        <v>29</v>
      </c>
      <c r="Z1007">
        <v>1071</v>
      </c>
      <c r="AA1007">
        <v>788.74</v>
      </c>
      <c r="AB1007" t="s">
        <v>29</v>
      </c>
      <c r="AD1007" s="20">
        <v>46058</v>
      </c>
    </row>
    <row r="1008" spans="1:30">
      <c r="A1008">
        <v>1102</v>
      </c>
      <c r="B1008" t="str">
        <f>_xlfn.XLOOKUP(A1008,Z:Z,AB:AB,"not found")</f>
        <v>EUR</v>
      </c>
      <c r="C1008">
        <f>_xlfn.XLOOKUP(A1008,Z:Z,AA:AA)-_xlfn.XLOOKUP(A1008,Q:Q,R:R,"0")</f>
        <v>0</v>
      </c>
      <c r="D1008">
        <f>C1008*_xlfn.XLOOKUP(B1008,AG:AG,AH:AH)</f>
        <v>0</v>
      </c>
      <c r="E1008">
        <f>C1008*_xlfn.XLOOKUP(B1008,AG:AG,AI:AI)</f>
        <v>0</v>
      </c>
      <c r="F1008">
        <v>12974</v>
      </c>
      <c r="G1008">
        <f>F1008*_xlfn.XLOOKUP(B1008,AG:AG,AH:AH)</f>
        <v>12974</v>
      </c>
      <c r="H1008">
        <f>F1008*_xlfn.XLOOKUP(B1008,AG:AG,AI:AI)</f>
        <v>15049.839999999998</v>
      </c>
      <c r="I1008">
        <f t="shared" si="75"/>
        <v>0</v>
      </c>
      <c r="J1008">
        <f>I1008*_xlfn.XLOOKUP(B1008,AG:AG,AI:AI)</f>
        <v>0</v>
      </c>
      <c r="K1008" s="7">
        <f>_xlfn.XLOOKUP(A1008,Z:Z,AD:AD)</f>
        <v>46351</v>
      </c>
      <c r="L1008" s="7">
        <f t="shared" si="76"/>
        <v>46321</v>
      </c>
      <c r="M1008">
        <f t="shared" si="77"/>
        <v>10</v>
      </c>
      <c r="N1008">
        <f t="shared" si="78"/>
        <v>2026</v>
      </c>
      <c r="W1008" s="9">
        <v>765</v>
      </c>
      <c r="X1008" s="9" t="s">
        <v>29</v>
      </c>
      <c r="Z1008">
        <v>1072</v>
      </c>
      <c r="AA1008">
        <v>708.8</v>
      </c>
      <c r="AB1008" t="s">
        <v>29</v>
      </c>
      <c r="AD1008" s="20">
        <v>46016</v>
      </c>
    </row>
    <row r="1009" spans="1:30">
      <c r="A1009">
        <v>1103</v>
      </c>
      <c r="B1009" t="str">
        <f>_xlfn.XLOOKUP(A1009,Z:Z,AB:AB,"not found")</f>
        <v>EUR</v>
      </c>
      <c r="C1009">
        <f>_xlfn.XLOOKUP(A1009,Z:Z,AA:AA)-_xlfn.XLOOKUP(A1009,Q:Q,R:R,"0")</f>
        <v>-143036.04999999999</v>
      </c>
      <c r="D1009">
        <f>C1009*_xlfn.XLOOKUP(B1009,AG:AG,AH:AH)</f>
        <v>-143036.04999999999</v>
      </c>
      <c r="E1009">
        <f>C1009*_xlfn.XLOOKUP(B1009,AG:AG,AI:AI)</f>
        <v>-165921.81799999997</v>
      </c>
      <c r="F1009">
        <v>45067.95</v>
      </c>
      <c r="G1009">
        <f>F1009*_xlfn.XLOOKUP(B1009,AG:AG,AH:AH)</f>
        <v>45067.95</v>
      </c>
      <c r="H1009">
        <f>F1009*_xlfn.XLOOKUP(B1009,AG:AG,AI:AI)</f>
        <v>52278.821999999993</v>
      </c>
      <c r="I1009">
        <f t="shared" si="75"/>
        <v>14360</v>
      </c>
      <c r="J1009">
        <f>I1009*_xlfn.XLOOKUP(B1009,AG:AG,AI:AI)</f>
        <v>16657.599999999999</v>
      </c>
      <c r="K1009" s="7">
        <f>_xlfn.XLOOKUP(A1009,Z:Z,AD:AD)</f>
        <v>46106</v>
      </c>
      <c r="L1009" s="7">
        <f t="shared" si="76"/>
        <v>46076</v>
      </c>
      <c r="M1009">
        <f t="shared" si="77"/>
        <v>2</v>
      </c>
      <c r="N1009">
        <f t="shared" si="78"/>
        <v>2026</v>
      </c>
      <c r="W1009" s="9">
        <v>765</v>
      </c>
      <c r="X1009" s="9" t="s">
        <v>29</v>
      </c>
      <c r="Z1009">
        <v>1073</v>
      </c>
      <c r="AA1009">
        <v>3944.09</v>
      </c>
      <c r="AB1009" t="s">
        <v>29</v>
      </c>
      <c r="AD1009" s="20">
        <v>46062</v>
      </c>
    </row>
    <row r="1010" spans="1:30">
      <c r="A1010">
        <v>1104</v>
      </c>
      <c r="B1010" t="str">
        <f>_xlfn.XLOOKUP(A1010,Z:Z,AB:AB,"not found")</f>
        <v>EUR</v>
      </c>
      <c r="C1010">
        <f>_xlfn.XLOOKUP(A1010,Z:Z,AA:AA)-_xlfn.XLOOKUP(A1010,Q:Q,R:R,"0")</f>
        <v>0</v>
      </c>
      <c r="D1010">
        <f>C1010*_xlfn.XLOOKUP(B1010,AG:AG,AH:AH)</f>
        <v>0</v>
      </c>
      <c r="E1010">
        <f>C1010*_xlfn.XLOOKUP(B1010,AG:AG,AI:AI)</f>
        <v>0</v>
      </c>
      <c r="F1010">
        <v>5038.09</v>
      </c>
      <c r="G1010">
        <f>F1010*_xlfn.XLOOKUP(B1010,AG:AG,AH:AH)</f>
        <v>5038.09</v>
      </c>
      <c r="H1010">
        <f>F1010*_xlfn.XLOOKUP(B1010,AG:AG,AI:AI)</f>
        <v>5844.1844000000001</v>
      </c>
      <c r="I1010">
        <f t="shared" si="75"/>
        <v>0</v>
      </c>
      <c r="J1010">
        <f>I1010*_xlfn.XLOOKUP(B1010,AG:AG,AI:AI)</f>
        <v>0</v>
      </c>
      <c r="K1010" s="7">
        <f>_xlfn.XLOOKUP(A1010,Z:Z,AD:AD)</f>
        <v>46024</v>
      </c>
      <c r="L1010" s="7">
        <f t="shared" si="76"/>
        <v>45994</v>
      </c>
      <c r="M1010">
        <f t="shared" si="77"/>
        <v>12</v>
      </c>
      <c r="N1010">
        <f t="shared" si="78"/>
        <v>2025</v>
      </c>
      <c r="W1010" s="9">
        <v>766</v>
      </c>
      <c r="X1010" s="9" t="s">
        <v>29</v>
      </c>
      <c r="Z1010">
        <v>1074</v>
      </c>
      <c r="AA1010">
        <v>14395</v>
      </c>
      <c r="AB1010" t="s">
        <v>28</v>
      </c>
      <c r="AD1010" s="20">
        <v>46061</v>
      </c>
    </row>
    <row r="1011" spans="1:30">
      <c r="A1011">
        <v>1105</v>
      </c>
      <c r="B1011" t="str">
        <f>_xlfn.XLOOKUP(A1011,Z:Z,AB:AB,"not found")</f>
        <v>MXN</v>
      </c>
      <c r="C1011">
        <f>_xlfn.XLOOKUP(A1011,Z:Z,AA:AA)-_xlfn.XLOOKUP(A1011,Q:Q,R:R,"0")</f>
        <v>0</v>
      </c>
      <c r="D1011">
        <f>C1011*_xlfn.XLOOKUP(B1011,AG:AG,AH:AH)</f>
        <v>0</v>
      </c>
      <c r="E1011">
        <f>C1011*_xlfn.XLOOKUP(B1011,AG:AG,AI:AI)</f>
        <v>0</v>
      </c>
      <c r="F1011">
        <v>675388</v>
      </c>
      <c r="G1011">
        <f>F1011*_xlfn.XLOOKUP(B1011,AG:AG,AH:AH)</f>
        <v>32418.624</v>
      </c>
      <c r="H1011">
        <f>F1011*_xlfn.XLOOKUP(B1011,AG:AG,AI:AI)</f>
        <v>37821.728000000003</v>
      </c>
      <c r="I1011">
        <f t="shared" si="75"/>
        <v>0</v>
      </c>
      <c r="J1011">
        <f>I1011*_xlfn.XLOOKUP(B1011,AG:AG,AI:AI)</f>
        <v>0</v>
      </c>
      <c r="K1011" s="7">
        <f>_xlfn.XLOOKUP(A1011,Z:Z,AD:AD)</f>
        <v>46109</v>
      </c>
      <c r="L1011" s="7">
        <f t="shared" si="76"/>
        <v>46079</v>
      </c>
      <c r="M1011">
        <f t="shared" si="77"/>
        <v>2</v>
      </c>
      <c r="N1011">
        <f t="shared" si="78"/>
        <v>2026</v>
      </c>
      <c r="W1011" s="9">
        <v>767</v>
      </c>
      <c r="X1011" s="9" t="s">
        <v>29</v>
      </c>
      <c r="Z1011">
        <v>1075</v>
      </c>
      <c r="AA1011">
        <v>3652.32</v>
      </c>
      <c r="AB1011" t="s">
        <v>27</v>
      </c>
      <c r="AD1011" s="20">
        <v>46077</v>
      </c>
    </row>
    <row r="1012" spans="1:30">
      <c r="A1012">
        <v>1107</v>
      </c>
      <c r="B1012" t="str">
        <f>_xlfn.XLOOKUP(A1012,Z:Z,AB:AB,"not found")</f>
        <v>EUR</v>
      </c>
      <c r="C1012">
        <f>_xlfn.XLOOKUP(A1012,Z:Z,AA:AA)-_xlfn.XLOOKUP(A1012,Q:Q,R:R,"0")</f>
        <v>4025.58</v>
      </c>
      <c r="D1012">
        <f>C1012*_xlfn.XLOOKUP(B1012,AG:AG,AH:AH)</f>
        <v>4025.58</v>
      </c>
      <c r="E1012">
        <f>C1012*_xlfn.XLOOKUP(B1012,AG:AG,AI:AI)</f>
        <v>4669.6727999999994</v>
      </c>
      <c r="F1012">
        <v>553.20000000000005</v>
      </c>
      <c r="G1012">
        <f>F1012*_xlfn.XLOOKUP(B1012,AG:AG,AH:AH)</f>
        <v>553.20000000000005</v>
      </c>
      <c r="H1012">
        <f>F1012*_xlfn.XLOOKUP(B1012,AG:AG,AI:AI)</f>
        <v>641.71199999999999</v>
      </c>
      <c r="I1012">
        <f t="shared" si="75"/>
        <v>3472.38</v>
      </c>
      <c r="J1012">
        <f>I1012*_xlfn.XLOOKUP(B1012,AG:AG,AI:AI)</f>
        <v>4027.9607999999998</v>
      </c>
      <c r="K1012" s="7">
        <f>_xlfn.XLOOKUP(A1012,Z:Z,AD:AD)</f>
        <v>46099</v>
      </c>
      <c r="L1012" s="7">
        <f t="shared" si="76"/>
        <v>46069</v>
      </c>
      <c r="M1012">
        <f t="shared" si="77"/>
        <v>2</v>
      </c>
      <c r="N1012">
        <f t="shared" si="78"/>
        <v>2026</v>
      </c>
      <c r="W1012" s="9">
        <v>769</v>
      </c>
      <c r="X1012" s="9" t="s">
        <v>27</v>
      </c>
      <c r="Z1012">
        <v>1076</v>
      </c>
      <c r="AA1012">
        <v>22474.13</v>
      </c>
      <c r="AB1012" t="s">
        <v>29</v>
      </c>
      <c r="AD1012" s="20">
        <v>46101</v>
      </c>
    </row>
    <row r="1013" spans="1:30">
      <c r="A1013">
        <v>1109</v>
      </c>
      <c r="B1013" t="str">
        <f>_xlfn.XLOOKUP(A1013,Z:Z,AB:AB,"not found")</f>
        <v>USD</v>
      </c>
      <c r="C1013">
        <f>_xlfn.XLOOKUP(A1013,Z:Z,AA:AA)-_xlfn.XLOOKUP(A1013,Q:Q,R:R,"0")</f>
        <v>0</v>
      </c>
      <c r="D1013">
        <f>C1013*_xlfn.XLOOKUP(B1013,AG:AG,AH:AH)</f>
        <v>0</v>
      </c>
      <c r="E1013">
        <f>C1013*_xlfn.XLOOKUP(B1013,AG:AG,AI:AI)</f>
        <v>0</v>
      </c>
      <c r="F1013">
        <v>4147.5</v>
      </c>
      <c r="G1013">
        <f>F1013*_xlfn.XLOOKUP(B1013,AG:AG,AH:AH)</f>
        <v>3566.85</v>
      </c>
      <c r="H1013">
        <f>F1013*_xlfn.XLOOKUP(B1013,AG:AG,AI:AI)</f>
        <v>4147.5</v>
      </c>
      <c r="I1013">
        <f t="shared" si="75"/>
        <v>0</v>
      </c>
      <c r="J1013">
        <f>I1013*_xlfn.XLOOKUP(B1013,AG:AG,AI:AI)</f>
        <v>0</v>
      </c>
      <c r="K1013" s="7">
        <f>_xlfn.XLOOKUP(A1013,Z:Z,AD:AD)</f>
        <v>46129</v>
      </c>
      <c r="L1013" s="7">
        <f t="shared" si="76"/>
        <v>46099</v>
      </c>
      <c r="M1013">
        <f t="shared" si="77"/>
        <v>3</v>
      </c>
      <c r="N1013">
        <f t="shared" si="78"/>
        <v>2026</v>
      </c>
      <c r="W1013" s="9">
        <v>770</v>
      </c>
      <c r="X1013" s="9" t="s">
        <v>27</v>
      </c>
      <c r="Z1013">
        <v>1077</v>
      </c>
      <c r="AA1013">
        <v>9847.08</v>
      </c>
      <c r="AB1013" t="s">
        <v>27</v>
      </c>
      <c r="AD1013" s="20">
        <v>46108</v>
      </c>
    </row>
    <row r="1014" spans="1:30">
      <c r="A1014">
        <v>1110</v>
      </c>
      <c r="B1014" t="str">
        <f>_xlfn.XLOOKUP(A1014,Z:Z,AB:AB,"not found")</f>
        <v>USD</v>
      </c>
      <c r="C1014">
        <f>_xlfn.XLOOKUP(A1014,Z:Z,AA:AA)-_xlfn.XLOOKUP(A1014,Q:Q,R:R,"0")</f>
        <v>0</v>
      </c>
      <c r="D1014">
        <f>C1014*_xlfn.XLOOKUP(B1014,AG:AG,AH:AH)</f>
        <v>0</v>
      </c>
      <c r="E1014">
        <f>C1014*_xlfn.XLOOKUP(B1014,AG:AG,AI:AI)</f>
        <v>0</v>
      </c>
      <c r="F1014">
        <v>76516</v>
      </c>
      <c r="G1014">
        <f>F1014*_xlfn.XLOOKUP(B1014,AG:AG,AH:AH)</f>
        <v>65803.759999999995</v>
      </c>
      <c r="H1014">
        <f>F1014*_xlfn.XLOOKUP(B1014,AG:AG,AI:AI)</f>
        <v>76516</v>
      </c>
      <c r="I1014">
        <f t="shared" si="75"/>
        <v>0</v>
      </c>
      <c r="J1014">
        <f>I1014*_xlfn.XLOOKUP(B1014,AG:AG,AI:AI)</f>
        <v>0</v>
      </c>
      <c r="K1014" s="7">
        <f>_xlfn.XLOOKUP(A1014,Z:Z,AD:AD)</f>
        <v>46210</v>
      </c>
      <c r="L1014" s="7">
        <f t="shared" si="76"/>
        <v>46180</v>
      </c>
      <c r="M1014">
        <f t="shared" si="77"/>
        <v>6</v>
      </c>
      <c r="N1014">
        <f t="shared" si="78"/>
        <v>2026</v>
      </c>
      <c r="W1014" s="9">
        <v>774</v>
      </c>
      <c r="X1014" s="9" t="s">
        <v>33</v>
      </c>
      <c r="Z1014">
        <v>1078</v>
      </c>
      <c r="AA1014">
        <v>5786.63</v>
      </c>
      <c r="AB1014" t="s">
        <v>27</v>
      </c>
      <c r="AD1014" s="20">
        <v>46202</v>
      </c>
    </row>
    <row r="1015" spans="1:30">
      <c r="A1015">
        <v>1111</v>
      </c>
      <c r="B1015" t="str">
        <f>_xlfn.XLOOKUP(A1015,Z:Z,AB:AB,"not found")</f>
        <v>MXN</v>
      </c>
      <c r="C1015">
        <f>_xlfn.XLOOKUP(A1015,Z:Z,AA:AA)-_xlfn.XLOOKUP(A1015,Q:Q,R:R,"0")</f>
        <v>0</v>
      </c>
      <c r="D1015">
        <f>C1015*_xlfn.XLOOKUP(B1015,AG:AG,AH:AH)</f>
        <v>0</v>
      </c>
      <c r="E1015">
        <f>C1015*_xlfn.XLOOKUP(B1015,AG:AG,AI:AI)</f>
        <v>0</v>
      </c>
      <c r="F1015">
        <v>75072</v>
      </c>
      <c r="G1015">
        <f>F1015*_xlfn.XLOOKUP(B1015,AG:AG,AH:AH)</f>
        <v>3603.4560000000001</v>
      </c>
      <c r="H1015">
        <f>F1015*_xlfn.XLOOKUP(B1015,AG:AG,AI:AI)</f>
        <v>4204.0320000000002</v>
      </c>
      <c r="I1015">
        <f t="shared" si="75"/>
        <v>0</v>
      </c>
      <c r="J1015">
        <f>I1015*_xlfn.XLOOKUP(B1015,AG:AG,AI:AI)</f>
        <v>0</v>
      </c>
      <c r="K1015" s="7">
        <f>_xlfn.XLOOKUP(A1015,Z:Z,AD:AD)</f>
        <v>45974</v>
      </c>
      <c r="L1015" s="7">
        <f t="shared" si="76"/>
        <v>45944</v>
      </c>
      <c r="M1015">
        <f t="shared" si="77"/>
        <v>10</v>
      </c>
      <c r="N1015">
        <f t="shared" si="78"/>
        <v>2025</v>
      </c>
      <c r="W1015" s="9">
        <v>774</v>
      </c>
      <c r="X1015" s="9" t="s">
        <v>33</v>
      </c>
      <c r="Z1015">
        <v>1079</v>
      </c>
      <c r="AA1015">
        <v>12900</v>
      </c>
      <c r="AB1015" t="s">
        <v>28</v>
      </c>
      <c r="AD1015" s="20">
        <v>46058</v>
      </c>
    </row>
    <row r="1016" spans="1:30">
      <c r="W1016" s="9">
        <v>774</v>
      </c>
      <c r="X1016" s="9" t="s">
        <v>33</v>
      </c>
      <c r="Z1016">
        <v>1080</v>
      </c>
      <c r="AA1016">
        <v>7068.84</v>
      </c>
      <c r="AB1016" t="s">
        <v>29</v>
      </c>
      <c r="AD1016" s="20">
        <v>46169</v>
      </c>
    </row>
    <row r="1017" spans="1:30">
      <c r="W1017" s="9">
        <v>775</v>
      </c>
      <c r="X1017" s="9" t="s">
        <v>33</v>
      </c>
      <c r="Z1017">
        <v>1081</v>
      </c>
      <c r="AA1017">
        <v>4263.8</v>
      </c>
      <c r="AB1017" t="s">
        <v>29</v>
      </c>
      <c r="AD1017" s="20">
        <v>46240</v>
      </c>
    </row>
    <row r="1018" spans="1:30">
      <c r="W1018" s="9">
        <v>775</v>
      </c>
      <c r="X1018" s="9" t="s">
        <v>33</v>
      </c>
      <c r="Z1018">
        <v>1082</v>
      </c>
      <c r="AA1018">
        <v>21042.880000000001</v>
      </c>
      <c r="AB1018" t="s">
        <v>29</v>
      </c>
      <c r="AD1018" s="20">
        <v>46021</v>
      </c>
    </row>
    <row r="1019" spans="1:30">
      <c r="W1019" s="9">
        <v>775</v>
      </c>
      <c r="X1019" s="9" t="s">
        <v>33</v>
      </c>
      <c r="Z1019">
        <v>1083</v>
      </c>
      <c r="AA1019">
        <v>11627</v>
      </c>
      <c r="AB1019" t="s">
        <v>29</v>
      </c>
      <c r="AD1019" s="20">
        <v>46066</v>
      </c>
    </row>
    <row r="1020" spans="1:30">
      <c r="W1020" s="9">
        <v>775</v>
      </c>
      <c r="X1020" s="9" t="s">
        <v>33</v>
      </c>
      <c r="Z1020">
        <v>1084</v>
      </c>
      <c r="AA1020">
        <v>4655.67</v>
      </c>
      <c r="AB1020" t="s">
        <v>29</v>
      </c>
      <c r="AD1020" s="20">
        <v>46029</v>
      </c>
    </row>
    <row r="1021" spans="1:30">
      <c r="W1021" s="9">
        <v>775</v>
      </c>
      <c r="X1021" s="9" t="s">
        <v>33</v>
      </c>
      <c r="Z1021">
        <v>1086</v>
      </c>
      <c r="AA1021">
        <v>2792.56</v>
      </c>
      <c r="AB1021" t="s">
        <v>29</v>
      </c>
      <c r="AD1021" s="20">
        <v>46118</v>
      </c>
    </row>
    <row r="1022" spans="1:30">
      <c r="W1022" s="9">
        <v>775</v>
      </c>
      <c r="X1022" s="9" t="s">
        <v>33</v>
      </c>
      <c r="Z1022">
        <v>1087</v>
      </c>
      <c r="AA1022">
        <v>1190</v>
      </c>
      <c r="AB1022" t="s">
        <v>29</v>
      </c>
      <c r="AD1022" s="20">
        <v>46024</v>
      </c>
    </row>
    <row r="1023" spans="1:30">
      <c r="W1023" s="9">
        <v>776</v>
      </c>
      <c r="X1023" s="9" t="s">
        <v>33</v>
      </c>
      <c r="Z1023">
        <v>1088</v>
      </c>
      <c r="AA1023">
        <v>1514423.15</v>
      </c>
      <c r="AB1023" t="s">
        <v>28</v>
      </c>
      <c r="AD1023" s="20">
        <v>46159</v>
      </c>
    </row>
    <row r="1024" spans="1:30">
      <c r="W1024" s="9">
        <v>776</v>
      </c>
      <c r="X1024" s="9" t="s">
        <v>33</v>
      </c>
      <c r="Z1024">
        <v>1089</v>
      </c>
      <c r="AA1024">
        <v>7446.71</v>
      </c>
      <c r="AB1024" t="s">
        <v>29</v>
      </c>
      <c r="AD1024" s="20">
        <v>46344</v>
      </c>
    </row>
    <row r="1025" spans="23:30">
      <c r="W1025" s="9">
        <v>776</v>
      </c>
      <c r="X1025" s="9" t="s">
        <v>33</v>
      </c>
      <c r="Z1025">
        <v>1090</v>
      </c>
      <c r="AA1025">
        <v>6045</v>
      </c>
      <c r="AB1025" t="s">
        <v>29</v>
      </c>
      <c r="AD1025" s="20">
        <v>46108</v>
      </c>
    </row>
    <row r="1026" spans="23:30">
      <c r="W1026" s="9">
        <v>776</v>
      </c>
      <c r="X1026" s="9" t="s">
        <v>33</v>
      </c>
      <c r="Z1026">
        <v>1091</v>
      </c>
      <c r="AA1026">
        <v>59189</v>
      </c>
      <c r="AB1026" t="s">
        <v>29</v>
      </c>
      <c r="AD1026" s="20">
        <v>46101</v>
      </c>
    </row>
    <row r="1027" spans="23:30">
      <c r="W1027" s="9">
        <v>776</v>
      </c>
      <c r="X1027" s="9" t="s">
        <v>33</v>
      </c>
      <c r="Z1027">
        <v>1092</v>
      </c>
      <c r="AA1027">
        <v>22103.08</v>
      </c>
      <c r="AB1027" t="s">
        <v>29</v>
      </c>
      <c r="AD1027" s="20">
        <v>46082</v>
      </c>
    </row>
    <row r="1028" spans="23:30">
      <c r="W1028" s="9">
        <v>780</v>
      </c>
      <c r="X1028" s="9" t="s">
        <v>29</v>
      </c>
      <c r="Z1028">
        <v>1093</v>
      </c>
      <c r="AA1028">
        <v>16905.34</v>
      </c>
      <c r="AB1028" t="s">
        <v>27</v>
      </c>
      <c r="AD1028" s="20">
        <v>46328</v>
      </c>
    </row>
    <row r="1029" spans="23:30">
      <c r="W1029" s="9">
        <v>781</v>
      </c>
      <c r="X1029" s="9" t="s">
        <v>29</v>
      </c>
      <c r="Z1029">
        <v>1094</v>
      </c>
      <c r="AA1029">
        <v>21544.6</v>
      </c>
      <c r="AB1029" t="s">
        <v>29</v>
      </c>
      <c r="AD1029" s="20">
        <v>46072</v>
      </c>
    </row>
    <row r="1030" spans="23:30">
      <c r="W1030" s="9">
        <v>781</v>
      </c>
      <c r="X1030" s="9" t="s">
        <v>29</v>
      </c>
      <c r="Z1030">
        <v>1095</v>
      </c>
      <c r="AA1030">
        <v>52636</v>
      </c>
      <c r="AB1030" t="s">
        <v>29</v>
      </c>
      <c r="AD1030" s="20">
        <v>46113</v>
      </c>
    </row>
    <row r="1031" spans="23:30">
      <c r="W1031" s="9">
        <v>781</v>
      </c>
      <c r="X1031" s="9" t="s">
        <v>29</v>
      </c>
      <c r="Z1031">
        <v>1096</v>
      </c>
      <c r="AA1031">
        <v>75616.02</v>
      </c>
      <c r="AB1031" t="s">
        <v>28</v>
      </c>
      <c r="AD1031" s="20">
        <v>46142</v>
      </c>
    </row>
    <row r="1032" spans="23:30">
      <c r="W1032" s="9">
        <v>782</v>
      </c>
      <c r="X1032" s="9" t="s">
        <v>29</v>
      </c>
      <c r="Z1032">
        <v>1097</v>
      </c>
      <c r="AA1032">
        <v>3000</v>
      </c>
      <c r="AB1032" t="s">
        <v>27</v>
      </c>
      <c r="AD1032" s="20">
        <v>46073</v>
      </c>
    </row>
    <row r="1033" spans="23:30">
      <c r="W1033" s="9">
        <v>782</v>
      </c>
      <c r="X1033" s="9" t="s">
        <v>29</v>
      </c>
      <c r="Z1033">
        <v>1098</v>
      </c>
      <c r="AA1033">
        <v>79900</v>
      </c>
      <c r="AB1033" t="s">
        <v>29</v>
      </c>
      <c r="AD1033" s="20">
        <v>46143</v>
      </c>
    </row>
    <row r="1034" spans="23:30">
      <c r="W1034" s="9">
        <v>782</v>
      </c>
      <c r="X1034" s="9" t="s">
        <v>29</v>
      </c>
      <c r="Z1034">
        <v>1099</v>
      </c>
      <c r="AA1034">
        <v>0</v>
      </c>
      <c r="AB1034" t="s">
        <v>29</v>
      </c>
      <c r="AD1034" s="20">
        <v>46329</v>
      </c>
    </row>
    <row r="1035" spans="23:30">
      <c r="W1035" s="9">
        <v>782</v>
      </c>
      <c r="X1035" s="9" t="s">
        <v>29</v>
      </c>
      <c r="Z1035">
        <v>1100</v>
      </c>
      <c r="AA1035">
        <v>51816</v>
      </c>
      <c r="AB1035" t="s">
        <v>28</v>
      </c>
      <c r="AD1035" s="20">
        <v>46100</v>
      </c>
    </row>
    <row r="1036" spans="23:30">
      <c r="W1036" s="9">
        <v>782</v>
      </c>
      <c r="X1036" s="9" t="s">
        <v>29</v>
      </c>
      <c r="Z1036">
        <v>1101</v>
      </c>
      <c r="AA1036">
        <v>1976</v>
      </c>
      <c r="AB1036" t="s">
        <v>29</v>
      </c>
      <c r="AD1036" s="20">
        <v>46145</v>
      </c>
    </row>
    <row r="1037" spans="23:30">
      <c r="W1037" s="9">
        <v>782</v>
      </c>
      <c r="X1037" s="9" t="s">
        <v>29</v>
      </c>
      <c r="Z1037">
        <v>1102</v>
      </c>
      <c r="AA1037">
        <v>12974</v>
      </c>
      <c r="AB1037" t="s">
        <v>27</v>
      </c>
      <c r="AD1037" s="20">
        <v>46351</v>
      </c>
    </row>
    <row r="1038" spans="23:30">
      <c r="W1038" s="9">
        <v>783</v>
      </c>
      <c r="X1038" s="9" t="s">
        <v>31</v>
      </c>
      <c r="Z1038">
        <v>1103</v>
      </c>
      <c r="AA1038">
        <v>59427.95</v>
      </c>
      <c r="AB1038" t="s">
        <v>27</v>
      </c>
      <c r="AD1038" s="20">
        <v>46106</v>
      </c>
    </row>
    <row r="1039" spans="23:30">
      <c r="W1039" s="9">
        <v>787</v>
      </c>
      <c r="X1039" s="9" t="s">
        <v>29</v>
      </c>
      <c r="Z1039">
        <v>1104</v>
      </c>
      <c r="AA1039">
        <v>5038.09</v>
      </c>
      <c r="AB1039" t="s">
        <v>27</v>
      </c>
      <c r="AD1039" s="20">
        <v>46024</v>
      </c>
    </row>
    <row r="1040" spans="23:30">
      <c r="W1040" s="9">
        <v>787</v>
      </c>
      <c r="X1040" s="9" t="s">
        <v>29</v>
      </c>
      <c r="Z1040">
        <v>1105</v>
      </c>
      <c r="AA1040">
        <v>675388</v>
      </c>
      <c r="AB1040" t="s">
        <v>28</v>
      </c>
      <c r="AD1040" s="20">
        <v>46109</v>
      </c>
    </row>
    <row r="1041" spans="23:30">
      <c r="W1041" s="9">
        <v>789</v>
      </c>
      <c r="X1041" s="9" t="s">
        <v>27</v>
      </c>
      <c r="Z1041">
        <v>1106</v>
      </c>
      <c r="AA1041">
        <v>2573.58</v>
      </c>
      <c r="AB1041" t="s">
        <v>29</v>
      </c>
      <c r="AD1041" s="20">
        <v>46120</v>
      </c>
    </row>
    <row r="1042" spans="23:30">
      <c r="W1042" s="9">
        <v>789</v>
      </c>
      <c r="X1042" s="9" t="s">
        <v>27</v>
      </c>
      <c r="Z1042">
        <v>1107</v>
      </c>
      <c r="AA1042">
        <v>4025.58</v>
      </c>
      <c r="AB1042" t="s">
        <v>27</v>
      </c>
      <c r="AD1042" s="20">
        <v>46099</v>
      </c>
    </row>
    <row r="1043" spans="23:30">
      <c r="W1043" s="9">
        <v>790</v>
      </c>
      <c r="X1043" s="9" t="s">
        <v>28</v>
      </c>
      <c r="Z1043">
        <v>1108</v>
      </c>
      <c r="AA1043">
        <v>25572.62</v>
      </c>
      <c r="AB1043" t="s">
        <v>29</v>
      </c>
      <c r="AD1043" s="20">
        <v>46103</v>
      </c>
    </row>
    <row r="1044" spans="23:30">
      <c r="W1044" s="9">
        <v>791</v>
      </c>
      <c r="X1044" s="9" t="s">
        <v>27</v>
      </c>
      <c r="Z1044">
        <v>1109</v>
      </c>
      <c r="AA1044">
        <v>4147.5</v>
      </c>
      <c r="AB1044" t="s">
        <v>29</v>
      </c>
      <c r="AD1044" s="20">
        <v>46129</v>
      </c>
    </row>
    <row r="1045" spans="23:30">
      <c r="W1045" s="9">
        <v>791</v>
      </c>
      <c r="X1045" s="9" t="s">
        <v>27</v>
      </c>
      <c r="Z1045">
        <v>1110</v>
      </c>
      <c r="AA1045">
        <v>76516</v>
      </c>
      <c r="AB1045" t="s">
        <v>29</v>
      </c>
      <c r="AD1045" s="20">
        <v>46210</v>
      </c>
    </row>
    <row r="1046" spans="23:30">
      <c r="W1046" s="9">
        <v>792</v>
      </c>
      <c r="X1046" s="9" t="s">
        <v>31</v>
      </c>
      <c r="Z1046">
        <v>1111</v>
      </c>
      <c r="AA1046">
        <v>75072</v>
      </c>
      <c r="AB1046" t="s">
        <v>28</v>
      </c>
      <c r="AD1046" s="20">
        <v>45974</v>
      </c>
    </row>
    <row r="1047" spans="23:30">
      <c r="W1047" s="9">
        <v>793</v>
      </c>
      <c r="X1047" s="9" t="s">
        <v>27</v>
      </c>
      <c r="Z1047">
        <v>1112</v>
      </c>
      <c r="AA1047">
        <v>0</v>
      </c>
      <c r="AB1047" t="s">
        <v>29</v>
      </c>
      <c r="AD1047" s="20">
        <v>46280</v>
      </c>
    </row>
    <row r="1048" spans="23:30">
      <c r="W1048" s="9">
        <v>793</v>
      </c>
      <c r="X1048" s="9" t="s">
        <v>27</v>
      </c>
      <c r="Z1048">
        <v>1113</v>
      </c>
      <c r="AA1048">
        <v>30000</v>
      </c>
      <c r="AB1048" t="s">
        <v>27</v>
      </c>
      <c r="AD1048" s="20">
        <v>46228</v>
      </c>
    </row>
    <row r="1049" spans="23:30">
      <c r="W1049" s="9">
        <v>795</v>
      </c>
      <c r="X1049" s="9" t="s">
        <v>29</v>
      </c>
      <c r="Z1049">
        <v>1114</v>
      </c>
      <c r="AA1049">
        <v>18903</v>
      </c>
      <c r="AB1049" t="s">
        <v>28</v>
      </c>
      <c r="AD1049" s="20">
        <v>46093</v>
      </c>
    </row>
    <row r="1050" spans="23:30">
      <c r="W1050" s="9">
        <v>798</v>
      </c>
      <c r="X1050" s="9" t="s">
        <v>29</v>
      </c>
      <c r="Z1050">
        <v>1115</v>
      </c>
      <c r="AA1050">
        <v>82265</v>
      </c>
      <c r="AB1050" t="s">
        <v>29</v>
      </c>
      <c r="AD1050" s="20">
        <v>46265</v>
      </c>
    </row>
    <row r="1051" spans="23:30">
      <c r="W1051" s="9">
        <v>799</v>
      </c>
      <c r="X1051" s="9" t="s">
        <v>33</v>
      </c>
      <c r="Z1051">
        <v>1117</v>
      </c>
      <c r="AA1051">
        <v>50512.01</v>
      </c>
      <c r="AB1051" t="s">
        <v>29</v>
      </c>
      <c r="AD1051" s="20">
        <v>46082</v>
      </c>
    </row>
    <row r="1052" spans="23:30">
      <c r="W1052" s="9">
        <v>799</v>
      </c>
      <c r="X1052" s="9" t="s">
        <v>33</v>
      </c>
      <c r="Z1052">
        <v>1118</v>
      </c>
      <c r="AA1052">
        <v>13112.09</v>
      </c>
      <c r="AB1052" t="s">
        <v>29</v>
      </c>
      <c r="AD1052" s="20">
        <v>46082</v>
      </c>
    </row>
    <row r="1053" spans="23:30">
      <c r="W1053" s="9">
        <v>799</v>
      </c>
      <c r="X1053" s="9" t="s">
        <v>33</v>
      </c>
      <c r="Z1053">
        <v>1119</v>
      </c>
      <c r="AA1053">
        <v>35800</v>
      </c>
      <c r="AB1053" t="s">
        <v>29</v>
      </c>
      <c r="AD1053" s="20">
        <v>46158</v>
      </c>
    </row>
    <row r="1054" spans="23:30">
      <c r="W1054" s="9">
        <v>799</v>
      </c>
      <c r="X1054" s="9" t="s">
        <v>33</v>
      </c>
      <c r="Z1054">
        <v>1120</v>
      </c>
      <c r="AA1054">
        <v>45700</v>
      </c>
      <c r="AB1054" t="s">
        <v>29</v>
      </c>
      <c r="AD1054" s="20">
        <v>46169</v>
      </c>
    </row>
    <row r="1055" spans="23:30">
      <c r="W1055" s="9">
        <v>799</v>
      </c>
      <c r="X1055" s="9" t="s">
        <v>33</v>
      </c>
      <c r="Z1055">
        <v>1121</v>
      </c>
      <c r="AA1055">
        <v>4702.07</v>
      </c>
      <c r="AB1055" t="s">
        <v>29</v>
      </c>
      <c r="AD1055" s="20">
        <v>46098</v>
      </c>
    </row>
    <row r="1056" spans="23:30">
      <c r="W1056" s="9">
        <v>799</v>
      </c>
      <c r="X1056" s="9" t="s">
        <v>33</v>
      </c>
      <c r="Z1056">
        <v>1122</v>
      </c>
      <c r="AA1056">
        <v>62062.080000000002</v>
      </c>
      <c r="AB1056" t="s">
        <v>27</v>
      </c>
      <c r="AD1056" s="20">
        <v>46082</v>
      </c>
    </row>
    <row r="1057" spans="23:30">
      <c r="W1057" s="9">
        <v>799</v>
      </c>
      <c r="X1057" s="9" t="s">
        <v>33</v>
      </c>
      <c r="Z1057">
        <v>1123</v>
      </c>
      <c r="AA1057">
        <v>227.64</v>
      </c>
      <c r="AB1057" t="s">
        <v>29</v>
      </c>
      <c r="AD1057" s="20">
        <v>46080</v>
      </c>
    </row>
    <row r="1058" spans="23:30">
      <c r="W1058" s="9">
        <v>802</v>
      </c>
      <c r="X1058" s="9" t="s">
        <v>29</v>
      </c>
      <c r="Z1058">
        <v>1124</v>
      </c>
      <c r="AA1058">
        <v>7716</v>
      </c>
      <c r="AB1058" t="s">
        <v>29</v>
      </c>
      <c r="AD1058" s="20">
        <v>46076</v>
      </c>
    </row>
    <row r="1059" spans="23:30">
      <c r="W1059" s="9">
        <v>803</v>
      </c>
      <c r="X1059" s="9" t="s">
        <v>28</v>
      </c>
      <c r="Z1059">
        <v>1125</v>
      </c>
      <c r="AA1059">
        <v>8235</v>
      </c>
      <c r="AB1059" t="s">
        <v>29</v>
      </c>
      <c r="AD1059" s="20">
        <v>46138</v>
      </c>
    </row>
    <row r="1060" spans="23:30">
      <c r="W1060" s="9">
        <v>805</v>
      </c>
      <c r="X1060" s="9" t="s">
        <v>29</v>
      </c>
      <c r="Z1060">
        <v>1126</v>
      </c>
      <c r="AA1060">
        <v>2571.25</v>
      </c>
      <c r="AB1060" t="s">
        <v>27</v>
      </c>
      <c r="AD1060" s="20">
        <v>46077</v>
      </c>
    </row>
    <row r="1061" spans="23:30">
      <c r="W1061" s="9">
        <v>806</v>
      </c>
      <c r="X1061" s="9" t="s">
        <v>29</v>
      </c>
      <c r="Z1061">
        <v>1127</v>
      </c>
      <c r="AA1061">
        <v>0</v>
      </c>
      <c r="AB1061" t="s">
        <v>29</v>
      </c>
      <c r="AD1061" s="20">
        <v>46092</v>
      </c>
    </row>
    <row r="1062" spans="23:30">
      <c r="W1062" s="9">
        <v>819</v>
      </c>
      <c r="X1062" s="9" t="s">
        <v>29</v>
      </c>
    </row>
    <row r="1063" spans="23:30">
      <c r="W1063" s="9">
        <v>820</v>
      </c>
      <c r="X1063" s="9" t="s">
        <v>28</v>
      </c>
    </row>
    <row r="1064" spans="23:30">
      <c r="W1064" s="9">
        <v>820</v>
      </c>
      <c r="X1064" s="9" t="s">
        <v>28</v>
      </c>
    </row>
    <row r="1065" spans="23:30">
      <c r="W1065" s="9">
        <v>820</v>
      </c>
      <c r="X1065" s="9" t="s">
        <v>28</v>
      </c>
    </row>
    <row r="1066" spans="23:30">
      <c r="W1066" s="9">
        <v>821</v>
      </c>
      <c r="X1066" s="9" t="s">
        <v>27</v>
      </c>
    </row>
    <row r="1067" spans="23:30">
      <c r="W1067" s="9">
        <v>824</v>
      </c>
      <c r="X1067" s="9" t="s">
        <v>28</v>
      </c>
    </row>
    <row r="1068" spans="23:30">
      <c r="W1068" s="9">
        <v>824</v>
      </c>
      <c r="X1068" s="9" t="s">
        <v>28</v>
      </c>
    </row>
    <row r="1069" spans="23:30">
      <c r="W1069" s="9">
        <v>824</v>
      </c>
      <c r="X1069" s="9" t="s">
        <v>28</v>
      </c>
    </row>
    <row r="1070" spans="23:30">
      <c r="W1070" s="9">
        <v>827</v>
      </c>
      <c r="X1070" s="9" t="s">
        <v>29</v>
      </c>
    </row>
    <row r="1071" spans="23:30">
      <c r="W1071" s="9">
        <v>828</v>
      </c>
      <c r="X1071" s="9" t="s">
        <v>28</v>
      </c>
    </row>
    <row r="1072" spans="23:30">
      <c r="W1072" s="9">
        <v>828</v>
      </c>
      <c r="X1072" s="9" t="s">
        <v>28</v>
      </c>
    </row>
    <row r="1073" spans="23:24">
      <c r="W1073" s="9">
        <v>829</v>
      </c>
      <c r="X1073" s="9" t="s">
        <v>29</v>
      </c>
    </row>
    <row r="1074" spans="23:24">
      <c r="W1074" s="9">
        <v>830</v>
      </c>
      <c r="X1074" s="9" t="s">
        <v>29</v>
      </c>
    </row>
    <row r="1075" spans="23:24">
      <c r="W1075" s="9">
        <v>836</v>
      </c>
      <c r="X1075" s="9" t="s">
        <v>29</v>
      </c>
    </row>
    <row r="1076" spans="23:24">
      <c r="W1076" s="9">
        <v>837</v>
      </c>
      <c r="X1076" s="9" t="s">
        <v>29</v>
      </c>
    </row>
    <row r="1077" spans="23:24">
      <c r="W1077" s="9">
        <v>838</v>
      </c>
      <c r="X1077" s="9" t="s">
        <v>29</v>
      </c>
    </row>
    <row r="1078" spans="23:24">
      <c r="W1078" s="9">
        <v>838</v>
      </c>
      <c r="X1078" s="9" t="s">
        <v>29</v>
      </c>
    </row>
    <row r="1079" spans="23:24">
      <c r="W1079" s="9">
        <v>839</v>
      </c>
      <c r="X1079" s="9" t="s">
        <v>28</v>
      </c>
    </row>
    <row r="1080" spans="23:24">
      <c r="W1080" s="9">
        <v>841</v>
      </c>
      <c r="X1080" s="9" t="s">
        <v>28</v>
      </c>
    </row>
    <row r="1081" spans="23:24">
      <c r="W1081" s="9">
        <v>843</v>
      </c>
      <c r="X1081" s="9" t="s">
        <v>29</v>
      </c>
    </row>
    <row r="1082" spans="23:24">
      <c r="W1082" s="9">
        <v>843</v>
      </c>
      <c r="X1082" s="9" t="s">
        <v>29</v>
      </c>
    </row>
    <row r="1083" spans="23:24">
      <c r="W1083" s="9">
        <v>844</v>
      </c>
      <c r="X1083" s="9" t="s">
        <v>27</v>
      </c>
    </row>
    <row r="1084" spans="23:24">
      <c r="W1084" s="9">
        <v>845</v>
      </c>
      <c r="X1084" s="9" t="s">
        <v>29</v>
      </c>
    </row>
    <row r="1085" spans="23:24">
      <c r="W1085" s="9">
        <v>848</v>
      </c>
      <c r="X1085" s="9" t="s">
        <v>29</v>
      </c>
    </row>
    <row r="1086" spans="23:24">
      <c r="W1086" s="9">
        <v>848</v>
      </c>
      <c r="X1086" s="9" t="s">
        <v>29</v>
      </c>
    </row>
    <row r="1087" spans="23:24">
      <c r="W1087" s="9">
        <v>848</v>
      </c>
      <c r="X1087" s="9" t="s">
        <v>29</v>
      </c>
    </row>
    <row r="1088" spans="23:24">
      <c r="W1088" s="9">
        <v>848</v>
      </c>
      <c r="X1088" s="9" t="s">
        <v>29</v>
      </c>
    </row>
    <row r="1089" spans="23:24">
      <c r="W1089" s="9">
        <v>849</v>
      </c>
      <c r="X1089" s="9" t="s">
        <v>29</v>
      </c>
    </row>
    <row r="1090" spans="23:24">
      <c r="W1090" s="9">
        <v>850</v>
      </c>
      <c r="X1090" s="9" t="s">
        <v>28</v>
      </c>
    </row>
    <row r="1091" spans="23:24">
      <c r="W1091" s="9">
        <v>856</v>
      </c>
      <c r="X1091" s="9" t="s">
        <v>27</v>
      </c>
    </row>
    <row r="1092" spans="23:24">
      <c r="W1092" s="9">
        <v>857</v>
      </c>
      <c r="X1092" s="9" t="s">
        <v>27</v>
      </c>
    </row>
    <row r="1093" spans="23:24">
      <c r="W1093" s="9">
        <v>858</v>
      </c>
      <c r="X1093" s="9" t="s">
        <v>29</v>
      </c>
    </row>
    <row r="1094" spans="23:24">
      <c r="W1094" s="9">
        <v>859</v>
      </c>
      <c r="X1094" s="9" t="s">
        <v>29</v>
      </c>
    </row>
    <row r="1095" spans="23:24">
      <c r="W1095" s="9">
        <v>860</v>
      </c>
      <c r="X1095" s="9" t="s">
        <v>31</v>
      </c>
    </row>
    <row r="1096" spans="23:24">
      <c r="W1096" s="9">
        <v>861</v>
      </c>
      <c r="X1096" s="9" t="s">
        <v>27</v>
      </c>
    </row>
    <row r="1097" spans="23:24">
      <c r="W1097" s="9">
        <v>862</v>
      </c>
      <c r="X1097" s="9" t="s">
        <v>29</v>
      </c>
    </row>
    <row r="1098" spans="23:24">
      <c r="W1098" s="9">
        <v>875</v>
      </c>
      <c r="X1098" s="9" t="s">
        <v>28</v>
      </c>
    </row>
    <row r="1099" spans="23:24">
      <c r="W1099" s="9">
        <v>875</v>
      </c>
      <c r="X1099" s="9" t="s">
        <v>29</v>
      </c>
    </row>
    <row r="1100" spans="23:24">
      <c r="W1100" s="9">
        <v>876</v>
      </c>
      <c r="X1100" s="9" t="s">
        <v>29</v>
      </c>
    </row>
    <row r="1101" spans="23:24">
      <c r="W1101" s="9">
        <v>877</v>
      </c>
      <c r="X1101" s="9" t="s">
        <v>29</v>
      </c>
    </row>
    <row r="1102" spans="23:24">
      <c r="W1102" s="9">
        <v>879</v>
      </c>
      <c r="X1102" s="9" t="s">
        <v>29</v>
      </c>
    </row>
    <row r="1103" spans="23:24">
      <c r="W1103" s="9">
        <v>880</v>
      </c>
      <c r="X1103" s="9" t="s">
        <v>29</v>
      </c>
    </row>
    <row r="1104" spans="23:24">
      <c r="W1104" s="9">
        <v>882</v>
      </c>
      <c r="X1104" s="9" t="s">
        <v>33</v>
      </c>
    </row>
    <row r="1105" spans="23:24">
      <c r="W1105" s="9">
        <v>884</v>
      </c>
      <c r="X1105" s="9" t="s">
        <v>29</v>
      </c>
    </row>
    <row r="1106" spans="23:24">
      <c r="W1106" s="9">
        <v>891</v>
      </c>
      <c r="X1106" s="9" t="s">
        <v>28</v>
      </c>
    </row>
    <row r="1107" spans="23:24">
      <c r="W1107" s="9">
        <v>892</v>
      </c>
      <c r="X1107" s="9" t="s">
        <v>29</v>
      </c>
    </row>
    <row r="1108" spans="23:24">
      <c r="W1108" s="9">
        <v>896</v>
      </c>
      <c r="X1108" s="9" t="s">
        <v>29</v>
      </c>
    </row>
    <row r="1109" spans="23:24">
      <c r="W1109" s="9">
        <v>899</v>
      </c>
      <c r="X1109" s="9" t="s">
        <v>29</v>
      </c>
    </row>
    <row r="1110" spans="23:24">
      <c r="W1110" s="9">
        <v>901</v>
      </c>
      <c r="X1110" s="9" t="s">
        <v>27</v>
      </c>
    </row>
    <row r="1111" spans="23:24">
      <c r="W1111" s="9">
        <v>902</v>
      </c>
      <c r="X1111" s="9" t="s">
        <v>29</v>
      </c>
    </row>
    <row r="1112" spans="23:24">
      <c r="W1112" s="9">
        <v>902</v>
      </c>
      <c r="X1112" s="9" t="s">
        <v>29</v>
      </c>
    </row>
    <row r="1113" spans="23:24">
      <c r="W1113" s="9">
        <v>902</v>
      </c>
      <c r="X1113" s="9" t="s">
        <v>29</v>
      </c>
    </row>
    <row r="1114" spans="23:24">
      <c r="W1114" s="9">
        <v>902</v>
      </c>
      <c r="X1114" s="9" t="s">
        <v>29</v>
      </c>
    </row>
    <row r="1115" spans="23:24">
      <c r="W1115" s="9">
        <v>904</v>
      </c>
      <c r="X1115" s="9" t="s">
        <v>29</v>
      </c>
    </row>
    <row r="1116" spans="23:24">
      <c r="W1116" s="9">
        <v>904</v>
      </c>
      <c r="X1116" s="9" t="s">
        <v>29</v>
      </c>
    </row>
    <row r="1117" spans="23:24">
      <c r="W1117" s="9">
        <v>908</v>
      </c>
      <c r="X1117" s="9" t="s">
        <v>29</v>
      </c>
    </row>
    <row r="1118" spans="23:24">
      <c r="W1118" s="9">
        <v>908</v>
      </c>
      <c r="X1118" s="9" t="s">
        <v>29</v>
      </c>
    </row>
    <row r="1119" spans="23:24">
      <c r="W1119" s="9">
        <v>909</v>
      </c>
      <c r="X1119" s="9" t="s">
        <v>28</v>
      </c>
    </row>
    <row r="1120" spans="23:24">
      <c r="W1120" s="9">
        <v>909</v>
      </c>
      <c r="X1120" s="9" t="s">
        <v>28</v>
      </c>
    </row>
    <row r="1121" spans="23:24">
      <c r="W1121" s="9">
        <v>910</v>
      </c>
      <c r="X1121" s="9" t="s">
        <v>29</v>
      </c>
    </row>
    <row r="1122" spans="23:24">
      <c r="W1122" s="9">
        <v>911</v>
      </c>
      <c r="X1122" s="9" t="s">
        <v>29</v>
      </c>
    </row>
    <row r="1123" spans="23:24">
      <c r="W1123" s="9">
        <v>912</v>
      </c>
      <c r="X1123" s="9" t="s">
        <v>29</v>
      </c>
    </row>
    <row r="1124" spans="23:24">
      <c r="W1124" s="9">
        <v>913</v>
      </c>
      <c r="X1124" s="9" t="s">
        <v>28</v>
      </c>
    </row>
    <row r="1125" spans="23:24">
      <c r="W1125" s="9">
        <v>919</v>
      </c>
      <c r="X1125" s="9" t="s">
        <v>29</v>
      </c>
    </row>
    <row r="1126" spans="23:24">
      <c r="W1126" s="9">
        <v>920</v>
      </c>
      <c r="X1126" s="9" t="s">
        <v>29</v>
      </c>
    </row>
    <row r="1127" spans="23:24">
      <c r="W1127" s="9">
        <v>920</v>
      </c>
      <c r="X1127" s="9" t="s">
        <v>29</v>
      </c>
    </row>
    <row r="1128" spans="23:24">
      <c r="W1128" s="9">
        <v>921</v>
      </c>
      <c r="X1128" s="9" t="s">
        <v>29</v>
      </c>
    </row>
    <row r="1129" spans="23:24">
      <c r="W1129" s="9">
        <v>922</v>
      </c>
      <c r="X1129" s="9" t="s">
        <v>27</v>
      </c>
    </row>
    <row r="1130" spans="23:24">
      <c r="W1130" s="9">
        <v>923</v>
      </c>
      <c r="X1130" s="9" t="s">
        <v>27</v>
      </c>
    </row>
    <row r="1131" spans="23:24">
      <c r="W1131" s="9">
        <v>925</v>
      </c>
      <c r="X1131" s="9" t="s">
        <v>27</v>
      </c>
    </row>
    <row r="1132" spans="23:24">
      <c r="W1132" s="9">
        <v>930</v>
      </c>
      <c r="X1132" s="9" t="s">
        <v>29</v>
      </c>
    </row>
    <row r="1133" spans="23:24">
      <c r="W1133" s="9">
        <v>937</v>
      </c>
      <c r="X1133" s="9" t="s">
        <v>29</v>
      </c>
    </row>
    <row r="1134" spans="23:24">
      <c r="W1134" s="9">
        <v>938</v>
      </c>
      <c r="X1134" s="9" t="s">
        <v>29</v>
      </c>
    </row>
    <row r="1135" spans="23:24">
      <c r="W1135" s="9">
        <v>938</v>
      </c>
      <c r="X1135" s="9" t="s">
        <v>29</v>
      </c>
    </row>
    <row r="1136" spans="23:24">
      <c r="W1136" s="9">
        <v>941</v>
      </c>
      <c r="X1136" s="9" t="s">
        <v>29</v>
      </c>
    </row>
    <row r="1137" spans="23:24">
      <c r="W1137" s="9">
        <v>941</v>
      </c>
      <c r="X1137" s="9" t="s">
        <v>29</v>
      </c>
    </row>
    <row r="1138" spans="23:24">
      <c r="W1138" s="9">
        <v>942</v>
      </c>
      <c r="X1138" s="9" t="s">
        <v>29</v>
      </c>
    </row>
    <row r="1139" spans="23:24">
      <c r="W1139" s="9">
        <v>943</v>
      </c>
      <c r="X1139" s="9" t="s">
        <v>29</v>
      </c>
    </row>
    <row r="1140" spans="23:24">
      <c r="W1140" s="9">
        <v>944</v>
      </c>
      <c r="X1140" s="9" t="s">
        <v>28</v>
      </c>
    </row>
    <row r="1141" spans="23:24">
      <c r="W1141" s="9">
        <v>945</v>
      </c>
      <c r="X1141" s="9" t="s">
        <v>31</v>
      </c>
    </row>
    <row r="1142" spans="23:24">
      <c r="W1142" s="9">
        <v>946</v>
      </c>
      <c r="X1142" s="9" t="s">
        <v>31</v>
      </c>
    </row>
    <row r="1143" spans="23:24">
      <c r="W1143" s="9">
        <v>947</v>
      </c>
      <c r="X1143" s="9" t="s">
        <v>29</v>
      </c>
    </row>
    <row r="1144" spans="23:24">
      <c r="W1144" s="9">
        <v>948</v>
      </c>
      <c r="X1144" s="9" t="s">
        <v>29</v>
      </c>
    </row>
    <row r="1145" spans="23:24">
      <c r="W1145" s="9">
        <v>949</v>
      </c>
      <c r="X1145" s="9" t="s">
        <v>29</v>
      </c>
    </row>
    <row r="1146" spans="23:24">
      <c r="W1146" s="9">
        <v>952</v>
      </c>
      <c r="X1146" s="9" t="s">
        <v>29</v>
      </c>
    </row>
    <row r="1147" spans="23:24">
      <c r="W1147" s="9">
        <v>952</v>
      </c>
      <c r="X1147" s="9" t="s">
        <v>29</v>
      </c>
    </row>
    <row r="1148" spans="23:24">
      <c r="W1148" s="9">
        <v>952</v>
      </c>
      <c r="X1148" s="9" t="s">
        <v>29</v>
      </c>
    </row>
    <row r="1149" spans="23:24">
      <c r="W1149" s="9">
        <v>952</v>
      </c>
      <c r="X1149" s="9" t="s">
        <v>28</v>
      </c>
    </row>
    <row r="1150" spans="23:24">
      <c r="W1150" s="9">
        <v>953</v>
      </c>
      <c r="X1150" s="9" t="s">
        <v>29</v>
      </c>
    </row>
    <row r="1151" spans="23:24">
      <c r="W1151" s="9">
        <v>953</v>
      </c>
      <c r="X1151" s="9" t="s">
        <v>29</v>
      </c>
    </row>
    <row r="1152" spans="23:24">
      <c r="W1152" s="9">
        <v>956</v>
      </c>
      <c r="X1152" s="9" t="s">
        <v>29</v>
      </c>
    </row>
    <row r="1153" spans="23:24">
      <c r="W1153" s="9">
        <v>956</v>
      </c>
      <c r="X1153" s="9" t="s">
        <v>29</v>
      </c>
    </row>
    <row r="1154" spans="23:24">
      <c r="W1154" s="9">
        <v>956</v>
      </c>
      <c r="X1154" s="9" t="s">
        <v>29</v>
      </c>
    </row>
    <row r="1155" spans="23:24">
      <c r="W1155" s="9">
        <v>961</v>
      </c>
      <c r="X1155" s="9" t="s">
        <v>29</v>
      </c>
    </row>
    <row r="1156" spans="23:24">
      <c r="W1156" s="9">
        <v>962</v>
      </c>
      <c r="X1156" s="9" t="s">
        <v>29</v>
      </c>
    </row>
    <row r="1157" spans="23:24">
      <c r="W1157" s="9">
        <v>963</v>
      </c>
      <c r="X1157" s="9" t="s">
        <v>29</v>
      </c>
    </row>
    <row r="1158" spans="23:24">
      <c r="W1158" s="9">
        <v>964</v>
      </c>
      <c r="X1158" s="9" t="s">
        <v>29</v>
      </c>
    </row>
    <row r="1159" spans="23:24">
      <c r="W1159" s="9">
        <v>965</v>
      </c>
      <c r="X1159" s="9" t="s">
        <v>29</v>
      </c>
    </row>
    <row r="1160" spans="23:24">
      <c r="W1160" s="9">
        <v>966</v>
      </c>
      <c r="X1160" s="9" t="s">
        <v>29</v>
      </c>
    </row>
    <row r="1161" spans="23:24">
      <c r="W1161" s="9">
        <v>968</v>
      </c>
      <c r="X1161" s="9" t="s">
        <v>29</v>
      </c>
    </row>
    <row r="1162" spans="23:24">
      <c r="W1162" s="9">
        <v>970</v>
      </c>
      <c r="X1162" s="9" t="s">
        <v>27</v>
      </c>
    </row>
    <row r="1163" spans="23:24">
      <c r="W1163" s="9">
        <v>971</v>
      </c>
      <c r="X1163" s="9" t="s">
        <v>28</v>
      </c>
    </row>
    <row r="1164" spans="23:24">
      <c r="W1164" s="9">
        <v>972</v>
      </c>
      <c r="X1164" s="9" t="s">
        <v>31</v>
      </c>
    </row>
    <row r="1165" spans="23:24">
      <c r="W1165" s="9">
        <v>975</v>
      </c>
      <c r="X1165" s="9" t="s">
        <v>28</v>
      </c>
    </row>
    <row r="1166" spans="23:24">
      <c r="W1166" s="9">
        <v>979</v>
      </c>
      <c r="X1166" s="9" t="s">
        <v>29</v>
      </c>
    </row>
    <row r="1167" spans="23:24">
      <c r="W1167" s="9">
        <v>980</v>
      </c>
      <c r="X1167" s="9" t="s">
        <v>29</v>
      </c>
    </row>
    <row r="1168" spans="23:24">
      <c r="W1168" s="9">
        <v>984</v>
      </c>
      <c r="X1168" s="9" t="s">
        <v>27</v>
      </c>
    </row>
    <row r="1169" spans="23:24">
      <c r="W1169" s="9">
        <v>984</v>
      </c>
      <c r="X1169" s="9" t="s">
        <v>27</v>
      </c>
    </row>
    <row r="1170" spans="23:24">
      <c r="W1170" s="9">
        <v>985</v>
      </c>
      <c r="X1170" s="9" t="s">
        <v>28</v>
      </c>
    </row>
    <row r="1171" spans="23:24">
      <c r="W1171" s="9">
        <v>985</v>
      </c>
      <c r="X1171" s="9" t="s">
        <v>28</v>
      </c>
    </row>
    <row r="1172" spans="23:24">
      <c r="W1172" s="9">
        <v>986</v>
      </c>
      <c r="X1172" s="9" t="s">
        <v>27</v>
      </c>
    </row>
    <row r="1173" spans="23:24">
      <c r="W1173" s="9">
        <v>987</v>
      </c>
      <c r="X1173" s="9" t="s">
        <v>29</v>
      </c>
    </row>
    <row r="1174" spans="23:24">
      <c r="W1174" s="9">
        <v>988</v>
      </c>
      <c r="X1174" s="9" t="s">
        <v>29</v>
      </c>
    </row>
    <row r="1175" spans="23:24">
      <c r="W1175" s="9">
        <v>997</v>
      </c>
      <c r="X1175" s="9" t="s">
        <v>29</v>
      </c>
    </row>
    <row r="1176" spans="23:24">
      <c r="W1176" s="9">
        <v>998</v>
      </c>
      <c r="X1176" s="9" t="s">
        <v>29</v>
      </c>
    </row>
    <row r="1177" spans="23:24">
      <c r="W1177" s="9">
        <v>1000</v>
      </c>
      <c r="X1177" s="9" t="s">
        <v>29</v>
      </c>
    </row>
    <row r="1178" spans="23:24">
      <c r="W1178" s="9">
        <v>1000</v>
      </c>
      <c r="X1178" s="9" t="s">
        <v>29</v>
      </c>
    </row>
    <row r="1179" spans="23:24">
      <c r="W1179" s="9">
        <v>1005</v>
      </c>
      <c r="X1179" s="9" t="s">
        <v>27</v>
      </c>
    </row>
    <row r="1180" spans="23:24">
      <c r="W1180" s="9">
        <v>1005</v>
      </c>
      <c r="X1180" s="9" t="s">
        <v>27</v>
      </c>
    </row>
    <row r="1181" spans="23:24">
      <c r="W1181" s="9">
        <v>1005</v>
      </c>
      <c r="X1181" s="9" t="s">
        <v>27</v>
      </c>
    </row>
    <row r="1182" spans="23:24">
      <c r="W1182" s="9">
        <v>1005</v>
      </c>
      <c r="X1182" s="9" t="s">
        <v>27</v>
      </c>
    </row>
    <row r="1183" spans="23:24">
      <c r="W1183" s="9">
        <v>1006</v>
      </c>
      <c r="X1183" s="9" t="s">
        <v>29</v>
      </c>
    </row>
    <row r="1184" spans="23:24">
      <c r="W1184" s="9">
        <v>1007</v>
      </c>
      <c r="X1184" s="9" t="s">
        <v>29</v>
      </c>
    </row>
    <row r="1185" spans="23:24">
      <c r="W1185" s="9">
        <v>1008</v>
      </c>
      <c r="X1185" s="9" t="s">
        <v>29</v>
      </c>
    </row>
    <row r="1186" spans="23:24">
      <c r="W1186" s="9">
        <v>1009</v>
      </c>
      <c r="X1186" s="9" t="s">
        <v>28</v>
      </c>
    </row>
    <row r="1187" spans="23:24">
      <c r="W1187" s="9">
        <v>1010</v>
      </c>
      <c r="X1187" s="9" t="s">
        <v>29</v>
      </c>
    </row>
    <row r="1188" spans="23:24">
      <c r="W1188" s="9">
        <v>1014</v>
      </c>
      <c r="X1188" s="9" t="s">
        <v>29</v>
      </c>
    </row>
    <row r="1189" spans="23:24">
      <c r="W1189" s="9">
        <v>1016</v>
      </c>
      <c r="X1189" s="9" t="s">
        <v>29</v>
      </c>
    </row>
    <row r="1190" spans="23:24">
      <c r="W1190" s="9">
        <v>1018</v>
      </c>
      <c r="X1190" s="9" t="s">
        <v>29</v>
      </c>
    </row>
    <row r="1191" spans="23:24">
      <c r="W1191" s="9">
        <v>1024</v>
      </c>
      <c r="X1191" s="9" t="s">
        <v>29</v>
      </c>
    </row>
    <row r="1192" spans="23:24">
      <c r="W1192" s="9">
        <v>1030</v>
      </c>
      <c r="X1192" s="9" t="s">
        <v>30</v>
      </c>
    </row>
    <row r="1193" spans="23:24">
      <c r="W1193" s="9">
        <v>1033</v>
      </c>
      <c r="X1193" s="9" t="s">
        <v>29</v>
      </c>
    </row>
    <row r="1194" spans="23:24">
      <c r="W1194" s="9">
        <v>1036</v>
      </c>
      <c r="X1194" s="9" t="s">
        <v>29</v>
      </c>
    </row>
    <row r="1195" spans="23:24">
      <c r="W1195" s="9">
        <v>1036</v>
      </c>
      <c r="X1195" s="9" t="s">
        <v>29</v>
      </c>
    </row>
    <row r="1196" spans="23:24">
      <c r="W1196" s="9">
        <v>1037</v>
      </c>
      <c r="X1196" s="9" t="s">
        <v>29</v>
      </c>
    </row>
    <row r="1197" spans="23:24">
      <c r="W1197" s="9">
        <v>1045</v>
      </c>
      <c r="X1197" s="9" t="s">
        <v>29</v>
      </c>
    </row>
    <row r="1198" spans="23:24">
      <c r="W1198" s="9">
        <v>1055</v>
      </c>
      <c r="X1198" s="9" t="s">
        <v>29</v>
      </c>
    </row>
    <row r="1199" spans="23:24">
      <c r="W1199" s="9">
        <v>1059</v>
      </c>
      <c r="X1199" s="9" t="s">
        <v>31</v>
      </c>
    </row>
    <row r="1200" spans="23:24">
      <c r="W1200" s="9">
        <v>1060</v>
      </c>
      <c r="X1200" s="9" t="s">
        <v>27</v>
      </c>
    </row>
    <row r="1201" spans="23:24">
      <c r="W1201" s="9">
        <v>1061</v>
      </c>
      <c r="X1201" s="9" t="s">
        <v>27</v>
      </c>
    </row>
    <row r="1202" spans="23:24">
      <c r="W1202" s="9">
        <v>1062</v>
      </c>
      <c r="X1202" s="9" t="s">
        <v>27</v>
      </c>
    </row>
    <row r="1203" spans="23:24">
      <c r="W1203" s="9">
        <v>1063</v>
      </c>
      <c r="X1203" s="9" t="s">
        <v>29</v>
      </c>
    </row>
    <row r="1204" spans="23:24">
      <c r="W1204" s="9">
        <v>1065</v>
      </c>
      <c r="X1204" s="9" t="s">
        <v>29</v>
      </c>
    </row>
    <row r="1205" spans="23:24">
      <c r="W1205" s="9">
        <v>1067</v>
      </c>
      <c r="X1205" s="9" t="s">
        <v>29</v>
      </c>
    </row>
    <row r="1206" spans="23:24">
      <c r="W1206" s="9">
        <v>1068</v>
      </c>
      <c r="X1206" s="9" t="s">
        <v>27</v>
      </c>
    </row>
    <row r="1207" spans="23:24">
      <c r="W1207" s="9">
        <v>1069</v>
      </c>
      <c r="X1207" s="9" t="s">
        <v>29</v>
      </c>
    </row>
    <row r="1208" spans="23:24">
      <c r="W1208" s="9">
        <v>1071</v>
      </c>
      <c r="X1208" s="9" t="s">
        <v>29</v>
      </c>
    </row>
    <row r="1209" spans="23:24">
      <c r="W1209" s="9">
        <v>1071</v>
      </c>
      <c r="X1209" s="9" t="s">
        <v>29</v>
      </c>
    </row>
    <row r="1210" spans="23:24">
      <c r="W1210" s="9">
        <v>1072</v>
      </c>
      <c r="X1210" s="9" t="s">
        <v>29</v>
      </c>
    </row>
    <row r="1211" spans="23:24">
      <c r="W1211" s="9">
        <v>1073</v>
      </c>
      <c r="X1211" s="9" t="s">
        <v>28</v>
      </c>
    </row>
    <row r="1212" spans="23:24">
      <c r="W1212" s="9">
        <v>1073</v>
      </c>
      <c r="X1212" s="9" t="s">
        <v>28</v>
      </c>
    </row>
    <row r="1213" spans="23:24">
      <c r="W1213" s="9">
        <v>1073</v>
      </c>
      <c r="X1213" s="9" t="s">
        <v>28</v>
      </c>
    </row>
    <row r="1214" spans="23:24">
      <c r="W1214" s="9">
        <v>1073</v>
      </c>
      <c r="X1214" s="9" t="s">
        <v>28</v>
      </c>
    </row>
    <row r="1215" spans="23:24">
      <c r="W1215" s="9">
        <v>1073</v>
      </c>
      <c r="X1215" s="9" t="s">
        <v>28</v>
      </c>
    </row>
    <row r="1216" spans="23:24">
      <c r="W1216" s="9">
        <v>1073</v>
      </c>
      <c r="X1216" s="9" t="s">
        <v>28</v>
      </c>
    </row>
    <row r="1217" spans="23:24">
      <c r="W1217" s="9">
        <v>1073</v>
      </c>
      <c r="X1217" s="9" t="s">
        <v>28</v>
      </c>
    </row>
    <row r="1218" spans="23:24">
      <c r="W1218" s="9">
        <v>1082</v>
      </c>
      <c r="X1218" s="9" t="s">
        <v>29</v>
      </c>
    </row>
    <row r="1219" spans="23:24">
      <c r="W1219" s="9">
        <v>1083</v>
      </c>
      <c r="X1219" s="9" t="s">
        <v>29</v>
      </c>
    </row>
    <row r="1220" spans="23:24">
      <c r="W1220" s="9">
        <v>1084</v>
      </c>
      <c r="X1220" s="9" t="s">
        <v>29</v>
      </c>
    </row>
    <row r="1221" spans="23:24">
      <c r="W1221" s="9">
        <v>1084</v>
      </c>
      <c r="X1221" s="9" t="s">
        <v>29</v>
      </c>
    </row>
    <row r="1222" spans="23:24">
      <c r="W1222" s="9">
        <v>1084</v>
      </c>
      <c r="X1222" s="9" t="s">
        <v>29</v>
      </c>
    </row>
    <row r="1223" spans="23:24">
      <c r="W1223" s="9">
        <v>1091</v>
      </c>
      <c r="X1223" s="9" t="s">
        <v>29</v>
      </c>
    </row>
    <row r="1224" spans="23:24">
      <c r="W1224" s="9">
        <v>1095</v>
      </c>
      <c r="X1224" s="9" t="s">
        <v>29</v>
      </c>
    </row>
    <row r="1225" spans="23:24">
      <c r="W1225" s="9">
        <v>1100</v>
      </c>
      <c r="X1225" s="9" t="s">
        <v>28</v>
      </c>
    </row>
    <row r="1226" spans="23:24">
      <c r="W1226" s="9">
        <v>1100</v>
      </c>
      <c r="X1226" s="9" t="s">
        <v>28</v>
      </c>
    </row>
    <row r="1227" spans="23:24">
      <c r="W1227" s="9">
        <v>1102</v>
      </c>
      <c r="X1227" s="9" t="s">
        <v>27</v>
      </c>
    </row>
    <row r="1228" spans="23:24">
      <c r="W1228" s="9">
        <v>1103</v>
      </c>
      <c r="X1228" s="9" t="s">
        <v>28</v>
      </c>
    </row>
    <row r="1229" spans="23:24">
      <c r="W1229" s="9">
        <v>1104</v>
      </c>
      <c r="X1229" s="9" t="s">
        <v>27</v>
      </c>
    </row>
    <row r="1230" spans="23:24">
      <c r="W1230" s="9">
        <v>1105</v>
      </c>
      <c r="X1230" s="9" t="s">
        <v>28</v>
      </c>
    </row>
    <row r="1231" spans="23:24">
      <c r="W1231" s="9">
        <v>1105</v>
      </c>
      <c r="X1231" s="9" t="s">
        <v>28</v>
      </c>
    </row>
    <row r="1232" spans="23:24">
      <c r="W1232" s="9">
        <v>1105</v>
      </c>
      <c r="X1232" s="9" t="s">
        <v>28</v>
      </c>
    </row>
    <row r="1233" spans="23:24">
      <c r="W1233" s="9">
        <v>1109</v>
      </c>
      <c r="X1233" s="9" t="s">
        <v>29</v>
      </c>
    </row>
    <row r="1234" spans="23:24">
      <c r="W1234" s="9">
        <v>1110</v>
      </c>
      <c r="X1234" s="9" t="s">
        <v>29</v>
      </c>
    </row>
    <row r="1235" spans="23:24">
      <c r="W1235" s="9">
        <v>1110</v>
      </c>
      <c r="X1235" s="9" t="s">
        <v>29</v>
      </c>
    </row>
    <row r="1236" spans="23:24">
      <c r="W1236" s="10">
        <v>1111</v>
      </c>
      <c r="X1236" s="10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373B-52D1-4996-B3F1-0321E5892B94}">
  <dimension ref="A1:AO1487"/>
  <sheetViews>
    <sheetView workbookViewId="0">
      <pane ySplit="1" topLeftCell="N12" activePane="bottomLeft" state="frozen"/>
      <selection pane="bottomLeft" activeCell="AA31" sqref="AA31"/>
    </sheetView>
  </sheetViews>
  <sheetFormatPr defaultColWidth="8.7109375" defaultRowHeight="15"/>
  <cols>
    <col min="1" max="1" width="13.42578125" bestFit="1" customWidth="1"/>
    <col min="2" max="2" width="11" bestFit="1" customWidth="1"/>
    <col min="3" max="3" width="12.140625" bestFit="1" customWidth="1"/>
    <col min="4" max="5" width="12.5703125" bestFit="1" customWidth="1"/>
    <col min="6" max="6" width="20.85546875" bestFit="1" customWidth="1"/>
    <col min="7" max="7" width="14.7109375" bestFit="1" customWidth="1"/>
    <col min="8" max="8" width="15" bestFit="1" customWidth="1"/>
    <col min="9" max="9" width="22.140625" bestFit="1" customWidth="1"/>
    <col min="10" max="10" width="28" bestFit="1" customWidth="1"/>
    <col min="11" max="11" width="13.140625" bestFit="1" customWidth="1"/>
    <col min="12" max="12" width="25.85546875" customWidth="1"/>
    <col min="13" max="13" width="18.5703125" bestFit="1" customWidth="1"/>
    <col min="14" max="14" width="19.140625" bestFit="1" customWidth="1"/>
    <col min="15" max="15" width="2.85546875" style="6" customWidth="1"/>
    <col min="18" max="18" width="15.42578125" bestFit="1" customWidth="1"/>
    <col min="19" max="19" width="11.140625" style="7" bestFit="1" customWidth="1"/>
    <col min="20" max="20" width="11.28515625" bestFit="1" customWidth="1"/>
    <col min="21" max="21" width="12" bestFit="1" customWidth="1"/>
    <col min="22" max="22" width="13.42578125" bestFit="1" customWidth="1"/>
    <col min="23" max="25" width="13.42578125" customWidth="1"/>
    <col min="26" max="26" width="13.42578125" style="30" customWidth="1"/>
    <col min="27" max="27" width="13.42578125" customWidth="1"/>
    <col min="28" max="28" width="8.42578125" bestFit="1" customWidth="1"/>
    <col min="29" max="31" width="13.42578125" customWidth="1"/>
    <col min="33" max="33" width="7.42578125" bestFit="1" customWidth="1"/>
    <col min="34" max="34" width="10.85546875" bestFit="1" customWidth="1"/>
    <col min="35" max="35" width="11.140625" bestFit="1" customWidth="1"/>
  </cols>
  <sheetData>
    <row r="1" spans="1:41">
      <c r="A1" s="15" t="s">
        <v>35</v>
      </c>
      <c r="B1" s="15" t="s">
        <v>36</v>
      </c>
      <c r="C1" s="15" t="s">
        <v>37</v>
      </c>
      <c r="D1" s="16" t="s">
        <v>38</v>
      </c>
      <c r="E1" s="16" t="s">
        <v>39</v>
      </c>
      <c r="F1" s="25" t="s">
        <v>40</v>
      </c>
      <c r="G1" s="16" t="s">
        <v>41</v>
      </c>
      <c r="H1" s="16" t="s">
        <v>42</v>
      </c>
      <c r="I1" s="16" t="s">
        <v>43</v>
      </c>
      <c r="J1" s="16" t="s">
        <v>44</v>
      </c>
      <c r="K1" s="17" t="s">
        <v>45</v>
      </c>
      <c r="L1" s="17" t="s">
        <v>46</v>
      </c>
      <c r="M1" s="17" t="s">
        <v>47</v>
      </c>
      <c r="N1" s="17" t="s">
        <v>48</v>
      </c>
      <c r="O1" s="19" t="s">
        <v>14</v>
      </c>
      <c r="P1" s="18" t="s">
        <v>14</v>
      </c>
      <c r="Q1" s="21" t="s">
        <v>15</v>
      </c>
      <c r="R1" s="21" t="s">
        <v>49</v>
      </c>
      <c r="S1" s="21" t="s">
        <v>17</v>
      </c>
      <c r="T1" s="21" t="s">
        <v>50</v>
      </c>
      <c r="U1" s="29" t="s">
        <v>19</v>
      </c>
      <c r="W1" s="8" t="s">
        <v>15</v>
      </c>
      <c r="X1" s="8" t="s">
        <v>17</v>
      </c>
      <c r="Z1" s="31" t="s">
        <v>15</v>
      </c>
      <c r="AA1" s="31" t="s">
        <v>51</v>
      </c>
      <c r="AB1" s="31" t="s">
        <v>17</v>
      </c>
      <c r="AC1" s="31" t="s">
        <v>50</v>
      </c>
      <c r="AD1" s="31" t="s">
        <v>19</v>
      </c>
      <c r="AF1" s="26" t="s">
        <v>20</v>
      </c>
      <c r="AG1" s="26" t="s">
        <v>17</v>
      </c>
      <c r="AH1" s="26" t="s">
        <v>52</v>
      </c>
      <c r="AI1" s="27" t="s">
        <v>22</v>
      </c>
      <c r="AM1" t="s">
        <v>23</v>
      </c>
      <c r="AN1" t="s">
        <v>24</v>
      </c>
      <c r="AO1" t="s">
        <v>25</v>
      </c>
    </row>
    <row r="2" spans="1:41">
      <c r="A2">
        <v>2</v>
      </c>
      <c r="B2" t="str">
        <f>_xlfn.XLOOKUP(A2,AF:AF,AG:AG)</f>
        <v>USD</v>
      </c>
      <c r="C2">
        <f>_xlfn.XLOOKUP(A2,AF:AF,AH:AH)-_xlfn.XLOOKUP(A2,Q:Q,R:R,"0")</f>
        <v>11800</v>
      </c>
      <c r="D2">
        <f>C2*_xlfn.XLOOKUP(B2,AM:AM,AN:AN)</f>
        <v>10148</v>
      </c>
      <c r="E2">
        <f>C2*_xlfn.XLOOKUP(B2,AM:AM,AO:AO)</f>
        <v>11800</v>
      </c>
      <c r="F2">
        <v>11800</v>
      </c>
      <c r="G2">
        <f>F2*_xlfn.XLOOKUP(B2,AM:AM,AN:AN)</f>
        <v>10148</v>
      </c>
      <c r="H2">
        <f>F2*_xlfn.XLOOKUP(B2,AM:AM,AO:AO)</f>
        <v>11800</v>
      </c>
      <c r="I2">
        <f>C2-F2+_xlfn.XLOOKUP(A2,Q:Q,R:R,"0")-_xlfn.XLOOKUP(A2,Z:Z,AA:AA,"0")</f>
        <v>0</v>
      </c>
      <c r="J2">
        <f>I2*_xlfn.XLOOKUP(B2,AM:AM,AO:AO)</f>
        <v>0</v>
      </c>
      <c r="K2" s="7">
        <f>_xlfn.XLOOKUP(A2,AF:AF,AI:AI)</f>
        <v>45646</v>
      </c>
      <c r="L2" s="7">
        <f>K2-30</f>
        <v>45616</v>
      </c>
      <c r="M2">
        <f>MONTH(L2)</f>
        <v>11</v>
      </c>
      <c r="N2">
        <f>YEAR(L2)</f>
        <v>2024</v>
      </c>
      <c r="Q2" s="22">
        <v>3</v>
      </c>
      <c r="R2" s="22">
        <v>3400</v>
      </c>
      <c r="S2" s="22" t="str">
        <f>_xlfn.XLOOKUP(Q2,W:W,X:X)</f>
        <v>EUR</v>
      </c>
      <c r="T2" s="22">
        <f>R2*_xlfn.XLOOKUP(S2,AM:AM,AO:AO)</f>
        <v>3943.9999999999995</v>
      </c>
      <c r="U2" s="28">
        <v>400</v>
      </c>
      <c r="W2" s="9">
        <v>3</v>
      </c>
      <c r="X2" s="9" t="s">
        <v>27</v>
      </c>
      <c r="Z2" s="30">
        <v>293</v>
      </c>
      <c r="AA2" s="30">
        <v>1365.96</v>
      </c>
      <c r="AB2" s="30" t="s">
        <v>28</v>
      </c>
      <c r="AC2" s="30">
        <f>AA2*_xlfn.XLOOKUP(AB2,AM:AM,AO:AO)</f>
        <v>76.493760000000009</v>
      </c>
      <c r="AD2" s="30" t="s">
        <v>53</v>
      </c>
      <c r="AF2">
        <v>1</v>
      </c>
      <c r="AG2" t="s">
        <v>27</v>
      </c>
      <c r="AH2">
        <v>250</v>
      </c>
      <c r="AI2" s="7">
        <v>45568</v>
      </c>
      <c r="AM2" t="s">
        <v>27</v>
      </c>
      <c r="AN2">
        <v>1</v>
      </c>
      <c r="AO2">
        <v>1.1599999999999999</v>
      </c>
    </row>
    <row r="3" spans="1:41">
      <c r="A3">
        <v>3</v>
      </c>
      <c r="B3" t="str">
        <f t="shared" ref="B3:B66" si="0">_xlfn.XLOOKUP(A3,AF:AF,AG:AG)</f>
        <v>EUR</v>
      </c>
      <c r="C3">
        <f t="shared" ref="C3:C66" si="1">_xlfn.XLOOKUP(A3,AF:AF,AH:AH)-_xlfn.XLOOKUP(A3,Q:Q,R:R,"0")</f>
        <v>0</v>
      </c>
      <c r="D3">
        <f>C3*_xlfn.XLOOKUP(B3,AM:AM,AN:AN)</f>
        <v>0</v>
      </c>
      <c r="E3">
        <f>C3*_xlfn.XLOOKUP(B3,AM:AM,AO:AO)</f>
        <v>0</v>
      </c>
      <c r="F3">
        <v>3400</v>
      </c>
      <c r="G3">
        <f>F3*_xlfn.XLOOKUP(B3,AM:AM,AN:AN)</f>
        <v>3400</v>
      </c>
      <c r="H3">
        <f>F3*_xlfn.XLOOKUP(B3,AM:AM,AO:AO)</f>
        <v>3943.9999999999995</v>
      </c>
      <c r="I3">
        <f t="shared" ref="I3:I66" si="2">C3-F3+_xlfn.XLOOKUP(A3,Q:Q,R:R,"0")-_xlfn.XLOOKUP(A3,Z:Z,AA:AA,"0")</f>
        <v>0</v>
      </c>
      <c r="J3">
        <f>I3*_xlfn.XLOOKUP(B3,AM:AM,AO:AO)</f>
        <v>0</v>
      </c>
      <c r="K3" s="7">
        <f t="shared" ref="K3:K66" si="3">_xlfn.XLOOKUP(A3,AF:AF,AI:AI)</f>
        <v>45568</v>
      </c>
      <c r="L3" s="7">
        <f t="shared" ref="L3:L66" si="4">K3-30</f>
        <v>45538</v>
      </c>
      <c r="M3">
        <f t="shared" ref="M3:M66" si="5">MONTH(L3)</f>
        <v>9</v>
      </c>
      <c r="N3">
        <f t="shared" ref="N3:N66" si="6">YEAR(L3)</f>
        <v>2024</v>
      </c>
      <c r="Q3" s="22">
        <v>4</v>
      </c>
      <c r="R3" s="22">
        <v>354545.26</v>
      </c>
      <c r="S3" s="22" t="str">
        <f t="shared" ref="S3:S66" si="7">_xlfn.XLOOKUP(Q3,W:W,X:X)</f>
        <v>MXN</v>
      </c>
      <c r="T3" s="22">
        <f>R3*_xlfn.XLOOKUP(S3,AM:AM,AO:AO)</f>
        <v>19854.53456</v>
      </c>
      <c r="U3" s="28">
        <v>400</v>
      </c>
      <c r="W3" s="9">
        <v>4</v>
      </c>
      <c r="X3" s="9" t="s">
        <v>28</v>
      </c>
      <c r="Z3" s="30">
        <v>357</v>
      </c>
      <c r="AA3" s="30">
        <v>2597.52</v>
      </c>
      <c r="AB3" s="30" t="s">
        <v>28</v>
      </c>
      <c r="AC3" s="30">
        <f t="shared" ref="AC3:AC27" si="8">AA3*_xlfn.XLOOKUP(AB3,AM:AM,AO:AO)</f>
        <v>145.46111999999999</v>
      </c>
      <c r="AD3" s="30" t="s">
        <v>53</v>
      </c>
      <c r="AF3">
        <v>2</v>
      </c>
      <c r="AG3" t="s">
        <v>29</v>
      </c>
      <c r="AH3">
        <v>11800</v>
      </c>
      <c r="AI3" s="7">
        <v>45646</v>
      </c>
      <c r="AM3" t="s">
        <v>29</v>
      </c>
      <c r="AN3">
        <v>0.86</v>
      </c>
      <c r="AO3">
        <v>1</v>
      </c>
    </row>
    <row r="4" spans="1:41">
      <c r="A4">
        <v>4</v>
      </c>
      <c r="B4" t="str">
        <f t="shared" si="0"/>
        <v>MXN</v>
      </c>
      <c r="C4">
        <f t="shared" si="1"/>
        <v>0</v>
      </c>
      <c r="D4">
        <f>C4*_xlfn.XLOOKUP(B4,AM:AM,AN:AN)</f>
        <v>0</v>
      </c>
      <c r="E4">
        <f>C4*_xlfn.XLOOKUP(B4,AM:AM,AO:AO)</f>
        <v>0</v>
      </c>
      <c r="F4">
        <v>354545.26</v>
      </c>
      <c r="G4">
        <f>F4*_xlfn.XLOOKUP(B4,AM:AM,AN:AN)</f>
        <v>17018.172480000001</v>
      </c>
      <c r="H4">
        <f>F4*_xlfn.XLOOKUP(B4,AM:AM,AO:AO)</f>
        <v>19854.53456</v>
      </c>
      <c r="I4">
        <f t="shared" si="2"/>
        <v>0</v>
      </c>
      <c r="J4">
        <f>I4*_xlfn.XLOOKUP(B4,AM:AM,AO:AO)</f>
        <v>0</v>
      </c>
      <c r="K4" s="7">
        <f t="shared" si="3"/>
        <v>45641</v>
      </c>
      <c r="L4" s="7">
        <f t="shared" si="4"/>
        <v>45611</v>
      </c>
      <c r="M4">
        <f t="shared" si="5"/>
        <v>11</v>
      </c>
      <c r="N4">
        <f t="shared" si="6"/>
        <v>2024</v>
      </c>
      <c r="Q4" s="22">
        <v>6</v>
      </c>
      <c r="R4" s="22">
        <v>10800</v>
      </c>
      <c r="S4" s="22" t="str">
        <f t="shared" si="7"/>
        <v>EUR</v>
      </c>
      <c r="T4" s="22">
        <f>R4*_xlfn.XLOOKUP(S4,AM:AM,AO:AO)</f>
        <v>12528</v>
      </c>
      <c r="U4" s="28">
        <v>400</v>
      </c>
      <c r="W4" s="9">
        <v>4</v>
      </c>
      <c r="X4" s="9" t="s">
        <v>28</v>
      </c>
      <c r="Z4" s="30">
        <v>226</v>
      </c>
      <c r="AA4" s="30">
        <v>14666.38</v>
      </c>
      <c r="AB4" s="30" t="s">
        <v>28</v>
      </c>
      <c r="AC4" s="30">
        <f t="shared" si="8"/>
        <v>821.31727999999998</v>
      </c>
      <c r="AD4" s="30" t="s">
        <v>53</v>
      </c>
      <c r="AF4">
        <v>3</v>
      </c>
      <c r="AG4" t="s">
        <v>27</v>
      </c>
      <c r="AH4">
        <v>3400</v>
      </c>
      <c r="AI4" s="7">
        <v>45568</v>
      </c>
      <c r="AM4" t="s">
        <v>30</v>
      </c>
      <c r="AN4">
        <v>1.07</v>
      </c>
      <c r="AO4">
        <v>1.25</v>
      </c>
    </row>
    <row r="5" spans="1:41">
      <c r="A5">
        <v>6</v>
      </c>
      <c r="B5" t="str">
        <f t="shared" si="0"/>
        <v>EUR</v>
      </c>
      <c r="C5">
        <f t="shared" si="1"/>
        <v>7589.4700000000012</v>
      </c>
      <c r="D5">
        <f>C5*_xlfn.XLOOKUP(B5,AM:AM,AN:AN)</f>
        <v>7589.4700000000012</v>
      </c>
      <c r="E5">
        <f>C5*_xlfn.XLOOKUP(B5,AM:AM,AO:AO)</f>
        <v>8803.7852000000003</v>
      </c>
      <c r="F5">
        <v>18389.47</v>
      </c>
      <c r="G5">
        <f>F5*_xlfn.XLOOKUP(B5,AM:AM,AN:AN)</f>
        <v>18389.47</v>
      </c>
      <c r="H5">
        <f>F5*_xlfn.XLOOKUP(B5,AM:AM,AO:AO)</f>
        <v>21331.785199999998</v>
      </c>
      <c r="I5">
        <f t="shared" si="2"/>
        <v>0</v>
      </c>
      <c r="J5">
        <f>I5*_xlfn.XLOOKUP(B5,AM:AM,AO:AO)</f>
        <v>0</v>
      </c>
      <c r="K5" s="7">
        <f t="shared" si="3"/>
        <v>45567</v>
      </c>
      <c r="L5" s="7">
        <f t="shared" si="4"/>
        <v>45537</v>
      </c>
      <c r="M5">
        <f t="shared" si="5"/>
        <v>9</v>
      </c>
      <c r="N5">
        <f t="shared" si="6"/>
        <v>2024</v>
      </c>
      <c r="Q5" s="22">
        <v>7</v>
      </c>
      <c r="R5" s="22">
        <v>131952</v>
      </c>
      <c r="S5" s="22" t="str">
        <f t="shared" si="7"/>
        <v>EUR</v>
      </c>
      <c r="T5" s="22">
        <f>R5*_xlfn.XLOOKUP(S5,AM:AM,AO:AO)</f>
        <v>153064.31999999998</v>
      </c>
      <c r="U5" s="28">
        <v>400</v>
      </c>
      <c r="W5" s="9">
        <v>6</v>
      </c>
      <c r="X5" s="9" t="s">
        <v>27</v>
      </c>
      <c r="Z5" s="30">
        <v>178</v>
      </c>
      <c r="AA5" s="30">
        <v>10687.11</v>
      </c>
      <c r="AB5" s="30" t="s">
        <v>28</v>
      </c>
      <c r="AC5" s="30">
        <f t="shared" si="8"/>
        <v>598.47816</v>
      </c>
      <c r="AD5" s="30" t="s">
        <v>53</v>
      </c>
      <c r="AF5">
        <v>4</v>
      </c>
      <c r="AG5" t="s">
        <v>28</v>
      </c>
      <c r="AH5">
        <v>354545.26</v>
      </c>
      <c r="AI5" s="7">
        <v>45641</v>
      </c>
      <c r="AM5" t="s">
        <v>31</v>
      </c>
      <c r="AN5">
        <v>1.1499999999999999</v>
      </c>
      <c r="AO5">
        <v>1.34</v>
      </c>
    </row>
    <row r="6" spans="1:41">
      <c r="A6">
        <v>7</v>
      </c>
      <c r="B6" t="str">
        <f t="shared" si="0"/>
        <v>EUR</v>
      </c>
      <c r="C6">
        <f t="shared" si="1"/>
        <v>50238.48000000001</v>
      </c>
      <c r="D6">
        <f>C6*_xlfn.XLOOKUP(B6,AM:AM,AN:AN)</f>
        <v>50238.48000000001</v>
      </c>
      <c r="E6">
        <f>C6*_xlfn.XLOOKUP(B6,AM:AM,AO:AO)</f>
        <v>58276.636800000007</v>
      </c>
      <c r="F6">
        <v>182190.48</v>
      </c>
      <c r="G6">
        <f>F6*_xlfn.XLOOKUP(B6,AM:AM,AN:AN)</f>
        <v>182190.48</v>
      </c>
      <c r="H6">
        <f>F6*_xlfn.XLOOKUP(B6,AM:AM,AO:AO)</f>
        <v>211340.95679999999</v>
      </c>
      <c r="I6">
        <f t="shared" si="2"/>
        <v>0</v>
      </c>
      <c r="J6">
        <f>I6*_xlfn.XLOOKUP(B6,AM:AM,AO:AO)</f>
        <v>0</v>
      </c>
      <c r="K6" s="7">
        <f t="shared" si="3"/>
        <v>45601</v>
      </c>
      <c r="L6" s="7">
        <f t="shared" si="4"/>
        <v>45571</v>
      </c>
      <c r="M6">
        <f t="shared" si="5"/>
        <v>10</v>
      </c>
      <c r="N6">
        <f t="shared" si="6"/>
        <v>2024</v>
      </c>
      <c r="Q6" s="22">
        <v>9</v>
      </c>
      <c r="R6" s="22">
        <v>4890.32</v>
      </c>
      <c r="S6" s="22" t="str">
        <f t="shared" si="7"/>
        <v>USD</v>
      </c>
      <c r="T6" s="22">
        <f>R6*_xlfn.XLOOKUP(S6,AM:AM,AO:AO)</f>
        <v>4890.32</v>
      </c>
      <c r="U6" s="28">
        <v>400</v>
      </c>
      <c r="W6" s="9">
        <v>7</v>
      </c>
      <c r="X6" s="9" t="s">
        <v>27</v>
      </c>
      <c r="Z6" s="30">
        <v>383</v>
      </c>
      <c r="AA6" s="30">
        <v>1646.17</v>
      </c>
      <c r="AB6" s="30" t="s">
        <v>28</v>
      </c>
      <c r="AC6" s="30">
        <f t="shared" si="8"/>
        <v>92.185520000000011</v>
      </c>
      <c r="AD6" s="30" t="s">
        <v>53</v>
      </c>
      <c r="AF6">
        <v>6</v>
      </c>
      <c r="AG6" t="s">
        <v>27</v>
      </c>
      <c r="AH6">
        <v>18389.47</v>
      </c>
      <c r="AI6" s="7">
        <v>45567</v>
      </c>
      <c r="AM6" t="s">
        <v>32</v>
      </c>
      <c r="AN6">
        <v>1.1499999999999999</v>
      </c>
      <c r="AO6">
        <v>1.34</v>
      </c>
    </row>
    <row r="7" spans="1:41">
      <c r="A7">
        <v>8</v>
      </c>
      <c r="B7" t="str">
        <f t="shared" si="0"/>
        <v>EUR</v>
      </c>
      <c r="C7">
        <f t="shared" si="1"/>
        <v>6473.42</v>
      </c>
      <c r="D7">
        <f>C7*_xlfn.XLOOKUP(B7,AM:AM,AN:AN)</f>
        <v>6473.42</v>
      </c>
      <c r="E7">
        <f>C7*_xlfn.XLOOKUP(B7,AM:AM,AO:AO)</f>
        <v>7509.1671999999999</v>
      </c>
      <c r="F7">
        <v>6473.42</v>
      </c>
      <c r="G7">
        <f>F7*_xlfn.XLOOKUP(B7,AM:AM,AN:AN)</f>
        <v>6473.42</v>
      </c>
      <c r="H7">
        <f>F7*_xlfn.XLOOKUP(B7,AM:AM,AO:AO)</f>
        <v>7509.1671999999999</v>
      </c>
      <c r="I7">
        <f t="shared" si="2"/>
        <v>0</v>
      </c>
      <c r="J7">
        <f>I7*_xlfn.XLOOKUP(B7,AM:AM,AO:AO)</f>
        <v>0</v>
      </c>
      <c r="K7" s="7">
        <f t="shared" si="3"/>
        <v>45579</v>
      </c>
      <c r="L7" s="7">
        <f t="shared" si="4"/>
        <v>45549</v>
      </c>
      <c r="M7">
        <f t="shared" si="5"/>
        <v>9</v>
      </c>
      <c r="N7">
        <f t="shared" si="6"/>
        <v>2024</v>
      </c>
      <c r="Q7" s="22">
        <v>11</v>
      </c>
      <c r="R7" s="22">
        <v>804.83</v>
      </c>
      <c r="S7" s="22" t="str">
        <f t="shared" si="7"/>
        <v>USD</v>
      </c>
      <c r="T7" s="22">
        <f>R7*_xlfn.XLOOKUP(S7,AM:AM,AO:AO)</f>
        <v>804.83</v>
      </c>
      <c r="U7" s="28">
        <v>400</v>
      </c>
      <c r="W7" s="9">
        <v>7</v>
      </c>
      <c r="X7" s="9" t="s">
        <v>27</v>
      </c>
      <c r="Z7" s="30">
        <v>538</v>
      </c>
      <c r="AA7" s="30">
        <v>1044.98</v>
      </c>
      <c r="AB7" s="30" t="s">
        <v>28</v>
      </c>
      <c r="AC7" s="30">
        <f t="shared" si="8"/>
        <v>58.518880000000003</v>
      </c>
      <c r="AD7" s="30" t="s">
        <v>53</v>
      </c>
      <c r="AF7">
        <v>7</v>
      </c>
      <c r="AG7" t="s">
        <v>27</v>
      </c>
      <c r="AH7">
        <v>182190.48</v>
      </c>
      <c r="AI7" s="7">
        <v>45601</v>
      </c>
      <c r="AM7" t="s">
        <v>33</v>
      </c>
      <c r="AN7">
        <v>5.4999999999999997E-3</v>
      </c>
      <c r="AO7">
        <v>6.4000000000000003E-3</v>
      </c>
    </row>
    <row r="8" spans="1:41">
      <c r="A8">
        <v>9</v>
      </c>
      <c r="B8" t="str">
        <f t="shared" si="0"/>
        <v>USD</v>
      </c>
      <c r="C8">
        <f t="shared" si="1"/>
        <v>33759.29</v>
      </c>
      <c r="D8">
        <f>C8*_xlfn.XLOOKUP(B8,AM:AM,AN:AN)</f>
        <v>29032.989399999999</v>
      </c>
      <c r="E8">
        <f>C8*_xlfn.XLOOKUP(B8,AM:AM,AO:AO)</f>
        <v>33759.29</v>
      </c>
      <c r="F8">
        <v>38649.61</v>
      </c>
      <c r="G8">
        <f>F8*_xlfn.XLOOKUP(B8,AM:AM,AN:AN)</f>
        <v>33238.664599999996</v>
      </c>
      <c r="H8">
        <f>F8*_xlfn.XLOOKUP(B8,AM:AM,AO:AO)</f>
        <v>38649.61</v>
      </c>
      <c r="I8">
        <f t="shared" si="2"/>
        <v>0</v>
      </c>
      <c r="J8">
        <f>I8*_xlfn.XLOOKUP(B8,AM:AM,AO:AO)</f>
        <v>0</v>
      </c>
      <c r="K8" s="7">
        <f t="shared" si="3"/>
        <v>45653</v>
      </c>
      <c r="L8" s="7">
        <f t="shared" si="4"/>
        <v>45623</v>
      </c>
      <c r="M8">
        <f t="shared" si="5"/>
        <v>11</v>
      </c>
      <c r="N8">
        <f t="shared" si="6"/>
        <v>2024</v>
      </c>
      <c r="Q8" s="22">
        <v>12</v>
      </c>
      <c r="R8" s="22">
        <v>26496.89</v>
      </c>
      <c r="S8" s="22" t="str">
        <f t="shared" si="7"/>
        <v>EUR</v>
      </c>
      <c r="T8" s="22">
        <f>R8*_xlfn.XLOOKUP(S8,AM:AM,AO:AO)</f>
        <v>30736.392399999997</v>
      </c>
      <c r="U8" s="28">
        <v>400</v>
      </c>
      <c r="W8" s="9">
        <v>9</v>
      </c>
      <c r="X8" s="9" t="s">
        <v>29</v>
      </c>
      <c r="Z8" s="30">
        <v>534</v>
      </c>
      <c r="AA8" s="30">
        <v>26246.720000000001</v>
      </c>
      <c r="AB8" s="30" t="s">
        <v>28</v>
      </c>
      <c r="AC8" s="30">
        <f t="shared" si="8"/>
        <v>1469.8163200000001</v>
      </c>
      <c r="AD8" s="30" t="s">
        <v>53</v>
      </c>
      <c r="AF8">
        <v>8</v>
      </c>
      <c r="AG8" t="s">
        <v>27</v>
      </c>
      <c r="AH8">
        <v>6473.42</v>
      </c>
      <c r="AI8" s="7">
        <v>45579</v>
      </c>
      <c r="AM8" t="s">
        <v>28</v>
      </c>
      <c r="AN8">
        <v>4.8000000000000001E-2</v>
      </c>
      <c r="AO8">
        <v>5.6000000000000001E-2</v>
      </c>
    </row>
    <row r="9" spans="1:41">
      <c r="A9">
        <v>10</v>
      </c>
      <c r="B9" t="str">
        <f t="shared" si="0"/>
        <v>USD</v>
      </c>
      <c r="C9">
        <f t="shared" si="1"/>
        <v>1455.62</v>
      </c>
      <c r="D9">
        <f>C9*_xlfn.XLOOKUP(B9,AM:AM,AN:AN)</f>
        <v>1251.8331999999998</v>
      </c>
      <c r="E9">
        <f>C9*_xlfn.XLOOKUP(B9,AM:AM,AO:AO)</f>
        <v>1455.62</v>
      </c>
      <c r="F9">
        <v>1455.62</v>
      </c>
      <c r="G9">
        <f>F9*_xlfn.XLOOKUP(B9,AM:AM,AN:AN)</f>
        <v>1251.8331999999998</v>
      </c>
      <c r="H9">
        <f>F9*_xlfn.XLOOKUP(B9,AM:AM,AO:AO)</f>
        <v>1455.62</v>
      </c>
      <c r="I9">
        <f t="shared" si="2"/>
        <v>0</v>
      </c>
      <c r="J9">
        <f>I9*_xlfn.XLOOKUP(B9,AM:AM,AO:AO)</f>
        <v>0</v>
      </c>
      <c r="K9" s="7">
        <f t="shared" si="3"/>
        <v>45653</v>
      </c>
      <c r="L9" s="7">
        <f t="shared" si="4"/>
        <v>45623</v>
      </c>
      <c r="M9">
        <f t="shared" si="5"/>
        <v>11</v>
      </c>
      <c r="N9">
        <f t="shared" si="6"/>
        <v>2024</v>
      </c>
      <c r="Q9" s="22">
        <v>15</v>
      </c>
      <c r="R9" s="22">
        <v>2327</v>
      </c>
      <c r="S9" s="22" t="str">
        <f t="shared" si="7"/>
        <v>USD</v>
      </c>
      <c r="T9" s="22">
        <f>R9*_xlfn.XLOOKUP(S9,AM:AM,AO:AO)</f>
        <v>2327</v>
      </c>
      <c r="U9" s="28">
        <v>400</v>
      </c>
      <c r="W9" s="9">
        <v>11</v>
      </c>
      <c r="X9" s="9" t="s">
        <v>29</v>
      </c>
      <c r="Z9" s="30">
        <v>254</v>
      </c>
      <c r="AA9" s="30">
        <v>41437.379999999997</v>
      </c>
      <c r="AB9" s="30" t="s">
        <v>28</v>
      </c>
      <c r="AC9" s="30">
        <f t="shared" si="8"/>
        <v>2320.4932799999997</v>
      </c>
      <c r="AD9" s="30" t="s">
        <v>53</v>
      </c>
      <c r="AF9">
        <v>9</v>
      </c>
      <c r="AG9" t="s">
        <v>29</v>
      </c>
      <c r="AH9">
        <v>38649.61</v>
      </c>
      <c r="AI9" s="7">
        <v>45653</v>
      </c>
    </row>
    <row r="10" spans="1:41">
      <c r="A10">
        <v>11</v>
      </c>
      <c r="B10" t="str">
        <f t="shared" si="0"/>
        <v>USD</v>
      </c>
      <c r="C10">
        <f t="shared" si="1"/>
        <v>847.43999999999994</v>
      </c>
      <c r="D10">
        <f>C10*_xlfn.XLOOKUP(B10,AM:AM,AN:AN)</f>
        <v>728.7983999999999</v>
      </c>
      <c r="E10">
        <f>C10*_xlfn.XLOOKUP(B10,AM:AM,AO:AO)</f>
        <v>847.43999999999994</v>
      </c>
      <c r="F10">
        <v>1652.27</v>
      </c>
      <c r="G10">
        <f>F10*_xlfn.XLOOKUP(B10,AM:AM,AN:AN)</f>
        <v>1420.9521999999999</v>
      </c>
      <c r="H10">
        <f>F10*_xlfn.XLOOKUP(B10,AM:AM,AO:AO)</f>
        <v>1652.27</v>
      </c>
      <c r="I10">
        <f t="shared" si="2"/>
        <v>0</v>
      </c>
      <c r="J10">
        <f>I10*_xlfn.XLOOKUP(B10,AM:AM,AO:AO)</f>
        <v>0</v>
      </c>
      <c r="K10" s="7">
        <f t="shared" si="3"/>
        <v>45655</v>
      </c>
      <c r="L10" s="7">
        <f t="shared" si="4"/>
        <v>45625</v>
      </c>
      <c r="M10">
        <f t="shared" si="5"/>
        <v>11</v>
      </c>
      <c r="N10">
        <f t="shared" si="6"/>
        <v>2024</v>
      </c>
      <c r="Q10" s="22">
        <v>16</v>
      </c>
      <c r="R10" s="22">
        <v>3735</v>
      </c>
      <c r="S10" s="22" t="str">
        <f t="shared" si="7"/>
        <v>USD</v>
      </c>
      <c r="T10" s="22">
        <f>R10*_xlfn.XLOOKUP(S10,AM:AM,AO:AO)</f>
        <v>3735</v>
      </c>
      <c r="U10" s="28">
        <v>400</v>
      </c>
      <c r="W10" s="9">
        <v>12</v>
      </c>
      <c r="X10" s="9" t="s">
        <v>27</v>
      </c>
      <c r="Z10" s="30">
        <v>230</v>
      </c>
      <c r="AA10" s="30">
        <v>707.47</v>
      </c>
      <c r="AB10" s="30" t="s">
        <v>28</v>
      </c>
      <c r="AC10" s="30">
        <f t="shared" si="8"/>
        <v>39.618320000000004</v>
      </c>
      <c r="AD10" s="30" t="s">
        <v>53</v>
      </c>
      <c r="AF10">
        <v>10</v>
      </c>
      <c r="AG10" t="s">
        <v>29</v>
      </c>
      <c r="AH10">
        <v>1455.62</v>
      </c>
      <c r="AI10" s="7">
        <v>45653</v>
      </c>
    </row>
    <row r="11" spans="1:41">
      <c r="A11">
        <v>12</v>
      </c>
      <c r="B11" t="str">
        <f t="shared" si="0"/>
        <v>EUR</v>
      </c>
      <c r="C11">
        <f t="shared" si="1"/>
        <v>5408.9599999999991</v>
      </c>
      <c r="D11">
        <f>C11*_xlfn.XLOOKUP(B11,AM:AM,AN:AN)</f>
        <v>5408.9599999999991</v>
      </c>
      <c r="E11">
        <f>C11*_xlfn.XLOOKUP(B11,AM:AM,AO:AO)</f>
        <v>6274.3935999999985</v>
      </c>
      <c r="F11">
        <v>31905.85</v>
      </c>
      <c r="G11">
        <f>F11*_xlfn.XLOOKUP(B11,AM:AM,AN:AN)</f>
        <v>31905.85</v>
      </c>
      <c r="H11">
        <f>F11*_xlfn.XLOOKUP(B11,AM:AM,AO:AO)</f>
        <v>37010.785999999993</v>
      </c>
      <c r="I11">
        <f t="shared" si="2"/>
        <v>0</v>
      </c>
      <c r="J11">
        <f>I11*_xlfn.XLOOKUP(B11,AM:AM,AO:AO)</f>
        <v>0</v>
      </c>
      <c r="K11" s="7">
        <f t="shared" si="3"/>
        <v>45644</v>
      </c>
      <c r="L11" s="7">
        <f t="shared" si="4"/>
        <v>45614</v>
      </c>
      <c r="M11">
        <f t="shared" si="5"/>
        <v>11</v>
      </c>
      <c r="N11">
        <f t="shared" si="6"/>
        <v>2024</v>
      </c>
      <c r="Q11" s="22">
        <v>17</v>
      </c>
      <c r="R11" s="22">
        <v>1590</v>
      </c>
      <c r="S11" s="22" t="str">
        <f t="shared" si="7"/>
        <v>EUR</v>
      </c>
      <c r="T11" s="22">
        <f>R11*_xlfn.XLOOKUP(S11,AM:AM,AO:AO)</f>
        <v>1844.3999999999999</v>
      </c>
      <c r="U11" s="28">
        <v>400</v>
      </c>
      <c r="W11" s="9">
        <v>12</v>
      </c>
      <c r="X11" s="9" t="s">
        <v>27</v>
      </c>
      <c r="Z11" s="30">
        <v>565</v>
      </c>
      <c r="AA11" s="30">
        <v>1896.82</v>
      </c>
      <c r="AB11" s="30" t="s">
        <v>28</v>
      </c>
      <c r="AC11" s="30">
        <f t="shared" si="8"/>
        <v>106.22192</v>
      </c>
      <c r="AD11" s="30" t="s">
        <v>53</v>
      </c>
      <c r="AF11">
        <v>11</v>
      </c>
      <c r="AG11" t="s">
        <v>29</v>
      </c>
      <c r="AH11">
        <v>1652.27</v>
      </c>
      <c r="AI11" s="7">
        <v>45655</v>
      </c>
    </row>
    <row r="12" spans="1:41">
      <c r="A12">
        <v>13</v>
      </c>
      <c r="B12" t="str">
        <f t="shared" si="0"/>
        <v>USD</v>
      </c>
      <c r="C12">
        <f t="shared" si="1"/>
        <v>6490.08</v>
      </c>
      <c r="D12">
        <f>C12*_xlfn.XLOOKUP(B12,AM:AM,AN:AN)</f>
        <v>5581.4687999999996</v>
      </c>
      <c r="E12">
        <f>C12*_xlfn.XLOOKUP(B12,AM:AM,AO:AO)</f>
        <v>6490.08</v>
      </c>
      <c r="F12">
        <v>6490.08</v>
      </c>
      <c r="G12">
        <f>F12*_xlfn.XLOOKUP(B12,AM:AM,AN:AN)</f>
        <v>5581.4687999999996</v>
      </c>
      <c r="H12">
        <f>F12*_xlfn.XLOOKUP(B12,AM:AM,AO:AO)</f>
        <v>6490.08</v>
      </c>
      <c r="I12">
        <f t="shared" si="2"/>
        <v>0</v>
      </c>
      <c r="J12">
        <f>I12*_xlfn.XLOOKUP(B12,AM:AM,AO:AO)</f>
        <v>0</v>
      </c>
      <c r="K12" s="7">
        <f t="shared" si="3"/>
        <v>45618</v>
      </c>
      <c r="L12" s="7">
        <f t="shared" si="4"/>
        <v>45588</v>
      </c>
      <c r="M12">
        <f t="shared" si="5"/>
        <v>10</v>
      </c>
      <c r="N12">
        <f t="shared" si="6"/>
        <v>2024</v>
      </c>
      <c r="Q12" s="22">
        <v>19</v>
      </c>
      <c r="R12" s="22">
        <v>1560</v>
      </c>
      <c r="S12" s="22" t="str">
        <f t="shared" si="7"/>
        <v>USD</v>
      </c>
      <c r="T12" s="22">
        <f>R12*_xlfn.XLOOKUP(S12,AM:AM,AO:AO)</f>
        <v>1560</v>
      </c>
      <c r="U12" s="28">
        <v>400</v>
      </c>
      <c r="W12" s="9">
        <v>12</v>
      </c>
      <c r="X12" s="9" t="s">
        <v>27</v>
      </c>
      <c r="Z12" s="30">
        <v>574</v>
      </c>
      <c r="AA12" s="30">
        <v>3854.09</v>
      </c>
      <c r="AB12" s="30" t="s">
        <v>28</v>
      </c>
      <c r="AC12" s="30">
        <f t="shared" si="8"/>
        <v>215.82904000000002</v>
      </c>
      <c r="AD12" s="30" t="s">
        <v>53</v>
      </c>
      <c r="AF12">
        <v>12</v>
      </c>
      <c r="AG12" t="s">
        <v>27</v>
      </c>
      <c r="AH12">
        <v>31905.85</v>
      </c>
      <c r="AI12" s="7">
        <v>45644</v>
      </c>
    </row>
    <row r="13" spans="1:41">
      <c r="A13">
        <v>14</v>
      </c>
      <c r="B13" t="str">
        <f t="shared" si="0"/>
        <v>USD</v>
      </c>
      <c r="C13">
        <f t="shared" si="1"/>
        <v>53274.47</v>
      </c>
      <c r="D13">
        <f>C13*_xlfn.XLOOKUP(B13,AM:AM,AN:AN)</f>
        <v>45816.044200000004</v>
      </c>
      <c r="E13">
        <f>C13*_xlfn.XLOOKUP(B13,AM:AM,AO:AO)</f>
        <v>53274.47</v>
      </c>
      <c r="F13">
        <v>53274.47</v>
      </c>
      <c r="G13">
        <f>F13*_xlfn.XLOOKUP(B13,AM:AM,AN:AN)</f>
        <v>45816.044200000004</v>
      </c>
      <c r="H13">
        <f>F13*_xlfn.XLOOKUP(B13,AM:AM,AO:AO)</f>
        <v>53274.47</v>
      </c>
      <c r="I13">
        <f t="shared" si="2"/>
        <v>0</v>
      </c>
      <c r="J13">
        <f>I13*_xlfn.XLOOKUP(B13,AM:AM,AO:AO)</f>
        <v>0</v>
      </c>
      <c r="K13" s="7">
        <f t="shared" si="3"/>
        <v>45964</v>
      </c>
      <c r="L13" s="7">
        <f t="shared" si="4"/>
        <v>45934</v>
      </c>
      <c r="M13">
        <f t="shared" si="5"/>
        <v>10</v>
      </c>
      <c r="N13">
        <f t="shared" si="6"/>
        <v>2025</v>
      </c>
      <c r="Q13" s="22">
        <v>20</v>
      </c>
      <c r="R13" s="22">
        <v>803</v>
      </c>
      <c r="S13" s="22" t="str">
        <f t="shared" si="7"/>
        <v>USD</v>
      </c>
      <c r="T13" s="22">
        <f>R13*_xlfn.XLOOKUP(S13,AM:AM,AO:AO)</f>
        <v>803</v>
      </c>
      <c r="U13" s="28">
        <v>400</v>
      </c>
      <c r="W13" s="9">
        <v>12</v>
      </c>
      <c r="X13" s="9" t="s">
        <v>27</v>
      </c>
      <c r="Z13" s="30">
        <v>35</v>
      </c>
      <c r="AA13" s="30">
        <v>4940.66</v>
      </c>
      <c r="AB13" s="30" t="s">
        <v>28</v>
      </c>
      <c r="AC13" s="30">
        <f t="shared" si="8"/>
        <v>276.67696000000001</v>
      </c>
      <c r="AD13" s="30" t="s">
        <v>53</v>
      </c>
      <c r="AF13">
        <v>13</v>
      </c>
      <c r="AG13" t="s">
        <v>29</v>
      </c>
      <c r="AH13">
        <v>6490.08</v>
      </c>
      <c r="AI13" s="7">
        <v>45618</v>
      </c>
    </row>
    <row r="14" spans="1:41">
      <c r="A14">
        <v>15</v>
      </c>
      <c r="B14" t="str">
        <f t="shared" si="0"/>
        <v>USD</v>
      </c>
      <c r="C14">
        <f t="shared" si="1"/>
        <v>0</v>
      </c>
      <c r="D14">
        <f>C14*_xlfn.XLOOKUP(B14,AM:AM,AN:AN)</f>
        <v>0</v>
      </c>
      <c r="E14">
        <f>C14*_xlfn.XLOOKUP(B14,AM:AM,AO:AO)</f>
        <v>0</v>
      </c>
      <c r="F14">
        <v>2327</v>
      </c>
      <c r="G14">
        <f>F14*_xlfn.XLOOKUP(B14,AM:AM,AN:AN)</f>
        <v>2001.22</v>
      </c>
      <c r="H14">
        <f>F14*_xlfn.XLOOKUP(B14,AM:AM,AO:AO)</f>
        <v>2327</v>
      </c>
      <c r="I14">
        <f t="shared" si="2"/>
        <v>0</v>
      </c>
      <c r="J14">
        <f>I14*_xlfn.XLOOKUP(B14,AM:AM,AO:AO)</f>
        <v>0</v>
      </c>
      <c r="K14" s="7">
        <f t="shared" si="3"/>
        <v>45589</v>
      </c>
      <c r="L14" s="7">
        <f t="shared" si="4"/>
        <v>45559</v>
      </c>
      <c r="M14">
        <f t="shared" si="5"/>
        <v>9</v>
      </c>
      <c r="N14">
        <f t="shared" si="6"/>
        <v>2024</v>
      </c>
      <c r="Q14" s="22">
        <v>22</v>
      </c>
      <c r="R14" s="22">
        <v>15077.2</v>
      </c>
      <c r="S14" s="22" t="str">
        <f t="shared" si="7"/>
        <v>EUR</v>
      </c>
      <c r="T14" s="22">
        <f>R14*_xlfn.XLOOKUP(S14,AM:AM,AO:AO)</f>
        <v>17489.552</v>
      </c>
      <c r="U14" s="28">
        <v>400</v>
      </c>
      <c r="W14" s="9">
        <v>12</v>
      </c>
      <c r="X14" s="9" t="s">
        <v>27</v>
      </c>
      <c r="Z14" s="30">
        <v>53</v>
      </c>
      <c r="AA14" s="30">
        <v>727.63</v>
      </c>
      <c r="AB14" s="30" t="s">
        <v>28</v>
      </c>
      <c r="AC14" s="30">
        <f t="shared" si="8"/>
        <v>40.747280000000003</v>
      </c>
      <c r="AD14" s="30" t="s">
        <v>53</v>
      </c>
      <c r="AF14">
        <v>14</v>
      </c>
      <c r="AG14" t="s">
        <v>29</v>
      </c>
      <c r="AH14">
        <v>53274.47</v>
      </c>
      <c r="AI14" s="7">
        <v>45964</v>
      </c>
    </row>
    <row r="15" spans="1:41">
      <c r="A15">
        <v>16</v>
      </c>
      <c r="B15" t="str">
        <f t="shared" si="0"/>
        <v>USD</v>
      </c>
      <c r="C15">
        <f t="shared" si="1"/>
        <v>2650.17</v>
      </c>
      <c r="D15">
        <f>C15*_xlfn.XLOOKUP(B15,AM:AM,AN:AN)</f>
        <v>2279.1462000000001</v>
      </c>
      <c r="E15">
        <f>C15*_xlfn.XLOOKUP(B15,AM:AM,AO:AO)</f>
        <v>2650.17</v>
      </c>
      <c r="F15">
        <v>6385.17</v>
      </c>
      <c r="G15">
        <f>F15*_xlfn.XLOOKUP(B15,AM:AM,AN:AN)</f>
        <v>5491.2461999999996</v>
      </c>
      <c r="H15">
        <f>F15*_xlfn.XLOOKUP(B15,AM:AM,AO:AO)</f>
        <v>6385.17</v>
      </c>
      <c r="I15">
        <f t="shared" si="2"/>
        <v>0</v>
      </c>
      <c r="J15">
        <f>I15*_xlfn.XLOOKUP(B15,AM:AM,AO:AO)</f>
        <v>0</v>
      </c>
      <c r="K15" s="7">
        <f t="shared" si="3"/>
        <v>45622</v>
      </c>
      <c r="L15" s="7">
        <f t="shared" si="4"/>
        <v>45592</v>
      </c>
      <c r="M15">
        <f t="shared" si="5"/>
        <v>10</v>
      </c>
      <c r="N15">
        <f t="shared" si="6"/>
        <v>2024</v>
      </c>
      <c r="Q15" s="22">
        <v>24</v>
      </c>
      <c r="R15" s="22">
        <v>618.86</v>
      </c>
      <c r="S15" s="22" t="str">
        <f t="shared" si="7"/>
        <v>USD</v>
      </c>
      <c r="T15" s="22">
        <f>R15*_xlfn.XLOOKUP(S15,AM:AM,AO:AO)</f>
        <v>618.86</v>
      </c>
      <c r="U15" s="28">
        <v>400</v>
      </c>
      <c r="W15" s="9">
        <v>12</v>
      </c>
      <c r="X15" s="9" t="s">
        <v>27</v>
      </c>
      <c r="Z15" s="30">
        <v>55</v>
      </c>
      <c r="AA15" s="30">
        <v>5670.15</v>
      </c>
      <c r="AB15" s="30" t="s">
        <v>28</v>
      </c>
      <c r="AC15" s="30">
        <f t="shared" si="8"/>
        <v>317.52839999999998</v>
      </c>
      <c r="AD15" s="30" t="s">
        <v>53</v>
      </c>
      <c r="AF15">
        <v>15</v>
      </c>
      <c r="AG15" t="s">
        <v>29</v>
      </c>
      <c r="AH15">
        <v>2327</v>
      </c>
      <c r="AI15" s="7">
        <v>45589</v>
      </c>
    </row>
    <row r="16" spans="1:41">
      <c r="A16">
        <v>17</v>
      </c>
      <c r="B16" t="str">
        <f t="shared" si="0"/>
        <v>EUR</v>
      </c>
      <c r="C16">
        <f t="shared" si="1"/>
        <v>0</v>
      </c>
      <c r="D16">
        <f>C16*_xlfn.XLOOKUP(B16,AM:AM,AN:AN)</f>
        <v>0</v>
      </c>
      <c r="E16">
        <f>C16*_xlfn.XLOOKUP(B16,AM:AM,AO:AO)</f>
        <v>0</v>
      </c>
      <c r="F16">
        <v>1590</v>
      </c>
      <c r="G16">
        <f>F16*_xlfn.XLOOKUP(B16,AM:AM,AN:AN)</f>
        <v>1590</v>
      </c>
      <c r="H16">
        <f>F16*_xlfn.XLOOKUP(B16,AM:AM,AO:AO)</f>
        <v>1844.3999999999999</v>
      </c>
      <c r="I16">
        <f t="shared" si="2"/>
        <v>0</v>
      </c>
      <c r="J16">
        <f>I16*_xlfn.XLOOKUP(B16,AM:AM,AO:AO)</f>
        <v>0</v>
      </c>
      <c r="K16" s="7">
        <f t="shared" si="3"/>
        <v>45589</v>
      </c>
      <c r="L16" s="7">
        <f t="shared" si="4"/>
        <v>45559</v>
      </c>
      <c r="M16">
        <f t="shared" si="5"/>
        <v>9</v>
      </c>
      <c r="N16">
        <f t="shared" si="6"/>
        <v>2024</v>
      </c>
      <c r="Q16" s="22">
        <v>26</v>
      </c>
      <c r="R16" s="22">
        <v>6384.58</v>
      </c>
      <c r="S16" s="22" t="str">
        <f t="shared" si="7"/>
        <v>USD</v>
      </c>
      <c r="T16" s="22">
        <f>R16*_xlfn.XLOOKUP(S16,AM:AM,AO:AO)</f>
        <v>6384.58</v>
      </c>
      <c r="U16" s="28">
        <v>400</v>
      </c>
      <c r="W16" s="9">
        <v>15</v>
      </c>
      <c r="X16" s="9" t="s">
        <v>29</v>
      </c>
      <c r="Z16" s="30">
        <v>56</v>
      </c>
      <c r="AA16" s="30">
        <v>29171.1</v>
      </c>
      <c r="AB16" s="30" t="s">
        <v>28</v>
      </c>
      <c r="AC16" s="30">
        <f t="shared" si="8"/>
        <v>1633.5816</v>
      </c>
      <c r="AD16" s="30" t="s">
        <v>53</v>
      </c>
      <c r="AF16">
        <v>16</v>
      </c>
      <c r="AG16" t="s">
        <v>29</v>
      </c>
      <c r="AH16">
        <v>6385.17</v>
      </c>
      <c r="AI16" s="7">
        <v>45622</v>
      </c>
    </row>
    <row r="17" spans="1:35">
      <c r="A17">
        <v>18</v>
      </c>
      <c r="B17" t="str">
        <f t="shared" si="0"/>
        <v>USD</v>
      </c>
      <c r="C17">
        <f t="shared" si="1"/>
        <v>14493.36</v>
      </c>
      <c r="D17">
        <f>C17*_xlfn.XLOOKUP(B17,AM:AM,AN:AN)</f>
        <v>12464.2896</v>
      </c>
      <c r="E17">
        <f>C17*_xlfn.XLOOKUP(B17,AM:AM,AO:AO)</f>
        <v>14493.36</v>
      </c>
      <c r="F17">
        <v>14493.36</v>
      </c>
      <c r="G17">
        <f>F17*_xlfn.XLOOKUP(B17,AM:AM,AN:AN)</f>
        <v>12464.2896</v>
      </c>
      <c r="H17">
        <f>F17*_xlfn.XLOOKUP(B17,AM:AM,AO:AO)</f>
        <v>14493.36</v>
      </c>
      <c r="I17">
        <f t="shared" si="2"/>
        <v>0</v>
      </c>
      <c r="J17">
        <f>I17*_xlfn.XLOOKUP(B17,AM:AM,AO:AO)</f>
        <v>0</v>
      </c>
      <c r="K17" s="7">
        <f t="shared" si="3"/>
        <v>45591</v>
      </c>
      <c r="L17" s="7">
        <f t="shared" si="4"/>
        <v>45561</v>
      </c>
      <c r="M17">
        <f t="shared" si="5"/>
        <v>9</v>
      </c>
      <c r="N17">
        <f t="shared" si="6"/>
        <v>2024</v>
      </c>
      <c r="Q17" s="22">
        <v>28</v>
      </c>
      <c r="R17" s="22">
        <v>4124.09</v>
      </c>
      <c r="S17" s="22" t="str">
        <f t="shared" si="7"/>
        <v>USD</v>
      </c>
      <c r="T17" s="22">
        <f>R17*_xlfn.XLOOKUP(S17,AM:AM,AO:AO)</f>
        <v>4124.09</v>
      </c>
      <c r="U17" s="28">
        <v>400</v>
      </c>
      <c r="W17" s="9">
        <v>16</v>
      </c>
      <c r="X17" s="9" t="s">
        <v>29</v>
      </c>
      <c r="Z17" s="30">
        <v>174</v>
      </c>
      <c r="AA17" s="30">
        <v>540.57000000000005</v>
      </c>
      <c r="AB17" s="30" t="s">
        <v>28</v>
      </c>
      <c r="AC17" s="30">
        <f t="shared" si="8"/>
        <v>30.271920000000005</v>
      </c>
      <c r="AD17" s="30" t="s">
        <v>53</v>
      </c>
      <c r="AF17">
        <v>17</v>
      </c>
      <c r="AG17" t="s">
        <v>27</v>
      </c>
      <c r="AH17">
        <v>1590</v>
      </c>
      <c r="AI17" s="7">
        <v>45589</v>
      </c>
    </row>
    <row r="18" spans="1:35">
      <c r="A18">
        <v>19</v>
      </c>
      <c r="B18" t="str">
        <f t="shared" si="0"/>
        <v>USD</v>
      </c>
      <c r="C18">
        <f t="shared" si="1"/>
        <v>0</v>
      </c>
      <c r="D18">
        <f>C18*_xlfn.XLOOKUP(B18,AM:AM,AN:AN)</f>
        <v>0</v>
      </c>
      <c r="E18">
        <f>C18*_xlfn.XLOOKUP(B18,AM:AM,AO:AO)</f>
        <v>0</v>
      </c>
      <c r="F18">
        <v>1560</v>
      </c>
      <c r="G18">
        <f>F18*_xlfn.XLOOKUP(B18,AM:AM,AN:AN)</f>
        <v>1341.6</v>
      </c>
      <c r="H18">
        <f>F18*_xlfn.XLOOKUP(B18,AM:AM,AO:AO)</f>
        <v>1560</v>
      </c>
      <c r="I18">
        <f t="shared" si="2"/>
        <v>0</v>
      </c>
      <c r="J18">
        <f>I18*_xlfn.XLOOKUP(B18,AM:AM,AO:AO)</f>
        <v>0</v>
      </c>
      <c r="K18" s="7">
        <f t="shared" si="3"/>
        <v>45598</v>
      </c>
      <c r="L18" s="7">
        <f t="shared" si="4"/>
        <v>45568</v>
      </c>
      <c r="M18">
        <f t="shared" si="5"/>
        <v>10</v>
      </c>
      <c r="N18">
        <f t="shared" si="6"/>
        <v>2024</v>
      </c>
      <c r="Q18" s="22">
        <v>29</v>
      </c>
      <c r="R18" s="22">
        <v>4785.04</v>
      </c>
      <c r="S18" s="22" t="str">
        <f t="shared" si="7"/>
        <v>USD</v>
      </c>
      <c r="T18" s="22">
        <f t="shared" ref="T18:T81" si="9">R18*_xlfn.XLOOKUP(S18,AM:AM,AO:AO)</f>
        <v>4785.04</v>
      </c>
      <c r="U18" s="28">
        <v>400</v>
      </c>
      <c r="W18" s="9">
        <v>17</v>
      </c>
      <c r="X18" s="9" t="s">
        <v>27</v>
      </c>
      <c r="Z18" s="30">
        <v>641</v>
      </c>
      <c r="AA18" s="30">
        <v>9909.0400000000009</v>
      </c>
      <c r="AB18" s="30" t="s">
        <v>28</v>
      </c>
      <c r="AC18" s="30">
        <f t="shared" si="8"/>
        <v>554.90624000000003</v>
      </c>
      <c r="AD18" s="30" t="s">
        <v>53</v>
      </c>
      <c r="AF18">
        <v>18</v>
      </c>
      <c r="AG18" t="s">
        <v>29</v>
      </c>
      <c r="AH18">
        <v>14493.36</v>
      </c>
      <c r="AI18" s="7">
        <v>45591</v>
      </c>
    </row>
    <row r="19" spans="1:35">
      <c r="A19">
        <v>20</v>
      </c>
      <c r="B19" t="str">
        <f t="shared" si="0"/>
        <v>USD</v>
      </c>
      <c r="C19">
        <f t="shared" si="1"/>
        <v>0</v>
      </c>
      <c r="D19">
        <f>C19*_xlfn.XLOOKUP(B19,AM:AM,AN:AN)</f>
        <v>0</v>
      </c>
      <c r="E19">
        <f>C19*_xlfn.XLOOKUP(B19,AM:AM,AO:AO)</f>
        <v>0</v>
      </c>
      <c r="F19">
        <v>803</v>
      </c>
      <c r="G19">
        <f>F19*_xlfn.XLOOKUP(B19,AM:AM,AN:AN)</f>
        <v>690.58</v>
      </c>
      <c r="H19">
        <f>F19*_xlfn.XLOOKUP(B19,AM:AM,AO:AO)</f>
        <v>803</v>
      </c>
      <c r="I19">
        <f t="shared" si="2"/>
        <v>0</v>
      </c>
      <c r="J19">
        <f>I19*_xlfn.XLOOKUP(B19,AM:AM,AO:AO)</f>
        <v>0</v>
      </c>
      <c r="K19" s="7">
        <f t="shared" si="3"/>
        <v>45597</v>
      </c>
      <c r="L19" s="7">
        <f t="shared" si="4"/>
        <v>45567</v>
      </c>
      <c r="M19">
        <f t="shared" si="5"/>
        <v>10</v>
      </c>
      <c r="N19">
        <f t="shared" si="6"/>
        <v>2024</v>
      </c>
      <c r="Q19" s="22">
        <v>30</v>
      </c>
      <c r="R19" s="22">
        <v>8563.26</v>
      </c>
      <c r="S19" s="22" t="str">
        <f t="shared" si="7"/>
        <v>EUR</v>
      </c>
      <c r="T19" s="22">
        <f t="shared" si="9"/>
        <v>9933.3815999999988</v>
      </c>
      <c r="U19" s="28">
        <v>400</v>
      </c>
      <c r="W19" s="9">
        <v>19</v>
      </c>
      <c r="X19" s="9" t="s">
        <v>29</v>
      </c>
      <c r="Z19" s="30">
        <v>628</v>
      </c>
      <c r="AA19" s="30">
        <v>1887.4</v>
      </c>
      <c r="AB19" s="30" t="s">
        <v>28</v>
      </c>
      <c r="AC19" s="30">
        <f t="shared" si="8"/>
        <v>105.6944</v>
      </c>
      <c r="AD19" s="30" t="s">
        <v>53</v>
      </c>
      <c r="AF19">
        <v>19</v>
      </c>
      <c r="AG19" t="s">
        <v>29</v>
      </c>
      <c r="AH19">
        <v>1560</v>
      </c>
      <c r="AI19" s="7">
        <v>45598</v>
      </c>
    </row>
    <row r="20" spans="1:35">
      <c r="A20">
        <v>21</v>
      </c>
      <c r="B20" t="str">
        <f t="shared" si="0"/>
        <v>USD</v>
      </c>
      <c r="C20">
        <f t="shared" si="1"/>
        <v>9852.2199999999993</v>
      </c>
      <c r="D20">
        <f>C20*_xlfn.XLOOKUP(B20,AM:AM,AN:AN)</f>
        <v>8472.9092000000001</v>
      </c>
      <c r="E20">
        <f>C20*_xlfn.XLOOKUP(B20,AM:AM,AO:AO)</f>
        <v>9852.2199999999993</v>
      </c>
      <c r="F20">
        <v>9852.2199999999993</v>
      </c>
      <c r="G20">
        <f>F20*_xlfn.XLOOKUP(B20,AM:AM,AN:AN)</f>
        <v>8472.9092000000001</v>
      </c>
      <c r="H20">
        <f>F20*_xlfn.XLOOKUP(B20,AM:AM,AO:AO)</f>
        <v>9852.2199999999993</v>
      </c>
      <c r="I20">
        <f t="shared" si="2"/>
        <v>0</v>
      </c>
      <c r="J20">
        <f>I20*_xlfn.XLOOKUP(B20,AM:AM,AO:AO)</f>
        <v>0</v>
      </c>
      <c r="K20" s="7">
        <f t="shared" si="3"/>
        <v>45596</v>
      </c>
      <c r="L20" s="7">
        <f t="shared" si="4"/>
        <v>45566</v>
      </c>
      <c r="M20">
        <f t="shared" si="5"/>
        <v>10</v>
      </c>
      <c r="N20">
        <f t="shared" si="6"/>
        <v>2024</v>
      </c>
      <c r="Q20" s="22">
        <v>33</v>
      </c>
      <c r="R20" s="22">
        <v>1501.68</v>
      </c>
      <c r="S20" s="22" t="str">
        <f t="shared" si="7"/>
        <v>USD</v>
      </c>
      <c r="T20" s="22">
        <f t="shared" si="9"/>
        <v>1501.68</v>
      </c>
      <c r="U20" s="28">
        <v>400</v>
      </c>
      <c r="W20" s="9">
        <v>20</v>
      </c>
      <c r="X20" s="9" t="s">
        <v>29</v>
      </c>
      <c r="Z20" s="30">
        <v>628</v>
      </c>
      <c r="AA20" s="30">
        <v>1622.69</v>
      </c>
      <c r="AB20" s="30" t="s">
        <v>28</v>
      </c>
      <c r="AC20" s="30">
        <f t="shared" si="8"/>
        <v>90.870640000000009</v>
      </c>
      <c r="AD20" s="30" t="s">
        <v>53</v>
      </c>
      <c r="AF20">
        <v>20</v>
      </c>
      <c r="AG20" t="s">
        <v>29</v>
      </c>
      <c r="AH20">
        <v>803</v>
      </c>
      <c r="AI20" s="7">
        <v>45597</v>
      </c>
    </row>
    <row r="21" spans="1:35">
      <c r="A21">
        <v>22</v>
      </c>
      <c r="B21" t="str">
        <f t="shared" si="0"/>
        <v>EUR</v>
      </c>
      <c r="C21">
        <f t="shared" si="1"/>
        <v>0</v>
      </c>
      <c r="D21">
        <f>C21*_xlfn.XLOOKUP(B21,AM:AM,AN:AN)</f>
        <v>0</v>
      </c>
      <c r="E21">
        <f>C21*_xlfn.XLOOKUP(B21,AM:AM,AO:AO)</f>
        <v>0</v>
      </c>
      <c r="F21">
        <v>15077.2</v>
      </c>
      <c r="G21">
        <f>F21*_xlfn.XLOOKUP(B21,AM:AM,AN:AN)</f>
        <v>15077.2</v>
      </c>
      <c r="H21">
        <f>F21*_xlfn.XLOOKUP(B21,AM:AM,AO:AO)</f>
        <v>17489.552</v>
      </c>
      <c r="I21">
        <f t="shared" si="2"/>
        <v>0</v>
      </c>
      <c r="J21">
        <f>I21*_xlfn.XLOOKUP(B21,AM:AM,AO:AO)</f>
        <v>0</v>
      </c>
      <c r="K21" s="7">
        <f t="shared" si="3"/>
        <v>45475</v>
      </c>
      <c r="L21" s="7">
        <f t="shared" si="4"/>
        <v>45445</v>
      </c>
      <c r="M21">
        <f t="shared" si="5"/>
        <v>6</v>
      </c>
      <c r="N21">
        <f t="shared" si="6"/>
        <v>2024</v>
      </c>
      <c r="Q21" s="22">
        <v>36</v>
      </c>
      <c r="R21" s="22">
        <v>3516.4</v>
      </c>
      <c r="S21" s="22" t="str">
        <f t="shared" si="7"/>
        <v>USD</v>
      </c>
      <c r="T21" s="22">
        <f t="shared" si="9"/>
        <v>3516.4</v>
      </c>
      <c r="U21" s="28">
        <v>400</v>
      </c>
      <c r="W21" s="9">
        <v>22</v>
      </c>
      <c r="X21" s="9" t="s">
        <v>27</v>
      </c>
      <c r="Z21" s="30">
        <v>628</v>
      </c>
      <c r="AA21" s="30">
        <v>33200</v>
      </c>
      <c r="AB21" s="30" t="s">
        <v>28</v>
      </c>
      <c r="AC21" s="30">
        <f t="shared" si="8"/>
        <v>1859.2</v>
      </c>
      <c r="AD21" s="30" t="s">
        <v>53</v>
      </c>
      <c r="AF21">
        <v>21</v>
      </c>
      <c r="AG21" t="s">
        <v>29</v>
      </c>
      <c r="AH21">
        <v>9852.2199999999993</v>
      </c>
      <c r="AI21" s="7">
        <v>45596</v>
      </c>
    </row>
    <row r="22" spans="1:35">
      <c r="A22">
        <v>23</v>
      </c>
      <c r="B22" t="str">
        <f t="shared" si="0"/>
        <v>EUR</v>
      </c>
      <c r="C22">
        <f t="shared" si="1"/>
        <v>6357.14</v>
      </c>
      <c r="D22">
        <f>C22*_xlfn.XLOOKUP(B22,AM:AM,AN:AN)</f>
        <v>6357.14</v>
      </c>
      <c r="E22">
        <f>C22*_xlfn.XLOOKUP(B22,AM:AM,AO:AO)</f>
        <v>7374.2824000000001</v>
      </c>
      <c r="F22">
        <v>6357.14</v>
      </c>
      <c r="G22">
        <f>F22*_xlfn.XLOOKUP(B22,AM:AM,AN:AN)</f>
        <v>6357.14</v>
      </c>
      <c r="H22">
        <f>F22*_xlfn.XLOOKUP(B22,AM:AM,AO:AO)</f>
        <v>7374.2824000000001</v>
      </c>
      <c r="I22">
        <f t="shared" si="2"/>
        <v>0</v>
      </c>
      <c r="J22">
        <f>I22*_xlfn.XLOOKUP(B22,AM:AM,AO:AO)</f>
        <v>0</v>
      </c>
      <c r="K22" s="7">
        <f t="shared" si="3"/>
        <v>45652</v>
      </c>
      <c r="L22" s="7">
        <f t="shared" si="4"/>
        <v>45622</v>
      </c>
      <c r="M22">
        <f t="shared" si="5"/>
        <v>11</v>
      </c>
      <c r="N22">
        <f t="shared" si="6"/>
        <v>2024</v>
      </c>
      <c r="Q22" s="22">
        <v>38</v>
      </c>
      <c r="R22" s="22">
        <v>60452.52</v>
      </c>
      <c r="S22" s="22" t="str">
        <f t="shared" si="7"/>
        <v>MXN</v>
      </c>
      <c r="T22" s="22">
        <f t="shared" si="9"/>
        <v>3385.34112</v>
      </c>
      <c r="U22" s="28">
        <v>400</v>
      </c>
      <c r="W22" s="9">
        <v>24</v>
      </c>
      <c r="X22" s="9" t="s">
        <v>29</v>
      </c>
      <c r="Z22" s="30">
        <v>45</v>
      </c>
      <c r="AA22" s="30">
        <v>141.13999999999999</v>
      </c>
      <c r="AB22" s="30" t="s">
        <v>28</v>
      </c>
      <c r="AC22" s="30">
        <f t="shared" si="8"/>
        <v>7.9038399999999998</v>
      </c>
      <c r="AD22" s="30" t="s">
        <v>53</v>
      </c>
      <c r="AF22">
        <v>22</v>
      </c>
      <c r="AG22" t="s">
        <v>27</v>
      </c>
      <c r="AH22">
        <v>15077.2</v>
      </c>
      <c r="AI22" s="7">
        <v>45475</v>
      </c>
    </row>
    <row r="23" spans="1:35">
      <c r="A23">
        <v>24</v>
      </c>
      <c r="B23" t="str">
        <f t="shared" si="0"/>
        <v>USD</v>
      </c>
      <c r="C23">
        <f t="shared" si="1"/>
        <v>35</v>
      </c>
      <c r="D23">
        <f>C23*_xlfn.XLOOKUP(B23,AM:AM,AN:AN)</f>
        <v>30.099999999999998</v>
      </c>
      <c r="E23">
        <f>C23*_xlfn.XLOOKUP(B23,AM:AM,AO:AO)</f>
        <v>35</v>
      </c>
      <c r="F23">
        <v>653.86</v>
      </c>
      <c r="G23">
        <f>F23*_xlfn.XLOOKUP(B23,AM:AM,AN:AN)</f>
        <v>562.31960000000004</v>
      </c>
      <c r="H23">
        <f>F23*_xlfn.XLOOKUP(B23,AM:AM,AO:AO)</f>
        <v>653.86</v>
      </c>
      <c r="I23">
        <f t="shared" si="2"/>
        <v>0</v>
      </c>
      <c r="J23">
        <f>I23*_xlfn.XLOOKUP(B23,AM:AM,AO:AO)</f>
        <v>0</v>
      </c>
      <c r="K23" s="7">
        <f t="shared" si="3"/>
        <v>45630</v>
      </c>
      <c r="L23" s="7">
        <f t="shared" si="4"/>
        <v>45600</v>
      </c>
      <c r="M23">
        <f t="shared" si="5"/>
        <v>11</v>
      </c>
      <c r="N23">
        <f t="shared" si="6"/>
        <v>2024</v>
      </c>
      <c r="Q23" s="22">
        <v>39</v>
      </c>
      <c r="R23" s="22">
        <v>40255.75</v>
      </c>
      <c r="S23" s="22" t="str">
        <f t="shared" si="7"/>
        <v>MXN</v>
      </c>
      <c r="T23" s="22">
        <f t="shared" si="9"/>
        <v>2254.3220000000001</v>
      </c>
      <c r="U23" s="28">
        <v>400</v>
      </c>
      <c r="W23" s="9">
        <v>26</v>
      </c>
      <c r="X23" s="9" t="s">
        <v>29</v>
      </c>
      <c r="Z23" s="30">
        <v>628</v>
      </c>
      <c r="AA23" s="30">
        <v>105</v>
      </c>
      <c r="AB23" s="30" t="s">
        <v>28</v>
      </c>
      <c r="AC23" s="30">
        <f t="shared" si="8"/>
        <v>5.88</v>
      </c>
      <c r="AD23" s="30" t="s">
        <v>53</v>
      </c>
      <c r="AF23">
        <v>23</v>
      </c>
      <c r="AG23" t="s">
        <v>27</v>
      </c>
      <c r="AH23">
        <v>6357.14</v>
      </c>
      <c r="AI23" s="7">
        <v>45652</v>
      </c>
    </row>
    <row r="24" spans="1:35">
      <c r="A24">
        <v>25</v>
      </c>
      <c r="B24" t="str">
        <f t="shared" si="0"/>
        <v>EUR</v>
      </c>
      <c r="C24">
        <f t="shared" si="1"/>
        <v>6500</v>
      </c>
      <c r="D24">
        <f>C24*_xlfn.XLOOKUP(B24,AM:AM,AN:AN)</f>
        <v>6500</v>
      </c>
      <c r="E24">
        <f>C24*_xlfn.XLOOKUP(B24,AM:AM,AO:AO)</f>
        <v>7539.9999999999991</v>
      </c>
      <c r="F24">
        <v>6500</v>
      </c>
      <c r="G24">
        <f>F24*_xlfn.XLOOKUP(B24,AM:AM,AN:AN)</f>
        <v>6500</v>
      </c>
      <c r="H24">
        <f>F24*_xlfn.XLOOKUP(B24,AM:AM,AO:AO)</f>
        <v>7539.9999999999991</v>
      </c>
      <c r="I24">
        <f t="shared" si="2"/>
        <v>0</v>
      </c>
      <c r="J24">
        <f>I24*_xlfn.XLOOKUP(B24,AM:AM,AO:AO)</f>
        <v>0</v>
      </c>
      <c r="K24" s="7">
        <f t="shared" si="3"/>
        <v>45651</v>
      </c>
      <c r="L24" s="7">
        <f t="shared" si="4"/>
        <v>45621</v>
      </c>
      <c r="M24">
        <f t="shared" si="5"/>
        <v>11</v>
      </c>
      <c r="N24">
        <f t="shared" si="6"/>
        <v>2024</v>
      </c>
      <c r="Q24" s="22">
        <v>40</v>
      </c>
      <c r="R24" s="22">
        <v>600</v>
      </c>
      <c r="S24" s="22" t="str">
        <f t="shared" si="7"/>
        <v>EUR</v>
      </c>
      <c r="T24" s="22">
        <f t="shared" si="9"/>
        <v>696</v>
      </c>
      <c r="U24" s="28">
        <v>400</v>
      </c>
      <c r="W24" s="9">
        <v>26</v>
      </c>
      <c r="X24" s="9" t="s">
        <v>29</v>
      </c>
      <c r="Z24" s="30">
        <v>869</v>
      </c>
      <c r="AA24" s="30">
        <v>1335.81</v>
      </c>
      <c r="AB24" s="30" t="s">
        <v>28</v>
      </c>
      <c r="AC24" s="30">
        <f t="shared" si="8"/>
        <v>74.805359999999993</v>
      </c>
      <c r="AD24" s="30" t="s">
        <v>53</v>
      </c>
      <c r="AF24">
        <v>24</v>
      </c>
      <c r="AG24" t="s">
        <v>29</v>
      </c>
      <c r="AH24">
        <v>653.86</v>
      </c>
      <c r="AI24" s="7">
        <v>45630</v>
      </c>
    </row>
    <row r="25" spans="1:35">
      <c r="A25">
        <v>26</v>
      </c>
      <c r="B25" t="str">
        <f t="shared" si="0"/>
        <v>USD</v>
      </c>
      <c r="C25">
        <f t="shared" si="1"/>
        <v>3340.3899999999994</v>
      </c>
      <c r="D25">
        <f>C25*_xlfn.XLOOKUP(B25,AM:AM,AN:AN)</f>
        <v>2872.7353999999996</v>
      </c>
      <c r="E25">
        <f>C25*_xlfn.XLOOKUP(B25,AM:AM,AO:AO)</f>
        <v>3340.3899999999994</v>
      </c>
      <c r="F25">
        <v>9724.9699999999993</v>
      </c>
      <c r="G25">
        <f>F25*_xlfn.XLOOKUP(B25,AM:AM,AN:AN)</f>
        <v>8363.4741999999987</v>
      </c>
      <c r="H25">
        <f>F25*_xlfn.XLOOKUP(B25,AM:AM,AO:AO)</f>
        <v>9724.9699999999993</v>
      </c>
      <c r="I25">
        <f t="shared" si="2"/>
        <v>0</v>
      </c>
      <c r="J25">
        <f>I25*_xlfn.XLOOKUP(B25,AM:AM,AO:AO)</f>
        <v>0</v>
      </c>
      <c r="K25" s="7">
        <f t="shared" si="3"/>
        <v>45623</v>
      </c>
      <c r="L25" s="7">
        <f t="shared" si="4"/>
        <v>45593</v>
      </c>
      <c r="M25">
        <f t="shared" si="5"/>
        <v>10</v>
      </c>
      <c r="N25">
        <f t="shared" si="6"/>
        <v>2024</v>
      </c>
      <c r="Q25" s="22">
        <v>41</v>
      </c>
      <c r="R25" s="22">
        <v>2716.1</v>
      </c>
      <c r="S25" s="22" t="str">
        <f t="shared" si="7"/>
        <v>EUR</v>
      </c>
      <c r="T25" s="22">
        <f t="shared" si="9"/>
        <v>3150.6759999999995</v>
      </c>
      <c r="U25" s="28">
        <v>400</v>
      </c>
      <c r="W25" s="9">
        <v>28</v>
      </c>
      <c r="X25" s="9" t="s">
        <v>29</v>
      </c>
      <c r="Z25" s="30">
        <v>888</v>
      </c>
      <c r="AA25" s="30">
        <v>24249</v>
      </c>
      <c r="AB25" s="30" t="s">
        <v>28</v>
      </c>
      <c r="AC25" s="30">
        <f t="shared" si="8"/>
        <v>1357.944</v>
      </c>
      <c r="AD25" s="30" t="s">
        <v>53</v>
      </c>
      <c r="AF25">
        <v>25</v>
      </c>
      <c r="AG25" t="s">
        <v>27</v>
      </c>
      <c r="AH25">
        <v>6500</v>
      </c>
      <c r="AI25" s="7">
        <v>45651</v>
      </c>
    </row>
    <row r="26" spans="1:35">
      <c r="A26">
        <v>27</v>
      </c>
      <c r="B26" t="str">
        <f t="shared" si="0"/>
        <v>USD</v>
      </c>
      <c r="C26">
        <f t="shared" si="1"/>
        <v>8157.25</v>
      </c>
      <c r="D26">
        <f>C26*_xlfn.XLOOKUP(B26,AM:AM,AN:AN)</f>
        <v>7015.2349999999997</v>
      </c>
      <c r="E26">
        <f>C26*_xlfn.XLOOKUP(B26,AM:AM,AO:AO)</f>
        <v>8157.25</v>
      </c>
      <c r="F26">
        <v>8157.25</v>
      </c>
      <c r="G26">
        <f>F26*_xlfn.XLOOKUP(B26,AM:AM,AN:AN)</f>
        <v>7015.2349999999997</v>
      </c>
      <c r="H26">
        <f>F26*_xlfn.XLOOKUP(B26,AM:AM,AO:AO)</f>
        <v>8157.25</v>
      </c>
      <c r="I26">
        <f t="shared" si="2"/>
        <v>0</v>
      </c>
      <c r="J26">
        <f>I26*_xlfn.XLOOKUP(B26,AM:AM,AO:AO)</f>
        <v>0</v>
      </c>
      <c r="K26" s="7">
        <f t="shared" si="3"/>
        <v>45626</v>
      </c>
      <c r="L26" s="7">
        <f t="shared" si="4"/>
        <v>45596</v>
      </c>
      <c r="M26">
        <f t="shared" si="5"/>
        <v>10</v>
      </c>
      <c r="N26">
        <f t="shared" si="6"/>
        <v>2024</v>
      </c>
      <c r="Q26" s="22">
        <v>44</v>
      </c>
      <c r="R26" s="22">
        <v>3912.7999999999997</v>
      </c>
      <c r="S26" s="22" t="str">
        <f t="shared" si="7"/>
        <v>USD</v>
      </c>
      <c r="T26" s="22">
        <f t="shared" si="9"/>
        <v>3912.7999999999997</v>
      </c>
      <c r="U26" s="28">
        <v>400</v>
      </c>
      <c r="W26" s="9">
        <v>28</v>
      </c>
      <c r="X26" s="9" t="s">
        <v>29</v>
      </c>
      <c r="Z26" s="30">
        <v>894</v>
      </c>
      <c r="AA26" s="30">
        <v>6855.53</v>
      </c>
      <c r="AB26" s="30" t="s">
        <v>28</v>
      </c>
      <c r="AC26" s="30">
        <f t="shared" si="8"/>
        <v>383.90967999999998</v>
      </c>
      <c r="AD26" s="30" t="s">
        <v>53</v>
      </c>
      <c r="AF26">
        <v>26</v>
      </c>
      <c r="AG26" t="s">
        <v>29</v>
      </c>
      <c r="AH26">
        <v>9724.9699999999993</v>
      </c>
      <c r="AI26" s="7">
        <v>45623</v>
      </c>
    </row>
    <row r="27" spans="1:35">
      <c r="A27">
        <v>28</v>
      </c>
      <c r="B27" t="str">
        <f t="shared" si="0"/>
        <v>USD</v>
      </c>
      <c r="C27">
        <f t="shared" si="1"/>
        <v>14840.23</v>
      </c>
      <c r="D27">
        <f>C27*_xlfn.XLOOKUP(B27,AM:AM,AN:AN)</f>
        <v>12762.5978</v>
      </c>
      <c r="E27">
        <f>C27*_xlfn.XLOOKUP(B27,AM:AM,AO:AO)</f>
        <v>14840.23</v>
      </c>
      <c r="F27">
        <v>18964.32</v>
      </c>
      <c r="G27">
        <f>F27*_xlfn.XLOOKUP(B27,AM:AM,AN:AN)</f>
        <v>16309.315199999999</v>
      </c>
      <c r="H27">
        <f>F27*_xlfn.XLOOKUP(B27,AM:AM,AO:AO)</f>
        <v>18964.32</v>
      </c>
      <c r="I27">
        <f t="shared" si="2"/>
        <v>0</v>
      </c>
      <c r="J27">
        <f>I27*_xlfn.XLOOKUP(B27,AM:AM,AO:AO)</f>
        <v>0</v>
      </c>
      <c r="K27" s="7">
        <f t="shared" si="3"/>
        <v>45792</v>
      </c>
      <c r="L27" s="7">
        <f t="shared" si="4"/>
        <v>45762</v>
      </c>
      <c r="M27">
        <f t="shared" si="5"/>
        <v>4</v>
      </c>
      <c r="N27">
        <f t="shared" si="6"/>
        <v>2025</v>
      </c>
      <c r="Q27" s="22">
        <v>45</v>
      </c>
      <c r="R27" s="22">
        <v>40</v>
      </c>
      <c r="S27" s="22" t="str">
        <f t="shared" si="7"/>
        <v>USD</v>
      </c>
      <c r="T27" s="22">
        <f t="shared" si="9"/>
        <v>40</v>
      </c>
      <c r="U27" s="28">
        <v>400</v>
      </c>
      <c r="W27" s="9">
        <v>28</v>
      </c>
      <c r="X27" s="9" t="s">
        <v>29</v>
      </c>
      <c r="Z27" s="30">
        <v>893</v>
      </c>
      <c r="AA27" s="30">
        <v>1823.68</v>
      </c>
      <c r="AB27" s="30" t="s">
        <v>28</v>
      </c>
      <c r="AC27" s="30">
        <f t="shared" si="8"/>
        <v>102.12608</v>
      </c>
      <c r="AD27" s="30" t="s">
        <v>53</v>
      </c>
      <c r="AF27">
        <v>27</v>
      </c>
      <c r="AG27" t="s">
        <v>29</v>
      </c>
      <c r="AH27">
        <v>8157.25</v>
      </c>
      <c r="AI27" s="7">
        <v>45626</v>
      </c>
    </row>
    <row r="28" spans="1:35">
      <c r="A28">
        <v>29</v>
      </c>
      <c r="B28" t="str">
        <f t="shared" si="0"/>
        <v>USD</v>
      </c>
      <c r="C28">
        <f t="shared" si="1"/>
        <v>0</v>
      </c>
      <c r="D28">
        <f>C28*_xlfn.XLOOKUP(B28,AM:AM,AN:AN)</f>
        <v>0</v>
      </c>
      <c r="E28">
        <f>C28*_xlfn.XLOOKUP(B28,AM:AM,AO:AO)</f>
        <v>0</v>
      </c>
      <c r="F28">
        <v>4785.04</v>
      </c>
      <c r="G28">
        <f>F28*_xlfn.XLOOKUP(B28,AM:AM,AN:AN)</f>
        <v>4115.1343999999999</v>
      </c>
      <c r="H28">
        <f>F28*_xlfn.XLOOKUP(B28,AM:AM,AO:AO)</f>
        <v>4785.04</v>
      </c>
      <c r="I28">
        <f t="shared" si="2"/>
        <v>0</v>
      </c>
      <c r="J28">
        <f>I28*_xlfn.XLOOKUP(B28,AM:AM,AO:AO)</f>
        <v>0</v>
      </c>
      <c r="K28" s="7">
        <f t="shared" si="3"/>
        <v>45616</v>
      </c>
      <c r="L28" s="7">
        <f t="shared" si="4"/>
        <v>45586</v>
      </c>
      <c r="M28">
        <f t="shared" si="5"/>
        <v>10</v>
      </c>
      <c r="N28">
        <f t="shared" si="6"/>
        <v>2024</v>
      </c>
      <c r="Q28" s="22">
        <v>46</v>
      </c>
      <c r="R28" s="22">
        <v>3400</v>
      </c>
      <c r="S28" s="22" t="str">
        <f t="shared" si="7"/>
        <v>EUR</v>
      </c>
      <c r="T28" s="22">
        <f t="shared" si="9"/>
        <v>3943.9999999999995</v>
      </c>
      <c r="U28" s="28">
        <v>400</v>
      </c>
      <c r="W28" s="9">
        <v>28</v>
      </c>
      <c r="X28" s="9" t="s">
        <v>29</v>
      </c>
      <c r="Z28" s="30" t="s">
        <v>54</v>
      </c>
      <c r="AF28">
        <v>28</v>
      </c>
      <c r="AG28" t="s">
        <v>29</v>
      </c>
      <c r="AH28">
        <v>18964.32</v>
      </c>
      <c r="AI28" s="7">
        <v>45792</v>
      </c>
    </row>
    <row r="29" spans="1:35">
      <c r="A29">
        <v>30</v>
      </c>
      <c r="B29" t="str">
        <f t="shared" si="0"/>
        <v>EUR</v>
      </c>
      <c r="C29">
        <f t="shared" si="1"/>
        <v>0</v>
      </c>
      <c r="D29">
        <f>C29*_xlfn.XLOOKUP(B29,AM:AM,AN:AN)</f>
        <v>0</v>
      </c>
      <c r="E29">
        <f>C29*_xlfn.XLOOKUP(B29,AM:AM,AO:AO)</f>
        <v>0</v>
      </c>
      <c r="F29">
        <v>8563.26</v>
      </c>
      <c r="G29">
        <f>F29*_xlfn.XLOOKUP(B29,AM:AM,AN:AN)</f>
        <v>8563.26</v>
      </c>
      <c r="H29">
        <f>F29*_xlfn.XLOOKUP(B29,AM:AM,AO:AO)</f>
        <v>9933.3815999999988</v>
      </c>
      <c r="I29">
        <f t="shared" si="2"/>
        <v>0</v>
      </c>
      <c r="J29">
        <f>I29*_xlfn.XLOOKUP(B29,AM:AM,AO:AO)</f>
        <v>0</v>
      </c>
      <c r="K29" s="7">
        <f t="shared" si="3"/>
        <v>45577</v>
      </c>
      <c r="L29" s="7">
        <f t="shared" si="4"/>
        <v>45547</v>
      </c>
      <c r="M29">
        <f t="shared" si="5"/>
        <v>9</v>
      </c>
      <c r="N29">
        <f t="shared" si="6"/>
        <v>2024</v>
      </c>
      <c r="Q29" s="22">
        <v>48</v>
      </c>
      <c r="R29" s="22">
        <v>99000</v>
      </c>
      <c r="S29" s="22" t="str">
        <f t="shared" si="7"/>
        <v>USD</v>
      </c>
      <c r="T29" s="22">
        <f t="shared" si="9"/>
        <v>99000</v>
      </c>
      <c r="U29" s="28">
        <v>400</v>
      </c>
      <c r="W29" s="9">
        <v>28</v>
      </c>
      <c r="X29" s="9" t="s">
        <v>29</v>
      </c>
      <c r="AF29">
        <v>29</v>
      </c>
      <c r="AG29" t="s">
        <v>29</v>
      </c>
      <c r="AH29">
        <v>4785.04</v>
      </c>
      <c r="AI29" s="7">
        <v>45616</v>
      </c>
    </row>
    <row r="30" spans="1:35">
      <c r="A30">
        <v>31</v>
      </c>
      <c r="B30" t="str">
        <f t="shared" si="0"/>
        <v>EUR</v>
      </c>
      <c r="C30">
        <f t="shared" si="1"/>
        <v>21963.48</v>
      </c>
      <c r="D30">
        <f>C30*_xlfn.XLOOKUP(B30,AM:AM,AN:AN)</f>
        <v>21963.48</v>
      </c>
      <c r="E30">
        <f>C30*_xlfn.XLOOKUP(B30,AM:AM,AO:AO)</f>
        <v>25477.636799999997</v>
      </c>
      <c r="F30">
        <v>21963.48</v>
      </c>
      <c r="G30">
        <f>F30*_xlfn.XLOOKUP(B30,AM:AM,AN:AN)</f>
        <v>21963.48</v>
      </c>
      <c r="H30">
        <f>F30*_xlfn.XLOOKUP(B30,AM:AM,AO:AO)</f>
        <v>25477.636799999997</v>
      </c>
      <c r="I30">
        <f t="shared" si="2"/>
        <v>0</v>
      </c>
      <c r="J30">
        <f>I30*_xlfn.XLOOKUP(B30,AM:AM,AO:AO)</f>
        <v>0</v>
      </c>
      <c r="K30" s="7">
        <f t="shared" si="3"/>
        <v>45608</v>
      </c>
      <c r="L30" s="7">
        <f t="shared" si="4"/>
        <v>45578</v>
      </c>
      <c r="M30">
        <f t="shared" si="5"/>
        <v>10</v>
      </c>
      <c r="N30">
        <f t="shared" si="6"/>
        <v>2024</v>
      </c>
      <c r="Q30" s="22">
        <v>49</v>
      </c>
      <c r="R30" s="22">
        <v>4997.26</v>
      </c>
      <c r="S30" s="22" t="str">
        <f t="shared" si="7"/>
        <v>USD</v>
      </c>
      <c r="T30" s="22">
        <f t="shared" si="9"/>
        <v>4997.26</v>
      </c>
      <c r="U30" s="28">
        <v>400</v>
      </c>
      <c r="W30" s="9">
        <v>29</v>
      </c>
      <c r="X30" s="9" t="s">
        <v>29</v>
      </c>
      <c r="AF30">
        <v>30</v>
      </c>
      <c r="AG30" t="s">
        <v>27</v>
      </c>
      <c r="AH30">
        <v>8563.26</v>
      </c>
      <c r="AI30" s="7">
        <v>45577</v>
      </c>
    </row>
    <row r="31" spans="1:35">
      <c r="A31">
        <v>32</v>
      </c>
      <c r="B31" t="str">
        <f t="shared" si="0"/>
        <v>USD</v>
      </c>
      <c r="C31">
        <f t="shared" si="1"/>
        <v>15253.98</v>
      </c>
      <c r="D31">
        <f>C31*_xlfn.XLOOKUP(B31,AM:AM,AN:AN)</f>
        <v>13118.4228</v>
      </c>
      <c r="E31">
        <f>C31*_xlfn.XLOOKUP(B31,AM:AM,AO:AO)</f>
        <v>15253.98</v>
      </c>
      <c r="F31">
        <v>15253.98</v>
      </c>
      <c r="G31">
        <f>F31*_xlfn.XLOOKUP(B31,AM:AM,AN:AN)</f>
        <v>13118.4228</v>
      </c>
      <c r="H31">
        <f>F31*_xlfn.XLOOKUP(B31,AM:AM,AO:AO)</f>
        <v>15253.98</v>
      </c>
      <c r="I31">
        <f t="shared" si="2"/>
        <v>0</v>
      </c>
      <c r="J31">
        <f>I31*_xlfn.XLOOKUP(B31,AM:AM,AO:AO)</f>
        <v>0</v>
      </c>
      <c r="K31" s="7">
        <f t="shared" si="3"/>
        <v>45652</v>
      </c>
      <c r="L31" s="7">
        <f t="shared" si="4"/>
        <v>45622</v>
      </c>
      <c r="M31">
        <f t="shared" si="5"/>
        <v>11</v>
      </c>
      <c r="N31">
        <f t="shared" si="6"/>
        <v>2024</v>
      </c>
      <c r="Q31" s="22">
        <v>54</v>
      </c>
      <c r="R31" s="22">
        <v>3567</v>
      </c>
      <c r="S31" s="22" t="str">
        <f t="shared" si="7"/>
        <v>MXN</v>
      </c>
      <c r="T31" s="22">
        <f t="shared" si="9"/>
        <v>199.75200000000001</v>
      </c>
      <c r="U31" s="28">
        <v>400</v>
      </c>
      <c r="W31" s="9">
        <v>29</v>
      </c>
      <c r="X31" s="9" t="s">
        <v>29</v>
      </c>
      <c r="AA31">
        <f t="shared" ref="AA31" si="10">SUM(AA2:AA27)</f>
        <v>228330.00000000003</v>
      </c>
      <c r="AC31">
        <f>SUM(AC2:AC27)</f>
        <v>12786.48</v>
      </c>
      <c r="AF31">
        <v>31</v>
      </c>
      <c r="AG31" t="s">
        <v>27</v>
      </c>
      <c r="AH31">
        <v>21963.48</v>
      </c>
      <c r="AI31" s="7">
        <v>45608</v>
      </c>
    </row>
    <row r="32" spans="1:35">
      <c r="A32">
        <v>33</v>
      </c>
      <c r="B32" t="str">
        <f t="shared" si="0"/>
        <v>USD</v>
      </c>
      <c r="C32">
        <f t="shared" si="1"/>
        <v>58001.29</v>
      </c>
      <c r="D32">
        <f>C32*_xlfn.XLOOKUP(B32,AM:AM,AN:AN)</f>
        <v>49881.109400000001</v>
      </c>
      <c r="E32">
        <f>C32*_xlfn.XLOOKUP(B32,AM:AM,AO:AO)</f>
        <v>58001.29</v>
      </c>
      <c r="F32">
        <v>59502.97</v>
      </c>
      <c r="G32">
        <f>F32*_xlfn.XLOOKUP(B32,AM:AM,AN:AN)</f>
        <v>51172.554199999999</v>
      </c>
      <c r="H32">
        <f>F32*_xlfn.XLOOKUP(B32,AM:AM,AO:AO)</f>
        <v>59502.97</v>
      </c>
      <c r="I32">
        <f t="shared" si="2"/>
        <v>-2.2737367544323206E-13</v>
      </c>
      <c r="J32">
        <f>I32*_xlfn.XLOOKUP(B32,AM:AM,AO:AO)</f>
        <v>-2.2737367544323206E-13</v>
      </c>
      <c r="K32" s="7">
        <f t="shared" si="3"/>
        <v>45722</v>
      </c>
      <c r="L32" s="7">
        <f t="shared" si="4"/>
        <v>45692</v>
      </c>
      <c r="M32">
        <f t="shared" si="5"/>
        <v>2</v>
      </c>
      <c r="N32">
        <f t="shared" si="6"/>
        <v>2025</v>
      </c>
      <c r="Q32" s="22">
        <v>57</v>
      </c>
      <c r="R32" s="22">
        <v>679</v>
      </c>
      <c r="S32" s="22" t="str">
        <f t="shared" si="7"/>
        <v>USD</v>
      </c>
      <c r="T32" s="22">
        <f t="shared" si="9"/>
        <v>679</v>
      </c>
      <c r="U32" s="28">
        <v>400</v>
      </c>
      <c r="W32" s="9">
        <v>30</v>
      </c>
      <c r="X32" s="9" t="s">
        <v>27</v>
      </c>
      <c r="AF32">
        <v>32</v>
      </c>
      <c r="AG32" t="s">
        <v>29</v>
      </c>
      <c r="AH32">
        <v>15253.98</v>
      </c>
      <c r="AI32" s="7">
        <v>45652</v>
      </c>
    </row>
    <row r="33" spans="1:35">
      <c r="A33">
        <v>34</v>
      </c>
      <c r="B33" t="str">
        <f t="shared" si="0"/>
        <v>USD</v>
      </c>
      <c r="C33">
        <f t="shared" si="1"/>
        <v>12168</v>
      </c>
      <c r="D33">
        <f>C33*_xlfn.XLOOKUP(B33,AM:AM,AN:AN)</f>
        <v>10464.48</v>
      </c>
      <c r="E33">
        <f>C33*_xlfn.XLOOKUP(B33,AM:AM,AO:AO)</f>
        <v>12168</v>
      </c>
      <c r="F33">
        <v>12168</v>
      </c>
      <c r="G33">
        <f>F33*_xlfn.XLOOKUP(B33,AM:AM,AN:AN)</f>
        <v>10464.48</v>
      </c>
      <c r="H33">
        <f>F33*_xlfn.XLOOKUP(B33,AM:AM,AO:AO)</f>
        <v>12168</v>
      </c>
      <c r="I33">
        <f t="shared" si="2"/>
        <v>0</v>
      </c>
      <c r="J33">
        <f>I33*_xlfn.XLOOKUP(B33,AM:AM,AO:AO)</f>
        <v>0</v>
      </c>
      <c r="K33" s="7">
        <f t="shared" si="3"/>
        <v>45608</v>
      </c>
      <c r="L33" s="7">
        <f t="shared" si="4"/>
        <v>45578</v>
      </c>
      <c r="M33">
        <f t="shared" si="5"/>
        <v>10</v>
      </c>
      <c r="N33">
        <f t="shared" si="6"/>
        <v>2024</v>
      </c>
      <c r="Q33" s="22">
        <v>58</v>
      </c>
      <c r="R33" s="22">
        <v>8714.41</v>
      </c>
      <c r="S33" s="22" t="str">
        <f t="shared" si="7"/>
        <v>USD</v>
      </c>
      <c r="T33" s="22">
        <f t="shared" si="9"/>
        <v>8714.41</v>
      </c>
      <c r="U33" s="28">
        <v>400</v>
      </c>
      <c r="W33" s="9">
        <v>33</v>
      </c>
      <c r="X33" s="9" t="s">
        <v>29</v>
      </c>
      <c r="AF33">
        <v>33</v>
      </c>
      <c r="AG33" t="s">
        <v>29</v>
      </c>
      <c r="AH33">
        <v>59502.97</v>
      </c>
      <c r="AI33" s="7">
        <v>45722</v>
      </c>
    </row>
    <row r="34" spans="1:35">
      <c r="A34">
        <v>35</v>
      </c>
      <c r="B34" t="str">
        <f t="shared" si="0"/>
        <v>USD</v>
      </c>
      <c r="C34">
        <f>_xlfn.XLOOKUP(A34,AF:AF,AH:AH)-_xlfn.XLOOKUP(A34,Q:Q,R:R,"0")</f>
        <v>16931.07</v>
      </c>
      <c r="D34">
        <f>C34*_xlfn.XLOOKUP(B34,AM:AM,AN:AN)</f>
        <v>14560.7202</v>
      </c>
      <c r="E34">
        <f>C34*_xlfn.XLOOKUP(B34,AM:AM,AO:AO)</f>
        <v>16931.07</v>
      </c>
      <c r="F34">
        <v>11990.41</v>
      </c>
      <c r="G34">
        <f>F34*_xlfn.XLOOKUP(B34,AM:AM,AN:AN)</f>
        <v>10311.7526</v>
      </c>
      <c r="H34">
        <f>F34*_xlfn.XLOOKUP(B34,AM:AM,AO:AO)</f>
        <v>11990.41</v>
      </c>
      <c r="I34">
        <f t="shared" si="2"/>
        <v>0</v>
      </c>
      <c r="J34">
        <f>I34*_xlfn.XLOOKUP(B34,AM:AM,AO:AO)</f>
        <v>0</v>
      </c>
      <c r="K34" s="7">
        <f t="shared" si="3"/>
        <v>45610</v>
      </c>
      <c r="L34" s="7">
        <f t="shared" si="4"/>
        <v>45580</v>
      </c>
      <c r="M34">
        <f t="shared" si="5"/>
        <v>10</v>
      </c>
      <c r="N34">
        <f t="shared" si="6"/>
        <v>2024</v>
      </c>
      <c r="Q34" s="22">
        <v>59</v>
      </c>
      <c r="R34" s="22">
        <v>981.77</v>
      </c>
      <c r="S34" s="22" t="str">
        <f t="shared" si="7"/>
        <v>USD</v>
      </c>
      <c r="T34" s="22">
        <f t="shared" si="9"/>
        <v>981.77</v>
      </c>
      <c r="U34" s="28">
        <v>400</v>
      </c>
      <c r="W34" s="9">
        <v>36</v>
      </c>
      <c r="X34" s="9" t="s">
        <v>29</v>
      </c>
      <c r="AF34">
        <v>34</v>
      </c>
      <c r="AG34" t="s">
        <v>29</v>
      </c>
      <c r="AH34">
        <v>12168</v>
      </c>
      <c r="AI34" s="7">
        <v>45608</v>
      </c>
    </row>
    <row r="35" spans="1:35">
      <c r="A35">
        <v>36</v>
      </c>
      <c r="B35" t="str">
        <f t="shared" si="0"/>
        <v>USD</v>
      </c>
      <c r="C35">
        <f t="shared" si="1"/>
        <v>205</v>
      </c>
      <c r="D35">
        <f t="shared" ref="D35:D98" si="11">C35*_xlfn.XLOOKUP(B35,AM:AM,AN:AN)</f>
        <v>176.3</v>
      </c>
      <c r="E35">
        <f t="shared" ref="E35:E98" si="12">C35*_xlfn.XLOOKUP(B35,AM:AM,AO:AO)</f>
        <v>205</v>
      </c>
      <c r="F35">
        <v>3721.4</v>
      </c>
      <c r="G35">
        <f t="shared" ref="G35:G98" si="13">F35*_xlfn.XLOOKUP(B35,AM:AM,AN:AN)</f>
        <v>3200.404</v>
      </c>
      <c r="H35">
        <f t="shared" ref="H35:H98" si="14">F35*_xlfn.XLOOKUP(B35,AM:AM,AO:AO)</f>
        <v>3721.4</v>
      </c>
      <c r="I35">
        <f t="shared" si="2"/>
        <v>0</v>
      </c>
      <c r="J35">
        <f t="shared" ref="J35:J36" si="15">I35*_xlfn.XLOOKUP(B35,AM:AM,AO:AO)</f>
        <v>0</v>
      </c>
      <c r="K35" s="7">
        <f t="shared" si="3"/>
        <v>45624</v>
      </c>
      <c r="L35" s="7">
        <f t="shared" ref="L35:L36" si="16">K35-30</f>
        <v>45594</v>
      </c>
      <c r="M35">
        <f t="shared" ref="M35:M36" si="17">MONTH(L35)</f>
        <v>10</v>
      </c>
      <c r="N35">
        <f t="shared" ref="N35:N36" si="18">YEAR(L35)</f>
        <v>2024</v>
      </c>
      <c r="Q35" s="22">
        <v>60</v>
      </c>
      <c r="R35" s="22">
        <v>206.9</v>
      </c>
      <c r="S35" s="22" t="str">
        <f t="shared" si="7"/>
        <v>USD</v>
      </c>
      <c r="T35" s="22">
        <f t="shared" si="9"/>
        <v>206.9</v>
      </c>
      <c r="U35" s="28">
        <v>400</v>
      </c>
      <c r="W35" s="9">
        <v>38</v>
      </c>
      <c r="X35" s="9" t="s">
        <v>28</v>
      </c>
      <c r="AF35">
        <v>35</v>
      </c>
      <c r="AG35" t="s">
        <v>29</v>
      </c>
      <c r="AH35">
        <v>16931.07</v>
      </c>
      <c r="AI35" s="7">
        <v>45610</v>
      </c>
    </row>
    <row r="36" spans="1:35">
      <c r="A36">
        <v>37</v>
      </c>
      <c r="B36" t="str">
        <f t="shared" si="0"/>
        <v>USD</v>
      </c>
      <c r="C36">
        <f t="shared" si="1"/>
        <v>9836.93</v>
      </c>
      <c r="D36">
        <f t="shared" si="11"/>
        <v>8459.7597999999998</v>
      </c>
      <c r="E36">
        <f t="shared" si="12"/>
        <v>9836.93</v>
      </c>
      <c r="F36">
        <v>9836.93</v>
      </c>
      <c r="G36">
        <f t="shared" si="13"/>
        <v>8459.7597999999998</v>
      </c>
      <c r="H36">
        <f t="shared" si="14"/>
        <v>9836.93</v>
      </c>
      <c r="I36">
        <f t="shared" si="2"/>
        <v>0</v>
      </c>
      <c r="J36">
        <f t="shared" si="15"/>
        <v>0</v>
      </c>
      <c r="K36" s="7">
        <f t="shared" si="3"/>
        <v>45611</v>
      </c>
      <c r="L36" s="7">
        <f t="shared" si="16"/>
        <v>45581</v>
      </c>
      <c r="M36">
        <f t="shared" si="17"/>
        <v>10</v>
      </c>
      <c r="N36">
        <f t="shared" si="18"/>
        <v>2024</v>
      </c>
      <c r="Q36" s="22">
        <v>61</v>
      </c>
      <c r="R36" s="22">
        <v>4265.6099999999997</v>
      </c>
      <c r="S36" s="22" t="str">
        <f t="shared" si="7"/>
        <v>USD</v>
      </c>
      <c r="T36" s="22">
        <f t="shared" si="9"/>
        <v>4265.6099999999997</v>
      </c>
      <c r="U36" s="28">
        <v>400</v>
      </c>
      <c r="W36" s="9">
        <v>39</v>
      </c>
      <c r="X36" s="9" t="s">
        <v>28</v>
      </c>
      <c r="AF36">
        <v>36</v>
      </c>
      <c r="AG36" t="s">
        <v>29</v>
      </c>
      <c r="AH36">
        <v>3721.4</v>
      </c>
      <c r="AI36" s="7">
        <v>45624</v>
      </c>
    </row>
    <row r="37" spans="1:35">
      <c r="A37">
        <v>38</v>
      </c>
      <c r="B37" t="str">
        <f t="shared" si="0"/>
        <v>MXN</v>
      </c>
      <c r="C37">
        <f t="shared" si="1"/>
        <v>0</v>
      </c>
      <c r="D37">
        <f t="shared" si="11"/>
        <v>0</v>
      </c>
      <c r="E37">
        <f t="shared" si="12"/>
        <v>0</v>
      </c>
      <c r="F37">
        <v>60452.52</v>
      </c>
      <c r="G37">
        <f t="shared" si="13"/>
        <v>2901.7209600000001</v>
      </c>
      <c r="H37">
        <f t="shared" si="14"/>
        <v>3385.34112</v>
      </c>
      <c r="I37">
        <f t="shared" si="2"/>
        <v>0</v>
      </c>
      <c r="J37">
        <f t="shared" ref="J37:J100" si="19">I37*_xlfn.XLOOKUP(B37,AM:AM,AO:AO)</f>
        <v>0</v>
      </c>
      <c r="K37" s="7">
        <f t="shared" si="3"/>
        <v>45648</v>
      </c>
      <c r="L37" s="7">
        <f t="shared" ref="L37:L100" si="20">K37-30</f>
        <v>45618</v>
      </c>
      <c r="M37">
        <f t="shared" ref="M37:M100" si="21">MONTH(L37)</f>
        <v>11</v>
      </c>
      <c r="N37">
        <f t="shared" ref="N37:N100" si="22">YEAR(L37)</f>
        <v>2024</v>
      </c>
      <c r="Q37" s="22">
        <v>62</v>
      </c>
      <c r="R37" s="22">
        <v>12206.75</v>
      </c>
      <c r="S37" s="22" t="str">
        <f t="shared" si="7"/>
        <v>USD</v>
      </c>
      <c r="T37" s="22">
        <f t="shared" si="9"/>
        <v>12206.75</v>
      </c>
      <c r="U37" s="28">
        <v>400</v>
      </c>
      <c r="W37" s="9">
        <v>40</v>
      </c>
      <c r="X37" s="9" t="s">
        <v>27</v>
      </c>
      <c r="AF37">
        <v>37</v>
      </c>
      <c r="AG37" t="s">
        <v>29</v>
      </c>
      <c r="AH37">
        <v>9836.93</v>
      </c>
      <c r="AI37" s="7">
        <v>45611</v>
      </c>
    </row>
    <row r="38" spans="1:35">
      <c r="A38">
        <v>39</v>
      </c>
      <c r="B38" t="str">
        <f t="shared" si="0"/>
        <v>MXN</v>
      </c>
      <c r="C38">
        <f t="shared" si="1"/>
        <v>0</v>
      </c>
      <c r="D38">
        <f t="shared" si="11"/>
        <v>0</v>
      </c>
      <c r="E38">
        <f t="shared" si="12"/>
        <v>0</v>
      </c>
      <c r="F38">
        <v>40255.75</v>
      </c>
      <c r="G38">
        <f t="shared" si="13"/>
        <v>1932.2760000000001</v>
      </c>
      <c r="H38">
        <f t="shared" si="14"/>
        <v>2254.3220000000001</v>
      </c>
      <c r="I38">
        <f t="shared" si="2"/>
        <v>0</v>
      </c>
      <c r="J38">
        <f t="shared" si="19"/>
        <v>0</v>
      </c>
      <c r="K38" s="7">
        <f t="shared" si="3"/>
        <v>45620</v>
      </c>
      <c r="L38" s="7">
        <f t="shared" si="20"/>
        <v>45590</v>
      </c>
      <c r="M38">
        <f t="shared" si="21"/>
        <v>10</v>
      </c>
      <c r="N38">
        <f t="shared" si="22"/>
        <v>2024</v>
      </c>
      <c r="Q38" s="22">
        <v>63</v>
      </c>
      <c r="R38" s="22">
        <v>2268</v>
      </c>
      <c r="S38" s="22" t="str">
        <f t="shared" si="7"/>
        <v>EUR</v>
      </c>
      <c r="T38" s="22">
        <f t="shared" si="9"/>
        <v>2630.8799999999997</v>
      </c>
      <c r="U38" s="28">
        <v>400</v>
      </c>
      <c r="W38" s="9">
        <v>41</v>
      </c>
      <c r="X38" s="9" t="s">
        <v>27</v>
      </c>
      <c r="AF38">
        <v>38</v>
      </c>
      <c r="AG38" t="s">
        <v>28</v>
      </c>
      <c r="AH38">
        <v>60452.52</v>
      </c>
      <c r="AI38" s="7">
        <v>45648</v>
      </c>
    </row>
    <row r="39" spans="1:35">
      <c r="A39">
        <v>40</v>
      </c>
      <c r="B39" t="str">
        <f t="shared" si="0"/>
        <v>EUR</v>
      </c>
      <c r="C39">
        <f t="shared" si="1"/>
        <v>0</v>
      </c>
      <c r="D39">
        <f t="shared" si="11"/>
        <v>0</v>
      </c>
      <c r="E39">
        <f t="shared" si="12"/>
        <v>0</v>
      </c>
      <c r="F39">
        <v>600</v>
      </c>
      <c r="G39">
        <f t="shared" si="13"/>
        <v>600</v>
      </c>
      <c r="H39">
        <f t="shared" si="14"/>
        <v>696</v>
      </c>
      <c r="I39">
        <f t="shared" si="2"/>
        <v>0</v>
      </c>
      <c r="J39">
        <f t="shared" si="19"/>
        <v>0</v>
      </c>
      <c r="K39" s="7">
        <f t="shared" si="3"/>
        <v>45563</v>
      </c>
      <c r="L39" s="7">
        <f t="shared" si="20"/>
        <v>45533</v>
      </c>
      <c r="M39">
        <f t="shared" si="21"/>
        <v>8</v>
      </c>
      <c r="N39">
        <f t="shared" si="22"/>
        <v>2024</v>
      </c>
      <c r="Q39" s="22">
        <v>64</v>
      </c>
      <c r="R39" s="22">
        <v>1062</v>
      </c>
      <c r="S39" s="22" t="str">
        <f t="shared" si="7"/>
        <v>USD</v>
      </c>
      <c r="T39" s="22">
        <f t="shared" si="9"/>
        <v>1062</v>
      </c>
      <c r="U39" s="28">
        <v>400</v>
      </c>
      <c r="W39" s="9">
        <v>41</v>
      </c>
      <c r="X39" s="9" t="s">
        <v>27</v>
      </c>
      <c r="AF39">
        <v>39</v>
      </c>
      <c r="AG39" t="s">
        <v>28</v>
      </c>
      <c r="AH39">
        <v>40255.75</v>
      </c>
      <c r="AI39" s="7">
        <v>45620</v>
      </c>
    </row>
    <row r="40" spans="1:35">
      <c r="A40">
        <v>41</v>
      </c>
      <c r="B40" t="str">
        <f t="shared" si="0"/>
        <v>EUR</v>
      </c>
      <c r="C40">
        <f t="shared" si="1"/>
        <v>0</v>
      </c>
      <c r="D40">
        <f t="shared" si="11"/>
        <v>0</v>
      </c>
      <c r="E40">
        <f t="shared" si="12"/>
        <v>0</v>
      </c>
      <c r="F40">
        <v>2716.1</v>
      </c>
      <c r="G40">
        <f t="shared" si="13"/>
        <v>2716.1</v>
      </c>
      <c r="H40">
        <f t="shared" si="14"/>
        <v>3150.6759999999995</v>
      </c>
      <c r="I40">
        <f t="shared" si="2"/>
        <v>0</v>
      </c>
      <c r="J40">
        <f t="shared" si="19"/>
        <v>0</v>
      </c>
      <c r="K40" s="7">
        <f t="shared" si="3"/>
        <v>45574</v>
      </c>
      <c r="L40" s="7">
        <f t="shared" si="20"/>
        <v>45544</v>
      </c>
      <c r="M40">
        <f t="shared" si="21"/>
        <v>9</v>
      </c>
      <c r="N40">
        <f t="shared" si="22"/>
        <v>2024</v>
      </c>
      <c r="Q40" s="22">
        <v>69</v>
      </c>
      <c r="R40" s="22">
        <v>1366</v>
      </c>
      <c r="S40" s="22" t="str">
        <f t="shared" si="7"/>
        <v>USD</v>
      </c>
      <c r="T40" s="22">
        <f t="shared" si="9"/>
        <v>1366</v>
      </c>
      <c r="U40" s="28">
        <v>400</v>
      </c>
      <c r="W40" s="9">
        <v>44</v>
      </c>
      <c r="X40" s="9" t="s">
        <v>29</v>
      </c>
      <c r="AF40">
        <v>40</v>
      </c>
      <c r="AG40" t="s">
        <v>27</v>
      </c>
      <c r="AH40">
        <v>600</v>
      </c>
      <c r="AI40" s="7">
        <v>45563</v>
      </c>
    </row>
    <row r="41" spans="1:35">
      <c r="A41">
        <v>43</v>
      </c>
      <c r="B41" t="str">
        <f t="shared" si="0"/>
        <v>USD</v>
      </c>
      <c r="C41">
        <f t="shared" si="1"/>
        <v>27745.96</v>
      </c>
      <c r="D41">
        <f t="shared" si="11"/>
        <v>23861.525599999997</v>
      </c>
      <c r="E41">
        <f t="shared" si="12"/>
        <v>27745.96</v>
      </c>
      <c r="F41">
        <v>27745.96</v>
      </c>
      <c r="G41">
        <f t="shared" si="13"/>
        <v>23861.525599999997</v>
      </c>
      <c r="H41">
        <f t="shared" si="14"/>
        <v>27745.96</v>
      </c>
      <c r="I41">
        <f t="shared" si="2"/>
        <v>0</v>
      </c>
      <c r="J41">
        <f t="shared" si="19"/>
        <v>0</v>
      </c>
      <c r="K41" s="7">
        <f t="shared" si="3"/>
        <v>45663</v>
      </c>
      <c r="L41" s="7">
        <f t="shared" si="20"/>
        <v>45633</v>
      </c>
      <c r="M41">
        <f t="shared" si="21"/>
        <v>12</v>
      </c>
      <c r="N41">
        <f t="shared" si="22"/>
        <v>2024</v>
      </c>
      <c r="Q41" s="22">
        <v>71</v>
      </c>
      <c r="R41" s="22">
        <v>6258.6</v>
      </c>
      <c r="S41" s="22" t="str">
        <f t="shared" si="7"/>
        <v>USD</v>
      </c>
      <c r="T41" s="22">
        <f t="shared" si="9"/>
        <v>6258.6</v>
      </c>
      <c r="U41" s="28">
        <v>400</v>
      </c>
      <c r="W41" s="9">
        <v>44</v>
      </c>
      <c r="X41" s="9" t="s">
        <v>29</v>
      </c>
      <c r="AF41">
        <v>41</v>
      </c>
      <c r="AG41" t="s">
        <v>27</v>
      </c>
      <c r="AH41">
        <v>2716.1</v>
      </c>
      <c r="AI41" s="7">
        <v>45574</v>
      </c>
    </row>
    <row r="42" spans="1:35">
      <c r="A42">
        <v>44</v>
      </c>
      <c r="B42" t="str">
        <f t="shared" si="0"/>
        <v>USD</v>
      </c>
      <c r="C42">
        <f t="shared" si="1"/>
        <v>31860.000000000004</v>
      </c>
      <c r="D42">
        <f t="shared" si="11"/>
        <v>27399.600000000002</v>
      </c>
      <c r="E42">
        <f t="shared" si="12"/>
        <v>31860.000000000004</v>
      </c>
      <c r="F42">
        <v>35772.800000000003</v>
      </c>
      <c r="G42">
        <f t="shared" si="13"/>
        <v>30764.608000000004</v>
      </c>
      <c r="H42">
        <f t="shared" si="14"/>
        <v>35772.800000000003</v>
      </c>
      <c r="I42">
        <f t="shared" si="2"/>
        <v>4.5474735088646412E-13</v>
      </c>
      <c r="J42">
        <f t="shared" si="19"/>
        <v>4.5474735088646412E-13</v>
      </c>
      <c r="K42" s="7">
        <f t="shared" si="3"/>
        <v>45651</v>
      </c>
      <c r="L42" s="7">
        <f t="shared" si="20"/>
        <v>45621</v>
      </c>
      <c r="M42">
        <f t="shared" si="21"/>
        <v>11</v>
      </c>
      <c r="N42">
        <f t="shared" si="22"/>
        <v>2024</v>
      </c>
      <c r="Q42" s="22">
        <v>72</v>
      </c>
      <c r="R42" s="22">
        <v>201</v>
      </c>
      <c r="S42" s="22" t="str">
        <f t="shared" si="7"/>
        <v>USD</v>
      </c>
      <c r="T42" s="22">
        <f t="shared" si="9"/>
        <v>201</v>
      </c>
      <c r="U42" s="28">
        <v>400</v>
      </c>
      <c r="W42" s="9">
        <v>45</v>
      </c>
      <c r="X42" s="9" t="s">
        <v>29</v>
      </c>
      <c r="AF42">
        <v>43</v>
      </c>
      <c r="AG42" t="s">
        <v>29</v>
      </c>
      <c r="AH42">
        <v>27745.96</v>
      </c>
      <c r="AI42" s="7">
        <v>45663</v>
      </c>
    </row>
    <row r="43" spans="1:35">
      <c r="A43">
        <v>45</v>
      </c>
      <c r="B43" t="str">
        <f t="shared" si="0"/>
        <v>USD</v>
      </c>
      <c r="C43">
        <f>_xlfn.XLOOKUP(A43,AF:AF,AH:AH)-_xlfn.XLOOKUP(A43,Q:Q,R:R,"0")</f>
        <v>15659.59</v>
      </c>
      <c r="D43">
        <f t="shared" si="11"/>
        <v>13467.2474</v>
      </c>
      <c r="E43">
        <f t="shared" si="12"/>
        <v>15659.59</v>
      </c>
      <c r="F43">
        <v>15250.1</v>
      </c>
      <c r="G43">
        <f t="shared" si="13"/>
        <v>13115.085999999999</v>
      </c>
      <c r="H43">
        <f t="shared" si="14"/>
        <v>15250.1</v>
      </c>
      <c r="I43">
        <f t="shared" si="2"/>
        <v>308.3499999999998</v>
      </c>
      <c r="J43">
        <f t="shared" si="19"/>
        <v>308.3499999999998</v>
      </c>
      <c r="K43" s="7">
        <f t="shared" si="3"/>
        <v>45716</v>
      </c>
      <c r="L43" s="7">
        <f t="shared" si="20"/>
        <v>45686</v>
      </c>
      <c r="M43">
        <f t="shared" si="21"/>
        <v>1</v>
      </c>
      <c r="N43">
        <f t="shared" si="22"/>
        <v>2025</v>
      </c>
      <c r="Q43" s="22">
        <v>73</v>
      </c>
      <c r="R43" s="22">
        <v>11485.71</v>
      </c>
      <c r="S43" s="22" t="str">
        <f t="shared" si="7"/>
        <v>USD</v>
      </c>
      <c r="T43" s="22">
        <f t="shared" si="9"/>
        <v>11485.71</v>
      </c>
      <c r="U43" s="28">
        <v>400</v>
      </c>
      <c r="W43" s="9">
        <v>46</v>
      </c>
      <c r="X43" s="9" t="s">
        <v>27</v>
      </c>
      <c r="AF43">
        <v>44</v>
      </c>
      <c r="AG43" t="s">
        <v>29</v>
      </c>
      <c r="AH43">
        <v>35772.800000000003</v>
      </c>
      <c r="AI43" s="7">
        <v>45651</v>
      </c>
    </row>
    <row r="44" spans="1:35">
      <c r="A44">
        <v>46</v>
      </c>
      <c r="B44" t="str">
        <f t="shared" si="0"/>
        <v>EUR</v>
      </c>
      <c r="C44">
        <f t="shared" si="1"/>
        <v>0</v>
      </c>
      <c r="D44">
        <f t="shared" si="11"/>
        <v>0</v>
      </c>
      <c r="E44">
        <f t="shared" si="12"/>
        <v>0</v>
      </c>
      <c r="F44">
        <v>3400</v>
      </c>
      <c r="G44">
        <f t="shared" si="13"/>
        <v>3400</v>
      </c>
      <c r="H44">
        <f t="shared" si="14"/>
        <v>3943.9999999999995</v>
      </c>
      <c r="I44">
        <f t="shared" si="2"/>
        <v>0</v>
      </c>
      <c r="J44">
        <f t="shared" si="19"/>
        <v>0</v>
      </c>
      <c r="K44" s="7">
        <f t="shared" si="3"/>
        <v>45568</v>
      </c>
      <c r="L44" s="7">
        <f t="shared" si="20"/>
        <v>45538</v>
      </c>
      <c r="M44">
        <f t="shared" si="21"/>
        <v>9</v>
      </c>
      <c r="N44">
        <f t="shared" si="22"/>
        <v>2024</v>
      </c>
      <c r="Q44" s="22">
        <v>74</v>
      </c>
      <c r="R44" s="22">
        <v>260</v>
      </c>
      <c r="S44" s="22" t="str">
        <f t="shared" si="7"/>
        <v>USD</v>
      </c>
      <c r="T44" s="22">
        <f t="shared" si="9"/>
        <v>260</v>
      </c>
      <c r="U44" s="28">
        <v>400</v>
      </c>
      <c r="W44" s="9">
        <v>48</v>
      </c>
      <c r="X44" s="9" t="s">
        <v>29</v>
      </c>
      <c r="AF44">
        <v>45</v>
      </c>
      <c r="AG44" t="s">
        <v>29</v>
      </c>
      <c r="AH44">
        <v>15699.59</v>
      </c>
      <c r="AI44" s="7">
        <v>45716</v>
      </c>
    </row>
    <row r="45" spans="1:35">
      <c r="A45">
        <v>47</v>
      </c>
      <c r="B45" t="str">
        <f t="shared" si="0"/>
        <v>MXN</v>
      </c>
      <c r="C45">
        <f t="shared" si="1"/>
        <v>590274</v>
      </c>
      <c r="D45">
        <f t="shared" si="11"/>
        <v>28333.152000000002</v>
      </c>
      <c r="E45">
        <f t="shared" si="12"/>
        <v>33055.343999999997</v>
      </c>
      <c r="F45">
        <v>590274</v>
      </c>
      <c r="G45">
        <f t="shared" si="13"/>
        <v>28333.152000000002</v>
      </c>
      <c r="H45">
        <f t="shared" si="14"/>
        <v>33055.343999999997</v>
      </c>
      <c r="I45">
        <f t="shared" si="2"/>
        <v>0</v>
      </c>
      <c r="J45">
        <f t="shared" si="19"/>
        <v>0</v>
      </c>
      <c r="K45" s="7">
        <f t="shared" si="3"/>
        <v>45697</v>
      </c>
      <c r="L45" s="7">
        <f t="shared" si="20"/>
        <v>45667</v>
      </c>
      <c r="M45">
        <f t="shared" si="21"/>
        <v>1</v>
      </c>
      <c r="N45">
        <f t="shared" si="22"/>
        <v>2025</v>
      </c>
      <c r="Q45" s="22">
        <v>75</v>
      </c>
      <c r="R45" s="22">
        <v>2250</v>
      </c>
      <c r="S45" s="22" t="str">
        <f t="shared" si="7"/>
        <v>USD</v>
      </c>
      <c r="T45" s="22">
        <f t="shared" si="9"/>
        <v>2250</v>
      </c>
      <c r="U45" s="28">
        <v>400</v>
      </c>
      <c r="W45" s="9">
        <v>48</v>
      </c>
      <c r="X45" s="9" t="s">
        <v>29</v>
      </c>
      <c r="AF45">
        <v>46</v>
      </c>
      <c r="AG45" t="s">
        <v>27</v>
      </c>
      <c r="AH45">
        <v>3400</v>
      </c>
      <c r="AI45" s="7">
        <v>45568</v>
      </c>
    </row>
    <row r="46" spans="1:35">
      <c r="A46">
        <v>48</v>
      </c>
      <c r="B46" t="str">
        <f t="shared" si="0"/>
        <v>USD</v>
      </c>
      <c r="C46">
        <f t="shared" si="1"/>
        <v>0</v>
      </c>
      <c r="D46">
        <f t="shared" si="11"/>
        <v>0</v>
      </c>
      <c r="E46">
        <f t="shared" si="12"/>
        <v>0</v>
      </c>
      <c r="F46">
        <v>99000</v>
      </c>
      <c r="G46">
        <f t="shared" si="13"/>
        <v>85140</v>
      </c>
      <c r="H46">
        <f t="shared" si="14"/>
        <v>99000</v>
      </c>
      <c r="I46">
        <f t="shared" si="2"/>
        <v>0</v>
      </c>
      <c r="J46">
        <f t="shared" si="19"/>
        <v>0</v>
      </c>
      <c r="K46" s="7">
        <f t="shared" si="3"/>
        <v>45620</v>
      </c>
      <c r="L46" s="7">
        <f t="shared" si="20"/>
        <v>45590</v>
      </c>
      <c r="M46">
        <f t="shared" si="21"/>
        <v>10</v>
      </c>
      <c r="N46">
        <f t="shared" si="22"/>
        <v>2024</v>
      </c>
      <c r="Q46" s="22">
        <v>76</v>
      </c>
      <c r="R46" s="22">
        <v>4434.01</v>
      </c>
      <c r="S46" s="22" t="str">
        <f t="shared" si="7"/>
        <v>USD</v>
      </c>
      <c r="T46" s="22">
        <f t="shared" si="9"/>
        <v>4434.01</v>
      </c>
      <c r="U46" s="28">
        <v>400</v>
      </c>
      <c r="W46" s="9">
        <v>49</v>
      </c>
      <c r="X46" s="9" t="s">
        <v>29</v>
      </c>
      <c r="AF46">
        <v>47</v>
      </c>
      <c r="AG46" t="s">
        <v>28</v>
      </c>
      <c r="AH46">
        <v>590274</v>
      </c>
      <c r="AI46" s="7">
        <v>45697</v>
      </c>
    </row>
    <row r="47" spans="1:35">
      <c r="A47">
        <v>49</v>
      </c>
      <c r="B47" t="str">
        <f t="shared" si="0"/>
        <v>USD</v>
      </c>
      <c r="C47">
        <f t="shared" si="1"/>
        <v>0</v>
      </c>
      <c r="D47">
        <f t="shared" si="11"/>
        <v>0</v>
      </c>
      <c r="E47">
        <f t="shared" si="12"/>
        <v>0</v>
      </c>
      <c r="F47">
        <v>4997.26</v>
      </c>
      <c r="G47">
        <f t="shared" si="13"/>
        <v>4297.6436000000003</v>
      </c>
      <c r="H47">
        <f t="shared" si="14"/>
        <v>4997.26</v>
      </c>
      <c r="I47">
        <f t="shared" si="2"/>
        <v>0</v>
      </c>
      <c r="J47">
        <f t="shared" si="19"/>
        <v>0</v>
      </c>
      <c r="K47" s="7">
        <f t="shared" si="3"/>
        <v>45676</v>
      </c>
      <c r="L47" s="7">
        <f t="shared" si="20"/>
        <v>45646</v>
      </c>
      <c r="M47">
        <f t="shared" si="21"/>
        <v>12</v>
      </c>
      <c r="N47">
        <f t="shared" si="22"/>
        <v>2024</v>
      </c>
      <c r="Q47" s="22">
        <v>78</v>
      </c>
      <c r="R47" s="22">
        <v>688</v>
      </c>
      <c r="S47" s="22" t="str">
        <f t="shared" si="7"/>
        <v>USD</v>
      </c>
      <c r="T47" s="22">
        <f t="shared" si="9"/>
        <v>688</v>
      </c>
      <c r="U47" s="28">
        <v>400</v>
      </c>
      <c r="W47" s="9">
        <v>54</v>
      </c>
      <c r="X47" s="9" t="s">
        <v>28</v>
      </c>
      <c r="AF47">
        <v>48</v>
      </c>
      <c r="AG47" t="s">
        <v>29</v>
      </c>
      <c r="AH47">
        <v>99000</v>
      </c>
      <c r="AI47" s="7">
        <v>45620</v>
      </c>
    </row>
    <row r="48" spans="1:35">
      <c r="A48">
        <v>50</v>
      </c>
      <c r="B48" t="str">
        <f t="shared" si="0"/>
        <v>USD</v>
      </c>
      <c r="C48">
        <f t="shared" si="1"/>
        <v>8452.59</v>
      </c>
      <c r="D48">
        <f t="shared" si="11"/>
        <v>7269.2273999999998</v>
      </c>
      <c r="E48">
        <f t="shared" si="12"/>
        <v>8452.59</v>
      </c>
      <c r="F48">
        <v>8452.59</v>
      </c>
      <c r="G48">
        <f t="shared" si="13"/>
        <v>7269.2273999999998</v>
      </c>
      <c r="H48">
        <f t="shared" si="14"/>
        <v>8452.59</v>
      </c>
      <c r="I48">
        <f t="shared" si="2"/>
        <v>0</v>
      </c>
      <c r="J48">
        <f t="shared" si="19"/>
        <v>0</v>
      </c>
      <c r="K48" s="7">
        <f t="shared" si="3"/>
        <v>45669</v>
      </c>
      <c r="L48" s="7">
        <f t="shared" si="20"/>
        <v>45639</v>
      </c>
      <c r="M48">
        <f t="shared" si="21"/>
        <v>12</v>
      </c>
      <c r="N48">
        <f t="shared" si="22"/>
        <v>2024</v>
      </c>
      <c r="Q48" s="22">
        <v>79</v>
      </c>
      <c r="R48" s="22">
        <v>3295.4</v>
      </c>
      <c r="S48" s="22" t="str">
        <f t="shared" si="7"/>
        <v>USD</v>
      </c>
      <c r="T48" s="22">
        <f t="shared" si="9"/>
        <v>3295.4</v>
      </c>
      <c r="U48" s="28">
        <v>400</v>
      </c>
      <c r="W48" s="9">
        <v>57</v>
      </c>
      <c r="X48" s="9" t="s">
        <v>29</v>
      </c>
      <c r="AF48">
        <v>49</v>
      </c>
      <c r="AG48" t="s">
        <v>29</v>
      </c>
      <c r="AH48">
        <v>4997.26</v>
      </c>
      <c r="AI48" s="7">
        <v>45676</v>
      </c>
    </row>
    <row r="49" spans="1:35">
      <c r="A49">
        <v>51</v>
      </c>
      <c r="B49" t="str">
        <f t="shared" si="0"/>
        <v>USD</v>
      </c>
      <c r="C49">
        <f t="shared" si="1"/>
        <v>35000</v>
      </c>
      <c r="D49">
        <f t="shared" si="11"/>
        <v>30100</v>
      </c>
      <c r="E49">
        <f t="shared" si="12"/>
        <v>35000</v>
      </c>
      <c r="F49">
        <v>35000</v>
      </c>
      <c r="G49">
        <f t="shared" si="13"/>
        <v>30100</v>
      </c>
      <c r="H49">
        <f t="shared" si="14"/>
        <v>35000</v>
      </c>
      <c r="I49">
        <f t="shared" si="2"/>
        <v>0</v>
      </c>
      <c r="J49">
        <f t="shared" si="19"/>
        <v>0</v>
      </c>
      <c r="K49" s="7">
        <f t="shared" si="3"/>
        <v>45676</v>
      </c>
      <c r="L49" s="7">
        <f t="shared" si="20"/>
        <v>45646</v>
      </c>
      <c r="M49">
        <f t="shared" si="21"/>
        <v>12</v>
      </c>
      <c r="N49">
        <f t="shared" si="22"/>
        <v>2024</v>
      </c>
      <c r="Q49" s="22">
        <v>81</v>
      </c>
      <c r="R49" s="22">
        <v>4988</v>
      </c>
      <c r="S49" s="22" t="str">
        <f t="shared" si="7"/>
        <v>USD</v>
      </c>
      <c r="T49" s="22">
        <f t="shared" si="9"/>
        <v>4988</v>
      </c>
      <c r="U49" s="28">
        <v>400</v>
      </c>
      <c r="W49" s="9">
        <v>58</v>
      </c>
      <c r="X49" s="9" t="s">
        <v>29</v>
      </c>
      <c r="AF49">
        <v>50</v>
      </c>
      <c r="AG49" t="s">
        <v>29</v>
      </c>
      <c r="AH49">
        <v>8452.59</v>
      </c>
      <c r="AI49" s="7">
        <v>45669</v>
      </c>
    </row>
    <row r="50" spans="1:35">
      <c r="A50">
        <v>52</v>
      </c>
      <c r="B50" t="str">
        <f t="shared" si="0"/>
        <v>USD</v>
      </c>
      <c r="C50">
        <f t="shared" si="1"/>
        <v>13500</v>
      </c>
      <c r="D50">
        <f t="shared" si="11"/>
        <v>11610</v>
      </c>
      <c r="E50">
        <f t="shared" si="12"/>
        <v>13500</v>
      </c>
      <c r="F50">
        <v>13500</v>
      </c>
      <c r="G50">
        <f t="shared" si="13"/>
        <v>11610</v>
      </c>
      <c r="H50">
        <f t="shared" si="14"/>
        <v>13500</v>
      </c>
      <c r="I50">
        <f t="shared" si="2"/>
        <v>0</v>
      </c>
      <c r="J50">
        <f t="shared" si="19"/>
        <v>0</v>
      </c>
      <c r="K50" s="7">
        <f t="shared" si="3"/>
        <v>45630</v>
      </c>
      <c r="L50" s="7">
        <f t="shared" si="20"/>
        <v>45600</v>
      </c>
      <c r="M50">
        <f t="shared" si="21"/>
        <v>11</v>
      </c>
      <c r="N50">
        <f t="shared" si="22"/>
        <v>2024</v>
      </c>
      <c r="Q50" s="22">
        <v>82</v>
      </c>
      <c r="R50" s="22">
        <v>21854.2</v>
      </c>
      <c r="S50" s="22" t="str">
        <f t="shared" si="7"/>
        <v>USD</v>
      </c>
      <c r="T50" s="22">
        <f t="shared" si="9"/>
        <v>21854.2</v>
      </c>
      <c r="U50" s="28">
        <v>400</v>
      </c>
      <c r="W50" s="9">
        <v>58</v>
      </c>
      <c r="X50" s="9" t="s">
        <v>29</v>
      </c>
      <c r="AF50">
        <v>51</v>
      </c>
      <c r="AG50" t="s">
        <v>29</v>
      </c>
      <c r="AH50">
        <v>35000</v>
      </c>
      <c r="AI50" s="7">
        <v>45676</v>
      </c>
    </row>
    <row r="51" spans="1:35">
      <c r="A51">
        <v>54</v>
      </c>
      <c r="B51" t="str">
        <f t="shared" si="0"/>
        <v>MXN</v>
      </c>
      <c r="C51">
        <f t="shared" si="1"/>
        <v>0</v>
      </c>
      <c r="D51">
        <f t="shared" si="11"/>
        <v>0</v>
      </c>
      <c r="E51">
        <f t="shared" si="12"/>
        <v>0</v>
      </c>
      <c r="F51">
        <v>3567</v>
      </c>
      <c r="G51">
        <f t="shared" si="13"/>
        <v>171.21600000000001</v>
      </c>
      <c r="H51">
        <f t="shared" si="14"/>
        <v>199.75200000000001</v>
      </c>
      <c r="I51">
        <f t="shared" si="2"/>
        <v>0</v>
      </c>
      <c r="J51">
        <f t="shared" si="19"/>
        <v>0</v>
      </c>
      <c r="K51" s="7">
        <f t="shared" si="3"/>
        <v>45651</v>
      </c>
      <c r="L51" s="7">
        <f t="shared" si="20"/>
        <v>45621</v>
      </c>
      <c r="M51">
        <f t="shared" si="21"/>
        <v>11</v>
      </c>
      <c r="N51">
        <f t="shared" si="22"/>
        <v>2024</v>
      </c>
      <c r="Q51" s="22">
        <v>83</v>
      </c>
      <c r="R51" s="22">
        <v>229</v>
      </c>
      <c r="S51" s="22" t="str">
        <f t="shared" si="7"/>
        <v>USD</v>
      </c>
      <c r="T51" s="22">
        <f t="shared" si="9"/>
        <v>229</v>
      </c>
      <c r="U51" s="28">
        <v>400</v>
      </c>
      <c r="W51" s="9">
        <v>59</v>
      </c>
      <c r="X51" s="9" t="s">
        <v>29</v>
      </c>
      <c r="AF51">
        <v>52</v>
      </c>
      <c r="AG51" t="s">
        <v>29</v>
      </c>
      <c r="AH51">
        <v>13500</v>
      </c>
      <c r="AI51" s="7">
        <v>45630</v>
      </c>
    </row>
    <row r="52" spans="1:35">
      <c r="A52">
        <v>56</v>
      </c>
      <c r="B52" t="str">
        <f t="shared" si="0"/>
        <v>USD</v>
      </c>
      <c r="C52">
        <f t="shared" si="1"/>
        <v>114938.52</v>
      </c>
      <c r="D52">
        <f t="shared" si="11"/>
        <v>98847.127200000003</v>
      </c>
      <c r="E52">
        <f t="shared" si="12"/>
        <v>114938.52</v>
      </c>
      <c r="F52">
        <v>85767.42</v>
      </c>
      <c r="G52">
        <f t="shared" si="13"/>
        <v>73759.981199999995</v>
      </c>
      <c r="H52">
        <f t="shared" si="14"/>
        <v>85767.42</v>
      </c>
      <c r="I52">
        <f t="shared" si="2"/>
        <v>0</v>
      </c>
      <c r="J52">
        <f t="shared" si="19"/>
        <v>0</v>
      </c>
      <c r="K52" s="7">
        <f t="shared" si="3"/>
        <v>45643</v>
      </c>
      <c r="L52" s="7">
        <f t="shared" si="20"/>
        <v>45613</v>
      </c>
      <c r="M52">
        <f t="shared" si="21"/>
        <v>11</v>
      </c>
      <c r="N52">
        <f t="shared" si="22"/>
        <v>2024</v>
      </c>
      <c r="Q52" s="22">
        <v>84</v>
      </c>
      <c r="R52" s="22">
        <v>1708.68</v>
      </c>
      <c r="S52" s="22" t="str">
        <f t="shared" si="7"/>
        <v>USD</v>
      </c>
      <c r="T52" s="22">
        <f t="shared" si="9"/>
        <v>1708.68</v>
      </c>
      <c r="U52" s="28">
        <v>400</v>
      </c>
      <c r="W52" s="9">
        <v>60</v>
      </c>
      <c r="X52" s="9" t="s">
        <v>29</v>
      </c>
      <c r="AF52">
        <v>53</v>
      </c>
      <c r="AG52" t="s">
        <v>29</v>
      </c>
      <c r="AH52">
        <v>727.63</v>
      </c>
      <c r="AI52" s="7">
        <v>45628</v>
      </c>
    </row>
    <row r="53" spans="1:35">
      <c r="A53">
        <v>57</v>
      </c>
      <c r="B53" t="str">
        <f t="shared" si="0"/>
        <v>USD</v>
      </c>
      <c r="C53">
        <f t="shared" si="1"/>
        <v>164019.71</v>
      </c>
      <c r="D53">
        <f t="shared" si="11"/>
        <v>141056.95059999998</v>
      </c>
      <c r="E53">
        <f t="shared" si="12"/>
        <v>164019.71</v>
      </c>
      <c r="F53">
        <v>164633.1</v>
      </c>
      <c r="G53">
        <f t="shared" si="13"/>
        <v>141584.46600000001</v>
      </c>
      <c r="H53">
        <f t="shared" si="14"/>
        <v>164633.1</v>
      </c>
      <c r="I53">
        <f t="shared" si="2"/>
        <v>65.60999999998603</v>
      </c>
      <c r="J53">
        <f t="shared" si="19"/>
        <v>65.60999999998603</v>
      </c>
      <c r="K53" s="7">
        <f t="shared" si="3"/>
        <v>45994</v>
      </c>
      <c r="L53" s="7">
        <f t="shared" si="20"/>
        <v>45964</v>
      </c>
      <c r="M53">
        <f t="shared" si="21"/>
        <v>11</v>
      </c>
      <c r="N53">
        <f t="shared" si="22"/>
        <v>2025</v>
      </c>
      <c r="Q53" s="22">
        <v>85</v>
      </c>
      <c r="R53" s="22">
        <v>118302.05</v>
      </c>
      <c r="S53" s="22" t="str">
        <f t="shared" si="7"/>
        <v>USD</v>
      </c>
      <c r="T53" s="22">
        <f t="shared" si="9"/>
        <v>118302.05</v>
      </c>
      <c r="U53" s="28">
        <v>400</v>
      </c>
      <c r="W53" s="9">
        <v>61</v>
      </c>
      <c r="X53" s="9" t="s">
        <v>29</v>
      </c>
      <c r="AF53">
        <v>54</v>
      </c>
      <c r="AG53" t="s">
        <v>28</v>
      </c>
      <c r="AH53">
        <v>3567</v>
      </c>
      <c r="AI53" s="7">
        <v>45651</v>
      </c>
    </row>
    <row r="54" spans="1:35">
      <c r="A54">
        <v>58</v>
      </c>
      <c r="B54" t="str">
        <f t="shared" si="0"/>
        <v>USD</v>
      </c>
      <c r="C54">
        <f t="shared" si="1"/>
        <v>21080.880000000001</v>
      </c>
      <c r="D54">
        <f t="shared" si="11"/>
        <v>18129.556800000002</v>
      </c>
      <c r="E54">
        <f t="shared" si="12"/>
        <v>21080.880000000001</v>
      </c>
      <c r="F54">
        <v>29795.29</v>
      </c>
      <c r="G54">
        <f t="shared" si="13"/>
        <v>25623.949400000001</v>
      </c>
      <c r="H54">
        <f t="shared" si="14"/>
        <v>29795.29</v>
      </c>
      <c r="I54">
        <f t="shared" si="2"/>
        <v>0</v>
      </c>
      <c r="J54">
        <f t="shared" si="19"/>
        <v>0</v>
      </c>
      <c r="K54" s="7">
        <f t="shared" si="3"/>
        <v>45651</v>
      </c>
      <c r="L54" s="7">
        <f t="shared" si="20"/>
        <v>45621</v>
      </c>
      <c r="M54">
        <f t="shared" si="21"/>
        <v>11</v>
      </c>
      <c r="N54">
        <f t="shared" si="22"/>
        <v>2024</v>
      </c>
      <c r="Q54" s="22">
        <v>88</v>
      </c>
      <c r="R54" s="22">
        <v>800</v>
      </c>
      <c r="S54" s="22" t="str">
        <f t="shared" si="7"/>
        <v>USD</v>
      </c>
      <c r="T54" s="22">
        <f t="shared" si="9"/>
        <v>800</v>
      </c>
      <c r="U54" s="28">
        <v>400</v>
      </c>
      <c r="W54" s="9">
        <v>62</v>
      </c>
      <c r="X54" s="9" t="s">
        <v>29</v>
      </c>
      <c r="AF54">
        <v>55</v>
      </c>
      <c r="AG54" t="s">
        <v>29</v>
      </c>
      <c r="AH54">
        <v>5670.15</v>
      </c>
      <c r="AI54" s="7">
        <v>45802</v>
      </c>
    </row>
    <row r="55" spans="1:35">
      <c r="A55">
        <v>59</v>
      </c>
      <c r="B55" t="str">
        <f t="shared" si="0"/>
        <v>USD</v>
      </c>
      <c r="C55">
        <f t="shared" si="1"/>
        <v>0</v>
      </c>
      <c r="D55">
        <f t="shared" si="11"/>
        <v>0</v>
      </c>
      <c r="E55">
        <f t="shared" si="12"/>
        <v>0</v>
      </c>
      <c r="F55">
        <v>981.77</v>
      </c>
      <c r="G55">
        <f t="shared" si="13"/>
        <v>844.32219999999995</v>
      </c>
      <c r="H55">
        <f t="shared" si="14"/>
        <v>981.77</v>
      </c>
      <c r="I55">
        <f t="shared" si="2"/>
        <v>0</v>
      </c>
      <c r="J55">
        <f t="shared" si="19"/>
        <v>0</v>
      </c>
      <c r="K55" s="7">
        <f t="shared" si="3"/>
        <v>45648</v>
      </c>
      <c r="L55" s="7">
        <f t="shared" si="20"/>
        <v>45618</v>
      </c>
      <c r="M55">
        <f t="shared" si="21"/>
        <v>11</v>
      </c>
      <c r="N55">
        <f t="shared" si="22"/>
        <v>2024</v>
      </c>
      <c r="Q55" s="22">
        <v>89</v>
      </c>
      <c r="R55" s="22">
        <v>800</v>
      </c>
      <c r="S55" s="22" t="str">
        <f t="shared" si="7"/>
        <v>USD</v>
      </c>
      <c r="T55" s="22">
        <f t="shared" si="9"/>
        <v>800</v>
      </c>
      <c r="U55" s="28">
        <v>400</v>
      </c>
      <c r="W55" s="9">
        <v>62</v>
      </c>
      <c r="X55" s="9" t="s">
        <v>29</v>
      </c>
      <c r="AF55">
        <v>56</v>
      </c>
      <c r="AG55" t="s">
        <v>29</v>
      </c>
      <c r="AH55">
        <v>114938.52</v>
      </c>
      <c r="AI55" s="7">
        <v>45643</v>
      </c>
    </row>
    <row r="56" spans="1:35">
      <c r="A56">
        <v>60</v>
      </c>
      <c r="B56" t="str">
        <f t="shared" si="0"/>
        <v>USD</v>
      </c>
      <c r="C56">
        <f t="shared" si="1"/>
        <v>0</v>
      </c>
      <c r="D56">
        <f t="shared" si="11"/>
        <v>0</v>
      </c>
      <c r="E56">
        <f t="shared" si="12"/>
        <v>0</v>
      </c>
      <c r="F56">
        <v>206.9</v>
      </c>
      <c r="G56">
        <f t="shared" si="13"/>
        <v>177.934</v>
      </c>
      <c r="H56">
        <f t="shared" si="14"/>
        <v>206.9</v>
      </c>
      <c r="I56">
        <f t="shared" si="2"/>
        <v>0</v>
      </c>
      <c r="J56">
        <f t="shared" si="19"/>
        <v>0</v>
      </c>
      <c r="K56" s="7">
        <f t="shared" si="3"/>
        <v>45631</v>
      </c>
      <c r="L56" s="7">
        <f t="shared" si="20"/>
        <v>45601</v>
      </c>
      <c r="M56">
        <f t="shared" si="21"/>
        <v>11</v>
      </c>
      <c r="N56">
        <f t="shared" si="22"/>
        <v>2024</v>
      </c>
      <c r="Q56" s="22">
        <v>91</v>
      </c>
      <c r="R56" s="22">
        <v>9904</v>
      </c>
      <c r="S56" s="22" t="str">
        <f t="shared" si="7"/>
        <v>MXN</v>
      </c>
      <c r="T56" s="22">
        <f t="shared" si="9"/>
        <v>554.62400000000002</v>
      </c>
      <c r="U56" s="28">
        <v>400</v>
      </c>
      <c r="W56" s="9">
        <v>62</v>
      </c>
      <c r="X56" s="9" t="s">
        <v>29</v>
      </c>
      <c r="AF56">
        <v>57</v>
      </c>
      <c r="AG56" t="s">
        <v>29</v>
      </c>
      <c r="AH56">
        <v>164698.71</v>
      </c>
      <c r="AI56" s="7">
        <v>45994</v>
      </c>
    </row>
    <row r="57" spans="1:35">
      <c r="A57">
        <v>61</v>
      </c>
      <c r="B57" t="str">
        <f t="shared" si="0"/>
        <v>USD</v>
      </c>
      <c r="C57">
        <f t="shared" si="1"/>
        <v>0</v>
      </c>
      <c r="D57">
        <f t="shared" si="11"/>
        <v>0</v>
      </c>
      <c r="E57">
        <f t="shared" si="12"/>
        <v>0</v>
      </c>
      <c r="F57">
        <v>4265.6099999999997</v>
      </c>
      <c r="G57">
        <f t="shared" si="13"/>
        <v>3668.4245999999998</v>
      </c>
      <c r="H57">
        <f t="shared" si="14"/>
        <v>4265.6099999999997</v>
      </c>
      <c r="I57">
        <f t="shared" si="2"/>
        <v>0</v>
      </c>
      <c r="J57">
        <f t="shared" si="19"/>
        <v>0</v>
      </c>
      <c r="K57" s="7">
        <f t="shared" si="3"/>
        <v>45730</v>
      </c>
      <c r="L57" s="7">
        <f t="shared" si="20"/>
        <v>45700</v>
      </c>
      <c r="M57">
        <f t="shared" si="21"/>
        <v>2</v>
      </c>
      <c r="N57">
        <f t="shared" si="22"/>
        <v>2025</v>
      </c>
      <c r="Q57" s="22">
        <v>93</v>
      </c>
      <c r="R57" s="22">
        <v>4440</v>
      </c>
      <c r="S57" s="22" t="str">
        <f t="shared" si="7"/>
        <v>EUR</v>
      </c>
      <c r="T57" s="22">
        <f t="shared" si="9"/>
        <v>5150.3999999999996</v>
      </c>
      <c r="U57" s="28">
        <v>400</v>
      </c>
      <c r="W57" s="9">
        <v>62</v>
      </c>
      <c r="X57" s="9" t="s">
        <v>29</v>
      </c>
      <c r="AF57">
        <v>58</v>
      </c>
      <c r="AG57" t="s">
        <v>29</v>
      </c>
      <c r="AH57">
        <v>29795.29</v>
      </c>
      <c r="AI57" s="7">
        <v>45651</v>
      </c>
    </row>
    <row r="58" spans="1:35">
      <c r="A58">
        <v>62</v>
      </c>
      <c r="B58" t="str">
        <f t="shared" si="0"/>
        <v>USD</v>
      </c>
      <c r="C58">
        <f t="shared" si="1"/>
        <v>1115</v>
      </c>
      <c r="D58">
        <f t="shared" si="11"/>
        <v>958.9</v>
      </c>
      <c r="E58">
        <f t="shared" si="12"/>
        <v>1115</v>
      </c>
      <c r="F58">
        <v>13321.75</v>
      </c>
      <c r="G58">
        <f t="shared" si="13"/>
        <v>11456.705</v>
      </c>
      <c r="H58">
        <f t="shared" si="14"/>
        <v>13321.75</v>
      </c>
      <c r="I58">
        <f t="shared" si="2"/>
        <v>0</v>
      </c>
      <c r="J58">
        <f t="shared" si="19"/>
        <v>0</v>
      </c>
      <c r="K58" s="7">
        <f t="shared" si="3"/>
        <v>45737</v>
      </c>
      <c r="L58" s="7">
        <f t="shared" si="20"/>
        <v>45707</v>
      </c>
      <c r="M58">
        <f t="shared" si="21"/>
        <v>2</v>
      </c>
      <c r="N58">
        <f t="shared" si="22"/>
        <v>2025</v>
      </c>
      <c r="Q58" s="22">
        <v>94</v>
      </c>
      <c r="R58" s="22">
        <v>135027</v>
      </c>
      <c r="S58" s="22" t="str">
        <f t="shared" si="7"/>
        <v>MXN</v>
      </c>
      <c r="T58" s="22">
        <f t="shared" si="9"/>
        <v>7561.5119999999997</v>
      </c>
      <c r="U58" s="28">
        <v>400</v>
      </c>
      <c r="W58" s="9">
        <v>62</v>
      </c>
      <c r="X58" s="9" t="s">
        <v>29</v>
      </c>
      <c r="AF58">
        <v>59</v>
      </c>
      <c r="AG58" t="s">
        <v>29</v>
      </c>
      <c r="AH58">
        <v>981.77</v>
      </c>
      <c r="AI58" s="7">
        <v>45648</v>
      </c>
    </row>
    <row r="59" spans="1:35">
      <c r="A59">
        <v>63</v>
      </c>
      <c r="B59" t="str">
        <f t="shared" si="0"/>
        <v>EUR</v>
      </c>
      <c r="C59">
        <f t="shared" si="1"/>
        <v>0</v>
      </c>
      <c r="D59">
        <f t="shared" si="11"/>
        <v>0</v>
      </c>
      <c r="E59">
        <f t="shared" si="12"/>
        <v>0</v>
      </c>
      <c r="F59">
        <v>2268</v>
      </c>
      <c r="G59">
        <f t="shared" si="13"/>
        <v>2268</v>
      </c>
      <c r="H59">
        <f t="shared" si="14"/>
        <v>2630.8799999999997</v>
      </c>
      <c r="I59">
        <f t="shared" si="2"/>
        <v>0</v>
      </c>
      <c r="J59">
        <f t="shared" si="19"/>
        <v>0</v>
      </c>
      <c r="K59" s="7">
        <f t="shared" si="3"/>
        <v>45682</v>
      </c>
      <c r="L59" s="7">
        <f t="shared" si="20"/>
        <v>45652</v>
      </c>
      <c r="M59">
        <f t="shared" si="21"/>
        <v>12</v>
      </c>
      <c r="N59">
        <f t="shared" si="22"/>
        <v>2024</v>
      </c>
      <c r="Q59" s="22">
        <v>95</v>
      </c>
      <c r="R59" s="22">
        <v>23614.400000000001</v>
      </c>
      <c r="S59" s="22" t="str">
        <f t="shared" si="7"/>
        <v>MXN</v>
      </c>
      <c r="T59" s="22">
        <f t="shared" si="9"/>
        <v>1322.4064000000001</v>
      </c>
      <c r="U59" s="28">
        <v>400</v>
      </c>
      <c r="W59" s="9">
        <v>62</v>
      </c>
      <c r="X59" s="9" t="s">
        <v>29</v>
      </c>
      <c r="AF59">
        <v>60</v>
      </c>
      <c r="AG59" t="s">
        <v>29</v>
      </c>
      <c r="AH59">
        <v>206.9</v>
      </c>
      <c r="AI59" s="7">
        <v>45631</v>
      </c>
    </row>
    <row r="60" spans="1:35">
      <c r="A60">
        <v>64</v>
      </c>
      <c r="B60" t="str">
        <f t="shared" si="0"/>
        <v>USD</v>
      </c>
      <c r="C60">
        <f t="shared" si="1"/>
        <v>0</v>
      </c>
      <c r="D60">
        <f t="shared" si="11"/>
        <v>0</v>
      </c>
      <c r="E60">
        <f t="shared" si="12"/>
        <v>0</v>
      </c>
      <c r="F60">
        <v>1062</v>
      </c>
      <c r="G60">
        <f t="shared" si="13"/>
        <v>913.31999999999994</v>
      </c>
      <c r="H60">
        <f t="shared" si="14"/>
        <v>1062</v>
      </c>
      <c r="I60">
        <f t="shared" si="2"/>
        <v>0</v>
      </c>
      <c r="J60">
        <f t="shared" si="19"/>
        <v>0</v>
      </c>
      <c r="K60" s="7">
        <f t="shared" si="3"/>
        <v>45639</v>
      </c>
      <c r="L60" s="7">
        <f t="shared" si="20"/>
        <v>45609</v>
      </c>
      <c r="M60">
        <f t="shared" si="21"/>
        <v>11</v>
      </c>
      <c r="N60">
        <f t="shared" si="22"/>
        <v>2024</v>
      </c>
      <c r="Q60" s="22">
        <v>97</v>
      </c>
      <c r="R60" s="22">
        <v>494.4</v>
      </c>
      <c r="S60" s="22" t="str">
        <f t="shared" si="7"/>
        <v>EUR</v>
      </c>
      <c r="T60" s="22">
        <f t="shared" si="9"/>
        <v>573.50399999999991</v>
      </c>
      <c r="U60" s="28">
        <v>400</v>
      </c>
      <c r="W60" s="9">
        <v>63</v>
      </c>
      <c r="X60" s="9" t="s">
        <v>27</v>
      </c>
      <c r="AF60">
        <v>61</v>
      </c>
      <c r="AG60" t="s">
        <v>29</v>
      </c>
      <c r="AH60">
        <v>4265.6099999999997</v>
      </c>
      <c r="AI60" s="7">
        <v>45730</v>
      </c>
    </row>
    <row r="61" spans="1:35">
      <c r="A61">
        <v>65</v>
      </c>
      <c r="B61" t="str">
        <f t="shared" si="0"/>
        <v>USD</v>
      </c>
      <c r="C61">
        <f t="shared" si="1"/>
        <v>3305.25</v>
      </c>
      <c r="D61">
        <f t="shared" si="11"/>
        <v>2842.5149999999999</v>
      </c>
      <c r="E61">
        <f t="shared" si="12"/>
        <v>3305.25</v>
      </c>
      <c r="F61">
        <v>3305.25</v>
      </c>
      <c r="G61">
        <f t="shared" si="13"/>
        <v>2842.5149999999999</v>
      </c>
      <c r="H61">
        <f t="shared" si="14"/>
        <v>3305.25</v>
      </c>
      <c r="I61">
        <f t="shared" si="2"/>
        <v>0</v>
      </c>
      <c r="J61">
        <f t="shared" si="19"/>
        <v>0</v>
      </c>
      <c r="K61" s="7">
        <f t="shared" si="3"/>
        <v>45688</v>
      </c>
      <c r="L61" s="7">
        <f t="shared" si="20"/>
        <v>45658</v>
      </c>
      <c r="M61">
        <f t="shared" si="21"/>
        <v>1</v>
      </c>
      <c r="N61">
        <f t="shared" si="22"/>
        <v>2025</v>
      </c>
      <c r="Q61" s="22">
        <v>98</v>
      </c>
      <c r="R61" s="22">
        <v>33897.49</v>
      </c>
      <c r="S61" s="22" t="str">
        <f t="shared" si="7"/>
        <v>EUR</v>
      </c>
      <c r="T61" s="22">
        <f t="shared" si="9"/>
        <v>39321.088399999993</v>
      </c>
      <c r="U61" s="28">
        <v>400</v>
      </c>
      <c r="W61" s="9">
        <v>64</v>
      </c>
      <c r="X61" s="9" t="s">
        <v>29</v>
      </c>
      <c r="AF61">
        <v>62</v>
      </c>
      <c r="AG61" t="s">
        <v>29</v>
      </c>
      <c r="AH61">
        <v>13321.75</v>
      </c>
      <c r="AI61" s="7">
        <v>45737</v>
      </c>
    </row>
    <row r="62" spans="1:35">
      <c r="A62">
        <v>66</v>
      </c>
      <c r="B62" t="str">
        <f t="shared" si="0"/>
        <v>USD</v>
      </c>
      <c r="C62">
        <f t="shared" si="1"/>
        <v>3113.15</v>
      </c>
      <c r="D62">
        <f t="shared" si="11"/>
        <v>2677.3090000000002</v>
      </c>
      <c r="E62">
        <f t="shared" si="12"/>
        <v>3113.15</v>
      </c>
      <c r="F62">
        <v>3113.15</v>
      </c>
      <c r="G62">
        <f t="shared" si="13"/>
        <v>2677.3090000000002</v>
      </c>
      <c r="H62">
        <f t="shared" si="14"/>
        <v>3113.15</v>
      </c>
      <c r="I62">
        <f t="shared" si="2"/>
        <v>0</v>
      </c>
      <c r="J62">
        <f t="shared" si="19"/>
        <v>0</v>
      </c>
      <c r="K62" s="7">
        <f t="shared" si="3"/>
        <v>45687</v>
      </c>
      <c r="L62" s="7">
        <f t="shared" si="20"/>
        <v>45657</v>
      </c>
      <c r="M62">
        <f t="shared" si="21"/>
        <v>12</v>
      </c>
      <c r="N62">
        <f t="shared" si="22"/>
        <v>2024</v>
      </c>
      <c r="Q62" s="22">
        <v>99</v>
      </c>
      <c r="R62" s="22">
        <v>26938.799999999999</v>
      </c>
      <c r="S62" s="22" t="str">
        <f t="shared" si="7"/>
        <v>EUR</v>
      </c>
      <c r="T62" s="22">
        <f t="shared" si="9"/>
        <v>31249.007999999998</v>
      </c>
      <c r="U62" s="28">
        <v>400</v>
      </c>
      <c r="W62" s="9">
        <v>69</v>
      </c>
      <c r="X62" s="9" t="s">
        <v>29</v>
      </c>
      <c r="AF62">
        <v>63</v>
      </c>
      <c r="AG62" t="s">
        <v>27</v>
      </c>
      <c r="AH62">
        <v>2268</v>
      </c>
      <c r="AI62" s="7">
        <v>45682</v>
      </c>
    </row>
    <row r="63" spans="1:35">
      <c r="A63">
        <v>67</v>
      </c>
      <c r="B63" t="str">
        <f t="shared" si="0"/>
        <v>USD</v>
      </c>
      <c r="C63">
        <f t="shared" si="1"/>
        <v>3113.15</v>
      </c>
      <c r="D63">
        <f t="shared" si="11"/>
        <v>2677.3090000000002</v>
      </c>
      <c r="E63">
        <f t="shared" si="12"/>
        <v>3113.15</v>
      </c>
      <c r="F63">
        <v>3113.15</v>
      </c>
      <c r="G63">
        <f t="shared" si="13"/>
        <v>2677.3090000000002</v>
      </c>
      <c r="H63">
        <f t="shared" si="14"/>
        <v>3113.15</v>
      </c>
      <c r="I63">
        <f t="shared" si="2"/>
        <v>0</v>
      </c>
      <c r="J63">
        <f t="shared" si="19"/>
        <v>0</v>
      </c>
      <c r="K63" s="7">
        <f t="shared" si="3"/>
        <v>45687</v>
      </c>
      <c r="L63" s="7">
        <f t="shared" si="20"/>
        <v>45657</v>
      </c>
      <c r="M63">
        <f t="shared" si="21"/>
        <v>12</v>
      </c>
      <c r="N63">
        <f t="shared" si="22"/>
        <v>2024</v>
      </c>
      <c r="Q63" s="22">
        <v>100</v>
      </c>
      <c r="R63" s="22">
        <v>4583</v>
      </c>
      <c r="S63" s="22" t="str">
        <f t="shared" si="7"/>
        <v>USD</v>
      </c>
      <c r="T63" s="22">
        <f t="shared" si="9"/>
        <v>4583</v>
      </c>
      <c r="U63" s="28">
        <v>400</v>
      </c>
      <c r="W63" s="9">
        <v>71</v>
      </c>
      <c r="X63" s="9" t="s">
        <v>29</v>
      </c>
      <c r="AF63">
        <v>64</v>
      </c>
      <c r="AG63" t="s">
        <v>29</v>
      </c>
      <c r="AH63">
        <v>1062</v>
      </c>
      <c r="AI63" s="7">
        <v>45639</v>
      </c>
    </row>
    <row r="64" spans="1:35">
      <c r="A64">
        <v>68</v>
      </c>
      <c r="B64" t="str">
        <f t="shared" si="0"/>
        <v>USD</v>
      </c>
      <c r="C64">
        <f t="shared" si="1"/>
        <v>3130.1</v>
      </c>
      <c r="D64">
        <f t="shared" si="11"/>
        <v>2691.886</v>
      </c>
      <c r="E64">
        <f t="shared" si="12"/>
        <v>3130.1</v>
      </c>
      <c r="F64">
        <v>3130.1</v>
      </c>
      <c r="G64">
        <f t="shared" si="13"/>
        <v>2691.886</v>
      </c>
      <c r="H64">
        <f t="shared" si="14"/>
        <v>3130.1</v>
      </c>
      <c r="I64">
        <f t="shared" si="2"/>
        <v>0</v>
      </c>
      <c r="J64">
        <f t="shared" si="19"/>
        <v>0</v>
      </c>
      <c r="K64" s="7">
        <f t="shared" si="3"/>
        <v>45687</v>
      </c>
      <c r="L64" s="7">
        <f t="shared" si="20"/>
        <v>45657</v>
      </c>
      <c r="M64">
        <f t="shared" si="21"/>
        <v>12</v>
      </c>
      <c r="N64">
        <f t="shared" si="22"/>
        <v>2024</v>
      </c>
      <c r="Q64" s="22">
        <v>102</v>
      </c>
      <c r="R64" s="22">
        <v>8979.2000000000007</v>
      </c>
      <c r="S64" s="22" t="str">
        <f t="shared" si="7"/>
        <v>USD</v>
      </c>
      <c r="T64" s="22">
        <f t="shared" si="9"/>
        <v>8979.2000000000007</v>
      </c>
      <c r="U64" s="28">
        <v>400</v>
      </c>
      <c r="W64" s="9">
        <v>71</v>
      </c>
      <c r="X64" s="9" t="s">
        <v>29</v>
      </c>
      <c r="AF64">
        <v>65</v>
      </c>
      <c r="AG64" t="s">
        <v>29</v>
      </c>
      <c r="AH64">
        <v>3305.25</v>
      </c>
      <c r="AI64" s="7">
        <v>45688</v>
      </c>
    </row>
    <row r="65" spans="1:35">
      <c r="A65">
        <v>69</v>
      </c>
      <c r="B65" t="str">
        <f t="shared" si="0"/>
        <v>USD</v>
      </c>
      <c r="C65">
        <f t="shared" si="1"/>
        <v>35</v>
      </c>
      <c r="D65">
        <f t="shared" si="11"/>
        <v>30.099999999999998</v>
      </c>
      <c r="E65">
        <f t="shared" si="12"/>
        <v>35</v>
      </c>
      <c r="F65">
        <v>1401</v>
      </c>
      <c r="G65">
        <f t="shared" si="13"/>
        <v>1204.8599999999999</v>
      </c>
      <c r="H65">
        <f t="shared" si="14"/>
        <v>1401</v>
      </c>
      <c r="I65">
        <f t="shared" si="2"/>
        <v>0</v>
      </c>
      <c r="J65">
        <f t="shared" si="19"/>
        <v>0</v>
      </c>
      <c r="K65" s="7">
        <f t="shared" si="3"/>
        <v>45653</v>
      </c>
      <c r="L65" s="7">
        <f t="shared" si="20"/>
        <v>45623</v>
      </c>
      <c r="M65">
        <f t="shared" si="21"/>
        <v>11</v>
      </c>
      <c r="N65">
        <f t="shared" si="22"/>
        <v>2024</v>
      </c>
      <c r="Q65" s="22">
        <v>104</v>
      </c>
      <c r="R65" s="22">
        <v>15213.21</v>
      </c>
      <c r="S65" s="22" t="str">
        <f t="shared" si="7"/>
        <v>USD</v>
      </c>
      <c r="T65" s="22">
        <f t="shared" si="9"/>
        <v>15213.21</v>
      </c>
      <c r="U65" s="28">
        <v>400</v>
      </c>
      <c r="W65" s="9">
        <v>71</v>
      </c>
      <c r="X65" s="9" t="s">
        <v>29</v>
      </c>
      <c r="AF65">
        <v>66</v>
      </c>
      <c r="AG65" t="s">
        <v>29</v>
      </c>
      <c r="AH65">
        <v>3113.15</v>
      </c>
      <c r="AI65" s="7">
        <v>45687</v>
      </c>
    </row>
    <row r="66" spans="1:35">
      <c r="A66">
        <v>70</v>
      </c>
      <c r="B66" t="str">
        <f t="shared" si="0"/>
        <v>USD</v>
      </c>
      <c r="C66">
        <f t="shared" si="1"/>
        <v>10263</v>
      </c>
      <c r="D66">
        <f t="shared" si="11"/>
        <v>8826.18</v>
      </c>
      <c r="E66">
        <f t="shared" si="12"/>
        <v>10263</v>
      </c>
      <c r="F66">
        <v>10263</v>
      </c>
      <c r="G66">
        <f t="shared" si="13"/>
        <v>8826.18</v>
      </c>
      <c r="H66">
        <f t="shared" si="14"/>
        <v>10263</v>
      </c>
      <c r="I66">
        <f t="shared" si="2"/>
        <v>0</v>
      </c>
      <c r="J66">
        <f t="shared" si="19"/>
        <v>0</v>
      </c>
      <c r="K66" s="7">
        <f t="shared" si="3"/>
        <v>45738</v>
      </c>
      <c r="L66" s="7">
        <f t="shared" si="20"/>
        <v>45708</v>
      </c>
      <c r="M66">
        <f t="shared" si="21"/>
        <v>2</v>
      </c>
      <c r="N66">
        <f t="shared" si="22"/>
        <v>2025</v>
      </c>
      <c r="Q66" s="22">
        <v>105</v>
      </c>
      <c r="R66" s="22">
        <v>268</v>
      </c>
      <c r="S66" s="22" t="str">
        <f t="shared" si="7"/>
        <v>USD</v>
      </c>
      <c r="T66" s="22">
        <f t="shared" si="9"/>
        <v>268</v>
      </c>
      <c r="U66" s="28">
        <v>400</v>
      </c>
      <c r="W66" s="9">
        <v>72</v>
      </c>
      <c r="X66" s="9" t="s">
        <v>29</v>
      </c>
      <c r="AF66">
        <v>67</v>
      </c>
      <c r="AG66" t="s">
        <v>29</v>
      </c>
      <c r="AH66">
        <v>3113.15</v>
      </c>
      <c r="AI66" s="7">
        <v>45687</v>
      </c>
    </row>
    <row r="67" spans="1:35">
      <c r="A67">
        <v>71</v>
      </c>
      <c r="B67" t="str">
        <f t="shared" ref="B67:B130" si="23">_xlfn.XLOOKUP(A67,AF:AF,AG:AG)</f>
        <v>USD</v>
      </c>
      <c r="C67">
        <f t="shared" ref="C67:C130" si="24">_xlfn.XLOOKUP(A67,AF:AF,AH:AH)-_xlfn.XLOOKUP(A67,Q:Q,R:R,"0")</f>
        <v>116495</v>
      </c>
      <c r="D67">
        <f t="shared" si="11"/>
        <v>100185.7</v>
      </c>
      <c r="E67">
        <f t="shared" si="12"/>
        <v>116495</v>
      </c>
      <c r="F67">
        <v>122753.60000000001</v>
      </c>
      <c r="G67">
        <f t="shared" si="13"/>
        <v>105568.09600000001</v>
      </c>
      <c r="H67">
        <f t="shared" si="14"/>
        <v>122753.60000000001</v>
      </c>
      <c r="I67">
        <f t="shared" ref="I67:I130" si="25">C67-F67+_xlfn.XLOOKUP(A67,Q:Q,R:R,"0")-_xlfn.XLOOKUP(A67,Z:Z,AA:AA,"0")</f>
        <v>-5.4569682106375694E-12</v>
      </c>
      <c r="J67">
        <f t="shared" si="19"/>
        <v>-5.4569682106375694E-12</v>
      </c>
      <c r="K67" s="7">
        <f t="shared" ref="K67:K130" si="26">_xlfn.XLOOKUP(A67,AF:AF,AI:AI)</f>
        <v>45917</v>
      </c>
      <c r="L67" s="7">
        <f t="shared" si="20"/>
        <v>45887</v>
      </c>
      <c r="M67">
        <f t="shared" si="21"/>
        <v>8</v>
      </c>
      <c r="N67">
        <f t="shared" si="22"/>
        <v>2025</v>
      </c>
      <c r="Q67" s="22">
        <v>106</v>
      </c>
      <c r="R67" s="22">
        <v>268</v>
      </c>
      <c r="S67" s="22" t="str">
        <f t="shared" ref="S67:S130" si="27">_xlfn.XLOOKUP(Q67,W:W,X:X)</f>
        <v>USD</v>
      </c>
      <c r="T67" s="22">
        <f t="shared" si="9"/>
        <v>268</v>
      </c>
      <c r="U67" s="28">
        <v>400</v>
      </c>
      <c r="W67" s="9">
        <v>73</v>
      </c>
      <c r="X67" s="9" t="s">
        <v>29</v>
      </c>
      <c r="AF67">
        <v>68</v>
      </c>
      <c r="AG67" t="s">
        <v>29</v>
      </c>
      <c r="AH67">
        <v>3130.1</v>
      </c>
      <c r="AI67" s="7">
        <v>45687</v>
      </c>
    </row>
    <row r="68" spans="1:35">
      <c r="A68">
        <v>72</v>
      </c>
      <c r="B68" t="str">
        <f t="shared" si="23"/>
        <v>USD</v>
      </c>
      <c r="C68">
        <f t="shared" si="24"/>
        <v>0</v>
      </c>
      <c r="D68">
        <f t="shared" si="11"/>
        <v>0</v>
      </c>
      <c r="E68">
        <f t="shared" si="12"/>
        <v>0</v>
      </c>
      <c r="F68">
        <v>201</v>
      </c>
      <c r="G68">
        <f t="shared" si="13"/>
        <v>172.85999999999999</v>
      </c>
      <c r="H68">
        <f t="shared" si="14"/>
        <v>201</v>
      </c>
      <c r="I68">
        <f t="shared" si="25"/>
        <v>0</v>
      </c>
      <c r="J68">
        <f t="shared" si="19"/>
        <v>0</v>
      </c>
      <c r="K68" s="7">
        <f t="shared" si="26"/>
        <v>45632</v>
      </c>
      <c r="L68" s="7">
        <f t="shared" si="20"/>
        <v>45602</v>
      </c>
      <c r="M68">
        <f t="shared" si="21"/>
        <v>11</v>
      </c>
      <c r="N68">
        <f t="shared" si="22"/>
        <v>2024</v>
      </c>
      <c r="Q68" s="22">
        <v>107</v>
      </c>
      <c r="R68" s="22">
        <v>494</v>
      </c>
      <c r="S68" s="22" t="str">
        <f t="shared" si="27"/>
        <v>USD</v>
      </c>
      <c r="T68" s="22">
        <f t="shared" si="9"/>
        <v>494</v>
      </c>
      <c r="U68" s="28">
        <v>400</v>
      </c>
      <c r="W68" s="9">
        <v>74</v>
      </c>
      <c r="X68" s="9" t="s">
        <v>29</v>
      </c>
      <c r="AF68">
        <v>69</v>
      </c>
      <c r="AG68" t="s">
        <v>29</v>
      </c>
      <c r="AH68">
        <v>1401</v>
      </c>
      <c r="AI68" s="7">
        <v>45653</v>
      </c>
    </row>
    <row r="69" spans="1:35">
      <c r="A69">
        <v>73</v>
      </c>
      <c r="B69" t="str">
        <f t="shared" si="23"/>
        <v>USD</v>
      </c>
      <c r="C69">
        <f t="shared" si="24"/>
        <v>0</v>
      </c>
      <c r="D69">
        <f t="shared" si="11"/>
        <v>0</v>
      </c>
      <c r="E69">
        <f t="shared" si="12"/>
        <v>0</v>
      </c>
      <c r="F69">
        <v>11485.71</v>
      </c>
      <c r="G69">
        <f t="shared" si="13"/>
        <v>9877.7105999999985</v>
      </c>
      <c r="H69">
        <f t="shared" si="14"/>
        <v>11485.71</v>
      </c>
      <c r="I69">
        <f t="shared" si="25"/>
        <v>0</v>
      </c>
      <c r="J69">
        <f t="shared" si="19"/>
        <v>0</v>
      </c>
      <c r="K69" s="7">
        <f t="shared" si="26"/>
        <v>45763</v>
      </c>
      <c r="L69" s="7">
        <f t="shared" si="20"/>
        <v>45733</v>
      </c>
      <c r="M69">
        <f t="shared" si="21"/>
        <v>3</v>
      </c>
      <c r="N69">
        <f t="shared" si="22"/>
        <v>2025</v>
      </c>
      <c r="Q69" s="22">
        <v>108</v>
      </c>
      <c r="R69" s="22">
        <v>76619.67</v>
      </c>
      <c r="S69" s="22" t="str">
        <f t="shared" si="27"/>
        <v>USD</v>
      </c>
      <c r="T69" s="22">
        <f t="shared" si="9"/>
        <v>76619.67</v>
      </c>
      <c r="U69" s="28">
        <v>400</v>
      </c>
      <c r="W69" s="9">
        <v>75</v>
      </c>
      <c r="X69" s="9" t="s">
        <v>29</v>
      </c>
      <c r="AF69">
        <v>70</v>
      </c>
      <c r="AG69" t="s">
        <v>29</v>
      </c>
      <c r="AH69">
        <v>10263</v>
      </c>
      <c r="AI69" s="7">
        <v>45738</v>
      </c>
    </row>
    <row r="70" spans="1:35">
      <c r="A70">
        <v>74</v>
      </c>
      <c r="B70" t="str">
        <f t="shared" si="23"/>
        <v>USD</v>
      </c>
      <c r="C70">
        <f t="shared" si="24"/>
        <v>0</v>
      </c>
      <c r="D70">
        <f t="shared" si="11"/>
        <v>0</v>
      </c>
      <c r="E70">
        <f t="shared" si="12"/>
        <v>0</v>
      </c>
      <c r="F70">
        <v>260</v>
      </c>
      <c r="G70">
        <f t="shared" si="13"/>
        <v>223.6</v>
      </c>
      <c r="H70">
        <f t="shared" si="14"/>
        <v>260</v>
      </c>
      <c r="I70">
        <f t="shared" si="25"/>
        <v>0</v>
      </c>
      <c r="J70">
        <f t="shared" si="19"/>
        <v>0</v>
      </c>
      <c r="K70" s="7">
        <f t="shared" si="26"/>
        <v>45648</v>
      </c>
      <c r="L70" s="7">
        <f t="shared" si="20"/>
        <v>45618</v>
      </c>
      <c r="M70">
        <f t="shared" si="21"/>
        <v>11</v>
      </c>
      <c r="N70">
        <f t="shared" si="22"/>
        <v>2024</v>
      </c>
      <c r="Q70" s="22">
        <v>109</v>
      </c>
      <c r="R70" s="22">
        <v>95573</v>
      </c>
      <c r="S70" s="22" t="str">
        <f t="shared" si="27"/>
        <v>MXN</v>
      </c>
      <c r="T70" s="22">
        <f t="shared" si="9"/>
        <v>5352.0879999999997</v>
      </c>
      <c r="U70" s="28">
        <v>400</v>
      </c>
      <c r="W70" s="9">
        <v>76</v>
      </c>
      <c r="X70" s="9" t="s">
        <v>29</v>
      </c>
      <c r="AF70">
        <v>71</v>
      </c>
      <c r="AG70" t="s">
        <v>29</v>
      </c>
      <c r="AH70">
        <v>122753.60000000001</v>
      </c>
      <c r="AI70" s="7">
        <v>45917</v>
      </c>
    </row>
    <row r="71" spans="1:35">
      <c r="A71">
        <v>75</v>
      </c>
      <c r="B71" t="str">
        <f t="shared" si="23"/>
        <v>USD</v>
      </c>
      <c r="C71">
        <f t="shared" si="24"/>
        <v>0</v>
      </c>
      <c r="D71">
        <f t="shared" si="11"/>
        <v>0</v>
      </c>
      <c r="E71">
        <f t="shared" si="12"/>
        <v>0</v>
      </c>
      <c r="F71">
        <v>2250</v>
      </c>
      <c r="G71">
        <f t="shared" si="13"/>
        <v>1935</v>
      </c>
      <c r="H71">
        <f t="shared" si="14"/>
        <v>2250</v>
      </c>
      <c r="I71">
        <f t="shared" si="25"/>
        <v>0</v>
      </c>
      <c r="J71">
        <f t="shared" si="19"/>
        <v>0</v>
      </c>
      <c r="K71" s="7">
        <f t="shared" si="26"/>
        <v>45738</v>
      </c>
      <c r="L71" s="7">
        <f t="shared" si="20"/>
        <v>45708</v>
      </c>
      <c r="M71">
        <f t="shared" si="21"/>
        <v>2</v>
      </c>
      <c r="N71">
        <f t="shared" si="22"/>
        <v>2025</v>
      </c>
      <c r="Q71" s="22">
        <v>110</v>
      </c>
      <c r="R71" s="22">
        <v>302.2</v>
      </c>
      <c r="S71" s="22" t="str">
        <f t="shared" si="27"/>
        <v>USD</v>
      </c>
      <c r="T71" s="22">
        <f t="shared" si="9"/>
        <v>302.2</v>
      </c>
      <c r="U71" s="28">
        <v>400</v>
      </c>
      <c r="W71" s="9">
        <v>76</v>
      </c>
      <c r="X71" s="9" t="s">
        <v>29</v>
      </c>
      <c r="AF71">
        <v>72</v>
      </c>
      <c r="AG71" t="s">
        <v>29</v>
      </c>
      <c r="AH71">
        <v>201</v>
      </c>
      <c r="AI71" s="7">
        <v>45632</v>
      </c>
    </row>
    <row r="72" spans="1:35">
      <c r="A72">
        <v>76</v>
      </c>
      <c r="B72" t="str">
        <f t="shared" si="23"/>
        <v>USD</v>
      </c>
      <c r="C72">
        <f t="shared" si="24"/>
        <v>0</v>
      </c>
      <c r="D72">
        <f t="shared" si="11"/>
        <v>0</v>
      </c>
      <c r="E72">
        <f t="shared" si="12"/>
        <v>0</v>
      </c>
      <c r="F72">
        <v>4434.01</v>
      </c>
      <c r="G72">
        <f t="shared" si="13"/>
        <v>3813.2486000000004</v>
      </c>
      <c r="H72">
        <f t="shared" si="14"/>
        <v>4434.01</v>
      </c>
      <c r="I72">
        <f t="shared" si="25"/>
        <v>0</v>
      </c>
      <c r="J72">
        <f t="shared" si="19"/>
        <v>0</v>
      </c>
      <c r="K72" s="7">
        <f t="shared" si="26"/>
        <v>45688</v>
      </c>
      <c r="L72" s="7">
        <f t="shared" si="20"/>
        <v>45658</v>
      </c>
      <c r="M72">
        <f t="shared" si="21"/>
        <v>1</v>
      </c>
      <c r="N72">
        <f t="shared" si="22"/>
        <v>2025</v>
      </c>
      <c r="Q72" s="22">
        <v>111</v>
      </c>
      <c r="R72" s="22">
        <v>82419</v>
      </c>
      <c r="S72" s="22" t="str">
        <f t="shared" si="27"/>
        <v>GPB</v>
      </c>
      <c r="T72" s="22">
        <f t="shared" si="9"/>
        <v>110441.46</v>
      </c>
      <c r="U72" s="28">
        <v>400</v>
      </c>
      <c r="W72" s="9">
        <v>76</v>
      </c>
      <c r="X72" s="9" t="s">
        <v>29</v>
      </c>
      <c r="AF72">
        <v>73</v>
      </c>
      <c r="AG72" t="s">
        <v>29</v>
      </c>
      <c r="AH72">
        <v>11485.71</v>
      </c>
      <c r="AI72" s="7">
        <v>45763</v>
      </c>
    </row>
    <row r="73" spans="1:35">
      <c r="A73">
        <v>77</v>
      </c>
      <c r="B73" t="str">
        <f t="shared" si="23"/>
        <v>USD</v>
      </c>
      <c r="C73">
        <f t="shared" si="24"/>
        <v>688</v>
      </c>
      <c r="D73">
        <f t="shared" si="11"/>
        <v>591.67999999999995</v>
      </c>
      <c r="E73">
        <f t="shared" si="12"/>
        <v>688</v>
      </c>
      <c r="F73">
        <v>688</v>
      </c>
      <c r="G73">
        <f t="shared" si="13"/>
        <v>591.67999999999995</v>
      </c>
      <c r="H73">
        <f t="shared" si="14"/>
        <v>688</v>
      </c>
      <c r="I73">
        <f t="shared" si="25"/>
        <v>0</v>
      </c>
      <c r="J73">
        <f t="shared" si="19"/>
        <v>0</v>
      </c>
      <c r="K73" s="7">
        <f t="shared" si="26"/>
        <v>45688</v>
      </c>
      <c r="L73" s="7">
        <f t="shared" si="20"/>
        <v>45658</v>
      </c>
      <c r="M73">
        <f t="shared" si="21"/>
        <v>1</v>
      </c>
      <c r="N73">
        <f t="shared" si="22"/>
        <v>2025</v>
      </c>
      <c r="Q73" s="22">
        <v>112</v>
      </c>
      <c r="R73" s="22">
        <v>1098</v>
      </c>
      <c r="S73" s="22" t="str">
        <f t="shared" si="27"/>
        <v>USD</v>
      </c>
      <c r="T73" s="22">
        <f t="shared" si="9"/>
        <v>1098</v>
      </c>
      <c r="U73" s="28">
        <v>400</v>
      </c>
      <c r="W73" s="9">
        <v>76</v>
      </c>
      <c r="X73" s="9" t="s">
        <v>29</v>
      </c>
      <c r="AF73">
        <v>74</v>
      </c>
      <c r="AG73" t="s">
        <v>29</v>
      </c>
      <c r="AH73">
        <v>260</v>
      </c>
      <c r="AI73" s="7">
        <v>45648</v>
      </c>
    </row>
    <row r="74" spans="1:35">
      <c r="A74">
        <v>78</v>
      </c>
      <c r="B74" t="str">
        <f t="shared" si="23"/>
        <v>USD</v>
      </c>
      <c r="C74">
        <f t="shared" si="24"/>
        <v>0</v>
      </c>
      <c r="D74">
        <f t="shared" si="11"/>
        <v>0</v>
      </c>
      <c r="E74">
        <f t="shared" si="12"/>
        <v>0</v>
      </c>
      <c r="F74">
        <v>688</v>
      </c>
      <c r="G74">
        <f t="shared" si="13"/>
        <v>591.67999999999995</v>
      </c>
      <c r="H74">
        <f t="shared" si="14"/>
        <v>688</v>
      </c>
      <c r="I74">
        <f t="shared" si="25"/>
        <v>0</v>
      </c>
      <c r="J74">
        <f t="shared" si="19"/>
        <v>0</v>
      </c>
      <c r="K74" s="7">
        <f t="shared" si="26"/>
        <v>45688</v>
      </c>
      <c r="L74" s="7">
        <f t="shared" si="20"/>
        <v>45658</v>
      </c>
      <c r="M74">
        <f t="shared" si="21"/>
        <v>1</v>
      </c>
      <c r="N74">
        <f t="shared" si="22"/>
        <v>2025</v>
      </c>
      <c r="Q74" s="22">
        <v>113</v>
      </c>
      <c r="R74" s="22">
        <v>20777.39</v>
      </c>
      <c r="S74" s="22" t="str">
        <f t="shared" si="27"/>
        <v>USD</v>
      </c>
      <c r="T74" s="22">
        <f t="shared" si="9"/>
        <v>20777.39</v>
      </c>
      <c r="U74" s="28">
        <v>400</v>
      </c>
      <c r="W74" s="9">
        <v>78</v>
      </c>
      <c r="X74" s="9" t="s">
        <v>29</v>
      </c>
      <c r="AF74">
        <v>75</v>
      </c>
      <c r="AG74" t="s">
        <v>29</v>
      </c>
      <c r="AH74">
        <v>2250</v>
      </c>
      <c r="AI74" s="7">
        <v>45738</v>
      </c>
    </row>
    <row r="75" spans="1:35">
      <c r="A75">
        <v>79</v>
      </c>
      <c r="B75" t="str">
        <f t="shared" si="23"/>
        <v>USD</v>
      </c>
      <c r="C75">
        <f t="shared" si="24"/>
        <v>0</v>
      </c>
      <c r="D75">
        <f t="shared" si="11"/>
        <v>0</v>
      </c>
      <c r="E75">
        <f t="shared" si="12"/>
        <v>0</v>
      </c>
      <c r="F75">
        <v>3295.4</v>
      </c>
      <c r="G75">
        <f t="shared" si="13"/>
        <v>2834.0439999999999</v>
      </c>
      <c r="H75">
        <f t="shared" si="14"/>
        <v>3295.4</v>
      </c>
      <c r="I75">
        <f t="shared" si="25"/>
        <v>0</v>
      </c>
      <c r="J75">
        <f t="shared" si="19"/>
        <v>0</v>
      </c>
      <c r="K75" s="7">
        <f t="shared" si="26"/>
        <v>45690</v>
      </c>
      <c r="L75" s="7">
        <f t="shared" si="20"/>
        <v>45660</v>
      </c>
      <c r="M75">
        <f t="shared" si="21"/>
        <v>1</v>
      </c>
      <c r="N75">
        <f t="shared" si="22"/>
        <v>2025</v>
      </c>
      <c r="Q75" s="22">
        <v>114</v>
      </c>
      <c r="R75" s="22">
        <v>113312.48</v>
      </c>
      <c r="S75" s="22" t="str">
        <f t="shared" si="27"/>
        <v>MXN</v>
      </c>
      <c r="T75" s="22">
        <f t="shared" si="9"/>
        <v>6345.4988800000001</v>
      </c>
      <c r="U75" s="28">
        <v>400</v>
      </c>
      <c r="W75" s="9">
        <v>79</v>
      </c>
      <c r="X75" s="9" t="s">
        <v>29</v>
      </c>
      <c r="AF75">
        <v>76</v>
      </c>
      <c r="AG75" t="s">
        <v>29</v>
      </c>
      <c r="AH75">
        <v>4434.01</v>
      </c>
      <c r="AI75" s="7">
        <v>45688</v>
      </c>
    </row>
    <row r="76" spans="1:35">
      <c r="A76">
        <v>81</v>
      </c>
      <c r="B76" t="str">
        <f t="shared" si="23"/>
        <v>USD</v>
      </c>
      <c r="C76">
        <f t="shared" si="24"/>
        <v>0</v>
      </c>
      <c r="D76">
        <f t="shared" si="11"/>
        <v>0</v>
      </c>
      <c r="E76">
        <f t="shared" si="12"/>
        <v>0</v>
      </c>
      <c r="F76">
        <v>4988</v>
      </c>
      <c r="G76">
        <f t="shared" si="13"/>
        <v>4289.68</v>
      </c>
      <c r="H76">
        <f t="shared" si="14"/>
        <v>4988</v>
      </c>
      <c r="I76">
        <f t="shared" si="25"/>
        <v>0</v>
      </c>
      <c r="J76">
        <f t="shared" si="19"/>
        <v>0</v>
      </c>
      <c r="K76" s="7">
        <f t="shared" si="26"/>
        <v>45690</v>
      </c>
      <c r="L76" s="7">
        <f t="shared" si="20"/>
        <v>45660</v>
      </c>
      <c r="M76">
        <f t="shared" si="21"/>
        <v>1</v>
      </c>
      <c r="N76">
        <f t="shared" si="22"/>
        <v>2025</v>
      </c>
      <c r="Q76" s="22">
        <v>117</v>
      </c>
      <c r="R76" s="22">
        <v>606.17999999999995</v>
      </c>
      <c r="S76" s="22" t="str">
        <f t="shared" si="27"/>
        <v>EUR</v>
      </c>
      <c r="T76" s="22">
        <f t="shared" si="9"/>
        <v>703.16879999999992</v>
      </c>
      <c r="U76" s="28">
        <v>400</v>
      </c>
      <c r="W76" s="9">
        <v>79</v>
      </c>
      <c r="X76" s="9" t="s">
        <v>29</v>
      </c>
      <c r="AF76">
        <v>77</v>
      </c>
      <c r="AG76" t="s">
        <v>29</v>
      </c>
      <c r="AH76">
        <v>688</v>
      </c>
      <c r="AI76" s="7">
        <v>45688</v>
      </c>
    </row>
    <row r="77" spans="1:35">
      <c r="A77">
        <v>82</v>
      </c>
      <c r="B77" t="str">
        <f t="shared" si="23"/>
        <v>USD</v>
      </c>
      <c r="C77">
        <f t="shared" si="24"/>
        <v>353536.69</v>
      </c>
      <c r="D77">
        <f t="shared" si="11"/>
        <v>304041.55339999998</v>
      </c>
      <c r="E77">
        <f t="shared" si="12"/>
        <v>353536.69</v>
      </c>
      <c r="F77">
        <v>375390.89</v>
      </c>
      <c r="G77">
        <f t="shared" si="13"/>
        <v>322836.1654</v>
      </c>
      <c r="H77">
        <f t="shared" si="14"/>
        <v>375390.89</v>
      </c>
      <c r="I77">
        <f t="shared" si="25"/>
        <v>-1.0913936421275139E-11</v>
      </c>
      <c r="J77">
        <f t="shared" si="19"/>
        <v>-1.0913936421275139E-11</v>
      </c>
      <c r="K77" s="7">
        <f t="shared" si="26"/>
        <v>45720</v>
      </c>
      <c r="L77" s="7">
        <f t="shared" si="20"/>
        <v>45690</v>
      </c>
      <c r="M77">
        <f t="shared" si="21"/>
        <v>2</v>
      </c>
      <c r="N77">
        <f t="shared" si="22"/>
        <v>2025</v>
      </c>
      <c r="Q77" s="22">
        <v>119</v>
      </c>
      <c r="R77" s="22">
        <v>1432.1</v>
      </c>
      <c r="S77" s="22" t="str">
        <f t="shared" si="27"/>
        <v>EUR</v>
      </c>
      <c r="T77" s="22">
        <f t="shared" si="9"/>
        <v>1661.2359999999999</v>
      </c>
      <c r="U77" s="28">
        <v>400</v>
      </c>
      <c r="W77" s="9">
        <v>81</v>
      </c>
      <c r="X77" s="9" t="s">
        <v>29</v>
      </c>
      <c r="AF77">
        <v>78</v>
      </c>
      <c r="AG77" t="s">
        <v>29</v>
      </c>
      <c r="AH77">
        <v>688</v>
      </c>
      <c r="AI77" s="7">
        <v>45688</v>
      </c>
    </row>
    <row r="78" spans="1:35">
      <c r="A78">
        <v>83</v>
      </c>
      <c r="B78" t="str">
        <f t="shared" si="23"/>
        <v>USD</v>
      </c>
      <c r="C78">
        <f t="shared" si="24"/>
        <v>0</v>
      </c>
      <c r="D78">
        <f t="shared" si="11"/>
        <v>0</v>
      </c>
      <c r="E78">
        <f t="shared" si="12"/>
        <v>0</v>
      </c>
      <c r="F78">
        <v>229</v>
      </c>
      <c r="G78">
        <f t="shared" si="13"/>
        <v>196.94</v>
      </c>
      <c r="H78">
        <f t="shared" si="14"/>
        <v>229</v>
      </c>
      <c r="I78">
        <f t="shared" si="25"/>
        <v>0</v>
      </c>
      <c r="J78">
        <f t="shared" si="19"/>
        <v>0</v>
      </c>
      <c r="K78" s="7">
        <f t="shared" si="26"/>
        <v>45645</v>
      </c>
      <c r="L78" s="7">
        <f t="shared" si="20"/>
        <v>45615</v>
      </c>
      <c r="M78">
        <f t="shared" si="21"/>
        <v>11</v>
      </c>
      <c r="N78">
        <f t="shared" si="22"/>
        <v>2024</v>
      </c>
      <c r="Q78" s="22">
        <v>120</v>
      </c>
      <c r="R78" s="22">
        <v>2383.6799999999998</v>
      </c>
      <c r="S78" s="22" t="str">
        <f t="shared" si="27"/>
        <v>USD</v>
      </c>
      <c r="T78" s="22">
        <f t="shared" si="9"/>
        <v>2383.6799999999998</v>
      </c>
      <c r="U78" s="28">
        <v>400</v>
      </c>
      <c r="W78" s="9">
        <v>81</v>
      </c>
      <c r="X78" s="9" t="s">
        <v>29</v>
      </c>
      <c r="AF78">
        <v>79</v>
      </c>
      <c r="AG78" t="s">
        <v>29</v>
      </c>
      <c r="AH78">
        <v>3295.4</v>
      </c>
      <c r="AI78" s="7">
        <v>45690</v>
      </c>
    </row>
    <row r="79" spans="1:35">
      <c r="A79">
        <v>84</v>
      </c>
      <c r="B79" t="str">
        <f t="shared" si="23"/>
        <v>USD</v>
      </c>
      <c r="C79">
        <f t="shared" si="24"/>
        <v>150</v>
      </c>
      <c r="D79">
        <f t="shared" si="11"/>
        <v>129</v>
      </c>
      <c r="E79">
        <f t="shared" si="12"/>
        <v>150</v>
      </c>
      <c r="F79">
        <v>1858.68</v>
      </c>
      <c r="G79">
        <f t="shared" si="13"/>
        <v>1598.4648</v>
      </c>
      <c r="H79">
        <f t="shared" si="14"/>
        <v>1858.68</v>
      </c>
      <c r="I79">
        <f t="shared" si="25"/>
        <v>0</v>
      </c>
      <c r="J79">
        <f t="shared" si="19"/>
        <v>0</v>
      </c>
      <c r="K79" s="7">
        <f t="shared" si="26"/>
        <v>45685</v>
      </c>
      <c r="L79" s="7">
        <f t="shared" si="20"/>
        <v>45655</v>
      </c>
      <c r="M79">
        <f t="shared" si="21"/>
        <v>12</v>
      </c>
      <c r="N79">
        <f t="shared" si="22"/>
        <v>2024</v>
      </c>
      <c r="Q79" s="22">
        <v>121</v>
      </c>
      <c r="R79" s="22">
        <v>1791.72</v>
      </c>
      <c r="S79" s="22" t="str">
        <f t="shared" si="27"/>
        <v>USD</v>
      </c>
      <c r="T79" s="22">
        <f t="shared" si="9"/>
        <v>1791.72</v>
      </c>
      <c r="U79" s="28">
        <v>400</v>
      </c>
      <c r="W79" s="9">
        <v>82</v>
      </c>
      <c r="X79" s="9" t="s">
        <v>29</v>
      </c>
      <c r="AF79">
        <v>81</v>
      </c>
      <c r="AG79" t="s">
        <v>29</v>
      </c>
      <c r="AH79">
        <v>4988</v>
      </c>
      <c r="AI79" s="7">
        <v>45690</v>
      </c>
    </row>
    <row r="80" spans="1:35">
      <c r="A80">
        <v>85</v>
      </c>
      <c r="B80" t="str">
        <f t="shared" si="23"/>
        <v>USD</v>
      </c>
      <c r="C80">
        <f t="shared" si="24"/>
        <v>7800</v>
      </c>
      <c r="D80">
        <f t="shared" si="11"/>
        <v>6708</v>
      </c>
      <c r="E80">
        <f t="shared" si="12"/>
        <v>7800</v>
      </c>
      <c r="F80">
        <v>126102.05</v>
      </c>
      <c r="G80">
        <f t="shared" si="13"/>
        <v>108447.76300000001</v>
      </c>
      <c r="H80">
        <f t="shared" si="14"/>
        <v>126102.05</v>
      </c>
      <c r="I80">
        <f t="shared" si="25"/>
        <v>0</v>
      </c>
      <c r="J80">
        <f t="shared" si="19"/>
        <v>0</v>
      </c>
      <c r="K80" s="7">
        <f t="shared" si="26"/>
        <v>45655</v>
      </c>
      <c r="L80" s="7">
        <f t="shared" si="20"/>
        <v>45625</v>
      </c>
      <c r="M80">
        <f t="shared" si="21"/>
        <v>11</v>
      </c>
      <c r="N80">
        <f t="shared" si="22"/>
        <v>2024</v>
      </c>
      <c r="Q80" s="22">
        <v>122</v>
      </c>
      <c r="R80" s="22">
        <v>11500.66</v>
      </c>
      <c r="S80" s="22" t="str">
        <f t="shared" si="27"/>
        <v>EUR</v>
      </c>
      <c r="T80" s="22">
        <f t="shared" si="9"/>
        <v>13340.765599999999</v>
      </c>
      <c r="U80" s="28">
        <v>400</v>
      </c>
      <c r="W80" s="9">
        <v>82</v>
      </c>
      <c r="X80" s="9" t="s">
        <v>29</v>
      </c>
      <c r="AF80">
        <v>82</v>
      </c>
      <c r="AG80" t="s">
        <v>29</v>
      </c>
      <c r="AH80">
        <v>375390.89</v>
      </c>
      <c r="AI80" s="7">
        <v>45720</v>
      </c>
    </row>
    <row r="81" spans="1:35">
      <c r="A81">
        <v>86</v>
      </c>
      <c r="B81" t="str">
        <f t="shared" si="23"/>
        <v>USD</v>
      </c>
      <c r="C81">
        <f t="shared" si="24"/>
        <v>326596</v>
      </c>
      <c r="D81">
        <f t="shared" si="11"/>
        <v>280872.56</v>
      </c>
      <c r="E81">
        <f t="shared" si="12"/>
        <v>326596</v>
      </c>
      <c r="F81">
        <v>326596</v>
      </c>
      <c r="G81">
        <f t="shared" si="13"/>
        <v>280872.56</v>
      </c>
      <c r="H81">
        <f t="shared" si="14"/>
        <v>326596</v>
      </c>
      <c r="I81">
        <f t="shared" si="25"/>
        <v>0</v>
      </c>
      <c r="J81">
        <f t="shared" si="19"/>
        <v>0</v>
      </c>
      <c r="K81" s="7">
        <f t="shared" si="26"/>
        <v>45922</v>
      </c>
      <c r="L81" s="7">
        <f t="shared" si="20"/>
        <v>45892</v>
      </c>
      <c r="M81">
        <f t="shared" si="21"/>
        <v>8</v>
      </c>
      <c r="N81">
        <f t="shared" si="22"/>
        <v>2025</v>
      </c>
      <c r="Q81" s="22">
        <v>124</v>
      </c>
      <c r="R81" s="22">
        <v>57724</v>
      </c>
      <c r="S81" s="22" t="str">
        <f t="shared" si="27"/>
        <v>USD</v>
      </c>
      <c r="T81" s="22">
        <f t="shared" si="9"/>
        <v>57724</v>
      </c>
      <c r="U81" s="28">
        <v>400</v>
      </c>
      <c r="W81" s="9">
        <v>82</v>
      </c>
      <c r="X81" s="9" t="s">
        <v>29</v>
      </c>
      <c r="AF81">
        <v>83</v>
      </c>
      <c r="AG81" t="s">
        <v>29</v>
      </c>
      <c r="AH81">
        <v>229</v>
      </c>
      <c r="AI81" s="7">
        <v>45645</v>
      </c>
    </row>
    <row r="82" spans="1:35">
      <c r="A82">
        <v>87</v>
      </c>
      <c r="B82" t="str">
        <f t="shared" si="23"/>
        <v>USD</v>
      </c>
      <c r="C82">
        <f t="shared" si="24"/>
        <v>4014.82</v>
      </c>
      <c r="D82">
        <f t="shared" si="11"/>
        <v>3452.7452000000003</v>
      </c>
      <c r="E82">
        <f t="shared" si="12"/>
        <v>4014.82</v>
      </c>
      <c r="F82">
        <v>4014.82</v>
      </c>
      <c r="G82">
        <f t="shared" si="13"/>
        <v>3452.7452000000003</v>
      </c>
      <c r="H82">
        <f t="shared" si="14"/>
        <v>4014.82</v>
      </c>
      <c r="I82">
        <f t="shared" si="25"/>
        <v>0</v>
      </c>
      <c r="J82">
        <f t="shared" si="19"/>
        <v>0</v>
      </c>
      <c r="K82" s="7">
        <f t="shared" si="26"/>
        <v>45677</v>
      </c>
      <c r="L82" s="7">
        <f t="shared" si="20"/>
        <v>45647</v>
      </c>
      <c r="M82">
        <f t="shared" si="21"/>
        <v>12</v>
      </c>
      <c r="N82">
        <f t="shared" si="22"/>
        <v>2024</v>
      </c>
      <c r="Q82" s="22">
        <v>126</v>
      </c>
      <c r="R82" s="22">
        <v>22261.360000000001</v>
      </c>
      <c r="S82" s="22" t="str">
        <f t="shared" si="27"/>
        <v>EUR</v>
      </c>
      <c r="T82" s="22">
        <f t="shared" ref="T82:T145" si="28">R82*_xlfn.XLOOKUP(S82,AM:AM,AO:AO)</f>
        <v>25823.177599999999</v>
      </c>
      <c r="U82" s="28">
        <v>400</v>
      </c>
      <c r="W82" s="9">
        <v>83</v>
      </c>
      <c r="X82" s="9" t="s">
        <v>29</v>
      </c>
      <c r="AF82">
        <v>84</v>
      </c>
      <c r="AG82" t="s">
        <v>29</v>
      </c>
      <c r="AH82">
        <v>1858.68</v>
      </c>
      <c r="AI82" s="7">
        <v>45685</v>
      </c>
    </row>
    <row r="83" spans="1:35">
      <c r="A83">
        <v>88</v>
      </c>
      <c r="B83" t="str">
        <f t="shared" si="23"/>
        <v>USD</v>
      </c>
      <c r="C83">
        <f t="shared" si="24"/>
        <v>0</v>
      </c>
      <c r="D83">
        <f t="shared" si="11"/>
        <v>0</v>
      </c>
      <c r="E83">
        <f t="shared" si="12"/>
        <v>0</v>
      </c>
      <c r="F83">
        <v>800</v>
      </c>
      <c r="G83">
        <f t="shared" si="13"/>
        <v>688</v>
      </c>
      <c r="H83">
        <f t="shared" si="14"/>
        <v>800</v>
      </c>
      <c r="I83">
        <f t="shared" si="25"/>
        <v>0</v>
      </c>
      <c r="J83">
        <f t="shared" si="19"/>
        <v>0</v>
      </c>
      <c r="K83" s="7">
        <f t="shared" si="26"/>
        <v>45667</v>
      </c>
      <c r="L83" s="7">
        <f t="shared" si="20"/>
        <v>45637</v>
      </c>
      <c r="M83">
        <f t="shared" si="21"/>
        <v>12</v>
      </c>
      <c r="N83">
        <f t="shared" si="22"/>
        <v>2024</v>
      </c>
      <c r="Q83" s="22">
        <v>127</v>
      </c>
      <c r="R83" s="22">
        <v>5088</v>
      </c>
      <c r="S83" s="22" t="str">
        <f t="shared" si="27"/>
        <v>USD</v>
      </c>
      <c r="T83" s="22">
        <f t="shared" si="28"/>
        <v>5088</v>
      </c>
      <c r="U83" s="28">
        <v>400</v>
      </c>
      <c r="W83" s="9">
        <v>84</v>
      </c>
      <c r="X83" s="9" t="s">
        <v>29</v>
      </c>
      <c r="AF83">
        <v>85</v>
      </c>
      <c r="AG83" t="s">
        <v>29</v>
      </c>
      <c r="AH83">
        <v>126102.05</v>
      </c>
      <c r="AI83" s="7">
        <v>45655</v>
      </c>
    </row>
    <row r="84" spans="1:35">
      <c r="A84">
        <v>89</v>
      </c>
      <c r="B84" t="str">
        <f t="shared" si="23"/>
        <v>USD</v>
      </c>
      <c r="C84">
        <f t="shared" si="24"/>
        <v>35</v>
      </c>
      <c r="D84">
        <f t="shared" si="11"/>
        <v>30.099999999999998</v>
      </c>
      <c r="E84">
        <f t="shared" si="12"/>
        <v>35</v>
      </c>
      <c r="F84">
        <v>835</v>
      </c>
      <c r="G84">
        <f t="shared" si="13"/>
        <v>718.1</v>
      </c>
      <c r="H84">
        <f t="shared" si="14"/>
        <v>835</v>
      </c>
      <c r="I84">
        <f t="shared" si="25"/>
        <v>0</v>
      </c>
      <c r="J84">
        <f t="shared" si="19"/>
        <v>0</v>
      </c>
      <c r="K84" s="7">
        <f t="shared" si="26"/>
        <v>45670</v>
      </c>
      <c r="L84" s="7">
        <f t="shared" si="20"/>
        <v>45640</v>
      </c>
      <c r="M84">
        <f t="shared" si="21"/>
        <v>12</v>
      </c>
      <c r="N84">
        <f t="shared" si="22"/>
        <v>2024</v>
      </c>
      <c r="Q84" s="22">
        <v>128</v>
      </c>
      <c r="R84" s="22">
        <v>1389.53</v>
      </c>
      <c r="S84" s="22" t="str">
        <f t="shared" si="27"/>
        <v>USD</v>
      </c>
      <c r="T84" s="22">
        <f t="shared" si="28"/>
        <v>1389.53</v>
      </c>
      <c r="U84" s="28">
        <v>400</v>
      </c>
      <c r="W84" s="9">
        <v>84</v>
      </c>
      <c r="X84" s="9" t="s">
        <v>29</v>
      </c>
      <c r="AF84">
        <v>86</v>
      </c>
      <c r="AG84" t="s">
        <v>29</v>
      </c>
      <c r="AH84">
        <v>326596</v>
      </c>
      <c r="AI84" s="7">
        <v>45922</v>
      </c>
    </row>
    <row r="85" spans="1:35">
      <c r="A85">
        <v>90</v>
      </c>
      <c r="B85" t="str">
        <f t="shared" si="23"/>
        <v>MXN</v>
      </c>
      <c r="C85">
        <f t="shared" si="24"/>
        <v>99987.5</v>
      </c>
      <c r="D85">
        <f t="shared" si="11"/>
        <v>4799.4000000000005</v>
      </c>
      <c r="E85">
        <f t="shared" si="12"/>
        <v>5599.3</v>
      </c>
      <c r="F85">
        <v>99987.5</v>
      </c>
      <c r="G85">
        <f t="shared" si="13"/>
        <v>4799.4000000000005</v>
      </c>
      <c r="H85">
        <f t="shared" si="14"/>
        <v>5599.3</v>
      </c>
      <c r="I85">
        <f t="shared" si="25"/>
        <v>0</v>
      </c>
      <c r="J85">
        <f t="shared" si="19"/>
        <v>0</v>
      </c>
      <c r="K85" s="7">
        <f t="shared" si="26"/>
        <v>45668</v>
      </c>
      <c r="L85" s="7">
        <f t="shared" si="20"/>
        <v>45638</v>
      </c>
      <c r="M85">
        <f t="shared" si="21"/>
        <v>12</v>
      </c>
      <c r="N85">
        <f t="shared" si="22"/>
        <v>2024</v>
      </c>
      <c r="Q85" s="22">
        <v>129</v>
      </c>
      <c r="R85" s="22">
        <v>166662</v>
      </c>
      <c r="S85" s="22" t="str">
        <f t="shared" si="27"/>
        <v>MXN</v>
      </c>
      <c r="T85" s="22">
        <f t="shared" si="28"/>
        <v>9333.0720000000001</v>
      </c>
      <c r="U85" s="28">
        <v>400</v>
      </c>
      <c r="W85" s="9">
        <v>85</v>
      </c>
      <c r="X85" s="9" t="s">
        <v>29</v>
      </c>
      <c r="AF85">
        <v>87</v>
      </c>
      <c r="AG85" t="s">
        <v>29</v>
      </c>
      <c r="AH85">
        <v>4014.82</v>
      </c>
      <c r="AI85" s="7">
        <v>45677</v>
      </c>
    </row>
    <row r="86" spans="1:35">
      <c r="A86">
        <v>91</v>
      </c>
      <c r="B86" t="str">
        <f t="shared" si="23"/>
        <v>MXN</v>
      </c>
      <c r="C86">
        <f t="shared" si="24"/>
        <v>0</v>
      </c>
      <c r="D86">
        <f t="shared" si="11"/>
        <v>0</v>
      </c>
      <c r="E86">
        <f t="shared" si="12"/>
        <v>0</v>
      </c>
      <c r="F86">
        <v>9904</v>
      </c>
      <c r="G86">
        <f t="shared" si="13"/>
        <v>475.392</v>
      </c>
      <c r="H86">
        <f t="shared" si="14"/>
        <v>554.62400000000002</v>
      </c>
      <c r="I86">
        <f t="shared" si="25"/>
        <v>0</v>
      </c>
      <c r="J86">
        <f t="shared" si="19"/>
        <v>0</v>
      </c>
      <c r="K86" s="7">
        <f t="shared" si="26"/>
        <v>45676</v>
      </c>
      <c r="L86" s="7">
        <f t="shared" si="20"/>
        <v>45646</v>
      </c>
      <c r="M86">
        <f t="shared" si="21"/>
        <v>12</v>
      </c>
      <c r="N86">
        <f t="shared" si="22"/>
        <v>2024</v>
      </c>
      <c r="Q86" s="22">
        <v>130</v>
      </c>
      <c r="R86" s="22">
        <v>4389</v>
      </c>
      <c r="S86" s="22" t="str">
        <f t="shared" si="27"/>
        <v>USD</v>
      </c>
      <c r="T86" s="22">
        <f t="shared" si="28"/>
        <v>4389</v>
      </c>
      <c r="U86" s="28">
        <v>400</v>
      </c>
      <c r="W86" s="9">
        <v>85</v>
      </c>
      <c r="X86" s="9" t="s">
        <v>29</v>
      </c>
      <c r="AF86">
        <v>88</v>
      </c>
      <c r="AG86" t="s">
        <v>29</v>
      </c>
      <c r="AH86">
        <v>800</v>
      </c>
      <c r="AI86" s="7">
        <v>45667</v>
      </c>
    </row>
    <row r="87" spans="1:35">
      <c r="A87">
        <v>93</v>
      </c>
      <c r="B87" t="str">
        <f t="shared" si="23"/>
        <v>EUR</v>
      </c>
      <c r="C87">
        <f t="shared" si="24"/>
        <v>0</v>
      </c>
      <c r="D87">
        <f t="shared" si="11"/>
        <v>0</v>
      </c>
      <c r="E87">
        <f t="shared" si="12"/>
        <v>0</v>
      </c>
      <c r="F87">
        <v>4440</v>
      </c>
      <c r="G87">
        <f t="shared" si="13"/>
        <v>4440</v>
      </c>
      <c r="H87">
        <f t="shared" si="14"/>
        <v>5150.3999999999996</v>
      </c>
      <c r="I87">
        <f t="shared" si="25"/>
        <v>0</v>
      </c>
      <c r="J87">
        <f t="shared" si="19"/>
        <v>0</v>
      </c>
      <c r="K87" s="7">
        <f t="shared" si="26"/>
        <v>45674</v>
      </c>
      <c r="L87" s="7">
        <f t="shared" si="20"/>
        <v>45644</v>
      </c>
      <c r="M87">
        <f t="shared" si="21"/>
        <v>12</v>
      </c>
      <c r="N87">
        <f t="shared" si="22"/>
        <v>2024</v>
      </c>
      <c r="Q87" s="22">
        <v>132</v>
      </c>
      <c r="R87" s="22">
        <v>4378.88</v>
      </c>
      <c r="S87" s="22" t="str">
        <f t="shared" si="27"/>
        <v>USD</v>
      </c>
      <c r="T87" s="22">
        <f t="shared" si="28"/>
        <v>4378.88</v>
      </c>
      <c r="U87" s="28">
        <v>400</v>
      </c>
      <c r="W87" s="9">
        <v>85</v>
      </c>
      <c r="X87" s="9" t="s">
        <v>29</v>
      </c>
      <c r="AF87">
        <v>89</v>
      </c>
      <c r="AG87" t="s">
        <v>29</v>
      </c>
      <c r="AH87">
        <v>835</v>
      </c>
      <c r="AI87" s="7">
        <v>45670</v>
      </c>
    </row>
    <row r="88" spans="1:35">
      <c r="A88">
        <v>94</v>
      </c>
      <c r="B88" t="str">
        <f t="shared" si="23"/>
        <v>MXN</v>
      </c>
      <c r="C88">
        <f t="shared" si="24"/>
        <v>0</v>
      </c>
      <c r="D88">
        <f t="shared" si="11"/>
        <v>0</v>
      </c>
      <c r="E88">
        <f t="shared" si="12"/>
        <v>0</v>
      </c>
      <c r="F88">
        <v>135027</v>
      </c>
      <c r="G88">
        <f t="shared" si="13"/>
        <v>6481.2960000000003</v>
      </c>
      <c r="H88">
        <f t="shared" si="14"/>
        <v>7561.5119999999997</v>
      </c>
      <c r="I88">
        <f t="shared" si="25"/>
        <v>0</v>
      </c>
      <c r="J88">
        <f t="shared" si="19"/>
        <v>0</v>
      </c>
      <c r="K88" s="7">
        <f t="shared" si="26"/>
        <v>45690</v>
      </c>
      <c r="L88" s="7">
        <f t="shared" si="20"/>
        <v>45660</v>
      </c>
      <c r="M88">
        <f t="shared" si="21"/>
        <v>1</v>
      </c>
      <c r="N88">
        <f t="shared" si="22"/>
        <v>2025</v>
      </c>
      <c r="Q88" s="22">
        <v>133</v>
      </c>
      <c r="R88" s="22">
        <v>8756.25</v>
      </c>
      <c r="S88" s="22" t="str">
        <f t="shared" si="27"/>
        <v>USD</v>
      </c>
      <c r="T88" s="22">
        <f t="shared" si="28"/>
        <v>8756.25</v>
      </c>
      <c r="U88" s="28">
        <v>400</v>
      </c>
      <c r="W88" s="9">
        <v>88</v>
      </c>
      <c r="X88" s="9" t="s">
        <v>29</v>
      </c>
      <c r="AF88">
        <v>90</v>
      </c>
      <c r="AG88" t="s">
        <v>28</v>
      </c>
      <c r="AH88">
        <v>99987.5</v>
      </c>
      <c r="AI88" s="7">
        <v>45668</v>
      </c>
    </row>
    <row r="89" spans="1:35">
      <c r="A89">
        <v>95</v>
      </c>
      <c r="B89" t="str">
        <f t="shared" si="23"/>
        <v>MXN</v>
      </c>
      <c r="C89">
        <f t="shared" si="24"/>
        <v>0</v>
      </c>
      <c r="D89">
        <f t="shared" si="11"/>
        <v>0</v>
      </c>
      <c r="E89">
        <f t="shared" si="12"/>
        <v>0</v>
      </c>
      <c r="F89">
        <v>23614.400000000001</v>
      </c>
      <c r="G89">
        <f t="shared" si="13"/>
        <v>1133.4912000000002</v>
      </c>
      <c r="H89">
        <f t="shared" si="14"/>
        <v>1322.4064000000001</v>
      </c>
      <c r="I89">
        <f t="shared" si="25"/>
        <v>0</v>
      </c>
      <c r="J89">
        <f t="shared" si="19"/>
        <v>0</v>
      </c>
      <c r="K89" s="7">
        <f t="shared" si="26"/>
        <v>45689</v>
      </c>
      <c r="L89" s="7">
        <f t="shared" si="20"/>
        <v>45659</v>
      </c>
      <c r="M89">
        <f t="shared" si="21"/>
        <v>1</v>
      </c>
      <c r="N89">
        <f t="shared" si="22"/>
        <v>2025</v>
      </c>
      <c r="Q89" s="22">
        <v>134</v>
      </c>
      <c r="R89" s="22">
        <v>1205</v>
      </c>
      <c r="S89" s="22" t="str">
        <f t="shared" si="27"/>
        <v>USD</v>
      </c>
      <c r="T89" s="22">
        <f t="shared" si="28"/>
        <v>1205</v>
      </c>
      <c r="U89" s="28">
        <v>400</v>
      </c>
      <c r="W89" s="9">
        <v>89</v>
      </c>
      <c r="X89" s="9" t="s">
        <v>29</v>
      </c>
      <c r="AF89">
        <v>91</v>
      </c>
      <c r="AG89" t="s">
        <v>28</v>
      </c>
      <c r="AH89">
        <v>9904</v>
      </c>
      <c r="AI89" s="7">
        <v>45676</v>
      </c>
    </row>
    <row r="90" spans="1:35">
      <c r="A90">
        <v>96</v>
      </c>
      <c r="B90" t="str">
        <f t="shared" si="23"/>
        <v>EUR</v>
      </c>
      <c r="C90">
        <f t="shared" si="24"/>
        <v>18291.419999999998</v>
      </c>
      <c r="D90">
        <f t="shared" si="11"/>
        <v>18291.419999999998</v>
      </c>
      <c r="E90">
        <f t="shared" si="12"/>
        <v>21218.047199999997</v>
      </c>
      <c r="F90">
        <v>18291.419999999998</v>
      </c>
      <c r="G90">
        <f t="shared" si="13"/>
        <v>18291.419999999998</v>
      </c>
      <c r="H90">
        <f t="shared" si="14"/>
        <v>21218.047199999997</v>
      </c>
      <c r="I90">
        <f t="shared" si="25"/>
        <v>0</v>
      </c>
      <c r="J90">
        <f t="shared" si="19"/>
        <v>0</v>
      </c>
      <c r="K90" s="7">
        <f t="shared" si="26"/>
        <v>45834</v>
      </c>
      <c r="L90" s="7">
        <f t="shared" si="20"/>
        <v>45804</v>
      </c>
      <c r="M90">
        <f t="shared" si="21"/>
        <v>5</v>
      </c>
      <c r="N90">
        <f t="shared" si="22"/>
        <v>2025</v>
      </c>
      <c r="Q90" s="22">
        <v>136</v>
      </c>
      <c r="R90" s="22">
        <v>142211.34999999998</v>
      </c>
      <c r="S90" s="22" t="str">
        <f t="shared" si="27"/>
        <v>USD</v>
      </c>
      <c r="T90" s="22">
        <f t="shared" si="28"/>
        <v>142211.34999999998</v>
      </c>
      <c r="U90" s="28">
        <v>400</v>
      </c>
      <c r="W90" s="9">
        <v>91</v>
      </c>
      <c r="X90" s="9" t="s">
        <v>28</v>
      </c>
      <c r="AF90">
        <v>93</v>
      </c>
      <c r="AG90" t="s">
        <v>27</v>
      </c>
      <c r="AH90">
        <v>4440</v>
      </c>
      <c r="AI90" s="7">
        <v>45674</v>
      </c>
    </row>
    <row r="91" spans="1:35">
      <c r="A91">
        <v>97</v>
      </c>
      <c r="B91" t="str">
        <f t="shared" si="23"/>
        <v>EUR</v>
      </c>
      <c r="C91">
        <f t="shared" si="24"/>
        <v>0</v>
      </c>
      <c r="D91">
        <f t="shared" si="11"/>
        <v>0</v>
      </c>
      <c r="E91">
        <f t="shared" si="12"/>
        <v>0</v>
      </c>
      <c r="F91">
        <v>494.4</v>
      </c>
      <c r="G91">
        <f t="shared" si="13"/>
        <v>494.4</v>
      </c>
      <c r="H91">
        <f t="shared" si="14"/>
        <v>573.50399999999991</v>
      </c>
      <c r="I91">
        <f t="shared" si="25"/>
        <v>0</v>
      </c>
      <c r="J91">
        <f t="shared" si="19"/>
        <v>0</v>
      </c>
      <c r="K91" s="7">
        <f t="shared" si="26"/>
        <v>45703</v>
      </c>
      <c r="L91" s="7">
        <f t="shared" si="20"/>
        <v>45673</v>
      </c>
      <c r="M91">
        <f t="shared" si="21"/>
        <v>1</v>
      </c>
      <c r="N91">
        <f t="shared" si="22"/>
        <v>2025</v>
      </c>
      <c r="Q91" s="22">
        <v>137</v>
      </c>
      <c r="R91" s="22">
        <v>4574.1099999999997</v>
      </c>
      <c r="S91" s="22" t="str">
        <f t="shared" si="27"/>
        <v>USD</v>
      </c>
      <c r="T91" s="22">
        <f t="shared" si="28"/>
        <v>4574.1099999999997</v>
      </c>
      <c r="U91" s="28">
        <v>400</v>
      </c>
      <c r="W91" s="9">
        <v>93</v>
      </c>
      <c r="X91" s="9" t="s">
        <v>27</v>
      </c>
      <c r="AF91">
        <v>94</v>
      </c>
      <c r="AG91" t="s">
        <v>28</v>
      </c>
      <c r="AH91">
        <v>135027</v>
      </c>
      <c r="AI91" s="7">
        <v>45690</v>
      </c>
    </row>
    <row r="92" spans="1:35">
      <c r="A92">
        <v>98</v>
      </c>
      <c r="B92" t="str">
        <f t="shared" si="23"/>
        <v>EUR</v>
      </c>
      <c r="C92">
        <f t="shared" si="24"/>
        <v>26934</v>
      </c>
      <c r="D92">
        <f t="shared" si="11"/>
        <v>26934</v>
      </c>
      <c r="E92">
        <f t="shared" si="12"/>
        <v>31243.439999999999</v>
      </c>
      <c r="F92">
        <v>60831.49</v>
      </c>
      <c r="G92">
        <f t="shared" si="13"/>
        <v>60831.49</v>
      </c>
      <c r="H92">
        <f t="shared" si="14"/>
        <v>70564.528399999996</v>
      </c>
      <c r="I92">
        <f t="shared" si="25"/>
        <v>0</v>
      </c>
      <c r="J92">
        <f t="shared" si="19"/>
        <v>0</v>
      </c>
      <c r="K92" s="7">
        <f t="shared" si="26"/>
        <v>45759</v>
      </c>
      <c r="L92" s="7">
        <f t="shared" si="20"/>
        <v>45729</v>
      </c>
      <c r="M92">
        <f t="shared" si="21"/>
        <v>3</v>
      </c>
      <c r="N92">
        <f t="shared" si="22"/>
        <v>2025</v>
      </c>
      <c r="Q92" s="22">
        <v>139</v>
      </c>
      <c r="R92" s="22">
        <v>2232</v>
      </c>
      <c r="S92" s="22" t="str">
        <f t="shared" si="27"/>
        <v>USD</v>
      </c>
      <c r="T92" s="22">
        <f t="shared" si="28"/>
        <v>2232</v>
      </c>
      <c r="U92" s="28">
        <v>400</v>
      </c>
      <c r="W92" s="9">
        <v>94</v>
      </c>
      <c r="X92" s="9" t="s">
        <v>28</v>
      </c>
      <c r="AF92">
        <v>95</v>
      </c>
      <c r="AG92" t="s">
        <v>28</v>
      </c>
      <c r="AH92">
        <v>23614.400000000001</v>
      </c>
      <c r="AI92" s="7">
        <v>45689</v>
      </c>
    </row>
    <row r="93" spans="1:35">
      <c r="A93">
        <v>99</v>
      </c>
      <c r="B93" t="str">
        <f t="shared" si="23"/>
        <v>EUR</v>
      </c>
      <c r="C93">
        <f t="shared" si="24"/>
        <v>0</v>
      </c>
      <c r="D93">
        <f t="shared" si="11"/>
        <v>0</v>
      </c>
      <c r="E93">
        <f t="shared" si="12"/>
        <v>0</v>
      </c>
      <c r="F93">
        <v>26938.799999999999</v>
      </c>
      <c r="G93">
        <f t="shared" si="13"/>
        <v>26938.799999999999</v>
      </c>
      <c r="H93">
        <f t="shared" si="14"/>
        <v>31249.007999999998</v>
      </c>
      <c r="I93">
        <f t="shared" si="25"/>
        <v>0</v>
      </c>
      <c r="J93">
        <f t="shared" si="19"/>
        <v>0</v>
      </c>
      <c r="K93" s="7">
        <f t="shared" si="26"/>
        <v>45661</v>
      </c>
      <c r="L93" s="7">
        <f t="shared" si="20"/>
        <v>45631</v>
      </c>
      <c r="M93">
        <f t="shared" si="21"/>
        <v>12</v>
      </c>
      <c r="N93">
        <f t="shared" si="22"/>
        <v>2024</v>
      </c>
      <c r="Q93" s="22">
        <v>140</v>
      </c>
      <c r="R93" s="22">
        <v>23910.84</v>
      </c>
      <c r="S93" s="22" t="str">
        <f t="shared" si="27"/>
        <v>USD</v>
      </c>
      <c r="T93" s="22">
        <f t="shared" si="28"/>
        <v>23910.84</v>
      </c>
      <c r="U93" s="28">
        <v>400</v>
      </c>
      <c r="W93" s="9">
        <v>95</v>
      </c>
      <c r="X93" s="9" t="s">
        <v>28</v>
      </c>
      <c r="AF93">
        <v>96</v>
      </c>
      <c r="AG93" t="s">
        <v>27</v>
      </c>
      <c r="AH93">
        <v>18291.419999999998</v>
      </c>
      <c r="AI93" s="7">
        <v>45834</v>
      </c>
    </row>
    <row r="94" spans="1:35">
      <c r="A94">
        <v>100</v>
      </c>
      <c r="B94" t="str">
        <f t="shared" si="23"/>
        <v>USD</v>
      </c>
      <c r="C94">
        <f t="shared" si="24"/>
        <v>8991</v>
      </c>
      <c r="D94">
        <f t="shared" si="11"/>
        <v>7732.26</v>
      </c>
      <c r="E94">
        <f t="shared" si="12"/>
        <v>8991</v>
      </c>
      <c r="F94">
        <v>13574</v>
      </c>
      <c r="G94">
        <f t="shared" si="13"/>
        <v>11673.64</v>
      </c>
      <c r="H94">
        <f t="shared" si="14"/>
        <v>13574</v>
      </c>
      <c r="I94">
        <f t="shared" si="25"/>
        <v>0</v>
      </c>
      <c r="J94">
        <f t="shared" si="19"/>
        <v>0</v>
      </c>
      <c r="K94" s="7">
        <f t="shared" si="26"/>
        <v>45829</v>
      </c>
      <c r="L94" s="7">
        <f t="shared" si="20"/>
        <v>45799</v>
      </c>
      <c r="M94">
        <f t="shared" si="21"/>
        <v>5</v>
      </c>
      <c r="N94">
        <f t="shared" si="22"/>
        <v>2025</v>
      </c>
      <c r="Q94" s="22">
        <v>141</v>
      </c>
      <c r="R94" s="22">
        <v>3158.37</v>
      </c>
      <c r="S94" s="22" t="str">
        <f t="shared" si="27"/>
        <v>EUR</v>
      </c>
      <c r="T94" s="22">
        <f t="shared" si="28"/>
        <v>3663.7091999999998</v>
      </c>
      <c r="U94" s="28">
        <v>400</v>
      </c>
      <c r="W94" s="9">
        <v>97</v>
      </c>
      <c r="X94" s="9" t="s">
        <v>27</v>
      </c>
      <c r="AF94">
        <v>97</v>
      </c>
      <c r="AG94" t="s">
        <v>27</v>
      </c>
      <c r="AH94">
        <v>494.4</v>
      </c>
      <c r="AI94" s="7">
        <v>45703</v>
      </c>
    </row>
    <row r="95" spans="1:35">
      <c r="A95">
        <v>101</v>
      </c>
      <c r="B95" t="str">
        <f t="shared" si="23"/>
        <v>USD</v>
      </c>
      <c r="C95">
        <f t="shared" si="24"/>
        <v>56880.79</v>
      </c>
      <c r="D95">
        <f t="shared" si="11"/>
        <v>48917.479399999997</v>
      </c>
      <c r="E95">
        <f t="shared" si="12"/>
        <v>56880.79</v>
      </c>
      <c r="F95">
        <v>56880.79</v>
      </c>
      <c r="G95">
        <f t="shared" si="13"/>
        <v>48917.479399999997</v>
      </c>
      <c r="H95">
        <f t="shared" si="14"/>
        <v>56880.79</v>
      </c>
      <c r="I95">
        <f t="shared" si="25"/>
        <v>0</v>
      </c>
      <c r="J95">
        <f t="shared" si="19"/>
        <v>0</v>
      </c>
      <c r="K95" s="7">
        <f t="shared" si="26"/>
        <v>45787</v>
      </c>
      <c r="L95" s="7">
        <f t="shared" si="20"/>
        <v>45757</v>
      </c>
      <c r="M95">
        <f t="shared" si="21"/>
        <v>4</v>
      </c>
      <c r="N95">
        <f t="shared" si="22"/>
        <v>2025</v>
      </c>
      <c r="Q95" s="22">
        <v>142</v>
      </c>
      <c r="R95" s="22">
        <v>2425</v>
      </c>
      <c r="S95" s="22" t="str">
        <f t="shared" si="27"/>
        <v>USD</v>
      </c>
      <c r="T95" s="22">
        <f t="shared" si="28"/>
        <v>2425</v>
      </c>
      <c r="U95" s="28">
        <v>400</v>
      </c>
      <c r="W95" s="9">
        <v>98</v>
      </c>
      <c r="X95" s="9" t="s">
        <v>27</v>
      </c>
      <c r="AF95">
        <v>98</v>
      </c>
      <c r="AG95" t="s">
        <v>27</v>
      </c>
      <c r="AH95">
        <v>60831.49</v>
      </c>
      <c r="AI95" s="7">
        <v>45759</v>
      </c>
    </row>
    <row r="96" spans="1:35">
      <c r="A96">
        <v>102</v>
      </c>
      <c r="B96" t="str">
        <f t="shared" si="23"/>
        <v>USD</v>
      </c>
      <c r="C96">
        <f t="shared" si="24"/>
        <v>63150.010000000009</v>
      </c>
      <c r="D96">
        <f t="shared" si="11"/>
        <v>54309.008600000008</v>
      </c>
      <c r="E96">
        <f t="shared" si="12"/>
        <v>63150.010000000009</v>
      </c>
      <c r="F96">
        <v>72129.210000000006</v>
      </c>
      <c r="G96">
        <f t="shared" si="13"/>
        <v>62031.120600000002</v>
      </c>
      <c r="H96">
        <f t="shared" si="14"/>
        <v>72129.210000000006</v>
      </c>
      <c r="I96">
        <f t="shared" si="25"/>
        <v>3.637978807091713E-12</v>
      </c>
      <c r="J96">
        <f t="shared" si="19"/>
        <v>3.637978807091713E-12</v>
      </c>
      <c r="K96" s="7">
        <f t="shared" si="26"/>
        <v>45678</v>
      </c>
      <c r="L96" s="7">
        <f t="shared" si="20"/>
        <v>45648</v>
      </c>
      <c r="M96">
        <f t="shared" si="21"/>
        <v>12</v>
      </c>
      <c r="N96">
        <f t="shared" si="22"/>
        <v>2024</v>
      </c>
      <c r="Q96" s="22">
        <v>143</v>
      </c>
      <c r="R96" s="22">
        <v>4874.42</v>
      </c>
      <c r="S96" s="22" t="str">
        <f t="shared" si="27"/>
        <v>EUR</v>
      </c>
      <c r="T96" s="22">
        <f t="shared" si="28"/>
        <v>5654.3271999999997</v>
      </c>
      <c r="U96" s="28">
        <v>400</v>
      </c>
      <c r="W96" s="9">
        <v>98</v>
      </c>
      <c r="X96" s="9" t="s">
        <v>27</v>
      </c>
      <c r="AF96">
        <v>99</v>
      </c>
      <c r="AG96" t="s">
        <v>27</v>
      </c>
      <c r="AH96">
        <v>26938.799999999999</v>
      </c>
      <c r="AI96" s="7">
        <v>45661</v>
      </c>
    </row>
    <row r="97" spans="1:35">
      <c r="A97">
        <v>103</v>
      </c>
      <c r="B97" t="str">
        <f t="shared" si="23"/>
        <v>USD</v>
      </c>
      <c r="C97">
        <f t="shared" si="24"/>
        <v>10240</v>
      </c>
      <c r="D97">
        <f t="shared" si="11"/>
        <v>8806.4</v>
      </c>
      <c r="E97">
        <f t="shared" si="12"/>
        <v>10240</v>
      </c>
      <c r="F97">
        <v>10240</v>
      </c>
      <c r="G97">
        <f t="shared" si="13"/>
        <v>8806.4</v>
      </c>
      <c r="H97">
        <f t="shared" si="14"/>
        <v>10240</v>
      </c>
      <c r="I97">
        <f t="shared" si="25"/>
        <v>0</v>
      </c>
      <c r="J97">
        <f t="shared" si="19"/>
        <v>0</v>
      </c>
      <c r="K97" s="7">
        <f t="shared" si="26"/>
        <v>45699</v>
      </c>
      <c r="L97" s="7">
        <f t="shared" si="20"/>
        <v>45669</v>
      </c>
      <c r="M97">
        <f t="shared" si="21"/>
        <v>1</v>
      </c>
      <c r="N97">
        <f t="shared" si="22"/>
        <v>2025</v>
      </c>
      <c r="Q97" s="22">
        <v>144</v>
      </c>
      <c r="R97" s="22">
        <v>3993.6</v>
      </c>
      <c r="S97" s="22" t="str">
        <f t="shared" si="27"/>
        <v>USD</v>
      </c>
      <c r="T97" s="22">
        <f t="shared" si="28"/>
        <v>3993.6</v>
      </c>
      <c r="U97" s="28">
        <v>400</v>
      </c>
      <c r="W97" s="9">
        <v>98</v>
      </c>
      <c r="X97" s="9" t="s">
        <v>27</v>
      </c>
      <c r="AF97">
        <v>100</v>
      </c>
      <c r="AG97" t="s">
        <v>29</v>
      </c>
      <c r="AH97">
        <v>13574</v>
      </c>
      <c r="AI97" s="7">
        <v>45829</v>
      </c>
    </row>
    <row r="98" spans="1:35">
      <c r="A98">
        <v>104</v>
      </c>
      <c r="B98" t="str">
        <f t="shared" si="23"/>
        <v>USD</v>
      </c>
      <c r="C98">
        <f t="shared" si="24"/>
        <v>0</v>
      </c>
      <c r="D98">
        <f t="shared" si="11"/>
        <v>0</v>
      </c>
      <c r="E98">
        <f t="shared" si="12"/>
        <v>0</v>
      </c>
      <c r="F98">
        <v>15213.21</v>
      </c>
      <c r="G98">
        <f t="shared" si="13"/>
        <v>13083.360599999998</v>
      </c>
      <c r="H98">
        <f t="shared" si="14"/>
        <v>15213.21</v>
      </c>
      <c r="I98">
        <f t="shared" si="25"/>
        <v>0</v>
      </c>
      <c r="J98">
        <f t="shared" si="19"/>
        <v>0</v>
      </c>
      <c r="K98" s="7">
        <f t="shared" si="26"/>
        <v>45700</v>
      </c>
      <c r="L98" s="7">
        <f t="shared" si="20"/>
        <v>45670</v>
      </c>
      <c r="M98">
        <f t="shared" si="21"/>
        <v>1</v>
      </c>
      <c r="N98">
        <f t="shared" si="22"/>
        <v>2025</v>
      </c>
      <c r="Q98" s="22">
        <v>145</v>
      </c>
      <c r="R98" s="22">
        <v>4101.6000000000004</v>
      </c>
      <c r="S98" s="22" t="str">
        <f t="shared" si="27"/>
        <v>EUR</v>
      </c>
      <c r="T98" s="22">
        <f t="shared" si="28"/>
        <v>4757.8559999999998</v>
      </c>
      <c r="U98" s="28">
        <v>400</v>
      </c>
      <c r="W98" s="9">
        <v>98</v>
      </c>
      <c r="X98" s="9" t="s">
        <v>27</v>
      </c>
      <c r="AF98">
        <v>101</v>
      </c>
      <c r="AG98" t="s">
        <v>29</v>
      </c>
      <c r="AH98">
        <v>56880.79</v>
      </c>
      <c r="AI98" s="7">
        <v>45787</v>
      </c>
    </row>
    <row r="99" spans="1:35">
      <c r="A99">
        <v>105</v>
      </c>
      <c r="B99" t="str">
        <f t="shared" si="23"/>
        <v>USD</v>
      </c>
      <c r="C99">
        <f t="shared" si="24"/>
        <v>0</v>
      </c>
      <c r="D99">
        <f t="shared" ref="D99:D123" si="29">C99*_xlfn.XLOOKUP(B99,AM:AM,AN:AN)</f>
        <v>0</v>
      </c>
      <c r="E99">
        <f t="shared" ref="E99:E123" si="30">C99*_xlfn.XLOOKUP(B99,AM:AM,AO:AO)</f>
        <v>0</v>
      </c>
      <c r="F99">
        <v>268</v>
      </c>
      <c r="G99">
        <f t="shared" ref="G99:G123" si="31">F99*_xlfn.XLOOKUP(B99,AM:AM,AN:AN)</f>
        <v>230.48</v>
      </c>
      <c r="H99">
        <f t="shared" ref="H99:H123" si="32">F99*_xlfn.XLOOKUP(B99,AM:AM,AO:AO)</f>
        <v>268</v>
      </c>
      <c r="I99">
        <f t="shared" si="25"/>
        <v>0</v>
      </c>
      <c r="J99">
        <f t="shared" si="19"/>
        <v>0</v>
      </c>
      <c r="K99" s="7">
        <f t="shared" si="26"/>
        <v>45674</v>
      </c>
      <c r="L99" s="7">
        <f t="shared" si="20"/>
        <v>45644</v>
      </c>
      <c r="M99">
        <f t="shared" si="21"/>
        <v>12</v>
      </c>
      <c r="N99">
        <f t="shared" si="22"/>
        <v>2024</v>
      </c>
      <c r="Q99" s="22">
        <v>148</v>
      </c>
      <c r="R99" s="22">
        <v>7786</v>
      </c>
      <c r="S99" s="22" t="str">
        <f t="shared" si="27"/>
        <v>USD</v>
      </c>
      <c r="T99" s="22">
        <f t="shared" si="28"/>
        <v>7786</v>
      </c>
      <c r="U99" s="28">
        <v>400</v>
      </c>
      <c r="W99" s="9">
        <v>98</v>
      </c>
      <c r="X99" s="9" t="s">
        <v>27</v>
      </c>
      <c r="AF99">
        <v>102</v>
      </c>
      <c r="AG99" t="s">
        <v>29</v>
      </c>
      <c r="AH99">
        <v>72129.210000000006</v>
      </c>
      <c r="AI99" s="7">
        <v>45678</v>
      </c>
    </row>
    <row r="100" spans="1:35">
      <c r="A100">
        <v>106</v>
      </c>
      <c r="B100" t="str">
        <f t="shared" si="23"/>
        <v>USD</v>
      </c>
      <c r="C100">
        <f t="shared" si="24"/>
        <v>0</v>
      </c>
      <c r="D100">
        <f t="shared" si="29"/>
        <v>0</v>
      </c>
      <c r="E100">
        <f t="shared" si="30"/>
        <v>0</v>
      </c>
      <c r="F100">
        <v>268</v>
      </c>
      <c r="G100">
        <f t="shared" si="31"/>
        <v>230.48</v>
      </c>
      <c r="H100">
        <f t="shared" si="32"/>
        <v>268</v>
      </c>
      <c r="I100">
        <f t="shared" si="25"/>
        <v>0</v>
      </c>
      <c r="J100">
        <f t="shared" si="19"/>
        <v>0</v>
      </c>
      <c r="K100" s="7">
        <f t="shared" si="26"/>
        <v>45674</v>
      </c>
      <c r="L100" s="7">
        <f t="shared" si="20"/>
        <v>45644</v>
      </c>
      <c r="M100">
        <f t="shared" si="21"/>
        <v>12</v>
      </c>
      <c r="N100">
        <f t="shared" si="22"/>
        <v>2024</v>
      </c>
      <c r="Q100" s="22">
        <v>149</v>
      </c>
      <c r="R100" s="22">
        <v>17445.689999999999</v>
      </c>
      <c r="S100" s="22" t="str">
        <f t="shared" si="27"/>
        <v>USD</v>
      </c>
      <c r="T100" s="22">
        <f t="shared" si="28"/>
        <v>17445.689999999999</v>
      </c>
      <c r="U100" s="28">
        <v>400</v>
      </c>
      <c r="W100" s="9">
        <v>99</v>
      </c>
      <c r="X100" s="9" t="s">
        <v>27</v>
      </c>
      <c r="AF100">
        <v>103</v>
      </c>
      <c r="AG100" t="s">
        <v>29</v>
      </c>
      <c r="AH100">
        <v>10240</v>
      </c>
      <c r="AI100" s="7">
        <v>45699</v>
      </c>
    </row>
    <row r="101" spans="1:35">
      <c r="A101">
        <v>107</v>
      </c>
      <c r="B101" t="str">
        <f t="shared" si="23"/>
        <v>USD</v>
      </c>
      <c r="C101">
        <f t="shared" si="24"/>
        <v>0</v>
      </c>
      <c r="D101">
        <f t="shared" si="29"/>
        <v>0</v>
      </c>
      <c r="E101">
        <f t="shared" si="30"/>
        <v>0</v>
      </c>
      <c r="F101">
        <v>494</v>
      </c>
      <c r="G101">
        <f t="shared" si="31"/>
        <v>424.84</v>
      </c>
      <c r="H101">
        <f t="shared" si="32"/>
        <v>494</v>
      </c>
      <c r="I101">
        <f t="shared" si="25"/>
        <v>0</v>
      </c>
      <c r="J101">
        <f t="shared" ref="J101:J123" si="33">I101*_xlfn.XLOOKUP(B101,AM:AM,AO:AO)</f>
        <v>0</v>
      </c>
      <c r="K101" s="7">
        <f t="shared" si="26"/>
        <v>45674</v>
      </c>
      <c r="L101" s="7">
        <f t="shared" ref="L101:L123" si="34">K101-30</f>
        <v>45644</v>
      </c>
      <c r="M101">
        <f t="shared" ref="M101:M123" si="35">MONTH(L101)</f>
        <v>12</v>
      </c>
      <c r="N101">
        <f t="shared" ref="N101:N123" si="36">YEAR(L101)</f>
        <v>2024</v>
      </c>
      <c r="Q101" s="22">
        <v>150</v>
      </c>
      <c r="R101" s="22">
        <v>2898.5</v>
      </c>
      <c r="S101" s="22" t="str">
        <f t="shared" si="27"/>
        <v>USD</v>
      </c>
      <c r="T101" s="22">
        <f t="shared" si="28"/>
        <v>2898.5</v>
      </c>
      <c r="U101" s="28">
        <v>400</v>
      </c>
      <c r="W101" s="9">
        <v>100</v>
      </c>
      <c r="X101" s="9" t="s">
        <v>29</v>
      </c>
      <c r="AF101">
        <v>104</v>
      </c>
      <c r="AG101" t="s">
        <v>29</v>
      </c>
      <c r="AH101">
        <v>15213.21</v>
      </c>
      <c r="AI101" s="7">
        <v>45700</v>
      </c>
    </row>
    <row r="102" spans="1:35">
      <c r="A102">
        <v>108</v>
      </c>
      <c r="B102" t="str">
        <f t="shared" si="23"/>
        <v>USD</v>
      </c>
      <c r="C102">
        <f t="shared" si="24"/>
        <v>0</v>
      </c>
      <c r="D102">
        <f t="shared" si="29"/>
        <v>0</v>
      </c>
      <c r="E102">
        <f t="shared" si="30"/>
        <v>0</v>
      </c>
      <c r="F102">
        <v>76619.67</v>
      </c>
      <c r="G102">
        <f t="shared" si="31"/>
        <v>65892.916199999992</v>
      </c>
      <c r="H102">
        <f t="shared" si="32"/>
        <v>76619.67</v>
      </c>
      <c r="I102">
        <f t="shared" si="25"/>
        <v>0</v>
      </c>
      <c r="J102">
        <f t="shared" si="33"/>
        <v>0</v>
      </c>
      <c r="K102" s="7">
        <f t="shared" si="26"/>
        <v>45647</v>
      </c>
      <c r="L102" s="7">
        <f t="shared" si="34"/>
        <v>45617</v>
      </c>
      <c r="M102">
        <f t="shared" si="35"/>
        <v>11</v>
      </c>
      <c r="N102">
        <f t="shared" si="36"/>
        <v>2024</v>
      </c>
      <c r="Q102" s="22">
        <v>151</v>
      </c>
      <c r="R102" s="22">
        <v>29132.639999999999</v>
      </c>
      <c r="S102" s="22" t="str">
        <f t="shared" si="27"/>
        <v>EUR</v>
      </c>
      <c r="T102" s="22">
        <f t="shared" si="28"/>
        <v>33793.862399999998</v>
      </c>
      <c r="U102" s="28">
        <v>400</v>
      </c>
      <c r="W102" s="9">
        <v>100</v>
      </c>
      <c r="X102" s="9" t="s">
        <v>29</v>
      </c>
      <c r="AF102">
        <v>105</v>
      </c>
      <c r="AG102" t="s">
        <v>29</v>
      </c>
      <c r="AH102">
        <v>268</v>
      </c>
      <c r="AI102" s="7">
        <v>45674</v>
      </c>
    </row>
    <row r="103" spans="1:35">
      <c r="A103">
        <v>109</v>
      </c>
      <c r="B103" t="str">
        <f t="shared" si="23"/>
        <v>MXN</v>
      </c>
      <c r="C103">
        <f t="shared" si="24"/>
        <v>0</v>
      </c>
      <c r="D103">
        <f t="shared" si="29"/>
        <v>0</v>
      </c>
      <c r="E103">
        <f t="shared" si="30"/>
        <v>0</v>
      </c>
      <c r="F103">
        <v>95573</v>
      </c>
      <c r="G103">
        <f t="shared" si="31"/>
        <v>4587.5039999999999</v>
      </c>
      <c r="H103">
        <f t="shared" si="32"/>
        <v>5352.0879999999997</v>
      </c>
      <c r="I103">
        <f t="shared" si="25"/>
        <v>0</v>
      </c>
      <c r="J103">
        <f t="shared" si="33"/>
        <v>0</v>
      </c>
      <c r="K103" s="7">
        <f t="shared" si="26"/>
        <v>45701</v>
      </c>
      <c r="L103" s="7">
        <f t="shared" si="34"/>
        <v>45671</v>
      </c>
      <c r="M103">
        <f t="shared" si="35"/>
        <v>1</v>
      </c>
      <c r="N103">
        <f t="shared" si="36"/>
        <v>2025</v>
      </c>
      <c r="Q103" s="22">
        <v>152</v>
      </c>
      <c r="R103" s="22">
        <v>2949</v>
      </c>
      <c r="S103" s="22" t="str">
        <f t="shared" si="27"/>
        <v>USD</v>
      </c>
      <c r="T103" s="22">
        <f t="shared" si="28"/>
        <v>2949</v>
      </c>
      <c r="U103" s="28">
        <v>400</v>
      </c>
      <c r="W103" s="9">
        <v>102</v>
      </c>
      <c r="X103" s="9" t="s">
        <v>29</v>
      </c>
      <c r="AF103">
        <v>106</v>
      </c>
      <c r="AG103" t="s">
        <v>29</v>
      </c>
      <c r="AH103">
        <v>268</v>
      </c>
      <c r="AI103" s="7">
        <v>45674</v>
      </c>
    </row>
    <row r="104" spans="1:35">
      <c r="A104">
        <v>110</v>
      </c>
      <c r="B104" t="str">
        <f t="shared" si="23"/>
        <v>USD</v>
      </c>
      <c r="C104">
        <f t="shared" si="24"/>
        <v>0</v>
      </c>
      <c r="D104">
        <f t="shared" si="29"/>
        <v>0</v>
      </c>
      <c r="E104">
        <f t="shared" si="30"/>
        <v>0</v>
      </c>
      <c r="F104">
        <v>302.2</v>
      </c>
      <c r="G104">
        <f t="shared" si="31"/>
        <v>259.892</v>
      </c>
      <c r="H104">
        <f t="shared" si="32"/>
        <v>302.2</v>
      </c>
      <c r="I104">
        <f t="shared" si="25"/>
        <v>0</v>
      </c>
      <c r="J104">
        <f t="shared" si="33"/>
        <v>0</v>
      </c>
      <c r="K104" s="7">
        <f t="shared" si="26"/>
        <v>45689</v>
      </c>
      <c r="L104" s="7">
        <f t="shared" si="34"/>
        <v>45659</v>
      </c>
      <c r="M104">
        <f t="shared" si="35"/>
        <v>1</v>
      </c>
      <c r="N104">
        <f t="shared" si="36"/>
        <v>2025</v>
      </c>
      <c r="Q104" s="22">
        <v>153</v>
      </c>
      <c r="R104" s="22">
        <v>15914.79</v>
      </c>
      <c r="S104" s="22" t="str">
        <f t="shared" si="27"/>
        <v>USD</v>
      </c>
      <c r="T104" s="22">
        <f t="shared" si="28"/>
        <v>15914.79</v>
      </c>
      <c r="U104" s="28">
        <v>400</v>
      </c>
      <c r="W104" s="9">
        <v>104</v>
      </c>
      <c r="X104" s="9" t="s">
        <v>29</v>
      </c>
      <c r="AF104">
        <v>107</v>
      </c>
      <c r="AG104" t="s">
        <v>29</v>
      </c>
      <c r="AH104">
        <v>494</v>
      </c>
      <c r="AI104" s="7">
        <v>45674</v>
      </c>
    </row>
    <row r="105" spans="1:35">
      <c r="A105">
        <v>111</v>
      </c>
      <c r="B105" t="str">
        <f t="shared" si="23"/>
        <v>GPB</v>
      </c>
      <c r="C105">
        <f t="shared" si="24"/>
        <v>0</v>
      </c>
      <c r="D105">
        <f t="shared" si="29"/>
        <v>0</v>
      </c>
      <c r="E105">
        <f t="shared" si="30"/>
        <v>0</v>
      </c>
      <c r="F105">
        <v>82419</v>
      </c>
      <c r="G105">
        <f t="shared" si="31"/>
        <v>94781.849999999991</v>
      </c>
      <c r="H105">
        <f t="shared" si="32"/>
        <v>110441.46</v>
      </c>
      <c r="I105">
        <f t="shared" si="25"/>
        <v>0</v>
      </c>
      <c r="J105">
        <f t="shared" si="33"/>
        <v>0</v>
      </c>
      <c r="K105" s="7">
        <f t="shared" si="26"/>
        <v>45647</v>
      </c>
      <c r="L105" s="7">
        <f t="shared" si="34"/>
        <v>45617</v>
      </c>
      <c r="M105">
        <f t="shared" si="35"/>
        <v>11</v>
      </c>
      <c r="N105">
        <f t="shared" si="36"/>
        <v>2024</v>
      </c>
      <c r="Q105" s="22">
        <v>157</v>
      </c>
      <c r="R105" s="22">
        <v>4097.3599999999997</v>
      </c>
      <c r="S105" s="22" t="str">
        <f t="shared" si="27"/>
        <v>USD</v>
      </c>
      <c r="T105" s="22">
        <f t="shared" si="28"/>
        <v>4097.3599999999997</v>
      </c>
      <c r="U105" s="28">
        <v>400</v>
      </c>
      <c r="W105" s="9">
        <v>104</v>
      </c>
      <c r="X105" s="9" t="s">
        <v>29</v>
      </c>
      <c r="AF105">
        <v>108</v>
      </c>
      <c r="AG105" t="s">
        <v>29</v>
      </c>
      <c r="AH105">
        <v>76619.67</v>
      </c>
      <c r="AI105" s="7">
        <v>45647</v>
      </c>
    </row>
    <row r="106" spans="1:35">
      <c r="A106">
        <v>112</v>
      </c>
      <c r="B106" t="str">
        <f t="shared" si="23"/>
        <v>USD</v>
      </c>
      <c r="C106">
        <f t="shared" si="24"/>
        <v>3294</v>
      </c>
      <c r="D106">
        <f t="shared" si="29"/>
        <v>2832.84</v>
      </c>
      <c r="E106">
        <f t="shared" si="30"/>
        <v>3294</v>
      </c>
      <c r="F106">
        <v>4392</v>
      </c>
      <c r="G106">
        <f t="shared" si="31"/>
        <v>3777.12</v>
      </c>
      <c r="H106">
        <f t="shared" si="32"/>
        <v>4392</v>
      </c>
      <c r="I106">
        <f t="shared" si="25"/>
        <v>0</v>
      </c>
      <c r="J106">
        <f t="shared" si="33"/>
        <v>0</v>
      </c>
      <c r="K106" s="7">
        <f t="shared" si="26"/>
        <v>45678</v>
      </c>
      <c r="L106" s="7">
        <f t="shared" si="34"/>
        <v>45648</v>
      </c>
      <c r="M106">
        <f t="shared" si="35"/>
        <v>12</v>
      </c>
      <c r="N106">
        <f t="shared" si="36"/>
        <v>2024</v>
      </c>
      <c r="Q106" s="22">
        <v>161</v>
      </c>
      <c r="R106" s="22">
        <v>2274.0299999999997</v>
      </c>
      <c r="S106" s="22" t="str">
        <f t="shared" si="27"/>
        <v>USD</v>
      </c>
      <c r="T106" s="22">
        <f t="shared" si="28"/>
        <v>2274.0299999999997</v>
      </c>
      <c r="U106" s="28">
        <v>400</v>
      </c>
      <c r="W106" s="9">
        <v>105</v>
      </c>
      <c r="X106" s="9" t="s">
        <v>29</v>
      </c>
      <c r="AF106">
        <v>109</v>
      </c>
      <c r="AG106" t="s">
        <v>28</v>
      </c>
      <c r="AH106">
        <v>95573</v>
      </c>
      <c r="AI106" s="7">
        <v>45701</v>
      </c>
    </row>
    <row r="107" spans="1:35">
      <c r="A107">
        <v>113</v>
      </c>
      <c r="B107" t="str">
        <f t="shared" si="23"/>
        <v>USD</v>
      </c>
      <c r="C107">
        <f t="shared" si="24"/>
        <v>0</v>
      </c>
      <c r="D107">
        <f t="shared" si="29"/>
        <v>0</v>
      </c>
      <c r="E107">
        <f t="shared" si="30"/>
        <v>0</v>
      </c>
      <c r="F107">
        <v>20777.39</v>
      </c>
      <c r="G107">
        <f t="shared" si="31"/>
        <v>17868.555399999997</v>
      </c>
      <c r="H107">
        <f t="shared" si="32"/>
        <v>20777.39</v>
      </c>
      <c r="I107">
        <f t="shared" si="25"/>
        <v>0</v>
      </c>
      <c r="J107">
        <f t="shared" si="33"/>
        <v>0</v>
      </c>
      <c r="K107" s="7">
        <f t="shared" si="26"/>
        <v>45652</v>
      </c>
      <c r="L107" s="7">
        <f t="shared" si="34"/>
        <v>45622</v>
      </c>
      <c r="M107">
        <f t="shared" si="35"/>
        <v>11</v>
      </c>
      <c r="N107">
        <f t="shared" si="36"/>
        <v>2024</v>
      </c>
      <c r="Q107" s="22">
        <v>162</v>
      </c>
      <c r="R107" s="22">
        <v>5106.96</v>
      </c>
      <c r="S107" s="22" t="str">
        <f t="shared" si="27"/>
        <v>USD</v>
      </c>
      <c r="T107" s="22">
        <f t="shared" si="28"/>
        <v>5106.96</v>
      </c>
      <c r="U107" s="28">
        <v>400</v>
      </c>
      <c r="W107" s="9">
        <v>106</v>
      </c>
      <c r="X107" s="9" t="s">
        <v>29</v>
      </c>
      <c r="AF107">
        <v>110</v>
      </c>
      <c r="AG107" t="s">
        <v>29</v>
      </c>
      <c r="AH107">
        <v>302.2</v>
      </c>
      <c r="AI107" s="7">
        <v>45689</v>
      </c>
    </row>
    <row r="108" spans="1:35">
      <c r="A108">
        <v>114</v>
      </c>
      <c r="B108" t="str">
        <f t="shared" si="23"/>
        <v>MXN</v>
      </c>
      <c r="C108">
        <f t="shared" si="24"/>
        <v>0</v>
      </c>
      <c r="D108">
        <f t="shared" si="29"/>
        <v>0</v>
      </c>
      <c r="E108">
        <f t="shared" si="30"/>
        <v>0</v>
      </c>
      <c r="F108">
        <v>113312.48</v>
      </c>
      <c r="G108">
        <f t="shared" si="31"/>
        <v>5438.9990399999997</v>
      </c>
      <c r="H108">
        <f t="shared" si="32"/>
        <v>6345.4988800000001</v>
      </c>
      <c r="I108">
        <f t="shared" si="25"/>
        <v>0</v>
      </c>
      <c r="J108">
        <f t="shared" si="33"/>
        <v>0</v>
      </c>
      <c r="K108" s="7">
        <f t="shared" si="26"/>
        <v>45796</v>
      </c>
      <c r="L108" s="7">
        <f t="shared" si="34"/>
        <v>45766</v>
      </c>
      <c r="M108">
        <f t="shared" si="35"/>
        <v>4</v>
      </c>
      <c r="N108">
        <f t="shared" si="36"/>
        <v>2025</v>
      </c>
      <c r="Q108" s="22">
        <v>163</v>
      </c>
      <c r="R108" s="22">
        <v>35653.269999999997</v>
      </c>
      <c r="S108" s="22" t="str">
        <f t="shared" si="27"/>
        <v>EUR</v>
      </c>
      <c r="T108" s="22">
        <f t="shared" si="28"/>
        <v>41357.793199999993</v>
      </c>
      <c r="U108" s="28">
        <v>400</v>
      </c>
      <c r="W108" s="9">
        <v>107</v>
      </c>
      <c r="X108" s="9" t="s">
        <v>29</v>
      </c>
      <c r="AF108">
        <v>111</v>
      </c>
      <c r="AG108" t="s">
        <v>32</v>
      </c>
      <c r="AH108">
        <v>82419</v>
      </c>
      <c r="AI108" s="7">
        <v>45647</v>
      </c>
    </row>
    <row r="109" spans="1:35">
      <c r="A109">
        <v>115</v>
      </c>
      <c r="B109" t="str">
        <f t="shared" si="23"/>
        <v>USD</v>
      </c>
      <c r="C109">
        <f t="shared" si="24"/>
        <v>224855.52</v>
      </c>
      <c r="D109">
        <f t="shared" si="29"/>
        <v>193375.74719999998</v>
      </c>
      <c r="E109">
        <f t="shared" si="30"/>
        <v>224855.52</v>
      </c>
      <c r="F109">
        <v>224855.52</v>
      </c>
      <c r="G109">
        <f t="shared" si="31"/>
        <v>193375.74719999998</v>
      </c>
      <c r="H109">
        <f t="shared" si="32"/>
        <v>224855.52</v>
      </c>
      <c r="I109">
        <f t="shared" si="25"/>
        <v>0</v>
      </c>
      <c r="J109">
        <f t="shared" si="33"/>
        <v>0</v>
      </c>
      <c r="K109" s="7">
        <f t="shared" si="26"/>
        <v>45934</v>
      </c>
      <c r="L109" s="7">
        <f t="shared" si="34"/>
        <v>45904</v>
      </c>
      <c r="M109">
        <f t="shared" si="35"/>
        <v>9</v>
      </c>
      <c r="N109">
        <f t="shared" si="36"/>
        <v>2025</v>
      </c>
      <c r="Q109" s="22">
        <v>164</v>
      </c>
      <c r="R109" s="22">
        <v>3445.65</v>
      </c>
      <c r="S109" s="22" t="str">
        <f t="shared" si="27"/>
        <v>EUR</v>
      </c>
      <c r="T109" s="22">
        <f t="shared" si="28"/>
        <v>3996.9539999999997</v>
      </c>
      <c r="U109" s="28">
        <v>400</v>
      </c>
      <c r="W109" s="9">
        <v>108</v>
      </c>
      <c r="X109" s="9" t="s">
        <v>29</v>
      </c>
      <c r="AF109">
        <v>112</v>
      </c>
      <c r="AG109" t="s">
        <v>29</v>
      </c>
      <c r="AH109">
        <v>4392</v>
      </c>
      <c r="AI109" s="7">
        <v>45678</v>
      </c>
    </row>
    <row r="110" spans="1:35">
      <c r="A110">
        <v>116</v>
      </c>
      <c r="B110" t="str">
        <f t="shared" si="23"/>
        <v>USD</v>
      </c>
      <c r="C110">
        <f t="shared" si="24"/>
        <v>18539</v>
      </c>
      <c r="D110">
        <f t="shared" si="29"/>
        <v>15943.539999999999</v>
      </c>
      <c r="E110">
        <f t="shared" si="30"/>
        <v>18539</v>
      </c>
      <c r="F110">
        <v>18539</v>
      </c>
      <c r="G110">
        <f t="shared" si="31"/>
        <v>15943.539999999999</v>
      </c>
      <c r="H110">
        <f t="shared" si="32"/>
        <v>18539</v>
      </c>
      <c r="I110">
        <f t="shared" si="25"/>
        <v>0</v>
      </c>
      <c r="J110">
        <f t="shared" si="33"/>
        <v>0</v>
      </c>
      <c r="K110" s="7">
        <f t="shared" si="26"/>
        <v>45607</v>
      </c>
      <c r="L110" s="7">
        <f t="shared" si="34"/>
        <v>45577</v>
      </c>
      <c r="M110">
        <f t="shared" si="35"/>
        <v>10</v>
      </c>
      <c r="N110">
        <f t="shared" si="36"/>
        <v>2024</v>
      </c>
      <c r="Q110" s="22">
        <v>165</v>
      </c>
      <c r="R110" s="22">
        <v>2277.39</v>
      </c>
      <c r="S110" s="22" t="str">
        <f t="shared" si="27"/>
        <v>USD</v>
      </c>
      <c r="T110" s="22">
        <f t="shared" si="28"/>
        <v>2277.39</v>
      </c>
      <c r="U110" s="28">
        <v>400</v>
      </c>
      <c r="W110" s="9">
        <v>109</v>
      </c>
      <c r="X110" s="9" t="s">
        <v>28</v>
      </c>
      <c r="AF110">
        <v>113</v>
      </c>
      <c r="AG110" t="s">
        <v>29</v>
      </c>
      <c r="AH110">
        <v>20777.39</v>
      </c>
      <c r="AI110" s="7">
        <v>45652</v>
      </c>
    </row>
    <row r="111" spans="1:35">
      <c r="A111">
        <v>117</v>
      </c>
      <c r="B111" t="str">
        <f t="shared" si="23"/>
        <v>EUR</v>
      </c>
      <c r="C111">
        <f t="shared" si="24"/>
        <v>0</v>
      </c>
      <c r="D111">
        <f t="shared" si="29"/>
        <v>0</v>
      </c>
      <c r="E111">
        <f t="shared" si="30"/>
        <v>0</v>
      </c>
      <c r="F111">
        <v>606.17999999999995</v>
      </c>
      <c r="G111">
        <f t="shared" si="31"/>
        <v>606.17999999999995</v>
      </c>
      <c r="H111">
        <f t="shared" si="32"/>
        <v>703.16879999999992</v>
      </c>
      <c r="I111">
        <f t="shared" si="25"/>
        <v>0</v>
      </c>
      <c r="J111">
        <f t="shared" si="33"/>
        <v>0</v>
      </c>
      <c r="K111" s="7">
        <f t="shared" si="26"/>
        <v>45662</v>
      </c>
      <c r="L111" s="7">
        <f t="shared" si="34"/>
        <v>45632</v>
      </c>
      <c r="M111">
        <f t="shared" si="35"/>
        <v>12</v>
      </c>
      <c r="N111">
        <f t="shared" si="36"/>
        <v>2024</v>
      </c>
      <c r="Q111" s="22">
        <v>167</v>
      </c>
      <c r="R111" s="22">
        <v>2611.4299999999998</v>
      </c>
      <c r="S111" s="22" t="str">
        <f t="shared" si="27"/>
        <v>USD</v>
      </c>
      <c r="T111" s="22">
        <f t="shared" si="28"/>
        <v>2611.4299999999998</v>
      </c>
      <c r="U111" s="28">
        <v>400</v>
      </c>
      <c r="W111" s="9">
        <v>110</v>
      </c>
      <c r="X111" s="9" t="s">
        <v>29</v>
      </c>
      <c r="AF111">
        <v>114</v>
      </c>
      <c r="AG111" t="s">
        <v>28</v>
      </c>
      <c r="AH111">
        <v>113312.48</v>
      </c>
      <c r="AI111" s="7">
        <v>45796</v>
      </c>
    </row>
    <row r="112" spans="1:35">
      <c r="A112">
        <v>118</v>
      </c>
      <c r="B112" t="str">
        <f t="shared" si="23"/>
        <v>USD</v>
      </c>
      <c r="C112">
        <f t="shared" si="24"/>
        <v>194580</v>
      </c>
      <c r="D112">
        <f t="shared" si="29"/>
        <v>167338.79999999999</v>
      </c>
      <c r="E112">
        <f t="shared" si="30"/>
        <v>194580</v>
      </c>
      <c r="F112">
        <v>194580</v>
      </c>
      <c r="G112">
        <f t="shared" si="31"/>
        <v>167338.79999999999</v>
      </c>
      <c r="H112">
        <f t="shared" si="32"/>
        <v>194580</v>
      </c>
      <c r="I112">
        <f t="shared" si="25"/>
        <v>0</v>
      </c>
      <c r="J112">
        <f t="shared" si="33"/>
        <v>0</v>
      </c>
      <c r="K112" s="7">
        <f t="shared" si="26"/>
        <v>45756</v>
      </c>
      <c r="L112" s="7">
        <f t="shared" si="34"/>
        <v>45726</v>
      </c>
      <c r="M112">
        <f t="shared" si="35"/>
        <v>3</v>
      </c>
      <c r="N112">
        <f t="shared" si="36"/>
        <v>2025</v>
      </c>
      <c r="Q112" s="22">
        <v>168</v>
      </c>
      <c r="R112" s="22">
        <v>7312.54</v>
      </c>
      <c r="S112" s="22" t="str">
        <f t="shared" si="27"/>
        <v>USD</v>
      </c>
      <c r="T112" s="22">
        <f t="shared" si="28"/>
        <v>7312.54</v>
      </c>
      <c r="U112" s="28">
        <v>400</v>
      </c>
      <c r="W112" s="9">
        <v>111</v>
      </c>
      <c r="X112" s="9" t="s">
        <v>32</v>
      </c>
      <c r="AF112">
        <v>115</v>
      </c>
      <c r="AG112" t="s">
        <v>29</v>
      </c>
      <c r="AH112">
        <v>224855.52</v>
      </c>
      <c r="AI112" s="7">
        <v>45934</v>
      </c>
    </row>
    <row r="113" spans="1:35">
      <c r="A113">
        <v>119</v>
      </c>
      <c r="B113" t="str">
        <f t="shared" si="23"/>
        <v>EUR</v>
      </c>
      <c r="C113">
        <f t="shared" si="24"/>
        <v>39474.35</v>
      </c>
      <c r="D113">
        <f t="shared" si="29"/>
        <v>39474.35</v>
      </c>
      <c r="E113">
        <f t="shared" si="30"/>
        <v>45790.245999999992</v>
      </c>
      <c r="F113">
        <v>40906.449999999997</v>
      </c>
      <c r="G113">
        <f t="shared" si="31"/>
        <v>40906.449999999997</v>
      </c>
      <c r="H113">
        <f t="shared" si="32"/>
        <v>47451.481999999996</v>
      </c>
      <c r="I113">
        <f t="shared" si="25"/>
        <v>1.3642420526593924E-12</v>
      </c>
      <c r="J113">
        <f t="shared" si="33"/>
        <v>1.5825207810848949E-12</v>
      </c>
      <c r="K113" s="7">
        <f t="shared" si="26"/>
        <v>45714</v>
      </c>
      <c r="L113" s="7">
        <f t="shared" si="34"/>
        <v>45684</v>
      </c>
      <c r="M113">
        <f t="shared" si="35"/>
        <v>1</v>
      </c>
      <c r="N113">
        <f t="shared" si="36"/>
        <v>2025</v>
      </c>
      <c r="Q113" s="22">
        <v>170</v>
      </c>
      <c r="R113" s="22">
        <v>29371.09</v>
      </c>
      <c r="S113" s="22" t="str">
        <f t="shared" si="27"/>
        <v>EUR</v>
      </c>
      <c r="T113" s="22">
        <f t="shared" si="28"/>
        <v>34070.464399999997</v>
      </c>
      <c r="U113" s="28">
        <v>400</v>
      </c>
      <c r="W113" s="9">
        <v>112</v>
      </c>
      <c r="X113" s="9" t="s">
        <v>29</v>
      </c>
      <c r="AF113">
        <v>116</v>
      </c>
      <c r="AG113" t="s">
        <v>29</v>
      </c>
      <c r="AH113">
        <v>18539</v>
      </c>
      <c r="AI113" s="7">
        <v>45607</v>
      </c>
    </row>
    <row r="114" spans="1:35">
      <c r="A114">
        <v>120</v>
      </c>
      <c r="B114" t="str">
        <f t="shared" si="23"/>
        <v>USD</v>
      </c>
      <c r="C114">
        <f t="shared" si="24"/>
        <v>0</v>
      </c>
      <c r="D114">
        <f t="shared" si="29"/>
        <v>0</v>
      </c>
      <c r="E114">
        <f t="shared" si="30"/>
        <v>0</v>
      </c>
      <c r="F114">
        <v>2383.6799999999998</v>
      </c>
      <c r="G114">
        <f t="shared" si="31"/>
        <v>2049.9647999999997</v>
      </c>
      <c r="H114">
        <f t="shared" si="32"/>
        <v>2383.6799999999998</v>
      </c>
      <c r="I114">
        <f t="shared" si="25"/>
        <v>0</v>
      </c>
      <c r="J114">
        <f t="shared" si="33"/>
        <v>0</v>
      </c>
      <c r="K114" s="7">
        <f t="shared" si="26"/>
        <v>45762</v>
      </c>
      <c r="L114" s="7">
        <f t="shared" si="34"/>
        <v>45732</v>
      </c>
      <c r="M114">
        <f t="shared" si="35"/>
        <v>3</v>
      </c>
      <c r="N114">
        <f t="shared" si="36"/>
        <v>2025</v>
      </c>
      <c r="Q114" s="22">
        <v>171</v>
      </c>
      <c r="R114" s="22">
        <v>5992.44</v>
      </c>
      <c r="S114" s="22" t="str">
        <f t="shared" si="27"/>
        <v>USD</v>
      </c>
      <c r="T114" s="22">
        <f t="shared" si="28"/>
        <v>5992.44</v>
      </c>
      <c r="U114" s="28">
        <v>400</v>
      </c>
      <c r="W114" s="9">
        <v>113</v>
      </c>
      <c r="X114" s="9" t="s">
        <v>29</v>
      </c>
      <c r="AF114">
        <v>117</v>
      </c>
      <c r="AG114" t="s">
        <v>27</v>
      </c>
      <c r="AH114">
        <v>606.17999999999995</v>
      </c>
      <c r="AI114" s="7">
        <v>45662</v>
      </c>
    </row>
    <row r="115" spans="1:35">
      <c r="A115">
        <v>121</v>
      </c>
      <c r="B115" t="str">
        <f t="shared" si="23"/>
        <v>USD</v>
      </c>
      <c r="C115">
        <f t="shared" si="24"/>
        <v>0</v>
      </c>
      <c r="D115">
        <f t="shared" si="29"/>
        <v>0</v>
      </c>
      <c r="E115">
        <f t="shared" si="30"/>
        <v>0</v>
      </c>
      <c r="F115">
        <v>1791.72</v>
      </c>
      <c r="G115">
        <f t="shared" si="31"/>
        <v>1540.8792000000001</v>
      </c>
      <c r="H115">
        <f t="shared" si="32"/>
        <v>1791.72</v>
      </c>
      <c r="I115">
        <f t="shared" si="25"/>
        <v>0</v>
      </c>
      <c r="J115">
        <f t="shared" si="33"/>
        <v>0</v>
      </c>
      <c r="K115" s="7">
        <f t="shared" si="26"/>
        <v>45813</v>
      </c>
      <c r="L115" s="7">
        <f t="shared" si="34"/>
        <v>45783</v>
      </c>
      <c r="M115">
        <f t="shared" si="35"/>
        <v>5</v>
      </c>
      <c r="N115">
        <f t="shared" si="36"/>
        <v>2025</v>
      </c>
      <c r="Q115" s="22">
        <v>172</v>
      </c>
      <c r="R115" s="22">
        <v>17326.7</v>
      </c>
      <c r="S115" s="22" t="str">
        <f t="shared" si="27"/>
        <v>USD</v>
      </c>
      <c r="T115" s="22">
        <f t="shared" si="28"/>
        <v>17326.7</v>
      </c>
      <c r="U115" s="28">
        <v>400</v>
      </c>
      <c r="W115" s="9">
        <v>113</v>
      </c>
      <c r="X115" s="9" t="s">
        <v>29</v>
      </c>
      <c r="AF115">
        <v>118</v>
      </c>
      <c r="AG115" t="s">
        <v>29</v>
      </c>
      <c r="AH115">
        <v>194580</v>
      </c>
      <c r="AI115" s="7">
        <v>45756</v>
      </c>
    </row>
    <row r="116" spans="1:35">
      <c r="A116">
        <v>122</v>
      </c>
      <c r="B116" t="str">
        <f t="shared" si="23"/>
        <v>EUR</v>
      </c>
      <c r="C116">
        <f t="shared" si="24"/>
        <v>0</v>
      </c>
      <c r="D116">
        <f t="shared" si="29"/>
        <v>0</v>
      </c>
      <c r="E116">
        <f t="shared" si="30"/>
        <v>0</v>
      </c>
      <c r="F116">
        <v>11500.66</v>
      </c>
      <c r="G116">
        <f t="shared" si="31"/>
        <v>11500.66</v>
      </c>
      <c r="H116">
        <f t="shared" si="32"/>
        <v>13340.765599999999</v>
      </c>
      <c r="I116">
        <f t="shared" si="25"/>
        <v>0</v>
      </c>
      <c r="J116">
        <f t="shared" si="33"/>
        <v>0</v>
      </c>
      <c r="K116" s="7">
        <f t="shared" si="26"/>
        <v>45677</v>
      </c>
      <c r="L116" s="7">
        <f t="shared" si="34"/>
        <v>45647</v>
      </c>
      <c r="M116">
        <f t="shared" si="35"/>
        <v>12</v>
      </c>
      <c r="N116">
        <f t="shared" si="36"/>
        <v>2024</v>
      </c>
      <c r="Q116" s="22">
        <v>173</v>
      </c>
      <c r="R116" s="22">
        <v>11952.24</v>
      </c>
      <c r="S116" s="22" t="str">
        <f t="shared" si="27"/>
        <v>USD</v>
      </c>
      <c r="T116" s="22">
        <f t="shared" si="28"/>
        <v>11952.24</v>
      </c>
      <c r="U116" s="28">
        <v>400</v>
      </c>
      <c r="W116" s="9">
        <v>114</v>
      </c>
      <c r="X116" s="9" t="s">
        <v>28</v>
      </c>
      <c r="AF116">
        <v>119</v>
      </c>
      <c r="AG116" t="s">
        <v>27</v>
      </c>
      <c r="AH116">
        <v>40906.449999999997</v>
      </c>
      <c r="AI116" s="7">
        <v>45714</v>
      </c>
    </row>
    <row r="117" spans="1:35">
      <c r="A117">
        <v>124</v>
      </c>
      <c r="B117" t="str">
        <f t="shared" si="23"/>
        <v>USD</v>
      </c>
      <c r="C117">
        <f t="shared" si="24"/>
        <v>0</v>
      </c>
      <c r="D117">
        <f t="shared" si="29"/>
        <v>0</v>
      </c>
      <c r="E117">
        <f t="shared" si="30"/>
        <v>0</v>
      </c>
      <c r="F117">
        <v>57724</v>
      </c>
      <c r="G117">
        <f t="shared" si="31"/>
        <v>49642.64</v>
      </c>
      <c r="H117">
        <f t="shared" si="32"/>
        <v>57724</v>
      </c>
      <c r="I117">
        <f t="shared" si="25"/>
        <v>0</v>
      </c>
      <c r="J117">
        <f t="shared" si="33"/>
        <v>0</v>
      </c>
      <c r="K117" s="7">
        <f t="shared" si="26"/>
        <v>45832</v>
      </c>
      <c r="L117" s="7">
        <f t="shared" si="34"/>
        <v>45802</v>
      </c>
      <c r="M117">
        <f t="shared" si="35"/>
        <v>5</v>
      </c>
      <c r="N117">
        <f t="shared" si="36"/>
        <v>2025</v>
      </c>
      <c r="Q117" s="22">
        <v>176</v>
      </c>
      <c r="R117" s="22">
        <v>4998.51</v>
      </c>
      <c r="S117" s="22" t="str">
        <f t="shared" si="27"/>
        <v>USD</v>
      </c>
      <c r="T117" s="22">
        <f t="shared" si="28"/>
        <v>4998.51</v>
      </c>
      <c r="U117" s="28">
        <v>400</v>
      </c>
      <c r="W117" s="9">
        <v>117</v>
      </c>
      <c r="X117" s="9" t="s">
        <v>27</v>
      </c>
      <c r="AF117">
        <v>120</v>
      </c>
      <c r="AG117" t="s">
        <v>29</v>
      </c>
      <c r="AH117">
        <v>2383.6799999999998</v>
      </c>
      <c r="AI117" s="7">
        <v>45762</v>
      </c>
    </row>
    <row r="118" spans="1:35">
      <c r="A118">
        <v>126</v>
      </c>
      <c r="B118" t="str">
        <f t="shared" si="23"/>
        <v>EUR</v>
      </c>
      <c r="C118">
        <f t="shared" si="24"/>
        <v>132908.09999999998</v>
      </c>
      <c r="D118">
        <f t="shared" si="29"/>
        <v>132908.09999999998</v>
      </c>
      <c r="E118">
        <f t="shared" si="30"/>
        <v>154173.39599999995</v>
      </c>
      <c r="F118">
        <v>155169.46</v>
      </c>
      <c r="G118">
        <f t="shared" si="31"/>
        <v>155169.46</v>
      </c>
      <c r="H118">
        <f t="shared" si="32"/>
        <v>179996.57359999997</v>
      </c>
      <c r="I118">
        <f t="shared" si="25"/>
        <v>-1.4551915228366852E-11</v>
      </c>
      <c r="J118">
        <f t="shared" si="33"/>
        <v>-1.6880221664905547E-11</v>
      </c>
      <c r="K118" s="7">
        <f t="shared" si="26"/>
        <v>45809</v>
      </c>
      <c r="L118" s="7">
        <f t="shared" si="34"/>
        <v>45779</v>
      </c>
      <c r="M118">
        <f t="shared" si="35"/>
        <v>5</v>
      </c>
      <c r="N118">
        <f t="shared" si="36"/>
        <v>2025</v>
      </c>
      <c r="Q118" s="22">
        <v>179</v>
      </c>
      <c r="R118" s="22">
        <v>2598.7600000000002</v>
      </c>
      <c r="S118" s="22" t="str">
        <f t="shared" si="27"/>
        <v>USD</v>
      </c>
      <c r="T118" s="22">
        <f t="shared" si="28"/>
        <v>2598.7600000000002</v>
      </c>
      <c r="U118" s="28">
        <v>400</v>
      </c>
      <c r="W118" s="9">
        <v>119</v>
      </c>
      <c r="X118" s="9" t="s">
        <v>27</v>
      </c>
      <c r="AF118">
        <v>121</v>
      </c>
      <c r="AG118" t="s">
        <v>29</v>
      </c>
      <c r="AH118">
        <v>1791.72</v>
      </c>
      <c r="AI118" s="7">
        <v>45813</v>
      </c>
    </row>
    <row r="119" spans="1:35">
      <c r="A119">
        <v>127</v>
      </c>
      <c r="B119" t="str">
        <f t="shared" si="23"/>
        <v>USD</v>
      </c>
      <c r="C119">
        <f t="shared" si="24"/>
        <v>0</v>
      </c>
      <c r="D119">
        <f t="shared" si="29"/>
        <v>0</v>
      </c>
      <c r="E119">
        <f t="shared" si="30"/>
        <v>0</v>
      </c>
      <c r="F119">
        <v>5088</v>
      </c>
      <c r="G119">
        <f t="shared" si="31"/>
        <v>4375.68</v>
      </c>
      <c r="H119">
        <f t="shared" si="32"/>
        <v>5088</v>
      </c>
      <c r="I119">
        <f t="shared" si="25"/>
        <v>0</v>
      </c>
      <c r="J119">
        <f t="shared" si="33"/>
        <v>0</v>
      </c>
      <c r="K119" s="7">
        <f t="shared" si="26"/>
        <v>45648</v>
      </c>
      <c r="L119" s="7">
        <f t="shared" si="34"/>
        <v>45618</v>
      </c>
      <c r="M119">
        <f t="shared" si="35"/>
        <v>11</v>
      </c>
      <c r="N119">
        <f t="shared" si="36"/>
        <v>2024</v>
      </c>
      <c r="Q119" s="22">
        <v>180</v>
      </c>
      <c r="R119" s="22">
        <v>2458.9</v>
      </c>
      <c r="S119" s="22" t="str">
        <f t="shared" si="27"/>
        <v>USD</v>
      </c>
      <c r="T119" s="22">
        <f t="shared" si="28"/>
        <v>2458.9</v>
      </c>
      <c r="U119" s="28">
        <v>400</v>
      </c>
      <c r="W119" s="9">
        <v>120</v>
      </c>
      <c r="X119" s="9" t="s">
        <v>29</v>
      </c>
      <c r="AF119">
        <v>122</v>
      </c>
      <c r="AG119" t="s">
        <v>27</v>
      </c>
      <c r="AH119">
        <v>11500.66</v>
      </c>
      <c r="AI119" s="7">
        <v>45677</v>
      </c>
    </row>
    <row r="120" spans="1:35">
      <c r="A120">
        <v>128</v>
      </c>
      <c r="B120" t="str">
        <f t="shared" si="23"/>
        <v>USD</v>
      </c>
      <c r="C120">
        <f t="shared" si="24"/>
        <v>0</v>
      </c>
      <c r="D120">
        <f t="shared" si="29"/>
        <v>0</v>
      </c>
      <c r="E120">
        <f t="shared" si="30"/>
        <v>0</v>
      </c>
      <c r="F120">
        <v>1389.53</v>
      </c>
      <c r="G120">
        <f t="shared" si="31"/>
        <v>1194.9957999999999</v>
      </c>
      <c r="H120">
        <f t="shared" si="32"/>
        <v>1389.53</v>
      </c>
      <c r="I120">
        <f t="shared" si="25"/>
        <v>0</v>
      </c>
      <c r="J120">
        <f t="shared" si="33"/>
        <v>0</v>
      </c>
      <c r="K120" s="7">
        <f t="shared" si="26"/>
        <v>45688</v>
      </c>
      <c r="L120" s="7">
        <f t="shared" si="34"/>
        <v>45658</v>
      </c>
      <c r="M120">
        <f t="shared" si="35"/>
        <v>1</v>
      </c>
      <c r="N120">
        <f t="shared" si="36"/>
        <v>2025</v>
      </c>
      <c r="Q120" s="22">
        <v>181</v>
      </c>
      <c r="R120" s="22">
        <v>19706</v>
      </c>
      <c r="S120" s="22" t="str">
        <f t="shared" si="27"/>
        <v>USD</v>
      </c>
      <c r="T120" s="22">
        <f t="shared" si="28"/>
        <v>19706</v>
      </c>
      <c r="U120" s="28">
        <v>400</v>
      </c>
      <c r="W120" s="9">
        <v>120</v>
      </c>
      <c r="X120" s="9" t="s">
        <v>29</v>
      </c>
      <c r="AF120">
        <v>123</v>
      </c>
      <c r="AG120" t="s">
        <v>28</v>
      </c>
      <c r="AH120">
        <v>6934.95</v>
      </c>
      <c r="AI120" s="7">
        <v>45700</v>
      </c>
    </row>
    <row r="121" spans="1:35">
      <c r="A121">
        <v>129</v>
      </c>
      <c r="B121" t="str">
        <f t="shared" si="23"/>
        <v>USD</v>
      </c>
      <c r="C121">
        <f t="shared" si="24"/>
        <v>0</v>
      </c>
      <c r="D121">
        <f t="shared" si="29"/>
        <v>0</v>
      </c>
      <c r="E121">
        <f t="shared" si="30"/>
        <v>0</v>
      </c>
      <c r="F121">
        <v>166662</v>
      </c>
      <c r="G121">
        <f t="shared" si="31"/>
        <v>143329.32</v>
      </c>
      <c r="H121">
        <f t="shared" si="32"/>
        <v>166662</v>
      </c>
      <c r="I121">
        <f t="shared" si="25"/>
        <v>0</v>
      </c>
      <c r="J121">
        <f t="shared" si="33"/>
        <v>0</v>
      </c>
      <c r="K121" s="7">
        <f t="shared" si="26"/>
        <v>45735</v>
      </c>
      <c r="L121" s="7">
        <f t="shared" si="34"/>
        <v>45705</v>
      </c>
      <c r="M121">
        <f t="shared" si="35"/>
        <v>2</v>
      </c>
      <c r="N121">
        <f t="shared" si="36"/>
        <v>2025</v>
      </c>
      <c r="Q121" s="22">
        <v>185</v>
      </c>
      <c r="R121" s="22">
        <v>1196</v>
      </c>
      <c r="S121" s="22" t="str">
        <f t="shared" si="27"/>
        <v>USD</v>
      </c>
      <c r="T121" s="22">
        <f t="shared" si="28"/>
        <v>1196</v>
      </c>
      <c r="U121" s="28">
        <v>400</v>
      </c>
      <c r="W121" s="9">
        <v>121</v>
      </c>
      <c r="X121" s="9" t="s">
        <v>29</v>
      </c>
      <c r="AF121">
        <v>124</v>
      </c>
      <c r="AG121" t="s">
        <v>29</v>
      </c>
      <c r="AH121">
        <v>57724</v>
      </c>
      <c r="AI121" s="7">
        <v>45832</v>
      </c>
    </row>
    <row r="122" spans="1:35">
      <c r="A122">
        <v>130</v>
      </c>
      <c r="B122" t="str">
        <f t="shared" si="23"/>
        <v>USD</v>
      </c>
      <c r="C122">
        <f t="shared" si="24"/>
        <v>0</v>
      </c>
      <c r="D122">
        <f t="shared" si="29"/>
        <v>0</v>
      </c>
      <c r="E122">
        <f t="shared" si="30"/>
        <v>0</v>
      </c>
      <c r="F122">
        <v>4389</v>
      </c>
      <c r="G122">
        <f t="shared" si="31"/>
        <v>3774.54</v>
      </c>
      <c r="H122">
        <f t="shared" si="32"/>
        <v>4389</v>
      </c>
      <c r="I122">
        <f t="shared" si="25"/>
        <v>0</v>
      </c>
      <c r="J122">
        <f t="shared" si="33"/>
        <v>0</v>
      </c>
      <c r="K122" s="7">
        <f t="shared" si="26"/>
        <v>45735</v>
      </c>
      <c r="L122" s="7">
        <f t="shared" si="34"/>
        <v>45705</v>
      </c>
      <c r="M122">
        <f t="shared" si="35"/>
        <v>2</v>
      </c>
      <c r="N122">
        <f t="shared" si="36"/>
        <v>2025</v>
      </c>
      <c r="Q122" s="22">
        <v>187</v>
      </c>
      <c r="R122" s="22">
        <v>3382.8</v>
      </c>
      <c r="S122" s="22" t="str">
        <f t="shared" si="27"/>
        <v>USD</v>
      </c>
      <c r="T122" s="22">
        <f t="shared" si="28"/>
        <v>3382.8</v>
      </c>
      <c r="U122" s="28">
        <v>400</v>
      </c>
      <c r="W122" s="9">
        <v>122</v>
      </c>
      <c r="X122" s="9" t="s">
        <v>27</v>
      </c>
      <c r="AF122">
        <v>126</v>
      </c>
      <c r="AG122" t="s">
        <v>27</v>
      </c>
      <c r="AH122">
        <v>155169.46</v>
      </c>
      <c r="AI122" s="7">
        <v>45809</v>
      </c>
    </row>
    <row r="123" spans="1:35">
      <c r="A123">
        <v>131</v>
      </c>
      <c r="B123" t="str">
        <f t="shared" si="23"/>
        <v>USD</v>
      </c>
      <c r="C123">
        <f t="shared" si="24"/>
        <v>11650.31</v>
      </c>
      <c r="D123">
        <f t="shared" si="29"/>
        <v>10019.266599999999</v>
      </c>
      <c r="E123">
        <f t="shared" si="30"/>
        <v>11650.31</v>
      </c>
      <c r="F123">
        <v>11650.31</v>
      </c>
      <c r="G123">
        <f t="shared" si="31"/>
        <v>10019.266599999999</v>
      </c>
      <c r="H123">
        <f t="shared" si="32"/>
        <v>11650.31</v>
      </c>
      <c r="I123">
        <f t="shared" si="25"/>
        <v>0</v>
      </c>
      <c r="J123">
        <f t="shared" si="33"/>
        <v>0</v>
      </c>
      <c r="K123" s="7">
        <f t="shared" si="26"/>
        <v>45742</v>
      </c>
      <c r="L123" s="7">
        <f t="shared" si="34"/>
        <v>45712</v>
      </c>
      <c r="M123">
        <f t="shared" si="35"/>
        <v>2</v>
      </c>
      <c r="N123">
        <f t="shared" si="36"/>
        <v>2025</v>
      </c>
      <c r="Q123" s="22">
        <v>188</v>
      </c>
      <c r="R123" s="22">
        <v>10019.209999999999</v>
      </c>
      <c r="S123" s="22" t="str">
        <f t="shared" si="27"/>
        <v>USD</v>
      </c>
      <c r="T123" s="22">
        <f t="shared" si="28"/>
        <v>10019.209999999999</v>
      </c>
      <c r="U123" s="28">
        <v>400</v>
      </c>
      <c r="W123" s="9">
        <v>124</v>
      </c>
      <c r="X123" s="9" t="s">
        <v>29</v>
      </c>
      <c r="AF123">
        <v>127</v>
      </c>
      <c r="AG123" t="s">
        <v>29</v>
      </c>
      <c r="AH123">
        <v>5088</v>
      </c>
      <c r="AI123" s="7">
        <v>45648</v>
      </c>
    </row>
    <row r="124" spans="1:35">
      <c r="A124">
        <v>132</v>
      </c>
      <c r="B124" t="str">
        <f t="shared" si="23"/>
        <v>USD</v>
      </c>
      <c r="C124">
        <f t="shared" si="24"/>
        <v>50</v>
      </c>
      <c r="D124">
        <f t="shared" ref="D124" si="37">C124*_xlfn.XLOOKUP(B124,AM:AM,AN:AN)</f>
        <v>43</v>
      </c>
      <c r="E124">
        <f t="shared" ref="E124" si="38">C124*_xlfn.XLOOKUP(B124,AM:AM,AO:AO)</f>
        <v>50</v>
      </c>
      <c r="F124">
        <v>4428.88</v>
      </c>
      <c r="G124">
        <f t="shared" ref="G124" si="39">F124*_xlfn.XLOOKUP(B124,AM:AM,AN:AN)</f>
        <v>3808.8368</v>
      </c>
      <c r="H124">
        <f t="shared" ref="H124" si="40">F124*_xlfn.XLOOKUP(B124,AM:AM,AO:AO)</f>
        <v>4428.88</v>
      </c>
      <c r="I124">
        <f t="shared" si="25"/>
        <v>0</v>
      </c>
      <c r="J124">
        <f t="shared" ref="J124" si="41">I124*_xlfn.XLOOKUP(B124,AM:AM,AO:AO)</f>
        <v>0</v>
      </c>
      <c r="K124" s="7">
        <f t="shared" si="26"/>
        <v>45700</v>
      </c>
      <c r="L124" s="7">
        <f t="shared" ref="L124" si="42">K124-30</f>
        <v>45670</v>
      </c>
      <c r="M124">
        <f t="shared" ref="M124" si="43">MONTH(L124)</f>
        <v>1</v>
      </c>
      <c r="N124">
        <f t="shared" ref="N124" si="44">YEAR(L124)</f>
        <v>2025</v>
      </c>
      <c r="Q124" s="22">
        <v>190</v>
      </c>
      <c r="R124" s="22">
        <v>5626.99</v>
      </c>
      <c r="S124" s="22" t="str">
        <f t="shared" si="27"/>
        <v>USD</v>
      </c>
      <c r="T124" s="22">
        <f t="shared" si="28"/>
        <v>5626.99</v>
      </c>
      <c r="U124" s="28">
        <v>400</v>
      </c>
      <c r="W124" s="9">
        <v>124</v>
      </c>
      <c r="X124" s="9" t="s">
        <v>29</v>
      </c>
      <c r="AF124">
        <v>128</v>
      </c>
      <c r="AG124" t="s">
        <v>29</v>
      </c>
      <c r="AH124">
        <v>1389.53</v>
      </c>
      <c r="AI124" s="7">
        <v>45688</v>
      </c>
    </row>
    <row r="125" spans="1:35">
      <c r="A125">
        <v>133</v>
      </c>
      <c r="B125" t="str">
        <f t="shared" si="23"/>
        <v>USD</v>
      </c>
      <c r="C125">
        <f t="shared" si="24"/>
        <v>0</v>
      </c>
      <c r="D125">
        <f>C125*_xlfn.XLOOKUP(B125,AM:AM,AN:AN)</f>
        <v>0</v>
      </c>
      <c r="E125">
        <f>C125*_xlfn.XLOOKUP(B125,AM:AM,AO:AO)</f>
        <v>0</v>
      </c>
      <c r="F125">
        <v>8756.25</v>
      </c>
      <c r="G125">
        <f>F125*_xlfn.XLOOKUP(B125,AM:AM,AN:AN)</f>
        <v>7530.375</v>
      </c>
      <c r="H125">
        <f>F125*_xlfn.XLOOKUP(B125,AM:AM,AO:AO)</f>
        <v>8756.25</v>
      </c>
      <c r="I125">
        <f t="shared" si="25"/>
        <v>0</v>
      </c>
      <c r="J125">
        <f>I125*_xlfn.XLOOKUP(B125,AM:AM,AO:AO)</f>
        <v>0</v>
      </c>
      <c r="K125" s="7">
        <f t="shared" si="26"/>
        <v>45675</v>
      </c>
      <c r="L125" s="7">
        <f t="shared" ref="L67:L130" si="45">K125-30</f>
        <v>45645</v>
      </c>
      <c r="M125">
        <f t="shared" ref="M67:M130" si="46">MONTH(L125)</f>
        <v>12</v>
      </c>
      <c r="N125">
        <f t="shared" ref="N67:N130" si="47">YEAR(L125)</f>
        <v>2024</v>
      </c>
      <c r="Q125" s="22">
        <v>192</v>
      </c>
      <c r="R125" s="22">
        <v>5250</v>
      </c>
      <c r="S125" s="22" t="str">
        <f t="shared" si="27"/>
        <v>USD</v>
      </c>
      <c r="T125" s="22">
        <f t="shared" si="28"/>
        <v>5250</v>
      </c>
      <c r="U125" s="28">
        <v>400</v>
      </c>
      <c r="W125" s="9">
        <v>126</v>
      </c>
      <c r="X125" s="9" t="s">
        <v>27</v>
      </c>
      <c r="AF125">
        <v>129</v>
      </c>
      <c r="AG125" t="s">
        <v>29</v>
      </c>
      <c r="AH125">
        <v>166662</v>
      </c>
      <c r="AI125" s="7">
        <v>45735</v>
      </c>
    </row>
    <row r="126" spans="1:35">
      <c r="A126">
        <v>134</v>
      </c>
      <c r="B126" t="str">
        <f t="shared" si="23"/>
        <v>USD</v>
      </c>
      <c r="C126">
        <f t="shared" si="24"/>
        <v>30663.5</v>
      </c>
      <c r="D126">
        <f>C126*_xlfn.XLOOKUP(B126,AM:AM,AN:AN)</f>
        <v>26370.61</v>
      </c>
      <c r="E126">
        <f>C126*_xlfn.XLOOKUP(B126,AM:AM,AO:AO)</f>
        <v>30663.5</v>
      </c>
      <c r="F126">
        <v>31868.5</v>
      </c>
      <c r="G126">
        <f>F126*_xlfn.XLOOKUP(B126,AM:AM,AN:AN)</f>
        <v>27406.91</v>
      </c>
      <c r="H126">
        <f>F126*_xlfn.XLOOKUP(B126,AM:AM,AO:AO)</f>
        <v>31868.5</v>
      </c>
      <c r="I126">
        <f t="shared" si="25"/>
        <v>0</v>
      </c>
      <c r="J126">
        <f>I126*_xlfn.XLOOKUP(B126,AM:AM,AO:AO)</f>
        <v>0</v>
      </c>
      <c r="K126" s="7">
        <f t="shared" si="26"/>
        <v>45792</v>
      </c>
      <c r="L126" s="7">
        <f t="shared" si="45"/>
        <v>45762</v>
      </c>
      <c r="M126">
        <f t="shared" si="46"/>
        <v>4</v>
      </c>
      <c r="N126">
        <f t="shared" si="47"/>
        <v>2025</v>
      </c>
      <c r="Q126" s="22">
        <v>193</v>
      </c>
      <c r="R126" s="22">
        <v>13249.93</v>
      </c>
      <c r="S126" s="22" t="str">
        <f t="shared" si="27"/>
        <v>MXN</v>
      </c>
      <c r="T126" s="22">
        <f t="shared" si="28"/>
        <v>741.99608000000001</v>
      </c>
      <c r="U126" s="28">
        <v>400</v>
      </c>
      <c r="W126" s="9">
        <v>126</v>
      </c>
      <c r="X126" s="9" t="s">
        <v>27</v>
      </c>
      <c r="AF126">
        <v>130</v>
      </c>
      <c r="AG126" t="s">
        <v>29</v>
      </c>
      <c r="AH126">
        <v>4389</v>
      </c>
      <c r="AI126" s="7">
        <v>45735</v>
      </c>
    </row>
    <row r="127" spans="1:35">
      <c r="A127">
        <v>135</v>
      </c>
      <c r="B127" t="str">
        <f t="shared" si="23"/>
        <v>USD</v>
      </c>
      <c r="C127">
        <f t="shared" si="24"/>
        <v>97396</v>
      </c>
      <c r="D127">
        <f>C127*_xlfn.XLOOKUP(B127,AM:AM,AN:AN)</f>
        <v>83760.56</v>
      </c>
      <c r="E127">
        <f>C127*_xlfn.XLOOKUP(B127,AM:AM,AO:AO)</f>
        <v>97396</v>
      </c>
      <c r="F127">
        <v>97396</v>
      </c>
      <c r="G127">
        <f>F127*_xlfn.XLOOKUP(B127,AM:AM,AN:AN)</f>
        <v>83760.56</v>
      </c>
      <c r="H127">
        <f>F127*_xlfn.XLOOKUP(B127,AM:AM,AO:AO)</f>
        <v>97396</v>
      </c>
      <c r="I127">
        <f t="shared" si="25"/>
        <v>0</v>
      </c>
      <c r="J127">
        <f>I127*_xlfn.XLOOKUP(B127,AM:AM,AO:AO)</f>
        <v>0</v>
      </c>
      <c r="K127" s="7">
        <f t="shared" si="26"/>
        <v>45779</v>
      </c>
      <c r="L127" s="7">
        <f t="shared" si="45"/>
        <v>45749</v>
      </c>
      <c r="M127">
        <f t="shared" si="46"/>
        <v>4</v>
      </c>
      <c r="N127">
        <f t="shared" si="47"/>
        <v>2025</v>
      </c>
      <c r="Q127" s="22">
        <v>195</v>
      </c>
      <c r="R127" s="22">
        <v>10592.5</v>
      </c>
      <c r="S127" s="22" t="str">
        <f t="shared" si="27"/>
        <v>EUR</v>
      </c>
      <c r="T127" s="22">
        <f t="shared" si="28"/>
        <v>12287.3</v>
      </c>
      <c r="U127" s="28">
        <v>400</v>
      </c>
      <c r="W127" s="9">
        <v>126</v>
      </c>
      <c r="X127" s="9" t="s">
        <v>27</v>
      </c>
      <c r="AF127">
        <v>131</v>
      </c>
      <c r="AG127" t="s">
        <v>29</v>
      </c>
      <c r="AH127">
        <v>11650.31</v>
      </c>
      <c r="AI127" s="7">
        <v>45742</v>
      </c>
    </row>
    <row r="128" spans="1:35">
      <c r="A128">
        <v>136</v>
      </c>
      <c r="B128" t="str">
        <f t="shared" si="23"/>
        <v>USD</v>
      </c>
      <c r="C128">
        <f t="shared" si="24"/>
        <v>74106.000000000029</v>
      </c>
      <c r="D128">
        <f>C128*_xlfn.XLOOKUP(B128,AM:AM,AN:AN)</f>
        <v>63731.160000000025</v>
      </c>
      <c r="E128">
        <f>C128*_xlfn.XLOOKUP(B128,AM:AM,AO:AO)</f>
        <v>74106.000000000029</v>
      </c>
      <c r="F128">
        <v>216317.35</v>
      </c>
      <c r="G128">
        <f>F128*_xlfn.XLOOKUP(B128,AM:AM,AN:AN)</f>
        <v>186032.921</v>
      </c>
      <c r="H128">
        <f>F128*_xlfn.XLOOKUP(B128,AM:AM,AO:AO)</f>
        <v>216317.35</v>
      </c>
      <c r="I128">
        <f t="shared" si="25"/>
        <v>0</v>
      </c>
      <c r="J128">
        <f>I128*_xlfn.XLOOKUP(B128,AM:AM,AO:AO)</f>
        <v>0</v>
      </c>
      <c r="K128" s="7">
        <f t="shared" si="26"/>
        <v>45757</v>
      </c>
      <c r="L128" s="7">
        <f t="shared" si="45"/>
        <v>45727</v>
      </c>
      <c r="M128">
        <f t="shared" si="46"/>
        <v>3</v>
      </c>
      <c r="N128">
        <f t="shared" si="47"/>
        <v>2025</v>
      </c>
      <c r="Q128" s="22">
        <v>196</v>
      </c>
      <c r="R128" s="22">
        <v>14882.34</v>
      </c>
      <c r="S128" s="22" t="str">
        <f t="shared" si="27"/>
        <v>USD</v>
      </c>
      <c r="T128" s="22">
        <f t="shared" si="28"/>
        <v>14882.34</v>
      </c>
      <c r="U128" s="28">
        <v>400</v>
      </c>
      <c r="W128" s="9">
        <v>126</v>
      </c>
      <c r="X128" s="9" t="s">
        <v>27</v>
      </c>
      <c r="AF128">
        <v>132</v>
      </c>
      <c r="AG128" t="s">
        <v>29</v>
      </c>
      <c r="AH128">
        <v>4428.88</v>
      </c>
      <c r="AI128" s="7">
        <v>45700</v>
      </c>
    </row>
    <row r="129" spans="1:35">
      <c r="A129">
        <v>137</v>
      </c>
      <c r="B129" t="str">
        <f t="shared" si="23"/>
        <v>USD</v>
      </c>
      <c r="C129">
        <f t="shared" si="24"/>
        <v>40030</v>
      </c>
      <c r="D129">
        <f>C129*_xlfn.XLOOKUP(B129,AM:AM,AN:AN)</f>
        <v>34425.800000000003</v>
      </c>
      <c r="E129">
        <f>C129*_xlfn.XLOOKUP(B129,AM:AM,AO:AO)</f>
        <v>40030</v>
      </c>
      <c r="F129">
        <v>44604.11</v>
      </c>
      <c r="G129">
        <f>F129*_xlfn.XLOOKUP(B129,AM:AM,AN:AN)</f>
        <v>38359.534599999999</v>
      </c>
      <c r="H129">
        <f>F129*_xlfn.XLOOKUP(B129,AM:AM,AO:AO)</f>
        <v>44604.11</v>
      </c>
      <c r="I129">
        <f t="shared" si="25"/>
        <v>-9.0949470177292824E-13</v>
      </c>
      <c r="J129">
        <f>I129*_xlfn.XLOOKUP(B129,AM:AM,AO:AO)</f>
        <v>-9.0949470177292824E-13</v>
      </c>
      <c r="K129" s="7">
        <f t="shared" si="26"/>
        <v>45702</v>
      </c>
      <c r="L129" s="7">
        <f t="shared" si="45"/>
        <v>45672</v>
      </c>
      <c r="M129">
        <f t="shared" si="46"/>
        <v>1</v>
      </c>
      <c r="N129">
        <f t="shared" si="47"/>
        <v>2025</v>
      </c>
      <c r="Q129" s="22">
        <v>198</v>
      </c>
      <c r="R129" s="22">
        <v>52744.09</v>
      </c>
      <c r="S129" s="22" t="str">
        <f t="shared" si="27"/>
        <v>USD</v>
      </c>
      <c r="T129" s="22">
        <f t="shared" si="28"/>
        <v>52744.09</v>
      </c>
      <c r="U129" s="28">
        <v>400</v>
      </c>
      <c r="W129" s="9">
        <v>126</v>
      </c>
      <c r="X129" s="9" t="s">
        <v>27</v>
      </c>
      <c r="AF129">
        <v>133</v>
      </c>
      <c r="AG129" t="s">
        <v>29</v>
      </c>
      <c r="AH129">
        <v>8756.25</v>
      </c>
      <c r="AI129" s="7">
        <v>45675</v>
      </c>
    </row>
    <row r="130" spans="1:35">
      <c r="A130">
        <v>138</v>
      </c>
      <c r="B130" t="str">
        <f t="shared" si="23"/>
        <v>MXN</v>
      </c>
      <c r="C130">
        <f t="shared" si="24"/>
        <v>132324.54</v>
      </c>
      <c r="D130">
        <f>C130*_xlfn.XLOOKUP(B130,AM:AM,AN:AN)</f>
        <v>6351.5779200000006</v>
      </c>
      <c r="E130">
        <f>C130*_xlfn.XLOOKUP(B130,AM:AM,AO:AO)</f>
        <v>7410.1742400000003</v>
      </c>
      <c r="F130">
        <v>132324.54</v>
      </c>
      <c r="G130">
        <f>F130*_xlfn.XLOOKUP(B130,AM:AM,AN:AN)</f>
        <v>6351.5779200000006</v>
      </c>
      <c r="H130">
        <f>F130*_xlfn.XLOOKUP(B130,AM:AM,AO:AO)</f>
        <v>7410.1742400000003</v>
      </c>
      <c r="I130">
        <f t="shared" si="25"/>
        <v>0</v>
      </c>
      <c r="J130">
        <f>I130*_xlfn.XLOOKUP(B130,AM:AM,AO:AO)</f>
        <v>0</v>
      </c>
      <c r="K130" s="7">
        <f t="shared" si="26"/>
        <v>45975</v>
      </c>
      <c r="L130" s="7">
        <f t="shared" si="45"/>
        <v>45945</v>
      </c>
      <c r="M130">
        <f t="shared" si="46"/>
        <v>10</v>
      </c>
      <c r="N130">
        <f t="shared" si="47"/>
        <v>2025</v>
      </c>
      <c r="Q130" s="22">
        <v>199</v>
      </c>
      <c r="R130" s="22">
        <v>4395</v>
      </c>
      <c r="S130" s="22" t="str">
        <f t="shared" si="27"/>
        <v>USD</v>
      </c>
      <c r="T130" s="22">
        <f t="shared" si="28"/>
        <v>4395</v>
      </c>
      <c r="U130" s="28">
        <v>400</v>
      </c>
      <c r="W130" s="9">
        <v>127</v>
      </c>
      <c r="X130" s="9" t="s">
        <v>29</v>
      </c>
      <c r="AF130">
        <v>134</v>
      </c>
      <c r="AG130" t="s">
        <v>29</v>
      </c>
      <c r="AH130">
        <v>31868.5</v>
      </c>
      <c r="AI130" s="7">
        <v>45792</v>
      </c>
    </row>
    <row r="131" spans="1:35">
      <c r="A131">
        <v>139</v>
      </c>
      <c r="B131" t="str">
        <f t="shared" ref="B131:B194" si="48">_xlfn.XLOOKUP(A131,AF:AF,AG:AG)</f>
        <v>USD</v>
      </c>
      <c r="C131">
        <f t="shared" ref="C131:C194" si="49">_xlfn.XLOOKUP(A131,AF:AF,AH:AH)-_xlfn.XLOOKUP(A131,Q:Q,R:R,"0")</f>
        <v>0</v>
      </c>
      <c r="D131">
        <f>C131*_xlfn.XLOOKUP(B131,AM:AM,AN:AN)</f>
        <v>0</v>
      </c>
      <c r="E131">
        <f>C131*_xlfn.XLOOKUP(B131,AM:AM,AO:AO)</f>
        <v>0</v>
      </c>
      <c r="F131">
        <v>2232</v>
      </c>
      <c r="G131">
        <f>F131*_xlfn.XLOOKUP(B131,AM:AM,AN:AN)</f>
        <v>1919.52</v>
      </c>
      <c r="H131">
        <f>F131*_xlfn.XLOOKUP(B131,AM:AM,AO:AO)</f>
        <v>2232</v>
      </c>
      <c r="I131">
        <f t="shared" ref="I131:I194" si="50">C131-F131+_xlfn.XLOOKUP(A131,Q:Q,R:R,"0")-_xlfn.XLOOKUP(A131,Z:Z,AA:AA,"0")</f>
        <v>0</v>
      </c>
      <c r="J131">
        <f>I131*_xlfn.XLOOKUP(B131,AM:AM,AO:AO)</f>
        <v>0</v>
      </c>
      <c r="K131" s="7">
        <f t="shared" ref="K131:K194" si="51">_xlfn.XLOOKUP(A131,AF:AF,AI:AI)</f>
        <v>45704</v>
      </c>
      <c r="L131" s="7">
        <f t="shared" ref="L131:L194" si="52">K131-30</f>
        <v>45674</v>
      </c>
      <c r="M131">
        <f t="shared" ref="M131:M194" si="53">MONTH(L131)</f>
        <v>1</v>
      </c>
      <c r="N131">
        <f t="shared" ref="N131:N194" si="54">YEAR(L131)</f>
        <v>2025</v>
      </c>
      <c r="Q131" s="22">
        <v>200</v>
      </c>
      <c r="R131" s="22">
        <v>3998.77</v>
      </c>
      <c r="S131" s="22" t="str">
        <f t="shared" ref="S131:S194" si="55">_xlfn.XLOOKUP(Q131,W:W,X:X)</f>
        <v>USD</v>
      </c>
      <c r="T131" s="22">
        <f t="shared" si="28"/>
        <v>3998.77</v>
      </c>
      <c r="U131" s="28">
        <v>400</v>
      </c>
      <c r="W131" s="9">
        <v>127</v>
      </c>
      <c r="X131" s="9" t="s">
        <v>29</v>
      </c>
      <c r="AF131">
        <v>135</v>
      </c>
      <c r="AG131" t="s">
        <v>29</v>
      </c>
      <c r="AH131">
        <v>97396</v>
      </c>
      <c r="AI131" s="7">
        <v>45779</v>
      </c>
    </row>
    <row r="132" spans="1:35">
      <c r="A132">
        <v>140</v>
      </c>
      <c r="B132" t="str">
        <f t="shared" si="48"/>
        <v>USD</v>
      </c>
      <c r="C132">
        <f t="shared" si="49"/>
        <v>0</v>
      </c>
      <c r="D132">
        <f>C132*_xlfn.XLOOKUP(B132,AM:AM,AN:AN)</f>
        <v>0</v>
      </c>
      <c r="E132">
        <f>C132*_xlfn.XLOOKUP(B132,AM:AM,AO:AO)</f>
        <v>0</v>
      </c>
      <c r="F132">
        <v>23910.84</v>
      </c>
      <c r="G132">
        <f>F132*_xlfn.XLOOKUP(B132,AM:AM,AN:AN)</f>
        <v>20563.322400000001</v>
      </c>
      <c r="H132">
        <f>F132*_xlfn.XLOOKUP(B132,AM:AM,AO:AO)</f>
        <v>23910.84</v>
      </c>
      <c r="I132">
        <f t="shared" si="50"/>
        <v>0</v>
      </c>
      <c r="J132">
        <f>I132*_xlfn.XLOOKUP(B132,AM:AM,AO:AO)</f>
        <v>0</v>
      </c>
      <c r="K132" s="7">
        <f t="shared" si="51"/>
        <v>45650</v>
      </c>
      <c r="L132" s="7">
        <f t="shared" ref="L132" si="56">K132-30</f>
        <v>45620</v>
      </c>
      <c r="M132">
        <f t="shared" ref="M132" si="57">MONTH(L132)</f>
        <v>11</v>
      </c>
      <c r="N132">
        <f t="shared" ref="N132" si="58">YEAR(L132)</f>
        <v>2024</v>
      </c>
      <c r="Q132" s="22">
        <v>201</v>
      </c>
      <c r="R132" s="22">
        <v>3998.77</v>
      </c>
      <c r="S132" s="22" t="str">
        <f t="shared" si="55"/>
        <v>USD</v>
      </c>
      <c r="T132" s="22">
        <f t="shared" si="28"/>
        <v>3998.77</v>
      </c>
      <c r="U132" s="28">
        <v>400</v>
      </c>
      <c r="W132" s="9">
        <v>128</v>
      </c>
      <c r="X132" s="9" t="s">
        <v>29</v>
      </c>
      <c r="AF132">
        <v>136</v>
      </c>
      <c r="AG132" t="s">
        <v>29</v>
      </c>
      <c r="AH132">
        <v>216317.35</v>
      </c>
      <c r="AI132" s="7">
        <v>45757</v>
      </c>
    </row>
    <row r="133" spans="1:35">
      <c r="A133">
        <v>141</v>
      </c>
      <c r="B133" t="str">
        <f t="shared" si="48"/>
        <v>EUR</v>
      </c>
      <c r="C133">
        <f t="shared" si="49"/>
        <v>0</v>
      </c>
      <c r="D133">
        <f>C133*_xlfn.XLOOKUP(B133,AM:AM,AN:AN)</f>
        <v>0</v>
      </c>
      <c r="E133">
        <f>C133*_xlfn.XLOOKUP(B133,AM:AM,AO:AO)</f>
        <v>0</v>
      </c>
      <c r="F133">
        <v>3158.37</v>
      </c>
      <c r="G133">
        <f>F133*_xlfn.XLOOKUP(B133,AM:AM,AN:AN)</f>
        <v>3158.37</v>
      </c>
      <c r="H133">
        <f>F133*_xlfn.XLOOKUP(B133,AM:AM,AO:AO)</f>
        <v>3663.7091999999998</v>
      </c>
      <c r="I133">
        <f t="shared" si="50"/>
        <v>0</v>
      </c>
      <c r="J133">
        <f>I133*_xlfn.XLOOKUP(B133,AM:AM,AO:AO)</f>
        <v>0</v>
      </c>
      <c r="K133" s="7">
        <f t="shared" si="51"/>
        <v>45689</v>
      </c>
      <c r="L133" s="7">
        <f t="shared" si="52"/>
        <v>45659</v>
      </c>
      <c r="M133">
        <f t="shared" si="53"/>
        <v>1</v>
      </c>
      <c r="N133">
        <f t="shared" si="54"/>
        <v>2025</v>
      </c>
      <c r="Q133" s="22">
        <v>202</v>
      </c>
      <c r="R133" s="22">
        <v>10863.94</v>
      </c>
      <c r="S133" s="22" t="str">
        <f t="shared" si="55"/>
        <v>USD</v>
      </c>
      <c r="T133" s="22">
        <f t="shared" si="28"/>
        <v>10863.94</v>
      </c>
      <c r="U133" s="28">
        <v>400</v>
      </c>
      <c r="W133" s="9">
        <v>129</v>
      </c>
      <c r="X133" s="9" t="s">
        <v>28</v>
      </c>
      <c r="AF133">
        <v>137</v>
      </c>
      <c r="AG133" t="s">
        <v>29</v>
      </c>
      <c r="AH133">
        <v>44604.11</v>
      </c>
      <c r="AI133" s="7">
        <v>45702</v>
      </c>
    </row>
    <row r="134" spans="1:35">
      <c r="A134">
        <v>142</v>
      </c>
      <c r="B134" t="str">
        <f t="shared" si="48"/>
        <v>USD</v>
      </c>
      <c r="C134">
        <f t="shared" si="49"/>
        <v>0</v>
      </c>
      <c r="D134">
        <f>C134*_xlfn.XLOOKUP(B134,AM:AM,AN:AN)</f>
        <v>0</v>
      </c>
      <c r="E134">
        <f>C134*_xlfn.XLOOKUP(B134,AM:AM,AO:AO)</f>
        <v>0</v>
      </c>
      <c r="F134">
        <v>2425</v>
      </c>
      <c r="G134">
        <f>F134*_xlfn.XLOOKUP(B134,AM:AM,AN:AN)</f>
        <v>2085.5</v>
      </c>
      <c r="H134">
        <f>F134*_xlfn.XLOOKUP(B134,AM:AM,AO:AO)</f>
        <v>2425</v>
      </c>
      <c r="I134">
        <f t="shared" si="50"/>
        <v>0</v>
      </c>
      <c r="J134">
        <f>I134*_xlfn.XLOOKUP(B134,AM:AM,AO:AO)</f>
        <v>0</v>
      </c>
      <c r="K134" s="7">
        <f t="shared" si="51"/>
        <v>45781</v>
      </c>
      <c r="L134" s="7">
        <f t="shared" si="52"/>
        <v>45751</v>
      </c>
      <c r="M134">
        <f t="shared" si="53"/>
        <v>4</v>
      </c>
      <c r="N134">
        <f t="shared" si="54"/>
        <v>2025</v>
      </c>
      <c r="Q134" s="22">
        <v>203</v>
      </c>
      <c r="R134" s="22">
        <v>1612.44</v>
      </c>
      <c r="S134" s="22" t="str">
        <f t="shared" si="55"/>
        <v>USD</v>
      </c>
      <c r="T134" s="22">
        <f t="shared" si="28"/>
        <v>1612.44</v>
      </c>
      <c r="U134" s="28">
        <v>400</v>
      </c>
      <c r="W134" s="9">
        <v>130</v>
      </c>
      <c r="X134" s="9" t="s">
        <v>29</v>
      </c>
      <c r="AF134">
        <v>138</v>
      </c>
      <c r="AG134" t="s">
        <v>28</v>
      </c>
      <c r="AH134">
        <v>132324.54</v>
      </c>
      <c r="AI134" s="7">
        <v>45975</v>
      </c>
    </row>
    <row r="135" spans="1:35">
      <c r="A135">
        <v>143</v>
      </c>
      <c r="B135" t="str">
        <f t="shared" si="48"/>
        <v>EUR</v>
      </c>
      <c r="C135">
        <f t="shared" si="49"/>
        <v>0</v>
      </c>
      <c r="D135">
        <f>C135*_xlfn.XLOOKUP(B135,AM:AM,AN:AN)</f>
        <v>0</v>
      </c>
      <c r="E135">
        <f>C135*_xlfn.XLOOKUP(B135,AM:AM,AO:AO)</f>
        <v>0</v>
      </c>
      <c r="F135">
        <v>4874.42</v>
      </c>
      <c r="G135">
        <f>F135*_xlfn.XLOOKUP(B135,AM:AM,AN:AN)</f>
        <v>4874.42</v>
      </c>
      <c r="H135">
        <f>F135*_xlfn.XLOOKUP(B135,AM:AM,AO:AO)</f>
        <v>5654.3271999999997</v>
      </c>
      <c r="I135">
        <f t="shared" si="50"/>
        <v>0</v>
      </c>
      <c r="J135">
        <f>I135*_xlfn.XLOOKUP(B135,AM:AM,AO:AO)</f>
        <v>0</v>
      </c>
      <c r="K135" s="7">
        <f t="shared" si="51"/>
        <v>45683</v>
      </c>
      <c r="L135" s="7">
        <f t="shared" si="52"/>
        <v>45653</v>
      </c>
      <c r="M135">
        <f t="shared" si="53"/>
        <v>12</v>
      </c>
      <c r="N135">
        <f t="shared" si="54"/>
        <v>2024</v>
      </c>
      <c r="Q135" s="22">
        <v>204</v>
      </c>
      <c r="R135" s="22">
        <v>6615</v>
      </c>
      <c r="S135" s="22" t="str">
        <f t="shared" si="55"/>
        <v>EUR</v>
      </c>
      <c r="T135" s="22">
        <f t="shared" si="28"/>
        <v>7673.4</v>
      </c>
      <c r="U135" s="28">
        <v>400</v>
      </c>
      <c r="W135" s="9">
        <v>132</v>
      </c>
      <c r="X135" s="9" t="s">
        <v>29</v>
      </c>
      <c r="AF135">
        <v>139</v>
      </c>
      <c r="AG135" t="s">
        <v>29</v>
      </c>
      <c r="AH135">
        <v>2232</v>
      </c>
      <c r="AI135" s="7">
        <v>45704</v>
      </c>
    </row>
    <row r="136" spans="1:35">
      <c r="A136">
        <v>144</v>
      </c>
      <c r="B136" t="str">
        <f t="shared" si="48"/>
        <v>USD</v>
      </c>
      <c r="C136">
        <f t="shared" si="49"/>
        <v>0</v>
      </c>
      <c r="D136">
        <f>C136*_xlfn.XLOOKUP(B136,AM:AM,AN:AN)</f>
        <v>0</v>
      </c>
      <c r="E136">
        <f>C136*_xlfn.XLOOKUP(B136,AM:AM,AO:AO)</f>
        <v>0</v>
      </c>
      <c r="F136">
        <v>3993.6</v>
      </c>
      <c r="G136">
        <f>F136*_xlfn.XLOOKUP(B136,AM:AM,AN:AN)</f>
        <v>3434.4960000000001</v>
      </c>
      <c r="H136">
        <f>F136*_xlfn.XLOOKUP(B136,AM:AM,AO:AO)</f>
        <v>3993.6</v>
      </c>
      <c r="I136">
        <f t="shared" si="50"/>
        <v>0</v>
      </c>
      <c r="J136">
        <f>I136*_xlfn.XLOOKUP(B136,AM:AM,AO:AO)</f>
        <v>0</v>
      </c>
      <c r="K136" s="7">
        <f t="shared" si="51"/>
        <v>45654</v>
      </c>
      <c r="L136" s="7">
        <f t="shared" si="52"/>
        <v>45624</v>
      </c>
      <c r="M136">
        <f t="shared" si="53"/>
        <v>11</v>
      </c>
      <c r="N136">
        <f t="shared" si="54"/>
        <v>2024</v>
      </c>
      <c r="Q136" s="22">
        <v>205</v>
      </c>
      <c r="R136" s="22">
        <v>868193.33</v>
      </c>
      <c r="S136" s="22" t="str">
        <f t="shared" si="55"/>
        <v>MXN</v>
      </c>
      <c r="T136" s="22">
        <f t="shared" si="28"/>
        <v>48618.826479999996</v>
      </c>
      <c r="U136" s="28">
        <v>400</v>
      </c>
      <c r="W136" s="9">
        <v>132</v>
      </c>
      <c r="X136" s="9" t="s">
        <v>29</v>
      </c>
      <c r="AF136">
        <v>140</v>
      </c>
      <c r="AG136" t="s">
        <v>29</v>
      </c>
      <c r="AH136">
        <v>23910.84</v>
      </c>
      <c r="AI136" s="7">
        <v>45650</v>
      </c>
    </row>
    <row r="137" spans="1:35">
      <c r="A137">
        <v>145</v>
      </c>
      <c r="B137" t="str">
        <f t="shared" si="48"/>
        <v>EUR</v>
      </c>
      <c r="C137">
        <f t="shared" si="49"/>
        <v>0</v>
      </c>
      <c r="D137">
        <f>C137*_xlfn.XLOOKUP(B137,AM:AM,AN:AN)</f>
        <v>0</v>
      </c>
      <c r="E137">
        <f>C137*_xlfn.XLOOKUP(B137,AM:AM,AO:AO)</f>
        <v>0</v>
      </c>
      <c r="F137">
        <v>4101.6000000000004</v>
      </c>
      <c r="G137">
        <f>F137*_xlfn.XLOOKUP(B137,AM:AM,AN:AN)</f>
        <v>4101.6000000000004</v>
      </c>
      <c r="H137">
        <f>F137*_xlfn.XLOOKUP(B137,AM:AM,AO:AO)</f>
        <v>4757.8559999999998</v>
      </c>
      <c r="I137">
        <f t="shared" si="50"/>
        <v>0</v>
      </c>
      <c r="J137">
        <f>I137*_xlfn.XLOOKUP(B137,AM:AM,AO:AO)</f>
        <v>0</v>
      </c>
      <c r="K137" s="7">
        <f t="shared" si="51"/>
        <v>45636</v>
      </c>
      <c r="L137" s="7">
        <f t="shared" si="52"/>
        <v>45606</v>
      </c>
      <c r="M137">
        <f t="shared" si="53"/>
        <v>11</v>
      </c>
      <c r="N137">
        <f t="shared" si="54"/>
        <v>2024</v>
      </c>
      <c r="Q137" s="22">
        <v>206</v>
      </c>
      <c r="R137" s="22">
        <v>8210</v>
      </c>
      <c r="S137" s="22" t="str">
        <f t="shared" si="55"/>
        <v>USD</v>
      </c>
      <c r="T137" s="22">
        <f t="shared" si="28"/>
        <v>8210</v>
      </c>
      <c r="U137" s="28">
        <v>400</v>
      </c>
      <c r="W137" s="9">
        <v>133</v>
      </c>
      <c r="X137" s="9" t="s">
        <v>29</v>
      </c>
      <c r="AF137">
        <v>141</v>
      </c>
      <c r="AG137" t="s">
        <v>27</v>
      </c>
      <c r="AH137">
        <v>3158.37</v>
      </c>
      <c r="AI137" s="7">
        <v>45689</v>
      </c>
    </row>
    <row r="138" spans="1:35">
      <c r="A138">
        <v>146</v>
      </c>
      <c r="B138" t="str">
        <f t="shared" si="48"/>
        <v>USD</v>
      </c>
      <c r="C138">
        <f t="shared" si="49"/>
        <v>10682.93</v>
      </c>
      <c r="D138">
        <f>C138*_xlfn.XLOOKUP(B138,AM:AM,AN:AN)</f>
        <v>9187.3197999999993</v>
      </c>
      <c r="E138">
        <f>C138*_xlfn.XLOOKUP(B138,AM:AM,AO:AO)</f>
        <v>10682.93</v>
      </c>
      <c r="F138">
        <v>10682.93</v>
      </c>
      <c r="G138">
        <f>F138*_xlfn.XLOOKUP(B138,AM:AM,AN:AN)</f>
        <v>9187.3197999999993</v>
      </c>
      <c r="H138">
        <f>F138*_xlfn.XLOOKUP(B138,AM:AM,AO:AO)</f>
        <v>10682.93</v>
      </c>
      <c r="I138">
        <f t="shared" si="50"/>
        <v>0</v>
      </c>
      <c r="J138">
        <f>I138*_xlfn.XLOOKUP(B138,AM:AM,AO:AO)</f>
        <v>0</v>
      </c>
      <c r="K138" s="7">
        <f t="shared" si="51"/>
        <v>45685</v>
      </c>
      <c r="L138" s="7">
        <f t="shared" si="52"/>
        <v>45655</v>
      </c>
      <c r="M138">
        <f t="shared" si="53"/>
        <v>12</v>
      </c>
      <c r="N138">
        <f t="shared" si="54"/>
        <v>2024</v>
      </c>
      <c r="Q138" s="22">
        <v>207</v>
      </c>
      <c r="R138" s="22">
        <v>4370.66</v>
      </c>
      <c r="S138" s="22" t="str">
        <f t="shared" si="55"/>
        <v>USD</v>
      </c>
      <c r="T138" s="22">
        <f t="shared" si="28"/>
        <v>4370.66</v>
      </c>
      <c r="U138" s="28">
        <v>400</v>
      </c>
      <c r="W138" s="9">
        <v>133</v>
      </c>
      <c r="X138" s="9" t="s">
        <v>29</v>
      </c>
      <c r="AF138">
        <v>142</v>
      </c>
      <c r="AG138" t="s">
        <v>29</v>
      </c>
      <c r="AH138">
        <v>2425</v>
      </c>
      <c r="AI138" s="7">
        <v>45781</v>
      </c>
    </row>
    <row r="139" spans="1:35">
      <c r="A139">
        <v>147</v>
      </c>
      <c r="B139" t="str">
        <f t="shared" si="48"/>
        <v>USD</v>
      </c>
      <c r="C139">
        <f t="shared" si="49"/>
        <v>10540</v>
      </c>
      <c r="D139">
        <f>C139*_xlfn.XLOOKUP(B139,AM:AM,AN:AN)</f>
        <v>9064.4</v>
      </c>
      <c r="E139">
        <f>C139*_xlfn.XLOOKUP(B139,AM:AM,AO:AO)</f>
        <v>10540</v>
      </c>
      <c r="F139">
        <v>10540</v>
      </c>
      <c r="G139">
        <f>F139*_xlfn.XLOOKUP(B139,AM:AM,AN:AN)</f>
        <v>9064.4</v>
      </c>
      <c r="H139">
        <f>F139*_xlfn.XLOOKUP(B139,AM:AM,AO:AO)</f>
        <v>10540</v>
      </c>
      <c r="I139">
        <f t="shared" si="50"/>
        <v>0</v>
      </c>
      <c r="J139">
        <f>I139*_xlfn.XLOOKUP(B139,AM:AM,AO:AO)</f>
        <v>0</v>
      </c>
      <c r="K139" s="7">
        <f t="shared" si="51"/>
        <v>45685</v>
      </c>
      <c r="L139" s="7">
        <f t="shared" si="52"/>
        <v>45655</v>
      </c>
      <c r="M139">
        <f t="shared" si="53"/>
        <v>12</v>
      </c>
      <c r="N139">
        <f t="shared" si="54"/>
        <v>2024</v>
      </c>
      <c r="Q139" s="22">
        <v>208</v>
      </c>
      <c r="R139" s="22">
        <v>4370.66</v>
      </c>
      <c r="S139" s="22" t="str">
        <f t="shared" si="55"/>
        <v>USD</v>
      </c>
      <c r="T139" s="22">
        <f t="shared" si="28"/>
        <v>4370.66</v>
      </c>
      <c r="U139" s="28">
        <v>400</v>
      </c>
      <c r="W139" s="9">
        <v>134</v>
      </c>
      <c r="X139" s="9" t="s">
        <v>29</v>
      </c>
      <c r="AF139">
        <v>143</v>
      </c>
      <c r="AG139" t="s">
        <v>27</v>
      </c>
      <c r="AH139">
        <v>4874.42</v>
      </c>
      <c r="AI139" s="7">
        <v>45683</v>
      </c>
    </row>
    <row r="140" spans="1:35">
      <c r="A140">
        <v>148</v>
      </c>
      <c r="B140" t="str">
        <f t="shared" si="48"/>
        <v>USD</v>
      </c>
      <c r="C140">
        <f t="shared" si="49"/>
        <v>0</v>
      </c>
      <c r="D140">
        <f>C140*_xlfn.XLOOKUP(B140,AM:AM,AN:AN)</f>
        <v>0</v>
      </c>
      <c r="E140">
        <f>C140*_xlfn.XLOOKUP(B140,AM:AM,AO:AO)</f>
        <v>0</v>
      </c>
      <c r="F140">
        <v>7786</v>
      </c>
      <c r="G140">
        <f>F140*_xlfn.XLOOKUP(B140,AM:AM,AN:AN)</f>
        <v>6695.96</v>
      </c>
      <c r="H140">
        <f>F140*_xlfn.XLOOKUP(B140,AM:AM,AO:AO)</f>
        <v>7786</v>
      </c>
      <c r="I140">
        <f t="shared" si="50"/>
        <v>0</v>
      </c>
      <c r="J140">
        <f>I140*_xlfn.XLOOKUP(B140,AM:AM,AO:AO)</f>
        <v>0</v>
      </c>
      <c r="K140" s="7">
        <f t="shared" si="51"/>
        <v>45685</v>
      </c>
      <c r="L140" s="7">
        <f t="shared" si="52"/>
        <v>45655</v>
      </c>
      <c r="M140">
        <f t="shared" si="53"/>
        <v>12</v>
      </c>
      <c r="N140">
        <f t="shared" si="54"/>
        <v>2024</v>
      </c>
      <c r="Q140" s="22">
        <v>213</v>
      </c>
      <c r="R140" s="22">
        <v>19903.2</v>
      </c>
      <c r="S140" s="22" t="str">
        <f t="shared" si="55"/>
        <v>USD</v>
      </c>
      <c r="T140" s="22">
        <f t="shared" si="28"/>
        <v>19903.2</v>
      </c>
      <c r="U140" s="28">
        <v>400</v>
      </c>
      <c r="W140" s="9">
        <v>134</v>
      </c>
      <c r="X140" s="9" t="s">
        <v>29</v>
      </c>
      <c r="AF140">
        <v>144</v>
      </c>
      <c r="AG140" t="s">
        <v>29</v>
      </c>
      <c r="AH140">
        <v>3993.6</v>
      </c>
      <c r="AI140" s="7">
        <v>45654</v>
      </c>
    </row>
    <row r="141" spans="1:35">
      <c r="A141">
        <v>149</v>
      </c>
      <c r="B141" t="str">
        <f t="shared" si="48"/>
        <v>USD</v>
      </c>
      <c r="C141">
        <f t="shared" si="49"/>
        <v>29257.41</v>
      </c>
      <c r="D141">
        <f>C141*_xlfn.XLOOKUP(B141,AM:AM,AN:AN)</f>
        <v>25161.372599999999</v>
      </c>
      <c r="E141">
        <f>C141*_xlfn.XLOOKUP(B141,AM:AM,AO:AO)</f>
        <v>29257.41</v>
      </c>
      <c r="F141">
        <v>46703.1</v>
      </c>
      <c r="G141">
        <f>F141*_xlfn.XLOOKUP(B141,AM:AM,AN:AN)</f>
        <v>40164.665999999997</v>
      </c>
      <c r="H141">
        <f>F141*_xlfn.XLOOKUP(B141,AM:AM,AO:AO)</f>
        <v>46703.1</v>
      </c>
      <c r="I141">
        <f t="shared" si="50"/>
        <v>0</v>
      </c>
      <c r="J141">
        <f>I141*_xlfn.XLOOKUP(B141,AM:AM,AO:AO)</f>
        <v>0</v>
      </c>
      <c r="K141" s="7">
        <f t="shared" si="51"/>
        <v>45816</v>
      </c>
      <c r="L141" s="7">
        <f t="shared" si="52"/>
        <v>45786</v>
      </c>
      <c r="M141">
        <f t="shared" si="53"/>
        <v>5</v>
      </c>
      <c r="N141">
        <f t="shared" si="54"/>
        <v>2025</v>
      </c>
      <c r="Q141" s="22">
        <v>214</v>
      </c>
      <c r="R141" s="22">
        <v>2074.1999999999998</v>
      </c>
      <c r="S141" s="22" t="str">
        <f t="shared" si="55"/>
        <v>USD</v>
      </c>
      <c r="T141" s="22">
        <f t="shared" si="28"/>
        <v>2074.1999999999998</v>
      </c>
      <c r="U141" s="28">
        <v>400</v>
      </c>
      <c r="W141" s="9">
        <v>134</v>
      </c>
      <c r="X141" s="9" t="s">
        <v>29</v>
      </c>
      <c r="AF141">
        <v>145</v>
      </c>
      <c r="AG141" t="s">
        <v>27</v>
      </c>
      <c r="AH141">
        <v>4101.6000000000004</v>
      </c>
      <c r="AI141" s="7">
        <v>45636</v>
      </c>
    </row>
    <row r="142" spans="1:35">
      <c r="A142">
        <v>150</v>
      </c>
      <c r="B142" t="str">
        <f t="shared" si="48"/>
        <v>USD</v>
      </c>
      <c r="C142">
        <f t="shared" si="49"/>
        <v>76483.55</v>
      </c>
      <c r="D142">
        <f>C142*_xlfn.XLOOKUP(B142,AM:AM,AN:AN)</f>
        <v>65775.853000000003</v>
      </c>
      <c r="E142">
        <f>C142*_xlfn.XLOOKUP(B142,AM:AM,AO:AO)</f>
        <v>76483.55</v>
      </c>
      <c r="F142">
        <v>79382.05</v>
      </c>
      <c r="G142">
        <f>F142*_xlfn.XLOOKUP(B142,AM:AM,AN:AN)</f>
        <v>68268.562999999995</v>
      </c>
      <c r="H142">
        <f>F142*_xlfn.XLOOKUP(B142,AM:AM,AO:AO)</f>
        <v>79382.05</v>
      </c>
      <c r="I142">
        <f t="shared" si="50"/>
        <v>0</v>
      </c>
      <c r="J142">
        <f>I142*_xlfn.XLOOKUP(B142,AM:AM,AO:AO)</f>
        <v>0</v>
      </c>
      <c r="K142" s="7">
        <f t="shared" si="51"/>
        <v>45755</v>
      </c>
      <c r="L142" s="7">
        <f t="shared" si="52"/>
        <v>45725</v>
      </c>
      <c r="M142">
        <f t="shared" si="53"/>
        <v>3</v>
      </c>
      <c r="N142">
        <f t="shared" si="54"/>
        <v>2025</v>
      </c>
      <c r="Q142" s="22">
        <v>215</v>
      </c>
      <c r="R142" s="22">
        <v>21956.04</v>
      </c>
      <c r="S142" s="22" t="str">
        <f t="shared" si="55"/>
        <v>EUR</v>
      </c>
      <c r="T142" s="22">
        <f t="shared" si="28"/>
        <v>25469.006399999998</v>
      </c>
      <c r="U142" s="28">
        <v>400</v>
      </c>
      <c r="W142" s="9">
        <v>136</v>
      </c>
      <c r="X142" s="9" t="s">
        <v>29</v>
      </c>
      <c r="AF142">
        <v>146</v>
      </c>
      <c r="AG142" t="s">
        <v>29</v>
      </c>
      <c r="AH142">
        <v>10682.93</v>
      </c>
      <c r="AI142" s="7">
        <v>45685</v>
      </c>
    </row>
    <row r="143" spans="1:35">
      <c r="A143">
        <v>151</v>
      </c>
      <c r="B143" t="str">
        <f t="shared" si="48"/>
        <v>EUR</v>
      </c>
      <c r="C143">
        <f t="shared" si="49"/>
        <v>1512</v>
      </c>
      <c r="D143">
        <f>C143*_xlfn.XLOOKUP(B143,AM:AM,AN:AN)</f>
        <v>1512</v>
      </c>
      <c r="E143">
        <f>C143*_xlfn.XLOOKUP(B143,AM:AM,AO:AO)</f>
        <v>1753.9199999999998</v>
      </c>
      <c r="F143">
        <v>30644.639999999999</v>
      </c>
      <c r="G143">
        <f>F143*_xlfn.XLOOKUP(B143,AM:AM,AN:AN)</f>
        <v>30644.639999999999</v>
      </c>
      <c r="H143">
        <f>F143*_xlfn.XLOOKUP(B143,AM:AM,AO:AO)</f>
        <v>35547.782399999996</v>
      </c>
      <c r="I143">
        <f t="shared" si="50"/>
        <v>0</v>
      </c>
      <c r="J143">
        <f>I143*_xlfn.XLOOKUP(B143,AM:AM,AO:AO)</f>
        <v>0</v>
      </c>
      <c r="K143" s="7">
        <f t="shared" si="51"/>
        <v>45814</v>
      </c>
      <c r="L143" s="7">
        <f t="shared" si="52"/>
        <v>45784</v>
      </c>
      <c r="M143">
        <f t="shared" si="53"/>
        <v>5</v>
      </c>
      <c r="N143">
        <f t="shared" si="54"/>
        <v>2025</v>
      </c>
      <c r="Q143" s="22">
        <v>216</v>
      </c>
      <c r="R143" s="22">
        <v>58328.6</v>
      </c>
      <c r="S143" s="22" t="str">
        <f t="shared" si="55"/>
        <v>USD</v>
      </c>
      <c r="T143" s="22">
        <f t="shared" si="28"/>
        <v>58328.6</v>
      </c>
      <c r="U143" s="28">
        <v>400</v>
      </c>
      <c r="W143" s="9">
        <v>136</v>
      </c>
      <c r="X143" s="9" t="s">
        <v>29</v>
      </c>
      <c r="AF143">
        <v>147</v>
      </c>
      <c r="AG143" t="s">
        <v>29</v>
      </c>
      <c r="AH143">
        <v>10540</v>
      </c>
      <c r="AI143" s="7">
        <v>45685</v>
      </c>
    </row>
    <row r="144" spans="1:35">
      <c r="A144">
        <v>152</v>
      </c>
      <c r="B144" t="str">
        <f t="shared" si="48"/>
        <v>USD</v>
      </c>
      <c r="C144">
        <f t="shared" si="49"/>
        <v>0</v>
      </c>
      <c r="D144">
        <f>C144*_xlfn.XLOOKUP(B144,AM:AM,AN:AN)</f>
        <v>0</v>
      </c>
      <c r="E144">
        <f>C144*_xlfn.XLOOKUP(B144,AM:AM,AO:AO)</f>
        <v>0</v>
      </c>
      <c r="F144">
        <v>2949</v>
      </c>
      <c r="G144">
        <f>F144*_xlfn.XLOOKUP(B144,AM:AM,AN:AN)</f>
        <v>2536.14</v>
      </c>
      <c r="H144">
        <f>F144*_xlfn.XLOOKUP(B144,AM:AM,AO:AO)</f>
        <v>2949</v>
      </c>
      <c r="I144">
        <f t="shared" si="50"/>
        <v>0</v>
      </c>
      <c r="J144">
        <f>I144*_xlfn.XLOOKUP(B144,AM:AM,AO:AO)</f>
        <v>0</v>
      </c>
      <c r="K144" s="7">
        <f t="shared" si="51"/>
        <v>45701</v>
      </c>
      <c r="L144" s="7">
        <f t="shared" si="52"/>
        <v>45671</v>
      </c>
      <c r="M144">
        <f t="shared" si="53"/>
        <v>1</v>
      </c>
      <c r="N144">
        <f t="shared" si="54"/>
        <v>2025</v>
      </c>
      <c r="Q144" s="22">
        <v>217</v>
      </c>
      <c r="R144" s="22">
        <v>3574</v>
      </c>
      <c r="S144" s="22" t="str">
        <f t="shared" si="55"/>
        <v>USD</v>
      </c>
      <c r="T144" s="22">
        <f t="shared" si="28"/>
        <v>3574</v>
      </c>
      <c r="U144" s="28">
        <v>400</v>
      </c>
      <c r="W144" s="9">
        <v>136</v>
      </c>
      <c r="X144" s="9" t="s">
        <v>29</v>
      </c>
      <c r="AF144">
        <v>148</v>
      </c>
      <c r="AG144" t="s">
        <v>29</v>
      </c>
      <c r="AH144">
        <v>7786</v>
      </c>
      <c r="AI144" s="7">
        <v>45685</v>
      </c>
    </row>
    <row r="145" spans="1:35">
      <c r="A145">
        <v>153</v>
      </c>
      <c r="B145" t="str">
        <f t="shared" si="48"/>
        <v>USD</v>
      </c>
      <c r="C145">
        <f t="shared" si="49"/>
        <v>35259.42</v>
      </c>
      <c r="D145">
        <f>C145*_xlfn.XLOOKUP(B145,AM:AM,AN:AN)</f>
        <v>30323.101199999997</v>
      </c>
      <c r="E145">
        <f>C145*_xlfn.XLOOKUP(B145,AM:AM,AO:AO)</f>
        <v>35259.42</v>
      </c>
      <c r="F145">
        <v>51174.21</v>
      </c>
      <c r="G145">
        <f>F145*_xlfn.XLOOKUP(B145,AM:AM,AN:AN)</f>
        <v>44009.820599999999</v>
      </c>
      <c r="H145">
        <f>F145*_xlfn.XLOOKUP(B145,AM:AM,AO:AO)</f>
        <v>51174.21</v>
      </c>
      <c r="I145">
        <f t="shared" si="50"/>
        <v>0</v>
      </c>
      <c r="J145">
        <f>I145*_xlfn.XLOOKUP(B145,AM:AM,AO:AO)</f>
        <v>0</v>
      </c>
      <c r="K145" s="7">
        <f t="shared" si="51"/>
        <v>46010</v>
      </c>
      <c r="L145" s="7">
        <f t="shared" si="52"/>
        <v>45980</v>
      </c>
      <c r="M145">
        <f t="shared" si="53"/>
        <v>11</v>
      </c>
      <c r="N145">
        <f t="shared" si="54"/>
        <v>2025</v>
      </c>
      <c r="Q145" s="22">
        <v>218</v>
      </c>
      <c r="R145" s="22">
        <v>7247.7</v>
      </c>
      <c r="S145" s="22" t="str">
        <f t="shared" si="55"/>
        <v>USD</v>
      </c>
      <c r="T145" s="22">
        <f t="shared" si="28"/>
        <v>7247.7</v>
      </c>
      <c r="U145" s="28">
        <v>400</v>
      </c>
      <c r="W145" s="9">
        <v>136</v>
      </c>
      <c r="X145" s="9" t="s">
        <v>29</v>
      </c>
      <c r="AF145">
        <v>149</v>
      </c>
      <c r="AG145" t="s">
        <v>29</v>
      </c>
      <c r="AH145">
        <v>46703.1</v>
      </c>
      <c r="AI145" s="7">
        <v>45816</v>
      </c>
    </row>
    <row r="146" spans="1:35">
      <c r="A146">
        <v>154</v>
      </c>
      <c r="B146" t="str">
        <f t="shared" si="48"/>
        <v>USD</v>
      </c>
      <c r="C146">
        <f t="shared" si="49"/>
        <v>38152.959999999999</v>
      </c>
      <c r="D146">
        <f>C146*_xlfn.XLOOKUP(B146,AM:AM,AN:AN)</f>
        <v>32811.545599999998</v>
      </c>
      <c r="E146">
        <f>C146*_xlfn.XLOOKUP(B146,AM:AM,AO:AO)</f>
        <v>38152.959999999999</v>
      </c>
      <c r="F146">
        <v>38152.959999999999</v>
      </c>
      <c r="G146">
        <f>F146*_xlfn.XLOOKUP(B146,AM:AM,AN:AN)</f>
        <v>32811.545599999998</v>
      </c>
      <c r="H146">
        <f>F146*_xlfn.XLOOKUP(B146,AM:AM,AO:AO)</f>
        <v>38152.959999999999</v>
      </c>
      <c r="I146">
        <f t="shared" si="50"/>
        <v>0</v>
      </c>
      <c r="J146">
        <f>I146*_xlfn.XLOOKUP(B146,AM:AM,AO:AO)</f>
        <v>0</v>
      </c>
      <c r="K146" s="7">
        <f t="shared" si="51"/>
        <v>45758</v>
      </c>
      <c r="L146" s="7">
        <f t="shared" si="52"/>
        <v>45728</v>
      </c>
      <c r="M146">
        <f t="shared" si="53"/>
        <v>3</v>
      </c>
      <c r="N146">
        <f t="shared" si="54"/>
        <v>2025</v>
      </c>
      <c r="Q146" s="22">
        <v>219</v>
      </c>
      <c r="R146" s="22">
        <v>10185.200000000001</v>
      </c>
      <c r="S146" s="22" t="str">
        <f t="shared" si="55"/>
        <v>EUR</v>
      </c>
      <c r="T146" s="22">
        <f t="shared" ref="T146:T209" si="59">R146*_xlfn.XLOOKUP(S146,AM:AM,AO:AO)</f>
        <v>11814.832</v>
      </c>
      <c r="U146" s="28">
        <v>400</v>
      </c>
      <c r="W146" s="9">
        <v>136</v>
      </c>
      <c r="X146" s="9" t="s">
        <v>29</v>
      </c>
      <c r="AF146">
        <v>150</v>
      </c>
      <c r="AG146" t="s">
        <v>29</v>
      </c>
      <c r="AH146">
        <v>79382.05</v>
      </c>
      <c r="AI146" s="7">
        <v>45755</v>
      </c>
    </row>
    <row r="147" spans="1:35">
      <c r="A147">
        <v>155</v>
      </c>
      <c r="B147" t="str">
        <f t="shared" si="48"/>
        <v>USD</v>
      </c>
      <c r="C147">
        <f t="shared" si="49"/>
        <v>15081</v>
      </c>
      <c r="D147">
        <f>C147*_xlfn.XLOOKUP(B147,AM:AM,AN:AN)</f>
        <v>12969.66</v>
      </c>
      <c r="E147">
        <f>C147*_xlfn.XLOOKUP(B147,AM:AM,AO:AO)</f>
        <v>15081</v>
      </c>
      <c r="F147">
        <v>15081</v>
      </c>
      <c r="G147">
        <f>F147*_xlfn.XLOOKUP(B147,AM:AM,AN:AN)</f>
        <v>12969.66</v>
      </c>
      <c r="H147">
        <f>F147*_xlfn.XLOOKUP(B147,AM:AM,AO:AO)</f>
        <v>15081</v>
      </c>
      <c r="I147">
        <f t="shared" si="50"/>
        <v>0</v>
      </c>
      <c r="J147">
        <f>I147*_xlfn.XLOOKUP(B147,AM:AM,AO:AO)</f>
        <v>0</v>
      </c>
      <c r="K147" s="7">
        <f t="shared" si="51"/>
        <v>45738</v>
      </c>
      <c r="L147" s="7">
        <f t="shared" ref="L147" si="60">K147-30</f>
        <v>45708</v>
      </c>
      <c r="M147">
        <f t="shared" ref="M147" si="61">MONTH(L147)</f>
        <v>2</v>
      </c>
      <c r="N147">
        <f t="shared" ref="N147" si="62">YEAR(L147)</f>
        <v>2025</v>
      </c>
      <c r="Q147" s="22">
        <v>220</v>
      </c>
      <c r="R147" s="22">
        <v>9173.7000000000007</v>
      </c>
      <c r="S147" s="22" t="str">
        <f t="shared" si="55"/>
        <v>EUR</v>
      </c>
      <c r="T147" s="22">
        <f t="shared" si="59"/>
        <v>10641.492</v>
      </c>
      <c r="U147" s="28">
        <v>400</v>
      </c>
      <c r="W147" s="9">
        <v>136</v>
      </c>
      <c r="X147" s="9" t="s">
        <v>29</v>
      </c>
      <c r="AF147">
        <v>151</v>
      </c>
      <c r="AG147" t="s">
        <v>27</v>
      </c>
      <c r="AH147">
        <v>30644.639999999999</v>
      </c>
      <c r="AI147" s="7">
        <v>45814</v>
      </c>
    </row>
    <row r="148" spans="1:35">
      <c r="A148">
        <v>156</v>
      </c>
      <c r="B148" t="str">
        <f t="shared" si="48"/>
        <v>MXN</v>
      </c>
      <c r="C148">
        <f t="shared" si="49"/>
        <v>1669499.85</v>
      </c>
      <c r="D148">
        <f>C148*_xlfn.XLOOKUP(B148,AM:AM,AN:AN)</f>
        <v>80135.992800000007</v>
      </c>
      <c r="E148">
        <f>C148*_xlfn.XLOOKUP(B148,AM:AM,AO:AO)</f>
        <v>93491.991600000008</v>
      </c>
      <c r="F148">
        <v>1669500</v>
      </c>
      <c r="G148">
        <f>F148*_xlfn.XLOOKUP(B148,AM:AM,AN:AN)</f>
        <v>80136</v>
      </c>
      <c r="H148">
        <f>F148*_xlfn.XLOOKUP(B148,AM:AM,AO:AO)</f>
        <v>93492</v>
      </c>
      <c r="I148">
        <f t="shared" si="50"/>
        <v>-0.14999999990686774</v>
      </c>
      <c r="J148">
        <f>I148*_xlfn.XLOOKUP(B148,AM:AM,AO:AO)</f>
        <v>-8.3999999947845932E-3</v>
      </c>
      <c r="K148" s="7">
        <f t="shared" si="51"/>
        <v>45806</v>
      </c>
      <c r="L148" s="7">
        <f t="shared" si="52"/>
        <v>45776</v>
      </c>
      <c r="M148">
        <f t="shared" si="53"/>
        <v>4</v>
      </c>
      <c r="N148">
        <f t="shared" si="54"/>
        <v>2025</v>
      </c>
      <c r="Q148" s="22">
        <v>222</v>
      </c>
      <c r="R148" s="22">
        <v>84169.55</v>
      </c>
      <c r="S148" s="22" t="str">
        <f t="shared" si="55"/>
        <v>USD</v>
      </c>
      <c r="T148" s="22">
        <f t="shared" si="59"/>
        <v>84169.55</v>
      </c>
      <c r="U148" s="28">
        <v>400</v>
      </c>
      <c r="W148" s="9">
        <v>137</v>
      </c>
      <c r="X148" s="9" t="s">
        <v>29</v>
      </c>
      <c r="AF148">
        <v>152</v>
      </c>
      <c r="AG148" t="s">
        <v>29</v>
      </c>
      <c r="AH148">
        <v>2949</v>
      </c>
      <c r="AI148" s="7">
        <v>45701</v>
      </c>
    </row>
    <row r="149" spans="1:35">
      <c r="A149">
        <v>157</v>
      </c>
      <c r="B149" t="str">
        <f t="shared" si="48"/>
        <v>USD</v>
      </c>
      <c r="C149">
        <f t="shared" si="49"/>
        <v>99036.97</v>
      </c>
      <c r="D149">
        <f>C149*_xlfn.XLOOKUP(B149,AM:AM,AN:AN)</f>
        <v>85171.794200000004</v>
      </c>
      <c r="E149">
        <f>C149*_xlfn.XLOOKUP(B149,AM:AM,AO:AO)</f>
        <v>99036.97</v>
      </c>
      <c r="F149">
        <v>103134.33</v>
      </c>
      <c r="G149">
        <f>F149*_xlfn.XLOOKUP(B149,AM:AM,AN:AN)</f>
        <v>88695.523799999995</v>
      </c>
      <c r="H149">
        <f>F149*_xlfn.XLOOKUP(B149,AM:AM,AO:AO)</f>
        <v>103134.33</v>
      </c>
      <c r="I149">
        <f t="shared" si="50"/>
        <v>-9.0949470177292824E-13</v>
      </c>
      <c r="J149">
        <f>I149*_xlfn.XLOOKUP(B149,AM:AM,AO:AO)</f>
        <v>-9.0949470177292824E-13</v>
      </c>
      <c r="K149" s="7">
        <f t="shared" si="51"/>
        <v>46010</v>
      </c>
      <c r="L149" s="7">
        <f t="shared" si="52"/>
        <v>45980</v>
      </c>
      <c r="M149">
        <f t="shared" si="53"/>
        <v>11</v>
      </c>
      <c r="N149">
        <f t="shared" si="54"/>
        <v>2025</v>
      </c>
      <c r="Q149" s="22">
        <v>223</v>
      </c>
      <c r="R149" s="22">
        <v>12539.51</v>
      </c>
      <c r="S149" s="22" t="str">
        <f t="shared" si="55"/>
        <v>USD</v>
      </c>
      <c r="T149" s="22">
        <f t="shared" si="59"/>
        <v>12539.51</v>
      </c>
      <c r="U149" s="28">
        <v>400</v>
      </c>
      <c r="W149" s="9">
        <v>139</v>
      </c>
      <c r="X149" s="9" t="s">
        <v>29</v>
      </c>
      <c r="AF149">
        <v>153</v>
      </c>
      <c r="AG149" t="s">
        <v>29</v>
      </c>
      <c r="AH149">
        <v>51174.21</v>
      </c>
      <c r="AI149" s="7">
        <v>46010</v>
      </c>
    </row>
    <row r="150" spans="1:35">
      <c r="A150">
        <v>158</v>
      </c>
      <c r="B150" t="str">
        <f t="shared" si="48"/>
        <v>EUR</v>
      </c>
      <c r="C150">
        <f t="shared" si="49"/>
        <v>35538.559999999998</v>
      </c>
      <c r="D150">
        <f>C150*_xlfn.XLOOKUP(B150,AM:AM,AN:AN)</f>
        <v>35538.559999999998</v>
      </c>
      <c r="E150">
        <f>C150*_xlfn.XLOOKUP(B150,AM:AM,AO:AO)</f>
        <v>41224.729599999991</v>
      </c>
      <c r="F150">
        <v>35538.559999999998</v>
      </c>
      <c r="G150">
        <f>F150*_xlfn.XLOOKUP(B150,AM:AM,AN:AN)</f>
        <v>35538.559999999998</v>
      </c>
      <c r="H150">
        <f>F150*_xlfn.XLOOKUP(B150,AM:AM,AO:AO)</f>
        <v>41224.729599999991</v>
      </c>
      <c r="I150">
        <f t="shared" si="50"/>
        <v>0</v>
      </c>
      <c r="J150">
        <f>I150*_xlfn.XLOOKUP(B150,AM:AM,AO:AO)</f>
        <v>0</v>
      </c>
      <c r="K150" s="7">
        <f t="shared" si="51"/>
        <v>45809</v>
      </c>
      <c r="L150" s="7">
        <f t="shared" si="52"/>
        <v>45779</v>
      </c>
      <c r="M150">
        <f t="shared" si="53"/>
        <v>5</v>
      </c>
      <c r="N150">
        <f t="shared" si="54"/>
        <v>2025</v>
      </c>
      <c r="Q150" s="22">
        <v>226</v>
      </c>
      <c r="R150" s="22">
        <v>1778.6</v>
      </c>
      <c r="S150" s="22" t="str">
        <f t="shared" si="55"/>
        <v>USD</v>
      </c>
      <c r="T150" s="22">
        <f t="shared" si="59"/>
        <v>1778.6</v>
      </c>
      <c r="U150" s="28">
        <v>400</v>
      </c>
      <c r="W150" s="9">
        <v>140</v>
      </c>
      <c r="X150" s="9" t="s">
        <v>29</v>
      </c>
      <c r="AF150">
        <v>154</v>
      </c>
      <c r="AG150" t="s">
        <v>29</v>
      </c>
      <c r="AH150">
        <v>38152.959999999999</v>
      </c>
      <c r="AI150" s="7">
        <v>45758</v>
      </c>
    </row>
    <row r="151" spans="1:35">
      <c r="A151">
        <v>159</v>
      </c>
      <c r="B151" t="str">
        <f t="shared" si="48"/>
        <v>EUR</v>
      </c>
      <c r="C151">
        <f t="shared" si="49"/>
        <v>5500</v>
      </c>
      <c r="D151">
        <f>C151*_xlfn.XLOOKUP(B151,AM:AM,AN:AN)</f>
        <v>5500</v>
      </c>
      <c r="E151">
        <f>C151*_xlfn.XLOOKUP(B151,AM:AM,AO:AO)</f>
        <v>6380</v>
      </c>
      <c r="F151">
        <v>5500</v>
      </c>
      <c r="G151">
        <f>F151*_xlfn.XLOOKUP(B151,AM:AM,AN:AN)</f>
        <v>5500</v>
      </c>
      <c r="H151">
        <f>F151*_xlfn.XLOOKUP(B151,AM:AM,AO:AO)</f>
        <v>6380</v>
      </c>
      <c r="I151">
        <f t="shared" si="50"/>
        <v>0</v>
      </c>
      <c r="J151">
        <f>I151*_xlfn.XLOOKUP(B151,AM:AM,AO:AO)</f>
        <v>0</v>
      </c>
      <c r="K151" s="7">
        <f t="shared" si="51"/>
        <v>45709</v>
      </c>
      <c r="L151" s="7">
        <f t="shared" si="52"/>
        <v>45679</v>
      </c>
      <c r="M151">
        <f t="shared" si="53"/>
        <v>1</v>
      </c>
      <c r="N151">
        <f t="shared" si="54"/>
        <v>2025</v>
      </c>
      <c r="Q151" s="22">
        <v>227</v>
      </c>
      <c r="R151" s="22">
        <v>1822.35</v>
      </c>
      <c r="S151" s="22" t="str">
        <f t="shared" si="55"/>
        <v>USD</v>
      </c>
      <c r="T151" s="22">
        <f t="shared" si="59"/>
        <v>1822.35</v>
      </c>
      <c r="U151" s="28">
        <v>400</v>
      </c>
      <c r="W151" s="9">
        <v>141</v>
      </c>
      <c r="X151" s="9" t="s">
        <v>27</v>
      </c>
      <c r="AF151">
        <v>155</v>
      </c>
      <c r="AG151" t="s">
        <v>29</v>
      </c>
      <c r="AH151">
        <v>15081</v>
      </c>
      <c r="AI151" s="7">
        <v>45738</v>
      </c>
    </row>
    <row r="152" spans="1:35">
      <c r="A152">
        <v>160</v>
      </c>
      <c r="B152" t="str">
        <f t="shared" si="48"/>
        <v>USD</v>
      </c>
      <c r="C152">
        <f t="shared" si="49"/>
        <v>3471.84</v>
      </c>
      <c r="D152">
        <f>C152*_xlfn.XLOOKUP(B152,AM:AM,AN:AN)</f>
        <v>2985.7824000000001</v>
      </c>
      <c r="E152">
        <f>C152*_xlfn.XLOOKUP(B152,AM:AM,AO:AO)</f>
        <v>3471.84</v>
      </c>
      <c r="F152">
        <v>3471.84</v>
      </c>
      <c r="G152">
        <f>F152*_xlfn.XLOOKUP(B152,AM:AM,AN:AN)</f>
        <v>2985.7824000000001</v>
      </c>
      <c r="H152">
        <f>F152*_xlfn.XLOOKUP(B152,AM:AM,AO:AO)</f>
        <v>3471.84</v>
      </c>
      <c r="I152">
        <f t="shared" si="50"/>
        <v>0</v>
      </c>
      <c r="J152">
        <f>I152*_xlfn.XLOOKUP(B152,AM:AM,AO:AO)</f>
        <v>0</v>
      </c>
      <c r="K152" s="7">
        <f t="shared" si="51"/>
        <v>45758</v>
      </c>
      <c r="L152" s="7">
        <f t="shared" si="52"/>
        <v>45728</v>
      </c>
      <c r="M152">
        <f t="shared" si="53"/>
        <v>3</v>
      </c>
      <c r="N152">
        <f t="shared" si="54"/>
        <v>2025</v>
      </c>
      <c r="Q152" s="22">
        <v>228</v>
      </c>
      <c r="R152" s="22">
        <v>6942</v>
      </c>
      <c r="S152" s="22" t="str">
        <f t="shared" si="55"/>
        <v>USD</v>
      </c>
      <c r="T152" s="22">
        <f t="shared" si="59"/>
        <v>6942</v>
      </c>
      <c r="U152" s="28">
        <v>400</v>
      </c>
      <c r="W152" s="9">
        <v>142</v>
      </c>
      <c r="X152" s="9" t="s">
        <v>29</v>
      </c>
      <c r="AF152">
        <v>156</v>
      </c>
      <c r="AG152" t="s">
        <v>28</v>
      </c>
      <c r="AH152">
        <v>1669499.85</v>
      </c>
      <c r="AI152" s="7">
        <v>45806</v>
      </c>
    </row>
    <row r="153" spans="1:35">
      <c r="A153">
        <v>161</v>
      </c>
      <c r="B153" t="str">
        <f t="shared" si="48"/>
        <v>USD</v>
      </c>
      <c r="C153">
        <f t="shared" si="49"/>
        <v>4484.97</v>
      </c>
      <c r="D153">
        <f>C153*_xlfn.XLOOKUP(B153,AM:AM,AN:AN)</f>
        <v>3857.0742</v>
      </c>
      <c r="E153">
        <f>C153*_xlfn.XLOOKUP(B153,AM:AM,AO:AO)</f>
        <v>4484.97</v>
      </c>
      <c r="F153">
        <v>6759</v>
      </c>
      <c r="G153">
        <f>F153*_xlfn.XLOOKUP(B153,AM:AM,AN:AN)</f>
        <v>5812.74</v>
      </c>
      <c r="H153">
        <f>F153*_xlfn.XLOOKUP(B153,AM:AM,AO:AO)</f>
        <v>6759</v>
      </c>
      <c r="I153">
        <f t="shared" si="50"/>
        <v>0</v>
      </c>
      <c r="J153">
        <f>I153*_xlfn.XLOOKUP(B153,AM:AM,AO:AO)</f>
        <v>0</v>
      </c>
      <c r="K153" s="7">
        <f t="shared" si="51"/>
        <v>45853</v>
      </c>
      <c r="L153" s="7">
        <f t="shared" si="52"/>
        <v>45823</v>
      </c>
      <c r="M153">
        <f t="shared" si="53"/>
        <v>6</v>
      </c>
      <c r="N153">
        <f t="shared" si="54"/>
        <v>2025</v>
      </c>
      <c r="Q153" s="22">
        <v>229</v>
      </c>
      <c r="R153" s="22">
        <v>20446.189999999999</v>
      </c>
      <c r="S153" s="22" t="str">
        <f t="shared" si="55"/>
        <v>USD</v>
      </c>
      <c r="T153" s="22">
        <f t="shared" si="59"/>
        <v>20446.189999999999</v>
      </c>
      <c r="U153" s="28">
        <v>400</v>
      </c>
      <c r="W153" s="9">
        <v>143</v>
      </c>
      <c r="X153" s="9" t="s">
        <v>27</v>
      </c>
      <c r="AF153">
        <v>157</v>
      </c>
      <c r="AG153" t="s">
        <v>29</v>
      </c>
      <c r="AH153">
        <v>103134.33</v>
      </c>
      <c r="AI153" s="7">
        <v>46010</v>
      </c>
    </row>
    <row r="154" spans="1:35">
      <c r="A154">
        <v>162</v>
      </c>
      <c r="B154" t="str">
        <f t="shared" si="48"/>
        <v>USD</v>
      </c>
      <c r="C154">
        <f t="shared" si="49"/>
        <v>0</v>
      </c>
      <c r="D154">
        <f>C154*_xlfn.XLOOKUP(B154,AM:AM,AN:AN)</f>
        <v>0</v>
      </c>
      <c r="E154">
        <f>C154*_xlfn.XLOOKUP(B154,AM:AM,AO:AO)</f>
        <v>0</v>
      </c>
      <c r="F154">
        <v>5106.96</v>
      </c>
      <c r="G154">
        <f>F154*_xlfn.XLOOKUP(B154,AM:AM,AN:AN)</f>
        <v>4391.9856</v>
      </c>
      <c r="H154">
        <f>F154*_xlfn.XLOOKUP(B154,AM:AM,AO:AO)</f>
        <v>5106.96</v>
      </c>
      <c r="I154">
        <f t="shared" si="50"/>
        <v>0</v>
      </c>
      <c r="J154">
        <f>I154*_xlfn.XLOOKUP(B154,AM:AM,AO:AO)</f>
        <v>0</v>
      </c>
      <c r="K154" s="7">
        <f t="shared" si="51"/>
        <v>45798</v>
      </c>
      <c r="L154" s="7">
        <f t="shared" si="52"/>
        <v>45768</v>
      </c>
      <c r="M154">
        <f t="shared" si="53"/>
        <v>4</v>
      </c>
      <c r="N154">
        <f t="shared" si="54"/>
        <v>2025</v>
      </c>
      <c r="Q154" s="22">
        <v>232</v>
      </c>
      <c r="R154" s="22">
        <v>51558.95</v>
      </c>
      <c r="S154" s="22" t="str">
        <f t="shared" si="55"/>
        <v>MXN</v>
      </c>
      <c r="T154" s="22">
        <f t="shared" si="59"/>
        <v>2887.3011999999999</v>
      </c>
      <c r="U154" s="28">
        <v>400</v>
      </c>
      <c r="W154" s="9">
        <v>144</v>
      </c>
      <c r="X154" s="9" t="s">
        <v>29</v>
      </c>
      <c r="AF154">
        <v>158</v>
      </c>
      <c r="AG154" t="s">
        <v>27</v>
      </c>
      <c r="AH154">
        <v>35538.559999999998</v>
      </c>
      <c r="AI154" s="7">
        <v>45809</v>
      </c>
    </row>
    <row r="155" spans="1:35">
      <c r="A155">
        <v>163</v>
      </c>
      <c r="B155" t="str">
        <f t="shared" si="48"/>
        <v>EUR</v>
      </c>
      <c r="C155">
        <f t="shared" si="49"/>
        <v>15479.350000000006</v>
      </c>
      <c r="D155">
        <f>C155*_xlfn.XLOOKUP(B155,AM:AM,AN:AN)</f>
        <v>15479.350000000006</v>
      </c>
      <c r="E155">
        <f>C155*_xlfn.XLOOKUP(B155,AM:AM,AO:AO)</f>
        <v>17956.046000000006</v>
      </c>
      <c r="F155">
        <v>51132.62</v>
      </c>
      <c r="G155">
        <f>F155*_xlfn.XLOOKUP(B155,AM:AM,AN:AN)</f>
        <v>51132.62</v>
      </c>
      <c r="H155">
        <f>F155*_xlfn.XLOOKUP(B155,AM:AM,AO:AO)</f>
        <v>59313.839200000002</v>
      </c>
      <c r="I155">
        <f t="shared" si="50"/>
        <v>0</v>
      </c>
      <c r="J155">
        <f>I155*_xlfn.XLOOKUP(B155,AM:AM,AO:AO)</f>
        <v>0</v>
      </c>
      <c r="K155" s="7">
        <f t="shared" si="51"/>
        <v>45832</v>
      </c>
      <c r="L155" s="7">
        <f t="shared" si="52"/>
        <v>45802</v>
      </c>
      <c r="M155">
        <f t="shared" si="53"/>
        <v>5</v>
      </c>
      <c r="N155">
        <f t="shared" si="54"/>
        <v>2025</v>
      </c>
      <c r="Q155" s="22">
        <v>235</v>
      </c>
      <c r="R155" s="22">
        <v>2120.8000000000002</v>
      </c>
      <c r="S155" s="22" t="str">
        <f t="shared" si="55"/>
        <v>USD</v>
      </c>
      <c r="T155" s="22">
        <f t="shared" si="59"/>
        <v>2120.8000000000002</v>
      </c>
      <c r="U155" s="28">
        <v>400</v>
      </c>
      <c r="W155" s="9">
        <v>145</v>
      </c>
      <c r="X155" s="9" t="s">
        <v>27</v>
      </c>
      <c r="AF155">
        <v>159</v>
      </c>
      <c r="AG155" t="s">
        <v>27</v>
      </c>
      <c r="AH155">
        <v>5500</v>
      </c>
      <c r="AI155" s="7">
        <v>45709</v>
      </c>
    </row>
    <row r="156" spans="1:35">
      <c r="A156">
        <v>164</v>
      </c>
      <c r="B156" t="str">
        <f t="shared" si="48"/>
        <v>EUR</v>
      </c>
      <c r="C156">
        <f t="shared" si="49"/>
        <v>0</v>
      </c>
      <c r="D156">
        <f>C156*_xlfn.XLOOKUP(B156,AM:AM,AN:AN)</f>
        <v>0</v>
      </c>
      <c r="E156">
        <f>C156*_xlfn.XLOOKUP(B156,AM:AM,AO:AO)</f>
        <v>0</v>
      </c>
      <c r="F156">
        <v>3445.65</v>
      </c>
      <c r="G156">
        <f>F156*_xlfn.XLOOKUP(B156,AM:AM,AN:AN)</f>
        <v>3445.65</v>
      </c>
      <c r="H156">
        <f>F156*_xlfn.XLOOKUP(B156,AM:AM,AO:AO)</f>
        <v>3996.9539999999997</v>
      </c>
      <c r="I156">
        <f t="shared" si="50"/>
        <v>0</v>
      </c>
      <c r="J156">
        <f>I156*_xlfn.XLOOKUP(B156,AM:AM,AO:AO)</f>
        <v>0</v>
      </c>
      <c r="K156" s="7">
        <f t="shared" si="51"/>
        <v>45759</v>
      </c>
      <c r="L156" s="7">
        <f t="shared" si="52"/>
        <v>45729</v>
      </c>
      <c r="M156">
        <f t="shared" si="53"/>
        <v>3</v>
      </c>
      <c r="N156">
        <f t="shared" si="54"/>
        <v>2025</v>
      </c>
      <c r="Q156" s="22">
        <v>236</v>
      </c>
      <c r="R156" s="22">
        <v>13318.8</v>
      </c>
      <c r="S156" s="22" t="str">
        <f t="shared" si="55"/>
        <v>USD</v>
      </c>
      <c r="T156" s="22">
        <f t="shared" si="59"/>
        <v>13318.8</v>
      </c>
      <c r="U156" s="28">
        <v>400</v>
      </c>
      <c r="W156" s="9">
        <v>145</v>
      </c>
      <c r="X156" s="9" t="s">
        <v>27</v>
      </c>
      <c r="AF156">
        <v>160</v>
      </c>
      <c r="AG156" t="s">
        <v>29</v>
      </c>
      <c r="AH156">
        <v>3471.84</v>
      </c>
      <c r="AI156" s="7">
        <v>45758</v>
      </c>
    </row>
    <row r="157" spans="1:35">
      <c r="A157">
        <v>165</v>
      </c>
      <c r="B157" t="str">
        <f t="shared" si="48"/>
        <v>USD</v>
      </c>
      <c r="C157">
        <f t="shared" si="49"/>
        <v>0</v>
      </c>
      <c r="D157">
        <f>C157*_xlfn.XLOOKUP(B157,AM:AM,AN:AN)</f>
        <v>0</v>
      </c>
      <c r="E157">
        <f>C157*_xlfn.XLOOKUP(B157,AM:AM,AO:AO)</f>
        <v>0</v>
      </c>
      <c r="F157">
        <v>2277.39</v>
      </c>
      <c r="G157">
        <f>F157*_xlfn.XLOOKUP(B157,AM:AM,AN:AN)</f>
        <v>1958.5554</v>
      </c>
      <c r="H157">
        <f>F157*_xlfn.XLOOKUP(B157,AM:AM,AO:AO)</f>
        <v>2277.39</v>
      </c>
      <c r="I157">
        <f t="shared" si="50"/>
        <v>0</v>
      </c>
      <c r="J157">
        <f>I157*_xlfn.XLOOKUP(B157,AM:AM,AO:AO)</f>
        <v>0</v>
      </c>
      <c r="K157" s="7">
        <f t="shared" si="51"/>
        <v>45730</v>
      </c>
      <c r="L157" s="7">
        <f t="shared" si="52"/>
        <v>45700</v>
      </c>
      <c r="M157">
        <f t="shared" si="53"/>
        <v>2</v>
      </c>
      <c r="N157">
        <f t="shared" si="54"/>
        <v>2025</v>
      </c>
      <c r="Q157" s="22">
        <v>237</v>
      </c>
      <c r="R157" s="22">
        <v>4100</v>
      </c>
      <c r="S157" s="22" t="str">
        <f t="shared" si="55"/>
        <v>EUR</v>
      </c>
      <c r="T157" s="22">
        <f t="shared" si="59"/>
        <v>4756</v>
      </c>
      <c r="U157" s="28">
        <v>400</v>
      </c>
      <c r="W157" s="9">
        <v>148</v>
      </c>
      <c r="X157" s="9" t="s">
        <v>29</v>
      </c>
      <c r="AF157">
        <v>161</v>
      </c>
      <c r="AG157" t="s">
        <v>29</v>
      </c>
      <c r="AH157">
        <v>6759</v>
      </c>
      <c r="AI157" s="7">
        <v>45853</v>
      </c>
    </row>
    <row r="158" spans="1:35">
      <c r="A158">
        <v>167</v>
      </c>
      <c r="B158" t="str">
        <f t="shared" si="48"/>
        <v>USD</v>
      </c>
      <c r="C158">
        <f t="shared" si="49"/>
        <v>0</v>
      </c>
      <c r="D158">
        <f>C158*_xlfn.XLOOKUP(B158,AM:AM,AN:AN)</f>
        <v>0</v>
      </c>
      <c r="E158">
        <f>C158*_xlfn.XLOOKUP(B158,AM:AM,AO:AO)</f>
        <v>0</v>
      </c>
      <c r="F158">
        <v>2611.4299999999998</v>
      </c>
      <c r="G158">
        <f>F158*_xlfn.XLOOKUP(B158,AM:AM,AN:AN)</f>
        <v>2245.8298</v>
      </c>
      <c r="H158">
        <f>F158*_xlfn.XLOOKUP(B158,AM:AM,AO:AO)</f>
        <v>2611.4299999999998</v>
      </c>
      <c r="I158">
        <f t="shared" si="50"/>
        <v>0</v>
      </c>
      <c r="J158">
        <f>I158*_xlfn.XLOOKUP(B158,AM:AM,AO:AO)</f>
        <v>0</v>
      </c>
      <c r="K158" s="7">
        <f t="shared" si="51"/>
        <v>45722</v>
      </c>
      <c r="L158" s="7">
        <f t="shared" si="52"/>
        <v>45692</v>
      </c>
      <c r="M158">
        <f t="shared" si="53"/>
        <v>2</v>
      </c>
      <c r="N158">
        <f t="shared" si="54"/>
        <v>2025</v>
      </c>
      <c r="Q158" s="22">
        <v>238</v>
      </c>
      <c r="R158" s="22">
        <v>133383.05000000002</v>
      </c>
      <c r="S158" s="22" t="str">
        <f t="shared" si="55"/>
        <v>USD</v>
      </c>
      <c r="T158" s="22">
        <f t="shared" si="59"/>
        <v>133383.05000000002</v>
      </c>
      <c r="U158" s="28">
        <v>400</v>
      </c>
      <c r="W158" s="9">
        <v>149</v>
      </c>
      <c r="X158" s="9" t="s">
        <v>29</v>
      </c>
      <c r="AF158">
        <v>162</v>
      </c>
      <c r="AG158" t="s">
        <v>29</v>
      </c>
      <c r="AH158">
        <v>5106.96</v>
      </c>
      <c r="AI158" s="7">
        <v>45798</v>
      </c>
    </row>
    <row r="159" spans="1:35">
      <c r="A159">
        <v>168</v>
      </c>
      <c r="B159" t="str">
        <f t="shared" si="48"/>
        <v>USD</v>
      </c>
      <c r="C159">
        <f t="shared" si="49"/>
        <v>560</v>
      </c>
      <c r="D159">
        <f>C159*_xlfn.XLOOKUP(B159,AM:AM,AN:AN)</f>
        <v>481.59999999999997</v>
      </c>
      <c r="E159">
        <f>C159*_xlfn.XLOOKUP(B159,AM:AM,AO:AO)</f>
        <v>560</v>
      </c>
      <c r="F159">
        <v>7872.54</v>
      </c>
      <c r="G159">
        <f>F159*_xlfn.XLOOKUP(B159,AM:AM,AN:AN)</f>
        <v>6770.3843999999999</v>
      </c>
      <c r="H159">
        <f>F159*_xlfn.XLOOKUP(B159,AM:AM,AO:AO)</f>
        <v>7872.54</v>
      </c>
      <c r="I159">
        <f t="shared" si="50"/>
        <v>0</v>
      </c>
      <c r="J159">
        <f>I159*_xlfn.XLOOKUP(B159,AM:AM,AO:AO)</f>
        <v>0</v>
      </c>
      <c r="K159" s="7">
        <f t="shared" si="51"/>
        <v>45730</v>
      </c>
      <c r="L159" s="7">
        <f t="shared" si="52"/>
        <v>45700</v>
      </c>
      <c r="M159">
        <f t="shared" si="53"/>
        <v>2</v>
      </c>
      <c r="N159">
        <f t="shared" si="54"/>
        <v>2025</v>
      </c>
      <c r="Q159" s="22">
        <v>239</v>
      </c>
      <c r="R159" s="22">
        <v>6339.36</v>
      </c>
      <c r="S159" s="22" t="str">
        <f t="shared" si="55"/>
        <v>USD</v>
      </c>
      <c r="T159" s="22">
        <f t="shared" si="59"/>
        <v>6339.36</v>
      </c>
      <c r="U159" s="28">
        <v>400</v>
      </c>
      <c r="W159" s="9">
        <v>149</v>
      </c>
      <c r="X159" s="9" t="s">
        <v>29</v>
      </c>
      <c r="AF159">
        <v>163</v>
      </c>
      <c r="AG159" t="s">
        <v>27</v>
      </c>
      <c r="AH159">
        <v>51132.62</v>
      </c>
      <c r="AI159" s="7">
        <v>45832</v>
      </c>
    </row>
    <row r="160" spans="1:35">
      <c r="A160">
        <v>169</v>
      </c>
      <c r="B160" t="str">
        <f t="shared" si="48"/>
        <v>USD</v>
      </c>
      <c r="C160">
        <f t="shared" si="49"/>
        <v>24281</v>
      </c>
      <c r="D160">
        <f>C160*_xlfn.XLOOKUP(B160,AM:AM,AN:AN)</f>
        <v>20881.66</v>
      </c>
      <c r="E160">
        <f>C160*_xlfn.XLOOKUP(B160,AM:AM,AO:AO)</f>
        <v>24281</v>
      </c>
      <c r="F160">
        <v>24136</v>
      </c>
      <c r="G160">
        <f>F160*_xlfn.XLOOKUP(B160,AM:AM,AN:AN)</f>
        <v>20756.96</v>
      </c>
      <c r="H160">
        <f>F160*_xlfn.XLOOKUP(B160,AM:AM,AO:AO)</f>
        <v>24136</v>
      </c>
      <c r="I160">
        <f t="shared" si="50"/>
        <v>145</v>
      </c>
      <c r="J160">
        <f>I160*_xlfn.XLOOKUP(B160,AM:AM,AO:AO)</f>
        <v>145</v>
      </c>
      <c r="K160" s="7">
        <f t="shared" si="51"/>
        <v>45795</v>
      </c>
      <c r="L160" s="7">
        <f t="shared" si="52"/>
        <v>45765</v>
      </c>
      <c r="M160">
        <f t="shared" si="53"/>
        <v>4</v>
      </c>
      <c r="N160">
        <f t="shared" si="54"/>
        <v>2025</v>
      </c>
      <c r="Q160" s="22">
        <v>241</v>
      </c>
      <c r="R160" s="22">
        <v>43358.15</v>
      </c>
      <c r="S160" s="22" t="str">
        <f t="shared" si="55"/>
        <v>USD</v>
      </c>
      <c r="T160" s="22">
        <f t="shared" si="59"/>
        <v>43358.15</v>
      </c>
      <c r="U160" s="28">
        <v>400</v>
      </c>
      <c r="W160" s="9">
        <v>149</v>
      </c>
      <c r="X160" s="9" t="s">
        <v>29</v>
      </c>
      <c r="AF160">
        <v>164</v>
      </c>
      <c r="AG160" t="s">
        <v>27</v>
      </c>
      <c r="AH160">
        <v>3445.65</v>
      </c>
      <c r="AI160" s="7">
        <v>45759</v>
      </c>
    </row>
    <row r="161" spans="1:35">
      <c r="A161">
        <v>170</v>
      </c>
      <c r="B161" t="str">
        <f t="shared" si="48"/>
        <v>EUR</v>
      </c>
      <c r="C161">
        <f t="shared" si="49"/>
        <v>23395.579999999998</v>
      </c>
      <c r="D161">
        <f>C161*_xlfn.XLOOKUP(B161,AM:AM,AN:AN)</f>
        <v>23395.579999999998</v>
      </c>
      <c r="E161">
        <f>C161*_xlfn.XLOOKUP(B161,AM:AM,AO:AO)</f>
        <v>27138.872799999997</v>
      </c>
      <c r="F161">
        <v>48306.67</v>
      </c>
      <c r="G161">
        <f>F161*_xlfn.XLOOKUP(B161,AM:AM,AN:AN)</f>
        <v>48306.67</v>
      </c>
      <c r="H161">
        <f>F161*_xlfn.XLOOKUP(B161,AM:AM,AO:AO)</f>
        <v>56035.737199999996</v>
      </c>
      <c r="I161">
        <f t="shared" si="50"/>
        <v>4460</v>
      </c>
      <c r="J161">
        <f>I161*_xlfn.XLOOKUP(B161,AM:AM,AO:AO)</f>
        <v>5173.5999999999995</v>
      </c>
      <c r="K161" s="7">
        <f t="shared" si="51"/>
        <v>45818</v>
      </c>
      <c r="L161" s="7">
        <f t="shared" si="52"/>
        <v>45788</v>
      </c>
      <c r="M161">
        <f t="shared" si="53"/>
        <v>5</v>
      </c>
      <c r="N161">
        <f t="shared" si="54"/>
        <v>2025</v>
      </c>
      <c r="Q161" s="22">
        <v>243</v>
      </c>
      <c r="R161" s="22">
        <v>3693.34</v>
      </c>
      <c r="S161" s="22" t="str">
        <f t="shared" si="55"/>
        <v>EUR</v>
      </c>
      <c r="T161" s="22">
        <f t="shared" si="59"/>
        <v>4284.2744000000002</v>
      </c>
      <c r="U161" s="28">
        <v>400</v>
      </c>
      <c r="W161" s="9">
        <v>149</v>
      </c>
      <c r="X161" s="9" t="s">
        <v>29</v>
      </c>
      <c r="AF161">
        <v>165</v>
      </c>
      <c r="AG161" t="s">
        <v>29</v>
      </c>
      <c r="AH161">
        <v>2277.39</v>
      </c>
      <c r="AI161" s="7">
        <v>45730</v>
      </c>
    </row>
    <row r="162" spans="1:35">
      <c r="A162">
        <v>171</v>
      </c>
      <c r="B162" t="str">
        <f t="shared" si="48"/>
        <v>USD</v>
      </c>
      <c r="C162">
        <f t="shared" si="49"/>
        <v>166315.13999999998</v>
      </c>
      <c r="D162">
        <f>C162*_xlfn.XLOOKUP(B162,AM:AM,AN:AN)</f>
        <v>143031.02039999998</v>
      </c>
      <c r="E162">
        <f>C162*_xlfn.XLOOKUP(B162,AM:AM,AO:AO)</f>
        <v>166315.13999999998</v>
      </c>
      <c r="F162">
        <v>172307.58</v>
      </c>
      <c r="G162">
        <f>F162*_xlfn.XLOOKUP(B162,AM:AM,AN:AN)</f>
        <v>148184.51879999999</v>
      </c>
      <c r="H162">
        <f>F162*_xlfn.XLOOKUP(B162,AM:AM,AO:AO)</f>
        <v>172307.58</v>
      </c>
      <c r="I162">
        <f t="shared" si="50"/>
        <v>-2.7284841053187847E-12</v>
      </c>
      <c r="J162">
        <f>I162*_xlfn.XLOOKUP(B162,AM:AM,AO:AO)</f>
        <v>-2.7284841053187847E-12</v>
      </c>
      <c r="K162" s="7">
        <f t="shared" si="51"/>
        <v>45750</v>
      </c>
      <c r="L162" s="7">
        <f t="shared" si="52"/>
        <v>45720</v>
      </c>
      <c r="M162">
        <f t="shared" si="53"/>
        <v>3</v>
      </c>
      <c r="N162">
        <f t="shared" si="54"/>
        <v>2025</v>
      </c>
      <c r="Q162" s="22">
        <v>244</v>
      </c>
      <c r="R162" s="22">
        <v>2565.88</v>
      </c>
      <c r="S162" s="22" t="str">
        <f t="shared" si="55"/>
        <v>EUR</v>
      </c>
      <c r="T162" s="22">
        <f t="shared" si="59"/>
        <v>2976.4207999999999</v>
      </c>
      <c r="U162" s="28">
        <v>400</v>
      </c>
      <c r="W162" s="9">
        <v>149</v>
      </c>
      <c r="X162" s="9" t="s">
        <v>29</v>
      </c>
      <c r="AF162">
        <v>166</v>
      </c>
      <c r="AG162" t="s">
        <v>28</v>
      </c>
      <c r="AH162">
        <v>6814</v>
      </c>
      <c r="AI162" s="7">
        <v>45716</v>
      </c>
    </row>
    <row r="163" spans="1:35">
      <c r="A163">
        <v>172</v>
      </c>
      <c r="B163" t="str">
        <f t="shared" si="48"/>
        <v>USD</v>
      </c>
      <c r="C163">
        <f t="shared" si="49"/>
        <v>16848.280000000002</v>
      </c>
      <c r="D163">
        <f>C163*_xlfn.XLOOKUP(B163,AM:AM,AN:AN)</f>
        <v>14489.520800000002</v>
      </c>
      <c r="E163">
        <f>C163*_xlfn.XLOOKUP(B163,AM:AM,AO:AO)</f>
        <v>16848.280000000002</v>
      </c>
      <c r="F163">
        <v>34174.980000000003</v>
      </c>
      <c r="G163">
        <f>F163*_xlfn.XLOOKUP(B163,AM:AM,AN:AN)</f>
        <v>29390.482800000002</v>
      </c>
      <c r="H163">
        <f>F163*_xlfn.XLOOKUP(B163,AM:AM,AO:AO)</f>
        <v>34174.980000000003</v>
      </c>
      <c r="I163">
        <f t="shared" si="50"/>
        <v>0</v>
      </c>
      <c r="J163">
        <f>I163*_xlfn.XLOOKUP(B163,AM:AM,AO:AO)</f>
        <v>0</v>
      </c>
      <c r="K163" s="7">
        <f t="shared" si="51"/>
        <v>45937</v>
      </c>
      <c r="L163" s="7">
        <f t="shared" si="52"/>
        <v>45907</v>
      </c>
      <c r="M163">
        <f t="shared" si="53"/>
        <v>9</v>
      </c>
      <c r="N163">
        <f t="shared" si="54"/>
        <v>2025</v>
      </c>
      <c r="Q163" s="22">
        <v>245</v>
      </c>
      <c r="R163" s="22">
        <v>31938.760000000002</v>
      </c>
      <c r="S163" s="22" t="str">
        <f t="shared" si="55"/>
        <v>EUR</v>
      </c>
      <c r="T163" s="22">
        <f t="shared" si="59"/>
        <v>37048.961600000002</v>
      </c>
      <c r="U163" s="28">
        <v>400</v>
      </c>
      <c r="W163" s="9">
        <v>149</v>
      </c>
      <c r="X163" s="9" t="s">
        <v>29</v>
      </c>
      <c r="AF163">
        <v>167</v>
      </c>
      <c r="AG163" t="s">
        <v>29</v>
      </c>
      <c r="AH163">
        <v>2611.4299999999998</v>
      </c>
      <c r="AI163" s="7">
        <v>45722</v>
      </c>
    </row>
    <row r="164" spans="1:35">
      <c r="A164">
        <v>173</v>
      </c>
      <c r="B164" t="str">
        <f t="shared" si="48"/>
        <v>USD</v>
      </c>
      <c r="C164">
        <f t="shared" si="49"/>
        <v>18713.400000000001</v>
      </c>
      <c r="D164">
        <f>C164*_xlfn.XLOOKUP(B164,AM:AM,AN:AN)</f>
        <v>16093.524000000001</v>
      </c>
      <c r="E164">
        <f>C164*_xlfn.XLOOKUP(B164,AM:AM,AO:AO)</f>
        <v>18713.400000000001</v>
      </c>
      <c r="F164">
        <v>30665.64</v>
      </c>
      <c r="G164">
        <f>F164*_xlfn.XLOOKUP(B164,AM:AM,AN:AN)</f>
        <v>26372.450399999998</v>
      </c>
      <c r="H164">
        <f>F164*_xlfn.XLOOKUP(B164,AM:AM,AO:AO)</f>
        <v>30665.64</v>
      </c>
      <c r="I164">
        <f t="shared" si="50"/>
        <v>1.8189894035458565E-12</v>
      </c>
      <c r="J164">
        <f>I164*_xlfn.XLOOKUP(B164,AM:AM,AO:AO)</f>
        <v>1.8189894035458565E-12</v>
      </c>
      <c r="K164" s="7">
        <f t="shared" si="51"/>
        <v>45855</v>
      </c>
      <c r="L164" s="7">
        <f t="shared" si="52"/>
        <v>45825</v>
      </c>
      <c r="M164">
        <f t="shared" si="53"/>
        <v>6</v>
      </c>
      <c r="N164">
        <f t="shared" si="54"/>
        <v>2025</v>
      </c>
      <c r="Q164" s="22">
        <v>246</v>
      </c>
      <c r="R164" s="22">
        <v>8683</v>
      </c>
      <c r="S164" s="22" t="str">
        <f t="shared" si="55"/>
        <v>USD</v>
      </c>
      <c r="T164" s="22">
        <f t="shared" si="59"/>
        <v>8683</v>
      </c>
      <c r="U164" s="28">
        <v>400</v>
      </c>
      <c r="W164" s="9">
        <v>150</v>
      </c>
      <c r="X164" s="9" t="s">
        <v>29</v>
      </c>
      <c r="AF164">
        <v>168</v>
      </c>
      <c r="AG164" t="s">
        <v>29</v>
      </c>
      <c r="AH164">
        <v>7872.54</v>
      </c>
      <c r="AI164" s="7">
        <v>45730</v>
      </c>
    </row>
    <row r="165" spans="1:35">
      <c r="A165">
        <v>174</v>
      </c>
      <c r="B165" t="str">
        <f t="shared" si="48"/>
        <v>USD</v>
      </c>
      <c r="C165">
        <f t="shared" si="49"/>
        <v>26206.01</v>
      </c>
      <c r="D165">
        <f>C165*_xlfn.XLOOKUP(B165,AM:AM,AN:AN)</f>
        <v>22537.168599999997</v>
      </c>
      <c r="E165">
        <f>C165*_xlfn.XLOOKUP(B165,AM:AM,AO:AO)</f>
        <v>26206.01</v>
      </c>
      <c r="F165">
        <v>25665.439999999999</v>
      </c>
      <c r="G165">
        <f>F165*_xlfn.XLOOKUP(B165,AM:AM,AN:AN)</f>
        <v>22072.278399999999</v>
      </c>
      <c r="H165">
        <f>F165*_xlfn.XLOOKUP(B165,AM:AM,AO:AO)</f>
        <v>25665.439999999999</v>
      </c>
      <c r="I165">
        <f t="shared" si="50"/>
        <v>0</v>
      </c>
      <c r="J165">
        <f>I165*_xlfn.XLOOKUP(B165,AM:AM,AO:AO)</f>
        <v>0</v>
      </c>
      <c r="K165" s="7">
        <f t="shared" si="51"/>
        <v>45708</v>
      </c>
      <c r="L165" s="7">
        <f t="shared" si="52"/>
        <v>45678</v>
      </c>
      <c r="M165">
        <f t="shared" si="53"/>
        <v>1</v>
      </c>
      <c r="N165">
        <f t="shared" si="54"/>
        <v>2025</v>
      </c>
      <c r="Q165" s="22">
        <v>248</v>
      </c>
      <c r="R165" s="22">
        <v>2300</v>
      </c>
      <c r="S165" s="22" t="str">
        <f t="shared" si="55"/>
        <v>USD</v>
      </c>
      <c r="T165" s="22">
        <f t="shared" si="59"/>
        <v>2300</v>
      </c>
      <c r="U165" s="28">
        <v>400</v>
      </c>
      <c r="W165" s="9">
        <v>151</v>
      </c>
      <c r="X165" s="9" t="s">
        <v>27</v>
      </c>
      <c r="AF165">
        <v>169</v>
      </c>
      <c r="AG165" t="s">
        <v>29</v>
      </c>
      <c r="AH165">
        <v>24281</v>
      </c>
      <c r="AI165" s="7">
        <v>45795</v>
      </c>
    </row>
    <row r="166" spans="1:35">
      <c r="A166">
        <v>175</v>
      </c>
      <c r="B166" t="str">
        <f t="shared" si="48"/>
        <v>USD</v>
      </c>
      <c r="C166">
        <f t="shared" si="49"/>
        <v>72356.42</v>
      </c>
      <c r="D166">
        <f>C166*_xlfn.XLOOKUP(B166,AM:AM,AN:AN)</f>
        <v>62226.521199999996</v>
      </c>
      <c r="E166">
        <f>C166*_xlfn.XLOOKUP(B166,AM:AM,AO:AO)</f>
        <v>72356.42</v>
      </c>
      <c r="F166">
        <v>72356.42</v>
      </c>
      <c r="G166">
        <f>F166*_xlfn.XLOOKUP(B166,AM:AM,AN:AN)</f>
        <v>62226.521199999996</v>
      </c>
      <c r="H166">
        <f>F166*_xlfn.XLOOKUP(B166,AM:AM,AO:AO)</f>
        <v>72356.42</v>
      </c>
      <c r="I166">
        <f t="shared" si="50"/>
        <v>0</v>
      </c>
      <c r="J166">
        <f>I166*_xlfn.XLOOKUP(B166,AM:AM,AO:AO)</f>
        <v>0</v>
      </c>
      <c r="K166" s="7">
        <f t="shared" si="51"/>
        <v>45799</v>
      </c>
      <c r="L166" s="7">
        <f t="shared" si="52"/>
        <v>45769</v>
      </c>
      <c r="M166">
        <f t="shared" si="53"/>
        <v>4</v>
      </c>
      <c r="N166">
        <f t="shared" si="54"/>
        <v>2025</v>
      </c>
      <c r="Q166" s="22">
        <v>249</v>
      </c>
      <c r="R166" s="22">
        <v>9332.16</v>
      </c>
      <c r="S166" s="22" t="str">
        <f t="shared" si="55"/>
        <v>USD</v>
      </c>
      <c r="T166" s="22">
        <f t="shared" si="59"/>
        <v>9332.16</v>
      </c>
      <c r="U166" s="28">
        <v>400</v>
      </c>
      <c r="W166" s="9">
        <v>151</v>
      </c>
      <c r="X166" s="9" t="s">
        <v>27</v>
      </c>
      <c r="AF166">
        <v>170</v>
      </c>
      <c r="AG166" t="s">
        <v>27</v>
      </c>
      <c r="AH166">
        <v>52766.67</v>
      </c>
      <c r="AI166" s="7">
        <v>45818</v>
      </c>
    </row>
    <row r="167" spans="1:35">
      <c r="A167">
        <v>176</v>
      </c>
      <c r="B167" t="str">
        <f t="shared" si="48"/>
        <v>USD</v>
      </c>
      <c r="C167">
        <f t="shared" si="49"/>
        <v>0</v>
      </c>
      <c r="D167">
        <f>C167*_xlfn.XLOOKUP(B167,AM:AM,AN:AN)</f>
        <v>0</v>
      </c>
      <c r="E167">
        <f>C167*_xlfn.XLOOKUP(B167,AM:AM,AO:AO)</f>
        <v>0</v>
      </c>
      <c r="F167">
        <v>4998.51</v>
      </c>
      <c r="G167">
        <f>F167*_xlfn.XLOOKUP(B167,AM:AM,AN:AN)</f>
        <v>4298.7186000000002</v>
      </c>
      <c r="H167">
        <f>F167*_xlfn.XLOOKUP(B167,AM:AM,AO:AO)</f>
        <v>4998.51</v>
      </c>
      <c r="I167">
        <f t="shared" si="50"/>
        <v>0</v>
      </c>
      <c r="J167">
        <f>I167*_xlfn.XLOOKUP(B167,AM:AM,AO:AO)</f>
        <v>0</v>
      </c>
      <c r="K167" s="7">
        <f t="shared" si="51"/>
        <v>45764</v>
      </c>
      <c r="L167" s="7">
        <f t="shared" si="52"/>
        <v>45734</v>
      </c>
      <c r="M167">
        <f t="shared" si="53"/>
        <v>3</v>
      </c>
      <c r="N167">
        <f t="shared" si="54"/>
        <v>2025</v>
      </c>
      <c r="Q167" s="22">
        <v>251</v>
      </c>
      <c r="R167" s="22">
        <v>9187.42</v>
      </c>
      <c r="S167" s="22" t="str">
        <f t="shared" si="55"/>
        <v>EUR</v>
      </c>
      <c r="T167" s="22">
        <f t="shared" si="59"/>
        <v>10657.4072</v>
      </c>
      <c r="U167" s="28">
        <v>400</v>
      </c>
      <c r="W167" s="9">
        <v>152</v>
      </c>
      <c r="X167" s="9" t="s">
        <v>29</v>
      </c>
      <c r="AF167">
        <v>171</v>
      </c>
      <c r="AG167" t="s">
        <v>29</v>
      </c>
      <c r="AH167">
        <v>172307.58</v>
      </c>
      <c r="AI167" s="7">
        <v>45750</v>
      </c>
    </row>
    <row r="168" spans="1:35">
      <c r="A168">
        <v>177</v>
      </c>
      <c r="B168" t="str">
        <f t="shared" si="48"/>
        <v>USD</v>
      </c>
      <c r="C168">
        <f t="shared" si="49"/>
        <v>18247</v>
      </c>
      <c r="D168">
        <f>C168*_xlfn.XLOOKUP(B168,AM:AM,AN:AN)</f>
        <v>15692.42</v>
      </c>
      <c r="E168">
        <f>C168*_xlfn.XLOOKUP(B168,AM:AM,AO:AO)</f>
        <v>18247</v>
      </c>
      <c r="F168">
        <v>18247</v>
      </c>
      <c r="G168">
        <f>F168*_xlfn.XLOOKUP(B168,AM:AM,AN:AN)</f>
        <v>15692.42</v>
      </c>
      <c r="H168">
        <f>F168*_xlfn.XLOOKUP(B168,AM:AM,AO:AO)</f>
        <v>18247</v>
      </c>
      <c r="I168">
        <f t="shared" si="50"/>
        <v>0</v>
      </c>
      <c r="J168">
        <f>I168*_xlfn.XLOOKUP(B168,AM:AM,AO:AO)</f>
        <v>0</v>
      </c>
      <c r="K168" s="7">
        <f t="shared" si="51"/>
        <v>45759</v>
      </c>
      <c r="L168" s="7">
        <f t="shared" si="52"/>
        <v>45729</v>
      </c>
      <c r="M168">
        <f t="shared" si="53"/>
        <v>3</v>
      </c>
      <c r="N168">
        <f t="shared" si="54"/>
        <v>2025</v>
      </c>
      <c r="Q168" s="22">
        <v>252</v>
      </c>
      <c r="R168" s="22">
        <v>5259.579999999999</v>
      </c>
      <c r="S168" s="22" t="str">
        <f t="shared" si="55"/>
        <v>USD</v>
      </c>
      <c r="T168" s="22">
        <f t="shared" si="59"/>
        <v>5259.579999999999</v>
      </c>
      <c r="U168" s="28">
        <v>400</v>
      </c>
      <c r="W168" s="9">
        <v>153</v>
      </c>
      <c r="X168" s="9" t="s">
        <v>29</v>
      </c>
      <c r="AF168">
        <v>172</v>
      </c>
      <c r="AG168" t="s">
        <v>29</v>
      </c>
      <c r="AH168">
        <v>34174.980000000003</v>
      </c>
      <c r="AI168" s="7">
        <v>45937</v>
      </c>
    </row>
    <row r="169" spans="1:35">
      <c r="A169">
        <v>178</v>
      </c>
      <c r="B169" t="str">
        <f t="shared" si="48"/>
        <v>USD</v>
      </c>
      <c r="C169">
        <f t="shared" si="49"/>
        <v>11312.07</v>
      </c>
      <c r="D169">
        <f>C169*_xlfn.XLOOKUP(B169,AM:AM,AN:AN)</f>
        <v>9728.3801999999996</v>
      </c>
      <c r="E169">
        <f>C169*_xlfn.XLOOKUP(B169,AM:AM,AO:AO)</f>
        <v>11312.07</v>
      </c>
      <c r="F169">
        <v>624.96</v>
      </c>
      <c r="G169">
        <f>F169*_xlfn.XLOOKUP(B169,AM:AM,AN:AN)</f>
        <v>537.46559999999999</v>
      </c>
      <c r="H169">
        <f>F169*_xlfn.XLOOKUP(B169,AM:AM,AO:AO)</f>
        <v>624.96</v>
      </c>
      <c r="I169">
        <f t="shared" si="50"/>
        <v>0</v>
      </c>
      <c r="J169">
        <f>I169*_xlfn.XLOOKUP(B169,AM:AM,AO:AO)</f>
        <v>0</v>
      </c>
      <c r="K169" s="7">
        <f t="shared" si="51"/>
        <v>45733</v>
      </c>
      <c r="L169" s="7">
        <f t="shared" si="52"/>
        <v>45703</v>
      </c>
      <c r="M169">
        <f t="shared" si="53"/>
        <v>2</v>
      </c>
      <c r="N169">
        <f t="shared" si="54"/>
        <v>2025</v>
      </c>
      <c r="Q169" s="22">
        <v>253</v>
      </c>
      <c r="R169" s="22">
        <v>733.5</v>
      </c>
      <c r="S169" s="22" t="str">
        <f t="shared" si="55"/>
        <v>USD</v>
      </c>
      <c r="T169" s="22">
        <f t="shared" si="59"/>
        <v>733.5</v>
      </c>
      <c r="U169" s="28">
        <v>400</v>
      </c>
      <c r="W169" s="9">
        <v>153</v>
      </c>
      <c r="X169" s="9" t="s">
        <v>29</v>
      </c>
      <c r="AF169">
        <v>173</v>
      </c>
      <c r="AG169" t="s">
        <v>29</v>
      </c>
      <c r="AH169">
        <v>30665.64</v>
      </c>
      <c r="AI169" s="7">
        <v>45855</v>
      </c>
    </row>
    <row r="170" spans="1:35">
      <c r="A170">
        <v>179</v>
      </c>
      <c r="B170" t="str">
        <f t="shared" si="48"/>
        <v>USD</v>
      </c>
      <c r="C170">
        <f t="shared" si="49"/>
        <v>0</v>
      </c>
      <c r="D170">
        <f>C170*_xlfn.XLOOKUP(B170,AM:AM,AN:AN)</f>
        <v>0</v>
      </c>
      <c r="E170">
        <f>C170*_xlfn.XLOOKUP(B170,AM:AM,AO:AO)</f>
        <v>0</v>
      </c>
      <c r="F170">
        <v>2598.7600000000002</v>
      </c>
      <c r="G170">
        <f>F170*_xlfn.XLOOKUP(B170,AM:AM,AN:AN)</f>
        <v>2234.9336000000003</v>
      </c>
      <c r="H170">
        <f>F170*_xlfn.XLOOKUP(B170,AM:AM,AO:AO)</f>
        <v>2598.7600000000002</v>
      </c>
      <c r="I170">
        <f t="shared" si="50"/>
        <v>0</v>
      </c>
      <c r="J170">
        <f>I170*_xlfn.XLOOKUP(B170,AM:AM,AO:AO)</f>
        <v>0</v>
      </c>
      <c r="K170" s="7">
        <f t="shared" si="51"/>
        <v>45779</v>
      </c>
      <c r="L170" s="7">
        <f t="shared" si="52"/>
        <v>45749</v>
      </c>
      <c r="M170">
        <f t="shared" si="53"/>
        <v>4</v>
      </c>
      <c r="N170">
        <f t="shared" si="54"/>
        <v>2025</v>
      </c>
      <c r="Q170" s="22">
        <v>258</v>
      </c>
      <c r="R170" s="22">
        <v>2530</v>
      </c>
      <c r="S170" s="22" t="str">
        <f t="shared" si="55"/>
        <v>EUR</v>
      </c>
      <c r="T170" s="22">
        <f t="shared" si="59"/>
        <v>2934.7999999999997</v>
      </c>
      <c r="U170" s="28">
        <v>400</v>
      </c>
      <c r="W170" s="9">
        <v>157</v>
      </c>
      <c r="X170" s="9" t="s">
        <v>29</v>
      </c>
      <c r="AF170">
        <v>174</v>
      </c>
      <c r="AG170" t="s">
        <v>29</v>
      </c>
      <c r="AH170">
        <v>26206.01</v>
      </c>
      <c r="AI170" s="7">
        <v>45708</v>
      </c>
    </row>
    <row r="171" spans="1:35">
      <c r="A171">
        <v>180</v>
      </c>
      <c r="B171" t="str">
        <f t="shared" si="48"/>
        <v>USD</v>
      </c>
      <c r="C171">
        <f t="shared" si="49"/>
        <v>0</v>
      </c>
      <c r="D171">
        <f>C171*_xlfn.XLOOKUP(B171,AM:AM,AN:AN)</f>
        <v>0</v>
      </c>
      <c r="E171">
        <f>C171*_xlfn.XLOOKUP(B171,AM:AM,AO:AO)</f>
        <v>0</v>
      </c>
      <c r="F171">
        <v>2458.9</v>
      </c>
      <c r="G171">
        <f>F171*_xlfn.XLOOKUP(B171,AM:AM,AN:AN)</f>
        <v>2114.654</v>
      </c>
      <c r="H171">
        <f>F171*_xlfn.XLOOKUP(B171,AM:AM,AO:AO)</f>
        <v>2458.9</v>
      </c>
      <c r="I171">
        <f t="shared" si="50"/>
        <v>0</v>
      </c>
      <c r="J171">
        <f>I171*_xlfn.XLOOKUP(B171,AM:AM,AO:AO)</f>
        <v>0</v>
      </c>
      <c r="K171" s="7">
        <f t="shared" si="51"/>
        <v>45751</v>
      </c>
      <c r="L171" s="7">
        <f t="shared" si="52"/>
        <v>45721</v>
      </c>
      <c r="M171">
        <f t="shared" si="53"/>
        <v>3</v>
      </c>
      <c r="N171">
        <f t="shared" si="54"/>
        <v>2025</v>
      </c>
      <c r="Q171" s="22">
        <v>259</v>
      </c>
      <c r="R171" s="22">
        <v>1563.9</v>
      </c>
      <c r="S171" s="22" t="str">
        <f t="shared" si="55"/>
        <v>USD</v>
      </c>
      <c r="T171" s="22">
        <f t="shared" si="59"/>
        <v>1563.9</v>
      </c>
      <c r="U171" s="28">
        <v>400</v>
      </c>
      <c r="W171" s="9">
        <v>157</v>
      </c>
      <c r="X171" s="9" t="s">
        <v>29</v>
      </c>
      <c r="AF171">
        <v>175</v>
      </c>
      <c r="AG171" t="s">
        <v>29</v>
      </c>
      <c r="AH171">
        <v>72356.42</v>
      </c>
      <c r="AI171" s="7">
        <v>45799</v>
      </c>
    </row>
    <row r="172" spans="1:35">
      <c r="A172">
        <v>181</v>
      </c>
      <c r="B172" t="str">
        <f t="shared" si="48"/>
        <v>USD</v>
      </c>
      <c r="C172">
        <f t="shared" si="49"/>
        <v>0</v>
      </c>
      <c r="D172">
        <f>C172*_xlfn.XLOOKUP(B172,AM:AM,AN:AN)</f>
        <v>0</v>
      </c>
      <c r="E172">
        <f>C172*_xlfn.XLOOKUP(B172,AM:AM,AO:AO)</f>
        <v>0</v>
      </c>
      <c r="F172">
        <v>19706</v>
      </c>
      <c r="G172">
        <f>F172*_xlfn.XLOOKUP(B172,AM:AM,AN:AN)</f>
        <v>16947.16</v>
      </c>
      <c r="H172">
        <f>F172*_xlfn.XLOOKUP(B172,AM:AM,AO:AO)</f>
        <v>19706</v>
      </c>
      <c r="I172">
        <f t="shared" si="50"/>
        <v>0</v>
      </c>
      <c r="J172">
        <f>I172*_xlfn.XLOOKUP(B172,AM:AM,AO:AO)</f>
        <v>0</v>
      </c>
      <c r="K172" s="7">
        <f t="shared" si="51"/>
        <v>45859</v>
      </c>
      <c r="L172" s="7">
        <f t="shared" si="52"/>
        <v>45829</v>
      </c>
      <c r="M172">
        <f t="shared" si="53"/>
        <v>6</v>
      </c>
      <c r="N172">
        <f t="shared" si="54"/>
        <v>2025</v>
      </c>
      <c r="Q172" s="22">
        <v>260</v>
      </c>
      <c r="R172" s="22">
        <v>42478.42</v>
      </c>
      <c r="S172" s="22" t="str">
        <f t="shared" si="55"/>
        <v>USD</v>
      </c>
      <c r="T172" s="22">
        <f t="shared" si="59"/>
        <v>42478.42</v>
      </c>
      <c r="U172" s="28">
        <v>400</v>
      </c>
      <c r="W172" s="9">
        <v>161</v>
      </c>
      <c r="X172" s="9" t="s">
        <v>29</v>
      </c>
      <c r="AF172">
        <v>176</v>
      </c>
      <c r="AG172" t="s">
        <v>29</v>
      </c>
      <c r="AH172">
        <v>4998.51</v>
      </c>
      <c r="AI172" s="7">
        <v>45764</v>
      </c>
    </row>
    <row r="173" spans="1:35">
      <c r="A173">
        <v>183</v>
      </c>
      <c r="B173" t="str">
        <f t="shared" si="48"/>
        <v>USD</v>
      </c>
      <c r="C173">
        <f t="shared" si="49"/>
        <v>37718.11</v>
      </c>
      <c r="D173">
        <f>C173*_xlfn.XLOOKUP(B173,AM:AM,AN:AN)</f>
        <v>32437.5746</v>
      </c>
      <c r="E173">
        <f>C173*_xlfn.XLOOKUP(B173,AM:AM,AO:AO)</f>
        <v>37718.11</v>
      </c>
      <c r="F173">
        <v>37718.11</v>
      </c>
      <c r="G173">
        <f>F173*_xlfn.XLOOKUP(B173,AM:AM,AN:AN)</f>
        <v>32437.5746</v>
      </c>
      <c r="H173">
        <f>F173*_xlfn.XLOOKUP(B173,AM:AM,AO:AO)</f>
        <v>37718.11</v>
      </c>
      <c r="I173">
        <f t="shared" si="50"/>
        <v>0</v>
      </c>
      <c r="J173">
        <f>I173*_xlfn.XLOOKUP(B173,AM:AM,AO:AO)</f>
        <v>0</v>
      </c>
      <c r="K173" s="7">
        <f t="shared" si="51"/>
        <v>45847</v>
      </c>
      <c r="L173" s="7">
        <f t="shared" si="52"/>
        <v>45817</v>
      </c>
      <c r="M173">
        <f t="shared" si="53"/>
        <v>6</v>
      </c>
      <c r="N173">
        <f t="shared" si="54"/>
        <v>2025</v>
      </c>
      <c r="Q173" s="22">
        <v>263</v>
      </c>
      <c r="R173" s="22">
        <v>465327.21</v>
      </c>
      <c r="S173" s="22" t="str">
        <f t="shared" si="55"/>
        <v>MXN</v>
      </c>
      <c r="T173" s="22">
        <f t="shared" si="59"/>
        <v>26058.323760000003</v>
      </c>
      <c r="U173" s="28">
        <v>400</v>
      </c>
      <c r="W173" s="9">
        <v>161</v>
      </c>
      <c r="X173" s="9" t="s">
        <v>29</v>
      </c>
      <c r="AF173">
        <v>177</v>
      </c>
      <c r="AG173" t="s">
        <v>29</v>
      </c>
      <c r="AH173">
        <v>18247</v>
      </c>
      <c r="AI173" s="7">
        <v>45759</v>
      </c>
    </row>
    <row r="174" spans="1:35">
      <c r="A174">
        <v>185</v>
      </c>
      <c r="B174" t="str">
        <f t="shared" si="48"/>
        <v>USD</v>
      </c>
      <c r="C174">
        <f t="shared" si="49"/>
        <v>0</v>
      </c>
      <c r="D174">
        <f>C174*_xlfn.XLOOKUP(B174,AM:AM,AN:AN)</f>
        <v>0</v>
      </c>
      <c r="E174">
        <f>C174*_xlfn.XLOOKUP(B174,AM:AM,AO:AO)</f>
        <v>0</v>
      </c>
      <c r="F174">
        <v>1196</v>
      </c>
      <c r="G174">
        <f>F174*_xlfn.XLOOKUP(B174,AM:AM,AN:AN)</f>
        <v>1028.56</v>
      </c>
      <c r="H174">
        <f>F174*_xlfn.XLOOKUP(B174,AM:AM,AO:AO)</f>
        <v>1196</v>
      </c>
      <c r="I174">
        <f t="shared" si="50"/>
        <v>0</v>
      </c>
      <c r="J174">
        <f>I174*_xlfn.XLOOKUP(B174,AM:AM,AO:AO)</f>
        <v>0</v>
      </c>
      <c r="K174" s="7">
        <f t="shared" si="51"/>
        <v>45682</v>
      </c>
      <c r="L174" s="7">
        <f t="shared" si="52"/>
        <v>45652</v>
      </c>
      <c r="M174">
        <f t="shared" si="53"/>
        <v>12</v>
      </c>
      <c r="N174">
        <f t="shared" si="54"/>
        <v>2024</v>
      </c>
      <c r="Q174" s="22">
        <v>264</v>
      </c>
      <c r="R174" s="22">
        <v>953.5</v>
      </c>
      <c r="S174" s="22" t="str">
        <f t="shared" si="55"/>
        <v>CHF</v>
      </c>
      <c r="T174" s="22">
        <f t="shared" si="59"/>
        <v>1191.875</v>
      </c>
      <c r="U174" s="28">
        <v>400</v>
      </c>
      <c r="W174" s="9">
        <v>162</v>
      </c>
      <c r="X174" s="9" t="s">
        <v>29</v>
      </c>
      <c r="AF174">
        <v>178</v>
      </c>
      <c r="AG174" t="s">
        <v>29</v>
      </c>
      <c r="AH174">
        <v>11312.07</v>
      </c>
      <c r="AI174" s="7">
        <v>45733</v>
      </c>
    </row>
    <row r="175" spans="1:35">
      <c r="A175">
        <v>186</v>
      </c>
      <c r="B175" t="str">
        <f t="shared" si="48"/>
        <v>MXN</v>
      </c>
      <c r="C175">
        <f t="shared" si="49"/>
        <v>134515</v>
      </c>
      <c r="D175">
        <f>C175*_xlfn.XLOOKUP(B175,AM:AM,AN:AN)</f>
        <v>6456.72</v>
      </c>
      <c r="E175">
        <f>C175*_xlfn.XLOOKUP(B175,AM:AM,AO:AO)</f>
        <v>7532.84</v>
      </c>
      <c r="F175">
        <v>134515</v>
      </c>
      <c r="G175">
        <f>F175*_xlfn.XLOOKUP(B175,AM:AM,AN:AN)</f>
        <v>6456.72</v>
      </c>
      <c r="H175">
        <f>F175*_xlfn.XLOOKUP(B175,AM:AM,AO:AO)</f>
        <v>7532.84</v>
      </c>
      <c r="I175">
        <f t="shared" si="50"/>
        <v>0</v>
      </c>
      <c r="J175">
        <f>I175*_xlfn.XLOOKUP(B175,AM:AM,AO:AO)</f>
        <v>0</v>
      </c>
      <c r="K175" s="7">
        <f t="shared" si="51"/>
        <v>45692</v>
      </c>
      <c r="L175" s="7">
        <f t="shared" si="52"/>
        <v>45662</v>
      </c>
      <c r="M175">
        <f t="shared" si="53"/>
        <v>1</v>
      </c>
      <c r="N175">
        <f t="shared" si="54"/>
        <v>2025</v>
      </c>
      <c r="Q175" s="22">
        <v>265</v>
      </c>
      <c r="R175" s="22">
        <v>256.52999999999997</v>
      </c>
      <c r="S175" s="22" t="str">
        <f t="shared" si="55"/>
        <v>EUR</v>
      </c>
      <c r="T175" s="22">
        <f t="shared" si="59"/>
        <v>297.57479999999993</v>
      </c>
      <c r="U175" s="28">
        <v>400</v>
      </c>
      <c r="W175" s="9">
        <v>163</v>
      </c>
      <c r="X175" s="9" t="s">
        <v>27</v>
      </c>
      <c r="AF175">
        <v>179</v>
      </c>
      <c r="AG175" t="s">
        <v>29</v>
      </c>
      <c r="AH175">
        <v>2598.7600000000002</v>
      </c>
      <c r="AI175" s="7">
        <v>45779</v>
      </c>
    </row>
    <row r="176" spans="1:35">
      <c r="A176">
        <v>187</v>
      </c>
      <c r="B176" t="str">
        <f t="shared" si="48"/>
        <v>USD</v>
      </c>
      <c r="C176">
        <f t="shared" si="49"/>
        <v>0</v>
      </c>
      <c r="D176">
        <f>C176*_xlfn.XLOOKUP(B176,AM:AM,AN:AN)</f>
        <v>0</v>
      </c>
      <c r="E176">
        <f>C176*_xlfn.XLOOKUP(B176,AM:AM,AO:AO)</f>
        <v>0</v>
      </c>
      <c r="F176">
        <v>3382.8</v>
      </c>
      <c r="G176">
        <f>F176*_xlfn.XLOOKUP(B176,AM:AM,AN:AN)</f>
        <v>2909.2080000000001</v>
      </c>
      <c r="H176">
        <f>F176*_xlfn.XLOOKUP(B176,AM:AM,AO:AO)</f>
        <v>3382.8</v>
      </c>
      <c r="I176">
        <f t="shared" si="50"/>
        <v>0</v>
      </c>
      <c r="J176">
        <f>I176*_xlfn.XLOOKUP(B176,AM:AM,AO:AO)</f>
        <v>0</v>
      </c>
      <c r="K176" s="7">
        <f t="shared" si="51"/>
        <v>45722</v>
      </c>
      <c r="L176" s="7">
        <f t="shared" ref="L176" si="63">K176-30</f>
        <v>45692</v>
      </c>
      <c r="M176">
        <f t="shared" ref="M176" si="64">MONTH(L176)</f>
        <v>2</v>
      </c>
      <c r="N176">
        <f t="shared" ref="N176" si="65">YEAR(L176)</f>
        <v>2025</v>
      </c>
      <c r="Q176" s="22">
        <v>266</v>
      </c>
      <c r="R176" s="22">
        <v>390</v>
      </c>
      <c r="S176" s="22" t="str">
        <f t="shared" si="55"/>
        <v>USD</v>
      </c>
      <c r="T176" s="22">
        <f t="shared" si="59"/>
        <v>390</v>
      </c>
      <c r="U176" s="28">
        <v>400</v>
      </c>
      <c r="W176" s="9">
        <v>163</v>
      </c>
      <c r="X176" s="9" t="s">
        <v>27</v>
      </c>
      <c r="AF176">
        <v>180</v>
      </c>
      <c r="AG176" t="s">
        <v>29</v>
      </c>
      <c r="AH176">
        <v>2458.9</v>
      </c>
      <c r="AI176" s="7">
        <v>45751</v>
      </c>
    </row>
    <row r="177" spans="1:35">
      <c r="A177">
        <v>188</v>
      </c>
      <c r="B177" t="str">
        <f t="shared" si="48"/>
        <v>USD</v>
      </c>
      <c r="C177">
        <f t="shared" si="49"/>
        <v>0</v>
      </c>
      <c r="D177">
        <f>C177*_xlfn.XLOOKUP(B177,AM:AM,AN:AN)</f>
        <v>0</v>
      </c>
      <c r="E177">
        <f>C177*_xlfn.XLOOKUP(B177,AM:AM,AO:AO)</f>
        <v>0</v>
      </c>
      <c r="F177">
        <v>10019.209999999999</v>
      </c>
      <c r="G177">
        <f>F177*_xlfn.XLOOKUP(B177,AM:AM,AN:AN)</f>
        <v>8616.5205999999998</v>
      </c>
      <c r="H177">
        <f>F177*_xlfn.XLOOKUP(B177,AM:AM,AO:AO)</f>
        <v>10019.209999999999</v>
      </c>
      <c r="I177">
        <f t="shared" si="50"/>
        <v>0</v>
      </c>
      <c r="J177">
        <f>I177*_xlfn.XLOOKUP(B177,AM:AM,AO:AO)</f>
        <v>0</v>
      </c>
      <c r="K177" s="7">
        <f t="shared" si="51"/>
        <v>45689</v>
      </c>
      <c r="L177" s="7">
        <f t="shared" si="52"/>
        <v>45659</v>
      </c>
      <c r="M177">
        <f t="shared" si="53"/>
        <v>1</v>
      </c>
      <c r="N177">
        <f t="shared" si="54"/>
        <v>2025</v>
      </c>
      <c r="Q177" s="22">
        <v>267</v>
      </c>
      <c r="R177" s="22">
        <v>926.6</v>
      </c>
      <c r="S177" s="22" t="str">
        <f t="shared" si="55"/>
        <v>USD</v>
      </c>
      <c r="T177" s="22">
        <f t="shared" si="59"/>
        <v>926.6</v>
      </c>
      <c r="U177" s="28">
        <v>400</v>
      </c>
      <c r="W177" s="9">
        <v>163</v>
      </c>
      <c r="X177" s="9" t="s">
        <v>27</v>
      </c>
      <c r="AF177">
        <v>181</v>
      </c>
      <c r="AG177" t="s">
        <v>29</v>
      </c>
      <c r="AH177">
        <v>19706</v>
      </c>
      <c r="AI177" s="7">
        <v>45859</v>
      </c>
    </row>
    <row r="178" spans="1:35">
      <c r="A178">
        <v>189</v>
      </c>
      <c r="B178" t="str">
        <f t="shared" si="48"/>
        <v>USD</v>
      </c>
      <c r="C178">
        <f t="shared" si="49"/>
        <v>34063.61</v>
      </c>
      <c r="D178">
        <f>C178*_xlfn.XLOOKUP(B178,AM:AM,AN:AN)</f>
        <v>29294.704600000001</v>
      </c>
      <c r="E178">
        <f>C178*_xlfn.XLOOKUP(B178,AM:AM,AO:AO)</f>
        <v>34063.61</v>
      </c>
      <c r="F178">
        <v>34063.61</v>
      </c>
      <c r="G178">
        <f>F178*_xlfn.XLOOKUP(B178,AM:AM,AN:AN)</f>
        <v>29294.704600000001</v>
      </c>
      <c r="H178">
        <f>F178*_xlfn.XLOOKUP(B178,AM:AM,AO:AO)</f>
        <v>34063.61</v>
      </c>
      <c r="I178">
        <f t="shared" si="50"/>
        <v>0</v>
      </c>
      <c r="J178">
        <f>I178*_xlfn.XLOOKUP(B178,AM:AM,AO:AO)</f>
        <v>0</v>
      </c>
      <c r="K178" s="7">
        <f t="shared" si="51"/>
        <v>45760</v>
      </c>
      <c r="L178" s="7">
        <f t="shared" si="52"/>
        <v>45730</v>
      </c>
      <c r="M178">
        <f t="shared" si="53"/>
        <v>3</v>
      </c>
      <c r="N178">
        <f t="shared" si="54"/>
        <v>2025</v>
      </c>
      <c r="Q178" s="22">
        <v>268</v>
      </c>
      <c r="R178" s="22">
        <v>417</v>
      </c>
      <c r="S178" s="22" t="str">
        <f t="shared" si="55"/>
        <v>USD</v>
      </c>
      <c r="T178" s="22">
        <f t="shared" si="59"/>
        <v>417</v>
      </c>
      <c r="U178" s="28">
        <v>400</v>
      </c>
      <c r="W178" s="9">
        <v>163</v>
      </c>
      <c r="X178" s="9" t="s">
        <v>27</v>
      </c>
      <c r="AF178">
        <v>183</v>
      </c>
      <c r="AG178" t="s">
        <v>29</v>
      </c>
      <c r="AH178">
        <v>37718.11</v>
      </c>
      <c r="AI178" s="7">
        <v>45847</v>
      </c>
    </row>
    <row r="179" spans="1:35">
      <c r="A179">
        <v>190</v>
      </c>
      <c r="B179" t="str">
        <f t="shared" si="48"/>
        <v>USD</v>
      </c>
      <c r="C179">
        <f t="shared" si="49"/>
        <v>0</v>
      </c>
      <c r="D179">
        <f>C179*_xlfn.XLOOKUP(B179,AM:AM,AN:AN)</f>
        <v>0</v>
      </c>
      <c r="E179">
        <f>C179*_xlfn.XLOOKUP(B179,AM:AM,AO:AO)</f>
        <v>0</v>
      </c>
      <c r="F179">
        <v>5626.99</v>
      </c>
      <c r="G179">
        <f>F179*_xlfn.XLOOKUP(B179,AM:AM,AN:AN)</f>
        <v>4839.2114000000001</v>
      </c>
      <c r="H179">
        <f>F179*_xlfn.XLOOKUP(B179,AM:AM,AO:AO)</f>
        <v>5626.99</v>
      </c>
      <c r="I179">
        <f t="shared" si="50"/>
        <v>0</v>
      </c>
      <c r="J179">
        <f>I179*_xlfn.XLOOKUP(B179,AM:AM,AO:AO)</f>
        <v>0</v>
      </c>
      <c r="K179" s="7">
        <f t="shared" si="51"/>
        <v>45757</v>
      </c>
      <c r="L179" s="7">
        <f t="shared" si="52"/>
        <v>45727</v>
      </c>
      <c r="M179">
        <f t="shared" si="53"/>
        <v>3</v>
      </c>
      <c r="N179">
        <f t="shared" si="54"/>
        <v>2025</v>
      </c>
      <c r="Q179" s="22">
        <v>269</v>
      </c>
      <c r="R179" s="22">
        <v>698</v>
      </c>
      <c r="S179" s="22" t="str">
        <f t="shared" si="55"/>
        <v>USD</v>
      </c>
      <c r="T179" s="22">
        <f t="shared" si="59"/>
        <v>698</v>
      </c>
      <c r="U179" s="28">
        <v>400</v>
      </c>
      <c r="W179" s="9">
        <v>163</v>
      </c>
      <c r="X179" s="9" t="s">
        <v>27</v>
      </c>
      <c r="AF179">
        <v>185</v>
      </c>
      <c r="AG179" t="s">
        <v>29</v>
      </c>
      <c r="AH179">
        <v>1196</v>
      </c>
      <c r="AI179" s="7">
        <v>45682</v>
      </c>
    </row>
    <row r="180" spans="1:35">
      <c r="A180">
        <v>192</v>
      </c>
      <c r="B180" t="str">
        <f t="shared" si="48"/>
        <v>USD</v>
      </c>
      <c r="C180">
        <f t="shared" si="49"/>
        <v>0</v>
      </c>
      <c r="D180">
        <f>C180*_xlfn.XLOOKUP(B180,AM:AM,AN:AN)</f>
        <v>0</v>
      </c>
      <c r="E180">
        <f>C180*_xlfn.XLOOKUP(B180,AM:AM,AO:AO)</f>
        <v>0</v>
      </c>
      <c r="F180">
        <v>5250</v>
      </c>
      <c r="G180">
        <f>F180*_xlfn.XLOOKUP(B180,AM:AM,AN:AN)</f>
        <v>4515</v>
      </c>
      <c r="H180">
        <f>F180*_xlfn.XLOOKUP(B180,AM:AM,AO:AO)</f>
        <v>5250</v>
      </c>
      <c r="I180">
        <f t="shared" si="50"/>
        <v>0</v>
      </c>
      <c r="J180">
        <f>I180*_xlfn.XLOOKUP(B180,AM:AM,AO:AO)</f>
        <v>0</v>
      </c>
      <c r="K180" s="7">
        <f t="shared" si="51"/>
        <v>45632</v>
      </c>
      <c r="L180" s="7">
        <f t="shared" si="52"/>
        <v>45602</v>
      </c>
      <c r="M180">
        <f t="shared" si="53"/>
        <v>11</v>
      </c>
      <c r="N180">
        <f t="shared" si="54"/>
        <v>2024</v>
      </c>
      <c r="Q180" s="22">
        <v>270</v>
      </c>
      <c r="R180" s="22">
        <v>396.07</v>
      </c>
      <c r="S180" s="22" t="str">
        <f t="shared" si="55"/>
        <v>USD</v>
      </c>
      <c r="T180" s="22">
        <f t="shared" si="59"/>
        <v>396.07</v>
      </c>
      <c r="U180" s="28">
        <v>400</v>
      </c>
      <c r="W180" s="9">
        <v>163</v>
      </c>
      <c r="X180" s="9" t="s">
        <v>27</v>
      </c>
      <c r="AF180">
        <v>186</v>
      </c>
      <c r="AG180" t="s">
        <v>28</v>
      </c>
      <c r="AH180">
        <v>134515</v>
      </c>
      <c r="AI180" s="7">
        <v>45692</v>
      </c>
    </row>
    <row r="181" spans="1:35">
      <c r="A181">
        <v>193</v>
      </c>
      <c r="B181" t="str">
        <f t="shared" si="48"/>
        <v>USD</v>
      </c>
      <c r="C181">
        <f t="shared" si="49"/>
        <v>55377.579999999994</v>
      </c>
      <c r="D181">
        <f>C181*_xlfn.XLOOKUP(B181,AM:AM,AN:AN)</f>
        <v>47624.718799999995</v>
      </c>
      <c r="E181">
        <f>C181*_xlfn.XLOOKUP(B181,AM:AM,AO:AO)</f>
        <v>55377.579999999994</v>
      </c>
      <c r="F181">
        <v>68627.509999999995</v>
      </c>
      <c r="G181">
        <f>F181*_xlfn.XLOOKUP(B181,AM:AM,AN:AN)</f>
        <v>59019.658599999995</v>
      </c>
      <c r="H181">
        <f>F181*_xlfn.XLOOKUP(B181,AM:AM,AO:AO)</f>
        <v>68627.509999999995</v>
      </c>
      <c r="I181">
        <f t="shared" si="50"/>
        <v>0</v>
      </c>
      <c r="J181">
        <f>I181*_xlfn.XLOOKUP(B181,AM:AM,AO:AO)</f>
        <v>0</v>
      </c>
      <c r="K181" s="7">
        <f t="shared" si="51"/>
        <v>45751</v>
      </c>
      <c r="L181" s="7">
        <f t="shared" si="52"/>
        <v>45721</v>
      </c>
      <c r="M181">
        <f t="shared" si="53"/>
        <v>3</v>
      </c>
      <c r="N181">
        <f t="shared" si="54"/>
        <v>2025</v>
      </c>
      <c r="Q181" s="22">
        <v>271</v>
      </c>
      <c r="R181" s="22">
        <v>1019.5</v>
      </c>
      <c r="S181" s="22" t="str">
        <f t="shared" si="55"/>
        <v>USD</v>
      </c>
      <c r="T181" s="22">
        <f t="shared" si="59"/>
        <v>1019.5</v>
      </c>
      <c r="U181" s="28">
        <v>400</v>
      </c>
      <c r="W181" s="9">
        <v>163</v>
      </c>
      <c r="X181" s="9" t="s">
        <v>27</v>
      </c>
      <c r="AF181">
        <v>187</v>
      </c>
      <c r="AG181" t="s">
        <v>29</v>
      </c>
      <c r="AH181">
        <v>3382.8</v>
      </c>
      <c r="AI181" s="7">
        <v>45722</v>
      </c>
    </row>
    <row r="182" spans="1:35">
      <c r="A182">
        <v>194</v>
      </c>
      <c r="B182" t="str">
        <f t="shared" si="48"/>
        <v>USD</v>
      </c>
      <c r="C182">
        <f t="shared" si="49"/>
        <v>8470.11</v>
      </c>
      <c r="D182">
        <f>C182*_xlfn.XLOOKUP(B182,AM:AM,AN:AN)</f>
        <v>7284.2946000000002</v>
      </c>
      <c r="E182">
        <f>C182*_xlfn.XLOOKUP(B182,AM:AM,AO:AO)</f>
        <v>8470.11</v>
      </c>
      <c r="F182">
        <v>8470.11</v>
      </c>
      <c r="G182">
        <f>F182*_xlfn.XLOOKUP(B182,AM:AM,AN:AN)</f>
        <v>7284.2946000000002</v>
      </c>
      <c r="H182">
        <f>F182*_xlfn.XLOOKUP(B182,AM:AM,AO:AO)</f>
        <v>8470.11</v>
      </c>
      <c r="I182">
        <f t="shared" si="50"/>
        <v>0</v>
      </c>
      <c r="J182">
        <f>I182*_xlfn.XLOOKUP(B182,AM:AM,AO:AO)</f>
        <v>0</v>
      </c>
      <c r="K182" s="7">
        <f t="shared" si="51"/>
        <v>45799</v>
      </c>
      <c r="L182" s="7">
        <f t="shared" si="52"/>
        <v>45769</v>
      </c>
      <c r="M182">
        <f t="shared" si="53"/>
        <v>4</v>
      </c>
      <c r="N182">
        <f t="shared" si="54"/>
        <v>2025</v>
      </c>
      <c r="Q182" s="22">
        <v>273</v>
      </c>
      <c r="R182" s="22">
        <v>3613.5</v>
      </c>
      <c r="S182" s="22" t="str">
        <f t="shared" si="55"/>
        <v>EUR</v>
      </c>
      <c r="T182" s="22">
        <f t="shared" si="59"/>
        <v>4191.66</v>
      </c>
      <c r="U182" s="28">
        <v>400</v>
      </c>
      <c r="W182" s="9">
        <v>163</v>
      </c>
      <c r="X182" s="9" t="s">
        <v>27</v>
      </c>
      <c r="AF182">
        <v>188</v>
      </c>
      <c r="AG182" t="s">
        <v>29</v>
      </c>
      <c r="AH182">
        <v>10019.209999999999</v>
      </c>
      <c r="AI182" s="7">
        <v>45689</v>
      </c>
    </row>
    <row r="183" spans="1:35">
      <c r="A183">
        <v>195</v>
      </c>
      <c r="B183" t="str">
        <f t="shared" si="48"/>
        <v>EUR</v>
      </c>
      <c r="C183">
        <f t="shared" si="49"/>
        <v>5407.5</v>
      </c>
      <c r="D183">
        <f>C183*_xlfn.XLOOKUP(B183,AM:AM,AN:AN)</f>
        <v>5407.5</v>
      </c>
      <c r="E183">
        <f>C183*_xlfn.XLOOKUP(B183,AM:AM,AO:AO)</f>
        <v>6272.7</v>
      </c>
      <c r="F183">
        <v>16000</v>
      </c>
      <c r="G183">
        <f>F183*_xlfn.XLOOKUP(B183,AM:AM,AN:AN)</f>
        <v>16000</v>
      </c>
      <c r="H183">
        <f>F183*_xlfn.XLOOKUP(B183,AM:AM,AO:AO)</f>
        <v>18560</v>
      </c>
      <c r="I183">
        <f t="shared" si="50"/>
        <v>0</v>
      </c>
      <c r="J183">
        <f>I183*_xlfn.XLOOKUP(B183,AM:AM,AO:AO)</f>
        <v>0</v>
      </c>
      <c r="K183" s="7">
        <f t="shared" si="51"/>
        <v>45850</v>
      </c>
      <c r="L183" s="7">
        <f t="shared" si="52"/>
        <v>45820</v>
      </c>
      <c r="M183">
        <f t="shared" si="53"/>
        <v>6</v>
      </c>
      <c r="N183">
        <f t="shared" si="54"/>
        <v>2025</v>
      </c>
      <c r="Q183" s="22">
        <v>274</v>
      </c>
      <c r="R183" s="22">
        <v>555.49</v>
      </c>
      <c r="S183" s="22" t="str">
        <f t="shared" si="55"/>
        <v>USD</v>
      </c>
      <c r="T183" s="22">
        <f t="shared" si="59"/>
        <v>555.49</v>
      </c>
      <c r="U183" s="28">
        <v>400</v>
      </c>
      <c r="W183" s="9">
        <v>164</v>
      </c>
      <c r="X183" s="9" t="s">
        <v>27</v>
      </c>
      <c r="AF183">
        <v>189</v>
      </c>
      <c r="AG183" t="s">
        <v>29</v>
      </c>
      <c r="AH183">
        <v>34063.61</v>
      </c>
      <c r="AI183" s="7">
        <v>45760</v>
      </c>
    </row>
    <row r="184" spans="1:35">
      <c r="A184">
        <v>196</v>
      </c>
      <c r="B184" t="str">
        <f t="shared" si="48"/>
        <v>USD</v>
      </c>
      <c r="C184">
        <f t="shared" si="49"/>
        <v>70</v>
      </c>
      <c r="D184">
        <f>C184*_xlfn.XLOOKUP(B184,AM:AM,AN:AN)</f>
        <v>60.199999999999996</v>
      </c>
      <c r="E184">
        <f>C184*_xlfn.XLOOKUP(B184,AM:AM,AO:AO)</f>
        <v>70</v>
      </c>
      <c r="F184">
        <v>14952.34</v>
      </c>
      <c r="G184">
        <f>F184*_xlfn.XLOOKUP(B184,AM:AM,AN:AN)</f>
        <v>12859.0124</v>
      </c>
      <c r="H184">
        <f>F184*_xlfn.XLOOKUP(B184,AM:AM,AO:AO)</f>
        <v>14952.34</v>
      </c>
      <c r="I184">
        <f t="shared" si="50"/>
        <v>0</v>
      </c>
      <c r="J184">
        <f>I184*_xlfn.XLOOKUP(B184,AM:AM,AO:AO)</f>
        <v>0</v>
      </c>
      <c r="K184" s="7">
        <f t="shared" si="51"/>
        <v>45791</v>
      </c>
      <c r="L184" s="7">
        <f t="shared" si="52"/>
        <v>45761</v>
      </c>
      <c r="M184">
        <f t="shared" si="53"/>
        <v>4</v>
      </c>
      <c r="N184">
        <f t="shared" si="54"/>
        <v>2025</v>
      </c>
      <c r="Q184" s="22">
        <v>275</v>
      </c>
      <c r="R184" s="22">
        <v>9724.7999999999993</v>
      </c>
      <c r="S184" s="22" t="str">
        <f t="shared" si="55"/>
        <v>EUR</v>
      </c>
      <c r="T184" s="22">
        <f t="shared" si="59"/>
        <v>11280.767999999998</v>
      </c>
      <c r="U184" s="28">
        <v>400</v>
      </c>
      <c r="W184" s="9">
        <v>164</v>
      </c>
      <c r="X184" s="9" t="s">
        <v>27</v>
      </c>
      <c r="AF184">
        <v>190</v>
      </c>
      <c r="AG184" t="s">
        <v>29</v>
      </c>
      <c r="AH184">
        <v>5626.99</v>
      </c>
      <c r="AI184" s="7">
        <v>45757</v>
      </c>
    </row>
    <row r="185" spans="1:35">
      <c r="A185">
        <v>197</v>
      </c>
      <c r="B185" t="str">
        <f t="shared" si="48"/>
        <v>USD</v>
      </c>
      <c r="C185">
        <f t="shared" si="49"/>
        <v>8747</v>
      </c>
      <c r="D185">
        <f>C185*_xlfn.XLOOKUP(B185,AM:AM,AN:AN)</f>
        <v>7522.42</v>
      </c>
      <c r="E185">
        <f>C185*_xlfn.XLOOKUP(B185,AM:AM,AO:AO)</f>
        <v>8747</v>
      </c>
      <c r="F185">
        <v>8747</v>
      </c>
      <c r="G185">
        <f>F185*_xlfn.XLOOKUP(B185,AM:AM,AN:AN)</f>
        <v>7522.42</v>
      </c>
      <c r="H185">
        <f>F185*_xlfn.XLOOKUP(B185,AM:AM,AO:AO)</f>
        <v>8747</v>
      </c>
      <c r="I185">
        <f t="shared" si="50"/>
        <v>0</v>
      </c>
      <c r="J185">
        <f>I185*_xlfn.XLOOKUP(B185,AM:AM,AO:AO)</f>
        <v>0</v>
      </c>
      <c r="K185" s="7">
        <f t="shared" si="51"/>
        <v>45731</v>
      </c>
      <c r="L185" s="7">
        <f t="shared" si="52"/>
        <v>45701</v>
      </c>
      <c r="M185">
        <f t="shared" si="53"/>
        <v>2</v>
      </c>
      <c r="N185">
        <f t="shared" si="54"/>
        <v>2025</v>
      </c>
      <c r="Q185" s="22">
        <v>276</v>
      </c>
      <c r="R185" s="22">
        <v>187114.16</v>
      </c>
      <c r="S185" s="22" t="str">
        <f t="shared" si="55"/>
        <v>MXN</v>
      </c>
      <c r="T185" s="22">
        <f t="shared" si="59"/>
        <v>10478.392960000001</v>
      </c>
      <c r="U185" s="28">
        <v>400</v>
      </c>
      <c r="W185" s="9">
        <v>165</v>
      </c>
      <c r="X185" s="9" t="s">
        <v>29</v>
      </c>
      <c r="AF185">
        <v>191</v>
      </c>
      <c r="AG185" t="s">
        <v>27</v>
      </c>
      <c r="AH185">
        <v>720</v>
      </c>
      <c r="AI185" s="7">
        <v>45730</v>
      </c>
    </row>
    <row r="186" spans="1:35">
      <c r="A186">
        <v>198</v>
      </c>
      <c r="B186" t="str">
        <f t="shared" si="48"/>
        <v>USD</v>
      </c>
      <c r="C186">
        <f t="shared" si="49"/>
        <v>32203</v>
      </c>
      <c r="D186">
        <f>C186*_xlfn.XLOOKUP(B186,AM:AM,AN:AN)</f>
        <v>27694.579999999998</v>
      </c>
      <c r="E186">
        <f>C186*_xlfn.XLOOKUP(B186,AM:AM,AO:AO)</f>
        <v>32203</v>
      </c>
      <c r="F186">
        <v>84945.09</v>
      </c>
      <c r="G186">
        <f>F186*_xlfn.XLOOKUP(B186,AM:AM,AN:AN)</f>
        <v>73052.777399999992</v>
      </c>
      <c r="H186">
        <f>F186*_xlfn.XLOOKUP(B186,AM:AM,AO:AO)</f>
        <v>84945.09</v>
      </c>
      <c r="I186">
        <f t="shared" si="50"/>
        <v>2</v>
      </c>
      <c r="J186">
        <f>I186*_xlfn.XLOOKUP(B186,AM:AM,AO:AO)</f>
        <v>2</v>
      </c>
      <c r="K186" s="7">
        <f t="shared" si="51"/>
        <v>45952</v>
      </c>
      <c r="L186" s="7">
        <f t="shared" si="52"/>
        <v>45922</v>
      </c>
      <c r="M186">
        <f t="shared" si="53"/>
        <v>9</v>
      </c>
      <c r="N186">
        <f t="shared" si="54"/>
        <v>2025</v>
      </c>
      <c r="Q186" s="22">
        <v>278</v>
      </c>
      <c r="R186" s="22">
        <v>13702</v>
      </c>
      <c r="S186" s="22" t="str">
        <f t="shared" si="55"/>
        <v>USD</v>
      </c>
      <c r="T186" s="22">
        <f t="shared" si="59"/>
        <v>13702</v>
      </c>
      <c r="U186" s="28">
        <v>400</v>
      </c>
      <c r="W186" s="9">
        <v>167</v>
      </c>
      <c r="X186" s="9" t="s">
        <v>29</v>
      </c>
      <c r="AF186">
        <v>192</v>
      </c>
      <c r="AG186" t="s">
        <v>29</v>
      </c>
      <c r="AH186">
        <v>5250</v>
      </c>
      <c r="AI186" s="7">
        <v>45632</v>
      </c>
    </row>
    <row r="187" spans="1:35">
      <c r="A187">
        <v>199</v>
      </c>
      <c r="B187" t="str">
        <f t="shared" si="48"/>
        <v>USD</v>
      </c>
      <c r="C187">
        <f t="shared" si="49"/>
        <v>0</v>
      </c>
      <c r="D187">
        <f>C187*_xlfn.XLOOKUP(B187,AM:AM,AN:AN)</f>
        <v>0</v>
      </c>
      <c r="E187">
        <f>C187*_xlfn.XLOOKUP(B187,AM:AM,AO:AO)</f>
        <v>0</v>
      </c>
      <c r="F187">
        <v>4395</v>
      </c>
      <c r="G187">
        <f>F187*_xlfn.XLOOKUP(B187,AM:AM,AN:AN)</f>
        <v>3779.7</v>
      </c>
      <c r="H187">
        <f>F187*_xlfn.XLOOKUP(B187,AM:AM,AO:AO)</f>
        <v>4395</v>
      </c>
      <c r="I187">
        <f t="shared" si="50"/>
        <v>0</v>
      </c>
      <c r="J187">
        <f>I187*_xlfn.XLOOKUP(B187,AM:AM,AO:AO)</f>
        <v>0</v>
      </c>
      <c r="K187" s="7">
        <f t="shared" si="51"/>
        <v>45697</v>
      </c>
      <c r="L187" s="7">
        <f t="shared" si="52"/>
        <v>45667</v>
      </c>
      <c r="M187">
        <f t="shared" si="53"/>
        <v>1</v>
      </c>
      <c r="N187">
        <f t="shared" si="54"/>
        <v>2025</v>
      </c>
      <c r="Q187" s="22">
        <v>279</v>
      </c>
      <c r="R187" s="22">
        <v>36199.17</v>
      </c>
      <c r="S187" s="22" t="str">
        <f t="shared" si="55"/>
        <v>USD</v>
      </c>
      <c r="T187" s="22">
        <f t="shared" si="59"/>
        <v>36199.17</v>
      </c>
      <c r="U187" s="28">
        <v>400</v>
      </c>
      <c r="W187" s="9">
        <v>168</v>
      </c>
      <c r="X187" s="9" t="s">
        <v>29</v>
      </c>
      <c r="AF187">
        <v>193</v>
      </c>
      <c r="AG187" t="s">
        <v>29</v>
      </c>
      <c r="AH187">
        <v>68627.509999999995</v>
      </c>
      <c r="AI187" s="7">
        <v>45751</v>
      </c>
    </row>
    <row r="188" spans="1:35">
      <c r="A188">
        <v>200</v>
      </c>
      <c r="B188" t="str">
        <f t="shared" si="48"/>
        <v>USD</v>
      </c>
      <c r="C188">
        <f t="shared" si="49"/>
        <v>0</v>
      </c>
      <c r="D188">
        <f>C188*_xlfn.XLOOKUP(B188,AM:AM,AN:AN)</f>
        <v>0</v>
      </c>
      <c r="E188">
        <f>C188*_xlfn.XLOOKUP(B188,AM:AM,AO:AO)</f>
        <v>0</v>
      </c>
      <c r="F188">
        <v>3998.77</v>
      </c>
      <c r="G188">
        <f>F188*_xlfn.XLOOKUP(B188,AM:AM,AN:AN)</f>
        <v>3438.9422</v>
      </c>
      <c r="H188">
        <f>F188*_xlfn.XLOOKUP(B188,AM:AM,AO:AO)</f>
        <v>3998.77</v>
      </c>
      <c r="I188">
        <f t="shared" si="50"/>
        <v>0</v>
      </c>
      <c r="J188">
        <f>I188*_xlfn.XLOOKUP(B188,AM:AM,AO:AO)</f>
        <v>0</v>
      </c>
      <c r="K188" s="7">
        <f t="shared" si="51"/>
        <v>45735</v>
      </c>
      <c r="L188" s="7">
        <f t="shared" ref="L188" si="66">K188-30</f>
        <v>45705</v>
      </c>
      <c r="M188">
        <f t="shared" ref="M188" si="67">MONTH(L188)</f>
        <v>2</v>
      </c>
      <c r="N188">
        <f t="shared" ref="N188" si="68">YEAR(L188)</f>
        <v>2025</v>
      </c>
      <c r="Q188" s="22">
        <v>281</v>
      </c>
      <c r="R188" s="22">
        <v>4403.08</v>
      </c>
      <c r="S188" s="22" t="str">
        <f t="shared" si="55"/>
        <v>USD</v>
      </c>
      <c r="T188" s="22">
        <f t="shared" si="59"/>
        <v>4403.08</v>
      </c>
      <c r="U188" s="28">
        <v>400</v>
      </c>
      <c r="W188" s="9">
        <v>168</v>
      </c>
      <c r="X188" s="9" t="s">
        <v>29</v>
      </c>
      <c r="AF188">
        <v>194</v>
      </c>
      <c r="AG188" t="s">
        <v>29</v>
      </c>
      <c r="AH188">
        <v>8470.11</v>
      </c>
      <c r="AI188" s="7">
        <v>45799</v>
      </c>
    </row>
    <row r="189" spans="1:35">
      <c r="A189">
        <v>201</v>
      </c>
      <c r="B189" t="str">
        <f t="shared" si="48"/>
        <v>USD</v>
      </c>
      <c r="C189">
        <f t="shared" si="49"/>
        <v>0</v>
      </c>
      <c r="D189">
        <f>C189*_xlfn.XLOOKUP(B189,AM:AM,AN:AN)</f>
        <v>0</v>
      </c>
      <c r="E189">
        <f>C189*_xlfn.XLOOKUP(B189,AM:AM,AO:AO)</f>
        <v>0</v>
      </c>
      <c r="F189">
        <v>3998.77</v>
      </c>
      <c r="G189">
        <f>F189*_xlfn.XLOOKUP(B189,AM:AM,AN:AN)</f>
        <v>3438.9422</v>
      </c>
      <c r="H189">
        <f>F189*_xlfn.XLOOKUP(B189,AM:AM,AO:AO)</f>
        <v>3998.77</v>
      </c>
      <c r="I189">
        <f t="shared" si="50"/>
        <v>0</v>
      </c>
      <c r="J189">
        <f>I189*_xlfn.XLOOKUP(B189,AM:AM,AO:AO)</f>
        <v>0</v>
      </c>
      <c r="K189" s="7">
        <f t="shared" si="51"/>
        <v>45735</v>
      </c>
      <c r="L189" s="7">
        <f t="shared" si="52"/>
        <v>45705</v>
      </c>
      <c r="M189">
        <f t="shared" si="53"/>
        <v>2</v>
      </c>
      <c r="N189">
        <f t="shared" si="54"/>
        <v>2025</v>
      </c>
      <c r="Q189" s="22">
        <v>282</v>
      </c>
      <c r="R189" s="22">
        <v>3206.5</v>
      </c>
      <c r="S189" s="22" t="str">
        <f t="shared" si="55"/>
        <v>USD</v>
      </c>
      <c r="T189" s="22">
        <f t="shared" si="59"/>
        <v>3206.5</v>
      </c>
      <c r="U189" s="28">
        <v>400</v>
      </c>
      <c r="W189" s="9">
        <v>168</v>
      </c>
      <c r="X189" s="9" t="s">
        <v>29</v>
      </c>
      <c r="AF189">
        <v>195</v>
      </c>
      <c r="AG189" t="s">
        <v>27</v>
      </c>
      <c r="AH189">
        <v>16000</v>
      </c>
      <c r="AI189" s="7">
        <v>45850</v>
      </c>
    </row>
    <row r="190" spans="1:35">
      <c r="A190">
        <v>202</v>
      </c>
      <c r="B190" t="str">
        <f t="shared" si="48"/>
        <v>USD</v>
      </c>
      <c r="C190">
        <f t="shared" si="49"/>
        <v>20827</v>
      </c>
      <c r="D190">
        <f>C190*_xlfn.XLOOKUP(B190,AM:AM,AN:AN)</f>
        <v>17911.22</v>
      </c>
      <c r="E190">
        <f>C190*_xlfn.XLOOKUP(B190,AM:AM,AO:AO)</f>
        <v>20827</v>
      </c>
      <c r="F190">
        <v>31690.94</v>
      </c>
      <c r="G190">
        <f>F190*_xlfn.XLOOKUP(B190,AM:AM,AN:AN)</f>
        <v>27254.2084</v>
      </c>
      <c r="H190">
        <f>F190*_xlfn.XLOOKUP(B190,AM:AM,AO:AO)</f>
        <v>31690.94</v>
      </c>
      <c r="I190">
        <f t="shared" si="50"/>
        <v>1.8189894035458565E-12</v>
      </c>
      <c r="J190">
        <f>I190*_xlfn.XLOOKUP(B190,AM:AM,AO:AO)</f>
        <v>1.8189894035458565E-12</v>
      </c>
      <c r="K190" s="7">
        <f t="shared" si="51"/>
        <v>45940</v>
      </c>
      <c r="L190" s="7">
        <f t="shared" si="52"/>
        <v>45910</v>
      </c>
      <c r="M190">
        <f t="shared" si="53"/>
        <v>9</v>
      </c>
      <c r="N190">
        <f t="shared" si="54"/>
        <v>2025</v>
      </c>
      <c r="Q190" s="22">
        <v>283</v>
      </c>
      <c r="R190" s="22">
        <v>3108</v>
      </c>
      <c r="S190" s="22" t="str">
        <f t="shared" si="55"/>
        <v>USD</v>
      </c>
      <c r="T190" s="22">
        <f t="shared" si="59"/>
        <v>3108</v>
      </c>
      <c r="U190" s="28">
        <v>400</v>
      </c>
      <c r="W190" s="9">
        <v>168</v>
      </c>
      <c r="X190" s="9" t="s">
        <v>29</v>
      </c>
      <c r="AF190">
        <v>196</v>
      </c>
      <c r="AG190" t="s">
        <v>29</v>
      </c>
      <c r="AH190">
        <v>14952.34</v>
      </c>
      <c r="AI190" s="7">
        <v>45791</v>
      </c>
    </row>
    <row r="191" spans="1:35">
      <c r="A191">
        <v>203</v>
      </c>
      <c r="B191" t="str">
        <f t="shared" si="48"/>
        <v>USD</v>
      </c>
      <c r="C191">
        <f t="shared" si="49"/>
        <v>2503.2000000000003</v>
      </c>
      <c r="D191">
        <f>C191*_xlfn.XLOOKUP(B191,AM:AM,AN:AN)</f>
        <v>2152.7520000000004</v>
      </c>
      <c r="E191">
        <f>C191*_xlfn.XLOOKUP(B191,AM:AM,AO:AO)</f>
        <v>2503.2000000000003</v>
      </c>
      <c r="F191">
        <v>4115.6400000000003</v>
      </c>
      <c r="G191">
        <f>F191*_xlfn.XLOOKUP(B191,AM:AM,AN:AN)</f>
        <v>3539.4504000000002</v>
      </c>
      <c r="H191">
        <f>F191*_xlfn.XLOOKUP(B191,AM:AM,AO:AO)</f>
        <v>4115.6400000000003</v>
      </c>
      <c r="I191">
        <f t="shared" si="50"/>
        <v>0</v>
      </c>
      <c r="J191">
        <f>I191*_xlfn.XLOOKUP(B191,AM:AM,AO:AO)</f>
        <v>0</v>
      </c>
      <c r="K191" s="7">
        <f t="shared" si="51"/>
        <v>45798</v>
      </c>
      <c r="L191" s="7">
        <f t="shared" si="52"/>
        <v>45768</v>
      </c>
      <c r="M191">
        <f t="shared" si="53"/>
        <v>4</v>
      </c>
      <c r="N191">
        <f t="shared" si="54"/>
        <v>2025</v>
      </c>
      <c r="Q191" s="22">
        <v>284</v>
      </c>
      <c r="R191" s="22">
        <v>19328.54</v>
      </c>
      <c r="S191" s="22" t="str">
        <f t="shared" si="55"/>
        <v>USD</v>
      </c>
      <c r="T191" s="22">
        <f t="shared" si="59"/>
        <v>19328.54</v>
      </c>
      <c r="U191" s="28">
        <v>400</v>
      </c>
      <c r="W191" s="9">
        <v>168</v>
      </c>
      <c r="X191" s="9" t="s">
        <v>29</v>
      </c>
      <c r="AF191">
        <v>197</v>
      </c>
      <c r="AG191" t="s">
        <v>29</v>
      </c>
      <c r="AH191">
        <v>8747</v>
      </c>
      <c r="AI191" s="7">
        <v>45731</v>
      </c>
    </row>
    <row r="192" spans="1:35">
      <c r="A192">
        <v>204</v>
      </c>
      <c r="B192" t="str">
        <f t="shared" si="48"/>
        <v>EUR</v>
      </c>
      <c r="C192">
        <f t="shared" si="49"/>
        <v>114350.81</v>
      </c>
      <c r="D192">
        <f>C192*_xlfn.XLOOKUP(B192,AM:AM,AN:AN)</f>
        <v>114350.81</v>
      </c>
      <c r="E192">
        <f>C192*_xlfn.XLOOKUP(B192,AM:AM,AO:AO)</f>
        <v>132646.93959999998</v>
      </c>
      <c r="F192">
        <v>120965.81</v>
      </c>
      <c r="G192">
        <f>F192*_xlfn.XLOOKUP(B192,AM:AM,AN:AN)</f>
        <v>120965.81</v>
      </c>
      <c r="H192">
        <f>F192*_xlfn.XLOOKUP(B192,AM:AM,AO:AO)</f>
        <v>140320.33959999998</v>
      </c>
      <c r="I192">
        <f t="shared" si="50"/>
        <v>0</v>
      </c>
      <c r="J192">
        <f>I192*_xlfn.XLOOKUP(B192,AM:AM,AO:AO)</f>
        <v>0</v>
      </c>
      <c r="K192" s="7">
        <f t="shared" si="51"/>
        <v>45822</v>
      </c>
      <c r="L192" s="7">
        <f t="shared" si="52"/>
        <v>45792</v>
      </c>
      <c r="M192">
        <f t="shared" si="53"/>
        <v>5</v>
      </c>
      <c r="N192">
        <f t="shared" si="54"/>
        <v>2025</v>
      </c>
      <c r="Q192" s="22">
        <v>285</v>
      </c>
      <c r="R192" s="22">
        <v>4276.47</v>
      </c>
      <c r="S192" s="22" t="str">
        <f t="shared" si="55"/>
        <v>USD</v>
      </c>
      <c r="T192" s="22">
        <f t="shared" si="59"/>
        <v>4276.47</v>
      </c>
      <c r="U192" s="28">
        <v>400</v>
      </c>
      <c r="W192" s="9">
        <v>168</v>
      </c>
      <c r="X192" s="9" t="s">
        <v>29</v>
      </c>
      <c r="AF192">
        <v>198</v>
      </c>
      <c r="AG192" t="s">
        <v>29</v>
      </c>
      <c r="AH192">
        <v>84947.09</v>
      </c>
      <c r="AI192" s="7">
        <v>45952</v>
      </c>
    </row>
    <row r="193" spans="1:35">
      <c r="A193">
        <v>205</v>
      </c>
      <c r="B193" t="str">
        <f t="shared" si="48"/>
        <v>MXN</v>
      </c>
      <c r="C193">
        <f t="shared" si="49"/>
        <v>0</v>
      </c>
      <c r="D193">
        <f>C193*_xlfn.XLOOKUP(B193,AM:AM,AN:AN)</f>
        <v>0</v>
      </c>
      <c r="E193">
        <f>C193*_xlfn.XLOOKUP(B193,AM:AM,AO:AO)</f>
        <v>0</v>
      </c>
      <c r="F193">
        <v>868193.33</v>
      </c>
      <c r="G193">
        <f>F193*_xlfn.XLOOKUP(B193,AM:AM,AN:AN)</f>
        <v>41673.279839999996</v>
      </c>
      <c r="H193">
        <f>F193*_xlfn.XLOOKUP(B193,AM:AM,AO:AO)</f>
        <v>48618.826479999996</v>
      </c>
      <c r="I193">
        <f t="shared" si="50"/>
        <v>0</v>
      </c>
      <c r="J193">
        <f>I193*_xlfn.XLOOKUP(B193,AM:AM,AO:AO)</f>
        <v>0</v>
      </c>
      <c r="K193" s="7">
        <f t="shared" si="51"/>
        <v>45764</v>
      </c>
      <c r="L193" s="7">
        <f t="shared" si="52"/>
        <v>45734</v>
      </c>
      <c r="M193">
        <f t="shared" si="53"/>
        <v>3</v>
      </c>
      <c r="N193">
        <f t="shared" si="54"/>
        <v>2025</v>
      </c>
      <c r="Q193" s="22">
        <v>286</v>
      </c>
      <c r="R193" s="22">
        <v>2297.91</v>
      </c>
      <c r="S193" s="22" t="str">
        <f t="shared" si="55"/>
        <v>USD</v>
      </c>
      <c r="T193" s="22">
        <f t="shared" si="59"/>
        <v>2297.91</v>
      </c>
      <c r="U193" s="28">
        <v>400</v>
      </c>
      <c r="W193" s="9">
        <v>168</v>
      </c>
      <c r="X193" s="9" t="s">
        <v>29</v>
      </c>
      <c r="AF193">
        <v>199</v>
      </c>
      <c r="AG193" t="s">
        <v>29</v>
      </c>
      <c r="AH193">
        <v>4395</v>
      </c>
      <c r="AI193" s="7">
        <v>45697</v>
      </c>
    </row>
    <row r="194" spans="1:35">
      <c r="A194">
        <v>206</v>
      </c>
      <c r="B194" t="str">
        <f t="shared" si="48"/>
        <v>USD</v>
      </c>
      <c r="C194">
        <f t="shared" si="49"/>
        <v>0</v>
      </c>
      <c r="D194">
        <f>C194*_xlfn.XLOOKUP(B194,AM:AM,AN:AN)</f>
        <v>0</v>
      </c>
      <c r="E194">
        <f>C194*_xlfn.XLOOKUP(B194,AM:AM,AO:AO)</f>
        <v>0</v>
      </c>
      <c r="F194">
        <v>8210</v>
      </c>
      <c r="G194">
        <f>F194*_xlfn.XLOOKUP(B194,AM:AM,AN:AN)</f>
        <v>7060.5999999999995</v>
      </c>
      <c r="H194">
        <f>F194*_xlfn.XLOOKUP(B194,AM:AM,AO:AO)</f>
        <v>8210</v>
      </c>
      <c r="I194">
        <f t="shared" si="50"/>
        <v>0</v>
      </c>
      <c r="J194">
        <f>I194*_xlfn.XLOOKUP(B194,AM:AM,AO:AO)</f>
        <v>0</v>
      </c>
      <c r="K194" s="7">
        <f t="shared" si="51"/>
        <v>45735</v>
      </c>
      <c r="L194" s="7">
        <f t="shared" si="52"/>
        <v>45705</v>
      </c>
      <c r="M194">
        <f t="shared" si="53"/>
        <v>2</v>
      </c>
      <c r="N194">
        <f t="shared" si="54"/>
        <v>2025</v>
      </c>
      <c r="Q194" s="22">
        <v>287</v>
      </c>
      <c r="R194" s="22">
        <v>3806.23</v>
      </c>
      <c r="S194" s="22" t="str">
        <f t="shared" si="55"/>
        <v>EUR</v>
      </c>
      <c r="T194" s="22">
        <f t="shared" si="59"/>
        <v>4415.2267999999995</v>
      </c>
      <c r="U194" s="28">
        <v>400</v>
      </c>
      <c r="W194" s="9">
        <v>170</v>
      </c>
      <c r="X194" s="9" t="s">
        <v>27</v>
      </c>
      <c r="AF194">
        <v>200</v>
      </c>
      <c r="AG194" t="s">
        <v>29</v>
      </c>
      <c r="AH194">
        <v>3998.77</v>
      </c>
      <c r="AI194" s="7">
        <v>45735</v>
      </c>
    </row>
    <row r="195" spans="1:35">
      <c r="A195">
        <v>207</v>
      </c>
      <c r="B195" t="str">
        <f t="shared" ref="B195:B258" si="69">_xlfn.XLOOKUP(A195,AF:AF,AG:AG)</f>
        <v>USD</v>
      </c>
      <c r="C195">
        <f t="shared" ref="C195:C258" si="70">_xlfn.XLOOKUP(A195,AF:AF,AH:AH)-_xlfn.XLOOKUP(A195,Q:Q,R:R,"0")</f>
        <v>0</v>
      </c>
      <c r="D195">
        <f>C195*_xlfn.XLOOKUP(B195,AM:AM,AN:AN)</f>
        <v>0</v>
      </c>
      <c r="E195">
        <f>C195*_xlfn.XLOOKUP(B195,AM:AM,AO:AO)</f>
        <v>0</v>
      </c>
      <c r="F195">
        <v>4370.66</v>
      </c>
      <c r="G195">
        <f>F195*_xlfn.XLOOKUP(B195,AM:AM,AN:AN)</f>
        <v>3758.7675999999997</v>
      </c>
      <c r="H195">
        <f>F195*_xlfn.XLOOKUP(B195,AM:AM,AO:AO)</f>
        <v>4370.66</v>
      </c>
      <c r="I195">
        <f t="shared" ref="I195:I258" si="71">C195-F195+_xlfn.XLOOKUP(A195,Q:Q,R:R,"0")-_xlfn.XLOOKUP(A195,Z:Z,AA:AA,"0")</f>
        <v>0</v>
      </c>
      <c r="J195">
        <f>I195*_xlfn.XLOOKUP(B195,AM:AM,AO:AO)</f>
        <v>0</v>
      </c>
      <c r="K195" s="7">
        <f t="shared" ref="K195:K258" si="72">_xlfn.XLOOKUP(A195,AF:AF,AI:AI)</f>
        <v>45832</v>
      </c>
      <c r="L195" s="7">
        <f t="shared" ref="L195:L258" si="73">K195-30</f>
        <v>45802</v>
      </c>
      <c r="M195">
        <f t="shared" ref="M195:M258" si="74">MONTH(L195)</f>
        <v>5</v>
      </c>
      <c r="N195">
        <f t="shared" ref="N195:N258" si="75">YEAR(L195)</f>
        <v>2025</v>
      </c>
      <c r="Q195" s="22">
        <v>288</v>
      </c>
      <c r="R195" s="22">
        <v>36285.840000000004</v>
      </c>
      <c r="S195" s="22" t="str">
        <f t="shared" ref="S195:S258" si="76">_xlfn.XLOOKUP(Q195,W:W,X:X)</f>
        <v>USD</v>
      </c>
      <c r="T195" s="22">
        <f t="shared" si="59"/>
        <v>36285.840000000004</v>
      </c>
      <c r="U195" s="28">
        <v>400</v>
      </c>
      <c r="W195" s="9">
        <v>170</v>
      </c>
      <c r="X195" s="9" t="s">
        <v>27</v>
      </c>
      <c r="AF195">
        <v>201</v>
      </c>
      <c r="AG195" t="s">
        <v>29</v>
      </c>
      <c r="AH195">
        <v>3998.77</v>
      </c>
      <c r="AI195" s="7">
        <v>45735</v>
      </c>
    </row>
    <row r="196" spans="1:35">
      <c r="A196">
        <v>208</v>
      </c>
      <c r="B196" t="str">
        <f t="shared" si="69"/>
        <v>USD</v>
      </c>
      <c r="C196">
        <f t="shared" si="70"/>
        <v>0</v>
      </c>
      <c r="D196">
        <f>C196*_xlfn.XLOOKUP(B196,AM:AM,AN:AN)</f>
        <v>0</v>
      </c>
      <c r="E196">
        <f>C196*_xlfn.XLOOKUP(B196,AM:AM,AO:AO)</f>
        <v>0</v>
      </c>
      <c r="F196">
        <v>4370.66</v>
      </c>
      <c r="G196">
        <f>F196*_xlfn.XLOOKUP(B196,AM:AM,AN:AN)</f>
        <v>3758.7675999999997</v>
      </c>
      <c r="H196">
        <f>F196*_xlfn.XLOOKUP(B196,AM:AM,AO:AO)</f>
        <v>4370.66</v>
      </c>
      <c r="I196">
        <f t="shared" si="71"/>
        <v>0</v>
      </c>
      <c r="J196">
        <f>I196*_xlfn.XLOOKUP(B196,AM:AM,AO:AO)</f>
        <v>0</v>
      </c>
      <c r="K196" s="7">
        <f t="shared" si="72"/>
        <v>45832</v>
      </c>
      <c r="L196" s="7">
        <f t="shared" si="73"/>
        <v>45802</v>
      </c>
      <c r="M196">
        <f t="shared" si="74"/>
        <v>5</v>
      </c>
      <c r="N196">
        <f t="shared" si="75"/>
        <v>2025</v>
      </c>
      <c r="Q196" s="22">
        <v>292</v>
      </c>
      <c r="R196" s="22">
        <v>7500</v>
      </c>
      <c r="S196" s="22" t="str">
        <f t="shared" si="76"/>
        <v>EUR</v>
      </c>
      <c r="T196" s="22">
        <f t="shared" si="59"/>
        <v>8700</v>
      </c>
      <c r="U196" s="28">
        <v>400</v>
      </c>
      <c r="W196" s="9">
        <v>170</v>
      </c>
      <c r="X196" s="9" t="s">
        <v>27</v>
      </c>
      <c r="AF196">
        <v>202</v>
      </c>
      <c r="AG196" t="s">
        <v>29</v>
      </c>
      <c r="AH196">
        <v>31690.94</v>
      </c>
      <c r="AI196" s="7">
        <v>45940</v>
      </c>
    </row>
    <row r="197" spans="1:35">
      <c r="A197">
        <v>209</v>
      </c>
      <c r="B197" t="str">
        <f t="shared" si="69"/>
        <v>EUR</v>
      </c>
      <c r="C197">
        <f t="shared" si="70"/>
        <v>2293.19</v>
      </c>
      <c r="D197">
        <f>C197*_xlfn.XLOOKUP(B197,AM:AM,AN:AN)</f>
        <v>2293.19</v>
      </c>
      <c r="E197">
        <f>C197*_xlfn.XLOOKUP(B197,AM:AM,AO:AO)</f>
        <v>2660.1003999999998</v>
      </c>
      <c r="F197">
        <v>2293.19</v>
      </c>
      <c r="G197">
        <f>F197*_xlfn.XLOOKUP(B197,AM:AM,AN:AN)</f>
        <v>2293.19</v>
      </c>
      <c r="H197">
        <f>F197*_xlfn.XLOOKUP(B197,AM:AM,AO:AO)</f>
        <v>2660.1003999999998</v>
      </c>
      <c r="I197">
        <f t="shared" si="71"/>
        <v>0</v>
      </c>
      <c r="J197">
        <f>I197*_xlfn.XLOOKUP(B197,AM:AM,AO:AO)</f>
        <v>0</v>
      </c>
      <c r="K197" s="7">
        <f t="shared" si="72"/>
        <v>45771</v>
      </c>
      <c r="L197" s="7">
        <f t="shared" si="73"/>
        <v>45741</v>
      </c>
      <c r="M197">
        <f t="shared" si="74"/>
        <v>3</v>
      </c>
      <c r="N197">
        <f t="shared" si="75"/>
        <v>2025</v>
      </c>
      <c r="Q197" s="22">
        <v>295</v>
      </c>
      <c r="R197" s="22">
        <v>180980.6</v>
      </c>
      <c r="S197" s="22" t="str">
        <f t="shared" si="76"/>
        <v>USD</v>
      </c>
      <c r="T197" s="22">
        <f t="shared" si="59"/>
        <v>180980.6</v>
      </c>
      <c r="U197" s="28">
        <v>400</v>
      </c>
      <c r="W197" s="9">
        <v>170</v>
      </c>
      <c r="X197" s="9" t="s">
        <v>27</v>
      </c>
      <c r="AF197">
        <v>203</v>
      </c>
      <c r="AG197" t="s">
        <v>29</v>
      </c>
      <c r="AH197">
        <v>4115.6400000000003</v>
      </c>
      <c r="AI197" s="7">
        <v>45798</v>
      </c>
    </row>
    <row r="198" spans="1:35">
      <c r="A198">
        <v>210</v>
      </c>
      <c r="B198" t="str">
        <f t="shared" si="69"/>
        <v>USD</v>
      </c>
      <c r="C198">
        <f t="shared" si="70"/>
        <v>20882.560000000001</v>
      </c>
      <c r="D198">
        <f>C198*_xlfn.XLOOKUP(B198,AM:AM,AN:AN)</f>
        <v>17959.0016</v>
      </c>
      <c r="E198">
        <f>C198*_xlfn.XLOOKUP(B198,AM:AM,AO:AO)</f>
        <v>20882.560000000001</v>
      </c>
      <c r="F198">
        <v>20883</v>
      </c>
      <c r="G198">
        <f>F198*_xlfn.XLOOKUP(B198,AM:AM,AN:AN)</f>
        <v>17959.38</v>
      </c>
      <c r="H198">
        <f>F198*_xlfn.XLOOKUP(B198,AM:AM,AO:AO)</f>
        <v>20883</v>
      </c>
      <c r="I198">
        <f t="shared" si="71"/>
        <v>-0.43999999999869033</v>
      </c>
      <c r="J198">
        <f>I198*_xlfn.XLOOKUP(B198,AM:AM,AO:AO)</f>
        <v>-0.43999999999869033</v>
      </c>
      <c r="K198" s="7">
        <f t="shared" si="72"/>
        <v>45758</v>
      </c>
      <c r="L198" s="7">
        <f t="shared" si="73"/>
        <v>45728</v>
      </c>
      <c r="M198">
        <f t="shared" si="74"/>
        <v>3</v>
      </c>
      <c r="N198">
        <f t="shared" si="75"/>
        <v>2025</v>
      </c>
      <c r="Q198" s="22">
        <v>296</v>
      </c>
      <c r="R198" s="22">
        <v>8544.02</v>
      </c>
      <c r="S198" s="22" t="str">
        <f t="shared" si="76"/>
        <v>USD</v>
      </c>
      <c r="T198" s="22">
        <f t="shared" si="59"/>
        <v>8544.02</v>
      </c>
      <c r="U198" s="28">
        <v>400</v>
      </c>
      <c r="W198" s="9">
        <v>170</v>
      </c>
      <c r="X198" s="9" t="s">
        <v>27</v>
      </c>
      <c r="AF198">
        <v>204</v>
      </c>
      <c r="AG198" t="s">
        <v>27</v>
      </c>
      <c r="AH198">
        <v>120965.81</v>
      </c>
      <c r="AI198" s="7">
        <v>45822</v>
      </c>
    </row>
    <row r="199" spans="1:35">
      <c r="A199">
        <v>211</v>
      </c>
      <c r="B199" t="str">
        <f t="shared" si="69"/>
        <v>USD</v>
      </c>
      <c r="C199">
        <f t="shared" si="70"/>
        <v>4088.2</v>
      </c>
      <c r="D199">
        <f>C199*_xlfn.XLOOKUP(B199,AM:AM,AN:AN)</f>
        <v>3515.8519999999999</v>
      </c>
      <c r="E199">
        <f>C199*_xlfn.XLOOKUP(B199,AM:AM,AO:AO)</f>
        <v>4088.2</v>
      </c>
      <c r="F199">
        <v>4088.2</v>
      </c>
      <c r="G199">
        <f>F199*_xlfn.XLOOKUP(B199,AM:AM,AN:AN)</f>
        <v>3515.8519999999999</v>
      </c>
      <c r="H199">
        <f>F199*_xlfn.XLOOKUP(B199,AM:AM,AO:AO)</f>
        <v>4088.2</v>
      </c>
      <c r="I199">
        <f t="shared" si="71"/>
        <v>0</v>
      </c>
      <c r="J199">
        <f>I199*_xlfn.XLOOKUP(B199,AM:AM,AO:AO)</f>
        <v>0</v>
      </c>
      <c r="K199" s="7">
        <f t="shared" si="72"/>
        <v>45719</v>
      </c>
      <c r="L199" s="7">
        <f t="shared" si="73"/>
        <v>45689</v>
      </c>
      <c r="M199">
        <f t="shared" si="74"/>
        <v>2</v>
      </c>
      <c r="N199">
        <f t="shared" si="75"/>
        <v>2025</v>
      </c>
      <c r="Q199" s="22">
        <v>297</v>
      </c>
      <c r="R199" s="22">
        <v>3967.34</v>
      </c>
      <c r="S199" s="22" t="str">
        <f t="shared" si="76"/>
        <v>USD</v>
      </c>
      <c r="T199" s="22">
        <f t="shared" si="59"/>
        <v>3967.34</v>
      </c>
      <c r="U199" s="28">
        <v>400</v>
      </c>
      <c r="W199" s="9">
        <v>170</v>
      </c>
      <c r="X199" s="9" t="s">
        <v>27</v>
      </c>
      <c r="AF199">
        <v>205</v>
      </c>
      <c r="AG199" t="s">
        <v>28</v>
      </c>
      <c r="AH199">
        <v>868193.33</v>
      </c>
      <c r="AI199" s="7">
        <v>45764</v>
      </c>
    </row>
    <row r="200" spans="1:35">
      <c r="A200">
        <v>213</v>
      </c>
      <c r="B200" t="str">
        <f t="shared" si="69"/>
        <v>USD</v>
      </c>
      <c r="C200">
        <f t="shared" si="70"/>
        <v>70</v>
      </c>
      <c r="D200">
        <f>C200*_xlfn.XLOOKUP(B200,AM:AM,AN:AN)</f>
        <v>60.199999999999996</v>
      </c>
      <c r="E200">
        <f>C200*_xlfn.XLOOKUP(B200,AM:AM,AO:AO)</f>
        <v>70</v>
      </c>
      <c r="F200">
        <v>19973.2</v>
      </c>
      <c r="G200">
        <f>F200*_xlfn.XLOOKUP(B200,AM:AM,AN:AN)</f>
        <v>17176.952000000001</v>
      </c>
      <c r="H200">
        <f>F200*_xlfn.XLOOKUP(B200,AM:AM,AO:AO)</f>
        <v>19973.2</v>
      </c>
      <c r="I200">
        <f t="shared" si="71"/>
        <v>0</v>
      </c>
      <c r="J200">
        <f>I200*_xlfn.XLOOKUP(B200,AM:AM,AO:AO)</f>
        <v>0</v>
      </c>
      <c r="K200" s="7">
        <f t="shared" si="72"/>
        <v>45765</v>
      </c>
      <c r="L200" s="7">
        <f t="shared" si="73"/>
        <v>45735</v>
      </c>
      <c r="M200">
        <f t="shared" si="74"/>
        <v>3</v>
      </c>
      <c r="N200">
        <f t="shared" si="75"/>
        <v>2025</v>
      </c>
      <c r="Q200" s="22">
        <v>298</v>
      </c>
      <c r="R200" s="22">
        <v>8244</v>
      </c>
      <c r="S200" s="22" t="str">
        <f t="shared" si="76"/>
        <v>USD</v>
      </c>
      <c r="T200" s="22">
        <f t="shared" si="59"/>
        <v>8244</v>
      </c>
      <c r="U200" s="28">
        <v>400</v>
      </c>
      <c r="W200" s="9">
        <v>170</v>
      </c>
      <c r="X200" s="9" t="s">
        <v>27</v>
      </c>
      <c r="AF200">
        <v>206</v>
      </c>
      <c r="AG200" t="s">
        <v>29</v>
      </c>
      <c r="AH200">
        <v>8210</v>
      </c>
      <c r="AI200" s="7">
        <v>45735</v>
      </c>
    </row>
    <row r="201" spans="1:35">
      <c r="A201">
        <v>214</v>
      </c>
      <c r="B201" t="str">
        <f t="shared" si="69"/>
        <v>USD</v>
      </c>
      <c r="C201">
        <f t="shared" si="70"/>
        <v>25656.01</v>
      </c>
      <c r="D201">
        <f>C201*_xlfn.XLOOKUP(B201,AM:AM,AN:AN)</f>
        <v>22064.168599999997</v>
      </c>
      <c r="E201">
        <f>C201*_xlfn.XLOOKUP(B201,AM:AM,AO:AO)</f>
        <v>25656.01</v>
      </c>
      <c r="F201">
        <v>27730.21</v>
      </c>
      <c r="G201">
        <f>F201*_xlfn.XLOOKUP(B201,AM:AM,AN:AN)</f>
        <v>23847.980599999999</v>
      </c>
      <c r="H201">
        <f>F201*_xlfn.XLOOKUP(B201,AM:AM,AO:AO)</f>
        <v>27730.21</v>
      </c>
      <c r="I201">
        <f t="shared" si="71"/>
        <v>-9.0949470177292824E-13</v>
      </c>
      <c r="J201">
        <f>I201*_xlfn.XLOOKUP(B201,AM:AM,AO:AO)</f>
        <v>-9.0949470177292824E-13</v>
      </c>
      <c r="K201" s="7">
        <f t="shared" si="72"/>
        <v>45767</v>
      </c>
      <c r="L201" s="7">
        <f t="shared" si="73"/>
        <v>45737</v>
      </c>
      <c r="M201">
        <f t="shared" si="74"/>
        <v>3</v>
      </c>
      <c r="N201">
        <f t="shared" si="75"/>
        <v>2025</v>
      </c>
      <c r="Q201" s="22">
        <v>299</v>
      </c>
      <c r="R201" s="22">
        <v>8185</v>
      </c>
      <c r="S201" s="22" t="str">
        <f t="shared" si="76"/>
        <v>EUR</v>
      </c>
      <c r="T201" s="22">
        <f t="shared" si="59"/>
        <v>9494.5999999999985</v>
      </c>
      <c r="U201" s="28">
        <v>400</v>
      </c>
      <c r="W201" s="9">
        <v>170</v>
      </c>
      <c r="X201" s="9" t="s">
        <v>27</v>
      </c>
      <c r="AF201">
        <v>207</v>
      </c>
      <c r="AG201" t="s">
        <v>29</v>
      </c>
      <c r="AH201">
        <v>4370.66</v>
      </c>
      <c r="AI201" s="7">
        <v>45832</v>
      </c>
    </row>
    <row r="202" spans="1:35">
      <c r="A202">
        <v>215</v>
      </c>
      <c r="B202" t="str">
        <f t="shared" si="69"/>
        <v>EUR</v>
      </c>
      <c r="C202">
        <f t="shared" si="70"/>
        <v>11192</v>
      </c>
      <c r="D202">
        <f>C202*_xlfn.XLOOKUP(B202,AM:AM,AN:AN)</f>
        <v>11192</v>
      </c>
      <c r="E202">
        <f>C202*_xlfn.XLOOKUP(B202,AM:AM,AO:AO)</f>
        <v>12982.72</v>
      </c>
      <c r="F202">
        <v>33148.04</v>
      </c>
      <c r="G202">
        <f>F202*_xlfn.XLOOKUP(B202,AM:AM,AN:AN)</f>
        <v>33148.04</v>
      </c>
      <c r="H202">
        <f>F202*_xlfn.XLOOKUP(B202,AM:AM,AO:AO)</f>
        <v>38451.7264</v>
      </c>
      <c r="I202">
        <f t="shared" si="71"/>
        <v>0</v>
      </c>
      <c r="J202">
        <f>I202*_xlfn.XLOOKUP(B202,AM:AM,AO:AO)</f>
        <v>0</v>
      </c>
      <c r="K202" s="7">
        <f t="shared" si="72"/>
        <v>45708</v>
      </c>
      <c r="L202" s="7">
        <f t="shared" si="73"/>
        <v>45678</v>
      </c>
      <c r="M202">
        <f t="shared" si="74"/>
        <v>1</v>
      </c>
      <c r="N202">
        <f t="shared" si="75"/>
        <v>2025</v>
      </c>
      <c r="Q202" s="22">
        <v>300</v>
      </c>
      <c r="R202" s="22">
        <v>48161.65</v>
      </c>
      <c r="S202" s="22" t="str">
        <f t="shared" si="76"/>
        <v>USD</v>
      </c>
      <c r="T202" s="22">
        <f t="shared" si="59"/>
        <v>48161.65</v>
      </c>
      <c r="U202" s="28">
        <v>400</v>
      </c>
      <c r="W202" s="9">
        <v>171</v>
      </c>
      <c r="X202" s="9" t="s">
        <v>29</v>
      </c>
      <c r="AF202">
        <v>208</v>
      </c>
      <c r="AG202" t="s">
        <v>29</v>
      </c>
      <c r="AH202">
        <v>4370.66</v>
      </c>
      <c r="AI202" s="7">
        <v>45832</v>
      </c>
    </row>
    <row r="203" spans="1:35">
      <c r="A203">
        <v>216</v>
      </c>
      <c r="B203" t="str">
        <f t="shared" si="69"/>
        <v>USD</v>
      </c>
      <c r="C203">
        <f t="shared" si="70"/>
        <v>0</v>
      </c>
      <c r="D203">
        <f>C203*_xlfn.XLOOKUP(B203,AM:AM,AN:AN)</f>
        <v>0</v>
      </c>
      <c r="E203">
        <f>C203*_xlfn.XLOOKUP(B203,AM:AM,AO:AO)</f>
        <v>0</v>
      </c>
      <c r="F203">
        <v>58328.6</v>
      </c>
      <c r="G203">
        <f>F203*_xlfn.XLOOKUP(B203,AM:AM,AN:AN)</f>
        <v>50162.595999999998</v>
      </c>
      <c r="H203">
        <f>F203*_xlfn.XLOOKUP(B203,AM:AM,AO:AO)</f>
        <v>58328.6</v>
      </c>
      <c r="I203">
        <f t="shared" si="71"/>
        <v>0</v>
      </c>
      <c r="J203">
        <f>I203*_xlfn.XLOOKUP(B203,AM:AM,AO:AO)</f>
        <v>0</v>
      </c>
      <c r="K203" s="7">
        <f t="shared" si="72"/>
        <v>45733</v>
      </c>
      <c r="L203" s="7">
        <f t="shared" si="73"/>
        <v>45703</v>
      </c>
      <c r="M203">
        <f t="shared" si="74"/>
        <v>2</v>
      </c>
      <c r="N203">
        <f t="shared" si="75"/>
        <v>2025</v>
      </c>
      <c r="Q203" s="22">
        <v>302</v>
      </c>
      <c r="R203" s="22">
        <v>10680.06</v>
      </c>
      <c r="S203" s="22" t="str">
        <f t="shared" si="76"/>
        <v>USD</v>
      </c>
      <c r="T203" s="22">
        <f t="shared" si="59"/>
        <v>10680.06</v>
      </c>
      <c r="U203" s="28">
        <v>400</v>
      </c>
      <c r="W203" s="9">
        <v>171</v>
      </c>
      <c r="X203" s="9" t="s">
        <v>29</v>
      </c>
      <c r="AF203">
        <v>209</v>
      </c>
      <c r="AG203" t="s">
        <v>27</v>
      </c>
      <c r="AH203">
        <v>2293.19</v>
      </c>
      <c r="AI203" s="7">
        <v>45771</v>
      </c>
    </row>
    <row r="204" spans="1:35">
      <c r="A204">
        <v>217</v>
      </c>
      <c r="B204" t="str">
        <f t="shared" si="69"/>
        <v>USD</v>
      </c>
      <c r="C204">
        <f t="shared" si="70"/>
        <v>0</v>
      </c>
      <c r="D204">
        <f>C204*_xlfn.XLOOKUP(B204,AM:AM,AN:AN)</f>
        <v>0</v>
      </c>
      <c r="E204">
        <f>C204*_xlfn.XLOOKUP(B204,AM:AM,AO:AO)</f>
        <v>0</v>
      </c>
      <c r="F204">
        <v>3574</v>
      </c>
      <c r="G204">
        <f>F204*_xlfn.XLOOKUP(B204,AM:AM,AN:AN)</f>
        <v>3073.64</v>
      </c>
      <c r="H204">
        <f>F204*_xlfn.XLOOKUP(B204,AM:AM,AO:AO)</f>
        <v>3574</v>
      </c>
      <c r="I204">
        <f t="shared" si="71"/>
        <v>0</v>
      </c>
      <c r="J204">
        <f>I204*_xlfn.XLOOKUP(B204,AM:AM,AO:AO)</f>
        <v>0</v>
      </c>
      <c r="K204" s="7">
        <f t="shared" si="72"/>
        <v>45743</v>
      </c>
      <c r="L204" s="7">
        <f t="shared" si="73"/>
        <v>45713</v>
      </c>
      <c r="M204">
        <f t="shared" si="74"/>
        <v>2</v>
      </c>
      <c r="N204">
        <f t="shared" si="75"/>
        <v>2025</v>
      </c>
      <c r="Q204" s="22">
        <v>305</v>
      </c>
      <c r="R204" s="22">
        <v>16692.39</v>
      </c>
      <c r="S204" s="22" t="str">
        <f t="shared" si="76"/>
        <v>USD</v>
      </c>
      <c r="T204" s="22">
        <f t="shared" si="59"/>
        <v>16692.39</v>
      </c>
      <c r="U204" s="28">
        <v>400</v>
      </c>
      <c r="W204" s="9">
        <v>171</v>
      </c>
      <c r="X204" s="9" t="s">
        <v>29</v>
      </c>
      <c r="AF204">
        <v>210</v>
      </c>
      <c r="AG204" t="s">
        <v>29</v>
      </c>
      <c r="AH204">
        <v>20882.560000000001</v>
      </c>
      <c r="AI204" s="7">
        <v>45758</v>
      </c>
    </row>
    <row r="205" spans="1:35">
      <c r="A205">
        <v>218</v>
      </c>
      <c r="B205" t="str">
        <f t="shared" si="69"/>
        <v>USD</v>
      </c>
      <c r="C205">
        <f t="shared" si="70"/>
        <v>83350</v>
      </c>
      <c r="D205">
        <f>C205*_xlfn.XLOOKUP(B205,AM:AM,AN:AN)</f>
        <v>71681</v>
      </c>
      <c r="E205">
        <f>C205*_xlfn.XLOOKUP(B205,AM:AM,AO:AO)</f>
        <v>83350</v>
      </c>
      <c r="F205">
        <v>90597.7</v>
      </c>
      <c r="G205">
        <f>F205*_xlfn.XLOOKUP(B205,AM:AM,AN:AN)</f>
        <v>77914.021999999997</v>
      </c>
      <c r="H205">
        <f>F205*_xlfn.XLOOKUP(B205,AM:AM,AO:AO)</f>
        <v>90597.7</v>
      </c>
      <c r="I205">
        <f t="shared" si="71"/>
        <v>2.7284841053187847E-12</v>
      </c>
      <c r="J205">
        <f>I205*_xlfn.XLOOKUP(B205,AM:AM,AO:AO)</f>
        <v>2.7284841053187847E-12</v>
      </c>
      <c r="K205" s="7">
        <f t="shared" si="72"/>
        <v>45865</v>
      </c>
      <c r="L205" s="7">
        <f t="shared" si="73"/>
        <v>45835</v>
      </c>
      <c r="M205">
        <f t="shared" si="74"/>
        <v>6</v>
      </c>
      <c r="N205">
        <f t="shared" si="75"/>
        <v>2025</v>
      </c>
      <c r="Q205" s="22">
        <v>306</v>
      </c>
      <c r="R205" s="22">
        <v>1965.5</v>
      </c>
      <c r="S205" s="22" t="str">
        <f t="shared" si="76"/>
        <v>USD</v>
      </c>
      <c r="T205" s="22">
        <f t="shared" si="59"/>
        <v>1965.5</v>
      </c>
      <c r="U205" s="28">
        <v>400</v>
      </c>
      <c r="W205" s="9">
        <v>172</v>
      </c>
      <c r="X205" s="9" t="s">
        <v>29</v>
      </c>
      <c r="AF205">
        <v>211</v>
      </c>
      <c r="AG205" t="s">
        <v>29</v>
      </c>
      <c r="AH205">
        <v>4088.2</v>
      </c>
      <c r="AI205" s="7">
        <v>45719</v>
      </c>
    </row>
    <row r="206" spans="1:35">
      <c r="A206">
        <v>219</v>
      </c>
      <c r="B206" t="str">
        <f t="shared" si="69"/>
        <v>EUR</v>
      </c>
      <c r="C206">
        <f t="shared" si="70"/>
        <v>0</v>
      </c>
      <c r="D206">
        <f>C206*_xlfn.XLOOKUP(B206,AM:AM,AN:AN)</f>
        <v>0</v>
      </c>
      <c r="E206">
        <f>C206*_xlfn.XLOOKUP(B206,AM:AM,AO:AO)</f>
        <v>0</v>
      </c>
      <c r="F206">
        <v>10185.200000000001</v>
      </c>
      <c r="G206">
        <f>F206*_xlfn.XLOOKUP(B206,AM:AM,AN:AN)</f>
        <v>10185.200000000001</v>
      </c>
      <c r="H206">
        <f>F206*_xlfn.XLOOKUP(B206,AM:AM,AO:AO)</f>
        <v>11814.832</v>
      </c>
      <c r="I206">
        <f t="shared" si="71"/>
        <v>0</v>
      </c>
      <c r="J206">
        <f>I206*_xlfn.XLOOKUP(B206,AM:AM,AO:AO)</f>
        <v>0</v>
      </c>
      <c r="K206" s="7">
        <f t="shared" si="72"/>
        <v>45813</v>
      </c>
      <c r="L206" s="7">
        <f t="shared" si="73"/>
        <v>45783</v>
      </c>
      <c r="M206">
        <f t="shared" si="74"/>
        <v>5</v>
      </c>
      <c r="N206">
        <f t="shared" si="75"/>
        <v>2025</v>
      </c>
      <c r="Q206" s="22">
        <v>307</v>
      </c>
      <c r="R206" s="22">
        <v>8076</v>
      </c>
      <c r="S206" s="22" t="str">
        <f t="shared" si="76"/>
        <v>USD</v>
      </c>
      <c r="T206" s="22">
        <f t="shared" si="59"/>
        <v>8076</v>
      </c>
      <c r="U206" s="28">
        <v>400</v>
      </c>
      <c r="W206" s="9">
        <v>172</v>
      </c>
      <c r="X206" s="9" t="s">
        <v>29</v>
      </c>
      <c r="AF206">
        <v>212</v>
      </c>
      <c r="AG206" t="s">
        <v>29</v>
      </c>
      <c r="AH206">
        <v>17326.09</v>
      </c>
      <c r="AI206" s="7">
        <v>45759</v>
      </c>
    </row>
    <row r="207" spans="1:35">
      <c r="A207">
        <v>220</v>
      </c>
      <c r="B207" t="str">
        <f t="shared" si="69"/>
        <v>EUR</v>
      </c>
      <c r="C207">
        <f t="shared" si="70"/>
        <v>0</v>
      </c>
      <c r="D207">
        <f>C207*_xlfn.XLOOKUP(B207,AM:AM,AN:AN)</f>
        <v>0</v>
      </c>
      <c r="E207">
        <f>C207*_xlfn.XLOOKUP(B207,AM:AM,AO:AO)</f>
        <v>0</v>
      </c>
      <c r="F207">
        <v>9173.7000000000007</v>
      </c>
      <c r="G207">
        <f>F207*_xlfn.XLOOKUP(B207,AM:AM,AN:AN)</f>
        <v>9173.7000000000007</v>
      </c>
      <c r="H207">
        <f>F207*_xlfn.XLOOKUP(B207,AM:AM,AO:AO)</f>
        <v>10641.492</v>
      </c>
      <c r="I207">
        <f t="shared" si="71"/>
        <v>0</v>
      </c>
      <c r="J207">
        <f>I207*_xlfn.XLOOKUP(B207,AM:AM,AO:AO)</f>
        <v>0</v>
      </c>
      <c r="K207" s="7">
        <f t="shared" si="72"/>
        <v>45777</v>
      </c>
      <c r="L207" s="7">
        <f t="shared" si="73"/>
        <v>45747</v>
      </c>
      <c r="M207">
        <f t="shared" si="74"/>
        <v>3</v>
      </c>
      <c r="N207">
        <f t="shared" si="75"/>
        <v>2025</v>
      </c>
      <c r="Q207" s="22">
        <v>308</v>
      </c>
      <c r="R207" s="22">
        <v>1869.15</v>
      </c>
      <c r="S207" s="22" t="str">
        <f t="shared" si="76"/>
        <v>USD</v>
      </c>
      <c r="T207" s="22">
        <f t="shared" si="59"/>
        <v>1869.15</v>
      </c>
      <c r="U207" s="28">
        <v>400</v>
      </c>
      <c r="W207" s="9">
        <v>172</v>
      </c>
      <c r="X207" s="9" t="s">
        <v>29</v>
      </c>
      <c r="AF207">
        <v>213</v>
      </c>
      <c r="AG207" t="s">
        <v>29</v>
      </c>
      <c r="AH207">
        <v>19973.2</v>
      </c>
      <c r="AI207" s="7">
        <v>45765</v>
      </c>
    </row>
    <row r="208" spans="1:35">
      <c r="A208">
        <v>221</v>
      </c>
      <c r="B208" t="str">
        <f t="shared" si="69"/>
        <v>USD</v>
      </c>
      <c r="C208">
        <f t="shared" si="70"/>
        <v>23018</v>
      </c>
      <c r="D208">
        <f>C208*_xlfn.XLOOKUP(B208,AM:AM,AN:AN)</f>
        <v>19795.48</v>
      </c>
      <c r="E208">
        <f>C208*_xlfn.XLOOKUP(B208,AM:AM,AO:AO)</f>
        <v>23018</v>
      </c>
      <c r="F208">
        <v>23018</v>
      </c>
      <c r="G208">
        <f>F208*_xlfn.XLOOKUP(B208,AM:AM,AN:AN)</f>
        <v>19795.48</v>
      </c>
      <c r="H208">
        <f>F208*_xlfn.XLOOKUP(B208,AM:AM,AO:AO)</f>
        <v>23018</v>
      </c>
      <c r="I208">
        <f t="shared" si="71"/>
        <v>0</v>
      </c>
      <c r="J208">
        <f>I208*_xlfn.XLOOKUP(B208,AM:AM,AO:AO)</f>
        <v>0</v>
      </c>
      <c r="K208" s="7">
        <f t="shared" si="72"/>
        <v>45837</v>
      </c>
      <c r="L208" s="7">
        <f t="shared" si="73"/>
        <v>45807</v>
      </c>
      <c r="M208">
        <f t="shared" si="74"/>
        <v>5</v>
      </c>
      <c r="N208">
        <f t="shared" si="75"/>
        <v>2025</v>
      </c>
      <c r="Q208" s="22">
        <v>309</v>
      </c>
      <c r="R208" s="22">
        <v>9101.25</v>
      </c>
      <c r="S208" s="22" t="str">
        <f t="shared" si="76"/>
        <v>USD</v>
      </c>
      <c r="T208" s="22">
        <f t="shared" si="59"/>
        <v>9101.25</v>
      </c>
      <c r="U208" s="28">
        <v>400</v>
      </c>
      <c r="W208" s="9">
        <v>173</v>
      </c>
      <c r="X208" s="9" t="s">
        <v>29</v>
      </c>
      <c r="AF208">
        <v>214</v>
      </c>
      <c r="AG208" t="s">
        <v>29</v>
      </c>
      <c r="AH208">
        <v>27730.21</v>
      </c>
      <c r="AI208" s="7">
        <v>45767</v>
      </c>
    </row>
    <row r="209" spans="1:35">
      <c r="A209">
        <v>222</v>
      </c>
      <c r="B209" t="str">
        <f t="shared" si="69"/>
        <v>USD</v>
      </c>
      <c r="C209">
        <f t="shared" si="70"/>
        <v>0</v>
      </c>
      <c r="D209">
        <f>C209*_xlfn.XLOOKUP(B209,AM:AM,AN:AN)</f>
        <v>0</v>
      </c>
      <c r="E209">
        <f>C209*_xlfn.XLOOKUP(B209,AM:AM,AO:AO)</f>
        <v>0</v>
      </c>
      <c r="F209">
        <v>84169.55</v>
      </c>
      <c r="G209">
        <f>F209*_xlfn.XLOOKUP(B209,AM:AM,AN:AN)</f>
        <v>72385.812999999995</v>
      </c>
      <c r="H209">
        <f>F209*_xlfn.XLOOKUP(B209,AM:AM,AO:AO)</f>
        <v>84169.55</v>
      </c>
      <c r="I209">
        <f t="shared" si="71"/>
        <v>0</v>
      </c>
      <c r="J209">
        <f>I209*_xlfn.XLOOKUP(B209,AM:AM,AO:AO)</f>
        <v>0</v>
      </c>
      <c r="K209" s="7">
        <f t="shared" si="72"/>
        <v>45853</v>
      </c>
      <c r="L209" s="7">
        <f t="shared" si="73"/>
        <v>45823</v>
      </c>
      <c r="M209">
        <f t="shared" si="74"/>
        <v>6</v>
      </c>
      <c r="N209">
        <f t="shared" si="75"/>
        <v>2025</v>
      </c>
      <c r="Q209" s="22">
        <v>312</v>
      </c>
      <c r="R209" s="22">
        <v>1196</v>
      </c>
      <c r="S209" s="22" t="str">
        <f t="shared" si="76"/>
        <v>USD</v>
      </c>
      <c r="T209" s="22">
        <f t="shared" si="59"/>
        <v>1196</v>
      </c>
      <c r="U209" s="28">
        <v>400</v>
      </c>
      <c r="W209" s="9">
        <v>173</v>
      </c>
      <c r="X209" s="9" t="s">
        <v>29</v>
      </c>
      <c r="AF209">
        <v>215</v>
      </c>
      <c r="AG209" t="s">
        <v>27</v>
      </c>
      <c r="AH209">
        <v>33148.04</v>
      </c>
      <c r="AI209" s="7">
        <v>45708</v>
      </c>
    </row>
    <row r="210" spans="1:35">
      <c r="A210">
        <v>223</v>
      </c>
      <c r="B210" t="str">
        <f t="shared" si="69"/>
        <v>USD</v>
      </c>
      <c r="C210">
        <f t="shared" si="70"/>
        <v>0</v>
      </c>
      <c r="D210">
        <f>C210*_xlfn.XLOOKUP(B210,AM:AM,AN:AN)</f>
        <v>0</v>
      </c>
      <c r="E210">
        <f>C210*_xlfn.XLOOKUP(B210,AM:AM,AO:AO)</f>
        <v>0</v>
      </c>
      <c r="F210">
        <v>12539.51</v>
      </c>
      <c r="G210">
        <f>F210*_xlfn.XLOOKUP(B210,AM:AM,AN:AN)</f>
        <v>10783.9786</v>
      </c>
      <c r="H210">
        <f>F210*_xlfn.XLOOKUP(B210,AM:AM,AO:AO)</f>
        <v>12539.51</v>
      </c>
      <c r="I210">
        <f t="shared" si="71"/>
        <v>0</v>
      </c>
      <c r="J210">
        <f>I210*_xlfn.XLOOKUP(B210,AM:AM,AO:AO)</f>
        <v>0</v>
      </c>
      <c r="K210" s="7">
        <f t="shared" si="72"/>
        <v>45768</v>
      </c>
      <c r="L210" s="7">
        <f t="shared" si="73"/>
        <v>45738</v>
      </c>
      <c r="M210">
        <f t="shared" si="74"/>
        <v>3</v>
      </c>
      <c r="N210">
        <f t="shared" si="75"/>
        <v>2025</v>
      </c>
      <c r="Q210" s="22">
        <v>313</v>
      </c>
      <c r="R210" s="22">
        <v>259.64999999999998</v>
      </c>
      <c r="S210" s="22" t="str">
        <f t="shared" si="76"/>
        <v>USD</v>
      </c>
      <c r="T210" s="22">
        <f t="shared" ref="T210:T273" si="77">R210*_xlfn.XLOOKUP(S210,AM:AM,AO:AO)</f>
        <v>259.64999999999998</v>
      </c>
      <c r="U210" s="28">
        <v>400</v>
      </c>
      <c r="W210" s="9">
        <v>173</v>
      </c>
      <c r="X210" s="9" t="s">
        <v>29</v>
      </c>
      <c r="AF210">
        <v>216</v>
      </c>
      <c r="AG210" t="s">
        <v>29</v>
      </c>
      <c r="AH210">
        <v>58328.6</v>
      </c>
      <c r="AI210" s="7">
        <v>45733</v>
      </c>
    </row>
    <row r="211" spans="1:35">
      <c r="A211">
        <v>225</v>
      </c>
      <c r="B211" t="str">
        <f t="shared" si="69"/>
        <v>EUR</v>
      </c>
      <c r="C211">
        <f t="shared" si="70"/>
        <v>1912.84</v>
      </c>
      <c r="D211">
        <f>C211*_xlfn.XLOOKUP(B211,AM:AM,AN:AN)</f>
        <v>1912.84</v>
      </c>
      <c r="E211">
        <f>C211*_xlfn.XLOOKUP(B211,AM:AM,AO:AO)</f>
        <v>2218.8943999999997</v>
      </c>
      <c r="F211">
        <v>1912.84</v>
      </c>
      <c r="G211">
        <f>F211*_xlfn.XLOOKUP(B211,AM:AM,AN:AN)</f>
        <v>1912.84</v>
      </c>
      <c r="H211">
        <f>F211*_xlfn.XLOOKUP(B211,AM:AM,AO:AO)</f>
        <v>2218.8943999999997</v>
      </c>
      <c r="I211">
        <f t="shared" si="71"/>
        <v>0</v>
      </c>
      <c r="J211">
        <f>I211*_xlfn.XLOOKUP(B211,AM:AM,AO:AO)</f>
        <v>0</v>
      </c>
      <c r="K211" s="7">
        <f t="shared" si="72"/>
        <v>45764</v>
      </c>
      <c r="L211" s="7">
        <f t="shared" si="73"/>
        <v>45734</v>
      </c>
      <c r="M211">
        <f t="shared" si="74"/>
        <v>3</v>
      </c>
      <c r="N211">
        <f t="shared" si="75"/>
        <v>2025</v>
      </c>
      <c r="Q211" s="22">
        <v>314</v>
      </c>
      <c r="R211" s="22">
        <v>1029.26</v>
      </c>
      <c r="S211" s="22" t="str">
        <f t="shared" si="76"/>
        <v>USD</v>
      </c>
      <c r="T211" s="22">
        <f t="shared" si="77"/>
        <v>1029.26</v>
      </c>
      <c r="U211" s="28">
        <v>400</v>
      </c>
      <c r="W211" s="9">
        <v>173</v>
      </c>
      <c r="X211" s="9" t="s">
        <v>29</v>
      </c>
      <c r="AF211">
        <v>217</v>
      </c>
      <c r="AG211" t="s">
        <v>29</v>
      </c>
      <c r="AH211">
        <v>3574</v>
      </c>
      <c r="AI211" s="7">
        <v>45743</v>
      </c>
    </row>
    <row r="212" spans="1:35">
      <c r="A212">
        <v>226</v>
      </c>
      <c r="B212" t="str">
        <f t="shared" si="69"/>
        <v>USD</v>
      </c>
      <c r="C212">
        <f t="shared" si="70"/>
        <v>28791.710000000003</v>
      </c>
      <c r="D212">
        <f>C212*_xlfn.XLOOKUP(B212,AM:AM,AN:AN)</f>
        <v>24760.870600000002</v>
      </c>
      <c r="E212">
        <f>C212*_xlfn.XLOOKUP(B212,AM:AM,AO:AO)</f>
        <v>28791.710000000003</v>
      </c>
      <c r="F212">
        <v>15903.93</v>
      </c>
      <c r="G212">
        <f>F212*_xlfn.XLOOKUP(B212,AM:AM,AN:AN)</f>
        <v>13677.379800000001</v>
      </c>
      <c r="H212">
        <f>F212*_xlfn.XLOOKUP(B212,AM:AM,AO:AO)</f>
        <v>15903.93</v>
      </c>
      <c r="I212">
        <f t="shared" si="71"/>
        <v>0</v>
      </c>
      <c r="J212">
        <f>I212*_xlfn.XLOOKUP(B212,AM:AM,AO:AO)</f>
        <v>0</v>
      </c>
      <c r="K212" s="7">
        <f t="shared" si="72"/>
        <v>45825</v>
      </c>
      <c r="L212" s="7">
        <f t="shared" si="73"/>
        <v>45795</v>
      </c>
      <c r="M212">
        <f t="shared" si="74"/>
        <v>5</v>
      </c>
      <c r="N212">
        <f t="shared" si="75"/>
        <v>2025</v>
      </c>
      <c r="Q212" s="22">
        <v>315</v>
      </c>
      <c r="R212" s="22">
        <v>769.8</v>
      </c>
      <c r="S212" s="22" t="str">
        <f t="shared" si="76"/>
        <v>USD</v>
      </c>
      <c r="T212" s="22">
        <f t="shared" si="77"/>
        <v>769.8</v>
      </c>
      <c r="U212" s="28">
        <v>400</v>
      </c>
      <c r="W212" s="9">
        <v>173</v>
      </c>
      <c r="X212" s="9" t="s">
        <v>29</v>
      </c>
      <c r="AF212">
        <v>218</v>
      </c>
      <c r="AG212" t="s">
        <v>29</v>
      </c>
      <c r="AH212">
        <v>90597.7</v>
      </c>
      <c r="AI212" s="7">
        <v>45865</v>
      </c>
    </row>
    <row r="213" spans="1:35">
      <c r="A213">
        <v>227</v>
      </c>
      <c r="B213" t="str">
        <f t="shared" si="69"/>
        <v>USD</v>
      </c>
      <c r="C213">
        <f t="shared" si="70"/>
        <v>0</v>
      </c>
      <c r="D213">
        <f>C213*_xlfn.XLOOKUP(B213,AM:AM,AN:AN)</f>
        <v>0</v>
      </c>
      <c r="E213">
        <f>C213*_xlfn.XLOOKUP(B213,AM:AM,AO:AO)</f>
        <v>0</v>
      </c>
      <c r="F213">
        <v>1822.35</v>
      </c>
      <c r="G213">
        <f>F213*_xlfn.XLOOKUP(B213,AM:AM,AN:AN)</f>
        <v>1567.221</v>
      </c>
      <c r="H213">
        <f>F213*_xlfn.XLOOKUP(B213,AM:AM,AO:AO)</f>
        <v>1822.35</v>
      </c>
      <c r="I213">
        <f t="shared" si="71"/>
        <v>0</v>
      </c>
      <c r="J213">
        <f>I213*_xlfn.XLOOKUP(B213,AM:AM,AO:AO)</f>
        <v>0</v>
      </c>
      <c r="K213" s="7">
        <f t="shared" si="72"/>
        <v>45824</v>
      </c>
      <c r="L213" s="7">
        <f t="shared" si="73"/>
        <v>45794</v>
      </c>
      <c r="M213">
        <f t="shared" si="74"/>
        <v>5</v>
      </c>
      <c r="N213">
        <f t="shared" si="75"/>
        <v>2025</v>
      </c>
      <c r="Q213" s="22">
        <v>317</v>
      </c>
      <c r="R213" s="22">
        <v>695.8</v>
      </c>
      <c r="S213" s="22" t="str">
        <f t="shared" si="76"/>
        <v>USD</v>
      </c>
      <c r="T213" s="22">
        <f t="shared" si="77"/>
        <v>695.8</v>
      </c>
      <c r="U213" s="28">
        <v>400</v>
      </c>
      <c r="W213" s="9">
        <v>176</v>
      </c>
      <c r="X213" s="9" t="s">
        <v>29</v>
      </c>
      <c r="AF213">
        <v>219</v>
      </c>
      <c r="AG213" t="s">
        <v>27</v>
      </c>
      <c r="AH213">
        <v>10185.200000000001</v>
      </c>
      <c r="AI213" s="7">
        <v>45813</v>
      </c>
    </row>
    <row r="214" spans="1:35">
      <c r="A214">
        <v>228</v>
      </c>
      <c r="B214" t="str">
        <f t="shared" si="69"/>
        <v>USD</v>
      </c>
      <c r="C214">
        <f t="shared" si="70"/>
        <v>24578</v>
      </c>
      <c r="D214">
        <f>C214*_xlfn.XLOOKUP(B214,AM:AM,AN:AN)</f>
        <v>21137.079999999998</v>
      </c>
      <c r="E214">
        <f>C214*_xlfn.XLOOKUP(B214,AM:AM,AO:AO)</f>
        <v>24578</v>
      </c>
      <c r="F214">
        <v>31520</v>
      </c>
      <c r="G214">
        <f>F214*_xlfn.XLOOKUP(B214,AM:AM,AN:AN)</f>
        <v>27107.200000000001</v>
      </c>
      <c r="H214">
        <f>F214*_xlfn.XLOOKUP(B214,AM:AM,AO:AO)</f>
        <v>31520</v>
      </c>
      <c r="I214">
        <f t="shared" si="71"/>
        <v>0</v>
      </c>
      <c r="J214">
        <f>I214*_xlfn.XLOOKUP(B214,AM:AM,AO:AO)</f>
        <v>0</v>
      </c>
      <c r="K214" s="7">
        <f t="shared" si="72"/>
        <v>45761</v>
      </c>
      <c r="L214" s="7">
        <f t="shared" si="73"/>
        <v>45731</v>
      </c>
      <c r="M214">
        <f t="shared" si="74"/>
        <v>3</v>
      </c>
      <c r="N214">
        <f t="shared" si="75"/>
        <v>2025</v>
      </c>
      <c r="Q214" s="22">
        <v>318</v>
      </c>
      <c r="R214" s="22">
        <v>379</v>
      </c>
      <c r="S214" s="22" t="str">
        <f t="shared" si="76"/>
        <v>USD</v>
      </c>
      <c r="T214" s="22">
        <f t="shared" si="77"/>
        <v>379</v>
      </c>
      <c r="U214" s="28">
        <v>400</v>
      </c>
      <c r="W214" s="9">
        <v>179</v>
      </c>
      <c r="X214" s="9" t="s">
        <v>29</v>
      </c>
      <c r="AF214">
        <v>220</v>
      </c>
      <c r="AG214" t="s">
        <v>27</v>
      </c>
      <c r="AH214">
        <v>9173.7000000000007</v>
      </c>
      <c r="AI214" s="7">
        <v>45777</v>
      </c>
    </row>
    <row r="215" spans="1:35">
      <c r="A215">
        <v>229</v>
      </c>
      <c r="B215" t="str">
        <f t="shared" si="69"/>
        <v>USD</v>
      </c>
      <c r="C215">
        <f t="shared" si="70"/>
        <v>210</v>
      </c>
      <c r="D215">
        <f>C215*_xlfn.XLOOKUP(B215,AM:AM,AN:AN)</f>
        <v>180.6</v>
      </c>
      <c r="E215">
        <f>C215*_xlfn.XLOOKUP(B215,AM:AM,AO:AO)</f>
        <v>210</v>
      </c>
      <c r="F215">
        <v>20656.189999999999</v>
      </c>
      <c r="G215">
        <f>F215*_xlfn.XLOOKUP(B215,AM:AM,AN:AN)</f>
        <v>17764.323399999997</v>
      </c>
      <c r="H215">
        <f>F215*_xlfn.XLOOKUP(B215,AM:AM,AO:AO)</f>
        <v>20656.189999999999</v>
      </c>
      <c r="I215">
        <f t="shared" si="71"/>
        <v>0</v>
      </c>
      <c r="J215">
        <f>I215*_xlfn.XLOOKUP(B215,AM:AM,AO:AO)</f>
        <v>0</v>
      </c>
      <c r="K215" s="7">
        <f t="shared" si="72"/>
        <v>45903</v>
      </c>
      <c r="L215" s="7">
        <f t="shared" si="73"/>
        <v>45873</v>
      </c>
      <c r="M215">
        <f t="shared" si="74"/>
        <v>8</v>
      </c>
      <c r="N215">
        <f t="shared" si="75"/>
        <v>2025</v>
      </c>
      <c r="Q215" s="22">
        <v>319</v>
      </c>
      <c r="R215" s="22">
        <v>866.4</v>
      </c>
      <c r="S215" s="22" t="str">
        <f t="shared" si="76"/>
        <v>USD</v>
      </c>
      <c r="T215" s="22">
        <f t="shared" si="77"/>
        <v>866.4</v>
      </c>
      <c r="U215" s="28">
        <v>400</v>
      </c>
      <c r="W215" s="9">
        <v>180</v>
      </c>
      <c r="X215" s="9" t="s">
        <v>29</v>
      </c>
      <c r="AF215">
        <v>221</v>
      </c>
      <c r="AG215" t="s">
        <v>29</v>
      </c>
      <c r="AH215">
        <v>23018</v>
      </c>
      <c r="AI215" s="7">
        <v>45837</v>
      </c>
    </row>
    <row r="216" spans="1:35">
      <c r="A216">
        <v>232</v>
      </c>
      <c r="B216" t="str">
        <f t="shared" si="69"/>
        <v>MXN</v>
      </c>
      <c r="C216">
        <f t="shared" si="70"/>
        <v>0</v>
      </c>
      <c r="D216">
        <f>C216*_xlfn.XLOOKUP(B216,AM:AM,AN:AN)</f>
        <v>0</v>
      </c>
      <c r="E216">
        <f>C216*_xlfn.XLOOKUP(B216,AM:AM,AO:AO)</f>
        <v>0</v>
      </c>
      <c r="F216">
        <v>51558.95</v>
      </c>
      <c r="G216">
        <f>F216*_xlfn.XLOOKUP(B216,AM:AM,AN:AN)</f>
        <v>2474.8296</v>
      </c>
      <c r="H216">
        <f>F216*_xlfn.XLOOKUP(B216,AM:AM,AO:AO)</f>
        <v>2887.3011999999999</v>
      </c>
      <c r="I216">
        <f t="shared" si="71"/>
        <v>0</v>
      </c>
      <c r="J216">
        <f>I216*_xlfn.XLOOKUP(B216,AM:AM,AO:AO)</f>
        <v>0</v>
      </c>
      <c r="K216" s="7">
        <f t="shared" si="72"/>
        <v>45713</v>
      </c>
      <c r="L216" s="7">
        <f t="shared" si="73"/>
        <v>45683</v>
      </c>
      <c r="M216">
        <f t="shared" si="74"/>
        <v>1</v>
      </c>
      <c r="N216">
        <f t="shared" si="75"/>
        <v>2025</v>
      </c>
      <c r="Q216" s="22">
        <v>320</v>
      </c>
      <c r="R216" s="22">
        <v>1916</v>
      </c>
      <c r="S216" s="22" t="str">
        <f t="shared" si="76"/>
        <v>USD</v>
      </c>
      <c r="T216" s="22">
        <f t="shared" si="77"/>
        <v>1916</v>
      </c>
      <c r="U216" s="28">
        <v>400</v>
      </c>
      <c r="W216" s="9">
        <v>181</v>
      </c>
      <c r="X216" s="9" t="s">
        <v>29</v>
      </c>
      <c r="AF216">
        <v>222</v>
      </c>
      <c r="AG216" t="s">
        <v>29</v>
      </c>
      <c r="AH216">
        <v>84169.55</v>
      </c>
      <c r="AI216" s="7">
        <v>45853</v>
      </c>
    </row>
    <row r="217" spans="1:35">
      <c r="A217">
        <v>235</v>
      </c>
      <c r="B217" t="str">
        <f t="shared" si="69"/>
        <v>USD</v>
      </c>
      <c r="C217">
        <f t="shared" si="70"/>
        <v>0</v>
      </c>
      <c r="D217">
        <f>C217*_xlfn.XLOOKUP(B217,AM:AM,AN:AN)</f>
        <v>0</v>
      </c>
      <c r="E217">
        <f>C217*_xlfn.XLOOKUP(B217,AM:AM,AO:AO)</f>
        <v>0</v>
      </c>
      <c r="F217">
        <v>2120.8000000000002</v>
      </c>
      <c r="G217">
        <f>F217*_xlfn.XLOOKUP(B217,AM:AM,AN:AN)</f>
        <v>1823.8880000000001</v>
      </c>
      <c r="H217">
        <f>F217*_xlfn.XLOOKUP(B217,AM:AM,AO:AO)</f>
        <v>2120.8000000000002</v>
      </c>
      <c r="I217">
        <f t="shared" si="71"/>
        <v>0</v>
      </c>
      <c r="J217">
        <f>I217*_xlfn.XLOOKUP(B217,AM:AM,AO:AO)</f>
        <v>0</v>
      </c>
      <c r="K217" s="7">
        <f t="shared" si="72"/>
        <v>45708</v>
      </c>
      <c r="L217" s="7">
        <f t="shared" si="73"/>
        <v>45678</v>
      </c>
      <c r="M217">
        <f t="shared" si="74"/>
        <v>1</v>
      </c>
      <c r="N217">
        <f t="shared" si="75"/>
        <v>2025</v>
      </c>
      <c r="Q217" s="22">
        <v>321</v>
      </c>
      <c r="R217" s="22">
        <v>261.60000000000002</v>
      </c>
      <c r="S217" s="22" t="str">
        <f t="shared" si="76"/>
        <v>USD</v>
      </c>
      <c r="T217" s="22">
        <f t="shared" si="77"/>
        <v>261.60000000000002</v>
      </c>
      <c r="U217" s="28">
        <v>400</v>
      </c>
      <c r="W217" s="9">
        <v>185</v>
      </c>
      <c r="X217" s="9" t="s">
        <v>29</v>
      </c>
      <c r="AF217">
        <v>223</v>
      </c>
      <c r="AG217" t="s">
        <v>29</v>
      </c>
      <c r="AH217">
        <v>12539.51</v>
      </c>
      <c r="AI217" s="7">
        <v>45768</v>
      </c>
    </row>
    <row r="218" spans="1:35">
      <c r="A218">
        <v>236</v>
      </c>
      <c r="B218" t="str">
        <f t="shared" si="69"/>
        <v>USD</v>
      </c>
      <c r="C218">
        <f t="shared" si="70"/>
        <v>0</v>
      </c>
      <c r="D218">
        <f>C218*_xlfn.XLOOKUP(B218,AM:AM,AN:AN)</f>
        <v>0</v>
      </c>
      <c r="E218">
        <f>C218*_xlfn.XLOOKUP(B218,AM:AM,AO:AO)</f>
        <v>0</v>
      </c>
      <c r="F218">
        <v>13318.8</v>
      </c>
      <c r="G218">
        <f>F218*_xlfn.XLOOKUP(B218,AM:AM,AN:AN)</f>
        <v>11454.168</v>
      </c>
      <c r="H218">
        <f>F218*_xlfn.XLOOKUP(B218,AM:AM,AO:AO)</f>
        <v>13318.8</v>
      </c>
      <c r="I218">
        <f t="shared" si="71"/>
        <v>0</v>
      </c>
      <c r="J218">
        <f>I218*_xlfn.XLOOKUP(B218,AM:AM,AO:AO)</f>
        <v>0</v>
      </c>
      <c r="K218" s="7">
        <f t="shared" si="72"/>
        <v>45659</v>
      </c>
      <c r="L218" s="7">
        <f t="shared" si="73"/>
        <v>45629</v>
      </c>
      <c r="M218">
        <f t="shared" si="74"/>
        <v>12</v>
      </c>
      <c r="N218">
        <f t="shared" si="75"/>
        <v>2024</v>
      </c>
      <c r="Q218" s="22">
        <v>322</v>
      </c>
      <c r="R218" s="22">
        <v>1401</v>
      </c>
      <c r="S218" s="22" t="str">
        <f t="shared" si="76"/>
        <v>USD</v>
      </c>
      <c r="T218" s="22">
        <f t="shared" si="77"/>
        <v>1401</v>
      </c>
      <c r="U218" s="28">
        <v>400</v>
      </c>
      <c r="W218" s="9">
        <v>187</v>
      </c>
      <c r="X218" s="9" t="s">
        <v>29</v>
      </c>
      <c r="AF218">
        <v>225</v>
      </c>
      <c r="AG218" t="s">
        <v>27</v>
      </c>
      <c r="AH218">
        <v>1912.84</v>
      </c>
      <c r="AI218" s="7">
        <v>45764</v>
      </c>
    </row>
    <row r="219" spans="1:35">
      <c r="A219">
        <v>237</v>
      </c>
      <c r="B219" t="str">
        <f t="shared" si="69"/>
        <v>EUR</v>
      </c>
      <c r="C219">
        <f t="shared" si="70"/>
        <v>0</v>
      </c>
      <c r="D219">
        <f>C219*_xlfn.XLOOKUP(B219,AM:AM,AN:AN)</f>
        <v>0</v>
      </c>
      <c r="E219">
        <f>C219*_xlfn.XLOOKUP(B219,AM:AM,AO:AO)</f>
        <v>0</v>
      </c>
      <c r="F219">
        <v>4100</v>
      </c>
      <c r="G219">
        <f>F219*_xlfn.XLOOKUP(B219,AM:AM,AN:AN)</f>
        <v>4100</v>
      </c>
      <c r="H219">
        <f>F219*_xlfn.XLOOKUP(B219,AM:AM,AO:AO)</f>
        <v>4756</v>
      </c>
      <c r="I219">
        <f t="shared" si="71"/>
        <v>0</v>
      </c>
      <c r="J219">
        <f>I219*_xlfn.XLOOKUP(B219,AM:AM,AO:AO)</f>
        <v>0</v>
      </c>
      <c r="K219" s="7">
        <f t="shared" si="72"/>
        <v>45697</v>
      </c>
      <c r="L219" s="7">
        <f t="shared" si="73"/>
        <v>45667</v>
      </c>
      <c r="M219">
        <f t="shared" si="74"/>
        <v>1</v>
      </c>
      <c r="N219">
        <f t="shared" si="75"/>
        <v>2025</v>
      </c>
      <c r="Q219" s="22">
        <v>323</v>
      </c>
      <c r="R219" s="22">
        <v>59530</v>
      </c>
      <c r="S219" s="22" t="str">
        <f t="shared" si="76"/>
        <v>MXN</v>
      </c>
      <c r="T219" s="22">
        <f t="shared" si="77"/>
        <v>3333.6800000000003</v>
      </c>
      <c r="U219" s="28">
        <v>400</v>
      </c>
      <c r="W219" s="9">
        <v>187</v>
      </c>
      <c r="X219" s="9" t="s">
        <v>29</v>
      </c>
      <c r="AF219">
        <v>226</v>
      </c>
      <c r="AG219" t="s">
        <v>29</v>
      </c>
      <c r="AH219">
        <v>30570.31</v>
      </c>
      <c r="AI219" s="7">
        <v>45825</v>
      </c>
    </row>
    <row r="220" spans="1:35">
      <c r="A220">
        <v>238</v>
      </c>
      <c r="B220" t="str">
        <f t="shared" si="69"/>
        <v>USD</v>
      </c>
      <c r="C220">
        <f t="shared" si="70"/>
        <v>139.9999999999709</v>
      </c>
      <c r="D220">
        <f>C220*_xlfn.XLOOKUP(B220,AM:AM,AN:AN)</f>
        <v>120.39999999997497</v>
      </c>
      <c r="E220">
        <f>C220*_xlfn.XLOOKUP(B220,AM:AM,AO:AO)</f>
        <v>139.9999999999709</v>
      </c>
      <c r="F220">
        <v>133523.04999999999</v>
      </c>
      <c r="G220">
        <f>F220*_xlfn.XLOOKUP(B220,AM:AM,AN:AN)</f>
        <v>114829.82299999999</v>
      </c>
      <c r="H220">
        <f>F220*_xlfn.XLOOKUP(B220,AM:AM,AO:AO)</f>
        <v>133523.04999999999</v>
      </c>
      <c r="I220">
        <f t="shared" si="71"/>
        <v>0</v>
      </c>
      <c r="J220">
        <f>I220*_xlfn.XLOOKUP(B220,AM:AM,AO:AO)</f>
        <v>0</v>
      </c>
      <c r="K220" s="7">
        <f t="shared" si="72"/>
        <v>45856</v>
      </c>
      <c r="L220" s="7">
        <f t="shared" si="73"/>
        <v>45826</v>
      </c>
      <c r="M220">
        <f t="shared" si="74"/>
        <v>6</v>
      </c>
      <c r="N220">
        <f t="shared" si="75"/>
        <v>2025</v>
      </c>
      <c r="Q220" s="22">
        <v>324</v>
      </c>
      <c r="R220" s="22">
        <v>54735</v>
      </c>
      <c r="S220" s="22" t="str">
        <f t="shared" si="76"/>
        <v>MXN</v>
      </c>
      <c r="T220" s="22">
        <f t="shared" si="77"/>
        <v>3065.16</v>
      </c>
      <c r="U220" s="28">
        <v>400</v>
      </c>
      <c r="W220" s="9">
        <v>188</v>
      </c>
      <c r="X220" s="9" t="s">
        <v>29</v>
      </c>
      <c r="AF220">
        <v>227</v>
      </c>
      <c r="AG220" t="s">
        <v>29</v>
      </c>
      <c r="AH220">
        <v>1822.35</v>
      </c>
      <c r="AI220" s="7">
        <v>45824</v>
      </c>
    </row>
    <row r="221" spans="1:35">
      <c r="A221">
        <v>239</v>
      </c>
      <c r="B221" t="str">
        <f t="shared" si="69"/>
        <v>USD</v>
      </c>
      <c r="C221">
        <f t="shared" si="70"/>
        <v>95187.89</v>
      </c>
      <c r="D221">
        <f>C221*_xlfn.XLOOKUP(B221,AM:AM,AN:AN)</f>
        <v>81861.585399999996</v>
      </c>
      <c r="E221">
        <f>C221*_xlfn.XLOOKUP(B221,AM:AM,AO:AO)</f>
        <v>95187.89</v>
      </c>
      <c r="F221">
        <v>96644.2</v>
      </c>
      <c r="G221">
        <f>F221*_xlfn.XLOOKUP(B221,AM:AM,AN:AN)</f>
        <v>83114.012000000002</v>
      </c>
      <c r="H221">
        <f>F221*_xlfn.XLOOKUP(B221,AM:AM,AO:AO)</f>
        <v>96644.2</v>
      </c>
      <c r="I221">
        <f t="shared" si="71"/>
        <v>4883.050000000002</v>
      </c>
      <c r="J221">
        <f>I221*_xlfn.XLOOKUP(B221,AM:AM,AO:AO)</f>
        <v>4883.050000000002</v>
      </c>
      <c r="K221" s="7">
        <f t="shared" si="72"/>
        <v>45749</v>
      </c>
      <c r="L221" s="7">
        <f t="shared" si="73"/>
        <v>45719</v>
      </c>
      <c r="M221">
        <f t="shared" si="74"/>
        <v>3</v>
      </c>
      <c r="N221">
        <f t="shared" si="75"/>
        <v>2025</v>
      </c>
      <c r="Q221" s="22">
        <v>325</v>
      </c>
      <c r="R221" s="22">
        <v>127330</v>
      </c>
      <c r="S221" s="22" t="str">
        <f t="shared" si="76"/>
        <v>MXN</v>
      </c>
      <c r="T221" s="22">
        <f t="shared" si="77"/>
        <v>7130.4800000000005</v>
      </c>
      <c r="U221" s="28">
        <v>400</v>
      </c>
      <c r="W221" s="9">
        <v>188</v>
      </c>
      <c r="X221" s="9" t="s">
        <v>29</v>
      </c>
      <c r="AF221">
        <v>228</v>
      </c>
      <c r="AG221" t="s">
        <v>29</v>
      </c>
      <c r="AH221">
        <v>31520</v>
      </c>
      <c r="AI221" s="7">
        <v>45761</v>
      </c>
    </row>
    <row r="222" spans="1:35">
      <c r="A222">
        <v>241</v>
      </c>
      <c r="B222" t="str">
        <f t="shared" si="69"/>
        <v>USD</v>
      </c>
      <c r="C222">
        <f t="shared" si="70"/>
        <v>7411.8899999999994</v>
      </c>
      <c r="D222">
        <f>C222*_xlfn.XLOOKUP(B222,AM:AM,AN:AN)</f>
        <v>6374.2253999999994</v>
      </c>
      <c r="E222">
        <f>C222*_xlfn.XLOOKUP(B222,AM:AM,AO:AO)</f>
        <v>7411.8899999999994</v>
      </c>
      <c r="F222">
        <v>50770.04</v>
      </c>
      <c r="G222">
        <f>F222*_xlfn.XLOOKUP(B222,AM:AM,AN:AN)</f>
        <v>43662.234400000001</v>
      </c>
      <c r="H222">
        <f>F222*_xlfn.XLOOKUP(B222,AM:AM,AO:AO)</f>
        <v>50770.04</v>
      </c>
      <c r="I222">
        <f t="shared" si="71"/>
        <v>0</v>
      </c>
      <c r="J222">
        <f>I222*_xlfn.XLOOKUP(B222,AM:AM,AO:AO)</f>
        <v>0</v>
      </c>
      <c r="K222" s="7">
        <f t="shared" si="72"/>
        <v>45776</v>
      </c>
      <c r="L222" s="7">
        <f t="shared" si="73"/>
        <v>45746</v>
      </c>
      <c r="M222">
        <f t="shared" si="74"/>
        <v>3</v>
      </c>
      <c r="N222">
        <f t="shared" si="75"/>
        <v>2025</v>
      </c>
      <c r="Q222" s="22">
        <v>326</v>
      </c>
      <c r="R222" s="22">
        <v>525</v>
      </c>
      <c r="S222" s="22" t="str">
        <f t="shared" si="76"/>
        <v>EUR</v>
      </c>
      <c r="T222" s="22">
        <f t="shared" si="77"/>
        <v>609</v>
      </c>
      <c r="U222" s="28">
        <v>400</v>
      </c>
      <c r="W222" s="9">
        <v>190</v>
      </c>
      <c r="X222" s="9" t="s">
        <v>29</v>
      </c>
      <c r="AF222">
        <v>229</v>
      </c>
      <c r="AG222" t="s">
        <v>29</v>
      </c>
      <c r="AH222">
        <v>20656.189999999999</v>
      </c>
      <c r="AI222" s="7">
        <v>45903</v>
      </c>
    </row>
    <row r="223" spans="1:35">
      <c r="A223">
        <v>243</v>
      </c>
      <c r="B223" t="str">
        <f t="shared" si="69"/>
        <v>EUR</v>
      </c>
      <c r="C223">
        <f t="shared" si="70"/>
        <v>0</v>
      </c>
      <c r="D223">
        <f>C223*_xlfn.XLOOKUP(B223,AM:AM,AN:AN)</f>
        <v>0</v>
      </c>
      <c r="E223">
        <f>C223*_xlfn.XLOOKUP(B223,AM:AM,AO:AO)</f>
        <v>0</v>
      </c>
      <c r="F223">
        <v>3693.34</v>
      </c>
      <c r="G223">
        <f>F223*_xlfn.XLOOKUP(B223,AM:AM,AN:AN)</f>
        <v>3693.34</v>
      </c>
      <c r="H223">
        <f>F223*_xlfn.XLOOKUP(B223,AM:AM,AO:AO)</f>
        <v>4284.2744000000002</v>
      </c>
      <c r="I223">
        <f t="shared" si="71"/>
        <v>0</v>
      </c>
      <c r="J223">
        <f>I223*_xlfn.XLOOKUP(B223,AM:AM,AO:AO)</f>
        <v>0</v>
      </c>
      <c r="K223" s="7">
        <f t="shared" si="72"/>
        <v>45790</v>
      </c>
      <c r="L223" s="7">
        <f t="shared" si="73"/>
        <v>45760</v>
      </c>
      <c r="M223">
        <f t="shared" si="74"/>
        <v>4</v>
      </c>
      <c r="N223">
        <f t="shared" si="75"/>
        <v>2025</v>
      </c>
      <c r="Q223" s="22">
        <v>327</v>
      </c>
      <c r="R223" s="22">
        <v>10449.41</v>
      </c>
      <c r="S223" s="22" t="str">
        <f t="shared" si="76"/>
        <v>USD</v>
      </c>
      <c r="T223" s="22">
        <f t="shared" si="77"/>
        <v>10449.41</v>
      </c>
      <c r="U223" s="28">
        <v>400</v>
      </c>
      <c r="W223" s="9">
        <v>192</v>
      </c>
      <c r="X223" s="9" t="s">
        <v>29</v>
      </c>
      <c r="AF223">
        <v>230</v>
      </c>
      <c r="AG223" t="s">
        <v>29</v>
      </c>
      <c r="AH223">
        <v>707.47</v>
      </c>
      <c r="AI223" s="7">
        <v>45751</v>
      </c>
    </row>
    <row r="224" spans="1:35">
      <c r="A224">
        <v>244</v>
      </c>
      <c r="B224" t="str">
        <f t="shared" si="69"/>
        <v>EUR</v>
      </c>
      <c r="C224">
        <f t="shared" si="70"/>
        <v>4575.68</v>
      </c>
      <c r="D224">
        <f>C224*_xlfn.XLOOKUP(B224,AM:AM,AN:AN)</f>
        <v>4575.68</v>
      </c>
      <c r="E224">
        <f>C224*_xlfn.XLOOKUP(B224,AM:AM,AO:AO)</f>
        <v>5307.7888000000003</v>
      </c>
      <c r="F224">
        <v>7141.56</v>
      </c>
      <c r="G224">
        <f>F224*_xlfn.XLOOKUP(B224,AM:AM,AN:AN)</f>
        <v>7141.56</v>
      </c>
      <c r="H224">
        <f>F224*_xlfn.XLOOKUP(B224,AM:AM,AO:AO)</f>
        <v>8284.2096000000001</v>
      </c>
      <c r="I224">
        <f t="shared" si="71"/>
        <v>0</v>
      </c>
      <c r="J224">
        <f>I224*_xlfn.XLOOKUP(B224,AM:AM,AO:AO)</f>
        <v>0</v>
      </c>
      <c r="K224" s="7">
        <f t="shared" si="72"/>
        <v>45814</v>
      </c>
      <c r="L224" s="7">
        <f t="shared" si="73"/>
        <v>45784</v>
      </c>
      <c r="M224">
        <f t="shared" si="74"/>
        <v>5</v>
      </c>
      <c r="N224">
        <f t="shared" si="75"/>
        <v>2025</v>
      </c>
      <c r="Q224" s="22">
        <v>328</v>
      </c>
      <c r="R224" s="22">
        <v>8757.1</v>
      </c>
      <c r="S224" s="22" t="str">
        <f t="shared" si="76"/>
        <v>USD</v>
      </c>
      <c r="T224" s="22">
        <f t="shared" si="77"/>
        <v>8757.1</v>
      </c>
      <c r="U224" s="28">
        <v>400</v>
      </c>
      <c r="W224" s="9">
        <v>193</v>
      </c>
      <c r="X224" s="9" t="s">
        <v>28</v>
      </c>
      <c r="AF224">
        <v>232</v>
      </c>
      <c r="AG224" t="s">
        <v>28</v>
      </c>
      <c r="AH224">
        <v>51558.95</v>
      </c>
      <c r="AI224" s="7">
        <v>45713</v>
      </c>
    </row>
    <row r="225" spans="1:35">
      <c r="A225">
        <v>245</v>
      </c>
      <c r="B225" t="str">
        <f t="shared" si="69"/>
        <v>EUR</v>
      </c>
      <c r="C225">
        <f t="shared" si="70"/>
        <v>3468.3499999999985</v>
      </c>
      <c r="D225">
        <f>C225*_xlfn.XLOOKUP(B225,AM:AM,AN:AN)</f>
        <v>3468.3499999999985</v>
      </c>
      <c r="E225">
        <f>C225*_xlfn.XLOOKUP(B225,AM:AM,AO:AO)</f>
        <v>4023.2859999999982</v>
      </c>
      <c r="F225">
        <v>35407.11</v>
      </c>
      <c r="G225">
        <f>F225*_xlfn.XLOOKUP(B225,AM:AM,AN:AN)</f>
        <v>35407.11</v>
      </c>
      <c r="H225">
        <f>F225*_xlfn.XLOOKUP(B225,AM:AM,AO:AO)</f>
        <v>41072.247599999995</v>
      </c>
      <c r="I225">
        <f t="shared" si="71"/>
        <v>0</v>
      </c>
      <c r="J225">
        <f>I225*_xlfn.XLOOKUP(B225,AM:AM,AO:AO)</f>
        <v>0</v>
      </c>
      <c r="K225" s="7">
        <f t="shared" si="72"/>
        <v>45761</v>
      </c>
      <c r="L225" s="7">
        <f t="shared" si="73"/>
        <v>45731</v>
      </c>
      <c r="M225">
        <f t="shared" si="74"/>
        <v>3</v>
      </c>
      <c r="N225">
        <f t="shared" si="75"/>
        <v>2025</v>
      </c>
      <c r="Q225" s="22">
        <v>329</v>
      </c>
      <c r="R225" s="22">
        <v>1934.14</v>
      </c>
      <c r="S225" s="22" t="str">
        <f t="shared" si="76"/>
        <v>MXN</v>
      </c>
      <c r="T225" s="22">
        <f t="shared" si="77"/>
        <v>108.31184</v>
      </c>
      <c r="U225" s="28">
        <v>400</v>
      </c>
      <c r="W225" s="9">
        <v>195</v>
      </c>
      <c r="X225" s="9" t="s">
        <v>27</v>
      </c>
      <c r="AF225">
        <v>235</v>
      </c>
      <c r="AG225" t="s">
        <v>29</v>
      </c>
      <c r="AH225">
        <v>2120.8000000000002</v>
      </c>
      <c r="AI225" s="7">
        <v>45708</v>
      </c>
    </row>
    <row r="226" spans="1:35">
      <c r="A226">
        <v>246</v>
      </c>
      <c r="B226" t="str">
        <f t="shared" si="69"/>
        <v>USD</v>
      </c>
      <c r="C226">
        <f t="shared" si="70"/>
        <v>0</v>
      </c>
      <c r="D226">
        <f>C226*_xlfn.XLOOKUP(B226,AM:AM,AN:AN)</f>
        <v>0</v>
      </c>
      <c r="E226">
        <f>C226*_xlfn.XLOOKUP(B226,AM:AM,AO:AO)</f>
        <v>0</v>
      </c>
      <c r="F226">
        <v>8683</v>
      </c>
      <c r="G226">
        <f>F226*_xlfn.XLOOKUP(B226,AM:AM,AN:AN)</f>
        <v>7467.38</v>
      </c>
      <c r="H226">
        <f>F226*_xlfn.XLOOKUP(B226,AM:AM,AO:AO)</f>
        <v>8683</v>
      </c>
      <c r="I226">
        <f t="shared" si="71"/>
        <v>0</v>
      </c>
      <c r="J226">
        <f>I226*_xlfn.XLOOKUP(B226,AM:AM,AO:AO)</f>
        <v>0</v>
      </c>
      <c r="K226" s="7">
        <f t="shared" si="72"/>
        <v>45678</v>
      </c>
      <c r="L226" s="7">
        <f t="shared" si="73"/>
        <v>45648</v>
      </c>
      <c r="M226">
        <f t="shared" si="74"/>
        <v>12</v>
      </c>
      <c r="N226">
        <f t="shared" si="75"/>
        <v>2024</v>
      </c>
      <c r="Q226" s="22">
        <v>331</v>
      </c>
      <c r="R226" s="22">
        <v>704.8</v>
      </c>
      <c r="S226" s="22" t="str">
        <f t="shared" si="76"/>
        <v>USD</v>
      </c>
      <c r="T226" s="22">
        <f t="shared" si="77"/>
        <v>704.8</v>
      </c>
      <c r="U226" s="28">
        <v>400</v>
      </c>
      <c r="W226" s="9">
        <v>196</v>
      </c>
      <c r="X226" s="9" t="s">
        <v>29</v>
      </c>
      <c r="AF226">
        <v>236</v>
      </c>
      <c r="AG226" t="s">
        <v>29</v>
      </c>
      <c r="AH226">
        <v>13318.8</v>
      </c>
      <c r="AI226" s="7">
        <v>45659</v>
      </c>
    </row>
    <row r="227" spans="1:35">
      <c r="A227">
        <v>248</v>
      </c>
      <c r="B227" t="str">
        <f t="shared" si="69"/>
        <v>USD</v>
      </c>
      <c r="C227">
        <f t="shared" si="70"/>
        <v>0</v>
      </c>
      <c r="D227">
        <f>C227*_xlfn.XLOOKUP(B227,AM:AM,AN:AN)</f>
        <v>0</v>
      </c>
      <c r="E227">
        <f>C227*_xlfn.XLOOKUP(B227,AM:AM,AO:AO)</f>
        <v>0</v>
      </c>
      <c r="F227">
        <v>2300</v>
      </c>
      <c r="G227">
        <f>F227*_xlfn.XLOOKUP(B227,AM:AM,AN:AN)</f>
        <v>1978</v>
      </c>
      <c r="H227">
        <f>F227*_xlfn.XLOOKUP(B227,AM:AM,AO:AO)</f>
        <v>2300</v>
      </c>
      <c r="I227">
        <f t="shared" si="71"/>
        <v>0</v>
      </c>
      <c r="J227">
        <f>I227*_xlfn.XLOOKUP(B227,AM:AM,AO:AO)</f>
        <v>0</v>
      </c>
      <c r="K227" s="7">
        <f t="shared" si="72"/>
        <v>45803</v>
      </c>
      <c r="L227" s="7">
        <f t="shared" si="73"/>
        <v>45773</v>
      </c>
      <c r="M227">
        <f t="shared" si="74"/>
        <v>4</v>
      </c>
      <c r="N227">
        <f t="shared" si="75"/>
        <v>2025</v>
      </c>
      <c r="Q227" s="22">
        <v>333</v>
      </c>
      <c r="R227" s="22">
        <v>1221</v>
      </c>
      <c r="S227" s="22" t="str">
        <f t="shared" si="76"/>
        <v>USD</v>
      </c>
      <c r="T227" s="22">
        <f t="shared" si="77"/>
        <v>1221</v>
      </c>
      <c r="U227" s="28">
        <v>400</v>
      </c>
      <c r="W227" s="9">
        <v>196</v>
      </c>
      <c r="X227" s="9" t="s">
        <v>29</v>
      </c>
      <c r="AF227">
        <v>237</v>
      </c>
      <c r="AG227" t="s">
        <v>27</v>
      </c>
      <c r="AH227">
        <v>4100</v>
      </c>
      <c r="AI227" s="7">
        <v>45697</v>
      </c>
    </row>
    <row r="228" spans="1:35">
      <c r="A228">
        <v>249</v>
      </c>
      <c r="B228" t="str">
        <f t="shared" si="69"/>
        <v>USD</v>
      </c>
      <c r="C228">
        <f t="shared" si="70"/>
        <v>0</v>
      </c>
      <c r="D228">
        <f>C228*_xlfn.XLOOKUP(B228,AM:AM,AN:AN)</f>
        <v>0</v>
      </c>
      <c r="E228">
        <f>C228*_xlfn.XLOOKUP(B228,AM:AM,AO:AO)</f>
        <v>0</v>
      </c>
      <c r="F228">
        <v>9332.16</v>
      </c>
      <c r="G228">
        <f>F228*_xlfn.XLOOKUP(B228,AM:AM,AN:AN)</f>
        <v>8025.6575999999995</v>
      </c>
      <c r="H228">
        <f>F228*_xlfn.XLOOKUP(B228,AM:AM,AO:AO)</f>
        <v>9332.16</v>
      </c>
      <c r="I228">
        <f t="shared" si="71"/>
        <v>0</v>
      </c>
      <c r="J228">
        <f>I228*_xlfn.XLOOKUP(B228,AM:AM,AO:AO)</f>
        <v>0</v>
      </c>
      <c r="K228" s="7">
        <f t="shared" si="72"/>
        <v>45786</v>
      </c>
      <c r="L228" s="7">
        <f t="shared" si="73"/>
        <v>45756</v>
      </c>
      <c r="M228">
        <f t="shared" si="74"/>
        <v>4</v>
      </c>
      <c r="N228">
        <f t="shared" si="75"/>
        <v>2025</v>
      </c>
      <c r="Q228" s="22">
        <v>334</v>
      </c>
      <c r="R228" s="22">
        <v>1630.2</v>
      </c>
      <c r="S228" s="22" t="str">
        <f t="shared" si="76"/>
        <v>USD</v>
      </c>
      <c r="T228" s="22">
        <f t="shared" si="77"/>
        <v>1630.2</v>
      </c>
      <c r="U228" s="28">
        <v>400</v>
      </c>
      <c r="W228" s="9">
        <v>196</v>
      </c>
      <c r="X228" s="9" t="s">
        <v>29</v>
      </c>
      <c r="AF228">
        <v>238</v>
      </c>
      <c r="AG228" t="s">
        <v>29</v>
      </c>
      <c r="AH228">
        <v>133523.04999999999</v>
      </c>
      <c r="AI228" s="7">
        <v>45856</v>
      </c>
    </row>
    <row r="229" spans="1:35">
      <c r="A229">
        <v>250</v>
      </c>
      <c r="B229" t="str">
        <f t="shared" si="69"/>
        <v>EUR</v>
      </c>
      <c r="C229">
        <f t="shared" si="70"/>
        <v>16740.849999999999</v>
      </c>
      <c r="D229">
        <f>C229*_xlfn.XLOOKUP(B229,AM:AM,AN:AN)</f>
        <v>16740.849999999999</v>
      </c>
      <c r="E229">
        <f>C229*_xlfn.XLOOKUP(B229,AM:AM,AO:AO)</f>
        <v>19419.385999999999</v>
      </c>
      <c r="F229">
        <v>16740.849999999999</v>
      </c>
      <c r="G229">
        <f>F229*_xlfn.XLOOKUP(B229,AM:AM,AN:AN)</f>
        <v>16740.849999999999</v>
      </c>
      <c r="H229">
        <f>F229*_xlfn.XLOOKUP(B229,AM:AM,AO:AO)</f>
        <v>19419.385999999999</v>
      </c>
      <c r="I229">
        <f t="shared" si="71"/>
        <v>0</v>
      </c>
      <c r="J229">
        <f>I229*_xlfn.XLOOKUP(B229,AM:AM,AO:AO)</f>
        <v>0</v>
      </c>
      <c r="K229" s="7">
        <f t="shared" si="72"/>
        <v>45792</v>
      </c>
      <c r="L229" s="7">
        <f t="shared" si="73"/>
        <v>45762</v>
      </c>
      <c r="M229">
        <f t="shared" si="74"/>
        <v>4</v>
      </c>
      <c r="N229">
        <f t="shared" si="75"/>
        <v>2025</v>
      </c>
      <c r="Q229" s="22">
        <v>335</v>
      </c>
      <c r="R229" s="22">
        <v>98</v>
      </c>
      <c r="S229" s="22" t="str">
        <f t="shared" si="76"/>
        <v>USD</v>
      </c>
      <c r="T229" s="22">
        <f t="shared" si="77"/>
        <v>98</v>
      </c>
      <c r="U229" s="28">
        <v>400</v>
      </c>
      <c r="W229" s="9">
        <v>196</v>
      </c>
      <c r="X229" s="9" t="s">
        <v>29</v>
      </c>
      <c r="AF229">
        <v>239</v>
      </c>
      <c r="AG229" t="s">
        <v>29</v>
      </c>
      <c r="AH229">
        <v>101527.25</v>
      </c>
      <c r="AI229" s="7">
        <v>45749</v>
      </c>
    </row>
    <row r="230" spans="1:35">
      <c r="A230">
        <v>251</v>
      </c>
      <c r="B230" t="str">
        <f t="shared" si="69"/>
        <v>EUR</v>
      </c>
      <c r="C230">
        <f t="shared" si="70"/>
        <v>0</v>
      </c>
      <c r="D230">
        <f>C230*_xlfn.XLOOKUP(B230,AM:AM,AN:AN)</f>
        <v>0</v>
      </c>
      <c r="E230">
        <f>C230*_xlfn.XLOOKUP(B230,AM:AM,AO:AO)</f>
        <v>0</v>
      </c>
      <c r="F230">
        <v>9187.42</v>
      </c>
      <c r="G230">
        <f>F230*_xlfn.XLOOKUP(B230,AM:AM,AN:AN)</f>
        <v>9187.42</v>
      </c>
      <c r="H230">
        <f>F230*_xlfn.XLOOKUP(B230,AM:AM,AO:AO)</f>
        <v>10657.4072</v>
      </c>
      <c r="I230">
        <f t="shared" si="71"/>
        <v>0</v>
      </c>
      <c r="J230">
        <f>I230*_xlfn.XLOOKUP(B230,AM:AM,AO:AO)</f>
        <v>0</v>
      </c>
      <c r="K230" s="7">
        <f t="shared" si="72"/>
        <v>45791</v>
      </c>
      <c r="L230" s="7">
        <f t="shared" si="73"/>
        <v>45761</v>
      </c>
      <c r="M230">
        <f t="shared" si="74"/>
        <v>4</v>
      </c>
      <c r="N230">
        <f t="shared" si="75"/>
        <v>2025</v>
      </c>
      <c r="Q230" s="22">
        <v>336</v>
      </c>
      <c r="R230" s="22">
        <v>428.8</v>
      </c>
      <c r="S230" s="22" t="str">
        <f t="shared" si="76"/>
        <v>USD</v>
      </c>
      <c r="T230" s="22">
        <f t="shared" si="77"/>
        <v>428.8</v>
      </c>
      <c r="U230" s="28">
        <v>400</v>
      </c>
      <c r="W230" s="9">
        <v>196</v>
      </c>
      <c r="X230" s="9" t="s">
        <v>29</v>
      </c>
      <c r="AF230">
        <v>241</v>
      </c>
      <c r="AG230" t="s">
        <v>29</v>
      </c>
      <c r="AH230">
        <v>50770.04</v>
      </c>
      <c r="AI230" s="7">
        <v>45776</v>
      </c>
    </row>
    <row r="231" spans="1:35">
      <c r="A231">
        <v>252</v>
      </c>
      <c r="B231" t="str">
        <f t="shared" si="69"/>
        <v>USD</v>
      </c>
      <c r="C231">
        <f t="shared" si="70"/>
        <v>1215.0000000000009</v>
      </c>
      <c r="D231">
        <f>C231*_xlfn.XLOOKUP(B231,AM:AM,AN:AN)</f>
        <v>1044.9000000000008</v>
      </c>
      <c r="E231">
        <f>C231*_xlfn.XLOOKUP(B231,AM:AM,AO:AO)</f>
        <v>1215.0000000000009</v>
      </c>
      <c r="F231">
        <v>6474.58</v>
      </c>
      <c r="G231">
        <f>F231*_xlfn.XLOOKUP(B231,AM:AM,AN:AN)</f>
        <v>5568.1387999999997</v>
      </c>
      <c r="H231">
        <f>F231*_xlfn.XLOOKUP(B231,AM:AM,AO:AO)</f>
        <v>6474.58</v>
      </c>
      <c r="I231">
        <f t="shared" si="71"/>
        <v>0</v>
      </c>
      <c r="J231">
        <f>I231*_xlfn.XLOOKUP(B231,AM:AM,AO:AO)</f>
        <v>0</v>
      </c>
      <c r="K231" s="7">
        <f t="shared" si="72"/>
        <v>45787</v>
      </c>
      <c r="L231" s="7">
        <f t="shared" si="73"/>
        <v>45757</v>
      </c>
      <c r="M231">
        <f t="shared" si="74"/>
        <v>4</v>
      </c>
      <c r="N231">
        <f t="shared" si="75"/>
        <v>2025</v>
      </c>
      <c r="Q231" s="22">
        <v>337</v>
      </c>
      <c r="R231" s="22">
        <v>1012.3</v>
      </c>
      <c r="S231" s="22" t="str">
        <f t="shared" si="76"/>
        <v>USD</v>
      </c>
      <c r="T231" s="22">
        <f t="shared" si="77"/>
        <v>1012.3</v>
      </c>
      <c r="U231" s="28">
        <v>400</v>
      </c>
      <c r="W231" s="9">
        <v>196</v>
      </c>
      <c r="X231" s="9" t="s">
        <v>29</v>
      </c>
      <c r="AF231">
        <v>243</v>
      </c>
      <c r="AG231" t="s">
        <v>27</v>
      </c>
      <c r="AH231">
        <v>3693.34</v>
      </c>
      <c r="AI231" s="7">
        <v>45790</v>
      </c>
    </row>
    <row r="232" spans="1:35">
      <c r="A232">
        <v>253</v>
      </c>
      <c r="B232" t="str">
        <f t="shared" si="69"/>
        <v>USD</v>
      </c>
      <c r="C232">
        <f t="shared" si="70"/>
        <v>0</v>
      </c>
      <c r="D232">
        <f>C232*_xlfn.XLOOKUP(B232,AM:AM,AN:AN)</f>
        <v>0</v>
      </c>
      <c r="E232">
        <f>C232*_xlfn.XLOOKUP(B232,AM:AM,AO:AO)</f>
        <v>0</v>
      </c>
      <c r="F232">
        <v>733.5</v>
      </c>
      <c r="G232">
        <f>F232*_xlfn.XLOOKUP(B232,AM:AM,AN:AN)</f>
        <v>630.80999999999995</v>
      </c>
      <c r="H232">
        <f>F232*_xlfn.XLOOKUP(B232,AM:AM,AO:AO)</f>
        <v>733.5</v>
      </c>
      <c r="I232">
        <f t="shared" si="71"/>
        <v>0</v>
      </c>
      <c r="J232">
        <f>I232*_xlfn.XLOOKUP(B232,AM:AM,AO:AO)</f>
        <v>0</v>
      </c>
      <c r="K232" s="7">
        <f t="shared" si="72"/>
        <v>45766</v>
      </c>
      <c r="L232" s="7">
        <f t="shared" si="73"/>
        <v>45736</v>
      </c>
      <c r="M232">
        <f t="shared" si="74"/>
        <v>3</v>
      </c>
      <c r="N232">
        <f t="shared" si="75"/>
        <v>2025</v>
      </c>
      <c r="Q232" s="22">
        <v>340</v>
      </c>
      <c r="R232" s="22">
        <v>15418.05</v>
      </c>
      <c r="S232" s="22" t="str">
        <f t="shared" si="76"/>
        <v>USD</v>
      </c>
      <c r="T232" s="22">
        <f t="shared" si="77"/>
        <v>15418.05</v>
      </c>
      <c r="U232" s="28">
        <v>400</v>
      </c>
      <c r="W232" s="9">
        <v>198</v>
      </c>
      <c r="X232" s="9" t="s">
        <v>29</v>
      </c>
      <c r="AF232">
        <v>244</v>
      </c>
      <c r="AG232" t="s">
        <v>27</v>
      </c>
      <c r="AH232">
        <v>7141.56</v>
      </c>
      <c r="AI232" s="7">
        <v>45814</v>
      </c>
    </row>
    <row r="233" spans="1:35">
      <c r="A233">
        <v>255</v>
      </c>
      <c r="B233" t="str">
        <f t="shared" si="69"/>
        <v>EUR</v>
      </c>
      <c r="C233">
        <f t="shared" si="70"/>
        <v>141358</v>
      </c>
      <c r="D233">
        <f>C233*_xlfn.XLOOKUP(B233,AM:AM,AN:AN)</f>
        <v>141358</v>
      </c>
      <c r="E233">
        <f>C233*_xlfn.XLOOKUP(B233,AM:AM,AO:AO)</f>
        <v>163975.28</v>
      </c>
      <c r="F233">
        <v>141358</v>
      </c>
      <c r="G233">
        <f>F233*_xlfn.XLOOKUP(B233,AM:AM,AN:AN)</f>
        <v>141358</v>
      </c>
      <c r="H233">
        <f>F233*_xlfn.XLOOKUP(B233,AM:AM,AO:AO)</f>
        <v>163975.28</v>
      </c>
      <c r="I233">
        <f t="shared" si="71"/>
        <v>0</v>
      </c>
      <c r="J233">
        <f>I233*_xlfn.XLOOKUP(B233,AM:AM,AO:AO)</f>
        <v>0</v>
      </c>
      <c r="K233" s="7">
        <f t="shared" si="72"/>
        <v>45759</v>
      </c>
      <c r="L233" s="7">
        <f t="shared" si="73"/>
        <v>45729</v>
      </c>
      <c r="M233">
        <f t="shared" si="74"/>
        <v>3</v>
      </c>
      <c r="N233">
        <f t="shared" si="75"/>
        <v>2025</v>
      </c>
      <c r="Q233" s="22">
        <v>342</v>
      </c>
      <c r="R233" s="22">
        <v>16401.41</v>
      </c>
      <c r="S233" s="22" t="str">
        <f t="shared" si="76"/>
        <v>MXN</v>
      </c>
      <c r="T233" s="22">
        <f t="shared" si="77"/>
        <v>918.47896000000003</v>
      </c>
      <c r="U233" s="28">
        <v>400</v>
      </c>
      <c r="W233" s="9">
        <v>198</v>
      </c>
      <c r="X233" s="9" t="s">
        <v>29</v>
      </c>
      <c r="AF233">
        <v>245</v>
      </c>
      <c r="AG233" t="s">
        <v>27</v>
      </c>
      <c r="AH233">
        <v>35407.11</v>
      </c>
      <c r="AI233" s="7">
        <v>45761</v>
      </c>
    </row>
    <row r="234" spans="1:35">
      <c r="A234">
        <v>257</v>
      </c>
      <c r="B234" t="str">
        <f t="shared" si="69"/>
        <v>USD</v>
      </c>
      <c r="C234">
        <f t="shared" si="70"/>
        <v>22879.21</v>
      </c>
      <c r="D234">
        <f>C234*_xlfn.XLOOKUP(B234,AM:AM,AN:AN)</f>
        <v>19676.120599999998</v>
      </c>
      <c r="E234">
        <f>C234*_xlfn.XLOOKUP(B234,AM:AM,AO:AO)</f>
        <v>22879.21</v>
      </c>
      <c r="F234">
        <v>22756.13</v>
      </c>
      <c r="G234">
        <f>F234*_xlfn.XLOOKUP(B234,AM:AM,AN:AN)</f>
        <v>19570.271800000002</v>
      </c>
      <c r="H234">
        <f>F234*_xlfn.XLOOKUP(B234,AM:AM,AO:AO)</f>
        <v>22756.13</v>
      </c>
      <c r="I234">
        <f t="shared" si="71"/>
        <v>123.07999999999811</v>
      </c>
      <c r="J234">
        <f>I234*_xlfn.XLOOKUP(B234,AM:AM,AO:AO)</f>
        <v>123.07999999999811</v>
      </c>
      <c r="K234" s="7">
        <f t="shared" si="72"/>
        <v>46056</v>
      </c>
      <c r="L234" s="7">
        <f t="shared" si="73"/>
        <v>46026</v>
      </c>
      <c r="M234">
        <f t="shared" si="74"/>
        <v>1</v>
      </c>
      <c r="N234">
        <f t="shared" si="75"/>
        <v>2026</v>
      </c>
      <c r="Q234" s="22">
        <v>343</v>
      </c>
      <c r="R234" s="22">
        <v>198.6</v>
      </c>
      <c r="S234" s="22" t="str">
        <f t="shared" si="76"/>
        <v>USD</v>
      </c>
      <c r="T234" s="22">
        <f t="shared" si="77"/>
        <v>198.6</v>
      </c>
      <c r="U234" s="28">
        <v>400</v>
      </c>
      <c r="W234" s="9">
        <v>198</v>
      </c>
      <c r="X234" s="9" t="s">
        <v>29</v>
      </c>
      <c r="AF234">
        <v>246</v>
      </c>
      <c r="AG234" t="s">
        <v>29</v>
      </c>
      <c r="AH234">
        <v>8683</v>
      </c>
      <c r="AI234" s="7">
        <v>45678</v>
      </c>
    </row>
    <row r="235" spans="1:35">
      <c r="A235">
        <v>258</v>
      </c>
      <c r="B235" t="str">
        <f t="shared" si="69"/>
        <v>EUR</v>
      </c>
      <c r="C235">
        <f t="shared" si="70"/>
        <v>0</v>
      </c>
      <c r="D235">
        <f>C235*_xlfn.XLOOKUP(B235,AM:AM,AN:AN)</f>
        <v>0</v>
      </c>
      <c r="E235">
        <f>C235*_xlfn.XLOOKUP(B235,AM:AM,AO:AO)</f>
        <v>0</v>
      </c>
      <c r="F235">
        <v>2530</v>
      </c>
      <c r="G235">
        <f>F235*_xlfn.XLOOKUP(B235,AM:AM,AN:AN)</f>
        <v>2530</v>
      </c>
      <c r="H235">
        <f>F235*_xlfn.XLOOKUP(B235,AM:AM,AO:AO)</f>
        <v>2934.7999999999997</v>
      </c>
      <c r="I235">
        <f t="shared" si="71"/>
        <v>0</v>
      </c>
      <c r="J235">
        <f>I235*_xlfn.XLOOKUP(B235,AM:AM,AO:AO)</f>
        <v>0</v>
      </c>
      <c r="K235" s="7">
        <f t="shared" si="72"/>
        <v>45769</v>
      </c>
      <c r="L235" s="7">
        <f t="shared" si="73"/>
        <v>45739</v>
      </c>
      <c r="M235">
        <f t="shared" si="74"/>
        <v>3</v>
      </c>
      <c r="N235">
        <f t="shared" si="75"/>
        <v>2025</v>
      </c>
      <c r="Q235" s="22">
        <v>345</v>
      </c>
      <c r="R235" s="22">
        <v>900</v>
      </c>
      <c r="S235" s="22" t="str">
        <f t="shared" si="76"/>
        <v>EUR</v>
      </c>
      <c r="T235" s="22">
        <f t="shared" si="77"/>
        <v>1044</v>
      </c>
      <c r="U235" s="28">
        <v>400</v>
      </c>
      <c r="W235" s="9">
        <v>198</v>
      </c>
      <c r="X235" s="9" t="s">
        <v>29</v>
      </c>
      <c r="AF235">
        <v>248</v>
      </c>
      <c r="AG235" t="s">
        <v>29</v>
      </c>
      <c r="AH235">
        <v>2300</v>
      </c>
      <c r="AI235" s="7">
        <v>45803</v>
      </c>
    </row>
    <row r="236" spans="1:35">
      <c r="A236">
        <v>259</v>
      </c>
      <c r="B236" t="str">
        <f t="shared" si="69"/>
        <v>USD</v>
      </c>
      <c r="C236">
        <f t="shared" si="70"/>
        <v>375</v>
      </c>
      <c r="D236">
        <f>C236*_xlfn.XLOOKUP(B236,AM:AM,AN:AN)</f>
        <v>322.5</v>
      </c>
      <c r="E236">
        <f>C236*_xlfn.XLOOKUP(B236,AM:AM,AO:AO)</f>
        <v>375</v>
      </c>
      <c r="F236">
        <v>1938.9</v>
      </c>
      <c r="G236">
        <f>F236*_xlfn.XLOOKUP(B236,AM:AM,AN:AN)</f>
        <v>1667.454</v>
      </c>
      <c r="H236">
        <f>F236*_xlfn.XLOOKUP(B236,AM:AM,AO:AO)</f>
        <v>1938.9</v>
      </c>
      <c r="I236">
        <f t="shared" si="71"/>
        <v>0</v>
      </c>
      <c r="J236">
        <f>I236*_xlfn.XLOOKUP(B236,AM:AM,AO:AO)</f>
        <v>0</v>
      </c>
      <c r="K236" s="7">
        <f t="shared" si="72"/>
        <v>45824</v>
      </c>
      <c r="L236" s="7">
        <f t="shared" si="73"/>
        <v>45794</v>
      </c>
      <c r="M236">
        <f t="shared" si="74"/>
        <v>5</v>
      </c>
      <c r="N236">
        <f t="shared" si="75"/>
        <v>2025</v>
      </c>
      <c r="Q236" s="22">
        <v>346</v>
      </c>
      <c r="R236" s="22">
        <v>7100</v>
      </c>
      <c r="S236" s="22" t="str">
        <f t="shared" si="76"/>
        <v>USD</v>
      </c>
      <c r="T236" s="22">
        <f t="shared" si="77"/>
        <v>7100</v>
      </c>
      <c r="U236" s="28">
        <v>400</v>
      </c>
      <c r="W236" s="9">
        <v>198</v>
      </c>
      <c r="X236" s="9" t="s">
        <v>29</v>
      </c>
      <c r="AF236">
        <v>249</v>
      </c>
      <c r="AG236" t="s">
        <v>29</v>
      </c>
      <c r="AH236">
        <v>9332.16</v>
      </c>
      <c r="AI236" s="7">
        <v>45786</v>
      </c>
    </row>
    <row r="237" spans="1:35">
      <c r="A237">
        <v>260</v>
      </c>
      <c r="B237" t="str">
        <f t="shared" si="69"/>
        <v>USD</v>
      </c>
      <c r="C237">
        <f t="shared" si="70"/>
        <v>0</v>
      </c>
      <c r="D237">
        <f>C237*_xlfn.XLOOKUP(B237,AM:AM,AN:AN)</f>
        <v>0</v>
      </c>
      <c r="E237">
        <f>C237*_xlfn.XLOOKUP(B237,AM:AM,AO:AO)</f>
        <v>0</v>
      </c>
      <c r="F237">
        <v>42478.42</v>
      </c>
      <c r="G237">
        <f>F237*_xlfn.XLOOKUP(B237,AM:AM,AN:AN)</f>
        <v>36531.441200000001</v>
      </c>
      <c r="H237">
        <f>F237*_xlfn.XLOOKUP(B237,AM:AM,AO:AO)</f>
        <v>42478.42</v>
      </c>
      <c r="I237">
        <f t="shared" si="71"/>
        <v>0</v>
      </c>
      <c r="J237">
        <f>I237*_xlfn.XLOOKUP(B237,AM:AM,AO:AO)</f>
        <v>0</v>
      </c>
      <c r="K237" s="7">
        <f t="shared" si="72"/>
        <v>45761</v>
      </c>
      <c r="L237" s="7">
        <f t="shared" si="73"/>
        <v>45731</v>
      </c>
      <c r="M237">
        <f t="shared" si="74"/>
        <v>3</v>
      </c>
      <c r="N237">
        <f t="shared" si="75"/>
        <v>2025</v>
      </c>
      <c r="Q237" s="22">
        <v>348</v>
      </c>
      <c r="R237" s="22">
        <v>3045</v>
      </c>
      <c r="S237" s="22" t="str">
        <f t="shared" si="76"/>
        <v>USD</v>
      </c>
      <c r="T237" s="22">
        <f t="shared" si="77"/>
        <v>3045</v>
      </c>
      <c r="U237" s="28">
        <v>400</v>
      </c>
      <c r="W237" s="9">
        <v>199</v>
      </c>
      <c r="X237" s="9" t="s">
        <v>29</v>
      </c>
      <c r="AF237">
        <v>250</v>
      </c>
      <c r="AG237" t="s">
        <v>27</v>
      </c>
      <c r="AH237">
        <v>16740.849999999999</v>
      </c>
      <c r="AI237" s="7">
        <v>45792</v>
      </c>
    </row>
    <row r="238" spans="1:35">
      <c r="A238">
        <v>261</v>
      </c>
      <c r="B238" t="str">
        <f t="shared" si="69"/>
        <v>EUR</v>
      </c>
      <c r="C238">
        <f t="shared" si="70"/>
        <v>226603.09</v>
      </c>
      <c r="D238">
        <f>C238*_xlfn.XLOOKUP(B238,AM:AM,AN:AN)</f>
        <v>226603.09</v>
      </c>
      <c r="E238">
        <f>C238*_xlfn.XLOOKUP(B238,AM:AM,AO:AO)</f>
        <v>262859.58439999999</v>
      </c>
      <c r="F238">
        <v>226603.09</v>
      </c>
      <c r="G238">
        <f>F238*_xlfn.XLOOKUP(B238,AM:AM,AN:AN)</f>
        <v>226603.09</v>
      </c>
      <c r="H238">
        <f>F238*_xlfn.XLOOKUP(B238,AM:AM,AO:AO)</f>
        <v>262859.58439999999</v>
      </c>
      <c r="I238">
        <f t="shared" si="71"/>
        <v>0</v>
      </c>
      <c r="J238">
        <f>I238*_xlfn.XLOOKUP(B238,AM:AM,AO:AO)</f>
        <v>0</v>
      </c>
      <c r="K238" s="7">
        <f t="shared" si="72"/>
        <v>45955</v>
      </c>
      <c r="L238" s="7">
        <f t="shared" si="73"/>
        <v>45925</v>
      </c>
      <c r="M238">
        <f t="shared" si="74"/>
        <v>9</v>
      </c>
      <c r="N238">
        <f t="shared" si="75"/>
        <v>2025</v>
      </c>
      <c r="Q238" s="22">
        <v>350</v>
      </c>
      <c r="R238" s="22">
        <v>8009.27</v>
      </c>
      <c r="S238" s="22" t="str">
        <f t="shared" si="76"/>
        <v>USD</v>
      </c>
      <c r="T238" s="22">
        <f t="shared" si="77"/>
        <v>8009.27</v>
      </c>
      <c r="U238" s="28">
        <v>400</v>
      </c>
      <c r="W238" s="9">
        <v>200</v>
      </c>
      <c r="X238" s="9" t="s">
        <v>29</v>
      </c>
      <c r="AF238">
        <v>251</v>
      </c>
      <c r="AG238" t="s">
        <v>27</v>
      </c>
      <c r="AH238">
        <v>9187.42</v>
      </c>
      <c r="AI238" s="7">
        <v>45791</v>
      </c>
    </row>
    <row r="239" spans="1:35">
      <c r="A239">
        <v>262</v>
      </c>
      <c r="B239" t="str">
        <f t="shared" si="69"/>
        <v>USD</v>
      </c>
      <c r="C239">
        <f t="shared" si="70"/>
        <v>285959.34999999998</v>
      </c>
      <c r="D239">
        <f>C239*_xlfn.XLOOKUP(B239,AM:AM,AN:AN)</f>
        <v>245925.04099999997</v>
      </c>
      <c r="E239">
        <f>C239*_xlfn.XLOOKUP(B239,AM:AM,AO:AO)</f>
        <v>285959.34999999998</v>
      </c>
      <c r="F239">
        <v>285959.34999999998</v>
      </c>
      <c r="G239">
        <f>F239*_xlfn.XLOOKUP(B239,AM:AM,AN:AN)</f>
        <v>245925.04099999997</v>
      </c>
      <c r="H239">
        <f>F239*_xlfn.XLOOKUP(B239,AM:AM,AO:AO)</f>
        <v>285959.34999999998</v>
      </c>
      <c r="I239">
        <f t="shared" si="71"/>
        <v>0</v>
      </c>
      <c r="J239">
        <f>I239*_xlfn.XLOOKUP(B239,AM:AM,AO:AO)</f>
        <v>0</v>
      </c>
      <c r="K239" s="7">
        <f t="shared" si="72"/>
        <v>45966</v>
      </c>
      <c r="L239" s="7">
        <f t="shared" si="73"/>
        <v>45936</v>
      </c>
      <c r="M239">
        <f t="shared" si="74"/>
        <v>10</v>
      </c>
      <c r="N239">
        <f t="shared" si="75"/>
        <v>2025</v>
      </c>
      <c r="Q239" s="22">
        <v>351</v>
      </c>
      <c r="R239" s="22">
        <v>2576.75</v>
      </c>
      <c r="S239" s="22" t="str">
        <f t="shared" si="76"/>
        <v>USD</v>
      </c>
      <c r="T239" s="22">
        <f t="shared" si="77"/>
        <v>2576.75</v>
      </c>
      <c r="U239" s="28">
        <v>400</v>
      </c>
      <c r="W239" s="9">
        <v>201</v>
      </c>
      <c r="X239" s="9" t="s">
        <v>29</v>
      </c>
      <c r="AF239">
        <v>252</v>
      </c>
      <c r="AG239" t="s">
        <v>29</v>
      </c>
      <c r="AH239">
        <v>6474.58</v>
      </c>
      <c r="AI239" s="7">
        <v>45787</v>
      </c>
    </row>
    <row r="240" spans="1:35">
      <c r="A240">
        <v>263</v>
      </c>
      <c r="B240" t="str">
        <f t="shared" si="69"/>
        <v>MXN</v>
      </c>
      <c r="C240">
        <f t="shared" si="70"/>
        <v>0</v>
      </c>
      <c r="D240">
        <f>C240*_xlfn.XLOOKUP(B240,AM:AM,AN:AN)</f>
        <v>0</v>
      </c>
      <c r="E240">
        <f>C240*_xlfn.XLOOKUP(B240,AM:AM,AO:AO)</f>
        <v>0</v>
      </c>
      <c r="F240">
        <v>465327.21</v>
      </c>
      <c r="G240">
        <f>F240*_xlfn.XLOOKUP(B240,AM:AM,AN:AN)</f>
        <v>22335.70608</v>
      </c>
      <c r="H240">
        <f>F240*_xlfn.XLOOKUP(B240,AM:AM,AO:AO)</f>
        <v>26058.323760000003</v>
      </c>
      <c r="I240">
        <f t="shared" si="71"/>
        <v>0</v>
      </c>
      <c r="J240">
        <f>I240*_xlfn.XLOOKUP(B240,AM:AM,AO:AO)</f>
        <v>0</v>
      </c>
      <c r="K240" s="7">
        <f t="shared" si="72"/>
        <v>45731</v>
      </c>
      <c r="L240" s="7">
        <f t="shared" si="73"/>
        <v>45701</v>
      </c>
      <c r="M240">
        <f t="shared" si="74"/>
        <v>2</v>
      </c>
      <c r="N240">
        <f t="shared" si="75"/>
        <v>2025</v>
      </c>
      <c r="Q240" s="22">
        <v>352</v>
      </c>
      <c r="R240" s="22">
        <v>9074.86</v>
      </c>
      <c r="S240" s="22" t="str">
        <f t="shared" si="76"/>
        <v>USD</v>
      </c>
      <c r="T240" s="22">
        <f t="shared" si="77"/>
        <v>9074.86</v>
      </c>
      <c r="U240" s="28">
        <v>400</v>
      </c>
      <c r="W240" s="9">
        <v>202</v>
      </c>
      <c r="X240" s="9" t="s">
        <v>29</v>
      </c>
      <c r="AF240">
        <v>253</v>
      </c>
      <c r="AG240" t="s">
        <v>29</v>
      </c>
      <c r="AH240">
        <v>733.5</v>
      </c>
      <c r="AI240" s="7">
        <v>45766</v>
      </c>
    </row>
    <row r="241" spans="1:35">
      <c r="A241">
        <v>264</v>
      </c>
      <c r="B241" t="str">
        <f t="shared" si="69"/>
        <v>CHF</v>
      </c>
      <c r="C241">
        <f t="shared" si="70"/>
        <v>0</v>
      </c>
      <c r="D241">
        <f>C241*_xlfn.XLOOKUP(B241,AM:AM,AN:AN)</f>
        <v>0</v>
      </c>
      <c r="E241">
        <f>C241*_xlfn.XLOOKUP(B241,AM:AM,AO:AO)</f>
        <v>0</v>
      </c>
      <c r="F241">
        <v>953.5</v>
      </c>
      <c r="G241">
        <f>F241*_xlfn.XLOOKUP(B241,AM:AM,AN:AN)</f>
        <v>1020.245</v>
      </c>
      <c r="H241">
        <f>F241*_xlfn.XLOOKUP(B241,AM:AM,AO:AO)</f>
        <v>1191.875</v>
      </c>
      <c r="I241">
        <f t="shared" si="71"/>
        <v>0</v>
      </c>
      <c r="J241">
        <f>I241*_xlfn.XLOOKUP(B241,AM:AM,AO:AO)</f>
        <v>0</v>
      </c>
      <c r="K241" s="7">
        <f t="shared" si="72"/>
        <v>45823</v>
      </c>
      <c r="L241" s="7">
        <f t="shared" si="73"/>
        <v>45793</v>
      </c>
      <c r="M241">
        <f t="shared" si="74"/>
        <v>5</v>
      </c>
      <c r="N241">
        <f t="shared" si="75"/>
        <v>2025</v>
      </c>
      <c r="Q241" s="22">
        <v>353</v>
      </c>
      <c r="R241" s="22">
        <v>7278.61</v>
      </c>
      <c r="S241" s="22" t="str">
        <f t="shared" si="76"/>
        <v>USD</v>
      </c>
      <c r="T241" s="22">
        <f t="shared" si="77"/>
        <v>7278.61</v>
      </c>
      <c r="U241" s="28">
        <v>400</v>
      </c>
      <c r="W241" s="9">
        <v>202</v>
      </c>
      <c r="X241" s="9" t="s">
        <v>29</v>
      </c>
      <c r="AF241">
        <v>254</v>
      </c>
      <c r="AG241" t="s">
        <v>29</v>
      </c>
      <c r="AH241">
        <v>41437.379999999997</v>
      </c>
      <c r="AI241" s="7">
        <v>45759</v>
      </c>
    </row>
    <row r="242" spans="1:35">
      <c r="A242">
        <v>265</v>
      </c>
      <c r="B242" t="str">
        <f t="shared" si="69"/>
        <v>EUR</v>
      </c>
      <c r="C242">
        <f t="shared" si="70"/>
        <v>0</v>
      </c>
      <c r="D242">
        <f>C242*_xlfn.XLOOKUP(B242,AM:AM,AN:AN)</f>
        <v>0</v>
      </c>
      <c r="E242">
        <f>C242*_xlfn.XLOOKUP(B242,AM:AM,AO:AO)</f>
        <v>0</v>
      </c>
      <c r="F242">
        <v>256.52999999999997</v>
      </c>
      <c r="G242">
        <f>F242*_xlfn.XLOOKUP(B242,AM:AM,AN:AN)</f>
        <v>256.52999999999997</v>
      </c>
      <c r="H242">
        <f>F242*_xlfn.XLOOKUP(B242,AM:AM,AO:AO)</f>
        <v>297.57479999999993</v>
      </c>
      <c r="I242">
        <f t="shared" si="71"/>
        <v>0</v>
      </c>
      <c r="J242">
        <f>I242*_xlfn.XLOOKUP(B242,AM:AM,AO:AO)</f>
        <v>0</v>
      </c>
      <c r="K242" s="7">
        <f t="shared" si="72"/>
        <v>45679</v>
      </c>
      <c r="L242" s="7">
        <f t="shared" si="73"/>
        <v>45649</v>
      </c>
      <c r="M242">
        <f t="shared" si="74"/>
        <v>12</v>
      </c>
      <c r="N242">
        <f t="shared" si="75"/>
        <v>2024</v>
      </c>
      <c r="Q242" s="22">
        <v>354</v>
      </c>
      <c r="R242" s="22">
        <v>3084.96</v>
      </c>
      <c r="S242" s="22" t="str">
        <f t="shared" si="76"/>
        <v>USD</v>
      </c>
      <c r="T242" s="22">
        <f t="shared" si="77"/>
        <v>3084.96</v>
      </c>
      <c r="U242" s="28">
        <v>400</v>
      </c>
      <c r="W242" s="9">
        <v>202</v>
      </c>
      <c r="X242" s="9" t="s">
        <v>29</v>
      </c>
      <c r="AF242">
        <v>255</v>
      </c>
      <c r="AG242" t="s">
        <v>27</v>
      </c>
      <c r="AH242">
        <v>141358</v>
      </c>
      <c r="AI242" s="7">
        <v>45759</v>
      </c>
    </row>
    <row r="243" spans="1:35">
      <c r="A243">
        <v>266</v>
      </c>
      <c r="B243" t="str">
        <f t="shared" si="69"/>
        <v>USD</v>
      </c>
      <c r="C243">
        <f t="shared" si="70"/>
        <v>0</v>
      </c>
      <c r="D243">
        <f>C243*_xlfn.XLOOKUP(B243,AM:AM,AN:AN)</f>
        <v>0</v>
      </c>
      <c r="E243">
        <f>C243*_xlfn.XLOOKUP(B243,AM:AM,AO:AO)</f>
        <v>0</v>
      </c>
      <c r="F243">
        <v>390</v>
      </c>
      <c r="G243">
        <f>F243*_xlfn.XLOOKUP(B243,AM:AM,AN:AN)</f>
        <v>335.4</v>
      </c>
      <c r="H243">
        <f>F243*_xlfn.XLOOKUP(B243,AM:AM,AO:AO)</f>
        <v>390</v>
      </c>
      <c r="I243">
        <f t="shared" si="71"/>
        <v>0</v>
      </c>
      <c r="J243">
        <f>I243*_xlfn.XLOOKUP(B243,AM:AM,AO:AO)</f>
        <v>0</v>
      </c>
      <c r="K243" s="7">
        <f t="shared" si="72"/>
        <v>45677</v>
      </c>
      <c r="L243" s="7">
        <f t="shared" si="73"/>
        <v>45647</v>
      </c>
      <c r="M243">
        <f t="shared" si="74"/>
        <v>12</v>
      </c>
      <c r="N243">
        <f t="shared" si="75"/>
        <v>2024</v>
      </c>
      <c r="Q243" s="22">
        <v>355</v>
      </c>
      <c r="R243" s="22">
        <v>67515</v>
      </c>
      <c r="S243" s="22" t="str">
        <f t="shared" si="76"/>
        <v>USD</v>
      </c>
      <c r="T243" s="22">
        <f t="shared" si="77"/>
        <v>67515</v>
      </c>
      <c r="U243" s="28">
        <v>400</v>
      </c>
      <c r="W243" s="9">
        <v>202</v>
      </c>
      <c r="X243" s="9" t="s">
        <v>29</v>
      </c>
      <c r="AF243">
        <v>256</v>
      </c>
      <c r="AG243" t="s">
        <v>29</v>
      </c>
      <c r="AH243">
        <v>734.63</v>
      </c>
      <c r="AI243" s="7">
        <v>45759</v>
      </c>
    </row>
    <row r="244" spans="1:35">
      <c r="A244">
        <v>267</v>
      </c>
      <c r="B244" t="str">
        <f t="shared" si="69"/>
        <v>USD</v>
      </c>
      <c r="C244">
        <f t="shared" si="70"/>
        <v>0</v>
      </c>
      <c r="D244">
        <f>C244*_xlfn.XLOOKUP(B244,AM:AM,AN:AN)</f>
        <v>0</v>
      </c>
      <c r="E244">
        <f>C244*_xlfn.XLOOKUP(B244,AM:AM,AO:AO)</f>
        <v>0</v>
      </c>
      <c r="F244">
        <v>926.6</v>
      </c>
      <c r="G244">
        <f>F244*_xlfn.XLOOKUP(B244,AM:AM,AN:AN)</f>
        <v>796.87599999999998</v>
      </c>
      <c r="H244">
        <f>F244*_xlfn.XLOOKUP(B244,AM:AM,AO:AO)</f>
        <v>926.6</v>
      </c>
      <c r="I244">
        <f t="shared" si="71"/>
        <v>0</v>
      </c>
      <c r="J244">
        <f>I244*_xlfn.XLOOKUP(B244,AM:AM,AO:AO)</f>
        <v>0</v>
      </c>
      <c r="K244" s="7">
        <f t="shared" si="72"/>
        <v>45742</v>
      </c>
      <c r="L244" s="7">
        <f t="shared" si="73"/>
        <v>45712</v>
      </c>
      <c r="M244">
        <f t="shared" si="74"/>
        <v>2</v>
      </c>
      <c r="N244">
        <f t="shared" si="75"/>
        <v>2025</v>
      </c>
      <c r="Q244" s="22">
        <v>356</v>
      </c>
      <c r="R244" s="22">
        <v>6906.08</v>
      </c>
      <c r="S244" s="22" t="str">
        <f t="shared" si="76"/>
        <v>USD</v>
      </c>
      <c r="T244" s="22">
        <f t="shared" si="77"/>
        <v>6906.08</v>
      </c>
      <c r="U244" s="28">
        <v>400</v>
      </c>
      <c r="W244" s="9">
        <v>202</v>
      </c>
      <c r="X244" s="9" t="s">
        <v>29</v>
      </c>
      <c r="AF244">
        <v>257</v>
      </c>
      <c r="AG244" t="s">
        <v>29</v>
      </c>
      <c r="AH244">
        <v>22879.21</v>
      </c>
      <c r="AI244" s="7">
        <v>46056</v>
      </c>
    </row>
    <row r="245" spans="1:35">
      <c r="A245">
        <v>268</v>
      </c>
      <c r="B245" t="str">
        <f t="shared" si="69"/>
        <v>USD</v>
      </c>
      <c r="C245">
        <f t="shared" si="70"/>
        <v>0</v>
      </c>
      <c r="D245">
        <f>C245*_xlfn.XLOOKUP(B245,AM:AM,AN:AN)</f>
        <v>0</v>
      </c>
      <c r="E245">
        <f>C245*_xlfn.XLOOKUP(B245,AM:AM,AO:AO)</f>
        <v>0</v>
      </c>
      <c r="F245">
        <v>417</v>
      </c>
      <c r="G245">
        <f>F245*_xlfn.XLOOKUP(B245,AM:AM,AN:AN)</f>
        <v>358.62</v>
      </c>
      <c r="H245">
        <f>F245*_xlfn.XLOOKUP(B245,AM:AM,AO:AO)</f>
        <v>417</v>
      </c>
      <c r="I245">
        <f t="shared" si="71"/>
        <v>0</v>
      </c>
      <c r="J245">
        <f>I245*_xlfn.XLOOKUP(B245,AM:AM,AO:AO)</f>
        <v>0</v>
      </c>
      <c r="K245" s="7">
        <f t="shared" si="72"/>
        <v>45747</v>
      </c>
      <c r="L245" s="7">
        <f t="shared" si="73"/>
        <v>45717</v>
      </c>
      <c r="M245">
        <f t="shared" si="74"/>
        <v>3</v>
      </c>
      <c r="N245">
        <f t="shared" si="75"/>
        <v>2025</v>
      </c>
      <c r="Q245" s="22">
        <v>360</v>
      </c>
      <c r="R245" s="22">
        <v>759.8</v>
      </c>
      <c r="S245" s="22" t="str">
        <f t="shared" si="76"/>
        <v>USD</v>
      </c>
      <c r="T245" s="22">
        <f t="shared" si="77"/>
        <v>759.8</v>
      </c>
      <c r="U245" s="28">
        <v>400</v>
      </c>
      <c r="W245" s="9">
        <v>203</v>
      </c>
      <c r="X245" s="9" t="s">
        <v>29</v>
      </c>
      <c r="AF245">
        <v>258</v>
      </c>
      <c r="AG245" t="s">
        <v>27</v>
      </c>
      <c r="AH245">
        <v>2530</v>
      </c>
      <c r="AI245" s="7">
        <v>45769</v>
      </c>
    </row>
    <row r="246" spans="1:35">
      <c r="A246">
        <v>269</v>
      </c>
      <c r="B246" t="str">
        <f t="shared" si="69"/>
        <v>USD</v>
      </c>
      <c r="C246">
        <f t="shared" si="70"/>
        <v>0</v>
      </c>
      <c r="D246">
        <f>C246*_xlfn.XLOOKUP(B246,AM:AM,AN:AN)</f>
        <v>0</v>
      </c>
      <c r="E246">
        <f>C246*_xlfn.XLOOKUP(B246,AM:AM,AO:AO)</f>
        <v>0</v>
      </c>
      <c r="F246">
        <v>698</v>
      </c>
      <c r="G246">
        <f>F246*_xlfn.XLOOKUP(B246,AM:AM,AN:AN)</f>
        <v>600.28</v>
      </c>
      <c r="H246">
        <f>F246*_xlfn.XLOOKUP(B246,AM:AM,AO:AO)</f>
        <v>698</v>
      </c>
      <c r="I246">
        <f t="shared" si="71"/>
        <v>0</v>
      </c>
      <c r="J246">
        <f>I246*_xlfn.XLOOKUP(B246,AM:AM,AO:AO)</f>
        <v>0</v>
      </c>
      <c r="K246" s="7">
        <f t="shared" si="72"/>
        <v>45753</v>
      </c>
      <c r="L246" s="7">
        <f t="shared" si="73"/>
        <v>45723</v>
      </c>
      <c r="M246">
        <f t="shared" si="74"/>
        <v>3</v>
      </c>
      <c r="N246">
        <f t="shared" si="75"/>
        <v>2025</v>
      </c>
      <c r="Q246" s="22">
        <v>361</v>
      </c>
      <c r="R246" s="22">
        <v>6673.67</v>
      </c>
      <c r="S246" s="22" t="str">
        <f t="shared" si="76"/>
        <v>USD</v>
      </c>
      <c r="T246" s="22">
        <f t="shared" si="77"/>
        <v>6673.67</v>
      </c>
      <c r="U246" s="28">
        <v>400</v>
      </c>
      <c r="W246" s="9">
        <v>204</v>
      </c>
      <c r="X246" s="9" t="s">
        <v>27</v>
      </c>
      <c r="AF246">
        <v>259</v>
      </c>
      <c r="AG246" t="s">
        <v>29</v>
      </c>
      <c r="AH246">
        <v>1938.9</v>
      </c>
      <c r="AI246" s="7">
        <v>45824</v>
      </c>
    </row>
    <row r="247" spans="1:35">
      <c r="A247">
        <v>270</v>
      </c>
      <c r="B247" t="str">
        <f t="shared" si="69"/>
        <v>USD</v>
      </c>
      <c r="C247">
        <f t="shared" si="70"/>
        <v>0</v>
      </c>
      <c r="D247">
        <f>C247*_xlfn.XLOOKUP(B247,AM:AM,AN:AN)</f>
        <v>0</v>
      </c>
      <c r="E247">
        <f>C247*_xlfn.XLOOKUP(B247,AM:AM,AO:AO)</f>
        <v>0</v>
      </c>
      <c r="F247">
        <v>396.07</v>
      </c>
      <c r="G247">
        <f>F247*_xlfn.XLOOKUP(B247,AM:AM,AN:AN)</f>
        <v>340.62020000000001</v>
      </c>
      <c r="H247">
        <f>F247*_xlfn.XLOOKUP(B247,AM:AM,AO:AO)</f>
        <v>396.07</v>
      </c>
      <c r="I247">
        <f t="shared" si="71"/>
        <v>0</v>
      </c>
      <c r="J247">
        <f>I247*_xlfn.XLOOKUP(B247,AM:AM,AO:AO)</f>
        <v>0</v>
      </c>
      <c r="K247" s="7">
        <f t="shared" si="72"/>
        <v>45726</v>
      </c>
      <c r="L247" s="7">
        <f t="shared" si="73"/>
        <v>45696</v>
      </c>
      <c r="M247">
        <f t="shared" si="74"/>
        <v>2</v>
      </c>
      <c r="N247">
        <f t="shared" si="75"/>
        <v>2025</v>
      </c>
      <c r="Q247" s="22">
        <v>362</v>
      </c>
      <c r="R247" s="22">
        <v>49.999999999999972</v>
      </c>
      <c r="S247" s="22" t="str">
        <f t="shared" si="76"/>
        <v>USD</v>
      </c>
      <c r="T247" s="22">
        <f t="shared" si="77"/>
        <v>49.999999999999972</v>
      </c>
      <c r="U247" s="28">
        <v>400</v>
      </c>
      <c r="W247" s="9">
        <v>205</v>
      </c>
      <c r="X247" s="9" t="s">
        <v>28</v>
      </c>
      <c r="AF247">
        <v>260</v>
      </c>
      <c r="AG247" t="s">
        <v>29</v>
      </c>
      <c r="AH247">
        <v>42478.42</v>
      </c>
      <c r="AI247" s="7">
        <v>45761</v>
      </c>
    </row>
    <row r="248" spans="1:35">
      <c r="A248">
        <v>271</v>
      </c>
      <c r="B248" t="str">
        <f t="shared" si="69"/>
        <v>USD</v>
      </c>
      <c r="C248">
        <f t="shared" si="70"/>
        <v>0</v>
      </c>
      <c r="D248">
        <f>C248*_xlfn.XLOOKUP(B248,AM:AM,AN:AN)</f>
        <v>0</v>
      </c>
      <c r="E248">
        <f>C248*_xlfn.XLOOKUP(B248,AM:AM,AO:AO)</f>
        <v>0</v>
      </c>
      <c r="F248">
        <v>1019.5</v>
      </c>
      <c r="G248">
        <f>F248*_xlfn.XLOOKUP(B248,AM:AM,AN:AN)</f>
        <v>876.77</v>
      </c>
      <c r="H248">
        <f>F248*_xlfn.XLOOKUP(B248,AM:AM,AO:AO)</f>
        <v>1019.5</v>
      </c>
      <c r="I248">
        <f t="shared" si="71"/>
        <v>0</v>
      </c>
      <c r="J248">
        <f>I248*_xlfn.XLOOKUP(B248,AM:AM,AO:AO)</f>
        <v>0</v>
      </c>
      <c r="K248" s="7">
        <f t="shared" si="72"/>
        <v>45761</v>
      </c>
      <c r="L248" s="7">
        <f t="shared" si="73"/>
        <v>45731</v>
      </c>
      <c r="M248">
        <f t="shared" si="74"/>
        <v>3</v>
      </c>
      <c r="N248">
        <f t="shared" si="75"/>
        <v>2025</v>
      </c>
      <c r="Q248" s="22">
        <v>363</v>
      </c>
      <c r="R248" s="22">
        <v>20818</v>
      </c>
      <c r="S248" s="22" t="str">
        <f t="shared" si="76"/>
        <v>MXN</v>
      </c>
      <c r="T248" s="22">
        <f t="shared" si="77"/>
        <v>1165.808</v>
      </c>
      <c r="U248" s="28">
        <v>400</v>
      </c>
      <c r="W248" s="9">
        <v>206</v>
      </c>
      <c r="X248" s="9" t="s">
        <v>29</v>
      </c>
      <c r="AF248">
        <v>261</v>
      </c>
      <c r="AG248" t="s">
        <v>27</v>
      </c>
      <c r="AH248">
        <v>226603.09</v>
      </c>
      <c r="AI248" s="7">
        <v>45955</v>
      </c>
    </row>
    <row r="249" spans="1:35">
      <c r="A249">
        <v>273</v>
      </c>
      <c r="B249" t="str">
        <f t="shared" si="69"/>
        <v>EUR</v>
      </c>
      <c r="C249">
        <f t="shared" si="70"/>
        <v>0</v>
      </c>
      <c r="D249">
        <f>C249*_xlfn.XLOOKUP(B249,AM:AM,AN:AN)</f>
        <v>0</v>
      </c>
      <c r="E249">
        <f>C249*_xlfn.XLOOKUP(B249,AM:AM,AO:AO)</f>
        <v>0</v>
      </c>
      <c r="F249">
        <v>3613.5</v>
      </c>
      <c r="G249">
        <f>F249*_xlfn.XLOOKUP(B249,AM:AM,AN:AN)</f>
        <v>3613.5</v>
      </c>
      <c r="H249">
        <f>F249*_xlfn.XLOOKUP(B249,AM:AM,AO:AO)</f>
        <v>4191.66</v>
      </c>
      <c r="I249">
        <f t="shared" si="71"/>
        <v>0</v>
      </c>
      <c r="J249">
        <f>I249*_xlfn.XLOOKUP(B249,AM:AM,AO:AO)</f>
        <v>0</v>
      </c>
      <c r="K249" s="7">
        <f t="shared" si="72"/>
        <v>45777</v>
      </c>
      <c r="L249" s="7">
        <f t="shared" si="73"/>
        <v>45747</v>
      </c>
      <c r="M249">
        <f t="shared" si="74"/>
        <v>3</v>
      </c>
      <c r="N249">
        <f t="shared" si="75"/>
        <v>2025</v>
      </c>
      <c r="Q249" s="22">
        <v>364</v>
      </c>
      <c r="R249" s="22">
        <v>37582.409999999996</v>
      </c>
      <c r="S249" s="22" t="str">
        <f t="shared" si="76"/>
        <v>USD</v>
      </c>
      <c r="T249" s="22">
        <f t="shared" si="77"/>
        <v>37582.409999999996</v>
      </c>
      <c r="U249" s="28">
        <v>400</v>
      </c>
      <c r="W249" s="9">
        <v>206</v>
      </c>
      <c r="X249" s="9" t="s">
        <v>29</v>
      </c>
      <c r="AF249">
        <v>262</v>
      </c>
      <c r="AG249" t="s">
        <v>29</v>
      </c>
      <c r="AH249">
        <v>285959.34999999998</v>
      </c>
      <c r="AI249" s="7">
        <v>45966</v>
      </c>
    </row>
    <row r="250" spans="1:35">
      <c r="A250">
        <v>274</v>
      </c>
      <c r="B250" t="str">
        <f t="shared" si="69"/>
        <v>USD</v>
      </c>
      <c r="C250">
        <f t="shared" si="70"/>
        <v>0</v>
      </c>
      <c r="D250">
        <f>C250*_xlfn.XLOOKUP(B250,AM:AM,AN:AN)</f>
        <v>0</v>
      </c>
      <c r="E250">
        <f>C250*_xlfn.XLOOKUP(B250,AM:AM,AO:AO)</f>
        <v>0</v>
      </c>
      <c r="F250">
        <v>555.49</v>
      </c>
      <c r="G250">
        <f>F250*_xlfn.XLOOKUP(B250,AM:AM,AN:AN)</f>
        <v>477.72140000000002</v>
      </c>
      <c r="H250">
        <f>F250*_xlfn.XLOOKUP(B250,AM:AM,AO:AO)</f>
        <v>555.49</v>
      </c>
      <c r="I250">
        <f t="shared" si="71"/>
        <v>0</v>
      </c>
      <c r="J250">
        <f>I250*_xlfn.XLOOKUP(B250,AM:AM,AO:AO)</f>
        <v>0</v>
      </c>
      <c r="K250" s="7">
        <f t="shared" si="72"/>
        <v>45737</v>
      </c>
      <c r="L250" s="7">
        <f t="shared" si="73"/>
        <v>45707</v>
      </c>
      <c r="M250">
        <f t="shared" si="74"/>
        <v>2</v>
      </c>
      <c r="N250">
        <f t="shared" si="75"/>
        <v>2025</v>
      </c>
      <c r="Q250" s="22">
        <v>368</v>
      </c>
      <c r="R250" s="22">
        <v>1680</v>
      </c>
      <c r="S250" s="22" t="str">
        <f t="shared" si="76"/>
        <v>USD</v>
      </c>
      <c r="T250" s="22">
        <f t="shared" si="77"/>
        <v>1680</v>
      </c>
      <c r="U250" s="28">
        <v>400</v>
      </c>
      <c r="W250" s="9">
        <v>207</v>
      </c>
      <c r="X250" s="9" t="s">
        <v>29</v>
      </c>
      <c r="AF250">
        <v>263</v>
      </c>
      <c r="AG250" t="s">
        <v>28</v>
      </c>
      <c r="AH250">
        <v>465327.21</v>
      </c>
      <c r="AI250" s="7">
        <v>45731</v>
      </c>
    </row>
    <row r="251" spans="1:35">
      <c r="A251">
        <v>275</v>
      </c>
      <c r="B251" t="str">
        <f t="shared" si="69"/>
        <v>EUR</v>
      </c>
      <c r="C251">
        <f t="shared" si="70"/>
        <v>0</v>
      </c>
      <c r="D251">
        <f>C251*_xlfn.XLOOKUP(B251,AM:AM,AN:AN)</f>
        <v>0</v>
      </c>
      <c r="E251">
        <f>C251*_xlfn.XLOOKUP(B251,AM:AM,AO:AO)</f>
        <v>0</v>
      </c>
      <c r="F251">
        <v>9724.7999999999993</v>
      </c>
      <c r="G251">
        <f>F251*_xlfn.XLOOKUP(B251,AM:AM,AN:AN)</f>
        <v>9724.7999999999993</v>
      </c>
      <c r="H251">
        <f>F251*_xlfn.XLOOKUP(B251,AM:AM,AO:AO)</f>
        <v>11280.767999999998</v>
      </c>
      <c r="I251">
        <f t="shared" si="71"/>
        <v>0</v>
      </c>
      <c r="J251">
        <f>I251*_xlfn.XLOOKUP(B251,AM:AM,AO:AO)</f>
        <v>0</v>
      </c>
      <c r="K251" s="7">
        <f t="shared" si="72"/>
        <v>45810</v>
      </c>
      <c r="L251" s="7">
        <f t="shared" si="73"/>
        <v>45780</v>
      </c>
      <c r="M251">
        <f t="shared" si="74"/>
        <v>5</v>
      </c>
      <c r="N251">
        <f t="shared" si="75"/>
        <v>2025</v>
      </c>
      <c r="Q251" s="22">
        <v>369</v>
      </c>
      <c r="R251" s="22">
        <v>8223.9</v>
      </c>
      <c r="S251" s="22" t="str">
        <f t="shared" si="76"/>
        <v>USD</v>
      </c>
      <c r="T251" s="22">
        <f t="shared" si="77"/>
        <v>8223.9</v>
      </c>
      <c r="U251" s="28">
        <v>400</v>
      </c>
      <c r="W251" s="9">
        <v>208</v>
      </c>
      <c r="X251" s="9" t="s">
        <v>29</v>
      </c>
      <c r="AF251">
        <v>264</v>
      </c>
      <c r="AG251" t="s">
        <v>30</v>
      </c>
      <c r="AH251">
        <v>953.5</v>
      </c>
      <c r="AI251" s="7">
        <v>45823</v>
      </c>
    </row>
    <row r="252" spans="1:35">
      <c r="A252">
        <v>276</v>
      </c>
      <c r="B252" t="str">
        <f t="shared" si="69"/>
        <v>MXN</v>
      </c>
      <c r="C252">
        <f t="shared" si="70"/>
        <v>0</v>
      </c>
      <c r="D252">
        <f>C252*_xlfn.XLOOKUP(B252,AM:AM,AN:AN)</f>
        <v>0</v>
      </c>
      <c r="E252">
        <f>C252*_xlfn.XLOOKUP(B252,AM:AM,AO:AO)</f>
        <v>0</v>
      </c>
      <c r="F252">
        <v>187114.16</v>
      </c>
      <c r="G252">
        <f>F252*_xlfn.XLOOKUP(B252,AM:AM,AN:AN)</f>
        <v>8981.4796800000004</v>
      </c>
      <c r="H252">
        <f>F252*_xlfn.XLOOKUP(B252,AM:AM,AO:AO)</f>
        <v>10478.392960000001</v>
      </c>
      <c r="I252">
        <f t="shared" si="71"/>
        <v>0</v>
      </c>
      <c r="J252">
        <f>I252*_xlfn.XLOOKUP(B252,AM:AM,AO:AO)</f>
        <v>0</v>
      </c>
      <c r="K252" s="7">
        <f t="shared" si="72"/>
        <v>45778</v>
      </c>
      <c r="L252" s="7">
        <f t="shared" si="73"/>
        <v>45748</v>
      </c>
      <c r="M252">
        <f t="shared" si="74"/>
        <v>4</v>
      </c>
      <c r="N252">
        <f t="shared" si="75"/>
        <v>2025</v>
      </c>
      <c r="Q252" s="22">
        <v>370</v>
      </c>
      <c r="R252" s="22">
        <v>4797.9699999999993</v>
      </c>
      <c r="S252" s="22" t="str">
        <f t="shared" si="76"/>
        <v>USD</v>
      </c>
      <c r="T252" s="22">
        <f t="shared" si="77"/>
        <v>4797.9699999999993</v>
      </c>
      <c r="U252" s="28">
        <v>400</v>
      </c>
      <c r="W252" s="9">
        <v>213</v>
      </c>
      <c r="X252" s="9" t="s">
        <v>29</v>
      </c>
      <c r="AF252">
        <v>265</v>
      </c>
      <c r="AG252" t="s">
        <v>27</v>
      </c>
      <c r="AH252">
        <v>256.52999999999997</v>
      </c>
      <c r="AI252" s="7">
        <v>45679</v>
      </c>
    </row>
    <row r="253" spans="1:35">
      <c r="A253">
        <v>278</v>
      </c>
      <c r="B253" t="str">
        <f t="shared" si="69"/>
        <v>USD</v>
      </c>
      <c r="C253">
        <f t="shared" si="70"/>
        <v>15916.04</v>
      </c>
      <c r="D253">
        <f>C253*_xlfn.XLOOKUP(B253,AM:AM,AN:AN)</f>
        <v>13687.794400000001</v>
      </c>
      <c r="E253">
        <f>C253*_xlfn.XLOOKUP(B253,AM:AM,AO:AO)</f>
        <v>15916.04</v>
      </c>
      <c r="F253">
        <v>29618.04</v>
      </c>
      <c r="G253">
        <f>F253*_xlfn.XLOOKUP(B253,AM:AM,AN:AN)</f>
        <v>25471.5144</v>
      </c>
      <c r="H253">
        <f>F253*_xlfn.XLOOKUP(B253,AM:AM,AO:AO)</f>
        <v>29618.04</v>
      </c>
      <c r="I253">
        <f t="shared" si="71"/>
        <v>0</v>
      </c>
      <c r="J253">
        <f>I253*_xlfn.XLOOKUP(B253,AM:AM,AO:AO)</f>
        <v>0</v>
      </c>
      <c r="K253" s="7">
        <f t="shared" si="72"/>
        <v>45973</v>
      </c>
      <c r="L253" s="7">
        <f t="shared" si="73"/>
        <v>45943</v>
      </c>
      <c r="M253">
        <f t="shared" si="74"/>
        <v>10</v>
      </c>
      <c r="N253">
        <f t="shared" si="75"/>
        <v>2025</v>
      </c>
      <c r="Q253" s="22">
        <v>371</v>
      </c>
      <c r="R253" s="22">
        <v>40578.530000000006</v>
      </c>
      <c r="S253" s="22" t="str">
        <f t="shared" si="76"/>
        <v>USD</v>
      </c>
      <c r="T253" s="22">
        <f t="shared" si="77"/>
        <v>40578.530000000006</v>
      </c>
      <c r="U253" s="28">
        <v>400</v>
      </c>
      <c r="W253" s="9">
        <v>213</v>
      </c>
      <c r="X253" s="9" t="s">
        <v>29</v>
      </c>
      <c r="AF253">
        <v>266</v>
      </c>
      <c r="AG253" t="s">
        <v>29</v>
      </c>
      <c r="AH253">
        <v>390</v>
      </c>
      <c r="AI253" s="7">
        <v>45677</v>
      </c>
    </row>
    <row r="254" spans="1:35">
      <c r="A254">
        <v>279</v>
      </c>
      <c r="B254" t="str">
        <f t="shared" si="69"/>
        <v>USD</v>
      </c>
      <c r="C254">
        <f t="shared" si="70"/>
        <v>14814.150000000001</v>
      </c>
      <c r="D254">
        <f>C254*_xlfn.XLOOKUP(B254,AM:AM,AN:AN)</f>
        <v>12740.169000000002</v>
      </c>
      <c r="E254">
        <f>C254*_xlfn.XLOOKUP(B254,AM:AM,AO:AO)</f>
        <v>14814.150000000001</v>
      </c>
      <c r="F254">
        <v>51013.32</v>
      </c>
      <c r="G254">
        <f>F254*_xlfn.XLOOKUP(B254,AM:AM,AN:AN)</f>
        <v>43871.455199999997</v>
      </c>
      <c r="H254">
        <f>F254*_xlfn.XLOOKUP(B254,AM:AM,AO:AO)</f>
        <v>51013.32</v>
      </c>
      <c r="I254">
        <f t="shared" si="71"/>
        <v>0</v>
      </c>
      <c r="J254">
        <f>I254*_xlfn.XLOOKUP(B254,AM:AM,AO:AO)</f>
        <v>0</v>
      </c>
      <c r="K254" s="7">
        <f t="shared" si="72"/>
        <v>45799</v>
      </c>
      <c r="L254" s="7">
        <f t="shared" si="73"/>
        <v>45769</v>
      </c>
      <c r="M254">
        <f t="shared" si="74"/>
        <v>4</v>
      </c>
      <c r="N254">
        <f t="shared" si="75"/>
        <v>2025</v>
      </c>
      <c r="Q254" s="22">
        <v>372</v>
      </c>
      <c r="R254" s="22">
        <v>3133.96</v>
      </c>
      <c r="S254" s="22" t="str">
        <f t="shared" si="76"/>
        <v>USD</v>
      </c>
      <c r="T254" s="22">
        <f t="shared" si="77"/>
        <v>3133.96</v>
      </c>
      <c r="U254" s="28">
        <v>400</v>
      </c>
      <c r="W254" s="9">
        <v>213</v>
      </c>
      <c r="X254" s="9" t="s">
        <v>29</v>
      </c>
      <c r="AF254">
        <v>267</v>
      </c>
      <c r="AG254" t="s">
        <v>29</v>
      </c>
      <c r="AH254">
        <v>926.6</v>
      </c>
      <c r="AI254" s="7">
        <v>45742</v>
      </c>
    </row>
    <row r="255" spans="1:35">
      <c r="A255">
        <v>280</v>
      </c>
      <c r="B255" t="str">
        <f t="shared" si="69"/>
        <v>USD</v>
      </c>
      <c r="C255">
        <f t="shared" si="70"/>
        <v>1143.8699999999999</v>
      </c>
      <c r="D255">
        <f>C255*_xlfn.XLOOKUP(B255,AM:AM,AN:AN)</f>
        <v>983.7281999999999</v>
      </c>
      <c r="E255">
        <f>C255*_xlfn.XLOOKUP(B255,AM:AM,AO:AO)</f>
        <v>1143.8699999999999</v>
      </c>
      <c r="F255">
        <v>1143.8699999999999</v>
      </c>
      <c r="G255">
        <f>F255*_xlfn.XLOOKUP(B255,AM:AM,AN:AN)</f>
        <v>983.7281999999999</v>
      </c>
      <c r="H255">
        <f>F255*_xlfn.XLOOKUP(B255,AM:AM,AO:AO)</f>
        <v>1143.8699999999999</v>
      </c>
      <c r="I255">
        <f t="shared" si="71"/>
        <v>0</v>
      </c>
      <c r="J255">
        <f>I255*_xlfn.XLOOKUP(B255,AM:AM,AO:AO)</f>
        <v>0</v>
      </c>
      <c r="K255" s="7">
        <f t="shared" si="72"/>
        <v>45782</v>
      </c>
      <c r="L255" s="7">
        <f t="shared" si="73"/>
        <v>45752</v>
      </c>
      <c r="M255">
        <f t="shared" si="74"/>
        <v>4</v>
      </c>
      <c r="N255">
        <f t="shared" si="75"/>
        <v>2025</v>
      </c>
      <c r="Q255" s="22">
        <v>373</v>
      </c>
      <c r="R255" s="22">
        <v>5229.63</v>
      </c>
      <c r="S255" s="22" t="str">
        <f t="shared" si="76"/>
        <v>USD</v>
      </c>
      <c r="T255" s="22">
        <f t="shared" si="77"/>
        <v>5229.63</v>
      </c>
      <c r="U255" s="28">
        <v>400</v>
      </c>
      <c r="W255" s="9">
        <v>213</v>
      </c>
      <c r="X255" s="9" t="s">
        <v>29</v>
      </c>
      <c r="AF255">
        <v>268</v>
      </c>
      <c r="AG255" t="s">
        <v>29</v>
      </c>
      <c r="AH255">
        <v>417</v>
      </c>
      <c r="AI255" s="7">
        <v>45747</v>
      </c>
    </row>
    <row r="256" spans="1:35">
      <c r="A256">
        <v>281</v>
      </c>
      <c r="B256" t="str">
        <f t="shared" si="69"/>
        <v>USD</v>
      </c>
      <c r="C256">
        <f t="shared" si="70"/>
        <v>0</v>
      </c>
      <c r="D256">
        <f>C256*_xlfn.XLOOKUP(B256,AM:AM,AN:AN)</f>
        <v>0</v>
      </c>
      <c r="E256">
        <f>C256*_xlfn.XLOOKUP(B256,AM:AM,AO:AO)</f>
        <v>0</v>
      </c>
      <c r="F256">
        <v>4403.08</v>
      </c>
      <c r="G256">
        <f>F256*_xlfn.XLOOKUP(B256,AM:AM,AN:AN)</f>
        <v>3786.6487999999999</v>
      </c>
      <c r="H256">
        <f>F256*_xlfn.XLOOKUP(B256,AM:AM,AO:AO)</f>
        <v>4403.08</v>
      </c>
      <c r="I256">
        <f t="shared" si="71"/>
        <v>0</v>
      </c>
      <c r="J256">
        <f>I256*_xlfn.XLOOKUP(B256,AM:AM,AO:AO)</f>
        <v>0</v>
      </c>
      <c r="K256" s="7">
        <f t="shared" si="72"/>
        <v>45654</v>
      </c>
      <c r="L256" s="7">
        <f t="shared" si="73"/>
        <v>45624</v>
      </c>
      <c r="M256">
        <f t="shared" si="74"/>
        <v>11</v>
      </c>
      <c r="N256">
        <f t="shared" si="75"/>
        <v>2024</v>
      </c>
      <c r="Q256" s="22">
        <v>374</v>
      </c>
      <c r="R256" s="22">
        <v>138570</v>
      </c>
      <c r="S256" s="22" t="str">
        <f t="shared" si="76"/>
        <v>MXN</v>
      </c>
      <c r="T256" s="22">
        <f t="shared" si="77"/>
        <v>7759.92</v>
      </c>
      <c r="U256" s="28">
        <v>400</v>
      </c>
      <c r="W256" s="9">
        <v>214</v>
      </c>
      <c r="X256" s="9" t="s">
        <v>29</v>
      </c>
      <c r="AF256">
        <v>269</v>
      </c>
      <c r="AG256" t="s">
        <v>29</v>
      </c>
      <c r="AH256">
        <v>698</v>
      </c>
      <c r="AI256" s="7">
        <v>45753</v>
      </c>
    </row>
    <row r="257" spans="1:35">
      <c r="A257">
        <v>282</v>
      </c>
      <c r="B257" t="str">
        <f t="shared" si="69"/>
        <v>USD</v>
      </c>
      <c r="C257">
        <f t="shared" si="70"/>
        <v>23498.11</v>
      </c>
      <c r="D257">
        <f>C257*_xlfn.XLOOKUP(B257,AM:AM,AN:AN)</f>
        <v>20208.374599999999</v>
      </c>
      <c r="E257">
        <f>C257*_xlfn.XLOOKUP(B257,AM:AM,AO:AO)</f>
        <v>23498.11</v>
      </c>
      <c r="F257">
        <v>26704.61</v>
      </c>
      <c r="G257">
        <f>F257*_xlfn.XLOOKUP(B257,AM:AM,AN:AN)</f>
        <v>22965.964599999999</v>
      </c>
      <c r="H257">
        <f>F257*_xlfn.XLOOKUP(B257,AM:AM,AO:AO)</f>
        <v>26704.61</v>
      </c>
      <c r="I257">
        <f t="shared" si="71"/>
        <v>0</v>
      </c>
      <c r="J257">
        <f>I257*_xlfn.XLOOKUP(B257,AM:AM,AO:AO)</f>
        <v>0</v>
      </c>
      <c r="K257" s="7">
        <f t="shared" si="72"/>
        <v>45862</v>
      </c>
      <c r="L257" s="7">
        <f t="shared" si="73"/>
        <v>45832</v>
      </c>
      <c r="M257">
        <f t="shared" si="74"/>
        <v>6</v>
      </c>
      <c r="N257">
        <f t="shared" si="75"/>
        <v>2025</v>
      </c>
      <c r="Q257" s="22">
        <v>375</v>
      </c>
      <c r="R257" s="22">
        <v>25529</v>
      </c>
      <c r="S257" s="22" t="str">
        <f t="shared" si="76"/>
        <v>MXN</v>
      </c>
      <c r="T257" s="22">
        <f t="shared" si="77"/>
        <v>1429.624</v>
      </c>
      <c r="U257" s="28">
        <v>400</v>
      </c>
      <c r="W257" s="9">
        <v>215</v>
      </c>
      <c r="X257" s="9" t="s">
        <v>27</v>
      </c>
      <c r="AF257">
        <v>270</v>
      </c>
      <c r="AG257" t="s">
        <v>29</v>
      </c>
      <c r="AH257">
        <v>396.07</v>
      </c>
      <c r="AI257" s="7">
        <v>45726</v>
      </c>
    </row>
    <row r="258" spans="1:35">
      <c r="A258">
        <v>283</v>
      </c>
      <c r="B258" t="str">
        <f t="shared" si="69"/>
        <v>USD</v>
      </c>
      <c r="C258">
        <f t="shared" si="70"/>
        <v>0</v>
      </c>
      <c r="D258">
        <f>C258*_xlfn.XLOOKUP(B258,AM:AM,AN:AN)</f>
        <v>0</v>
      </c>
      <c r="E258">
        <f>C258*_xlfn.XLOOKUP(B258,AM:AM,AO:AO)</f>
        <v>0</v>
      </c>
      <c r="F258">
        <v>3108</v>
      </c>
      <c r="G258">
        <f>F258*_xlfn.XLOOKUP(B258,AM:AM,AN:AN)</f>
        <v>2672.88</v>
      </c>
      <c r="H258">
        <f>F258*_xlfn.XLOOKUP(B258,AM:AM,AO:AO)</f>
        <v>3108</v>
      </c>
      <c r="I258">
        <f t="shared" si="71"/>
        <v>0</v>
      </c>
      <c r="J258">
        <f>I258*_xlfn.XLOOKUP(B258,AM:AM,AO:AO)</f>
        <v>0</v>
      </c>
      <c r="K258" s="7">
        <f t="shared" si="72"/>
        <v>45645</v>
      </c>
      <c r="L258" s="7">
        <f t="shared" si="73"/>
        <v>45615</v>
      </c>
      <c r="M258">
        <f t="shared" si="74"/>
        <v>11</v>
      </c>
      <c r="N258">
        <f t="shared" si="75"/>
        <v>2024</v>
      </c>
      <c r="Q258" s="22">
        <v>376</v>
      </c>
      <c r="R258" s="22">
        <v>1750</v>
      </c>
      <c r="S258" s="22" t="str">
        <f t="shared" si="76"/>
        <v>USD</v>
      </c>
      <c r="T258" s="22">
        <f t="shared" si="77"/>
        <v>1750</v>
      </c>
      <c r="U258" s="28">
        <v>400</v>
      </c>
      <c r="W258" s="9">
        <v>215</v>
      </c>
      <c r="X258" s="9" t="s">
        <v>27</v>
      </c>
      <c r="AF258">
        <v>271</v>
      </c>
      <c r="AG258" t="s">
        <v>29</v>
      </c>
      <c r="AH258">
        <v>1019.5</v>
      </c>
      <c r="AI258" s="7">
        <v>45761</v>
      </c>
    </row>
    <row r="259" spans="1:35">
      <c r="A259">
        <v>284</v>
      </c>
      <c r="B259" t="str">
        <f t="shared" ref="B259:B322" si="78">_xlfn.XLOOKUP(A259,AF:AF,AG:AG)</f>
        <v>USD</v>
      </c>
      <c r="C259">
        <f t="shared" ref="C259:C322" si="79">_xlfn.XLOOKUP(A259,AF:AF,AH:AH)-_xlfn.XLOOKUP(A259,Q:Q,R:R,"0")</f>
        <v>0</v>
      </c>
      <c r="D259">
        <f>C259*_xlfn.XLOOKUP(B259,AM:AM,AN:AN)</f>
        <v>0</v>
      </c>
      <c r="E259">
        <f>C259*_xlfn.XLOOKUP(B259,AM:AM,AO:AO)</f>
        <v>0</v>
      </c>
      <c r="F259">
        <v>19328.54</v>
      </c>
      <c r="G259">
        <f>F259*_xlfn.XLOOKUP(B259,AM:AM,AN:AN)</f>
        <v>16622.544399999999</v>
      </c>
      <c r="H259">
        <f>F259*_xlfn.XLOOKUP(B259,AM:AM,AO:AO)</f>
        <v>19328.54</v>
      </c>
      <c r="I259">
        <f t="shared" ref="I259:I322" si="80">C259-F259+_xlfn.XLOOKUP(A259,Q:Q,R:R,"0")-_xlfn.XLOOKUP(A259,Z:Z,AA:AA,"0")</f>
        <v>0</v>
      </c>
      <c r="J259">
        <f>I259*_xlfn.XLOOKUP(B259,AM:AM,AO:AO)</f>
        <v>0</v>
      </c>
      <c r="K259" s="7">
        <f t="shared" ref="K259:K322" si="81">_xlfn.XLOOKUP(A259,AF:AF,AI:AI)</f>
        <v>45654</v>
      </c>
      <c r="L259" s="7">
        <f t="shared" ref="L259:L322" si="82">K259-30</f>
        <v>45624</v>
      </c>
      <c r="M259">
        <f t="shared" ref="M259:M322" si="83">MONTH(L259)</f>
        <v>11</v>
      </c>
      <c r="N259">
        <f t="shared" ref="N259:N322" si="84">YEAR(L259)</f>
        <v>2024</v>
      </c>
      <c r="Q259" s="22">
        <v>377</v>
      </c>
      <c r="R259" s="22">
        <v>28779.599999999999</v>
      </c>
      <c r="S259" s="22" t="str">
        <f t="shared" ref="S259:S322" si="85">_xlfn.XLOOKUP(Q259,W:W,X:X)</f>
        <v>USD</v>
      </c>
      <c r="T259" s="22">
        <f t="shared" si="77"/>
        <v>28779.599999999999</v>
      </c>
      <c r="U259" s="28">
        <v>400</v>
      </c>
      <c r="W259" s="9">
        <v>215</v>
      </c>
      <c r="X259" s="9" t="s">
        <v>27</v>
      </c>
      <c r="AF259">
        <v>273</v>
      </c>
      <c r="AG259" t="s">
        <v>27</v>
      </c>
      <c r="AH259">
        <v>3613.5</v>
      </c>
      <c r="AI259" s="7">
        <v>45777</v>
      </c>
    </row>
    <row r="260" spans="1:35">
      <c r="A260">
        <v>285</v>
      </c>
      <c r="B260" t="str">
        <f t="shared" si="78"/>
        <v>USD</v>
      </c>
      <c r="C260">
        <f t="shared" si="79"/>
        <v>0</v>
      </c>
      <c r="D260">
        <f>C260*_xlfn.XLOOKUP(B260,AM:AM,AN:AN)</f>
        <v>0</v>
      </c>
      <c r="E260">
        <f>C260*_xlfn.XLOOKUP(B260,AM:AM,AO:AO)</f>
        <v>0</v>
      </c>
      <c r="F260">
        <v>4276.47</v>
      </c>
      <c r="G260">
        <f>F260*_xlfn.XLOOKUP(B260,AM:AM,AN:AN)</f>
        <v>3677.7642000000001</v>
      </c>
      <c r="H260">
        <f>F260*_xlfn.XLOOKUP(B260,AM:AM,AO:AO)</f>
        <v>4276.47</v>
      </c>
      <c r="I260">
        <f t="shared" si="80"/>
        <v>0</v>
      </c>
      <c r="J260">
        <f>I260*_xlfn.XLOOKUP(B260,AM:AM,AO:AO)</f>
        <v>0</v>
      </c>
      <c r="K260" s="7">
        <f t="shared" si="81"/>
        <v>45654</v>
      </c>
      <c r="L260" s="7">
        <f t="shared" si="82"/>
        <v>45624</v>
      </c>
      <c r="M260">
        <f t="shared" si="83"/>
        <v>11</v>
      </c>
      <c r="N260">
        <f t="shared" si="84"/>
        <v>2024</v>
      </c>
      <c r="Q260" s="22">
        <v>378</v>
      </c>
      <c r="R260" s="22">
        <v>6500</v>
      </c>
      <c r="S260" s="22" t="str">
        <f t="shared" si="85"/>
        <v>USD</v>
      </c>
      <c r="T260" s="22">
        <f t="shared" si="77"/>
        <v>6500</v>
      </c>
      <c r="U260" s="28">
        <v>400</v>
      </c>
      <c r="W260" s="9">
        <v>215</v>
      </c>
      <c r="X260" s="9" t="s">
        <v>27</v>
      </c>
      <c r="AF260">
        <v>274</v>
      </c>
      <c r="AG260" t="s">
        <v>29</v>
      </c>
      <c r="AH260">
        <v>555.49</v>
      </c>
      <c r="AI260" s="7">
        <v>45737</v>
      </c>
    </row>
    <row r="261" spans="1:35">
      <c r="A261">
        <v>286</v>
      </c>
      <c r="B261" t="str">
        <f t="shared" si="78"/>
        <v>USD</v>
      </c>
      <c r="C261">
        <f t="shared" si="79"/>
        <v>0</v>
      </c>
      <c r="D261">
        <f>C261*_xlfn.XLOOKUP(B261,AM:AM,AN:AN)</f>
        <v>0</v>
      </c>
      <c r="E261">
        <f>C261*_xlfn.XLOOKUP(B261,AM:AM,AO:AO)</f>
        <v>0</v>
      </c>
      <c r="F261">
        <v>2297.91</v>
      </c>
      <c r="G261">
        <f>F261*_xlfn.XLOOKUP(B261,AM:AM,AN:AN)</f>
        <v>1976.2025999999998</v>
      </c>
      <c r="H261">
        <f>F261*_xlfn.XLOOKUP(B261,AM:AM,AO:AO)</f>
        <v>2297.91</v>
      </c>
      <c r="I261">
        <f t="shared" si="80"/>
        <v>0</v>
      </c>
      <c r="J261">
        <f>I261*_xlfn.XLOOKUP(B261,AM:AM,AO:AO)</f>
        <v>0</v>
      </c>
      <c r="K261" s="7">
        <f t="shared" si="81"/>
        <v>45668</v>
      </c>
      <c r="L261" s="7">
        <f t="shared" si="82"/>
        <v>45638</v>
      </c>
      <c r="M261">
        <f t="shared" si="83"/>
        <v>12</v>
      </c>
      <c r="N261">
        <f t="shared" si="84"/>
        <v>2024</v>
      </c>
      <c r="Q261" s="22">
        <v>379</v>
      </c>
      <c r="R261" s="22">
        <v>48164.24</v>
      </c>
      <c r="S261" s="22" t="str">
        <f t="shared" si="85"/>
        <v>USD</v>
      </c>
      <c r="T261" s="22">
        <f t="shared" si="77"/>
        <v>48164.24</v>
      </c>
      <c r="U261" s="28">
        <v>400</v>
      </c>
      <c r="W261" s="9">
        <v>215</v>
      </c>
      <c r="X261" s="9" t="s">
        <v>27</v>
      </c>
      <c r="AF261">
        <v>275</v>
      </c>
      <c r="AG261" t="s">
        <v>27</v>
      </c>
      <c r="AH261">
        <v>9724.7999999999993</v>
      </c>
      <c r="AI261" s="7">
        <v>45810</v>
      </c>
    </row>
    <row r="262" spans="1:35">
      <c r="A262">
        <v>287</v>
      </c>
      <c r="B262" t="str">
        <f t="shared" si="78"/>
        <v>EUR</v>
      </c>
      <c r="C262">
        <f t="shared" si="79"/>
        <v>0</v>
      </c>
      <c r="D262">
        <f>C262*_xlfn.XLOOKUP(B262,AM:AM,AN:AN)</f>
        <v>0</v>
      </c>
      <c r="E262">
        <f>C262*_xlfn.XLOOKUP(B262,AM:AM,AO:AO)</f>
        <v>0</v>
      </c>
      <c r="F262">
        <v>3806.23</v>
      </c>
      <c r="G262">
        <f>F262*_xlfn.XLOOKUP(B262,AM:AM,AN:AN)</f>
        <v>3806.23</v>
      </c>
      <c r="H262">
        <f>F262*_xlfn.XLOOKUP(B262,AM:AM,AO:AO)</f>
        <v>4415.2267999999995</v>
      </c>
      <c r="I262">
        <f t="shared" si="80"/>
        <v>0</v>
      </c>
      <c r="J262">
        <f>I262*_xlfn.XLOOKUP(B262,AM:AM,AO:AO)</f>
        <v>0</v>
      </c>
      <c r="K262" s="7">
        <f t="shared" si="81"/>
        <v>45833</v>
      </c>
      <c r="L262" s="7">
        <f t="shared" si="82"/>
        <v>45803</v>
      </c>
      <c r="M262">
        <f t="shared" si="83"/>
        <v>5</v>
      </c>
      <c r="N262">
        <f t="shared" si="84"/>
        <v>2025</v>
      </c>
      <c r="Q262" s="22">
        <v>380</v>
      </c>
      <c r="R262" s="22">
        <v>7136.4</v>
      </c>
      <c r="S262" s="22" t="str">
        <f t="shared" si="85"/>
        <v>USD</v>
      </c>
      <c r="T262" s="22">
        <f t="shared" si="77"/>
        <v>7136.4</v>
      </c>
      <c r="U262" s="28">
        <v>400</v>
      </c>
      <c r="W262" s="9">
        <v>216</v>
      </c>
      <c r="X262" s="9" t="s">
        <v>29</v>
      </c>
      <c r="AF262">
        <v>276</v>
      </c>
      <c r="AG262" t="s">
        <v>28</v>
      </c>
      <c r="AH262">
        <v>187114.16</v>
      </c>
      <c r="AI262" s="7">
        <v>45778</v>
      </c>
    </row>
    <row r="263" spans="1:35">
      <c r="A263">
        <v>288</v>
      </c>
      <c r="B263" t="str">
        <f t="shared" si="78"/>
        <v>USD</v>
      </c>
      <c r="C263">
        <f t="shared" si="79"/>
        <v>174.99999999999272</v>
      </c>
      <c r="D263">
        <f>C263*_xlfn.XLOOKUP(B263,AM:AM,AN:AN)</f>
        <v>150.49999999999375</v>
      </c>
      <c r="E263">
        <f>C263*_xlfn.XLOOKUP(B263,AM:AM,AO:AO)</f>
        <v>174.99999999999272</v>
      </c>
      <c r="F263">
        <v>36460.839999999997</v>
      </c>
      <c r="G263">
        <f>F263*_xlfn.XLOOKUP(B263,AM:AM,AN:AN)</f>
        <v>31356.322399999997</v>
      </c>
      <c r="H263">
        <f>F263*_xlfn.XLOOKUP(B263,AM:AM,AO:AO)</f>
        <v>36460.839999999997</v>
      </c>
      <c r="I263">
        <f t="shared" si="80"/>
        <v>0</v>
      </c>
      <c r="J263">
        <f>I263*_xlfn.XLOOKUP(B263,AM:AM,AO:AO)</f>
        <v>0</v>
      </c>
      <c r="K263" s="7">
        <f t="shared" si="81"/>
        <v>45837</v>
      </c>
      <c r="L263" s="7">
        <f t="shared" si="82"/>
        <v>45807</v>
      </c>
      <c r="M263">
        <f t="shared" si="83"/>
        <v>5</v>
      </c>
      <c r="N263">
        <f t="shared" si="84"/>
        <v>2025</v>
      </c>
      <c r="Q263" s="22">
        <v>382</v>
      </c>
      <c r="R263" s="22">
        <v>2623.84</v>
      </c>
      <c r="S263" s="22" t="str">
        <f t="shared" si="85"/>
        <v>USD</v>
      </c>
      <c r="T263" s="22">
        <f t="shared" si="77"/>
        <v>2623.84</v>
      </c>
      <c r="U263" s="28">
        <v>400</v>
      </c>
      <c r="W263" s="9">
        <v>216</v>
      </c>
      <c r="X263" s="9" t="s">
        <v>29</v>
      </c>
      <c r="AF263">
        <v>278</v>
      </c>
      <c r="AG263" t="s">
        <v>29</v>
      </c>
      <c r="AH263">
        <v>29618.04</v>
      </c>
      <c r="AI263" s="7">
        <v>45973</v>
      </c>
    </row>
    <row r="264" spans="1:35">
      <c r="A264">
        <v>289</v>
      </c>
      <c r="B264" t="str">
        <f t="shared" si="78"/>
        <v>USD</v>
      </c>
      <c r="C264">
        <f t="shared" si="79"/>
        <v>2070.1999999999998</v>
      </c>
      <c r="D264">
        <f>C264*_xlfn.XLOOKUP(B264,AM:AM,AN:AN)</f>
        <v>1780.3719999999998</v>
      </c>
      <c r="E264">
        <f>C264*_xlfn.XLOOKUP(B264,AM:AM,AO:AO)</f>
        <v>2070.1999999999998</v>
      </c>
      <c r="F264">
        <v>2070.1999999999998</v>
      </c>
      <c r="G264">
        <f>F264*_xlfn.XLOOKUP(B264,AM:AM,AN:AN)</f>
        <v>1780.3719999999998</v>
      </c>
      <c r="H264">
        <f>F264*_xlfn.XLOOKUP(B264,AM:AM,AO:AO)</f>
        <v>2070.1999999999998</v>
      </c>
      <c r="I264">
        <f t="shared" si="80"/>
        <v>0</v>
      </c>
      <c r="J264">
        <f>I264*_xlfn.XLOOKUP(B264,AM:AM,AO:AO)</f>
        <v>0</v>
      </c>
      <c r="K264" s="7">
        <f t="shared" si="81"/>
        <v>45791</v>
      </c>
      <c r="L264" s="7">
        <f t="shared" si="82"/>
        <v>45761</v>
      </c>
      <c r="M264">
        <f t="shared" si="83"/>
        <v>4</v>
      </c>
      <c r="N264">
        <f t="shared" si="84"/>
        <v>2025</v>
      </c>
      <c r="Q264" s="22">
        <v>384</v>
      </c>
      <c r="R264" s="22">
        <v>4324.59</v>
      </c>
      <c r="S264" s="22" t="str">
        <f t="shared" si="85"/>
        <v>USD</v>
      </c>
      <c r="T264" s="22">
        <f t="shared" si="77"/>
        <v>4324.59</v>
      </c>
      <c r="U264" s="28">
        <v>400</v>
      </c>
      <c r="W264" s="9">
        <v>217</v>
      </c>
      <c r="X264" s="9" t="s">
        <v>29</v>
      </c>
      <c r="AF264">
        <v>279</v>
      </c>
      <c r="AG264" t="s">
        <v>29</v>
      </c>
      <c r="AH264">
        <v>51013.32</v>
      </c>
      <c r="AI264" s="7">
        <v>45799</v>
      </c>
    </row>
    <row r="265" spans="1:35">
      <c r="A265">
        <v>290</v>
      </c>
      <c r="B265" t="str">
        <f t="shared" si="78"/>
        <v>USD</v>
      </c>
      <c r="C265">
        <f t="shared" si="79"/>
        <v>3334.46</v>
      </c>
      <c r="D265">
        <f>C265*_xlfn.XLOOKUP(B265,AM:AM,AN:AN)</f>
        <v>2867.6356000000001</v>
      </c>
      <c r="E265">
        <f>C265*_xlfn.XLOOKUP(B265,AM:AM,AO:AO)</f>
        <v>3334.46</v>
      </c>
      <c r="F265">
        <v>3334.46</v>
      </c>
      <c r="G265">
        <f>F265*_xlfn.XLOOKUP(B265,AM:AM,AN:AN)</f>
        <v>2867.6356000000001</v>
      </c>
      <c r="H265">
        <f>F265*_xlfn.XLOOKUP(B265,AM:AM,AO:AO)</f>
        <v>3334.46</v>
      </c>
      <c r="I265">
        <f t="shared" si="80"/>
        <v>0</v>
      </c>
      <c r="J265">
        <f>I265*_xlfn.XLOOKUP(B265,AM:AM,AO:AO)</f>
        <v>0</v>
      </c>
      <c r="K265" s="7">
        <f t="shared" si="81"/>
        <v>45793</v>
      </c>
      <c r="L265" s="7">
        <f t="shared" si="82"/>
        <v>45763</v>
      </c>
      <c r="M265">
        <f t="shared" si="83"/>
        <v>4</v>
      </c>
      <c r="N265">
        <f t="shared" si="84"/>
        <v>2025</v>
      </c>
      <c r="Q265" s="22">
        <v>385</v>
      </c>
      <c r="R265" s="22">
        <v>3000</v>
      </c>
      <c r="S265" s="22" t="str">
        <f t="shared" si="85"/>
        <v>USD</v>
      </c>
      <c r="T265" s="22">
        <f t="shared" si="77"/>
        <v>3000</v>
      </c>
      <c r="U265" s="28">
        <v>400</v>
      </c>
      <c r="W265" s="9">
        <v>218</v>
      </c>
      <c r="X265" s="9" t="s">
        <v>29</v>
      </c>
      <c r="AF265">
        <v>280</v>
      </c>
      <c r="AG265" t="s">
        <v>29</v>
      </c>
      <c r="AH265">
        <v>1143.8699999999999</v>
      </c>
      <c r="AI265" s="7">
        <v>45782</v>
      </c>
    </row>
    <row r="266" spans="1:35">
      <c r="A266">
        <v>291</v>
      </c>
      <c r="B266" t="str">
        <f t="shared" si="78"/>
        <v>MXN</v>
      </c>
      <c r="C266">
        <f t="shared" si="79"/>
        <v>44219</v>
      </c>
      <c r="D266">
        <f>C266*_xlfn.XLOOKUP(B266,AM:AM,AN:AN)</f>
        <v>2122.5120000000002</v>
      </c>
      <c r="E266">
        <f>C266*_xlfn.XLOOKUP(B266,AM:AM,AO:AO)</f>
        <v>2476.2640000000001</v>
      </c>
      <c r="F266">
        <v>44219</v>
      </c>
      <c r="G266">
        <f>F266*_xlfn.XLOOKUP(B266,AM:AM,AN:AN)</f>
        <v>2122.5120000000002</v>
      </c>
      <c r="H266">
        <f>F266*_xlfn.XLOOKUP(B266,AM:AM,AO:AO)</f>
        <v>2476.2640000000001</v>
      </c>
      <c r="I266">
        <f t="shared" si="80"/>
        <v>0</v>
      </c>
      <c r="J266">
        <f>I266*_xlfn.XLOOKUP(B266,AM:AM,AO:AO)</f>
        <v>0</v>
      </c>
      <c r="K266" s="7">
        <f t="shared" si="81"/>
        <v>45811</v>
      </c>
      <c r="L266" s="7">
        <f t="shared" si="82"/>
        <v>45781</v>
      </c>
      <c r="M266">
        <f t="shared" si="83"/>
        <v>5</v>
      </c>
      <c r="N266">
        <f t="shared" si="84"/>
        <v>2025</v>
      </c>
      <c r="Q266" s="22">
        <v>386</v>
      </c>
      <c r="R266" s="22">
        <v>740</v>
      </c>
      <c r="S266" s="22" t="str">
        <f t="shared" si="85"/>
        <v>USD</v>
      </c>
      <c r="T266" s="22">
        <f t="shared" si="77"/>
        <v>740</v>
      </c>
      <c r="U266" s="28">
        <v>400</v>
      </c>
      <c r="W266" s="9">
        <v>219</v>
      </c>
      <c r="X266" s="9" t="s">
        <v>27</v>
      </c>
      <c r="AF266">
        <v>281</v>
      </c>
      <c r="AG266" t="s">
        <v>29</v>
      </c>
      <c r="AH266">
        <v>4403.08</v>
      </c>
      <c r="AI266" s="7">
        <v>45654</v>
      </c>
    </row>
    <row r="267" spans="1:35">
      <c r="A267">
        <v>292</v>
      </c>
      <c r="B267" t="str">
        <f t="shared" si="78"/>
        <v>EUR</v>
      </c>
      <c r="C267">
        <f t="shared" si="79"/>
        <v>5238.93</v>
      </c>
      <c r="D267">
        <f>C267*_xlfn.XLOOKUP(B267,AM:AM,AN:AN)</f>
        <v>5238.93</v>
      </c>
      <c r="E267">
        <f>C267*_xlfn.XLOOKUP(B267,AM:AM,AO:AO)</f>
        <v>6077.1588000000002</v>
      </c>
      <c r="F267">
        <v>12738.93</v>
      </c>
      <c r="G267">
        <f>F267*_xlfn.XLOOKUP(B267,AM:AM,AN:AN)</f>
        <v>12738.93</v>
      </c>
      <c r="H267">
        <f>F267*_xlfn.XLOOKUP(B267,AM:AM,AO:AO)</f>
        <v>14777.158799999999</v>
      </c>
      <c r="I267">
        <f t="shared" si="80"/>
        <v>0</v>
      </c>
      <c r="J267">
        <f>I267*_xlfn.XLOOKUP(B267,AM:AM,AO:AO)</f>
        <v>0</v>
      </c>
      <c r="K267" s="7">
        <f t="shared" si="81"/>
        <v>45769</v>
      </c>
      <c r="L267" s="7">
        <f t="shared" si="82"/>
        <v>45739</v>
      </c>
      <c r="M267">
        <f t="shared" si="83"/>
        <v>3</v>
      </c>
      <c r="N267">
        <f t="shared" si="84"/>
        <v>2025</v>
      </c>
      <c r="Q267" s="22">
        <v>387</v>
      </c>
      <c r="R267" s="22">
        <v>25787.64</v>
      </c>
      <c r="S267" s="22" t="str">
        <f t="shared" si="85"/>
        <v>USD</v>
      </c>
      <c r="T267" s="22">
        <f t="shared" si="77"/>
        <v>25787.64</v>
      </c>
      <c r="U267" s="28">
        <v>400</v>
      </c>
      <c r="W267" s="9">
        <v>219</v>
      </c>
      <c r="X267" s="9" t="s">
        <v>27</v>
      </c>
      <c r="AF267">
        <v>282</v>
      </c>
      <c r="AG267" t="s">
        <v>29</v>
      </c>
      <c r="AH267">
        <v>26704.61</v>
      </c>
      <c r="AI267" s="7">
        <v>45862</v>
      </c>
    </row>
    <row r="268" spans="1:35">
      <c r="A268">
        <v>294</v>
      </c>
      <c r="B268" t="str">
        <f t="shared" si="78"/>
        <v>EUR</v>
      </c>
      <c r="C268">
        <f t="shared" si="79"/>
        <v>1345.52</v>
      </c>
      <c r="D268">
        <f>C268*_xlfn.XLOOKUP(B268,AM:AM,AN:AN)</f>
        <v>1345.52</v>
      </c>
      <c r="E268">
        <f>C268*_xlfn.XLOOKUP(B268,AM:AM,AO:AO)</f>
        <v>1560.8031999999998</v>
      </c>
      <c r="F268">
        <v>1345.52</v>
      </c>
      <c r="G268">
        <f>F268*_xlfn.XLOOKUP(B268,AM:AM,AN:AN)</f>
        <v>1345.52</v>
      </c>
      <c r="H268">
        <f>F268*_xlfn.XLOOKUP(B268,AM:AM,AO:AO)</f>
        <v>1560.8031999999998</v>
      </c>
      <c r="I268">
        <f t="shared" si="80"/>
        <v>0</v>
      </c>
      <c r="J268">
        <f>I268*_xlfn.XLOOKUP(B268,AM:AM,AO:AO)</f>
        <v>0</v>
      </c>
      <c r="K268" s="7">
        <f t="shared" si="81"/>
        <v>45826</v>
      </c>
      <c r="L268" s="7">
        <f t="shared" ref="L268" si="86">K268-30</f>
        <v>45796</v>
      </c>
      <c r="M268">
        <f t="shared" ref="M268" si="87">MONTH(L268)</f>
        <v>5</v>
      </c>
      <c r="N268">
        <f t="shared" ref="N268" si="88">YEAR(L268)</f>
        <v>2025</v>
      </c>
      <c r="Q268" s="22">
        <v>388</v>
      </c>
      <c r="R268" s="22">
        <v>66816.069999999992</v>
      </c>
      <c r="S268" s="22" t="str">
        <f t="shared" si="85"/>
        <v>USD</v>
      </c>
      <c r="T268" s="22">
        <f t="shared" si="77"/>
        <v>66816.069999999992</v>
      </c>
      <c r="U268" s="28">
        <v>400</v>
      </c>
      <c r="W268" s="9">
        <v>219</v>
      </c>
      <c r="X268" s="9" t="s">
        <v>27</v>
      </c>
      <c r="AF268">
        <v>283</v>
      </c>
      <c r="AG268" t="s">
        <v>29</v>
      </c>
      <c r="AH268">
        <v>3108</v>
      </c>
      <c r="AI268" s="7">
        <v>45645</v>
      </c>
    </row>
    <row r="269" spans="1:35">
      <c r="A269">
        <v>295</v>
      </c>
      <c r="B269" t="str">
        <f t="shared" si="78"/>
        <v>USD</v>
      </c>
      <c r="C269">
        <f t="shared" si="79"/>
        <v>0</v>
      </c>
      <c r="D269">
        <f>C269*_xlfn.XLOOKUP(B269,AM:AM,AN:AN)</f>
        <v>0</v>
      </c>
      <c r="E269">
        <f>C269*_xlfn.XLOOKUP(B269,AM:AM,AO:AO)</f>
        <v>0</v>
      </c>
      <c r="F269">
        <v>180980.6</v>
      </c>
      <c r="G269">
        <f>F269*_xlfn.XLOOKUP(B269,AM:AM,AN:AN)</f>
        <v>155643.31599999999</v>
      </c>
      <c r="H269">
        <f>F269*_xlfn.XLOOKUP(B269,AM:AM,AO:AO)</f>
        <v>180980.6</v>
      </c>
      <c r="I269">
        <f t="shared" si="80"/>
        <v>0</v>
      </c>
      <c r="J269">
        <f>I269*_xlfn.XLOOKUP(B269,AM:AM,AO:AO)</f>
        <v>0</v>
      </c>
      <c r="K269" s="7">
        <f t="shared" si="81"/>
        <v>45854</v>
      </c>
      <c r="L269" s="7">
        <f t="shared" si="82"/>
        <v>45824</v>
      </c>
      <c r="M269">
        <f t="shared" si="83"/>
        <v>6</v>
      </c>
      <c r="N269">
        <f t="shared" si="84"/>
        <v>2025</v>
      </c>
      <c r="Q269" s="22">
        <v>389</v>
      </c>
      <c r="R269" s="22">
        <v>63855.670000000006</v>
      </c>
      <c r="S269" s="22" t="str">
        <f t="shared" si="85"/>
        <v>USD</v>
      </c>
      <c r="T269" s="22">
        <f t="shared" si="77"/>
        <v>63855.670000000006</v>
      </c>
      <c r="U269" s="28">
        <v>400</v>
      </c>
      <c r="W269" s="9">
        <v>220</v>
      </c>
      <c r="X269" s="9" t="s">
        <v>27</v>
      </c>
      <c r="AF269">
        <v>284</v>
      </c>
      <c r="AG269" t="s">
        <v>29</v>
      </c>
      <c r="AH269">
        <v>19328.54</v>
      </c>
      <c r="AI269" s="7">
        <v>45654</v>
      </c>
    </row>
    <row r="270" spans="1:35">
      <c r="A270">
        <v>296</v>
      </c>
      <c r="B270" t="str">
        <f t="shared" si="78"/>
        <v>USD</v>
      </c>
      <c r="C270">
        <f t="shared" si="79"/>
        <v>70</v>
      </c>
      <c r="D270">
        <f>C270*_xlfn.XLOOKUP(B270,AM:AM,AN:AN)</f>
        <v>60.199999999999996</v>
      </c>
      <c r="E270">
        <f>C270*_xlfn.XLOOKUP(B270,AM:AM,AO:AO)</f>
        <v>70</v>
      </c>
      <c r="F270">
        <v>8614.02</v>
      </c>
      <c r="G270">
        <f>F270*_xlfn.XLOOKUP(B270,AM:AM,AN:AN)</f>
        <v>7408.0572000000002</v>
      </c>
      <c r="H270">
        <f>F270*_xlfn.XLOOKUP(B270,AM:AM,AO:AO)</f>
        <v>8614.02</v>
      </c>
      <c r="I270">
        <f t="shared" si="80"/>
        <v>0</v>
      </c>
      <c r="J270">
        <f>I270*_xlfn.XLOOKUP(B270,AM:AM,AO:AO)</f>
        <v>0</v>
      </c>
      <c r="K270" s="7">
        <f t="shared" si="81"/>
        <v>45958</v>
      </c>
      <c r="L270" s="7">
        <f t="shared" si="82"/>
        <v>45928</v>
      </c>
      <c r="M270">
        <f t="shared" si="83"/>
        <v>9</v>
      </c>
      <c r="N270">
        <f t="shared" si="84"/>
        <v>2025</v>
      </c>
      <c r="Q270" s="22">
        <v>390</v>
      </c>
      <c r="R270" s="22">
        <v>85279.76999999999</v>
      </c>
      <c r="S270" s="22" t="str">
        <f t="shared" si="85"/>
        <v>MXN</v>
      </c>
      <c r="T270" s="22">
        <f t="shared" si="77"/>
        <v>4775.6671199999992</v>
      </c>
      <c r="U270" s="28">
        <v>400</v>
      </c>
      <c r="W270" s="9">
        <v>222</v>
      </c>
      <c r="X270" s="9" t="s">
        <v>29</v>
      </c>
      <c r="AF270">
        <v>285</v>
      </c>
      <c r="AG270" t="s">
        <v>29</v>
      </c>
      <c r="AH270">
        <v>4276.47</v>
      </c>
      <c r="AI270" s="7">
        <v>45654</v>
      </c>
    </row>
    <row r="271" spans="1:35">
      <c r="A271">
        <v>297</v>
      </c>
      <c r="B271" t="str">
        <f t="shared" si="78"/>
        <v>USD</v>
      </c>
      <c r="C271">
        <f t="shared" si="79"/>
        <v>0</v>
      </c>
      <c r="D271">
        <f>C271*_xlfn.XLOOKUP(B271,AM:AM,AN:AN)</f>
        <v>0</v>
      </c>
      <c r="E271">
        <f>C271*_xlfn.XLOOKUP(B271,AM:AM,AO:AO)</f>
        <v>0</v>
      </c>
      <c r="F271">
        <v>3967.34</v>
      </c>
      <c r="G271">
        <f>F271*_xlfn.XLOOKUP(B271,AM:AM,AN:AN)</f>
        <v>3411.9124000000002</v>
      </c>
      <c r="H271">
        <f>F271*_xlfn.XLOOKUP(B271,AM:AM,AO:AO)</f>
        <v>3967.34</v>
      </c>
      <c r="I271">
        <f t="shared" si="80"/>
        <v>0</v>
      </c>
      <c r="J271">
        <f>I271*_xlfn.XLOOKUP(B271,AM:AM,AO:AO)</f>
        <v>0</v>
      </c>
      <c r="K271" s="7">
        <f t="shared" si="81"/>
        <v>45779</v>
      </c>
      <c r="L271" s="7">
        <f t="shared" si="82"/>
        <v>45749</v>
      </c>
      <c r="M271">
        <f t="shared" si="83"/>
        <v>4</v>
      </c>
      <c r="N271">
        <f t="shared" si="84"/>
        <v>2025</v>
      </c>
      <c r="Q271" s="22">
        <v>391</v>
      </c>
      <c r="R271" s="22">
        <v>66805.549999999988</v>
      </c>
      <c r="S271" s="22" t="str">
        <f t="shared" si="85"/>
        <v>USD</v>
      </c>
      <c r="T271" s="22">
        <f t="shared" si="77"/>
        <v>66805.549999999988</v>
      </c>
      <c r="U271" s="28">
        <v>400</v>
      </c>
      <c r="W271" s="9">
        <v>222</v>
      </c>
      <c r="X271" s="9" t="s">
        <v>29</v>
      </c>
      <c r="AF271">
        <v>286</v>
      </c>
      <c r="AG271" t="s">
        <v>29</v>
      </c>
      <c r="AH271">
        <v>2297.91</v>
      </c>
      <c r="AI271" s="7">
        <v>45668</v>
      </c>
    </row>
    <row r="272" spans="1:35">
      <c r="A272">
        <v>298</v>
      </c>
      <c r="B272" t="str">
        <f t="shared" si="78"/>
        <v>USD</v>
      </c>
      <c r="C272">
        <f t="shared" si="79"/>
        <v>0</v>
      </c>
      <c r="D272">
        <f>C272*_xlfn.XLOOKUP(B272,AM:AM,AN:AN)</f>
        <v>0</v>
      </c>
      <c r="E272">
        <f>C272*_xlfn.XLOOKUP(B272,AM:AM,AO:AO)</f>
        <v>0</v>
      </c>
      <c r="F272">
        <v>8244</v>
      </c>
      <c r="G272">
        <f>F272*_xlfn.XLOOKUP(B272,AM:AM,AN:AN)</f>
        <v>7089.84</v>
      </c>
      <c r="H272">
        <f>F272*_xlfn.XLOOKUP(B272,AM:AM,AO:AO)</f>
        <v>8244</v>
      </c>
      <c r="I272">
        <f t="shared" si="80"/>
        <v>0</v>
      </c>
      <c r="J272">
        <f>I272*_xlfn.XLOOKUP(B272,AM:AM,AO:AO)</f>
        <v>0</v>
      </c>
      <c r="K272" s="7">
        <f t="shared" si="81"/>
        <v>45791</v>
      </c>
      <c r="L272" s="7">
        <f t="shared" si="82"/>
        <v>45761</v>
      </c>
      <c r="M272">
        <f t="shared" si="83"/>
        <v>4</v>
      </c>
      <c r="N272">
        <f t="shared" si="84"/>
        <v>2025</v>
      </c>
      <c r="Q272" s="22">
        <v>392</v>
      </c>
      <c r="R272" s="22">
        <v>8304.68</v>
      </c>
      <c r="S272" s="22" t="str">
        <f t="shared" si="85"/>
        <v>USD</v>
      </c>
      <c r="T272" s="22">
        <f t="shared" si="77"/>
        <v>8304.68</v>
      </c>
      <c r="U272" s="28">
        <v>400</v>
      </c>
      <c r="W272" s="9">
        <v>222</v>
      </c>
      <c r="X272" s="9" t="s">
        <v>29</v>
      </c>
      <c r="AF272">
        <v>287</v>
      </c>
      <c r="AG272" t="s">
        <v>27</v>
      </c>
      <c r="AH272">
        <v>3806.23</v>
      </c>
      <c r="AI272" s="7">
        <v>45833</v>
      </c>
    </row>
    <row r="273" spans="1:35">
      <c r="A273">
        <v>299</v>
      </c>
      <c r="B273" t="str">
        <f t="shared" si="78"/>
        <v>EUR</v>
      </c>
      <c r="C273">
        <f t="shared" si="79"/>
        <v>0</v>
      </c>
      <c r="D273">
        <f>C273*_xlfn.XLOOKUP(B273,AM:AM,AN:AN)</f>
        <v>0</v>
      </c>
      <c r="E273">
        <f>C273*_xlfn.XLOOKUP(B273,AM:AM,AO:AO)</f>
        <v>0</v>
      </c>
      <c r="F273">
        <v>8185</v>
      </c>
      <c r="G273">
        <f>F273*_xlfn.XLOOKUP(B273,AM:AM,AN:AN)</f>
        <v>8185</v>
      </c>
      <c r="H273">
        <f>F273*_xlfn.XLOOKUP(B273,AM:AM,AO:AO)</f>
        <v>9494.5999999999985</v>
      </c>
      <c r="I273">
        <f t="shared" si="80"/>
        <v>0</v>
      </c>
      <c r="J273">
        <f>I273*_xlfn.XLOOKUP(B273,AM:AM,AO:AO)</f>
        <v>0</v>
      </c>
      <c r="K273" s="7">
        <f t="shared" si="81"/>
        <v>45841</v>
      </c>
      <c r="L273" s="7">
        <f t="shared" si="82"/>
        <v>45811</v>
      </c>
      <c r="M273">
        <f t="shared" si="83"/>
        <v>6</v>
      </c>
      <c r="N273">
        <f t="shared" si="84"/>
        <v>2025</v>
      </c>
      <c r="Q273" s="22">
        <v>394</v>
      </c>
      <c r="R273" s="22">
        <v>32958.32</v>
      </c>
      <c r="S273" s="22" t="str">
        <f t="shared" si="85"/>
        <v>USD</v>
      </c>
      <c r="T273" s="22">
        <f t="shared" si="77"/>
        <v>32958.32</v>
      </c>
      <c r="U273" s="28">
        <v>400</v>
      </c>
      <c r="W273" s="9">
        <v>222</v>
      </c>
      <c r="X273" s="9" t="s">
        <v>29</v>
      </c>
      <c r="AF273">
        <v>288</v>
      </c>
      <c r="AG273" t="s">
        <v>29</v>
      </c>
      <c r="AH273">
        <v>36460.839999999997</v>
      </c>
      <c r="AI273" s="7">
        <v>45837</v>
      </c>
    </row>
    <row r="274" spans="1:35">
      <c r="A274">
        <v>300</v>
      </c>
      <c r="B274" t="str">
        <f t="shared" si="78"/>
        <v>USD</v>
      </c>
      <c r="C274">
        <f t="shared" si="79"/>
        <v>0</v>
      </c>
      <c r="D274">
        <f>C274*_xlfn.XLOOKUP(B274,AM:AM,AN:AN)</f>
        <v>0</v>
      </c>
      <c r="E274">
        <f>C274*_xlfn.XLOOKUP(B274,AM:AM,AO:AO)</f>
        <v>0</v>
      </c>
      <c r="F274">
        <v>48161.65</v>
      </c>
      <c r="G274">
        <f>F274*_xlfn.XLOOKUP(B274,AM:AM,AN:AN)</f>
        <v>41419.019</v>
      </c>
      <c r="H274">
        <f>F274*_xlfn.XLOOKUP(B274,AM:AM,AO:AO)</f>
        <v>48161.65</v>
      </c>
      <c r="I274">
        <f t="shared" si="80"/>
        <v>0</v>
      </c>
      <c r="J274">
        <f>I274*_xlfn.XLOOKUP(B274,AM:AM,AO:AO)</f>
        <v>0</v>
      </c>
      <c r="K274" s="7">
        <f t="shared" si="81"/>
        <v>45747</v>
      </c>
      <c r="L274" s="7">
        <f t="shared" si="82"/>
        <v>45717</v>
      </c>
      <c r="M274">
        <f t="shared" si="83"/>
        <v>3</v>
      </c>
      <c r="N274">
        <f t="shared" si="84"/>
        <v>2025</v>
      </c>
      <c r="Q274" s="22">
        <v>395</v>
      </c>
      <c r="R274" s="22">
        <v>15971.66</v>
      </c>
      <c r="S274" s="22" t="str">
        <f t="shared" si="85"/>
        <v>USD</v>
      </c>
      <c r="T274" s="22">
        <f t="shared" ref="T274:T337" si="89">R274*_xlfn.XLOOKUP(S274,AM:AM,AO:AO)</f>
        <v>15971.66</v>
      </c>
      <c r="U274" s="28">
        <v>400</v>
      </c>
      <c r="W274" s="9">
        <v>222</v>
      </c>
      <c r="X274" s="9" t="s">
        <v>29</v>
      </c>
      <c r="AF274">
        <v>289</v>
      </c>
      <c r="AG274" t="s">
        <v>29</v>
      </c>
      <c r="AH274">
        <v>2070.1999999999998</v>
      </c>
      <c r="AI274" s="7">
        <v>45791</v>
      </c>
    </row>
    <row r="275" spans="1:35">
      <c r="A275">
        <v>301</v>
      </c>
      <c r="B275" t="str">
        <f t="shared" si="78"/>
        <v>USD</v>
      </c>
      <c r="C275">
        <f t="shared" si="79"/>
        <v>2408.6799999999998</v>
      </c>
      <c r="D275">
        <f>C275*_xlfn.XLOOKUP(B275,AM:AM,AN:AN)</f>
        <v>2071.4647999999997</v>
      </c>
      <c r="E275">
        <f>C275*_xlfn.XLOOKUP(B275,AM:AM,AO:AO)</f>
        <v>2408.6799999999998</v>
      </c>
      <c r="F275">
        <v>2408.6799999999998</v>
      </c>
      <c r="G275">
        <f>F275*_xlfn.XLOOKUP(B275,AM:AM,AN:AN)</f>
        <v>2071.4647999999997</v>
      </c>
      <c r="H275">
        <f>F275*_xlfn.XLOOKUP(B275,AM:AM,AO:AO)</f>
        <v>2408.6799999999998</v>
      </c>
      <c r="I275">
        <f t="shared" si="80"/>
        <v>0</v>
      </c>
      <c r="J275">
        <f>I275*_xlfn.XLOOKUP(B275,AM:AM,AO:AO)</f>
        <v>0</v>
      </c>
      <c r="K275" s="7">
        <f t="shared" si="81"/>
        <v>45780</v>
      </c>
      <c r="L275" s="7">
        <f t="shared" si="82"/>
        <v>45750</v>
      </c>
      <c r="M275">
        <f t="shared" si="83"/>
        <v>4</v>
      </c>
      <c r="N275">
        <f t="shared" si="84"/>
        <v>2025</v>
      </c>
      <c r="Q275" s="22">
        <v>396</v>
      </c>
      <c r="R275" s="22">
        <v>8265.9700000000012</v>
      </c>
      <c r="S275" s="22" t="str">
        <f t="shared" si="85"/>
        <v>USD</v>
      </c>
      <c r="T275" s="22">
        <f t="shared" si="89"/>
        <v>8265.9700000000012</v>
      </c>
      <c r="U275" s="28">
        <v>400</v>
      </c>
      <c r="W275" s="9">
        <v>222</v>
      </c>
      <c r="X275" s="9" t="s">
        <v>29</v>
      </c>
      <c r="AF275">
        <v>290</v>
      </c>
      <c r="AG275" t="s">
        <v>29</v>
      </c>
      <c r="AH275">
        <v>3334.46</v>
      </c>
      <c r="AI275" s="7">
        <v>45793</v>
      </c>
    </row>
    <row r="276" spans="1:35">
      <c r="A276">
        <v>302</v>
      </c>
      <c r="B276" t="str">
        <f t="shared" si="78"/>
        <v>USD</v>
      </c>
      <c r="C276">
        <f t="shared" si="79"/>
        <v>190900</v>
      </c>
      <c r="D276">
        <f>C276*_xlfn.XLOOKUP(B276,AM:AM,AN:AN)</f>
        <v>164174</v>
      </c>
      <c r="E276">
        <f>C276*_xlfn.XLOOKUP(B276,AM:AM,AO:AO)</f>
        <v>190900</v>
      </c>
      <c r="F276">
        <v>201580.06</v>
      </c>
      <c r="G276">
        <f>F276*_xlfn.XLOOKUP(B276,AM:AM,AN:AN)</f>
        <v>173358.85159999999</v>
      </c>
      <c r="H276">
        <f>F276*_xlfn.XLOOKUP(B276,AM:AM,AO:AO)</f>
        <v>201580.06</v>
      </c>
      <c r="I276">
        <f t="shared" si="80"/>
        <v>1.8189894035458565E-12</v>
      </c>
      <c r="J276">
        <f>I276*_xlfn.XLOOKUP(B276,AM:AM,AO:AO)</f>
        <v>1.8189894035458565E-12</v>
      </c>
      <c r="K276" s="7">
        <f t="shared" si="81"/>
        <v>45661</v>
      </c>
      <c r="L276" s="7">
        <f t="shared" si="82"/>
        <v>45631</v>
      </c>
      <c r="M276">
        <f t="shared" si="83"/>
        <v>12</v>
      </c>
      <c r="N276">
        <f t="shared" si="84"/>
        <v>2024</v>
      </c>
      <c r="Q276" s="22">
        <v>398</v>
      </c>
      <c r="R276" s="22">
        <v>12669.04</v>
      </c>
      <c r="S276" s="22" t="str">
        <f t="shared" si="85"/>
        <v>EUR</v>
      </c>
      <c r="T276" s="22">
        <f t="shared" si="89"/>
        <v>14696.0864</v>
      </c>
      <c r="U276" s="28">
        <v>400</v>
      </c>
      <c r="W276" s="9">
        <v>223</v>
      </c>
      <c r="X276" s="9" t="s">
        <v>29</v>
      </c>
      <c r="AF276">
        <v>291</v>
      </c>
      <c r="AG276" t="s">
        <v>28</v>
      </c>
      <c r="AH276">
        <v>44219</v>
      </c>
      <c r="AI276" s="7">
        <v>45811</v>
      </c>
    </row>
    <row r="277" spans="1:35">
      <c r="A277">
        <v>303</v>
      </c>
      <c r="B277" t="str">
        <f t="shared" si="78"/>
        <v>USD</v>
      </c>
      <c r="C277">
        <f t="shared" si="79"/>
        <v>22454.27</v>
      </c>
      <c r="D277">
        <f>C277*_xlfn.XLOOKUP(B277,AM:AM,AN:AN)</f>
        <v>19310.672200000001</v>
      </c>
      <c r="E277">
        <f>C277*_xlfn.XLOOKUP(B277,AM:AM,AO:AO)</f>
        <v>22454.27</v>
      </c>
      <c r="F277">
        <v>22454.27</v>
      </c>
      <c r="G277">
        <f>F277*_xlfn.XLOOKUP(B277,AM:AM,AN:AN)</f>
        <v>19310.672200000001</v>
      </c>
      <c r="H277">
        <f>F277*_xlfn.XLOOKUP(B277,AM:AM,AO:AO)</f>
        <v>22454.27</v>
      </c>
      <c r="I277">
        <f t="shared" si="80"/>
        <v>0</v>
      </c>
      <c r="J277">
        <f>I277*_xlfn.XLOOKUP(B277,AM:AM,AO:AO)</f>
        <v>0</v>
      </c>
      <c r="K277" s="7">
        <f t="shared" si="81"/>
        <v>46011</v>
      </c>
      <c r="L277" s="7">
        <f t="shared" si="82"/>
        <v>45981</v>
      </c>
      <c r="M277">
        <f t="shared" si="83"/>
        <v>11</v>
      </c>
      <c r="N277">
        <f t="shared" si="84"/>
        <v>2025</v>
      </c>
      <c r="Q277" s="22">
        <v>399</v>
      </c>
      <c r="R277" s="22">
        <v>5235</v>
      </c>
      <c r="S277" s="22" t="str">
        <f t="shared" si="85"/>
        <v>USD</v>
      </c>
      <c r="T277" s="22">
        <f t="shared" si="89"/>
        <v>5235</v>
      </c>
      <c r="U277" s="28">
        <v>400</v>
      </c>
      <c r="W277" s="9">
        <v>226</v>
      </c>
      <c r="X277" s="9" t="s">
        <v>29</v>
      </c>
      <c r="AF277">
        <v>292</v>
      </c>
      <c r="AG277" t="s">
        <v>27</v>
      </c>
      <c r="AH277">
        <v>12738.93</v>
      </c>
      <c r="AI277" s="7">
        <v>45769</v>
      </c>
    </row>
    <row r="278" spans="1:35">
      <c r="A278">
        <v>304</v>
      </c>
      <c r="B278" t="str">
        <f t="shared" si="78"/>
        <v>EUR</v>
      </c>
      <c r="C278">
        <f t="shared" si="79"/>
        <v>24162</v>
      </c>
      <c r="D278">
        <f>C278*_xlfn.XLOOKUP(B278,AM:AM,AN:AN)</f>
        <v>24162</v>
      </c>
      <c r="E278">
        <f>C278*_xlfn.XLOOKUP(B278,AM:AM,AO:AO)</f>
        <v>28027.919999999998</v>
      </c>
      <c r="F278">
        <v>24162</v>
      </c>
      <c r="G278">
        <f>F278*_xlfn.XLOOKUP(B278,AM:AM,AN:AN)</f>
        <v>24162</v>
      </c>
      <c r="H278">
        <f>F278*_xlfn.XLOOKUP(B278,AM:AM,AO:AO)</f>
        <v>28027.919999999998</v>
      </c>
      <c r="I278">
        <f t="shared" si="80"/>
        <v>0</v>
      </c>
      <c r="J278">
        <f>I278*_xlfn.XLOOKUP(B278,AM:AM,AO:AO)</f>
        <v>0</v>
      </c>
      <c r="K278" s="7">
        <f t="shared" si="81"/>
        <v>45875</v>
      </c>
      <c r="L278" s="7">
        <f t="shared" ref="L278" si="90">K278-30</f>
        <v>45845</v>
      </c>
      <c r="M278">
        <f t="shared" ref="M278" si="91">MONTH(L278)</f>
        <v>7</v>
      </c>
      <c r="N278">
        <f t="shared" ref="N278" si="92">YEAR(L278)</f>
        <v>2025</v>
      </c>
      <c r="Q278" s="22">
        <v>400</v>
      </c>
      <c r="R278" s="22">
        <v>1740</v>
      </c>
      <c r="S278" s="22" t="str">
        <f t="shared" si="85"/>
        <v>USD</v>
      </c>
      <c r="T278" s="22">
        <f t="shared" si="89"/>
        <v>1740</v>
      </c>
      <c r="U278" s="28">
        <v>400</v>
      </c>
      <c r="W278" s="9">
        <v>226</v>
      </c>
      <c r="X278" s="9" t="s">
        <v>29</v>
      </c>
      <c r="AF278">
        <v>293</v>
      </c>
      <c r="AG278" t="s">
        <v>29</v>
      </c>
      <c r="AH278">
        <v>1365.96</v>
      </c>
      <c r="AI278" s="7">
        <v>45852</v>
      </c>
    </row>
    <row r="279" spans="1:35">
      <c r="A279">
        <v>305</v>
      </c>
      <c r="B279" t="str">
        <f t="shared" si="78"/>
        <v>USD</v>
      </c>
      <c r="C279">
        <f t="shared" si="79"/>
        <v>0</v>
      </c>
      <c r="D279">
        <f>C279*_xlfn.XLOOKUP(B279,AM:AM,AN:AN)</f>
        <v>0</v>
      </c>
      <c r="E279">
        <f>C279*_xlfn.XLOOKUP(B279,AM:AM,AO:AO)</f>
        <v>0</v>
      </c>
      <c r="F279">
        <v>16692.39</v>
      </c>
      <c r="G279">
        <f>F279*_xlfn.XLOOKUP(B279,AM:AM,AN:AN)</f>
        <v>14355.455399999999</v>
      </c>
      <c r="H279">
        <f>F279*_xlfn.XLOOKUP(B279,AM:AM,AO:AO)</f>
        <v>16692.39</v>
      </c>
      <c r="I279">
        <f t="shared" si="80"/>
        <v>0</v>
      </c>
      <c r="J279">
        <f>I279*_xlfn.XLOOKUP(B279,AM:AM,AO:AO)</f>
        <v>0</v>
      </c>
      <c r="K279" s="7">
        <f t="shared" si="81"/>
        <v>45792</v>
      </c>
      <c r="L279" s="7">
        <f t="shared" si="82"/>
        <v>45762</v>
      </c>
      <c r="M279">
        <f t="shared" si="83"/>
        <v>4</v>
      </c>
      <c r="N279">
        <f t="shared" si="84"/>
        <v>2025</v>
      </c>
      <c r="Q279" s="22">
        <v>401</v>
      </c>
      <c r="R279" s="22">
        <v>4326</v>
      </c>
      <c r="S279" s="22" t="str">
        <f t="shared" si="85"/>
        <v>USD</v>
      </c>
      <c r="T279" s="22">
        <f t="shared" si="89"/>
        <v>4326</v>
      </c>
      <c r="U279" s="28">
        <v>400</v>
      </c>
      <c r="W279" s="9">
        <v>226</v>
      </c>
      <c r="X279" s="9" t="s">
        <v>29</v>
      </c>
      <c r="AF279">
        <v>294</v>
      </c>
      <c r="AG279" t="s">
        <v>27</v>
      </c>
      <c r="AH279">
        <v>1345.52</v>
      </c>
      <c r="AI279" s="7">
        <v>45826</v>
      </c>
    </row>
    <row r="280" spans="1:35">
      <c r="A280">
        <v>306</v>
      </c>
      <c r="B280" t="str">
        <f t="shared" si="78"/>
        <v>USD</v>
      </c>
      <c r="C280">
        <f t="shared" si="79"/>
        <v>29997</v>
      </c>
      <c r="D280">
        <f>C280*_xlfn.XLOOKUP(B280,AM:AM,AN:AN)</f>
        <v>25797.42</v>
      </c>
      <c r="E280">
        <f>C280*_xlfn.XLOOKUP(B280,AM:AM,AO:AO)</f>
        <v>29997</v>
      </c>
      <c r="F280">
        <v>31962.5</v>
      </c>
      <c r="G280">
        <f>F280*_xlfn.XLOOKUP(B280,AM:AM,AN:AN)</f>
        <v>27487.75</v>
      </c>
      <c r="H280">
        <f>F280*_xlfn.XLOOKUP(B280,AM:AM,AO:AO)</f>
        <v>31962.5</v>
      </c>
      <c r="I280">
        <f t="shared" si="80"/>
        <v>0</v>
      </c>
      <c r="J280">
        <f>I280*_xlfn.XLOOKUP(B280,AM:AM,AO:AO)</f>
        <v>0</v>
      </c>
      <c r="K280" s="7">
        <f t="shared" si="81"/>
        <v>45860</v>
      </c>
      <c r="L280" s="7">
        <f t="shared" si="82"/>
        <v>45830</v>
      </c>
      <c r="M280">
        <f t="shared" si="83"/>
        <v>6</v>
      </c>
      <c r="N280">
        <f t="shared" si="84"/>
        <v>2025</v>
      </c>
      <c r="Q280" s="22">
        <v>402</v>
      </c>
      <c r="R280" s="22">
        <v>46687</v>
      </c>
      <c r="S280" s="22" t="str">
        <f t="shared" si="85"/>
        <v>MXN</v>
      </c>
      <c r="T280" s="22">
        <f t="shared" si="89"/>
        <v>2614.4720000000002</v>
      </c>
      <c r="U280" s="28">
        <v>400</v>
      </c>
      <c r="W280" s="9">
        <v>227</v>
      </c>
      <c r="X280" s="9" t="s">
        <v>29</v>
      </c>
      <c r="AF280">
        <v>295</v>
      </c>
      <c r="AG280" t="s">
        <v>29</v>
      </c>
      <c r="AH280">
        <v>180980.6</v>
      </c>
      <c r="AI280" s="7">
        <v>45854</v>
      </c>
    </row>
    <row r="281" spans="1:35">
      <c r="A281">
        <v>307</v>
      </c>
      <c r="B281" t="str">
        <f t="shared" si="78"/>
        <v>USD</v>
      </c>
      <c r="C281">
        <f t="shared" si="79"/>
        <v>0</v>
      </c>
      <c r="D281">
        <f>C281*_xlfn.XLOOKUP(B281,AM:AM,AN:AN)</f>
        <v>0</v>
      </c>
      <c r="E281">
        <f>C281*_xlfn.XLOOKUP(B281,AM:AM,AO:AO)</f>
        <v>0</v>
      </c>
      <c r="F281">
        <v>8076</v>
      </c>
      <c r="G281">
        <f>F281*_xlfn.XLOOKUP(B281,AM:AM,AN:AN)</f>
        <v>6945.36</v>
      </c>
      <c r="H281">
        <f>F281*_xlfn.XLOOKUP(B281,AM:AM,AO:AO)</f>
        <v>8076</v>
      </c>
      <c r="I281">
        <f t="shared" si="80"/>
        <v>0</v>
      </c>
      <c r="J281">
        <f>I281*_xlfn.XLOOKUP(B281,AM:AM,AO:AO)</f>
        <v>0</v>
      </c>
      <c r="K281" s="7">
        <f t="shared" si="81"/>
        <v>45770</v>
      </c>
      <c r="L281" s="7">
        <f t="shared" si="82"/>
        <v>45740</v>
      </c>
      <c r="M281">
        <f t="shared" si="83"/>
        <v>3</v>
      </c>
      <c r="N281">
        <f t="shared" si="84"/>
        <v>2025</v>
      </c>
      <c r="Q281" s="22">
        <v>403</v>
      </c>
      <c r="R281" s="22">
        <v>7861.74</v>
      </c>
      <c r="S281" s="22" t="str">
        <f t="shared" si="85"/>
        <v>USD</v>
      </c>
      <c r="T281" s="22">
        <f t="shared" si="89"/>
        <v>7861.74</v>
      </c>
      <c r="U281" s="28">
        <v>400</v>
      </c>
      <c r="W281" s="9">
        <v>228</v>
      </c>
      <c r="X281" s="9" t="s">
        <v>29</v>
      </c>
      <c r="AF281">
        <v>296</v>
      </c>
      <c r="AG281" t="s">
        <v>29</v>
      </c>
      <c r="AH281">
        <v>8614.02</v>
      </c>
      <c r="AI281" s="7">
        <v>45958</v>
      </c>
    </row>
    <row r="282" spans="1:35">
      <c r="A282">
        <v>308</v>
      </c>
      <c r="B282" t="str">
        <f t="shared" si="78"/>
        <v>USD</v>
      </c>
      <c r="C282">
        <f t="shared" si="79"/>
        <v>0</v>
      </c>
      <c r="D282">
        <f>C282*_xlfn.XLOOKUP(B282,AM:AM,AN:AN)</f>
        <v>0</v>
      </c>
      <c r="E282">
        <f>C282*_xlfn.XLOOKUP(B282,AM:AM,AO:AO)</f>
        <v>0</v>
      </c>
      <c r="F282">
        <v>1869.15</v>
      </c>
      <c r="G282">
        <f>F282*_xlfn.XLOOKUP(B282,AM:AM,AN:AN)</f>
        <v>1607.4690000000001</v>
      </c>
      <c r="H282">
        <f>F282*_xlfn.XLOOKUP(B282,AM:AM,AO:AO)</f>
        <v>1869.15</v>
      </c>
      <c r="I282">
        <f t="shared" si="80"/>
        <v>0</v>
      </c>
      <c r="J282">
        <f>I282*_xlfn.XLOOKUP(B282,AM:AM,AO:AO)</f>
        <v>0</v>
      </c>
      <c r="K282" s="7">
        <f t="shared" si="81"/>
        <v>45757</v>
      </c>
      <c r="L282" s="7">
        <f t="shared" si="82"/>
        <v>45727</v>
      </c>
      <c r="M282">
        <f t="shared" si="83"/>
        <v>3</v>
      </c>
      <c r="N282">
        <f t="shared" si="84"/>
        <v>2025</v>
      </c>
      <c r="Q282" s="22">
        <v>406</v>
      </c>
      <c r="R282" s="22">
        <v>24015.699999999997</v>
      </c>
      <c r="S282" s="22" t="str">
        <f t="shared" si="85"/>
        <v>USD</v>
      </c>
      <c r="T282" s="22">
        <f t="shared" si="89"/>
        <v>24015.699999999997</v>
      </c>
      <c r="U282" s="28">
        <v>400</v>
      </c>
      <c r="W282" s="9">
        <v>229</v>
      </c>
      <c r="X282" s="9" t="s">
        <v>29</v>
      </c>
      <c r="AF282">
        <v>297</v>
      </c>
      <c r="AG282" t="s">
        <v>29</v>
      </c>
      <c r="AH282">
        <v>3967.34</v>
      </c>
      <c r="AI282" s="7">
        <v>45779</v>
      </c>
    </row>
    <row r="283" spans="1:35">
      <c r="A283">
        <v>309</v>
      </c>
      <c r="B283" t="str">
        <f t="shared" si="78"/>
        <v>USD</v>
      </c>
      <c r="C283">
        <f t="shared" si="79"/>
        <v>1392.7099999999991</v>
      </c>
      <c r="D283">
        <f>C283*_xlfn.XLOOKUP(B283,AM:AM,AN:AN)</f>
        <v>1197.7305999999992</v>
      </c>
      <c r="E283">
        <f>C283*_xlfn.XLOOKUP(B283,AM:AM,AO:AO)</f>
        <v>1392.7099999999991</v>
      </c>
      <c r="F283">
        <v>10493.96</v>
      </c>
      <c r="G283">
        <f>F283*_xlfn.XLOOKUP(B283,AM:AM,AN:AN)</f>
        <v>9024.8055999999997</v>
      </c>
      <c r="H283">
        <f>F283*_xlfn.XLOOKUP(B283,AM:AM,AO:AO)</f>
        <v>10493.96</v>
      </c>
      <c r="I283">
        <f t="shared" si="80"/>
        <v>0</v>
      </c>
      <c r="J283">
        <f>I283*_xlfn.XLOOKUP(B283,AM:AM,AO:AO)</f>
        <v>0</v>
      </c>
      <c r="K283" s="7">
        <f t="shared" si="81"/>
        <v>45857</v>
      </c>
      <c r="L283" s="7">
        <f t="shared" si="82"/>
        <v>45827</v>
      </c>
      <c r="M283">
        <f t="shared" si="83"/>
        <v>6</v>
      </c>
      <c r="N283">
        <f t="shared" si="84"/>
        <v>2025</v>
      </c>
      <c r="Q283" s="22">
        <v>407</v>
      </c>
      <c r="R283" s="22">
        <v>13255.02</v>
      </c>
      <c r="S283" s="22" t="str">
        <f t="shared" si="85"/>
        <v>USD</v>
      </c>
      <c r="T283" s="22">
        <f t="shared" si="89"/>
        <v>13255.02</v>
      </c>
      <c r="U283" s="28">
        <v>400</v>
      </c>
      <c r="W283" s="9">
        <v>229</v>
      </c>
      <c r="X283" s="9" t="s">
        <v>29</v>
      </c>
      <c r="AF283">
        <v>298</v>
      </c>
      <c r="AG283" t="s">
        <v>29</v>
      </c>
      <c r="AH283">
        <v>8244</v>
      </c>
      <c r="AI283" s="7">
        <v>45791</v>
      </c>
    </row>
    <row r="284" spans="1:35">
      <c r="A284">
        <v>310</v>
      </c>
      <c r="B284" t="str">
        <f t="shared" si="78"/>
        <v>MXN</v>
      </c>
      <c r="C284">
        <f t="shared" si="79"/>
        <v>1593327.99</v>
      </c>
      <c r="D284">
        <f>C284*_xlfn.XLOOKUP(B284,AM:AM,AN:AN)</f>
        <v>76479.743520000004</v>
      </c>
      <c r="E284">
        <f>C284*_xlfn.XLOOKUP(B284,AM:AM,AO:AO)</f>
        <v>89226.367440000002</v>
      </c>
      <c r="F284">
        <v>1593327.99</v>
      </c>
      <c r="G284">
        <f>F284*_xlfn.XLOOKUP(B284,AM:AM,AN:AN)</f>
        <v>76479.743520000004</v>
      </c>
      <c r="H284">
        <f>F284*_xlfn.XLOOKUP(B284,AM:AM,AO:AO)</f>
        <v>89226.367440000002</v>
      </c>
      <c r="I284">
        <f t="shared" si="80"/>
        <v>0</v>
      </c>
      <c r="J284">
        <f>I284*_xlfn.XLOOKUP(B284,AM:AM,AO:AO)</f>
        <v>0</v>
      </c>
      <c r="K284" s="7">
        <f t="shared" si="81"/>
        <v>45820</v>
      </c>
      <c r="L284" s="7">
        <f t="shared" si="82"/>
        <v>45790</v>
      </c>
      <c r="M284">
        <f t="shared" si="83"/>
        <v>5</v>
      </c>
      <c r="N284">
        <f t="shared" si="84"/>
        <v>2025</v>
      </c>
      <c r="Q284" s="22">
        <v>409</v>
      </c>
      <c r="R284" s="22">
        <v>6108.88</v>
      </c>
      <c r="S284" s="22" t="str">
        <f t="shared" si="85"/>
        <v>USD</v>
      </c>
      <c r="T284" s="22">
        <f t="shared" si="89"/>
        <v>6108.88</v>
      </c>
      <c r="U284" s="28">
        <v>400</v>
      </c>
      <c r="W284" s="9">
        <v>229</v>
      </c>
      <c r="X284" s="9" t="s">
        <v>29</v>
      </c>
      <c r="AF284">
        <v>299</v>
      </c>
      <c r="AG284" t="s">
        <v>27</v>
      </c>
      <c r="AH284">
        <v>8185</v>
      </c>
      <c r="AI284" s="7">
        <v>45841</v>
      </c>
    </row>
    <row r="285" spans="1:35">
      <c r="A285">
        <v>311</v>
      </c>
      <c r="B285" t="str">
        <f t="shared" si="78"/>
        <v>USD</v>
      </c>
      <c r="C285">
        <f t="shared" si="79"/>
        <v>2045</v>
      </c>
      <c r="D285">
        <f>C285*_xlfn.XLOOKUP(B285,AM:AM,AN:AN)</f>
        <v>1758.7</v>
      </c>
      <c r="E285">
        <f>C285*_xlfn.XLOOKUP(B285,AM:AM,AO:AO)</f>
        <v>2045</v>
      </c>
      <c r="F285">
        <v>2045</v>
      </c>
      <c r="G285">
        <f>F285*_xlfn.XLOOKUP(B285,AM:AM,AN:AN)</f>
        <v>1758.7</v>
      </c>
      <c r="H285">
        <f>F285*_xlfn.XLOOKUP(B285,AM:AM,AO:AO)</f>
        <v>2045</v>
      </c>
      <c r="I285">
        <f t="shared" si="80"/>
        <v>0</v>
      </c>
      <c r="J285">
        <f>I285*_xlfn.XLOOKUP(B285,AM:AM,AO:AO)</f>
        <v>0</v>
      </c>
      <c r="K285" s="7">
        <f t="shared" si="81"/>
        <v>45797</v>
      </c>
      <c r="L285" s="7">
        <f t="shared" si="82"/>
        <v>45767</v>
      </c>
      <c r="M285">
        <f t="shared" si="83"/>
        <v>4</v>
      </c>
      <c r="N285">
        <f t="shared" si="84"/>
        <v>2025</v>
      </c>
      <c r="Q285" s="22">
        <v>412</v>
      </c>
      <c r="R285" s="22">
        <v>2286.5</v>
      </c>
      <c r="S285" s="22" t="str">
        <f t="shared" si="85"/>
        <v>USD</v>
      </c>
      <c r="T285" s="22">
        <f t="shared" si="89"/>
        <v>2286.5</v>
      </c>
      <c r="U285" s="28">
        <v>400</v>
      </c>
      <c r="W285" s="9">
        <v>229</v>
      </c>
      <c r="X285" s="9" t="s">
        <v>29</v>
      </c>
      <c r="AF285">
        <v>300</v>
      </c>
      <c r="AG285" t="s">
        <v>29</v>
      </c>
      <c r="AH285">
        <v>48161.65</v>
      </c>
      <c r="AI285" s="7">
        <v>45747</v>
      </c>
    </row>
    <row r="286" spans="1:35">
      <c r="A286">
        <v>312</v>
      </c>
      <c r="B286" t="str">
        <f t="shared" si="78"/>
        <v>USD</v>
      </c>
      <c r="C286">
        <f t="shared" si="79"/>
        <v>0</v>
      </c>
      <c r="D286">
        <f>C286*_xlfn.XLOOKUP(B286,AM:AM,AN:AN)</f>
        <v>0</v>
      </c>
      <c r="E286">
        <f>C286*_xlfn.XLOOKUP(B286,AM:AM,AO:AO)</f>
        <v>0</v>
      </c>
      <c r="F286">
        <v>1196</v>
      </c>
      <c r="G286">
        <f>F286*_xlfn.XLOOKUP(B286,AM:AM,AN:AN)</f>
        <v>1028.56</v>
      </c>
      <c r="H286">
        <f>F286*_xlfn.XLOOKUP(B286,AM:AM,AO:AO)</f>
        <v>1196</v>
      </c>
      <c r="I286">
        <f t="shared" si="80"/>
        <v>0</v>
      </c>
      <c r="J286">
        <f>I286*_xlfn.XLOOKUP(B286,AM:AM,AO:AO)</f>
        <v>0</v>
      </c>
      <c r="K286" s="7">
        <f t="shared" si="81"/>
        <v>45682</v>
      </c>
      <c r="L286" s="7">
        <f t="shared" si="82"/>
        <v>45652</v>
      </c>
      <c r="M286">
        <f t="shared" si="83"/>
        <v>12</v>
      </c>
      <c r="N286">
        <f t="shared" si="84"/>
        <v>2024</v>
      </c>
      <c r="Q286" s="22">
        <v>414</v>
      </c>
      <c r="R286" s="22">
        <v>9783.380000000001</v>
      </c>
      <c r="S286" s="22" t="str">
        <f t="shared" si="85"/>
        <v>USD</v>
      </c>
      <c r="T286" s="22">
        <f t="shared" si="89"/>
        <v>9783.380000000001</v>
      </c>
      <c r="U286" s="28">
        <v>400</v>
      </c>
      <c r="W286" s="9">
        <v>229</v>
      </c>
      <c r="X286" s="9" t="s">
        <v>29</v>
      </c>
      <c r="AF286">
        <v>301</v>
      </c>
      <c r="AG286" t="s">
        <v>29</v>
      </c>
      <c r="AH286">
        <v>2408.6799999999998</v>
      </c>
      <c r="AI286" s="7">
        <v>45780</v>
      </c>
    </row>
    <row r="287" spans="1:35">
      <c r="A287">
        <v>313</v>
      </c>
      <c r="B287" t="str">
        <f t="shared" si="78"/>
        <v>USD</v>
      </c>
      <c r="C287">
        <f t="shared" si="79"/>
        <v>0</v>
      </c>
      <c r="D287">
        <f>C287*_xlfn.XLOOKUP(B287,AM:AM,AN:AN)</f>
        <v>0</v>
      </c>
      <c r="E287">
        <f>C287*_xlfn.XLOOKUP(B287,AM:AM,AO:AO)</f>
        <v>0</v>
      </c>
      <c r="F287">
        <v>259.64999999999998</v>
      </c>
      <c r="G287">
        <f>F287*_xlfn.XLOOKUP(B287,AM:AM,AN:AN)</f>
        <v>223.29899999999998</v>
      </c>
      <c r="H287">
        <f>F287*_xlfn.XLOOKUP(B287,AM:AM,AO:AO)</f>
        <v>259.64999999999998</v>
      </c>
      <c r="I287">
        <f t="shared" si="80"/>
        <v>0</v>
      </c>
      <c r="J287">
        <f>I287*_xlfn.XLOOKUP(B287,AM:AM,AO:AO)</f>
        <v>0</v>
      </c>
      <c r="K287" s="7">
        <f t="shared" si="81"/>
        <v>45675</v>
      </c>
      <c r="L287" s="7">
        <f t="shared" si="82"/>
        <v>45645</v>
      </c>
      <c r="M287">
        <f t="shared" si="83"/>
        <v>12</v>
      </c>
      <c r="N287">
        <f t="shared" si="84"/>
        <v>2024</v>
      </c>
      <c r="Q287" s="22">
        <v>416</v>
      </c>
      <c r="R287" s="22">
        <v>330588.92000000004</v>
      </c>
      <c r="S287" s="22" t="str">
        <f t="shared" si="85"/>
        <v>MXN</v>
      </c>
      <c r="T287" s="22">
        <f t="shared" si="89"/>
        <v>18512.979520000004</v>
      </c>
      <c r="U287" s="28">
        <v>400</v>
      </c>
      <c r="W287" s="9">
        <v>229</v>
      </c>
      <c r="X287" s="9" t="s">
        <v>29</v>
      </c>
      <c r="AF287">
        <v>302</v>
      </c>
      <c r="AG287" t="s">
        <v>29</v>
      </c>
      <c r="AH287">
        <v>201580.06</v>
      </c>
      <c r="AI287" s="7">
        <v>45661</v>
      </c>
    </row>
    <row r="288" spans="1:35">
      <c r="A288">
        <v>314</v>
      </c>
      <c r="B288" t="str">
        <f t="shared" si="78"/>
        <v>USD</v>
      </c>
      <c r="C288">
        <f t="shared" si="79"/>
        <v>0</v>
      </c>
      <c r="D288">
        <f>C288*_xlfn.XLOOKUP(B288,AM:AM,AN:AN)</f>
        <v>0</v>
      </c>
      <c r="E288">
        <f>C288*_xlfn.XLOOKUP(B288,AM:AM,AO:AO)</f>
        <v>0</v>
      </c>
      <c r="F288">
        <v>1029.26</v>
      </c>
      <c r="G288">
        <f>F288*_xlfn.XLOOKUP(B288,AM:AM,AN:AN)</f>
        <v>885.16359999999997</v>
      </c>
      <c r="H288">
        <f>F288*_xlfn.XLOOKUP(B288,AM:AM,AO:AO)</f>
        <v>1029.26</v>
      </c>
      <c r="I288">
        <f t="shared" si="80"/>
        <v>0</v>
      </c>
      <c r="J288">
        <f>I288*_xlfn.XLOOKUP(B288,AM:AM,AO:AO)</f>
        <v>0</v>
      </c>
      <c r="K288" s="7">
        <f t="shared" si="81"/>
        <v>45715</v>
      </c>
      <c r="L288" s="7">
        <f t="shared" si="82"/>
        <v>45685</v>
      </c>
      <c r="M288">
        <f t="shared" si="83"/>
        <v>1</v>
      </c>
      <c r="N288">
        <f t="shared" si="84"/>
        <v>2025</v>
      </c>
      <c r="Q288" s="22">
        <v>419</v>
      </c>
      <c r="R288" s="22">
        <v>5426</v>
      </c>
      <c r="S288" s="22" t="str">
        <f t="shared" si="85"/>
        <v>USD</v>
      </c>
      <c r="T288" s="22">
        <f t="shared" si="89"/>
        <v>5426</v>
      </c>
      <c r="U288" s="28">
        <v>400</v>
      </c>
      <c r="W288" s="9">
        <v>229</v>
      </c>
      <c r="X288" s="9" t="s">
        <v>29</v>
      </c>
      <c r="AF288">
        <v>303</v>
      </c>
      <c r="AG288" t="s">
        <v>29</v>
      </c>
      <c r="AH288">
        <v>22454.27</v>
      </c>
      <c r="AI288" s="7">
        <v>46011</v>
      </c>
    </row>
    <row r="289" spans="1:35">
      <c r="A289">
        <v>315</v>
      </c>
      <c r="B289" t="str">
        <f t="shared" si="78"/>
        <v>USD</v>
      </c>
      <c r="C289">
        <f t="shared" si="79"/>
        <v>0</v>
      </c>
      <c r="D289">
        <f>C289*_xlfn.XLOOKUP(B289,AM:AM,AN:AN)</f>
        <v>0</v>
      </c>
      <c r="E289">
        <f>C289*_xlfn.XLOOKUP(B289,AM:AM,AO:AO)</f>
        <v>0</v>
      </c>
      <c r="F289">
        <v>769.8</v>
      </c>
      <c r="G289">
        <f>F289*_xlfn.XLOOKUP(B289,AM:AM,AN:AN)</f>
        <v>662.02799999999991</v>
      </c>
      <c r="H289">
        <f>F289*_xlfn.XLOOKUP(B289,AM:AM,AO:AO)</f>
        <v>769.8</v>
      </c>
      <c r="I289">
        <f t="shared" si="80"/>
        <v>0</v>
      </c>
      <c r="J289">
        <f>I289*_xlfn.XLOOKUP(B289,AM:AM,AO:AO)</f>
        <v>0</v>
      </c>
      <c r="K289" s="7">
        <f t="shared" si="81"/>
        <v>45739</v>
      </c>
      <c r="L289" s="7">
        <f t="shared" si="82"/>
        <v>45709</v>
      </c>
      <c r="M289">
        <f t="shared" si="83"/>
        <v>2</v>
      </c>
      <c r="N289">
        <f t="shared" si="84"/>
        <v>2025</v>
      </c>
      <c r="Q289" s="22">
        <v>420</v>
      </c>
      <c r="R289" s="22">
        <v>3600</v>
      </c>
      <c r="S289" s="22" t="str">
        <f t="shared" si="85"/>
        <v>USD</v>
      </c>
      <c r="T289" s="22">
        <f t="shared" si="89"/>
        <v>3600</v>
      </c>
      <c r="U289" s="28">
        <v>400</v>
      </c>
      <c r="W289" s="9">
        <v>232</v>
      </c>
      <c r="X289" s="9" t="s">
        <v>28</v>
      </c>
      <c r="AF289">
        <v>304</v>
      </c>
      <c r="AG289" t="s">
        <v>27</v>
      </c>
      <c r="AH289">
        <v>24162</v>
      </c>
      <c r="AI289" s="7">
        <v>45875</v>
      </c>
    </row>
    <row r="290" spans="1:35">
      <c r="A290">
        <v>316</v>
      </c>
      <c r="B290" t="str">
        <f t="shared" si="78"/>
        <v>USD</v>
      </c>
      <c r="C290">
        <f t="shared" si="79"/>
        <v>886.6</v>
      </c>
      <c r="D290">
        <f>C290*_xlfn.XLOOKUP(B290,AM:AM,AN:AN)</f>
        <v>762.476</v>
      </c>
      <c r="E290">
        <f>C290*_xlfn.XLOOKUP(B290,AM:AM,AO:AO)</f>
        <v>886.6</v>
      </c>
      <c r="F290">
        <v>886.6</v>
      </c>
      <c r="G290">
        <f>F290*_xlfn.XLOOKUP(B290,AM:AM,AN:AN)</f>
        <v>762.476</v>
      </c>
      <c r="H290">
        <f>F290*_xlfn.XLOOKUP(B290,AM:AM,AO:AO)</f>
        <v>886.6</v>
      </c>
      <c r="I290">
        <f t="shared" si="80"/>
        <v>0</v>
      </c>
      <c r="J290">
        <f>I290*_xlfn.XLOOKUP(B290,AM:AM,AO:AO)</f>
        <v>0</v>
      </c>
      <c r="K290" s="7">
        <f t="shared" si="81"/>
        <v>45742</v>
      </c>
      <c r="L290" s="7">
        <f t="shared" si="82"/>
        <v>45712</v>
      </c>
      <c r="M290">
        <f t="shared" si="83"/>
        <v>2</v>
      </c>
      <c r="N290">
        <f t="shared" si="84"/>
        <v>2025</v>
      </c>
      <c r="Q290" s="22">
        <v>422</v>
      </c>
      <c r="R290" s="22">
        <v>1788.96</v>
      </c>
      <c r="S290" s="22" t="str">
        <f t="shared" si="85"/>
        <v>EUR</v>
      </c>
      <c r="T290" s="22">
        <f t="shared" si="89"/>
        <v>2075.1936000000001</v>
      </c>
      <c r="U290" s="28">
        <v>400</v>
      </c>
      <c r="W290" s="9">
        <v>235</v>
      </c>
      <c r="X290" s="9" t="s">
        <v>29</v>
      </c>
      <c r="AF290">
        <v>305</v>
      </c>
      <c r="AG290" t="s">
        <v>29</v>
      </c>
      <c r="AH290">
        <v>16692.39</v>
      </c>
      <c r="AI290" s="7">
        <v>45792</v>
      </c>
    </row>
    <row r="291" spans="1:35">
      <c r="A291">
        <v>317</v>
      </c>
      <c r="B291" t="str">
        <f t="shared" si="78"/>
        <v>USD</v>
      </c>
      <c r="C291">
        <f t="shared" si="79"/>
        <v>0</v>
      </c>
      <c r="D291">
        <f>C291*_xlfn.XLOOKUP(B291,AM:AM,AN:AN)</f>
        <v>0</v>
      </c>
      <c r="E291">
        <f>C291*_xlfn.XLOOKUP(B291,AM:AM,AO:AO)</f>
        <v>0</v>
      </c>
      <c r="F291">
        <v>695.8</v>
      </c>
      <c r="G291">
        <f>F291*_xlfn.XLOOKUP(B291,AM:AM,AN:AN)</f>
        <v>598.38799999999992</v>
      </c>
      <c r="H291">
        <f>F291*_xlfn.XLOOKUP(B291,AM:AM,AO:AO)</f>
        <v>695.8</v>
      </c>
      <c r="I291">
        <f t="shared" si="80"/>
        <v>0</v>
      </c>
      <c r="J291">
        <f>I291*_xlfn.XLOOKUP(B291,AM:AM,AO:AO)</f>
        <v>0</v>
      </c>
      <c r="K291" s="7">
        <f t="shared" si="81"/>
        <v>45753</v>
      </c>
      <c r="L291" s="7">
        <f t="shared" si="82"/>
        <v>45723</v>
      </c>
      <c r="M291">
        <f t="shared" si="83"/>
        <v>3</v>
      </c>
      <c r="N291">
        <f t="shared" si="84"/>
        <v>2025</v>
      </c>
      <c r="Q291" s="22">
        <v>424</v>
      </c>
      <c r="R291" s="22">
        <v>130395.5</v>
      </c>
      <c r="S291" s="22" t="str">
        <f t="shared" si="85"/>
        <v>EUR</v>
      </c>
      <c r="T291" s="22">
        <f t="shared" si="89"/>
        <v>151258.78</v>
      </c>
      <c r="U291" s="28">
        <v>400</v>
      </c>
      <c r="W291" s="9">
        <v>235</v>
      </c>
      <c r="X291" s="9" t="s">
        <v>29</v>
      </c>
      <c r="AF291">
        <v>306</v>
      </c>
      <c r="AG291" t="s">
        <v>29</v>
      </c>
      <c r="AH291">
        <v>31962.5</v>
      </c>
      <c r="AI291" s="7">
        <v>45860</v>
      </c>
    </row>
    <row r="292" spans="1:35">
      <c r="A292">
        <v>318</v>
      </c>
      <c r="B292" t="str">
        <f t="shared" si="78"/>
        <v>USD</v>
      </c>
      <c r="C292">
        <f t="shared" si="79"/>
        <v>0</v>
      </c>
      <c r="D292">
        <f>C292*_xlfn.XLOOKUP(B292,AM:AM,AN:AN)</f>
        <v>0</v>
      </c>
      <c r="E292">
        <f>C292*_xlfn.XLOOKUP(B292,AM:AM,AO:AO)</f>
        <v>0</v>
      </c>
      <c r="F292">
        <v>379</v>
      </c>
      <c r="G292">
        <f>F292*_xlfn.XLOOKUP(B292,AM:AM,AN:AN)</f>
        <v>325.94</v>
      </c>
      <c r="H292">
        <f>F292*_xlfn.XLOOKUP(B292,AM:AM,AO:AO)</f>
        <v>379</v>
      </c>
      <c r="I292">
        <f t="shared" si="80"/>
        <v>0</v>
      </c>
      <c r="J292">
        <f>I292*_xlfn.XLOOKUP(B292,AM:AM,AO:AO)</f>
        <v>0</v>
      </c>
      <c r="K292" s="7">
        <f t="shared" si="81"/>
        <v>45750</v>
      </c>
      <c r="L292" s="7">
        <f t="shared" si="82"/>
        <v>45720</v>
      </c>
      <c r="M292">
        <f t="shared" si="83"/>
        <v>3</v>
      </c>
      <c r="N292">
        <f t="shared" si="84"/>
        <v>2025</v>
      </c>
      <c r="Q292" s="22">
        <v>427</v>
      </c>
      <c r="R292" s="22">
        <v>14120.240000000002</v>
      </c>
      <c r="S292" s="22" t="str">
        <f t="shared" si="85"/>
        <v>USD</v>
      </c>
      <c r="T292" s="22">
        <f t="shared" si="89"/>
        <v>14120.240000000002</v>
      </c>
      <c r="U292" s="28">
        <v>400</v>
      </c>
      <c r="W292" s="9">
        <v>236</v>
      </c>
      <c r="X292" s="9" t="s">
        <v>29</v>
      </c>
      <c r="AF292">
        <v>307</v>
      </c>
      <c r="AG292" t="s">
        <v>29</v>
      </c>
      <c r="AH292">
        <v>8076</v>
      </c>
      <c r="AI292" s="7">
        <v>45770</v>
      </c>
    </row>
    <row r="293" spans="1:35">
      <c r="A293">
        <v>319</v>
      </c>
      <c r="B293" t="str">
        <f t="shared" si="78"/>
        <v>USD</v>
      </c>
      <c r="C293">
        <f t="shared" si="79"/>
        <v>0</v>
      </c>
      <c r="D293">
        <f>C293*_xlfn.XLOOKUP(B293,AM:AM,AN:AN)</f>
        <v>0</v>
      </c>
      <c r="E293">
        <f>C293*_xlfn.XLOOKUP(B293,AM:AM,AO:AO)</f>
        <v>0</v>
      </c>
      <c r="F293">
        <v>866.4</v>
      </c>
      <c r="G293">
        <f>F293*_xlfn.XLOOKUP(B293,AM:AM,AN:AN)</f>
        <v>745.10399999999993</v>
      </c>
      <c r="H293">
        <f>F293*_xlfn.XLOOKUP(B293,AM:AM,AO:AO)</f>
        <v>866.4</v>
      </c>
      <c r="I293">
        <f t="shared" si="80"/>
        <v>0</v>
      </c>
      <c r="J293">
        <f>I293*_xlfn.XLOOKUP(B293,AM:AM,AO:AO)</f>
        <v>0</v>
      </c>
      <c r="K293" s="7">
        <f t="shared" si="81"/>
        <v>45758</v>
      </c>
      <c r="L293" s="7">
        <f t="shared" si="82"/>
        <v>45728</v>
      </c>
      <c r="M293">
        <f t="shared" si="83"/>
        <v>3</v>
      </c>
      <c r="N293">
        <f t="shared" si="84"/>
        <v>2025</v>
      </c>
      <c r="Q293" s="22">
        <v>428</v>
      </c>
      <c r="R293" s="22">
        <v>2362.3199999999997</v>
      </c>
      <c r="S293" s="22" t="str">
        <f t="shared" si="85"/>
        <v>USD</v>
      </c>
      <c r="T293" s="22">
        <f t="shared" si="89"/>
        <v>2362.3199999999997</v>
      </c>
      <c r="U293" s="28">
        <v>400</v>
      </c>
      <c r="W293" s="9">
        <v>236</v>
      </c>
      <c r="X293" s="9" t="s">
        <v>29</v>
      </c>
      <c r="AF293">
        <v>308</v>
      </c>
      <c r="AG293" t="s">
        <v>29</v>
      </c>
      <c r="AH293">
        <v>1869.15</v>
      </c>
      <c r="AI293" s="7">
        <v>45757</v>
      </c>
    </row>
    <row r="294" spans="1:35">
      <c r="A294">
        <v>320</v>
      </c>
      <c r="B294" t="str">
        <f t="shared" si="78"/>
        <v>USD</v>
      </c>
      <c r="C294">
        <f t="shared" si="79"/>
        <v>0</v>
      </c>
      <c r="D294">
        <f>C294*_xlfn.XLOOKUP(B294,AM:AM,AN:AN)</f>
        <v>0</v>
      </c>
      <c r="E294">
        <f>C294*_xlfn.XLOOKUP(B294,AM:AM,AO:AO)</f>
        <v>0</v>
      </c>
      <c r="F294">
        <v>1916</v>
      </c>
      <c r="G294">
        <f>F294*_xlfn.XLOOKUP(B294,AM:AM,AN:AN)</f>
        <v>1647.76</v>
      </c>
      <c r="H294">
        <f>F294*_xlfn.XLOOKUP(B294,AM:AM,AO:AO)</f>
        <v>1916</v>
      </c>
      <c r="I294">
        <f t="shared" si="80"/>
        <v>0</v>
      </c>
      <c r="J294">
        <f>I294*_xlfn.XLOOKUP(B294,AM:AM,AO:AO)</f>
        <v>0</v>
      </c>
      <c r="K294" s="7">
        <f t="shared" si="81"/>
        <v>45750</v>
      </c>
      <c r="L294" s="7">
        <f t="shared" si="82"/>
        <v>45720</v>
      </c>
      <c r="M294">
        <f t="shared" si="83"/>
        <v>3</v>
      </c>
      <c r="N294">
        <f t="shared" si="84"/>
        <v>2025</v>
      </c>
      <c r="Q294" s="22">
        <v>429</v>
      </c>
      <c r="R294" s="22">
        <v>18950.68</v>
      </c>
      <c r="S294" s="22" t="str">
        <f t="shared" si="85"/>
        <v>USD</v>
      </c>
      <c r="T294" s="22">
        <f t="shared" si="89"/>
        <v>18950.68</v>
      </c>
      <c r="U294" s="28">
        <v>400</v>
      </c>
      <c r="W294" s="9">
        <v>237</v>
      </c>
      <c r="X294" s="9" t="s">
        <v>27</v>
      </c>
      <c r="AF294">
        <v>309</v>
      </c>
      <c r="AG294" t="s">
        <v>29</v>
      </c>
      <c r="AH294">
        <v>10493.96</v>
      </c>
      <c r="AI294" s="7">
        <v>45857</v>
      </c>
    </row>
    <row r="295" spans="1:35">
      <c r="A295">
        <v>321</v>
      </c>
      <c r="B295" t="str">
        <f t="shared" si="78"/>
        <v>USD</v>
      </c>
      <c r="C295">
        <f t="shared" si="79"/>
        <v>0</v>
      </c>
      <c r="D295">
        <f>C295*_xlfn.XLOOKUP(B295,AM:AM,AN:AN)</f>
        <v>0</v>
      </c>
      <c r="E295">
        <f>C295*_xlfn.XLOOKUP(B295,AM:AM,AO:AO)</f>
        <v>0</v>
      </c>
      <c r="F295">
        <v>261.60000000000002</v>
      </c>
      <c r="G295">
        <f>F295*_xlfn.XLOOKUP(B295,AM:AM,AN:AN)</f>
        <v>224.97600000000003</v>
      </c>
      <c r="H295">
        <f>F295*_xlfn.XLOOKUP(B295,AM:AM,AO:AO)</f>
        <v>261.60000000000002</v>
      </c>
      <c r="I295">
        <f t="shared" si="80"/>
        <v>0</v>
      </c>
      <c r="J295">
        <f>I295*_xlfn.XLOOKUP(B295,AM:AM,AO:AO)</f>
        <v>0</v>
      </c>
      <c r="K295" s="7">
        <f t="shared" si="81"/>
        <v>45755</v>
      </c>
      <c r="L295" s="7">
        <f t="shared" si="82"/>
        <v>45725</v>
      </c>
      <c r="M295">
        <f t="shared" si="83"/>
        <v>3</v>
      </c>
      <c r="N295">
        <f t="shared" si="84"/>
        <v>2025</v>
      </c>
      <c r="Q295" s="22">
        <v>430</v>
      </c>
      <c r="R295" s="22">
        <v>39344.06</v>
      </c>
      <c r="S295" s="22" t="str">
        <f t="shared" si="85"/>
        <v>USD</v>
      </c>
      <c r="T295" s="22">
        <f t="shared" si="89"/>
        <v>39344.06</v>
      </c>
      <c r="U295" s="28">
        <v>400</v>
      </c>
      <c r="W295" s="9">
        <v>238</v>
      </c>
      <c r="X295" s="9" t="s">
        <v>29</v>
      </c>
      <c r="AF295">
        <v>310</v>
      </c>
      <c r="AG295" t="s">
        <v>28</v>
      </c>
      <c r="AH295">
        <v>1593327.99</v>
      </c>
      <c r="AI295" s="7">
        <v>45820</v>
      </c>
    </row>
    <row r="296" spans="1:35">
      <c r="A296">
        <v>322</v>
      </c>
      <c r="B296" t="str">
        <f t="shared" si="78"/>
        <v>USD</v>
      </c>
      <c r="C296">
        <f t="shared" si="79"/>
        <v>0</v>
      </c>
      <c r="D296">
        <f>C296*_xlfn.XLOOKUP(B296,AM:AM,AN:AN)</f>
        <v>0</v>
      </c>
      <c r="E296">
        <f>C296*_xlfn.XLOOKUP(B296,AM:AM,AO:AO)</f>
        <v>0</v>
      </c>
      <c r="F296">
        <v>1401</v>
      </c>
      <c r="G296">
        <f>F296*_xlfn.XLOOKUP(B296,AM:AM,AN:AN)</f>
        <v>1204.8599999999999</v>
      </c>
      <c r="H296">
        <f>F296*_xlfn.XLOOKUP(B296,AM:AM,AO:AO)</f>
        <v>1401</v>
      </c>
      <c r="I296">
        <f t="shared" si="80"/>
        <v>0</v>
      </c>
      <c r="J296">
        <f>I296*_xlfn.XLOOKUP(B296,AM:AM,AO:AO)</f>
        <v>0</v>
      </c>
      <c r="K296" s="7">
        <f t="shared" si="81"/>
        <v>45844</v>
      </c>
      <c r="L296" s="7">
        <f t="shared" si="82"/>
        <v>45814</v>
      </c>
      <c r="M296">
        <f t="shared" si="83"/>
        <v>6</v>
      </c>
      <c r="N296">
        <f t="shared" si="84"/>
        <v>2025</v>
      </c>
      <c r="Q296" s="22">
        <v>431</v>
      </c>
      <c r="R296" s="22">
        <v>16962.259999999998</v>
      </c>
      <c r="S296" s="22" t="str">
        <f t="shared" si="85"/>
        <v>USD</v>
      </c>
      <c r="T296" s="22">
        <f t="shared" si="89"/>
        <v>16962.259999999998</v>
      </c>
      <c r="U296" s="28">
        <v>400</v>
      </c>
      <c r="W296" s="9">
        <v>238</v>
      </c>
      <c r="X296" s="9" t="s">
        <v>29</v>
      </c>
      <c r="AF296">
        <v>311</v>
      </c>
      <c r="AG296" t="s">
        <v>29</v>
      </c>
      <c r="AH296">
        <v>2045</v>
      </c>
      <c r="AI296" s="7">
        <v>45797</v>
      </c>
    </row>
    <row r="297" spans="1:35">
      <c r="A297">
        <v>323</v>
      </c>
      <c r="B297" t="str">
        <f t="shared" si="78"/>
        <v>MXN</v>
      </c>
      <c r="C297">
        <f t="shared" si="79"/>
        <v>678.30000000000291</v>
      </c>
      <c r="D297">
        <f>C297*_xlfn.XLOOKUP(B297,AM:AM,AN:AN)</f>
        <v>32.558400000000141</v>
      </c>
      <c r="E297">
        <f>C297*_xlfn.XLOOKUP(B297,AM:AM,AO:AO)</f>
        <v>37.984800000000163</v>
      </c>
      <c r="F297">
        <v>60208.3</v>
      </c>
      <c r="G297">
        <f>F297*_xlfn.XLOOKUP(B297,AM:AM,AN:AN)</f>
        <v>2889.9984000000004</v>
      </c>
      <c r="H297">
        <f>F297*_xlfn.XLOOKUP(B297,AM:AM,AO:AO)</f>
        <v>3371.6648</v>
      </c>
      <c r="I297">
        <f t="shared" si="80"/>
        <v>0</v>
      </c>
      <c r="J297">
        <f>I297*_xlfn.XLOOKUP(B297,AM:AM,AO:AO)</f>
        <v>0</v>
      </c>
      <c r="K297" s="7">
        <f t="shared" si="81"/>
        <v>45817</v>
      </c>
      <c r="L297" s="7">
        <f t="shared" si="82"/>
        <v>45787</v>
      </c>
      <c r="M297">
        <f t="shared" si="83"/>
        <v>5</v>
      </c>
      <c r="N297">
        <f t="shared" si="84"/>
        <v>2025</v>
      </c>
      <c r="Q297" s="22">
        <v>432</v>
      </c>
      <c r="R297" s="22">
        <v>26749.24</v>
      </c>
      <c r="S297" s="22" t="str">
        <f t="shared" si="85"/>
        <v>USD</v>
      </c>
      <c r="T297" s="22">
        <f t="shared" si="89"/>
        <v>26749.24</v>
      </c>
      <c r="U297" s="28">
        <v>400</v>
      </c>
      <c r="W297" s="9">
        <v>238</v>
      </c>
      <c r="X297" s="9" t="s">
        <v>29</v>
      </c>
      <c r="AF297">
        <v>312</v>
      </c>
      <c r="AG297" t="s">
        <v>29</v>
      </c>
      <c r="AH297">
        <v>1196</v>
      </c>
      <c r="AI297" s="7">
        <v>45682</v>
      </c>
    </row>
    <row r="298" spans="1:35">
      <c r="A298">
        <v>324</v>
      </c>
      <c r="B298" t="str">
        <f t="shared" si="78"/>
        <v>MXN</v>
      </c>
      <c r="C298">
        <f t="shared" si="79"/>
        <v>0</v>
      </c>
      <c r="D298">
        <f>C298*_xlfn.XLOOKUP(B298,AM:AM,AN:AN)</f>
        <v>0</v>
      </c>
      <c r="E298">
        <f>C298*_xlfn.XLOOKUP(B298,AM:AM,AO:AO)</f>
        <v>0</v>
      </c>
      <c r="F298">
        <v>54735</v>
      </c>
      <c r="G298">
        <f>F298*_xlfn.XLOOKUP(B298,AM:AM,AN:AN)</f>
        <v>2627.28</v>
      </c>
      <c r="H298">
        <f>F298*_xlfn.XLOOKUP(B298,AM:AM,AO:AO)</f>
        <v>3065.16</v>
      </c>
      <c r="I298">
        <f t="shared" si="80"/>
        <v>0</v>
      </c>
      <c r="J298">
        <f>I298*_xlfn.XLOOKUP(B298,AM:AM,AO:AO)</f>
        <v>0</v>
      </c>
      <c r="K298" s="7">
        <f t="shared" si="81"/>
        <v>45831</v>
      </c>
      <c r="L298" s="7">
        <f t="shared" si="82"/>
        <v>45801</v>
      </c>
      <c r="M298">
        <f t="shared" si="83"/>
        <v>5</v>
      </c>
      <c r="N298">
        <f t="shared" si="84"/>
        <v>2025</v>
      </c>
      <c r="Q298" s="22">
        <v>433</v>
      </c>
      <c r="R298" s="22">
        <v>10827</v>
      </c>
      <c r="S298" s="22" t="str">
        <f t="shared" si="85"/>
        <v>EUR</v>
      </c>
      <c r="T298" s="22">
        <f t="shared" si="89"/>
        <v>12559.32</v>
      </c>
      <c r="U298" s="28">
        <v>400</v>
      </c>
      <c r="W298" s="9">
        <v>238</v>
      </c>
      <c r="X298" s="9" t="s">
        <v>29</v>
      </c>
      <c r="AF298">
        <v>313</v>
      </c>
      <c r="AG298" t="s">
        <v>29</v>
      </c>
      <c r="AH298">
        <v>259.64999999999998</v>
      </c>
      <c r="AI298" s="7">
        <v>45675</v>
      </c>
    </row>
    <row r="299" spans="1:35">
      <c r="A299">
        <v>325</v>
      </c>
      <c r="B299" t="str">
        <f t="shared" si="78"/>
        <v>MXN</v>
      </c>
      <c r="C299">
        <f t="shared" si="79"/>
        <v>0</v>
      </c>
      <c r="D299">
        <f>C299*_xlfn.XLOOKUP(B299,AM:AM,AN:AN)</f>
        <v>0</v>
      </c>
      <c r="E299">
        <f>C299*_xlfn.XLOOKUP(B299,AM:AM,AO:AO)</f>
        <v>0</v>
      </c>
      <c r="F299">
        <v>127330</v>
      </c>
      <c r="G299">
        <f>F299*_xlfn.XLOOKUP(B299,AM:AM,AN:AN)</f>
        <v>6111.84</v>
      </c>
      <c r="H299">
        <f>F299*_xlfn.XLOOKUP(B299,AM:AM,AO:AO)</f>
        <v>7130.4800000000005</v>
      </c>
      <c r="I299">
        <f t="shared" si="80"/>
        <v>0</v>
      </c>
      <c r="J299">
        <f>I299*_xlfn.XLOOKUP(B299,AM:AM,AO:AO)</f>
        <v>0</v>
      </c>
      <c r="K299" s="7">
        <f t="shared" si="81"/>
        <v>45881</v>
      </c>
      <c r="L299" s="7">
        <f t="shared" si="82"/>
        <v>45851</v>
      </c>
      <c r="M299">
        <f t="shared" si="83"/>
        <v>7</v>
      </c>
      <c r="N299">
        <f t="shared" si="84"/>
        <v>2025</v>
      </c>
      <c r="Q299" s="22">
        <v>434</v>
      </c>
      <c r="R299" s="22">
        <v>1445</v>
      </c>
      <c r="S299" s="22" t="str">
        <f t="shared" si="85"/>
        <v>GPB</v>
      </c>
      <c r="T299" s="22">
        <f t="shared" si="89"/>
        <v>1936.3000000000002</v>
      </c>
      <c r="U299" s="28">
        <v>400</v>
      </c>
      <c r="W299" s="9">
        <v>238</v>
      </c>
      <c r="X299" s="9" t="s">
        <v>29</v>
      </c>
      <c r="AF299">
        <v>314</v>
      </c>
      <c r="AG299" t="s">
        <v>29</v>
      </c>
      <c r="AH299">
        <v>1029.26</v>
      </c>
      <c r="AI299" s="7">
        <v>45715</v>
      </c>
    </row>
    <row r="300" spans="1:35">
      <c r="A300">
        <v>326</v>
      </c>
      <c r="B300" t="str">
        <f t="shared" si="78"/>
        <v>EUR</v>
      </c>
      <c r="C300">
        <f t="shared" si="79"/>
        <v>0</v>
      </c>
      <c r="D300">
        <f>C300*_xlfn.XLOOKUP(B300,AM:AM,AN:AN)</f>
        <v>0</v>
      </c>
      <c r="E300">
        <f>C300*_xlfn.XLOOKUP(B300,AM:AM,AO:AO)</f>
        <v>0</v>
      </c>
      <c r="F300">
        <v>525</v>
      </c>
      <c r="G300">
        <f>F300*_xlfn.XLOOKUP(B300,AM:AM,AN:AN)</f>
        <v>525</v>
      </c>
      <c r="H300">
        <f>F300*_xlfn.XLOOKUP(B300,AM:AM,AO:AO)</f>
        <v>609</v>
      </c>
      <c r="I300">
        <f t="shared" si="80"/>
        <v>0</v>
      </c>
      <c r="J300">
        <f>I300*_xlfn.XLOOKUP(B300,AM:AM,AO:AO)</f>
        <v>0</v>
      </c>
      <c r="K300" s="7">
        <f t="shared" si="81"/>
        <v>45693</v>
      </c>
      <c r="L300" s="7">
        <f t="shared" si="82"/>
        <v>45663</v>
      </c>
      <c r="M300">
        <f t="shared" si="83"/>
        <v>1</v>
      </c>
      <c r="N300">
        <f t="shared" si="84"/>
        <v>2025</v>
      </c>
      <c r="Q300" s="22">
        <v>435</v>
      </c>
      <c r="R300" s="22">
        <v>50510.49</v>
      </c>
      <c r="S300" s="22" t="str">
        <f t="shared" si="85"/>
        <v>USD</v>
      </c>
      <c r="T300" s="22">
        <f t="shared" si="89"/>
        <v>50510.49</v>
      </c>
      <c r="U300" s="28">
        <v>400</v>
      </c>
      <c r="W300" s="9">
        <v>238</v>
      </c>
      <c r="X300" s="9" t="s">
        <v>29</v>
      </c>
      <c r="AF300">
        <v>315</v>
      </c>
      <c r="AG300" t="s">
        <v>29</v>
      </c>
      <c r="AH300">
        <v>769.8</v>
      </c>
      <c r="AI300" s="7">
        <v>45739</v>
      </c>
    </row>
    <row r="301" spans="1:35">
      <c r="A301">
        <v>327</v>
      </c>
      <c r="B301" t="str">
        <f t="shared" si="78"/>
        <v>USD</v>
      </c>
      <c r="C301">
        <f t="shared" si="79"/>
        <v>0</v>
      </c>
      <c r="D301">
        <f>C301*_xlfn.XLOOKUP(B301,AM:AM,AN:AN)</f>
        <v>0</v>
      </c>
      <c r="E301">
        <f>C301*_xlfn.XLOOKUP(B301,AM:AM,AO:AO)</f>
        <v>0</v>
      </c>
      <c r="F301">
        <v>10449.41</v>
      </c>
      <c r="G301">
        <f>F301*_xlfn.XLOOKUP(B301,AM:AM,AN:AN)</f>
        <v>8986.4925999999996</v>
      </c>
      <c r="H301">
        <f>F301*_xlfn.XLOOKUP(B301,AM:AM,AO:AO)</f>
        <v>10449.41</v>
      </c>
      <c r="I301">
        <f t="shared" si="80"/>
        <v>0</v>
      </c>
      <c r="J301">
        <f>I301*_xlfn.XLOOKUP(B301,AM:AM,AO:AO)</f>
        <v>0</v>
      </c>
      <c r="K301" s="7">
        <f t="shared" si="81"/>
        <v>45755</v>
      </c>
      <c r="L301" s="7">
        <f t="shared" si="82"/>
        <v>45725</v>
      </c>
      <c r="M301">
        <f t="shared" si="83"/>
        <v>3</v>
      </c>
      <c r="N301">
        <f t="shared" si="84"/>
        <v>2025</v>
      </c>
      <c r="Q301" s="22">
        <v>436</v>
      </c>
      <c r="R301" s="22">
        <v>254934</v>
      </c>
      <c r="S301" s="22" t="str">
        <f t="shared" si="85"/>
        <v>MXN</v>
      </c>
      <c r="T301" s="22">
        <f t="shared" si="89"/>
        <v>14276.304</v>
      </c>
      <c r="U301" s="28">
        <v>400</v>
      </c>
      <c r="W301" s="9">
        <v>238</v>
      </c>
      <c r="X301" s="9" t="s">
        <v>29</v>
      </c>
      <c r="AF301">
        <v>316</v>
      </c>
      <c r="AG301" t="s">
        <v>29</v>
      </c>
      <c r="AH301">
        <v>886.6</v>
      </c>
      <c r="AI301" s="7">
        <v>45742</v>
      </c>
    </row>
    <row r="302" spans="1:35">
      <c r="A302">
        <v>328</v>
      </c>
      <c r="B302" t="str">
        <f t="shared" si="78"/>
        <v>USD</v>
      </c>
      <c r="C302">
        <f t="shared" si="79"/>
        <v>70</v>
      </c>
      <c r="D302">
        <f>C302*_xlfn.XLOOKUP(B302,AM:AM,AN:AN)</f>
        <v>60.199999999999996</v>
      </c>
      <c r="E302">
        <f>C302*_xlfn.XLOOKUP(B302,AM:AM,AO:AO)</f>
        <v>70</v>
      </c>
      <c r="F302">
        <v>8827.1</v>
      </c>
      <c r="G302">
        <f>F302*_xlfn.XLOOKUP(B302,AM:AM,AN:AN)</f>
        <v>7591.3060000000005</v>
      </c>
      <c r="H302">
        <f>F302*_xlfn.XLOOKUP(B302,AM:AM,AO:AO)</f>
        <v>8827.1</v>
      </c>
      <c r="I302">
        <f t="shared" si="80"/>
        <v>0</v>
      </c>
      <c r="J302">
        <f>I302*_xlfn.XLOOKUP(B302,AM:AM,AO:AO)</f>
        <v>0</v>
      </c>
      <c r="K302" s="7">
        <f t="shared" si="81"/>
        <v>45791</v>
      </c>
      <c r="L302" s="7">
        <f t="shared" si="82"/>
        <v>45761</v>
      </c>
      <c r="M302">
        <f t="shared" si="83"/>
        <v>4</v>
      </c>
      <c r="N302">
        <f t="shared" si="84"/>
        <v>2025</v>
      </c>
      <c r="Q302" s="22">
        <v>437</v>
      </c>
      <c r="R302" s="22">
        <v>137.51</v>
      </c>
      <c r="S302" s="22" t="str">
        <f t="shared" si="85"/>
        <v>EUR</v>
      </c>
      <c r="T302" s="22">
        <f t="shared" si="89"/>
        <v>159.51159999999999</v>
      </c>
      <c r="U302" s="28">
        <v>400</v>
      </c>
      <c r="W302" s="9">
        <v>238</v>
      </c>
      <c r="X302" s="9" t="s">
        <v>29</v>
      </c>
      <c r="AF302">
        <v>317</v>
      </c>
      <c r="AG302" t="s">
        <v>29</v>
      </c>
      <c r="AH302">
        <v>695.8</v>
      </c>
      <c r="AI302" s="7">
        <v>45753</v>
      </c>
    </row>
    <row r="303" spans="1:35">
      <c r="A303">
        <v>329</v>
      </c>
      <c r="B303" t="str">
        <f t="shared" si="78"/>
        <v>USD</v>
      </c>
      <c r="C303">
        <f t="shared" si="79"/>
        <v>34399.46</v>
      </c>
      <c r="D303">
        <f>C303*_xlfn.XLOOKUP(B303,AM:AM,AN:AN)</f>
        <v>29583.535599999999</v>
      </c>
      <c r="E303">
        <f>C303*_xlfn.XLOOKUP(B303,AM:AM,AO:AO)</f>
        <v>34399.46</v>
      </c>
      <c r="F303">
        <v>36333.599999999999</v>
      </c>
      <c r="G303">
        <f>F303*_xlfn.XLOOKUP(B303,AM:AM,AN:AN)</f>
        <v>31246.895999999997</v>
      </c>
      <c r="H303">
        <f>F303*_xlfn.XLOOKUP(B303,AM:AM,AO:AO)</f>
        <v>36333.599999999999</v>
      </c>
      <c r="I303">
        <f t="shared" si="80"/>
        <v>6.8212102632969618E-13</v>
      </c>
      <c r="J303">
        <f>I303*_xlfn.XLOOKUP(B303,AM:AM,AO:AO)</f>
        <v>6.8212102632969618E-13</v>
      </c>
      <c r="K303" s="7">
        <f t="shared" si="81"/>
        <v>45748</v>
      </c>
      <c r="L303" s="7">
        <f t="shared" si="82"/>
        <v>45718</v>
      </c>
      <c r="M303">
        <f t="shared" si="83"/>
        <v>3</v>
      </c>
      <c r="N303">
        <f t="shared" si="84"/>
        <v>2025</v>
      </c>
      <c r="Q303" s="22">
        <v>440</v>
      </c>
      <c r="R303" s="22">
        <v>255605.32</v>
      </c>
      <c r="S303" s="22" t="str">
        <f t="shared" si="85"/>
        <v>MXN</v>
      </c>
      <c r="T303" s="22">
        <f t="shared" si="89"/>
        <v>14313.897920000001</v>
      </c>
      <c r="U303" s="28">
        <v>400</v>
      </c>
      <c r="W303" s="9">
        <v>239</v>
      </c>
      <c r="X303" s="9" t="s">
        <v>29</v>
      </c>
      <c r="AF303">
        <v>318</v>
      </c>
      <c r="AG303" t="s">
        <v>29</v>
      </c>
      <c r="AH303">
        <v>379</v>
      </c>
      <c r="AI303" s="7">
        <v>45750</v>
      </c>
    </row>
    <row r="304" spans="1:35">
      <c r="A304">
        <v>330</v>
      </c>
      <c r="B304" t="str">
        <f t="shared" si="78"/>
        <v>USD</v>
      </c>
      <c r="C304">
        <f t="shared" si="79"/>
        <v>17786.22</v>
      </c>
      <c r="D304">
        <f>C304*_xlfn.XLOOKUP(B304,AM:AM,AN:AN)</f>
        <v>15296.149200000002</v>
      </c>
      <c r="E304">
        <f>C304*_xlfn.XLOOKUP(B304,AM:AM,AO:AO)</f>
        <v>17786.22</v>
      </c>
      <c r="F304">
        <v>17786.22</v>
      </c>
      <c r="G304">
        <f>F304*_xlfn.XLOOKUP(B304,AM:AM,AN:AN)</f>
        <v>15296.149200000002</v>
      </c>
      <c r="H304">
        <f>F304*_xlfn.XLOOKUP(B304,AM:AM,AO:AO)</f>
        <v>17786.22</v>
      </c>
      <c r="I304">
        <f t="shared" si="80"/>
        <v>0</v>
      </c>
      <c r="J304">
        <f>I304*_xlfn.XLOOKUP(B304,AM:AM,AO:AO)</f>
        <v>0</v>
      </c>
      <c r="K304" s="7">
        <f t="shared" si="81"/>
        <v>45794</v>
      </c>
      <c r="L304" s="7">
        <f t="shared" si="82"/>
        <v>45764</v>
      </c>
      <c r="M304">
        <f t="shared" si="83"/>
        <v>4</v>
      </c>
      <c r="N304">
        <f t="shared" si="84"/>
        <v>2025</v>
      </c>
      <c r="Q304" s="22">
        <v>443</v>
      </c>
      <c r="R304" s="22">
        <v>38982</v>
      </c>
      <c r="S304" s="22" t="str">
        <f t="shared" si="85"/>
        <v>MXN</v>
      </c>
      <c r="T304" s="22">
        <f t="shared" si="89"/>
        <v>2182.9920000000002</v>
      </c>
      <c r="U304" s="28">
        <v>400</v>
      </c>
      <c r="W304" s="9">
        <v>239</v>
      </c>
      <c r="X304" s="9" t="s">
        <v>29</v>
      </c>
      <c r="AF304">
        <v>319</v>
      </c>
      <c r="AG304" t="s">
        <v>29</v>
      </c>
      <c r="AH304">
        <v>866.4</v>
      </c>
      <c r="AI304" s="7">
        <v>45758</v>
      </c>
    </row>
    <row r="305" spans="1:35">
      <c r="A305">
        <v>331</v>
      </c>
      <c r="B305" t="str">
        <f t="shared" si="78"/>
        <v>USD</v>
      </c>
      <c r="C305">
        <f t="shared" si="79"/>
        <v>0</v>
      </c>
      <c r="D305">
        <f>C305*_xlfn.XLOOKUP(B305,AM:AM,AN:AN)</f>
        <v>0</v>
      </c>
      <c r="E305">
        <f>C305*_xlfn.XLOOKUP(B305,AM:AM,AO:AO)</f>
        <v>0</v>
      </c>
      <c r="F305">
        <v>704.8</v>
      </c>
      <c r="G305">
        <f>F305*_xlfn.XLOOKUP(B305,AM:AM,AN:AN)</f>
        <v>606.12799999999993</v>
      </c>
      <c r="H305">
        <f>F305*_xlfn.XLOOKUP(B305,AM:AM,AO:AO)</f>
        <v>704.8</v>
      </c>
      <c r="I305">
        <f t="shared" si="80"/>
        <v>0</v>
      </c>
      <c r="J305">
        <f>I305*_xlfn.XLOOKUP(B305,AM:AM,AO:AO)</f>
        <v>0</v>
      </c>
      <c r="K305" s="7">
        <f t="shared" si="81"/>
        <v>45799</v>
      </c>
      <c r="L305" s="7">
        <f t="shared" si="82"/>
        <v>45769</v>
      </c>
      <c r="M305">
        <f t="shared" si="83"/>
        <v>4</v>
      </c>
      <c r="N305">
        <f t="shared" si="84"/>
        <v>2025</v>
      </c>
      <c r="Q305" s="22">
        <v>445</v>
      </c>
      <c r="R305" s="22">
        <v>49430.400000000001</v>
      </c>
      <c r="S305" s="22" t="str">
        <f t="shared" si="85"/>
        <v>USD</v>
      </c>
      <c r="T305" s="22">
        <f t="shared" si="89"/>
        <v>49430.400000000001</v>
      </c>
      <c r="U305" s="28">
        <v>400</v>
      </c>
      <c r="W305" s="9">
        <v>239</v>
      </c>
      <c r="X305" s="9" t="s">
        <v>27</v>
      </c>
      <c r="AF305">
        <v>320</v>
      </c>
      <c r="AG305" t="s">
        <v>29</v>
      </c>
      <c r="AH305">
        <v>1916</v>
      </c>
      <c r="AI305" s="7">
        <v>45750</v>
      </c>
    </row>
    <row r="306" spans="1:35">
      <c r="A306">
        <v>332</v>
      </c>
      <c r="B306" t="str">
        <f t="shared" si="78"/>
        <v>MXN</v>
      </c>
      <c r="C306">
        <f t="shared" si="79"/>
        <v>447940.47</v>
      </c>
      <c r="D306">
        <f>C306*_xlfn.XLOOKUP(B306,AM:AM,AN:AN)</f>
        <v>21501.14256</v>
      </c>
      <c r="E306">
        <f>C306*_xlfn.XLOOKUP(B306,AM:AM,AO:AO)</f>
        <v>25084.66632</v>
      </c>
      <c r="F306">
        <v>447940.47</v>
      </c>
      <c r="G306">
        <f>F306*_xlfn.XLOOKUP(B306,AM:AM,AN:AN)</f>
        <v>21501.14256</v>
      </c>
      <c r="H306">
        <f>F306*_xlfn.XLOOKUP(B306,AM:AM,AO:AO)</f>
        <v>25084.66632</v>
      </c>
      <c r="I306">
        <f t="shared" si="80"/>
        <v>0</v>
      </c>
      <c r="J306">
        <f>I306*_xlfn.XLOOKUP(B306,AM:AM,AO:AO)</f>
        <v>0</v>
      </c>
      <c r="K306" s="7">
        <f t="shared" si="81"/>
        <v>45806</v>
      </c>
      <c r="L306" s="7">
        <f t="shared" si="82"/>
        <v>45776</v>
      </c>
      <c r="M306">
        <f t="shared" si="83"/>
        <v>4</v>
      </c>
      <c r="N306">
        <f t="shared" si="84"/>
        <v>2025</v>
      </c>
      <c r="Q306" s="22">
        <v>446</v>
      </c>
      <c r="R306" s="22">
        <v>20159.510000000002</v>
      </c>
      <c r="S306" s="22" t="str">
        <f t="shared" si="85"/>
        <v>USD</v>
      </c>
      <c r="T306" s="22">
        <f t="shared" si="89"/>
        <v>20159.510000000002</v>
      </c>
      <c r="U306" s="28">
        <v>400</v>
      </c>
      <c r="W306" s="9">
        <v>239</v>
      </c>
      <c r="X306" s="9" t="s">
        <v>29</v>
      </c>
      <c r="AF306">
        <v>321</v>
      </c>
      <c r="AG306" t="s">
        <v>29</v>
      </c>
      <c r="AH306">
        <v>261.60000000000002</v>
      </c>
      <c r="AI306" s="7">
        <v>45755</v>
      </c>
    </row>
    <row r="307" spans="1:35">
      <c r="A307">
        <v>333</v>
      </c>
      <c r="B307" t="str">
        <f t="shared" si="78"/>
        <v>USD</v>
      </c>
      <c r="C307">
        <f t="shared" si="79"/>
        <v>0</v>
      </c>
      <c r="D307">
        <f>C307*_xlfn.XLOOKUP(B307,AM:AM,AN:AN)</f>
        <v>0</v>
      </c>
      <c r="E307">
        <f>C307*_xlfn.XLOOKUP(B307,AM:AM,AO:AO)</f>
        <v>0</v>
      </c>
      <c r="F307">
        <v>1221</v>
      </c>
      <c r="G307">
        <f>F307*_xlfn.XLOOKUP(B307,AM:AM,AN:AN)</f>
        <v>1050.06</v>
      </c>
      <c r="H307">
        <f>F307*_xlfn.XLOOKUP(B307,AM:AM,AO:AO)</f>
        <v>1221</v>
      </c>
      <c r="I307">
        <f t="shared" si="80"/>
        <v>0</v>
      </c>
      <c r="J307">
        <f>I307*_xlfn.XLOOKUP(B307,AM:AM,AO:AO)</f>
        <v>0</v>
      </c>
      <c r="K307" s="7">
        <f t="shared" si="81"/>
        <v>45780</v>
      </c>
      <c r="L307" s="7">
        <f t="shared" si="82"/>
        <v>45750</v>
      </c>
      <c r="M307">
        <f t="shared" si="83"/>
        <v>4</v>
      </c>
      <c r="N307">
        <f t="shared" si="84"/>
        <v>2025</v>
      </c>
      <c r="Q307" s="22">
        <v>447</v>
      </c>
      <c r="R307" s="22">
        <v>11088.36</v>
      </c>
      <c r="S307" s="22" t="str">
        <f t="shared" si="85"/>
        <v>USD</v>
      </c>
      <c r="T307" s="22">
        <f t="shared" si="89"/>
        <v>11088.36</v>
      </c>
      <c r="U307" s="28">
        <v>400</v>
      </c>
      <c r="W307" s="9">
        <v>239</v>
      </c>
      <c r="X307" s="9" t="s">
        <v>29</v>
      </c>
      <c r="AF307">
        <v>322</v>
      </c>
      <c r="AG307" t="s">
        <v>29</v>
      </c>
      <c r="AH307">
        <v>1401</v>
      </c>
      <c r="AI307" s="7">
        <v>45844</v>
      </c>
    </row>
    <row r="308" spans="1:35">
      <c r="A308">
        <v>334</v>
      </c>
      <c r="B308" t="str">
        <f t="shared" si="78"/>
        <v>USD</v>
      </c>
      <c r="C308">
        <f t="shared" si="79"/>
        <v>0</v>
      </c>
      <c r="D308">
        <f>C308*_xlfn.XLOOKUP(B308,AM:AM,AN:AN)</f>
        <v>0</v>
      </c>
      <c r="E308">
        <f>C308*_xlfn.XLOOKUP(B308,AM:AM,AO:AO)</f>
        <v>0</v>
      </c>
      <c r="F308">
        <v>1630.2</v>
      </c>
      <c r="G308">
        <f>F308*_xlfn.XLOOKUP(B308,AM:AM,AN:AN)</f>
        <v>1401.972</v>
      </c>
      <c r="H308">
        <f>F308*_xlfn.XLOOKUP(B308,AM:AM,AO:AO)</f>
        <v>1630.2</v>
      </c>
      <c r="I308">
        <f t="shared" si="80"/>
        <v>0</v>
      </c>
      <c r="J308">
        <f>I308*_xlfn.XLOOKUP(B308,AM:AM,AO:AO)</f>
        <v>0</v>
      </c>
      <c r="K308" s="7">
        <f t="shared" si="81"/>
        <v>45787</v>
      </c>
      <c r="L308" s="7">
        <f t="shared" si="82"/>
        <v>45757</v>
      </c>
      <c r="M308">
        <f t="shared" si="83"/>
        <v>4</v>
      </c>
      <c r="N308">
        <f t="shared" si="84"/>
        <v>2025</v>
      </c>
      <c r="Q308" s="22">
        <v>448</v>
      </c>
      <c r="R308" s="22">
        <v>57508.7</v>
      </c>
      <c r="S308" s="22" t="str">
        <f t="shared" si="85"/>
        <v>USD</v>
      </c>
      <c r="T308" s="22">
        <f t="shared" si="89"/>
        <v>57508.7</v>
      </c>
      <c r="U308" s="28">
        <v>400</v>
      </c>
      <c r="W308" s="9">
        <v>241</v>
      </c>
      <c r="X308" s="9" t="s">
        <v>29</v>
      </c>
      <c r="AF308">
        <v>323</v>
      </c>
      <c r="AG308" t="s">
        <v>28</v>
      </c>
      <c r="AH308">
        <v>60208.3</v>
      </c>
      <c r="AI308" s="7">
        <v>45817</v>
      </c>
    </row>
    <row r="309" spans="1:35">
      <c r="A309">
        <v>335</v>
      </c>
      <c r="B309" t="str">
        <f t="shared" si="78"/>
        <v>USD</v>
      </c>
      <c r="C309">
        <f t="shared" si="79"/>
        <v>0</v>
      </c>
      <c r="D309">
        <f>C309*_xlfn.XLOOKUP(B309,AM:AM,AN:AN)</f>
        <v>0</v>
      </c>
      <c r="E309">
        <f>C309*_xlfn.XLOOKUP(B309,AM:AM,AO:AO)</f>
        <v>0</v>
      </c>
      <c r="F309">
        <v>98</v>
      </c>
      <c r="G309">
        <f>F309*_xlfn.XLOOKUP(B309,AM:AM,AN:AN)</f>
        <v>84.28</v>
      </c>
      <c r="H309">
        <f>F309*_xlfn.XLOOKUP(B309,AM:AM,AO:AO)</f>
        <v>98</v>
      </c>
      <c r="I309">
        <f t="shared" si="80"/>
        <v>0</v>
      </c>
      <c r="J309">
        <f>I309*_xlfn.XLOOKUP(B309,AM:AM,AO:AO)</f>
        <v>0</v>
      </c>
      <c r="K309" s="7">
        <f t="shared" si="81"/>
        <v>45782</v>
      </c>
      <c r="L309" s="7">
        <f t="shared" si="82"/>
        <v>45752</v>
      </c>
      <c r="M309">
        <f t="shared" si="83"/>
        <v>4</v>
      </c>
      <c r="N309">
        <f t="shared" si="84"/>
        <v>2025</v>
      </c>
      <c r="Q309" s="22">
        <v>451</v>
      </c>
      <c r="R309" s="22">
        <v>1494.49</v>
      </c>
      <c r="S309" s="22" t="str">
        <f t="shared" si="85"/>
        <v>USD</v>
      </c>
      <c r="T309" s="22">
        <f t="shared" si="89"/>
        <v>1494.49</v>
      </c>
      <c r="U309" s="28">
        <v>400</v>
      </c>
      <c r="W309" s="9">
        <v>241</v>
      </c>
      <c r="X309" s="9" t="s">
        <v>29</v>
      </c>
      <c r="AF309">
        <v>324</v>
      </c>
      <c r="AG309" t="s">
        <v>28</v>
      </c>
      <c r="AH309">
        <v>54735</v>
      </c>
      <c r="AI309" s="7">
        <v>45831</v>
      </c>
    </row>
    <row r="310" spans="1:35">
      <c r="A310">
        <v>336</v>
      </c>
      <c r="B310" t="str">
        <f t="shared" si="78"/>
        <v>USD</v>
      </c>
      <c r="C310">
        <f t="shared" si="79"/>
        <v>0</v>
      </c>
      <c r="D310">
        <f>C310*_xlfn.XLOOKUP(B310,AM:AM,AN:AN)</f>
        <v>0</v>
      </c>
      <c r="E310">
        <f>C310*_xlfn.XLOOKUP(B310,AM:AM,AO:AO)</f>
        <v>0</v>
      </c>
      <c r="F310">
        <v>428.8</v>
      </c>
      <c r="G310">
        <f>F310*_xlfn.XLOOKUP(B310,AM:AM,AN:AN)</f>
        <v>368.76800000000003</v>
      </c>
      <c r="H310">
        <f>F310*_xlfn.XLOOKUP(B310,AM:AM,AO:AO)</f>
        <v>428.8</v>
      </c>
      <c r="I310">
        <f t="shared" si="80"/>
        <v>0</v>
      </c>
      <c r="J310">
        <f>I310*_xlfn.XLOOKUP(B310,AM:AM,AO:AO)</f>
        <v>0</v>
      </c>
      <c r="K310" s="7">
        <f t="shared" si="81"/>
        <v>45778</v>
      </c>
      <c r="L310" s="7">
        <f t="shared" si="82"/>
        <v>45748</v>
      </c>
      <c r="M310">
        <f t="shared" si="83"/>
        <v>4</v>
      </c>
      <c r="N310">
        <f t="shared" si="84"/>
        <v>2025</v>
      </c>
      <c r="Q310" s="22">
        <v>454</v>
      </c>
      <c r="R310" s="22">
        <v>36210</v>
      </c>
      <c r="S310" s="22" t="str">
        <f t="shared" si="85"/>
        <v>USD</v>
      </c>
      <c r="T310" s="22">
        <f t="shared" si="89"/>
        <v>36210</v>
      </c>
      <c r="U310" s="28">
        <v>400</v>
      </c>
      <c r="W310" s="9">
        <v>243</v>
      </c>
      <c r="X310" s="9" t="s">
        <v>27</v>
      </c>
      <c r="AF310">
        <v>325</v>
      </c>
      <c r="AG310" t="s">
        <v>28</v>
      </c>
      <c r="AH310">
        <v>127330</v>
      </c>
      <c r="AI310" s="7">
        <v>45881</v>
      </c>
    </row>
    <row r="311" spans="1:35">
      <c r="A311">
        <v>337</v>
      </c>
      <c r="B311" t="str">
        <f t="shared" si="78"/>
        <v>USD</v>
      </c>
      <c r="C311">
        <f t="shared" si="79"/>
        <v>0</v>
      </c>
      <c r="D311">
        <f>C311*_xlfn.XLOOKUP(B311,AM:AM,AN:AN)</f>
        <v>0</v>
      </c>
      <c r="E311">
        <f>C311*_xlfn.XLOOKUP(B311,AM:AM,AO:AO)</f>
        <v>0</v>
      </c>
      <c r="F311">
        <v>1012.3</v>
      </c>
      <c r="G311">
        <f>F311*_xlfn.XLOOKUP(B311,AM:AM,AN:AN)</f>
        <v>870.57799999999997</v>
      </c>
      <c r="H311">
        <f>F311*_xlfn.XLOOKUP(B311,AM:AM,AO:AO)</f>
        <v>1012.3</v>
      </c>
      <c r="I311">
        <f t="shared" si="80"/>
        <v>0</v>
      </c>
      <c r="J311">
        <f>I311*_xlfn.XLOOKUP(B311,AM:AM,AO:AO)</f>
        <v>0</v>
      </c>
      <c r="K311" s="7">
        <f t="shared" si="81"/>
        <v>45839</v>
      </c>
      <c r="L311" s="7">
        <f t="shared" si="82"/>
        <v>45809</v>
      </c>
      <c r="M311">
        <f t="shared" si="83"/>
        <v>6</v>
      </c>
      <c r="N311">
        <f t="shared" si="84"/>
        <v>2025</v>
      </c>
      <c r="Q311" s="22">
        <v>455</v>
      </c>
      <c r="R311" s="22">
        <v>1665</v>
      </c>
      <c r="S311" s="22" t="str">
        <f t="shared" si="85"/>
        <v>USD</v>
      </c>
      <c r="T311" s="22">
        <f t="shared" si="89"/>
        <v>1665</v>
      </c>
      <c r="U311" s="28">
        <v>400</v>
      </c>
      <c r="W311" s="9">
        <v>243</v>
      </c>
      <c r="X311" s="9" t="s">
        <v>27</v>
      </c>
      <c r="AF311">
        <v>326</v>
      </c>
      <c r="AG311" t="s">
        <v>27</v>
      </c>
      <c r="AH311">
        <v>525</v>
      </c>
      <c r="AI311" s="7">
        <v>45693</v>
      </c>
    </row>
    <row r="312" spans="1:35">
      <c r="A312">
        <v>338</v>
      </c>
      <c r="B312" t="str">
        <f t="shared" si="78"/>
        <v>USD</v>
      </c>
      <c r="C312">
        <f t="shared" si="79"/>
        <v>296.3</v>
      </c>
      <c r="D312">
        <f>C312*_xlfn.XLOOKUP(B312,AM:AM,AN:AN)</f>
        <v>254.81800000000001</v>
      </c>
      <c r="E312">
        <f>C312*_xlfn.XLOOKUP(B312,AM:AM,AO:AO)</f>
        <v>296.3</v>
      </c>
      <c r="F312">
        <v>296.3</v>
      </c>
      <c r="G312">
        <f>F312*_xlfn.XLOOKUP(B312,AM:AM,AN:AN)</f>
        <v>254.81800000000001</v>
      </c>
      <c r="H312">
        <f>F312*_xlfn.XLOOKUP(B312,AM:AM,AO:AO)</f>
        <v>296.3</v>
      </c>
      <c r="I312">
        <f t="shared" si="80"/>
        <v>0</v>
      </c>
      <c r="J312">
        <f>I312*_xlfn.XLOOKUP(B312,AM:AM,AO:AO)</f>
        <v>0</v>
      </c>
      <c r="K312" s="7">
        <f t="shared" si="81"/>
        <v>45785</v>
      </c>
      <c r="L312" s="7">
        <f t="shared" si="82"/>
        <v>45755</v>
      </c>
      <c r="M312">
        <f t="shared" si="83"/>
        <v>4</v>
      </c>
      <c r="N312">
        <f t="shared" si="84"/>
        <v>2025</v>
      </c>
      <c r="Q312" s="22">
        <v>456</v>
      </c>
      <c r="R312" s="22">
        <v>1205</v>
      </c>
      <c r="S312" s="22" t="str">
        <f t="shared" si="85"/>
        <v>USD</v>
      </c>
      <c r="T312" s="22">
        <f t="shared" si="89"/>
        <v>1205</v>
      </c>
      <c r="U312" s="28">
        <v>400</v>
      </c>
      <c r="W312" s="9">
        <v>243</v>
      </c>
      <c r="X312" s="9" t="s">
        <v>27</v>
      </c>
      <c r="AF312">
        <v>327</v>
      </c>
      <c r="AG312" t="s">
        <v>29</v>
      </c>
      <c r="AH312">
        <v>10449.41</v>
      </c>
      <c r="AI312" s="7">
        <v>45755</v>
      </c>
    </row>
    <row r="313" spans="1:35">
      <c r="A313">
        <v>339</v>
      </c>
      <c r="B313" t="str">
        <f t="shared" si="78"/>
        <v>USD</v>
      </c>
      <c r="C313">
        <f t="shared" si="79"/>
        <v>981.6</v>
      </c>
      <c r="D313">
        <f>C313*_xlfn.XLOOKUP(B313,AM:AM,AN:AN)</f>
        <v>844.17600000000004</v>
      </c>
      <c r="E313">
        <f>C313*_xlfn.XLOOKUP(B313,AM:AM,AO:AO)</f>
        <v>981.6</v>
      </c>
      <c r="F313">
        <v>981.6</v>
      </c>
      <c r="G313">
        <f>F313*_xlfn.XLOOKUP(B313,AM:AM,AN:AN)</f>
        <v>844.17600000000004</v>
      </c>
      <c r="H313">
        <f>F313*_xlfn.XLOOKUP(B313,AM:AM,AO:AO)</f>
        <v>981.6</v>
      </c>
      <c r="I313">
        <f t="shared" si="80"/>
        <v>0</v>
      </c>
      <c r="J313">
        <f>I313*_xlfn.XLOOKUP(B313,AM:AM,AO:AO)</f>
        <v>0</v>
      </c>
      <c r="K313" s="7">
        <f t="shared" si="81"/>
        <v>45786</v>
      </c>
      <c r="L313" s="7">
        <f t="shared" si="82"/>
        <v>45756</v>
      </c>
      <c r="M313">
        <f t="shared" si="83"/>
        <v>4</v>
      </c>
      <c r="N313">
        <f t="shared" si="84"/>
        <v>2025</v>
      </c>
      <c r="Q313" s="22">
        <v>457</v>
      </c>
      <c r="R313" s="22">
        <v>780</v>
      </c>
      <c r="S313" s="22" t="str">
        <f t="shared" si="85"/>
        <v>USD</v>
      </c>
      <c r="T313" s="22">
        <f t="shared" si="89"/>
        <v>780</v>
      </c>
      <c r="U313" s="28">
        <v>400</v>
      </c>
      <c r="W313" s="9">
        <v>244</v>
      </c>
      <c r="X313" s="9" t="s">
        <v>27</v>
      </c>
      <c r="AF313">
        <v>328</v>
      </c>
      <c r="AG313" t="s">
        <v>29</v>
      </c>
      <c r="AH313">
        <v>8827.1</v>
      </c>
      <c r="AI313" s="7">
        <v>45791</v>
      </c>
    </row>
    <row r="314" spans="1:35">
      <c r="A314">
        <v>340</v>
      </c>
      <c r="B314" t="str">
        <f t="shared" si="78"/>
        <v>USD</v>
      </c>
      <c r="C314">
        <f t="shared" si="79"/>
        <v>159955</v>
      </c>
      <c r="D314">
        <f>C314*_xlfn.XLOOKUP(B314,AM:AM,AN:AN)</f>
        <v>137561.29999999999</v>
      </c>
      <c r="E314">
        <f>C314*_xlfn.XLOOKUP(B314,AM:AM,AO:AO)</f>
        <v>159955</v>
      </c>
      <c r="F314">
        <v>175373.05</v>
      </c>
      <c r="G314">
        <f>F314*_xlfn.XLOOKUP(B314,AM:AM,AN:AN)</f>
        <v>150820.82299999997</v>
      </c>
      <c r="H314">
        <f>F314*_xlfn.XLOOKUP(B314,AM:AM,AO:AO)</f>
        <v>175373.05</v>
      </c>
      <c r="I314">
        <f t="shared" si="80"/>
        <v>1.0913936421275139E-11</v>
      </c>
      <c r="J314">
        <f>I314*_xlfn.XLOOKUP(B314,AM:AM,AO:AO)</f>
        <v>1.0913936421275139E-11</v>
      </c>
      <c r="K314" s="7">
        <f t="shared" si="81"/>
        <v>45873</v>
      </c>
      <c r="L314" s="7">
        <f t="shared" si="82"/>
        <v>45843</v>
      </c>
      <c r="M314">
        <f t="shared" si="83"/>
        <v>7</v>
      </c>
      <c r="N314">
        <f t="shared" si="84"/>
        <v>2025</v>
      </c>
      <c r="Q314" s="22">
        <v>458</v>
      </c>
      <c r="R314" s="22">
        <v>1465</v>
      </c>
      <c r="S314" s="22" t="str">
        <f t="shared" si="85"/>
        <v>USD</v>
      </c>
      <c r="T314" s="22">
        <f t="shared" si="89"/>
        <v>1465</v>
      </c>
      <c r="U314" s="28">
        <v>400</v>
      </c>
      <c r="W314" s="9">
        <v>244</v>
      </c>
      <c r="X314" s="9" t="s">
        <v>27</v>
      </c>
      <c r="AF314">
        <v>329</v>
      </c>
      <c r="AG314" t="s">
        <v>29</v>
      </c>
      <c r="AH314">
        <v>36333.599999999999</v>
      </c>
      <c r="AI314" s="7">
        <v>45748</v>
      </c>
    </row>
    <row r="315" spans="1:35">
      <c r="A315">
        <v>341</v>
      </c>
      <c r="B315" t="str">
        <f t="shared" si="78"/>
        <v>USD</v>
      </c>
      <c r="C315">
        <f t="shared" si="79"/>
        <v>52130.1</v>
      </c>
      <c r="D315">
        <f>C315*_xlfn.XLOOKUP(B315,AM:AM,AN:AN)</f>
        <v>44831.885999999999</v>
      </c>
      <c r="E315">
        <f>C315*_xlfn.XLOOKUP(B315,AM:AM,AO:AO)</f>
        <v>52130.1</v>
      </c>
      <c r="F315">
        <v>52130.1</v>
      </c>
      <c r="G315">
        <f>F315*_xlfn.XLOOKUP(B315,AM:AM,AN:AN)</f>
        <v>44831.885999999999</v>
      </c>
      <c r="H315">
        <f>F315*_xlfn.XLOOKUP(B315,AM:AM,AO:AO)</f>
        <v>52130.1</v>
      </c>
      <c r="I315">
        <f t="shared" si="80"/>
        <v>0</v>
      </c>
      <c r="J315">
        <f>I315*_xlfn.XLOOKUP(B315,AM:AM,AO:AO)</f>
        <v>0</v>
      </c>
      <c r="K315" s="7">
        <f t="shared" si="81"/>
        <v>45870</v>
      </c>
      <c r="L315" s="7">
        <f t="shared" si="82"/>
        <v>45840</v>
      </c>
      <c r="M315">
        <f t="shared" si="83"/>
        <v>7</v>
      </c>
      <c r="N315">
        <f t="shared" si="84"/>
        <v>2025</v>
      </c>
      <c r="Q315" s="22">
        <v>459</v>
      </c>
      <c r="R315" s="22">
        <v>305</v>
      </c>
      <c r="S315" s="22" t="str">
        <f t="shared" si="85"/>
        <v>USD</v>
      </c>
      <c r="T315" s="22">
        <f t="shared" si="89"/>
        <v>305</v>
      </c>
      <c r="U315" s="28">
        <v>400</v>
      </c>
      <c r="W315" s="9">
        <v>245</v>
      </c>
      <c r="X315" s="9" t="s">
        <v>27</v>
      </c>
      <c r="AF315">
        <v>330</v>
      </c>
      <c r="AG315" t="s">
        <v>29</v>
      </c>
      <c r="AH315">
        <v>17786.22</v>
      </c>
      <c r="AI315" s="7">
        <v>45794</v>
      </c>
    </row>
    <row r="316" spans="1:35">
      <c r="A316">
        <v>342</v>
      </c>
      <c r="B316" t="str">
        <f t="shared" si="78"/>
        <v>MXN</v>
      </c>
      <c r="C316">
        <f t="shared" si="79"/>
        <v>0</v>
      </c>
      <c r="D316">
        <f>C316*_xlfn.XLOOKUP(B316,AM:AM,AN:AN)</f>
        <v>0</v>
      </c>
      <c r="E316">
        <f>C316*_xlfn.XLOOKUP(B316,AM:AM,AO:AO)</f>
        <v>0</v>
      </c>
      <c r="F316">
        <v>16401.41</v>
      </c>
      <c r="G316">
        <f>F316*_xlfn.XLOOKUP(B316,AM:AM,AN:AN)</f>
        <v>787.26768000000004</v>
      </c>
      <c r="H316">
        <f>F316*_xlfn.XLOOKUP(B316,AM:AM,AO:AO)</f>
        <v>918.47896000000003</v>
      </c>
      <c r="I316">
        <f t="shared" si="80"/>
        <v>0</v>
      </c>
      <c r="J316">
        <f>I316*_xlfn.XLOOKUP(B316,AM:AM,AO:AO)</f>
        <v>0</v>
      </c>
      <c r="K316" s="7">
        <f t="shared" si="81"/>
        <v>45839</v>
      </c>
      <c r="L316" s="7">
        <f t="shared" si="82"/>
        <v>45809</v>
      </c>
      <c r="M316">
        <f t="shared" si="83"/>
        <v>6</v>
      </c>
      <c r="N316">
        <f t="shared" si="84"/>
        <v>2025</v>
      </c>
      <c r="Q316" s="22">
        <v>460</v>
      </c>
      <c r="R316" s="22">
        <v>2832</v>
      </c>
      <c r="S316" s="22" t="str">
        <f t="shared" si="85"/>
        <v>USD</v>
      </c>
      <c r="T316" s="22">
        <f t="shared" si="89"/>
        <v>2832</v>
      </c>
      <c r="U316" s="28">
        <v>400</v>
      </c>
      <c r="W316" s="9">
        <v>245</v>
      </c>
      <c r="X316" s="9" t="s">
        <v>27</v>
      </c>
      <c r="AF316">
        <v>331</v>
      </c>
      <c r="AG316" t="s">
        <v>29</v>
      </c>
      <c r="AH316">
        <v>704.8</v>
      </c>
      <c r="AI316" s="7">
        <v>45799</v>
      </c>
    </row>
    <row r="317" spans="1:35">
      <c r="A317">
        <v>343</v>
      </c>
      <c r="B317" t="str">
        <f t="shared" si="78"/>
        <v>USD</v>
      </c>
      <c r="C317">
        <f t="shared" si="79"/>
        <v>0</v>
      </c>
      <c r="D317">
        <f>C317*_xlfn.XLOOKUP(B317,AM:AM,AN:AN)</f>
        <v>0</v>
      </c>
      <c r="E317">
        <f>C317*_xlfn.XLOOKUP(B317,AM:AM,AO:AO)</f>
        <v>0</v>
      </c>
      <c r="F317">
        <v>198.6</v>
      </c>
      <c r="G317">
        <f>F317*_xlfn.XLOOKUP(B317,AM:AM,AN:AN)</f>
        <v>170.79599999999999</v>
      </c>
      <c r="H317">
        <f>F317*_xlfn.XLOOKUP(B317,AM:AM,AO:AO)</f>
        <v>198.6</v>
      </c>
      <c r="I317">
        <f t="shared" si="80"/>
        <v>0</v>
      </c>
      <c r="J317">
        <f>I317*_xlfn.XLOOKUP(B317,AM:AM,AO:AO)</f>
        <v>0</v>
      </c>
      <c r="K317" s="7">
        <f t="shared" si="81"/>
        <v>45818</v>
      </c>
      <c r="L317" s="7">
        <f t="shared" si="82"/>
        <v>45788</v>
      </c>
      <c r="M317">
        <f t="shared" si="83"/>
        <v>5</v>
      </c>
      <c r="N317">
        <f t="shared" si="84"/>
        <v>2025</v>
      </c>
      <c r="Q317" s="22">
        <v>461</v>
      </c>
      <c r="R317" s="22">
        <v>10222</v>
      </c>
      <c r="S317" s="22" t="str">
        <f t="shared" si="85"/>
        <v>MXN</v>
      </c>
      <c r="T317" s="22">
        <f t="shared" si="89"/>
        <v>572.43200000000002</v>
      </c>
      <c r="U317" s="28">
        <v>400</v>
      </c>
      <c r="W317" s="9">
        <v>245</v>
      </c>
      <c r="X317" s="9" t="s">
        <v>27</v>
      </c>
      <c r="AF317">
        <v>332</v>
      </c>
      <c r="AG317" t="s">
        <v>28</v>
      </c>
      <c r="AH317">
        <v>447940.47</v>
      </c>
      <c r="AI317" s="7">
        <v>45806</v>
      </c>
    </row>
    <row r="318" spans="1:35">
      <c r="A318">
        <v>345</v>
      </c>
      <c r="B318" t="str">
        <f t="shared" si="78"/>
        <v>EUR</v>
      </c>
      <c r="C318">
        <f t="shared" si="79"/>
        <v>0</v>
      </c>
      <c r="D318">
        <f>C318*_xlfn.XLOOKUP(B318,AM:AM,AN:AN)</f>
        <v>0</v>
      </c>
      <c r="E318">
        <f>C318*_xlfn.XLOOKUP(B318,AM:AM,AO:AO)</f>
        <v>0</v>
      </c>
      <c r="F318">
        <v>900</v>
      </c>
      <c r="G318">
        <f>F318*_xlfn.XLOOKUP(B318,AM:AM,AN:AN)</f>
        <v>900</v>
      </c>
      <c r="H318">
        <f>F318*_xlfn.XLOOKUP(B318,AM:AM,AO:AO)</f>
        <v>1044</v>
      </c>
      <c r="I318">
        <f t="shared" si="80"/>
        <v>0</v>
      </c>
      <c r="J318">
        <f>I318*_xlfn.XLOOKUP(B318,AM:AM,AO:AO)</f>
        <v>0</v>
      </c>
      <c r="K318" s="7">
        <f t="shared" si="81"/>
        <v>45704</v>
      </c>
      <c r="L318" s="7">
        <f t="shared" si="82"/>
        <v>45674</v>
      </c>
      <c r="M318">
        <f t="shared" si="83"/>
        <v>1</v>
      </c>
      <c r="N318">
        <f t="shared" si="84"/>
        <v>2025</v>
      </c>
      <c r="Q318" s="22">
        <v>462</v>
      </c>
      <c r="R318" s="22">
        <v>28192.89</v>
      </c>
      <c r="S318" s="22" t="str">
        <f t="shared" si="85"/>
        <v>USD</v>
      </c>
      <c r="T318" s="22">
        <f t="shared" si="89"/>
        <v>28192.89</v>
      </c>
      <c r="U318" s="28">
        <v>400</v>
      </c>
      <c r="W318" s="9">
        <v>245</v>
      </c>
      <c r="X318" s="9" t="s">
        <v>27</v>
      </c>
      <c r="AF318">
        <v>333</v>
      </c>
      <c r="AG318" t="s">
        <v>29</v>
      </c>
      <c r="AH318">
        <v>1221</v>
      </c>
      <c r="AI318" s="7">
        <v>45780</v>
      </c>
    </row>
    <row r="319" spans="1:35">
      <c r="A319">
        <v>346</v>
      </c>
      <c r="B319" t="str">
        <f t="shared" si="78"/>
        <v>USD</v>
      </c>
      <c r="C319">
        <f t="shared" si="79"/>
        <v>0</v>
      </c>
      <c r="D319">
        <f>C319*_xlfn.XLOOKUP(B319,AM:AM,AN:AN)</f>
        <v>0</v>
      </c>
      <c r="E319">
        <f>C319*_xlfn.XLOOKUP(B319,AM:AM,AO:AO)</f>
        <v>0</v>
      </c>
      <c r="F319">
        <v>7100</v>
      </c>
      <c r="G319">
        <f>F319*_xlfn.XLOOKUP(B319,AM:AM,AN:AN)</f>
        <v>6106</v>
      </c>
      <c r="H319">
        <f>F319*_xlfn.XLOOKUP(B319,AM:AM,AO:AO)</f>
        <v>7100</v>
      </c>
      <c r="I319">
        <f t="shared" si="80"/>
        <v>0</v>
      </c>
      <c r="J319">
        <f>I319*_xlfn.XLOOKUP(B319,AM:AM,AO:AO)</f>
        <v>0</v>
      </c>
      <c r="K319" s="7">
        <f t="shared" si="81"/>
        <v>45799</v>
      </c>
      <c r="L319" s="7">
        <f t="shared" si="82"/>
        <v>45769</v>
      </c>
      <c r="M319">
        <f t="shared" si="83"/>
        <v>4</v>
      </c>
      <c r="N319">
        <f t="shared" si="84"/>
        <v>2025</v>
      </c>
      <c r="Q319" s="22">
        <v>463</v>
      </c>
      <c r="R319" s="22">
        <v>34866</v>
      </c>
      <c r="S319" s="22" t="str">
        <f t="shared" si="85"/>
        <v>MXN</v>
      </c>
      <c r="T319" s="22">
        <f t="shared" si="89"/>
        <v>1952.4960000000001</v>
      </c>
      <c r="U319" s="28">
        <v>400</v>
      </c>
      <c r="W319" s="9">
        <v>246</v>
      </c>
      <c r="X319" s="9" t="s">
        <v>29</v>
      </c>
      <c r="AF319">
        <v>334</v>
      </c>
      <c r="AG319" t="s">
        <v>29</v>
      </c>
      <c r="AH319">
        <v>1630.2</v>
      </c>
      <c r="AI319" s="7">
        <v>45787</v>
      </c>
    </row>
    <row r="320" spans="1:35">
      <c r="A320">
        <v>347</v>
      </c>
      <c r="B320" t="str">
        <f t="shared" si="78"/>
        <v>USD</v>
      </c>
      <c r="C320">
        <f t="shared" si="79"/>
        <v>9995.19</v>
      </c>
      <c r="D320">
        <f>C320*_xlfn.XLOOKUP(B320,AM:AM,AN:AN)</f>
        <v>8595.8634000000002</v>
      </c>
      <c r="E320">
        <f>C320*_xlfn.XLOOKUP(B320,AM:AM,AO:AO)</f>
        <v>9995.19</v>
      </c>
      <c r="F320">
        <v>9995.19</v>
      </c>
      <c r="G320">
        <f>F320*_xlfn.XLOOKUP(B320,AM:AM,AN:AN)</f>
        <v>8595.8634000000002</v>
      </c>
      <c r="H320">
        <f>F320*_xlfn.XLOOKUP(B320,AM:AM,AO:AO)</f>
        <v>9995.19</v>
      </c>
      <c r="I320">
        <f t="shared" si="80"/>
        <v>0</v>
      </c>
      <c r="J320">
        <f>I320*_xlfn.XLOOKUP(B320,AM:AM,AO:AO)</f>
        <v>0</v>
      </c>
      <c r="K320" s="7">
        <f t="shared" si="81"/>
        <v>45794</v>
      </c>
      <c r="L320" s="7">
        <f t="shared" si="82"/>
        <v>45764</v>
      </c>
      <c r="M320">
        <f t="shared" si="83"/>
        <v>4</v>
      </c>
      <c r="N320">
        <f t="shared" si="84"/>
        <v>2025</v>
      </c>
      <c r="Q320" s="22">
        <v>464</v>
      </c>
      <c r="R320" s="22">
        <v>2267.5</v>
      </c>
      <c r="S320" s="22" t="str">
        <f t="shared" si="85"/>
        <v>USD</v>
      </c>
      <c r="T320" s="22">
        <f t="shared" si="89"/>
        <v>2267.5</v>
      </c>
      <c r="U320" s="28">
        <v>400</v>
      </c>
      <c r="W320" s="9">
        <v>248</v>
      </c>
      <c r="X320" s="9" t="s">
        <v>29</v>
      </c>
      <c r="AF320">
        <v>335</v>
      </c>
      <c r="AG320" t="s">
        <v>29</v>
      </c>
      <c r="AH320">
        <v>98</v>
      </c>
      <c r="AI320" s="7">
        <v>45782</v>
      </c>
    </row>
    <row r="321" spans="1:35">
      <c r="A321">
        <v>348</v>
      </c>
      <c r="B321" t="str">
        <f t="shared" si="78"/>
        <v>USD</v>
      </c>
      <c r="C321">
        <f t="shared" si="79"/>
        <v>0</v>
      </c>
      <c r="D321">
        <f>C321*_xlfn.XLOOKUP(B321,AM:AM,AN:AN)</f>
        <v>0</v>
      </c>
      <c r="E321">
        <f>C321*_xlfn.XLOOKUP(B321,AM:AM,AO:AO)</f>
        <v>0</v>
      </c>
      <c r="F321">
        <v>3045</v>
      </c>
      <c r="G321">
        <f>F321*_xlfn.XLOOKUP(B321,AM:AM,AN:AN)</f>
        <v>2618.6999999999998</v>
      </c>
      <c r="H321">
        <f>F321*_xlfn.XLOOKUP(B321,AM:AM,AO:AO)</f>
        <v>3045</v>
      </c>
      <c r="I321">
        <f t="shared" si="80"/>
        <v>0</v>
      </c>
      <c r="J321">
        <f>I321*_xlfn.XLOOKUP(B321,AM:AM,AO:AO)</f>
        <v>0</v>
      </c>
      <c r="K321" s="7">
        <f t="shared" si="81"/>
        <v>45799</v>
      </c>
      <c r="L321" s="7">
        <f t="shared" si="82"/>
        <v>45769</v>
      </c>
      <c r="M321">
        <f t="shared" si="83"/>
        <v>4</v>
      </c>
      <c r="N321">
        <f t="shared" si="84"/>
        <v>2025</v>
      </c>
      <c r="Q321" s="22">
        <v>465</v>
      </c>
      <c r="R321" s="22">
        <v>9065</v>
      </c>
      <c r="S321" s="22" t="str">
        <f t="shared" si="85"/>
        <v>EUR</v>
      </c>
      <c r="T321" s="22">
        <f t="shared" si="89"/>
        <v>10515.4</v>
      </c>
      <c r="U321" s="28">
        <v>400</v>
      </c>
      <c r="W321" s="9">
        <v>249</v>
      </c>
      <c r="X321" s="9" t="s">
        <v>29</v>
      </c>
      <c r="AF321">
        <v>336</v>
      </c>
      <c r="AG321" t="s">
        <v>29</v>
      </c>
      <c r="AH321">
        <v>428.8</v>
      </c>
      <c r="AI321" s="7">
        <v>45778</v>
      </c>
    </row>
    <row r="322" spans="1:35">
      <c r="A322">
        <v>349</v>
      </c>
      <c r="B322" t="str">
        <f t="shared" si="78"/>
        <v>USD</v>
      </c>
      <c r="C322">
        <f t="shared" si="79"/>
        <v>2457.91</v>
      </c>
      <c r="D322">
        <f>C322*_xlfn.XLOOKUP(B322,AM:AM,AN:AN)</f>
        <v>2113.8026</v>
      </c>
      <c r="E322">
        <f>C322*_xlfn.XLOOKUP(B322,AM:AM,AO:AO)</f>
        <v>2457.91</v>
      </c>
      <c r="F322">
        <v>2457.91</v>
      </c>
      <c r="G322">
        <f>F322*_xlfn.XLOOKUP(B322,AM:AM,AN:AN)</f>
        <v>2113.8026</v>
      </c>
      <c r="H322">
        <f>F322*_xlfn.XLOOKUP(B322,AM:AM,AO:AO)</f>
        <v>2457.91</v>
      </c>
      <c r="I322">
        <f t="shared" si="80"/>
        <v>0</v>
      </c>
      <c r="J322">
        <f>I322*_xlfn.XLOOKUP(B322,AM:AM,AO:AO)</f>
        <v>0</v>
      </c>
      <c r="K322" s="7">
        <f t="shared" si="81"/>
        <v>45794</v>
      </c>
      <c r="L322" s="7">
        <f t="shared" si="82"/>
        <v>45764</v>
      </c>
      <c r="M322">
        <f t="shared" si="83"/>
        <v>4</v>
      </c>
      <c r="N322">
        <f t="shared" si="84"/>
        <v>2025</v>
      </c>
      <c r="Q322" s="22">
        <v>467</v>
      </c>
      <c r="R322" s="22">
        <v>80360.45</v>
      </c>
      <c r="S322" s="22" t="str">
        <f t="shared" si="85"/>
        <v>MXN</v>
      </c>
      <c r="T322" s="22">
        <f t="shared" si="89"/>
        <v>4500.1851999999999</v>
      </c>
      <c r="U322" s="28">
        <v>400</v>
      </c>
      <c r="W322" s="9">
        <v>251</v>
      </c>
      <c r="X322" s="9" t="s">
        <v>27</v>
      </c>
      <c r="AF322">
        <v>337</v>
      </c>
      <c r="AG322" t="s">
        <v>29</v>
      </c>
      <c r="AH322">
        <v>1012.3</v>
      </c>
      <c r="AI322" s="7">
        <v>45839</v>
      </c>
    </row>
    <row r="323" spans="1:35">
      <c r="A323">
        <v>350</v>
      </c>
      <c r="B323" t="str">
        <f t="shared" ref="B323:B386" si="93">_xlfn.XLOOKUP(A323,AF:AF,AG:AG)</f>
        <v>USD</v>
      </c>
      <c r="C323">
        <f t="shared" ref="C323:C386" si="94">_xlfn.XLOOKUP(A323,AF:AF,AH:AH)-_xlfn.XLOOKUP(A323,Q:Q,R:R,"0")</f>
        <v>6720</v>
      </c>
      <c r="D323">
        <f>C323*_xlfn.XLOOKUP(B323,AM:AM,AN:AN)</f>
        <v>5779.2</v>
      </c>
      <c r="E323">
        <f>C323*_xlfn.XLOOKUP(B323,AM:AM,AO:AO)</f>
        <v>6720</v>
      </c>
      <c r="F323">
        <v>14729.27</v>
      </c>
      <c r="G323">
        <f>F323*_xlfn.XLOOKUP(B323,AM:AM,AN:AN)</f>
        <v>12667.172200000001</v>
      </c>
      <c r="H323">
        <f>F323*_xlfn.XLOOKUP(B323,AM:AM,AO:AO)</f>
        <v>14729.27</v>
      </c>
      <c r="I323">
        <f t="shared" ref="I323:I386" si="95">C323-F323+_xlfn.XLOOKUP(A323,Q:Q,R:R,"0")-_xlfn.XLOOKUP(A323,Z:Z,AA:AA,"0")</f>
        <v>0</v>
      </c>
      <c r="J323">
        <f>I323*_xlfn.XLOOKUP(B323,AM:AM,AO:AO)</f>
        <v>0</v>
      </c>
      <c r="K323" s="7">
        <f t="shared" ref="K323:K386" si="96">_xlfn.XLOOKUP(A323,AF:AF,AI:AI)</f>
        <v>45793</v>
      </c>
      <c r="L323" s="7">
        <f t="shared" ref="L323:L386" si="97">K323-30</f>
        <v>45763</v>
      </c>
      <c r="M323">
        <f t="shared" ref="M323:M386" si="98">MONTH(L323)</f>
        <v>4</v>
      </c>
      <c r="N323">
        <f t="shared" ref="N323:N386" si="99">YEAR(L323)</f>
        <v>2025</v>
      </c>
      <c r="Q323" s="22">
        <v>468</v>
      </c>
      <c r="R323" s="22">
        <v>31263.040000000001</v>
      </c>
      <c r="S323" s="22" t="str">
        <f t="shared" ref="S323:S386" si="100">_xlfn.XLOOKUP(Q323,W:W,X:X)</f>
        <v>USD</v>
      </c>
      <c r="T323" s="22">
        <f t="shared" si="89"/>
        <v>31263.040000000001</v>
      </c>
      <c r="U323" s="28">
        <v>400</v>
      </c>
      <c r="W323" s="9">
        <v>251</v>
      </c>
      <c r="X323" s="9" t="s">
        <v>27</v>
      </c>
      <c r="AF323">
        <v>338</v>
      </c>
      <c r="AG323" t="s">
        <v>29</v>
      </c>
      <c r="AH323">
        <v>296.3</v>
      </c>
      <c r="AI323" s="7">
        <v>45785</v>
      </c>
    </row>
    <row r="324" spans="1:35">
      <c r="A324">
        <v>351</v>
      </c>
      <c r="B324" t="str">
        <f t="shared" si="93"/>
        <v>USD</v>
      </c>
      <c r="C324">
        <f t="shared" si="94"/>
        <v>35</v>
      </c>
      <c r="D324">
        <f>C324*_xlfn.XLOOKUP(B324,AM:AM,AN:AN)</f>
        <v>30.099999999999998</v>
      </c>
      <c r="E324">
        <f>C324*_xlfn.XLOOKUP(B324,AM:AM,AO:AO)</f>
        <v>35</v>
      </c>
      <c r="F324">
        <v>2611.75</v>
      </c>
      <c r="G324">
        <f>F324*_xlfn.XLOOKUP(B324,AM:AM,AN:AN)</f>
        <v>2246.105</v>
      </c>
      <c r="H324">
        <f>F324*_xlfn.XLOOKUP(B324,AM:AM,AO:AO)</f>
        <v>2611.75</v>
      </c>
      <c r="I324">
        <f t="shared" si="95"/>
        <v>0</v>
      </c>
      <c r="J324">
        <f>I324*_xlfn.XLOOKUP(B324,AM:AM,AO:AO)</f>
        <v>0</v>
      </c>
      <c r="K324" s="7">
        <f t="shared" si="96"/>
        <v>45793</v>
      </c>
      <c r="L324" s="7">
        <f t="shared" si="97"/>
        <v>45763</v>
      </c>
      <c r="M324">
        <f t="shared" si="98"/>
        <v>4</v>
      </c>
      <c r="N324">
        <f t="shared" si="99"/>
        <v>2025</v>
      </c>
      <c r="Q324" s="22">
        <v>469</v>
      </c>
      <c r="R324" s="22">
        <v>670.22</v>
      </c>
      <c r="S324" s="22" t="str">
        <f t="shared" si="100"/>
        <v>USD</v>
      </c>
      <c r="T324" s="22">
        <f t="shared" si="89"/>
        <v>670.22</v>
      </c>
      <c r="U324" s="28">
        <v>400</v>
      </c>
      <c r="W324" s="9">
        <v>251</v>
      </c>
      <c r="X324" s="9" t="s">
        <v>27</v>
      </c>
      <c r="AF324">
        <v>339</v>
      </c>
      <c r="AG324" t="s">
        <v>29</v>
      </c>
      <c r="AH324">
        <v>981.6</v>
      </c>
      <c r="AI324" s="7">
        <v>45786</v>
      </c>
    </row>
    <row r="325" spans="1:35">
      <c r="A325">
        <v>352</v>
      </c>
      <c r="B325" t="str">
        <f t="shared" si="93"/>
        <v>USD</v>
      </c>
      <c r="C325">
        <f t="shared" si="94"/>
        <v>35</v>
      </c>
      <c r="D325">
        <f>C325*_xlfn.XLOOKUP(B325,AM:AM,AN:AN)</f>
        <v>30.099999999999998</v>
      </c>
      <c r="E325">
        <f>C325*_xlfn.XLOOKUP(B325,AM:AM,AO:AO)</f>
        <v>35</v>
      </c>
      <c r="F325">
        <v>9109.86</v>
      </c>
      <c r="G325">
        <f>F325*_xlfn.XLOOKUP(B325,AM:AM,AN:AN)</f>
        <v>7834.4796000000006</v>
      </c>
      <c r="H325">
        <f>F325*_xlfn.XLOOKUP(B325,AM:AM,AO:AO)</f>
        <v>9109.86</v>
      </c>
      <c r="I325">
        <f t="shared" si="95"/>
        <v>0</v>
      </c>
      <c r="J325">
        <f>I325*_xlfn.XLOOKUP(B325,AM:AM,AO:AO)</f>
        <v>0</v>
      </c>
      <c r="K325" s="7">
        <f t="shared" si="96"/>
        <v>45821</v>
      </c>
      <c r="L325" s="7">
        <f t="shared" si="97"/>
        <v>45791</v>
      </c>
      <c r="M325">
        <f t="shared" si="98"/>
        <v>5</v>
      </c>
      <c r="N325">
        <f t="shared" si="99"/>
        <v>2025</v>
      </c>
      <c r="Q325" s="22">
        <v>470</v>
      </c>
      <c r="R325" s="22">
        <v>5680.52</v>
      </c>
      <c r="S325" s="22" t="str">
        <f t="shared" si="100"/>
        <v>USD</v>
      </c>
      <c r="T325" s="22">
        <f t="shared" si="89"/>
        <v>5680.52</v>
      </c>
      <c r="U325" s="28">
        <v>400</v>
      </c>
      <c r="W325" s="9">
        <v>251</v>
      </c>
      <c r="X325" s="9" t="s">
        <v>27</v>
      </c>
      <c r="AF325">
        <v>340</v>
      </c>
      <c r="AG325" t="s">
        <v>29</v>
      </c>
      <c r="AH325">
        <v>175373.05</v>
      </c>
      <c r="AI325" s="7">
        <v>45873</v>
      </c>
    </row>
    <row r="326" spans="1:35">
      <c r="A326">
        <v>353</v>
      </c>
      <c r="B326" t="str">
        <f t="shared" si="93"/>
        <v>USD</v>
      </c>
      <c r="C326">
        <f t="shared" si="94"/>
        <v>50</v>
      </c>
      <c r="D326">
        <f>C326*_xlfn.XLOOKUP(B326,AM:AM,AN:AN)</f>
        <v>43</v>
      </c>
      <c r="E326">
        <f>C326*_xlfn.XLOOKUP(B326,AM:AM,AO:AO)</f>
        <v>50</v>
      </c>
      <c r="F326">
        <v>7328.61</v>
      </c>
      <c r="G326">
        <f>F326*_xlfn.XLOOKUP(B326,AM:AM,AN:AN)</f>
        <v>6302.6045999999997</v>
      </c>
      <c r="H326">
        <f>F326*_xlfn.XLOOKUP(B326,AM:AM,AO:AO)</f>
        <v>7328.61</v>
      </c>
      <c r="I326">
        <f t="shared" si="95"/>
        <v>0</v>
      </c>
      <c r="J326">
        <f>I326*_xlfn.XLOOKUP(B326,AM:AM,AO:AO)</f>
        <v>0</v>
      </c>
      <c r="K326" s="7">
        <f t="shared" si="96"/>
        <v>45804</v>
      </c>
      <c r="L326" s="7">
        <f t="shared" si="97"/>
        <v>45774</v>
      </c>
      <c r="M326">
        <f t="shared" si="98"/>
        <v>4</v>
      </c>
      <c r="N326">
        <f t="shared" si="99"/>
        <v>2025</v>
      </c>
      <c r="Q326" s="22">
        <v>471</v>
      </c>
      <c r="R326" s="22">
        <v>62621</v>
      </c>
      <c r="S326" s="22" t="str">
        <f t="shared" si="100"/>
        <v>USD</v>
      </c>
      <c r="T326" s="22">
        <f t="shared" si="89"/>
        <v>62621</v>
      </c>
      <c r="U326" s="28">
        <v>400</v>
      </c>
      <c r="W326" s="9">
        <v>251</v>
      </c>
      <c r="X326" s="9" t="s">
        <v>27</v>
      </c>
      <c r="AF326">
        <v>341</v>
      </c>
      <c r="AG326" t="s">
        <v>29</v>
      </c>
      <c r="AH326">
        <v>52130.1</v>
      </c>
      <c r="AI326" s="7">
        <v>45870</v>
      </c>
    </row>
    <row r="327" spans="1:35">
      <c r="A327">
        <v>354</v>
      </c>
      <c r="B327" t="str">
        <f t="shared" si="93"/>
        <v>USD</v>
      </c>
      <c r="C327">
        <f t="shared" si="94"/>
        <v>70</v>
      </c>
      <c r="D327">
        <f>C327*_xlfn.XLOOKUP(B327,AM:AM,AN:AN)</f>
        <v>60.199999999999996</v>
      </c>
      <c r="E327">
        <f>C327*_xlfn.XLOOKUP(B327,AM:AM,AO:AO)</f>
        <v>70</v>
      </c>
      <c r="F327">
        <v>3154.96</v>
      </c>
      <c r="G327">
        <f>F327*_xlfn.XLOOKUP(B327,AM:AM,AN:AN)</f>
        <v>2713.2656000000002</v>
      </c>
      <c r="H327">
        <f>F327*_xlfn.XLOOKUP(B327,AM:AM,AO:AO)</f>
        <v>3154.96</v>
      </c>
      <c r="I327">
        <f t="shared" si="95"/>
        <v>0</v>
      </c>
      <c r="J327">
        <f>I327*_xlfn.XLOOKUP(B327,AM:AM,AO:AO)</f>
        <v>0</v>
      </c>
      <c r="K327" s="7">
        <f t="shared" si="96"/>
        <v>45799</v>
      </c>
      <c r="L327" s="7">
        <f t="shared" si="97"/>
        <v>45769</v>
      </c>
      <c r="M327">
        <f t="shared" si="98"/>
        <v>4</v>
      </c>
      <c r="N327">
        <f t="shared" si="99"/>
        <v>2025</v>
      </c>
      <c r="Q327" s="22">
        <v>472</v>
      </c>
      <c r="R327" s="22">
        <v>5320.7199999999993</v>
      </c>
      <c r="S327" s="22" t="str">
        <f t="shared" si="100"/>
        <v>USD</v>
      </c>
      <c r="T327" s="22">
        <f t="shared" si="89"/>
        <v>5320.7199999999993</v>
      </c>
      <c r="U327" s="28">
        <v>400</v>
      </c>
      <c r="W327" s="9">
        <v>252</v>
      </c>
      <c r="X327" s="9" t="s">
        <v>29</v>
      </c>
      <c r="AF327">
        <v>342</v>
      </c>
      <c r="AG327" t="s">
        <v>28</v>
      </c>
      <c r="AH327">
        <v>16401.41</v>
      </c>
      <c r="AI327" s="7">
        <v>45839</v>
      </c>
    </row>
    <row r="328" spans="1:35">
      <c r="A328">
        <v>355</v>
      </c>
      <c r="B328" t="str">
        <f t="shared" si="93"/>
        <v>USD</v>
      </c>
      <c r="C328">
        <f t="shared" si="94"/>
        <v>96760.12</v>
      </c>
      <c r="D328">
        <f>C328*_xlfn.XLOOKUP(B328,AM:AM,AN:AN)</f>
        <v>83213.703199999989</v>
      </c>
      <c r="E328">
        <f>C328*_xlfn.XLOOKUP(B328,AM:AM,AO:AO)</f>
        <v>96760.12</v>
      </c>
      <c r="F328">
        <v>164275.12</v>
      </c>
      <c r="G328">
        <f>F328*_xlfn.XLOOKUP(B328,AM:AM,AN:AN)</f>
        <v>141276.60319999998</v>
      </c>
      <c r="H328">
        <f>F328*_xlfn.XLOOKUP(B328,AM:AM,AO:AO)</f>
        <v>164275.12</v>
      </c>
      <c r="I328">
        <f t="shared" si="95"/>
        <v>0</v>
      </c>
      <c r="J328">
        <f>I328*_xlfn.XLOOKUP(B328,AM:AM,AO:AO)</f>
        <v>0</v>
      </c>
      <c r="K328" s="7">
        <f t="shared" si="96"/>
        <v>45823</v>
      </c>
      <c r="L328" s="7">
        <f t="shared" si="97"/>
        <v>45793</v>
      </c>
      <c r="M328">
        <f t="shared" si="98"/>
        <v>5</v>
      </c>
      <c r="N328">
        <f t="shared" si="99"/>
        <v>2025</v>
      </c>
      <c r="Q328" s="22">
        <v>473</v>
      </c>
      <c r="R328" s="22">
        <v>570</v>
      </c>
      <c r="S328" s="22" t="str">
        <f t="shared" si="100"/>
        <v>EUR</v>
      </c>
      <c r="T328" s="22">
        <f t="shared" si="89"/>
        <v>661.19999999999993</v>
      </c>
      <c r="U328" s="28">
        <v>400</v>
      </c>
      <c r="W328" s="9">
        <v>252</v>
      </c>
      <c r="X328" s="9" t="s">
        <v>29</v>
      </c>
      <c r="AF328">
        <v>343</v>
      </c>
      <c r="AG328" t="s">
        <v>29</v>
      </c>
      <c r="AH328">
        <v>198.6</v>
      </c>
      <c r="AI328" s="7">
        <v>45818</v>
      </c>
    </row>
    <row r="329" spans="1:35">
      <c r="A329">
        <v>356</v>
      </c>
      <c r="B329" t="str">
        <f t="shared" si="93"/>
        <v>USD</v>
      </c>
      <c r="C329">
        <f t="shared" si="94"/>
        <v>0</v>
      </c>
      <c r="D329">
        <f>C329*_xlfn.XLOOKUP(B329,AM:AM,AN:AN)</f>
        <v>0</v>
      </c>
      <c r="E329">
        <f>C329*_xlfn.XLOOKUP(B329,AM:AM,AO:AO)</f>
        <v>0</v>
      </c>
      <c r="F329">
        <v>6906.08</v>
      </c>
      <c r="G329">
        <f>F329*_xlfn.XLOOKUP(B329,AM:AM,AN:AN)</f>
        <v>5939.2287999999999</v>
      </c>
      <c r="H329">
        <f>F329*_xlfn.XLOOKUP(B329,AM:AM,AO:AO)</f>
        <v>6906.08</v>
      </c>
      <c r="I329">
        <f t="shared" si="95"/>
        <v>0</v>
      </c>
      <c r="J329">
        <f>I329*_xlfn.XLOOKUP(B329,AM:AM,AO:AO)</f>
        <v>0</v>
      </c>
      <c r="K329" s="7">
        <f t="shared" si="96"/>
        <v>45791</v>
      </c>
      <c r="L329" s="7">
        <f t="shared" si="97"/>
        <v>45761</v>
      </c>
      <c r="M329">
        <f t="shared" si="98"/>
        <v>4</v>
      </c>
      <c r="N329">
        <f t="shared" si="99"/>
        <v>2025</v>
      </c>
      <c r="Q329" s="22">
        <v>474</v>
      </c>
      <c r="R329" s="22">
        <v>5334.66</v>
      </c>
      <c r="S329" s="22" t="str">
        <f t="shared" si="100"/>
        <v>USD</v>
      </c>
      <c r="T329" s="22">
        <f t="shared" si="89"/>
        <v>5334.66</v>
      </c>
      <c r="U329" s="28">
        <v>400</v>
      </c>
      <c r="W329" s="9">
        <v>252</v>
      </c>
      <c r="X329" s="9" t="s">
        <v>29</v>
      </c>
      <c r="AF329">
        <v>345</v>
      </c>
      <c r="AG329" t="s">
        <v>27</v>
      </c>
      <c r="AH329">
        <v>900</v>
      </c>
      <c r="AI329" s="7">
        <v>45704</v>
      </c>
    </row>
    <row r="330" spans="1:35">
      <c r="A330">
        <v>359</v>
      </c>
      <c r="B330" t="str">
        <f t="shared" si="93"/>
        <v>EUR</v>
      </c>
      <c r="C330">
        <f t="shared" si="94"/>
        <v>25630.240000000002</v>
      </c>
      <c r="D330">
        <f>C330*_xlfn.XLOOKUP(B330,AM:AM,AN:AN)</f>
        <v>25630.240000000002</v>
      </c>
      <c r="E330">
        <f>C330*_xlfn.XLOOKUP(B330,AM:AM,AO:AO)</f>
        <v>29731.078399999999</v>
      </c>
      <c r="F330">
        <v>25630.240000000002</v>
      </c>
      <c r="G330">
        <f>F330*_xlfn.XLOOKUP(B330,AM:AM,AN:AN)</f>
        <v>25630.240000000002</v>
      </c>
      <c r="H330">
        <f>F330*_xlfn.XLOOKUP(B330,AM:AM,AO:AO)</f>
        <v>29731.078399999999</v>
      </c>
      <c r="I330">
        <f t="shared" si="95"/>
        <v>0</v>
      </c>
      <c r="J330">
        <f>I330*_xlfn.XLOOKUP(B330,AM:AM,AO:AO)</f>
        <v>0</v>
      </c>
      <c r="K330" s="7">
        <f t="shared" si="96"/>
        <v>45850</v>
      </c>
      <c r="L330" s="7">
        <f t="shared" si="97"/>
        <v>45820</v>
      </c>
      <c r="M330">
        <f t="shared" si="98"/>
        <v>6</v>
      </c>
      <c r="N330">
        <f t="shared" si="99"/>
        <v>2025</v>
      </c>
      <c r="Q330" s="22">
        <v>478</v>
      </c>
      <c r="R330" s="22">
        <v>8311</v>
      </c>
      <c r="S330" s="22" t="str">
        <f t="shared" si="100"/>
        <v>USD</v>
      </c>
      <c r="T330" s="22">
        <f t="shared" si="89"/>
        <v>8311</v>
      </c>
      <c r="U330" s="28">
        <v>400</v>
      </c>
      <c r="W330" s="9">
        <v>252</v>
      </c>
      <c r="X330" s="9" t="s">
        <v>29</v>
      </c>
      <c r="AF330">
        <v>346</v>
      </c>
      <c r="AG330" t="s">
        <v>29</v>
      </c>
      <c r="AH330">
        <v>7100</v>
      </c>
      <c r="AI330" s="7">
        <v>45799</v>
      </c>
    </row>
    <row r="331" spans="1:35">
      <c r="A331">
        <v>360</v>
      </c>
      <c r="B331" t="str">
        <f t="shared" si="93"/>
        <v>USD</v>
      </c>
      <c r="C331">
        <f t="shared" si="94"/>
        <v>1532.74</v>
      </c>
      <c r="D331">
        <f>C331*_xlfn.XLOOKUP(B331,AM:AM,AN:AN)</f>
        <v>1318.1564000000001</v>
      </c>
      <c r="E331">
        <f>C331*_xlfn.XLOOKUP(B331,AM:AM,AO:AO)</f>
        <v>1532.74</v>
      </c>
      <c r="F331">
        <v>2193.8000000000002</v>
      </c>
      <c r="G331">
        <f>F331*_xlfn.XLOOKUP(B331,AM:AM,AN:AN)</f>
        <v>1886.6680000000001</v>
      </c>
      <c r="H331">
        <f>F331*_xlfn.XLOOKUP(B331,AM:AM,AO:AO)</f>
        <v>2193.8000000000002</v>
      </c>
      <c r="I331">
        <f t="shared" si="95"/>
        <v>98.739999999999782</v>
      </c>
      <c r="J331">
        <f>I331*_xlfn.XLOOKUP(B331,AM:AM,AO:AO)</f>
        <v>98.739999999999782</v>
      </c>
      <c r="K331" s="7">
        <f t="shared" si="96"/>
        <v>45877</v>
      </c>
      <c r="L331" s="7">
        <f t="shared" si="97"/>
        <v>45847</v>
      </c>
      <c r="M331">
        <f t="shared" si="98"/>
        <v>7</v>
      </c>
      <c r="N331">
        <f t="shared" si="99"/>
        <v>2025</v>
      </c>
      <c r="Q331" s="22">
        <v>479</v>
      </c>
      <c r="R331" s="22">
        <v>3878</v>
      </c>
      <c r="S331" s="22" t="str">
        <f t="shared" si="100"/>
        <v>USD</v>
      </c>
      <c r="T331" s="22">
        <f t="shared" si="89"/>
        <v>3878</v>
      </c>
      <c r="U331" s="28">
        <v>400</v>
      </c>
      <c r="W331" s="9">
        <v>253</v>
      </c>
      <c r="X331" s="9" t="s">
        <v>29</v>
      </c>
      <c r="AF331">
        <v>347</v>
      </c>
      <c r="AG331" t="s">
        <v>29</v>
      </c>
      <c r="AH331">
        <v>9995.19</v>
      </c>
      <c r="AI331" s="7">
        <v>45794</v>
      </c>
    </row>
    <row r="332" spans="1:35">
      <c r="A332">
        <v>361</v>
      </c>
      <c r="B332" t="str">
        <f t="shared" si="93"/>
        <v>USD</v>
      </c>
      <c r="C332">
        <f t="shared" si="94"/>
        <v>451</v>
      </c>
      <c r="D332">
        <f>C332*_xlfn.XLOOKUP(B332,AM:AM,AN:AN)</f>
        <v>387.86</v>
      </c>
      <c r="E332">
        <f>C332*_xlfn.XLOOKUP(B332,AM:AM,AO:AO)</f>
        <v>451</v>
      </c>
      <c r="F332">
        <v>7124.67</v>
      </c>
      <c r="G332">
        <f>F332*_xlfn.XLOOKUP(B332,AM:AM,AN:AN)</f>
        <v>6127.2161999999998</v>
      </c>
      <c r="H332">
        <f>F332*_xlfn.XLOOKUP(B332,AM:AM,AO:AO)</f>
        <v>7124.67</v>
      </c>
      <c r="I332">
        <f t="shared" si="95"/>
        <v>0</v>
      </c>
      <c r="J332">
        <f>I332*_xlfn.XLOOKUP(B332,AM:AM,AO:AO)</f>
        <v>0</v>
      </c>
      <c r="K332" s="7">
        <f t="shared" si="96"/>
        <v>45825</v>
      </c>
      <c r="L332" s="7">
        <f t="shared" si="97"/>
        <v>45795</v>
      </c>
      <c r="M332">
        <f t="shared" si="98"/>
        <v>5</v>
      </c>
      <c r="N332">
        <f t="shared" si="99"/>
        <v>2025</v>
      </c>
      <c r="Q332" s="22">
        <v>480</v>
      </c>
      <c r="R332" s="22">
        <v>4998</v>
      </c>
      <c r="S332" s="22" t="str">
        <f t="shared" si="100"/>
        <v>USD</v>
      </c>
      <c r="T332" s="22">
        <f t="shared" si="89"/>
        <v>4998</v>
      </c>
      <c r="U332" s="28">
        <v>400</v>
      </c>
      <c r="W332" s="9">
        <v>258</v>
      </c>
      <c r="X332" s="9" t="s">
        <v>27</v>
      </c>
      <c r="AF332">
        <v>348</v>
      </c>
      <c r="AG332" t="s">
        <v>29</v>
      </c>
      <c r="AH332">
        <v>3045</v>
      </c>
      <c r="AI332" s="7">
        <v>45799</v>
      </c>
    </row>
    <row r="333" spans="1:35">
      <c r="A333">
        <v>362</v>
      </c>
      <c r="B333" t="str">
        <f t="shared" si="93"/>
        <v>USD</v>
      </c>
      <c r="C333">
        <f t="shared" si="94"/>
        <v>0</v>
      </c>
      <c r="D333">
        <f>C333*_xlfn.XLOOKUP(B333,AM:AM,AN:AN)</f>
        <v>0</v>
      </c>
      <c r="E333">
        <f>C333*_xlfn.XLOOKUP(B333,AM:AM,AO:AO)</f>
        <v>0</v>
      </c>
      <c r="F333">
        <v>50</v>
      </c>
      <c r="G333">
        <f>F333*_xlfn.XLOOKUP(B333,AM:AM,AN:AN)</f>
        <v>43</v>
      </c>
      <c r="H333">
        <f>F333*_xlfn.XLOOKUP(B333,AM:AM,AO:AO)</f>
        <v>50</v>
      </c>
      <c r="I333">
        <f t="shared" si="95"/>
        <v>-2.8421709430404007E-14</v>
      </c>
      <c r="J333">
        <f>I333*_xlfn.XLOOKUP(B333,AM:AM,AO:AO)</f>
        <v>-2.8421709430404007E-14</v>
      </c>
      <c r="K333" s="7">
        <f t="shared" si="96"/>
        <v>45858</v>
      </c>
      <c r="L333" s="7">
        <f t="shared" si="97"/>
        <v>45828</v>
      </c>
      <c r="M333">
        <f t="shared" si="98"/>
        <v>6</v>
      </c>
      <c r="N333">
        <f t="shared" si="99"/>
        <v>2025</v>
      </c>
      <c r="Q333" s="22">
        <v>481</v>
      </c>
      <c r="R333" s="22">
        <v>5052.76</v>
      </c>
      <c r="S333" s="22" t="str">
        <f t="shared" si="100"/>
        <v>USD</v>
      </c>
      <c r="T333" s="22">
        <f t="shared" si="89"/>
        <v>5052.76</v>
      </c>
      <c r="U333" s="28">
        <v>400</v>
      </c>
      <c r="W333" s="9">
        <v>259</v>
      </c>
      <c r="X333" s="9" t="s">
        <v>29</v>
      </c>
      <c r="AF333">
        <v>349</v>
      </c>
      <c r="AG333" t="s">
        <v>29</v>
      </c>
      <c r="AH333">
        <v>2457.91</v>
      </c>
      <c r="AI333" s="7">
        <v>45794</v>
      </c>
    </row>
    <row r="334" spans="1:35">
      <c r="A334">
        <v>363</v>
      </c>
      <c r="B334" t="str">
        <f t="shared" si="93"/>
        <v>MXN</v>
      </c>
      <c r="C334">
        <f t="shared" si="94"/>
        <v>0</v>
      </c>
      <c r="D334">
        <f>C334*_xlfn.XLOOKUP(B334,AM:AM,AN:AN)</f>
        <v>0</v>
      </c>
      <c r="E334">
        <f>C334*_xlfn.XLOOKUP(B334,AM:AM,AO:AO)</f>
        <v>0</v>
      </c>
      <c r="F334">
        <v>20818</v>
      </c>
      <c r="G334">
        <f>F334*_xlfn.XLOOKUP(B334,AM:AM,AN:AN)</f>
        <v>999.26400000000001</v>
      </c>
      <c r="H334">
        <f>F334*_xlfn.XLOOKUP(B334,AM:AM,AO:AO)</f>
        <v>1165.808</v>
      </c>
      <c r="I334">
        <f t="shared" si="95"/>
        <v>0</v>
      </c>
      <c r="J334">
        <f>I334*_xlfn.XLOOKUP(B334,AM:AM,AO:AO)</f>
        <v>0</v>
      </c>
      <c r="K334" s="7">
        <f t="shared" si="96"/>
        <v>45818</v>
      </c>
      <c r="L334" s="7">
        <f t="shared" si="97"/>
        <v>45788</v>
      </c>
      <c r="M334">
        <f t="shared" si="98"/>
        <v>5</v>
      </c>
      <c r="N334">
        <f t="shared" si="99"/>
        <v>2025</v>
      </c>
      <c r="Q334" s="22">
        <v>482</v>
      </c>
      <c r="R334" s="22">
        <v>13118.4</v>
      </c>
      <c r="S334" s="22" t="str">
        <f t="shared" si="100"/>
        <v>EUR</v>
      </c>
      <c r="T334" s="22">
        <f t="shared" si="89"/>
        <v>15217.343999999999</v>
      </c>
      <c r="U334" s="28">
        <v>400</v>
      </c>
      <c r="W334" s="9">
        <v>259</v>
      </c>
      <c r="X334" s="9" t="s">
        <v>29</v>
      </c>
      <c r="AF334">
        <v>350</v>
      </c>
      <c r="AG334" t="s">
        <v>29</v>
      </c>
      <c r="AH334">
        <v>14729.27</v>
      </c>
      <c r="AI334" s="7">
        <v>45793</v>
      </c>
    </row>
    <row r="335" spans="1:35">
      <c r="A335">
        <v>364</v>
      </c>
      <c r="B335" t="str">
        <f t="shared" si="93"/>
        <v>USD</v>
      </c>
      <c r="C335">
        <f t="shared" si="94"/>
        <v>1300.0000000000073</v>
      </c>
      <c r="D335">
        <f>C335*_xlfn.XLOOKUP(B335,AM:AM,AN:AN)</f>
        <v>1118.0000000000061</v>
      </c>
      <c r="E335">
        <f>C335*_xlfn.XLOOKUP(B335,AM:AM,AO:AO)</f>
        <v>1300.0000000000073</v>
      </c>
      <c r="F335">
        <v>38882.410000000003</v>
      </c>
      <c r="G335">
        <f>F335*_xlfn.XLOOKUP(B335,AM:AM,AN:AN)</f>
        <v>33438.872600000002</v>
      </c>
      <c r="H335">
        <f>F335*_xlfn.XLOOKUP(B335,AM:AM,AO:AO)</f>
        <v>38882.410000000003</v>
      </c>
      <c r="I335">
        <f t="shared" si="95"/>
        <v>0</v>
      </c>
      <c r="J335">
        <f>I335*_xlfn.XLOOKUP(B335,AM:AM,AO:AO)</f>
        <v>0</v>
      </c>
      <c r="K335" s="7">
        <f t="shared" si="96"/>
        <v>45803</v>
      </c>
      <c r="L335" s="7">
        <f t="shared" si="97"/>
        <v>45773</v>
      </c>
      <c r="M335">
        <f t="shared" si="98"/>
        <v>4</v>
      </c>
      <c r="N335">
        <f t="shared" si="99"/>
        <v>2025</v>
      </c>
      <c r="Q335" s="22">
        <v>483</v>
      </c>
      <c r="R335" s="22">
        <v>11170</v>
      </c>
      <c r="S335" s="22" t="str">
        <f t="shared" si="100"/>
        <v>GPB</v>
      </c>
      <c r="T335" s="22">
        <f t="shared" si="89"/>
        <v>14967.800000000001</v>
      </c>
      <c r="U335" s="28">
        <v>400</v>
      </c>
      <c r="W335" s="9">
        <v>259</v>
      </c>
      <c r="X335" s="9" t="s">
        <v>29</v>
      </c>
      <c r="AF335">
        <v>351</v>
      </c>
      <c r="AG335" t="s">
        <v>29</v>
      </c>
      <c r="AH335">
        <v>2611.75</v>
      </c>
      <c r="AI335" s="7">
        <v>45793</v>
      </c>
    </row>
    <row r="336" spans="1:35">
      <c r="A336">
        <v>366</v>
      </c>
      <c r="B336" t="str">
        <f t="shared" si="93"/>
        <v>USD</v>
      </c>
      <c r="C336">
        <f t="shared" si="94"/>
        <v>4310.91</v>
      </c>
      <c r="D336">
        <f>C336*_xlfn.XLOOKUP(B336,AM:AM,AN:AN)</f>
        <v>3707.3825999999999</v>
      </c>
      <c r="E336">
        <f>C336*_xlfn.XLOOKUP(B336,AM:AM,AO:AO)</f>
        <v>4310.91</v>
      </c>
      <c r="F336">
        <v>4310.91</v>
      </c>
      <c r="G336">
        <f>F336*_xlfn.XLOOKUP(B336,AM:AM,AN:AN)</f>
        <v>3707.3825999999999</v>
      </c>
      <c r="H336">
        <f>F336*_xlfn.XLOOKUP(B336,AM:AM,AO:AO)</f>
        <v>4310.91</v>
      </c>
      <c r="I336">
        <f t="shared" si="95"/>
        <v>0</v>
      </c>
      <c r="J336">
        <f>I336*_xlfn.XLOOKUP(B336,AM:AM,AO:AO)</f>
        <v>0</v>
      </c>
      <c r="K336" s="7">
        <f t="shared" si="96"/>
        <v>45826</v>
      </c>
      <c r="L336" s="7">
        <f t="shared" si="97"/>
        <v>45796</v>
      </c>
      <c r="M336">
        <f t="shared" si="98"/>
        <v>5</v>
      </c>
      <c r="N336">
        <f t="shared" si="99"/>
        <v>2025</v>
      </c>
      <c r="Q336" s="22">
        <v>484</v>
      </c>
      <c r="R336" s="22">
        <v>6901.05</v>
      </c>
      <c r="S336" s="22" t="str">
        <f t="shared" si="100"/>
        <v>USD</v>
      </c>
      <c r="T336" s="22">
        <f t="shared" si="89"/>
        <v>6901.05</v>
      </c>
      <c r="U336" s="28">
        <v>400</v>
      </c>
      <c r="W336" s="9">
        <v>260</v>
      </c>
      <c r="X336" s="9" t="s">
        <v>29</v>
      </c>
      <c r="AF336">
        <v>352</v>
      </c>
      <c r="AG336" t="s">
        <v>29</v>
      </c>
      <c r="AH336">
        <v>9109.86</v>
      </c>
      <c r="AI336" s="7">
        <v>45821</v>
      </c>
    </row>
    <row r="337" spans="1:35">
      <c r="A337">
        <v>368</v>
      </c>
      <c r="B337" t="str">
        <f t="shared" si="93"/>
        <v>USD</v>
      </c>
      <c r="C337">
        <f t="shared" si="94"/>
        <v>0</v>
      </c>
      <c r="D337">
        <f>C337*_xlfn.XLOOKUP(B337,AM:AM,AN:AN)</f>
        <v>0</v>
      </c>
      <c r="E337">
        <f>C337*_xlfn.XLOOKUP(B337,AM:AM,AO:AO)</f>
        <v>0</v>
      </c>
      <c r="F337">
        <v>1680</v>
      </c>
      <c r="G337">
        <f>F337*_xlfn.XLOOKUP(B337,AM:AM,AN:AN)</f>
        <v>1444.8</v>
      </c>
      <c r="H337">
        <f>F337*_xlfn.XLOOKUP(B337,AM:AM,AO:AO)</f>
        <v>1680</v>
      </c>
      <c r="I337">
        <f t="shared" si="95"/>
        <v>0</v>
      </c>
      <c r="J337">
        <f>I337*_xlfn.XLOOKUP(B337,AM:AM,AO:AO)</f>
        <v>0</v>
      </c>
      <c r="K337" s="7">
        <f t="shared" si="96"/>
        <v>45739</v>
      </c>
      <c r="L337" s="7">
        <f t="shared" si="97"/>
        <v>45709</v>
      </c>
      <c r="M337">
        <f t="shared" si="98"/>
        <v>2</v>
      </c>
      <c r="N337">
        <f t="shared" si="99"/>
        <v>2025</v>
      </c>
      <c r="Q337" s="22">
        <v>486</v>
      </c>
      <c r="R337" s="22">
        <v>25524</v>
      </c>
      <c r="S337" s="22" t="str">
        <f t="shared" si="100"/>
        <v>EUR</v>
      </c>
      <c r="T337" s="22">
        <f t="shared" si="89"/>
        <v>29607.839999999997</v>
      </c>
      <c r="U337" s="28">
        <v>400</v>
      </c>
      <c r="W337" s="9">
        <v>263</v>
      </c>
      <c r="X337" s="9" t="s">
        <v>28</v>
      </c>
      <c r="AF337">
        <v>353</v>
      </c>
      <c r="AG337" t="s">
        <v>29</v>
      </c>
      <c r="AH337">
        <v>7328.61</v>
      </c>
      <c r="AI337" s="7">
        <v>45804</v>
      </c>
    </row>
    <row r="338" spans="1:35">
      <c r="A338">
        <v>369</v>
      </c>
      <c r="B338" t="str">
        <f t="shared" si="93"/>
        <v>USD</v>
      </c>
      <c r="C338">
        <f t="shared" si="94"/>
        <v>10678.000000000002</v>
      </c>
      <c r="D338">
        <f>C338*_xlfn.XLOOKUP(B338,AM:AM,AN:AN)</f>
        <v>9183.0800000000017</v>
      </c>
      <c r="E338">
        <f>C338*_xlfn.XLOOKUP(B338,AM:AM,AO:AO)</f>
        <v>10678.000000000002</v>
      </c>
      <c r="F338">
        <v>18901.900000000001</v>
      </c>
      <c r="G338">
        <f>F338*_xlfn.XLOOKUP(B338,AM:AM,AN:AN)</f>
        <v>16255.634000000002</v>
      </c>
      <c r="H338">
        <f>F338*_xlfn.XLOOKUP(B338,AM:AM,AO:AO)</f>
        <v>18901.900000000001</v>
      </c>
      <c r="I338">
        <f t="shared" si="95"/>
        <v>0</v>
      </c>
      <c r="J338">
        <f>I338*_xlfn.XLOOKUP(B338,AM:AM,AO:AO)</f>
        <v>0</v>
      </c>
      <c r="K338" s="7">
        <f t="shared" si="96"/>
        <v>45845</v>
      </c>
      <c r="L338" s="7">
        <f t="shared" si="97"/>
        <v>45815</v>
      </c>
      <c r="M338">
        <f t="shared" si="98"/>
        <v>6</v>
      </c>
      <c r="N338">
        <f t="shared" si="99"/>
        <v>2025</v>
      </c>
      <c r="Q338" s="22">
        <v>487</v>
      </c>
      <c r="R338" s="22">
        <v>9453.11</v>
      </c>
      <c r="S338" s="22" t="str">
        <f t="shared" si="100"/>
        <v>USD</v>
      </c>
      <c r="T338" s="22">
        <f t="shared" ref="T338:T401" si="101">R338*_xlfn.XLOOKUP(S338,AM:AM,AO:AO)</f>
        <v>9453.11</v>
      </c>
      <c r="U338" s="28">
        <v>400</v>
      </c>
      <c r="W338" s="9">
        <v>264</v>
      </c>
      <c r="X338" s="9" t="s">
        <v>30</v>
      </c>
      <c r="AF338">
        <v>354</v>
      </c>
      <c r="AG338" t="s">
        <v>29</v>
      </c>
      <c r="AH338">
        <v>3154.96</v>
      </c>
      <c r="AI338" s="7">
        <v>45799</v>
      </c>
    </row>
    <row r="339" spans="1:35">
      <c r="A339">
        <v>370</v>
      </c>
      <c r="B339" t="str">
        <f t="shared" si="93"/>
        <v>USD</v>
      </c>
      <c r="C339">
        <f t="shared" si="94"/>
        <v>0</v>
      </c>
      <c r="D339">
        <f>C339*_xlfn.XLOOKUP(B339,AM:AM,AN:AN)</f>
        <v>0</v>
      </c>
      <c r="E339">
        <f>C339*_xlfn.XLOOKUP(B339,AM:AM,AO:AO)</f>
        <v>0</v>
      </c>
      <c r="F339">
        <v>4797.97</v>
      </c>
      <c r="G339">
        <f>F339*_xlfn.XLOOKUP(B339,AM:AM,AN:AN)</f>
        <v>4126.2542000000003</v>
      </c>
      <c r="H339">
        <f>F339*_xlfn.XLOOKUP(B339,AM:AM,AO:AO)</f>
        <v>4797.97</v>
      </c>
      <c r="I339">
        <f t="shared" si="95"/>
        <v>-9.0949470177292824E-13</v>
      </c>
      <c r="J339">
        <f>I339*_xlfn.XLOOKUP(B339,AM:AM,AO:AO)</f>
        <v>-9.0949470177292824E-13</v>
      </c>
      <c r="K339" s="7">
        <f t="shared" si="96"/>
        <v>45832</v>
      </c>
      <c r="L339" s="7">
        <f t="shared" si="97"/>
        <v>45802</v>
      </c>
      <c r="M339">
        <f t="shared" si="98"/>
        <v>5</v>
      </c>
      <c r="N339">
        <f t="shared" si="99"/>
        <v>2025</v>
      </c>
      <c r="Q339" s="22">
        <v>489</v>
      </c>
      <c r="R339" s="22">
        <v>61391.86</v>
      </c>
      <c r="S339" s="22" t="str">
        <f t="shared" si="100"/>
        <v>USD</v>
      </c>
      <c r="T339" s="22">
        <f t="shared" si="101"/>
        <v>61391.86</v>
      </c>
      <c r="U339" s="28">
        <v>400</v>
      </c>
      <c r="W339" s="9">
        <v>265</v>
      </c>
      <c r="X339" s="9" t="s">
        <v>27</v>
      </c>
      <c r="AF339">
        <v>355</v>
      </c>
      <c r="AG339" t="s">
        <v>29</v>
      </c>
      <c r="AH339">
        <v>164275.12</v>
      </c>
      <c r="AI339" s="7">
        <v>45823</v>
      </c>
    </row>
    <row r="340" spans="1:35">
      <c r="A340">
        <v>371</v>
      </c>
      <c r="B340" t="str">
        <f t="shared" si="93"/>
        <v>USD</v>
      </c>
      <c r="C340">
        <f t="shared" si="94"/>
        <v>174.99999999999272</v>
      </c>
      <c r="D340">
        <f>C340*_xlfn.XLOOKUP(B340,AM:AM,AN:AN)</f>
        <v>150.49999999999375</v>
      </c>
      <c r="E340">
        <f>C340*_xlfn.XLOOKUP(B340,AM:AM,AO:AO)</f>
        <v>174.99999999999272</v>
      </c>
      <c r="F340">
        <v>40753.53</v>
      </c>
      <c r="G340">
        <f>F340*_xlfn.XLOOKUP(B340,AM:AM,AN:AN)</f>
        <v>35048.035799999998</v>
      </c>
      <c r="H340">
        <f>F340*_xlfn.XLOOKUP(B340,AM:AM,AO:AO)</f>
        <v>40753.53</v>
      </c>
      <c r="I340">
        <f t="shared" si="95"/>
        <v>0</v>
      </c>
      <c r="J340">
        <f>I340*_xlfn.XLOOKUP(B340,AM:AM,AO:AO)</f>
        <v>0</v>
      </c>
      <c r="K340" s="7">
        <f t="shared" si="96"/>
        <v>45855</v>
      </c>
      <c r="L340" s="7">
        <f t="shared" si="97"/>
        <v>45825</v>
      </c>
      <c r="M340">
        <f t="shared" si="98"/>
        <v>6</v>
      </c>
      <c r="N340">
        <f t="shared" si="99"/>
        <v>2025</v>
      </c>
      <c r="Q340" s="22">
        <v>490</v>
      </c>
      <c r="R340" s="22">
        <v>2648</v>
      </c>
      <c r="S340" s="22" t="str">
        <f t="shared" si="100"/>
        <v>USD</v>
      </c>
      <c r="T340" s="22">
        <f t="shared" si="101"/>
        <v>2648</v>
      </c>
      <c r="U340" s="28">
        <v>400</v>
      </c>
      <c r="W340" s="9">
        <v>266</v>
      </c>
      <c r="X340" s="9" t="s">
        <v>29</v>
      </c>
      <c r="AF340">
        <v>356</v>
      </c>
      <c r="AG340" t="s">
        <v>29</v>
      </c>
      <c r="AH340">
        <v>6906.08</v>
      </c>
      <c r="AI340" s="7">
        <v>45791</v>
      </c>
    </row>
    <row r="341" spans="1:35">
      <c r="A341">
        <v>372</v>
      </c>
      <c r="B341" t="str">
        <f t="shared" si="93"/>
        <v>USD</v>
      </c>
      <c r="C341">
        <f t="shared" si="94"/>
        <v>35</v>
      </c>
      <c r="D341">
        <f>C341*_xlfn.XLOOKUP(B341,AM:AM,AN:AN)</f>
        <v>30.099999999999998</v>
      </c>
      <c r="E341">
        <f>C341*_xlfn.XLOOKUP(B341,AM:AM,AO:AO)</f>
        <v>35</v>
      </c>
      <c r="F341">
        <v>3168.96</v>
      </c>
      <c r="G341">
        <f>F341*_xlfn.XLOOKUP(B341,AM:AM,AN:AN)</f>
        <v>2725.3056000000001</v>
      </c>
      <c r="H341">
        <f>F341*_xlfn.XLOOKUP(B341,AM:AM,AO:AO)</f>
        <v>3168.96</v>
      </c>
      <c r="I341">
        <f t="shared" si="95"/>
        <v>0</v>
      </c>
      <c r="J341">
        <f>I341*_xlfn.XLOOKUP(B341,AM:AM,AO:AO)</f>
        <v>0</v>
      </c>
      <c r="K341" s="7">
        <f t="shared" si="96"/>
        <v>45728</v>
      </c>
      <c r="L341" s="7">
        <f t="shared" si="97"/>
        <v>45698</v>
      </c>
      <c r="M341">
        <f t="shared" si="98"/>
        <v>2</v>
      </c>
      <c r="N341">
        <f t="shared" si="99"/>
        <v>2025</v>
      </c>
      <c r="Q341" s="22">
        <v>491</v>
      </c>
      <c r="R341" s="22">
        <v>5691</v>
      </c>
      <c r="S341" s="22" t="str">
        <f t="shared" si="100"/>
        <v>USD</v>
      </c>
      <c r="T341" s="22">
        <f t="shared" si="101"/>
        <v>5691</v>
      </c>
      <c r="U341" s="28">
        <v>400</v>
      </c>
      <c r="W341" s="9">
        <v>267</v>
      </c>
      <c r="X341" s="9" t="s">
        <v>29</v>
      </c>
      <c r="AF341">
        <v>357</v>
      </c>
      <c r="AG341" t="s">
        <v>29</v>
      </c>
      <c r="AH341">
        <v>2597.52</v>
      </c>
      <c r="AI341" s="7">
        <v>45803</v>
      </c>
    </row>
    <row r="342" spans="1:35">
      <c r="A342">
        <v>373</v>
      </c>
      <c r="B342" t="str">
        <f t="shared" si="93"/>
        <v>USD</v>
      </c>
      <c r="C342">
        <f t="shared" si="94"/>
        <v>210</v>
      </c>
      <c r="D342">
        <f>C342*_xlfn.XLOOKUP(B342,AM:AM,AN:AN)</f>
        <v>180.6</v>
      </c>
      <c r="E342">
        <f>C342*_xlfn.XLOOKUP(B342,AM:AM,AO:AO)</f>
        <v>210</v>
      </c>
      <c r="F342">
        <v>5439.63</v>
      </c>
      <c r="G342">
        <f>F342*_xlfn.XLOOKUP(B342,AM:AM,AN:AN)</f>
        <v>4678.0817999999999</v>
      </c>
      <c r="H342">
        <f>F342*_xlfn.XLOOKUP(B342,AM:AM,AO:AO)</f>
        <v>5439.63</v>
      </c>
      <c r="I342">
        <f t="shared" si="95"/>
        <v>0</v>
      </c>
      <c r="J342">
        <f>I342*_xlfn.XLOOKUP(B342,AM:AM,AO:AO)</f>
        <v>0</v>
      </c>
      <c r="K342" s="7">
        <f t="shared" si="96"/>
        <v>45678</v>
      </c>
      <c r="L342" s="7">
        <f t="shared" si="97"/>
        <v>45648</v>
      </c>
      <c r="M342">
        <f t="shared" si="98"/>
        <v>12</v>
      </c>
      <c r="N342">
        <f t="shared" si="99"/>
        <v>2024</v>
      </c>
      <c r="Q342" s="22">
        <v>492</v>
      </c>
      <c r="R342" s="22">
        <v>84307</v>
      </c>
      <c r="S342" s="22" t="str">
        <f t="shared" si="100"/>
        <v>MXN</v>
      </c>
      <c r="T342" s="22">
        <f t="shared" si="101"/>
        <v>4721.192</v>
      </c>
      <c r="U342" s="28">
        <v>400</v>
      </c>
      <c r="W342" s="9">
        <v>268</v>
      </c>
      <c r="X342" s="9" t="s">
        <v>29</v>
      </c>
      <c r="AF342">
        <v>358</v>
      </c>
      <c r="AG342" t="s">
        <v>29</v>
      </c>
      <c r="AH342">
        <v>353.7</v>
      </c>
      <c r="AI342" s="7">
        <v>45787</v>
      </c>
    </row>
    <row r="343" spans="1:35">
      <c r="A343">
        <v>374</v>
      </c>
      <c r="B343" t="str">
        <f t="shared" si="93"/>
        <v>MXN</v>
      </c>
      <c r="C343">
        <f t="shared" si="94"/>
        <v>0</v>
      </c>
      <c r="D343">
        <f>C343*_xlfn.XLOOKUP(B343,AM:AM,AN:AN)</f>
        <v>0</v>
      </c>
      <c r="E343">
        <f>C343*_xlfn.XLOOKUP(B343,AM:AM,AO:AO)</f>
        <v>0</v>
      </c>
      <c r="F343">
        <v>138570</v>
      </c>
      <c r="G343">
        <f>F343*_xlfn.XLOOKUP(B343,AM:AM,AN:AN)</f>
        <v>6651.3600000000006</v>
      </c>
      <c r="H343">
        <f>F343*_xlfn.XLOOKUP(B343,AM:AM,AO:AO)</f>
        <v>7759.92</v>
      </c>
      <c r="I343">
        <f t="shared" si="95"/>
        <v>0</v>
      </c>
      <c r="J343">
        <f>I343*_xlfn.XLOOKUP(B343,AM:AM,AO:AO)</f>
        <v>0</v>
      </c>
      <c r="K343" s="7">
        <f t="shared" si="96"/>
        <v>45731</v>
      </c>
      <c r="L343" s="7">
        <f t="shared" si="97"/>
        <v>45701</v>
      </c>
      <c r="M343">
        <f t="shared" si="98"/>
        <v>2</v>
      </c>
      <c r="N343">
        <f t="shared" si="99"/>
        <v>2025</v>
      </c>
      <c r="Q343" s="22">
        <v>493</v>
      </c>
      <c r="R343" s="22">
        <v>610.15</v>
      </c>
      <c r="S343" s="22" t="str">
        <f t="shared" si="100"/>
        <v>USD</v>
      </c>
      <c r="T343" s="22">
        <f t="shared" si="101"/>
        <v>610.15</v>
      </c>
      <c r="U343" s="28">
        <v>400</v>
      </c>
      <c r="W343" s="9">
        <v>269</v>
      </c>
      <c r="X343" s="9" t="s">
        <v>29</v>
      </c>
      <c r="AF343">
        <v>359</v>
      </c>
      <c r="AG343" t="s">
        <v>27</v>
      </c>
      <c r="AH343">
        <v>25630.240000000002</v>
      </c>
      <c r="AI343" s="7">
        <v>45850</v>
      </c>
    </row>
    <row r="344" spans="1:35">
      <c r="A344">
        <v>375</v>
      </c>
      <c r="B344" t="str">
        <f t="shared" si="93"/>
        <v>MXN</v>
      </c>
      <c r="C344">
        <f t="shared" si="94"/>
        <v>0</v>
      </c>
      <c r="D344">
        <f>C344*_xlfn.XLOOKUP(B344,AM:AM,AN:AN)</f>
        <v>0</v>
      </c>
      <c r="E344">
        <f>C344*_xlfn.XLOOKUP(B344,AM:AM,AO:AO)</f>
        <v>0</v>
      </c>
      <c r="F344">
        <v>25529</v>
      </c>
      <c r="G344">
        <f>F344*_xlfn.XLOOKUP(B344,AM:AM,AN:AN)</f>
        <v>1225.3920000000001</v>
      </c>
      <c r="H344">
        <f>F344*_xlfn.XLOOKUP(B344,AM:AM,AO:AO)</f>
        <v>1429.624</v>
      </c>
      <c r="I344">
        <f t="shared" si="95"/>
        <v>0</v>
      </c>
      <c r="J344">
        <f>I344*_xlfn.XLOOKUP(B344,AM:AM,AO:AO)</f>
        <v>0</v>
      </c>
      <c r="K344" s="7">
        <f t="shared" si="96"/>
        <v>45736</v>
      </c>
      <c r="L344" s="7">
        <f t="shared" si="97"/>
        <v>45706</v>
      </c>
      <c r="M344">
        <f t="shared" si="98"/>
        <v>2</v>
      </c>
      <c r="N344">
        <f t="shared" si="99"/>
        <v>2025</v>
      </c>
      <c r="Q344" s="22">
        <v>495</v>
      </c>
      <c r="R344" s="22">
        <v>22823.53</v>
      </c>
      <c r="S344" s="22" t="str">
        <f t="shared" si="100"/>
        <v>USD</v>
      </c>
      <c r="T344" s="22">
        <f t="shared" si="101"/>
        <v>22823.53</v>
      </c>
      <c r="U344" s="28">
        <v>400</v>
      </c>
      <c r="W344" s="9">
        <v>270</v>
      </c>
      <c r="X344" s="9" t="s">
        <v>29</v>
      </c>
      <c r="AF344">
        <v>360</v>
      </c>
      <c r="AG344" t="s">
        <v>29</v>
      </c>
      <c r="AH344">
        <v>2292.54</v>
      </c>
      <c r="AI344" s="7">
        <v>45877</v>
      </c>
    </row>
    <row r="345" spans="1:35">
      <c r="A345">
        <v>376</v>
      </c>
      <c r="B345" t="str">
        <f t="shared" si="93"/>
        <v>USD</v>
      </c>
      <c r="C345">
        <f t="shared" si="94"/>
        <v>0</v>
      </c>
      <c r="D345">
        <f>C345*_xlfn.XLOOKUP(B345,AM:AM,AN:AN)</f>
        <v>0</v>
      </c>
      <c r="E345">
        <f>C345*_xlfn.XLOOKUP(B345,AM:AM,AO:AO)</f>
        <v>0</v>
      </c>
      <c r="F345">
        <v>1750</v>
      </c>
      <c r="G345">
        <f>F345*_xlfn.XLOOKUP(B345,AM:AM,AN:AN)</f>
        <v>1505</v>
      </c>
      <c r="H345">
        <f>F345*_xlfn.XLOOKUP(B345,AM:AM,AO:AO)</f>
        <v>1750</v>
      </c>
      <c r="I345">
        <f t="shared" si="95"/>
        <v>0</v>
      </c>
      <c r="J345">
        <f>I345*_xlfn.XLOOKUP(B345,AM:AM,AO:AO)</f>
        <v>0</v>
      </c>
      <c r="K345" s="7">
        <f t="shared" si="96"/>
        <v>45709</v>
      </c>
      <c r="L345" s="7">
        <f t="shared" si="97"/>
        <v>45679</v>
      </c>
      <c r="M345">
        <f t="shared" si="98"/>
        <v>1</v>
      </c>
      <c r="N345">
        <f t="shared" si="99"/>
        <v>2025</v>
      </c>
      <c r="Q345" s="22">
        <v>496</v>
      </c>
      <c r="R345" s="22">
        <v>6947.73</v>
      </c>
      <c r="S345" s="22" t="str">
        <f t="shared" si="100"/>
        <v>USD</v>
      </c>
      <c r="T345" s="22">
        <f t="shared" si="101"/>
        <v>6947.73</v>
      </c>
      <c r="U345" s="28">
        <v>400</v>
      </c>
      <c r="W345" s="9">
        <v>271</v>
      </c>
      <c r="X345" s="9" t="s">
        <v>29</v>
      </c>
      <c r="AF345">
        <v>361</v>
      </c>
      <c r="AG345" t="s">
        <v>29</v>
      </c>
      <c r="AH345">
        <v>7124.67</v>
      </c>
      <c r="AI345" s="7">
        <v>45825</v>
      </c>
    </row>
    <row r="346" spans="1:35">
      <c r="A346">
        <v>377</v>
      </c>
      <c r="B346" t="str">
        <f t="shared" si="93"/>
        <v>USD</v>
      </c>
      <c r="C346">
        <f t="shared" si="94"/>
        <v>0</v>
      </c>
      <c r="D346">
        <f>C346*_xlfn.XLOOKUP(B346,AM:AM,AN:AN)</f>
        <v>0</v>
      </c>
      <c r="E346">
        <f>C346*_xlfn.XLOOKUP(B346,AM:AM,AO:AO)</f>
        <v>0</v>
      </c>
      <c r="F346">
        <v>28779.599999999999</v>
      </c>
      <c r="G346">
        <f>F346*_xlfn.XLOOKUP(B346,AM:AM,AN:AN)</f>
        <v>24750.455999999998</v>
      </c>
      <c r="H346">
        <f>F346*_xlfn.XLOOKUP(B346,AM:AM,AO:AO)</f>
        <v>28779.599999999999</v>
      </c>
      <c r="I346">
        <f t="shared" si="95"/>
        <v>0</v>
      </c>
      <c r="J346">
        <f>I346*_xlfn.XLOOKUP(B346,AM:AM,AO:AO)</f>
        <v>0</v>
      </c>
      <c r="K346" s="7">
        <f t="shared" si="96"/>
        <v>45806</v>
      </c>
      <c r="L346" s="7">
        <f t="shared" si="97"/>
        <v>45776</v>
      </c>
      <c r="M346">
        <f t="shared" si="98"/>
        <v>4</v>
      </c>
      <c r="N346">
        <f t="shared" si="99"/>
        <v>2025</v>
      </c>
      <c r="Q346" s="22">
        <v>497</v>
      </c>
      <c r="R346" s="22">
        <v>4438</v>
      </c>
      <c r="S346" s="22" t="str">
        <f t="shared" si="100"/>
        <v>MXN</v>
      </c>
      <c r="T346" s="22">
        <f t="shared" si="101"/>
        <v>248.52799999999999</v>
      </c>
      <c r="U346" s="28">
        <v>400</v>
      </c>
      <c r="W346" s="9">
        <v>273</v>
      </c>
      <c r="X346" s="9" t="s">
        <v>27</v>
      </c>
      <c r="AF346">
        <v>362</v>
      </c>
      <c r="AG346" t="s">
        <v>29</v>
      </c>
      <c r="AH346">
        <v>50</v>
      </c>
      <c r="AI346" s="7">
        <v>45858</v>
      </c>
    </row>
    <row r="347" spans="1:35">
      <c r="A347">
        <v>378</v>
      </c>
      <c r="B347" t="str">
        <f t="shared" si="93"/>
        <v>USD</v>
      </c>
      <c r="C347">
        <f t="shared" si="94"/>
        <v>2722.59</v>
      </c>
      <c r="D347">
        <f>C347*_xlfn.XLOOKUP(B347,AM:AM,AN:AN)</f>
        <v>2341.4274</v>
      </c>
      <c r="E347">
        <f>C347*_xlfn.XLOOKUP(B347,AM:AM,AO:AO)</f>
        <v>2722.59</v>
      </c>
      <c r="F347">
        <v>6500</v>
      </c>
      <c r="G347">
        <f>F347*_xlfn.XLOOKUP(B347,AM:AM,AN:AN)</f>
        <v>5590</v>
      </c>
      <c r="H347">
        <f>F347*_xlfn.XLOOKUP(B347,AM:AM,AO:AO)</f>
        <v>6500</v>
      </c>
      <c r="I347">
        <f t="shared" si="95"/>
        <v>2722.59</v>
      </c>
      <c r="J347">
        <f>I347*_xlfn.XLOOKUP(B347,AM:AM,AO:AO)</f>
        <v>2722.59</v>
      </c>
      <c r="K347" s="7">
        <f t="shared" si="96"/>
        <v>45901</v>
      </c>
      <c r="L347" s="7">
        <f t="shared" si="97"/>
        <v>45871</v>
      </c>
      <c r="M347">
        <f t="shared" si="98"/>
        <v>8</v>
      </c>
      <c r="N347">
        <f t="shared" si="99"/>
        <v>2025</v>
      </c>
      <c r="Q347" s="22">
        <v>498</v>
      </c>
      <c r="R347" s="22">
        <v>25884.35</v>
      </c>
      <c r="S347" s="22" t="str">
        <f t="shared" si="100"/>
        <v>GPB</v>
      </c>
      <c r="T347" s="22">
        <f t="shared" si="101"/>
        <v>34685.029000000002</v>
      </c>
      <c r="U347" s="28">
        <v>400</v>
      </c>
      <c r="W347" s="9">
        <v>274</v>
      </c>
      <c r="X347" s="9" t="s">
        <v>29</v>
      </c>
      <c r="AF347">
        <v>363</v>
      </c>
      <c r="AG347" t="s">
        <v>28</v>
      </c>
      <c r="AH347">
        <v>20818</v>
      </c>
      <c r="AI347" s="7">
        <v>45818</v>
      </c>
    </row>
    <row r="348" spans="1:35">
      <c r="A348">
        <v>379</v>
      </c>
      <c r="B348" t="str">
        <f t="shared" si="93"/>
        <v>USD</v>
      </c>
      <c r="C348">
        <f t="shared" si="94"/>
        <v>0</v>
      </c>
      <c r="D348">
        <f>C348*_xlfn.XLOOKUP(B348,AM:AM,AN:AN)</f>
        <v>0</v>
      </c>
      <c r="E348">
        <f>C348*_xlfn.XLOOKUP(B348,AM:AM,AO:AO)</f>
        <v>0</v>
      </c>
      <c r="F348">
        <v>48164.24</v>
      </c>
      <c r="G348">
        <f>F348*_xlfn.XLOOKUP(B348,AM:AM,AN:AN)</f>
        <v>41421.246399999996</v>
      </c>
      <c r="H348">
        <f>F348*_xlfn.XLOOKUP(B348,AM:AM,AO:AO)</f>
        <v>48164.24</v>
      </c>
      <c r="I348">
        <f t="shared" si="95"/>
        <v>0</v>
      </c>
      <c r="J348">
        <f>I348*_xlfn.XLOOKUP(B348,AM:AM,AO:AO)</f>
        <v>0</v>
      </c>
      <c r="K348" s="7">
        <f t="shared" si="96"/>
        <v>45827</v>
      </c>
      <c r="L348" s="7">
        <f t="shared" si="97"/>
        <v>45797</v>
      </c>
      <c r="M348">
        <f t="shared" si="98"/>
        <v>5</v>
      </c>
      <c r="N348">
        <f t="shared" si="99"/>
        <v>2025</v>
      </c>
      <c r="Q348" s="22">
        <v>499</v>
      </c>
      <c r="R348" s="22">
        <v>19682.599999999999</v>
      </c>
      <c r="S348" s="22" t="str">
        <f t="shared" si="100"/>
        <v>USD</v>
      </c>
      <c r="T348" s="22">
        <f t="shared" si="101"/>
        <v>19682.599999999999</v>
      </c>
      <c r="U348" s="28">
        <v>400</v>
      </c>
      <c r="W348" s="9">
        <v>275</v>
      </c>
      <c r="X348" s="9" t="s">
        <v>27</v>
      </c>
      <c r="AF348">
        <v>364</v>
      </c>
      <c r="AG348" t="s">
        <v>29</v>
      </c>
      <c r="AH348">
        <v>38882.410000000003</v>
      </c>
      <c r="AI348" s="7">
        <v>45803</v>
      </c>
    </row>
    <row r="349" spans="1:35">
      <c r="A349">
        <v>380</v>
      </c>
      <c r="B349" t="str">
        <f t="shared" si="93"/>
        <v>USD</v>
      </c>
      <c r="C349">
        <f t="shared" si="94"/>
        <v>0</v>
      </c>
      <c r="D349">
        <f>C349*_xlfn.XLOOKUP(B349,AM:AM,AN:AN)</f>
        <v>0</v>
      </c>
      <c r="E349">
        <f>C349*_xlfn.XLOOKUP(B349,AM:AM,AO:AO)</f>
        <v>0</v>
      </c>
      <c r="F349">
        <v>7136.4</v>
      </c>
      <c r="G349">
        <f>F349*_xlfn.XLOOKUP(B349,AM:AM,AN:AN)</f>
        <v>6137.3039999999992</v>
      </c>
      <c r="H349">
        <f>F349*_xlfn.XLOOKUP(B349,AM:AM,AO:AO)</f>
        <v>7136.4</v>
      </c>
      <c r="I349">
        <f t="shared" si="95"/>
        <v>0</v>
      </c>
      <c r="J349">
        <f>I349*_xlfn.XLOOKUP(B349,AM:AM,AO:AO)</f>
        <v>0</v>
      </c>
      <c r="K349" s="7">
        <f t="shared" si="96"/>
        <v>45805</v>
      </c>
      <c r="L349" s="7">
        <f t="shared" si="97"/>
        <v>45775</v>
      </c>
      <c r="M349">
        <f t="shared" si="98"/>
        <v>4</v>
      </c>
      <c r="N349">
        <f t="shared" si="99"/>
        <v>2025</v>
      </c>
      <c r="Q349" s="22">
        <v>500</v>
      </c>
      <c r="R349" s="22">
        <v>11054.869999999999</v>
      </c>
      <c r="S349" s="22" t="str">
        <f t="shared" si="100"/>
        <v>EUR</v>
      </c>
      <c r="T349" s="22">
        <f t="shared" si="101"/>
        <v>12823.649199999998</v>
      </c>
      <c r="U349" s="28">
        <v>400</v>
      </c>
      <c r="W349" s="9">
        <v>276</v>
      </c>
      <c r="X349" s="9" t="s">
        <v>28</v>
      </c>
      <c r="AF349">
        <v>366</v>
      </c>
      <c r="AG349" t="s">
        <v>29</v>
      </c>
      <c r="AH349">
        <v>4310.91</v>
      </c>
      <c r="AI349" s="7">
        <v>45826</v>
      </c>
    </row>
    <row r="350" spans="1:35">
      <c r="A350">
        <v>381</v>
      </c>
      <c r="B350" t="str">
        <f t="shared" si="93"/>
        <v>USD</v>
      </c>
      <c r="C350">
        <f t="shared" si="94"/>
        <v>14250</v>
      </c>
      <c r="D350">
        <f>C350*_xlfn.XLOOKUP(B350,AM:AM,AN:AN)</f>
        <v>12255</v>
      </c>
      <c r="E350">
        <f>C350*_xlfn.XLOOKUP(B350,AM:AM,AO:AO)</f>
        <v>14250</v>
      </c>
      <c r="F350">
        <v>14250</v>
      </c>
      <c r="G350">
        <f>F350*_xlfn.XLOOKUP(B350,AM:AM,AN:AN)</f>
        <v>12255</v>
      </c>
      <c r="H350">
        <f>F350*_xlfn.XLOOKUP(B350,AM:AM,AO:AO)</f>
        <v>14250</v>
      </c>
      <c r="I350">
        <f t="shared" si="95"/>
        <v>0</v>
      </c>
      <c r="J350">
        <f>I350*_xlfn.XLOOKUP(B350,AM:AM,AO:AO)</f>
        <v>0</v>
      </c>
      <c r="K350" s="7">
        <f t="shared" si="96"/>
        <v>45814</v>
      </c>
      <c r="L350" s="7">
        <f t="shared" si="97"/>
        <v>45784</v>
      </c>
      <c r="M350">
        <f t="shared" si="98"/>
        <v>5</v>
      </c>
      <c r="N350">
        <f t="shared" si="99"/>
        <v>2025</v>
      </c>
      <c r="Q350" s="22">
        <v>501</v>
      </c>
      <c r="R350" s="22">
        <v>11490</v>
      </c>
      <c r="S350" s="22" t="str">
        <f t="shared" si="100"/>
        <v>USD</v>
      </c>
      <c r="T350" s="22">
        <f t="shared" si="101"/>
        <v>11490</v>
      </c>
      <c r="U350" s="28">
        <v>400</v>
      </c>
      <c r="W350" s="9">
        <v>276</v>
      </c>
      <c r="X350" s="9" t="s">
        <v>28</v>
      </c>
      <c r="AF350">
        <v>368</v>
      </c>
      <c r="AG350" t="s">
        <v>29</v>
      </c>
      <c r="AH350">
        <v>1680</v>
      </c>
      <c r="AI350" s="7">
        <v>45739</v>
      </c>
    </row>
    <row r="351" spans="1:35">
      <c r="A351">
        <v>382</v>
      </c>
      <c r="B351" t="str">
        <f t="shared" si="93"/>
        <v>USD</v>
      </c>
      <c r="C351">
        <f t="shared" si="94"/>
        <v>16070</v>
      </c>
      <c r="D351">
        <f>C351*_xlfn.XLOOKUP(B351,AM:AM,AN:AN)</f>
        <v>13820.199999999999</v>
      </c>
      <c r="E351">
        <f>C351*_xlfn.XLOOKUP(B351,AM:AM,AO:AO)</f>
        <v>16070</v>
      </c>
      <c r="F351">
        <v>18693.84</v>
      </c>
      <c r="G351">
        <f>F351*_xlfn.XLOOKUP(B351,AM:AM,AN:AN)</f>
        <v>16076.7024</v>
      </c>
      <c r="H351">
        <f>F351*_xlfn.XLOOKUP(B351,AM:AM,AO:AO)</f>
        <v>18693.84</v>
      </c>
      <c r="I351">
        <f t="shared" si="95"/>
        <v>0</v>
      </c>
      <c r="J351">
        <f>I351*_xlfn.XLOOKUP(B351,AM:AM,AO:AO)</f>
        <v>0</v>
      </c>
      <c r="K351" s="7">
        <f t="shared" si="96"/>
        <v>45808</v>
      </c>
      <c r="L351" s="7">
        <f t="shared" si="97"/>
        <v>45778</v>
      </c>
      <c r="M351">
        <f t="shared" si="98"/>
        <v>5</v>
      </c>
      <c r="N351">
        <f t="shared" si="99"/>
        <v>2025</v>
      </c>
      <c r="Q351" s="22">
        <v>503</v>
      </c>
      <c r="R351" s="22">
        <v>73956</v>
      </c>
      <c r="S351" s="22" t="str">
        <f t="shared" si="100"/>
        <v>USD</v>
      </c>
      <c r="T351" s="22">
        <f t="shared" si="101"/>
        <v>73956</v>
      </c>
      <c r="U351" s="28">
        <v>400</v>
      </c>
      <c r="W351" s="9">
        <v>278</v>
      </c>
      <c r="X351" s="9" t="s">
        <v>29</v>
      </c>
      <c r="AF351">
        <v>369</v>
      </c>
      <c r="AG351" t="s">
        <v>29</v>
      </c>
      <c r="AH351">
        <v>18901.900000000001</v>
      </c>
      <c r="AI351" s="7">
        <v>45845</v>
      </c>
    </row>
    <row r="352" spans="1:35">
      <c r="A352">
        <v>384</v>
      </c>
      <c r="B352" t="str">
        <f t="shared" si="93"/>
        <v>USD</v>
      </c>
      <c r="C352">
        <f t="shared" si="94"/>
        <v>0</v>
      </c>
      <c r="D352">
        <f>C352*_xlfn.XLOOKUP(B352,AM:AM,AN:AN)</f>
        <v>0</v>
      </c>
      <c r="E352">
        <f>C352*_xlfn.XLOOKUP(B352,AM:AM,AO:AO)</f>
        <v>0</v>
      </c>
      <c r="F352">
        <v>4324.59</v>
      </c>
      <c r="G352">
        <f>F352*_xlfn.XLOOKUP(B352,AM:AM,AN:AN)</f>
        <v>3719.1474000000003</v>
      </c>
      <c r="H352">
        <f>F352*_xlfn.XLOOKUP(B352,AM:AM,AO:AO)</f>
        <v>4324.59</v>
      </c>
      <c r="I352">
        <f t="shared" si="95"/>
        <v>0</v>
      </c>
      <c r="J352">
        <f>I352*_xlfn.XLOOKUP(B352,AM:AM,AO:AO)</f>
        <v>0</v>
      </c>
      <c r="K352" s="7">
        <f t="shared" si="96"/>
        <v>45834</v>
      </c>
      <c r="L352" s="7">
        <f t="shared" si="97"/>
        <v>45804</v>
      </c>
      <c r="M352">
        <f t="shared" si="98"/>
        <v>5</v>
      </c>
      <c r="N352">
        <f t="shared" si="99"/>
        <v>2025</v>
      </c>
      <c r="Q352" s="22">
        <v>505</v>
      </c>
      <c r="R352" s="22">
        <v>8631.9599999999991</v>
      </c>
      <c r="S352" s="22" t="str">
        <f t="shared" si="100"/>
        <v>EUR</v>
      </c>
      <c r="T352" s="22">
        <f t="shared" si="101"/>
        <v>10013.073599999998</v>
      </c>
      <c r="U352" s="28">
        <v>400</v>
      </c>
      <c r="W352" s="9">
        <v>278</v>
      </c>
      <c r="X352" s="9" t="s">
        <v>29</v>
      </c>
      <c r="AF352">
        <v>370</v>
      </c>
      <c r="AG352" t="s">
        <v>29</v>
      </c>
      <c r="AH352">
        <v>4797.97</v>
      </c>
      <c r="AI352" s="7">
        <v>45832</v>
      </c>
    </row>
    <row r="353" spans="1:35">
      <c r="A353">
        <v>385</v>
      </c>
      <c r="B353" t="str">
        <f t="shared" si="93"/>
        <v>USD</v>
      </c>
      <c r="C353">
        <f t="shared" si="94"/>
        <v>0</v>
      </c>
      <c r="D353">
        <f>C353*_xlfn.XLOOKUP(B353,AM:AM,AN:AN)</f>
        <v>0</v>
      </c>
      <c r="E353">
        <f>C353*_xlfn.XLOOKUP(B353,AM:AM,AO:AO)</f>
        <v>0</v>
      </c>
      <c r="F353">
        <v>3000</v>
      </c>
      <c r="G353">
        <f>F353*_xlfn.XLOOKUP(B353,AM:AM,AN:AN)</f>
        <v>2580</v>
      </c>
      <c r="H353">
        <f>F353*_xlfn.XLOOKUP(B353,AM:AM,AO:AO)</f>
        <v>3000</v>
      </c>
      <c r="I353">
        <f t="shared" si="95"/>
        <v>0</v>
      </c>
      <c r="J353">
        <f>I353*_xlfn.XLOOKUP(B353,AM:AM,AO:AO)</f>
        <v>0</v>
      </c>
      <c r="K353" s="7">
        <f t="shared" si="96"/>
        <v>45784</v>
      </c>
      <c r="L353" s="7">
        <f t="shared" si="97"/>
        <v>45754</v>
      </c>
      <c r="M353">
        <f t="shared" si="98"/>
        <v>4</v>
      </c>
      <c r="N353">
        <f t="shared" si="99"/>
        <v>2025</v>
      </c>
      <c r="Q353" s="22">
        <v>506</v>
      </c>
      <c r="R353" s="22">
        <v>22047.32</v>
      </c>
      <c r="S353" s="22" t="str">
        <f t="shared" si="100"/>
        <v>USD</v>
      </c>
      <c r="T353" s="22">
        <f t="shared" si="101"/>
        <v>22047.32</v>
      </c>
      <c r="U353" s="28">
        <v>400</v>
      </c>
      <c r="W353" s="9">
        <v>278</v>
      </c>
      <c r="X353" s="9" t="s">
        <v>29</v>
      </c>
      <c r="AF353">
        <v>371</v>
      </c>
      <c r="AG353" t="s">
        <v>29</v>
      </c>
      <c r="AH353">
        <v>40753.53</v>
      </c>
      <c r="AI353" s="7">
        <v>45855</v>
      </c>
    </row>
    <row r="354" spans="1:35">
      <c r="A354">
        <v>386</v>
      </c>
      <c r="B354" t="str">
        <f t="shared" si="93"/>
        <v>USD</v>
      </c>
      <c r="C354">
        <f t="shared" si="94"/>
        <v>0</v>
      </c>
      <c r="D354">
        <f>C354*_xlfn.XLOOKUP(B354,AM:AM,AN:AN)</f>
        <v>0</v>
      </c>
      <c r="E354">
        <f>C354*_xlfn.XLOOKUP(B354,AM:AM,AO:AO)</f>
        <v>0</v>
      </c>
      <c r="F354">
        <v>740</v>
      </c>
      <c r="G354">
        <f>F354*_xlfn.XLOOKUP(B354,AM:AM,AN:AN)</f>
        <v>636.4</v>
      </c>
      <c r="H354">
        <f>F354*_xlfn.XLOOKUP(B354,AM:AM,AO:AO)</f>
        <v>740</v>
      </c>
      <c r="I354">
        <f t="shared" si="95"/>
        <v>0</v>
      </c>
      <c r="J354">
        <f>I354*_xlfn.XLOOKUP(B354,AM:AM,AO:AO)</f>
        <v>0</v>
      </c>
      <c r="K354" s="7">
        <f t="shared" si="96"/>
        <v>45728</v>
      </c>
      <c r="L354" s="7">
        <f t="shared" si="97"/>
        <v>45698</v>
      </c>
      <c r="M354">
        <f t="shared" si="98"/>
        <v>2</v>
      </c>
      <c r="N354">
        <f t="shared" si="99"/>
        <v>2025</v>
      </c>
      <c r="Q354" s="22">
        <v>507</v>
      </c>
      <c r="R354" s="22">
        <v>10798.04</v>
      </c>
      <c r="S354" s="22" t="str">
        <f t="shared" si="100"/>
        <v>USD</v>
      </c>
      <c r="T354" s="22">
        <f t="shared" si="101"/>
        <v>10798.04</v>
      </c>
      <c r="U354" s="28">
        <v>400</v>
      </c>
      <c r="W354" s="9">
        <v>278</v>
      </c>
      <c r="X354" s="9" t="s">
        <v>29</v>
      </c>
      <c r="AF354">
        <v>372</v>
      </c>
      <c r="AG354" t="s">
        <v>29</v>
      </c>
      <c r="AH354">
        <v>3168.96</v>
      </c>
      <c r="AI354" s="7">
        <v>45728</v>
      </c>
    </row>
    <row r="355" spans="1:35">
      <c r="A355">
        <v>387</v>
      </c>
      <c r="B355" t="str">
        <f t="shared" si="93"/>
        <v>USD</v>
      </c>
      <c r="C355">
        <f t="shared" si="94"/>
        <v>0</v>
      </c>
      <c r="D355">
        <f>C355*_xlfn.XLOOKUP(B355,AM:AM,AN:AN)</f>
        <v>0</v>
      </c>
      <c r="E355">
        <f>C355*_xlfn.XLOOKUP(B355,AM:AM,AO:AO)</f>
        <v>0</v>
      </c>
      <c r="F355">
        <v>25787.64</v>
      </c>
      <c r="G355">
        <f>F355*_xlfn.XLOOKUP(B355,AM:AM,AN:AN)</f>
        <v>22177.3704</v>
      </c>
      <c r="H355">
        <f>F355*_xlfn.XLOOKUP(B355,AM:AM,AO:AO)</f>
        <v>25787.64</v>
      </c>
      <c r="I355">
        <f t="shared" si="95"/>
        <v>0</v>
      </c>
      <c r="J355">
        <f>I355*_xlfn.XLOOKUP(B355,AM:AM,AO:AO)</f>
        <v>0</v>
      </c>
      <c r="K355" s="7">
        <f t="shared" si="96"/>
        <v>45827</v>
      </c>
      <c r="L355" s="7">
        <f t="shared" si="97"/>
        <v>45797</v>
      </c>
      <c r="M355">
        <f t="shared" si="98"/>
        <v>5</v>
      </c>
      <c r="N355">
        <f t="shared" si="99"/>
        <v>2025</v>
      </c>
      <c r="Q355" s="22">
        <v>508</v>
      </c>
      <c r="R355" s="22">
        <v>7119</v>
      </c>
      <c r="S355" s="22" t="str">
        <f t="shared" si="100"/>
        <v>GPB</v>
      </c>
      <c r="T355" s="22">
        <f t="shared" si="101"/>
        <v>9539.4600000000009</v>
      </c>
      <c r="U355" s="28">
        <v>400</v>
      </c>
      <c r="W355" s="9">
        <v>279</v>
      </c>
      <c r="X355" s="9" t="s">
        <v>29</v>
      </c>
      <c r="AF355">
        <v>373</v>
      </c>
      <c r="AG355" t="s">
        <v>29</v>
      </c>
      <c r="AH355">
        <v>5439.63</v>
      </c>
      <c r="AI355" s="7">
        <v>45678</v>
      </c>
    </row>
    <row r="356" spans="1:35">
      <c r="A356">
        <v>388</v>
      </c>
      <c r="B356" t="str">
        <f t="shared" si="93"/>
        <v>USD</v>
      </c>
      <c r="C356">
        <f t="shared" si="94"/>
        <v>9114.6000000000058</v>
      </c>
      <c r="D356">
        <f>C356*_xlfn.XLOOKUP(B356,AM:AM,AN:AN)</f>
        <v>7838.556000000005</v>
      </c>
      <c r="E356">
        <f>C356*_xlfn.XLOOKUP(B356,AM:AM,AO:AO)</f>
        <v>9114.6000000000058</v>
      </c>
      <c r="F356">
        <v>75930.67</v>
      </c>
      <c r="G356">
        <f>F356*_xlfn.XLOOKUP(B356,AM:AM,AN:AN)</f>
        <v>65300.376199999999</v>
      </c>
      <c r="H356">
        <f>F356*_xlfn.XLOOKUP(B356,AM:AM,AO:AO)</f>
        <v>75930.67</v>
      </c>
      <c r="I356">
        <f t="shared" si="95"/>
        <v>0</v>
      </c>
      <c r="J356">
        <f>I356*_xlfn.XLOOKUP(B356,AM:AM,AO:AO)</f>
        <v>0</v>
      </c>
      <c r="K356" s="7">
        <f t="shared" si="96"/>
        <v>45949</v>
      </c>
      <c r="L356" s="7">
        <f t="shared" si="97"/>
        <v>45919</v>
      </c>
      <c r="M356">
        <f t="shared" si="98"/>
        <v>9</v>
      </c>
      <c r="N356">
        <f t="shared" si="99"/>
        <v>2025</v>
      </c>
      <c r="Q356" s="22">
        <v>509</v>
      </c>
      <c r="R356" s="22">
        <v>5810.3600000000006</v>
      </c>
      <c r="S356" s="22" t="str">
        <f t="shared" si="100"/>
        <v>USD</v>
      </c>
      <c r="T356" s="22">
        <f t="shared" si="101"/>
        <v>5810.3600000000006</v>
      </c>
      <c r="U356" s="28">
        <v>400</v>
      </c>
      <c r="W356" s="9">
        <v>279</v>
      </c>
      <c r="X356" s="9" t="s">
        <v>29</v>
      </c>
      <c r="AF356">
        <v>374</v>
      </c>
      <c r="AG356" t="s">
        <v>28</v>
      </c>
      <c r="AH356">
        <v>138570</v>
      </c>
      <c r="AI356" s="7">
        <v>45731</v>
      </c>
    </row>
    <row r="357" spans="1:35">
      <c r="A357">
        <v>389</v>
      </c>
      <c r="B357" t="str">
        <f t="shared" si="93"/>
        <v>USD</v>
      </c>
      <c r="C357">
        <f t="shared" si="94"/>
        <v>9497.0999999999985</v>
      </c>
      <c r="D357">
        <f>C357*_xlfn.XLOOKUP(B357,AM:AM,AN:AN)</f>
        <v>8167.5059999999985</v>
      </c>
      <c r="E357">
        <f>C357*_xlfn.XLOOKUP(B357,AM:AM,AO:AO)</f>
        <v>9497.0999999999985</v>
      </c>
      <c r="F357">
        <v>73352.77</v>
      </c>
      <c r="G357">
        <f>F357*_xlfn.XLOOKUP(B357,AM:AM,AN:AN)</f>
        <v>63083.3822</v>
      </c>
      <c r="H357">
        <f>F357*_xlfn.XLOOKUP(B357,AM:AM,AO:AO)</f>
        <v>73352.77</v>
      </c>
      <c r="I357">
        <f t="shared" si="95"/>
        <v>0</v>
      </c>
      <c r="J357">
        <f>I357*_xlfn.XLOOKUP(B357,AM:AM,AO:AO)</f>
        <v>0</v>
      </c>
      <c r="K357" s="7">
        <f t="shared" si="96"/>
        <v>45949</v>
      </c>
      <c r="L357" s="7">
        <f t="shared" si="97"/>
        <v>45919</v>
      </c>
      <c r="M357">
        <f t="shared" si="98"/>
        <v>9</v>
      </c>
      <c r="N357">
        <f t="shared" si="99"/>
        <v>2025</v>
      </c>
      <c r="Q357" s="22">
        <v>510</v>
      </c>
      <c r="R357" s="22">
        <v>19967.13</v>
      </c>
      <c r="S357" s="22" t="str">
        <f t="shared" si="100"/>
        <v>USD</v>
      </c>
      <c r="T357" s="22">
        <f t="shared" si="101"/>
        <v>19967.13</v>
      </c>
      <c r="U357" s="28">
        <v>400</v>
      </c>
      <c r="W357" s="9">
        <v>279</v>
      </c>
      <c r="X357" s="9" t="s">
        <v>29</v>
      </c>
      <c r="AF357">
        <v>375</v>
      </c>
      <c r="AG357" t="s">
        <v>28</v>
      </c>
      <c r="AH357">
        <v>25529</v>
      </c>
      <c r="AI357" s="7">
        <v>45736</v>
      </c>
    </row>
    <row r="358" spans="1:35">
      <c r="A358">
        <v>390</v>
      </c>
      <c r="B358" t="str">
        <f t="shared" si="93"/>
        <v>MXN</v>
      </c>
      <c r="C358">
        <f t="shared" si="94"/>
        <v>1004603.1499999999</v>
      </c>
      <c r="D358">
        <f>C358*_xlfn.XLOOKUP(B358,AM:AM,AN:AN)</f>
        <v>48220.951199999996</v>
      </c>
      <c r="E358">
        <f>C358*_xlfn.XLOOKUP(B358,AM:AM,AO:AO)</f>
        <v>56257.776399999995</v>
      </c>
      <c r="F358">
        <v>1089882.92</v>
      </c>
      <c r="G358">
        <f>F358*_xlfn.XLOOKUP(B358,AM:AM,AN:AN)</f>
        <v>52314.380160000001</v>
      </c>
      <c r="H358">
        <f>F358*_xlfn.XLOOKUP(B358,AM:AM,AO:AO)</f>
        <v>61033.443520000001</v>
      </c>
      <c r="I358">
        <f t="shared" si="95"/>
        <v>-2.9103830456733704E-11</v>
      </c>
      <c r="J358">
        <f>I358*_xlfn.XLOOKUP(B358,AM:AM,AO:AO)</f>
        <v>-1.6298145055770874E-12</v>
      </c>
      <c r="K358" s="7">
        <f t="shared" si="96"/>
        <v>45924</v>
      </c>
      <c r="L358" s="7">
        <f t="shared" si="97"/>
        <v>45894</v>
      </c>
      <c r="M358">
        <f t="shared" si="98"/>
        <v>8</v>
      </c>
      <c r="N358">
        <f t="shared" si="99"/>
        <v>2025</v>
      </c>
      <c r="Q358" s="22">
        <v>511</v>
      </c>
      <c r="R358" s="22">
        <v>25252.01</v>
      </c>
      <c r="S358" s="22" t="str">
        <f t="shared" si="100"/>
        <v>CHF</v>
      </c>
      <c r="T358" s="22">
        <f t="shared" si="101"/>
        <v>31565.012499999997</v>
      </c>
      <c r="U358" s="28">
        <v>400</v>
      </c>
      <c r="W358" s="9">
        <v>279</v>
      </c>
      <c r="X358" s="9" t="s">
        <v>29</v>
      </c>
      <c r="AF358">
        <v>376</v>
      </c>
      <c r="AG358" t="s">
        <v>29</v>
      </c>
      <c r="AH358">
        <v>1750</v>
      </c>
      <c r="AI358" s="7">
        <v>45709</v>
      </c>
    </row>
    <row r="359" spans="1:35">
      <c r="A359">
        <v>391</v>
      </c>
      <c r="B359" t="str">
        <f t="shared" si="93"/>
        <v>USD</v>
      </c>
      <c r="C359">
        <f t="shared" si="94"/>
        <v>9187.5200000000186</v>
      </c>
      <c r="D359">
        <f>C359*_xlfn.XLOOKUP(B359,AM:AM,AN:AN)</f>
        <v>7901.2672000000157</v>
      </c>
      <c r="E359">
        <f>C359*_xlfn.XLOOKUP(B359,AM:AM,AO:AO)</f>
        <v>9187.5200000000186</v>
      </c>
      <c r="F359">
        <v>75993.070000000007</v>
      </c>
      <c r="G359">
        <f>F359*_xlfn.XLOOKUP(B359,AM:AM,AN:AN)</f>
        <v>65354.040200000003</v>
      </c>
      <c r="H359">
        <f>F359*_xlfn.XLOOKUP(B359,AM:AM,AO:AO)</f>
        <v>75993.070000000007</v>
      </c>
      <c r="I359">
        <f t="shared" si="95"/>
        <v>0</v>
      </c>
      <c r="J359">
        <f>I359*_xlfn.XLOOKUP(B359,AM:AM,AO:AO)</f>
        <v>0</v>
      </c>
      <c r="K359" s="7">
        <f t="shared" si="96"/>
        <v>45948</v>
      </c>
      <c r="L359" s="7">
        <f t="shared" si="97"/>
        <v>45918</v>
      </c>
      <c r="M359">
        <f t="shared" si="98"/>
        <v>9</v>
      </c>
      <c r="N359">
        <f t="shared" si="99"/>
        <v>2025</v>
      </c>
      <c r="Q359" s="22">
        <v>513</v>
      </c>
      <c r="R359" s="22">
        <v>64675.09</v>
      </c>
      <c r="S359" s="22" t="str">
        <f t="shared" si="100"/>
        <v>USD</v>
      </c>
      <c r="T359" s="22">
        <f t="shared" si="101"/>
        <v>64675.09</v>
      </c>
      <c r="U359" s="28">
        <v>400</v>
      </c>
      <c r="W359" s="9">
        <v>279</v>
      </c>
      <c r="X359" s="9" t="s">
        <v>29</v>
      </c>
      <c r="AF359">
        <v>377</v>
      </c>
      <c r="AG359" t="s">
        <v>29</v>
      </c>
      <c r="AH359">
        <v>28779.599999999999</v>
      </c>
      <c r="AI359" s="7">
        <v>45806</v>
      </c>
    </row>
    <row r="360" spans="1:35">
      <c r="A360">
        <v>392</v>
      </c>
      <c r="B360" t="str">
        <f t="shared" si="93"/>
        <v>USD</v>
      </c>
      <c r="C360">
        <f t="shared" si="94"/>
        <v>50812</v>
      </c>
      <c r="D360">
        <f>C360*_xlfn.XLOOKUP(B360,AM:AM,AN:AN)</f>
        <v>43698.32</v>
      </c>
      <c r="E360">
        <f>C360*_xlfn.XLOOKUP(B360,AM:AM,AO:AO)</f>
        <v>50812</v>
      </c>
      <c r="F360">
        <v>59116.68</v>
      </c>
      <c r="G360">
        <f>F360*_xlfn.XLOOKUP(B360,AM:AM,AN:AN)</f>
        <v>50840.344799999999</v>
      </c>
      <c r="H360">
        <f>F360*_xlfn.XLOOKUP(B360,AM:AM,AO:AO)</f>
        <v>59116.68</v>
      </c>
      <c r="I360">
        <f t="shared" si="95"/>
        <v>0</v>
      </c>
      <c r="J360">
        <f>I360*_xlfn.XLOOKUP(B360,AM:AM,AO:AO)</f>
        <v>0</v>
      </c>
      <c r="K360" s="7">
        <f t="shared" si="96"/>
        <v>46017</v>
      </c>
      <c r="L360" s="7">
        <f t="shared" si="97"/>
        <v>45987</v>
      </c>
      <c r="M360">
        <f t="shared" si="98"/>
        <v>11</v>
      </c>
      <c r="N360">
        <f t="shared" si="99"/>
        <v>2025</v>
      </c>
      <c r="Q360" s="22">
        <v>514</v>
      </c>
      <c r="R360" s="22">
        <v>60840</v>
      </c>
      <c r="S360" s="22" t="str">
        <f t="shared" si="100"/>
        <v>MXN</v>
      </c>
      <c r="T360" s="22">
        <f t="shared" si="101"/>
        <v>3407.04</v>
      </c>
      <c r="U360" s="28">
        <v>400</v>
      </c>
      <c r="W360" s="9">
        <v>281</v>
      </c>
      <c r="X360" s="9" t="s">
        <v>29</v>
      </c>
      <c r="AF360">
        <v>378</v>
      </c>
      <c r="AG360" t="s">
        <v>29</v>
      </c>
      <c r="AH360">
        <v>9222.59</v>
      </c>
      <c r="AI360" s="7">
        <v>45901</v>
      </c>
    </row>
    <row r="361" spans="1:35">
      <c r="A361">
        <v>393</v>
      </c>
      <c r="B361" t="str">
        <f t="shared" si="93"/>
        <v>EUR</v>
      </c>
      <c r="C361">
        <f t="shared" si="94"/>
        <v>28530.04</v>
      </c>
      <c r="D361">
        <f>C361*_xlfn.XLOOKUP(B361,AM:AM,AN:AN)</f>
        <v>28530.04</v>
      </c>
      <c r="E361">
        <f>C361*_xlfn.XLOOKUP(B361,AM:AM,AO:AO)</f>
        <v>33094.846400000002</v>
      </c>
      <c r="F361">
        <v>28530.04</v>
      </c>
      <c r="G361">
        <f>F361*_xlfn.XLOOKUP(B361,AM:AM,AN:AN)</f>
        <v>28530.04</v>
      </c>
      <c r="H361">
        <f>F361*_xlfn.XLOOKUP(B361,AM:AM,AO:AO)</f>
        <v>33094.846400000002</v>
      </c>
      <c r="I361">
        <f t="shared" si="95"/>
        <v>0</v>
      </c>
      <c r="J361">
        <f>I361*_xlfn.XLOOKUP(B361,AM:AM,AO:AO)</f>
        <v>0</v>
      </c>
      <c r="K361" s="7">
        <f t="shared" si="96"/>
        <v>45857</v>
      </c>
      <c r="L361" s="7">
        <f t="shared" si="97"/>
        <v>45827</v>
      </c>
      <c r="M361">
        <f t="shared" si="98"/>
        <v>6</v>
      </c>
      <c r="N361">
        <f t="shared" si="99"/>
        <v>2025</v>
      </c>
      <c r="Q361" s="22">
        <v>515</v>
      </c>
      <c r="R361" s="22">
        <v>11020.8</v>
      </c>
      <c r="S361" s="22" t="str">
        <f t="shared" si="100"/>
        <v>EUR</v>
      </c>
      <c r="T361" s="22">
        <f t="shared" si="101"/>
        <v>12784.127999999999</v>
      </c>
      <c r="U361" s="28">
        <v>400</v>
      </c>
      <c r="W361" s="9">
        <v>282</v>
      </c>
      <c r="X361" s="9" t="s">
        <v>29</v>
      </c>
      <c r="AF361">
        <v>379</v>
      </c>
      <c r="AG361" t="s">
        <v>29</v>
      </c>
      <c r="AH361">
        <v>48164.24</v>
      </c>
      <c r="AI361" s="7">
        <v>45827</v>
      </c>
    </row>
    <row r="362" spans="1:35">
      <c r="A362">
        <v>394</v>
      </c>
      <c r="B362" t="str">
        <f t="shared" si="93"/>
        <v>USD</v>
      </c>
      <c r="C362">
        <f t="shared" si="94"/>
        <v>105</v>
      </c>
      <c r="D362">
        <f>C362*_xlfn.XLOOKUP(B362,AM:AM,AN:AN)</f>
        <v>90.3</v>
      </c>
      <c r="E362">
        <f>C362*_xlfn.XLOOKUP(B362,AM:AM,AO:AO)</f>
        <v>105</v>
      </c>
      <c r="F362">
        <v>33063.32</v>
      </c>
      <c r="G362">
        <f>F362*_xlfn.XLOOKUP(B362,AM:AM,AN:AN)</f>
        <v>28434.4552</v>
      </c>
      <c r="H362">
        <f>F362*_xlfn.XLOOKUP(B362,AM:AM,AO:AO)</f>
        <v>33063.32</v>
      </c>
      <c r="I362">
        <f t="shared" si="95"/>
        <v>0</v>
      </c>
      <c r="J362">
        <f>I362*_xlfn.XLOOKUP(B362,AM:AM,AO:AO)</f>
        <v>0</v>
      </c>
      <c r="K362" s="7">
        <f t="shared" si="96"/>
        <v>45819</v>
      </c>
      <c r="L362" s="7">
        <f t="shared" si="97"/>
        <v>45789</v>
      </c>
      <c r="M362">
        <f t="shared" si="98"/>
        <v>5</v>
      </c>
      <c r="N362">
        <f t="shared" si="99"/>
        <v>2025</v>
      </c>
      <c r="Q362" s="22">
        <v>516</v>
      </c>
      <c r="R362" s="22">
        <v>7872</v>
      </c>
      <c r="S362" s="22" t="str">
        <f t="shared" si="100"/>
        <v>EUR</v>
      </c>
      <c r="T362" s="22">
        <f t="shared" si="101"/>
        <v>9131.5199999999986</v>
      </c>
      <c r="U362" s="28">
        <v>400</v>
      </c>
      <c r="W362" s="9">
        <v>283</v>
      </c>
      <c r="X362" s="9" t="s">
        <v>29</v>
      </c>
      <c r="AF362">
        <v>380</v>
      </c>
      <c r="AG362" t="s">
        <v>29</v>
      </c>
      <c r="AH362">
        <v>7136.4</v>
      </c>
      <c r="AI362" s="7">
        <v>45805</v>
      </c>
    </row>
    <row r="363" spans="1:35">
      <c r="A363">
        <v>395</v>
      </c>
      <c r="B363" t="str">
        <f t="shared" si="93"/>
        <v>USD</v>
      </c>
      <c r="C363">
        <f t="shared" si="94"/>
        <v>0</v>
      </c>
      <c r="D363">
        <f>C363*_xlfn.XLOOKUP(B363,AM:AM,AN:AN)</f>
        <v>0</v>
      </c>
      <c r="E363">
        <f>C363*_xlfn.XLOOKUP(B363,AM:AM,AO:AO)</f>
        <v>0</v>
      </c>
      <c r="F363">
        <v>15971.66</v>
      </c>
      <c r="G363">
        <f>F363*_xlfn.XLOOKUP(B363,AM:AM,AN:AN)</f>
        <v>13735.6276</v>
      </c>
      <c r="H363">
        <f>F363*_xlfn.XLOOKUP(B363,AM:AM,AO:AO)</f>
        <v>15971.66</v>
      </c>
      <c r="I363">
        <f t="shared" si="95"/>
        <v>0</v>
      </c>
      <c r="J363">
        <f>I363*_xlfn.XLOOKUP(B363,AM:AM,AO:AO)</f>
        <v>0</v>
      </c>
      <c r="K363" s="7">
        <f t="shared" si="96"/>
        <v>45748</v>
      </c>
      <c r="L363" s="7">
        <f t="shared" si="97"/>
        <v>45718</v>
      </c>
      <c r="M363">
        <f t="shared" si="98"/>
        <v>3</v>
      </c>
      <c r="N363">
        <f t="shared" si="99"/>
        <v>2025</v>
      </c>
      <c r="Q363" s="22">
        <v>518</v>
      </c>
      <c r="R363" s="22">
        <v>1497.6</v>
      </c>
      <c r="S363" s="22" t="str">
        <f t="shared" si="100"/>
        <v>USD</v>
      </c>
      <c r="T363" s="22">
        <f t="shared" si="101"/>
        <v>1497.6</v>
      </c>
      <c r="U363" s="28">
        <v>400</v>
      </c>
      <c r="W363" s="9">
        <v>284</v>
      </c>
      <c r="X363" s="9" t="s">
        <v>29</v>
      </c>
      <c r="AF363">
        <v>381</v>
      </c>
      <c r="AG363" t="s">
        <v>29</v>
      </c>
      <c r="AH363">
        <v>14250</v>
      </c>
      <c r="AI363" s="7">
        <v>45814</v>
      </c>
    </row>
    <row r="364" spans="1:35">
      <c r="A364">
        <v>396</v>
      </c>
      <c r="B364" t="str">
        <f t="shared" si="93"/>
        <v>USD</v>
      </c>
      <c r="C364">
        <f t="shared" si="94"/>
        <v>0</v>
      </c>
      <c r="D364">
        <f>C364*_xlfn.XLOOKUP(B364,AM:AM,AN:AN)</f>
        <v>0</v>
      </c>
      <c r="E364">
        <f>C364*_xlfn.XLOOKUP(B364,AM:AM,AO:AO)</f>
        <v>0</v>
      </c>
      <c r="F364">
        <v>8265.9699999999993</v>
      </c>
      <c r="G364">
        <f>F364*_xlfn.XLOOKUP(B364,AM:AM,AN:AN)</f>
        <v>7108.734199999999</v>
      </c>
      <c r="H364">
        <f>F364*_xlfn.XLOOKUP(B364,AM:AM,AO:AO)</f>
        <v>8265.9699999999993</v>
      </c>
      <c r="I364">
        <f t="shared" si="95"/>
        <v>1.8189894035458565E-12</v>
      </c>
      <c r="J364">
        <f>I364*_xlfn.XLOOKUP(B364,AM:AM,AO:AO)</f>
        <v>1.8189894035458565E-12</v>
      </c>
      <c r="K364" s="7">
        <f t="shared" si="96"/>
        <v>45859</v>
      </c>
      <c r="L364" s="7">
        <f t="shared" si="97"/>
        <v>45829</v>
      </c>
      <c r="M364">
        <f t="shared" si="98"/>
        <v>6</v>
      </c>
      <c r="N364">
        <f t="shared" si="99"/>
        <v>2025</v>
      </c>
      <c r="Q364" s="22">
        <v>519</v>
      </c>
      <c r="R364" s="22">
        <v>1648.65</v>
      </c>
      <c r="S364" s="22" t="str">
        <f t="shared" si="100"/>
        <v>USD</v>
      </c>
      <c r="T364" s="22">
        <f t="shared" si="101"/>
        <v>1648.65</v>
      </c>
      <c r="U364" s="28">
        <v>400</v>
      </c>
      <c r="W364" s="9">
        <v>285</v>
      </c>
      <c r="X364" s="9" t="s">
        <v>29</v>
      </c>
      <c r="AF364">
        <v>382</v>
      </c>
      <c r="AG364" t="s">
        <v>29</v>
      </c>
      <c r="AH364">
        <v>18693.84</v>
      </c>
      <c r="AI364" s="7">
        <v>45808</v>
      </c>
    </row>
    <row r="365" spans="1:35">
      <c r="A365">
        <v>397</v>
      </c>
      <c r="B365" t="str">
        <f t="shared" si="93"/>
        <v>USD</v>
      </c>
      <c r="C365">
        <f t="shared" si="94"/>
        <v>43524.38</v>
      </c>
      <c r="D365">
        <f>C365*_xlfn.XLOOKUP(B365,AM:AM,AN:AN)</f>
        <v>37430.966799999995</v>
      </c>
      <c r="E365">
        <f>C365*_xlfn.XLOOKUP(B365,AM:AM,AO:AO)</f>
        <v>43524.38</v>
      </c>
      <c r="F365">
        <v>43524.38</v>
      </c>
      <c r="G365">
        <f>F365*_xlfn.XLOOKUP(B365,AM:AM,AN:AN)</f>
        <v>37430.966799999995</v>
      </c>
      <c r="H365">
        <f>F365*_xlfn.XLOOKUP(B365,AM:AM,AO:AO)</f>
        <v>43524.38</v>
      </c>
      <c r="I365">
        <f t="shared" si="95"/>
        <v>0</v>
      </c>
      <c r="J365">
        <f>I365*_xlfn.XLOOKUP(B365,AM:AM,AO:AO)</f>
        <v>0</v>
      </c>
      <c r="K365" s="7">
        <f t="shared" si="96"/>
        <v>45843</v>
      </c>
      <c r="L365" s="7">
        <f t="shared" si="97"/>
        <v>45813</v>
      </c>
      <c r="M365">
        <f t="shared" si="98"/>
        <v>6</v>
      </c>
      <c r="N365">
        <f t="shared" si="99"/>
        <v>2025</v>
      </c>
      <c r="Q365" s="22">
        <v>521</v>
      </c>
      <c r="R365" s="22">
        <v>194772</v>
      </c>
      <c r="S365" s="22" t="str">
        <f t="shared" si="100"/>
        <v>MXN</v>
      </c>
      <c r="T365" s="22">
        <f t="shared" si="101"/>
        <v>10907.232</v>
      </c>
      <c r="U365" s="28">
        <v>400</v>
      </c>
      <c r="W365" s="9">
        <v>286</v>
      </c>
      <c r="X365" s="9" t="s">
        <v>29</v>
      </c>
      <c r="AF365">
        <v>383</v>
      </c>
      <c r="AG365" t="s">
        <v>29</v>
      </c>
      <c r="AH365">
        <v>1646.17</v>
      </c>
      <c r="AI365" s="7">
        <v>45865</v>
      </c>
    </row>
    <row r="366" spans="1:35">
      <c r="A366">
        <v>398</v>
      </c>
      <c r="B366" t="str">
        <f t="shared" si="93"/>
        <v>EUR</v>
      </c>
      <c r="C366">
        <f t="shared" si="94"/>
        <v>0</v>
      </c>
      <c r="D366">
        <f>C366*_xlfn.XLOOKUP(B366,AM:AM,AN:AN)</f>
        <v>0</v>
      </c>
      <c r="E366">
        <f>C366*_xlfn.XLOOKUP(B366,AM:AM,AO:AO)</f>
        <v>0</v>
      </c>
      <c r="F366">
        <v>12669.04</v>
      </c>
      <c r="G366">
        <f>F366*_xlfn.XLOOKUP(B366,AM:AM,AN:AN)</f>
        <v>12669.04</v>
      </c>
      <c r="H366">
        <f>F366*_xlfn.XLOOKUP(B366,AM:AM,AO:AO)</f>
        <v>14696.0864</v>
      </c>
      <c r="I366">
        <f t="shared" si="95"/>
        <v>0</v>
      </c>
      <c r="J366">
        <f>I366*_xlfn.XLOOKUP(B366,AM:AM,AO:AO)</f>
        <v>0</v>
      </c>
      <c r="K366" s="7">
        <f t="shared" si="96"/>
        <v>45858</v>
      </c>
      <c r="L366" s="7">
        <f t="shared" si="97"/>
        <v>45828</v>
      </c>
      <c r="M366">
        <f t="shared" si="98"/>
        <v>6</v>
      </c>
      <c r="N366">
        <f t="shared" si="99"/>
        <v>2025</v>
      </c>
      <c r="Q366" s="22">
        <v>522</v>
      </c>
      <c r="R366" s="22">
        <v>23340</v>
      </c>
      <c r="S366" s="22" t="str">
        <f t="shared" si="100"/>
        <v>EUR</v>
      </c>
      <c r="T366" s="22">
        <f t="shared" si="101"/>
        <v>27074.399999999998</v>
      </c>
      <c r="U366" s="28">
        <v>400</v>
      </c>
      <c r="W366" s="9">
        <v>287</v>
      </c>
      <c r="X366" s="9" t="s">
        <v>27</v>
      </c>
      <c r="AF366">
        <v>384</v>
      </c>
      <c r="AG366" t="s">
        <v>29</v>
      </c>
      <c r="AH366">
        <v>4324.59</v>
      </c>
      <c r="AI366" s="7">
        <v>45834</v>
      </c>
    </row>
    <row r="367" spans="1:35">
      <c r="A367">
        <v>399</v>
      </c>
      <c r="B367" t="str">
        <f t="shared" si="93"/>
        <v>USD</v>
      </c>
      <c r="C367">
        <f t="shared" si="94"/>
        <v>0</v>
      </c>
      <c r="D367">
        <f>C367*_xlfn.XLOOKUP(B367,AM:AM,AN:AN)</f>
        <v>0</v>
      </c>
      <c r="E367">
        <f>C367*_xlfn.XLOOKUP(B367,AM:AM,AO:AO)</f>
        <v>0</v>
      </c>
      <c r="F367">
        <v>5235</v>
      </c>
      <c r="G367">
        <f>F367*_xlfn.XLOOKUP(B367,AM:AM,AN:AN)</f>
        <v>4502.1000000000004</v>
      </c>
      <c r="H367">
        <f>F367*_xlfn.XLOOKUP(B367,AM:AM,AO:AO)</f>
        <v>5235</v>
      </c>
      <c r="I367">
        <f t="shared" si="95"/>
        <v>0</v>
      </c>
      <c r="J367">
        <f>I367*_xlfn.XLOOKUP(B367,AM:AM,AO:AO)</f>
        <v>0</v>
      </c>
      <c r="K367" s="7">
        <f t="shared" si="96"/>
        <v>45714</v>
      </c>
      <c r="L367" s="7">
        <f t="shared" si="97"/>
        <v>45684</v>
      </c>
      <c r="M367">
        <f t="shared" si="98"/>
        <v>1</v>
      </c>
      <c r="N367">
        <f t="shared" si="99"/>
        <v>2025</v>
      </c>
      <c r="Q367" s="22">
        <v>523</v>
      </c>
      <c r="R367" s="22">
        <v>2100</v>
      </c>
      <c r="S367" s="22" t="str">
        <f t="shared" si="100"/>
        <v>EUR</v>
      </c>
      <c r="T367" s="22">
        <f t="shared" si="101"/>
        <v>2436</v>
      </c>
      <c r="U367" s="28">
        <v>400</v>
      </c>
      <c r="W367" s="9">
        <v>287</v>
      </c>
      <c r="X367" s="9" t="s">
        <v>27</v>
      </c>
      <c r="AF367">
        <v>385</v>
      </c>
      <c r="AG367" t="s">
        <v>29</v>
      </c>
      <c r="AH367">
        <v>3000</v>
      </c>
      <c r="AI367" s="7">
        <v>45784</v>
      </c>
    </row>
    <row r="368" spans="1:35">
      <c r="A368">
        <v>400</v>
      </c>
      <c r="B368" t="str">
        <f t="shared" si="93"/>
        <v>USD</v>
      </c>
      <c r="C368">
        <f t="shared" si="94"/>
        <v>0</v>
      </c>
      <c r="D368">
        <f>C368*_xlfn.XLOOKUP(B368,AM:AM,AN:AN)</f>
        <v>0</v>
      </c>
      <c r="E368">
        <f>C368*_xlfn.XLOOKUP(B368,AM:AM,AO:AO)</f>
        <v>0</v>
      </c>
      <c r="F368">
        <v>1740</v>
      </c>
      <c r="G368">
        <f>F368*_xlfn.XLOOKUP(B368,AM:AM,AN:AN)</f>
        <v>1496.3999999999999</v>
      </c>
      <c r="H368">
        <f>F368*_xlfn.XLOOKUP(B368,AM:AM,AO:AO)</f>
        <v>1740</v>
      </c>
      <c r="I368">
        <f t="shared" si="95"/>
        <v>0</v>
      </c>
      <c r="J368">
        <f>I368*_xlfn.XLOOKUP(B368,AM:AM,AO:AO)</f>
        <v>0</v>
      </c>
      <c r="K368" s="7">
        <f t="shared" si="96"/>
        <v>45730</v>
      </c>
      <c r="L368" s="7">
        <f t="shared" si="97"/>
        <v>45700</v>
      </c>
      <c r="M368">
        <f t="shared" si="98"/>
        <v>2</v>
      </c>
      <c r="N368">
        <f t="shared" si="99"/>
        <v>2025</v>
      </c>
      <c r="Q368" s="22">
        <v>524</v>
      </c>
      <c r="R368" s="22">
        <v>270863.65000000002</v>
      </c>
      <c r="S368" s="22" t="str">
        <f t="shared" si="100"/>
        <v>USD</v>
      </c>
      <c r="T368" s="22">
        <f t="shared" si="101"/>
        <v>270863.65000000002</v>
      </c>
      <c r="U368" s="28">
        <v>400</v>
      </c>
      <c r="W368" s="9">
        <v>287</v>
      </c>
      <c r="X368" s="9" t="s">
        <v>27</v>
      </c>
      <c r="AF368">
        <v>386</v>
      </c>
      <c r="AG368" t="s">
        <v>29</v>
      </c>
      <c r="AH368">
        <v>740</v>
      </c>
      <c r="AI368" s="7">
        <v>45728</v>
      </c>
    </row>
    <row r="369" spans="1:35">
      <c r="A369">
        <v>401</v>
      </c>
      <c r="B369" t="str">
        <f t="shared" si="93"/>
        <v>USD</v>
      </c>
      <c r="C369">
        <f t="shared" si="94"/>
        <v>0</v>
      </c>
      <c r="D369">
        <f>C369*_xlfn.XLOOKUP(B369,AM:AM,AN:AN)</f>
        <v>0</v>
      </c>
      <c r="E369">
        <f>C369*_xlfn.XLOOKUP(B369,AM:AM,AO:AO)</f>
        <v>0</v>
      </c>
      <c r="F369">
        <v>4326</v>
      </c>
      <c r="G369">
        <f>F369*_xlfn.XLOOKUP(B369,AM:AM,AN:AN)</f>
        <v>3720.36</v>
      </c>
      <c r="H369">
        <f>F369*_xlfn.XLOOKUP(B369,AM:AM,AO:AO)</f>
        <v>4326</v>
      </c>
      <c r="I369">
        <f t="shared" si="95"/>
        <v>0</v>
      </c>
      <c r="J369">
        <f>I369*_xlfn.XLOOKUP(B369,AM:AM,AO:AO)</f>
        <v>0</v>
      </c>
      <c r="K369" s="7">
        <f t="shared" si="96"/>
        <v>45728</v>
      </c>
      <c r="L369" s="7">
        <f t="shared" si="97"/>
        <v>45698</v>
      </c>
      <c r="M369">
        <f t="shared" si="98"/>
        <v>2</v>
      </c>
      <c r="N369">
        <f t="shared" si="99"/>
        <v>2025</v>
      </c>
      <c r="Q369" s="22">
        <v>525</v>
      </c>
      <c r="R369" s="22">
        <v>22708.55</v>
      </c>
      <c r="S369" s="22" t="str">
        <f t="shared" si="100"/>
        <v>USD</v>
      </c>
      <c r="T369" s="22">
        <f t="shared" si="101"/>
        <v>22708.55</v>
      </c>
      <c r="U369" s="28">
        <v>400</v>
      </c>
      <c r="W369" s="9">
        <v>287</v>
      </c>
      <c r="X369" s="9" t="s">
        <v>27</v>
      </c>
      <c r="AF369">
        <v>387</v>
      </c>
      <c r="AG369" t="s">
        <v>29</v>
      </c>
      <c r="AH369">
        <v>25787.64</v>
      </c>
      <c r="AI369" s="7">
        <v>45827</v>
      </c>
    </row>
    <row r="370" spans="1:35">
      <c r="A370">
        <v>402</v>
      </c>
      <c r="B370" t="str">
        <f t="shared" si="93"/>
        <v>MXN</v>
      </c>
      <c r="C370">
        <f t="shared" si="94"/>
        <v>0</v>
      </c>
      <c r="D370">
        <f>C370*_xlfn.XLOOKUP(B370,AM:AM,AN:AN)</f>
        <v>0</v>
      </c>
      <c r="E370">
        <f>C370*_xlfn.XLOOKUP(B370,AM:AM,AO:AO)</f>
        <v>0</v>
      </c>
      <c r="F370">
        <v>46687</v>
      </c>
      <c r="G370">
        <f>F370*_xlfn.XLOOKUP(B370,AM:AM,AN:AN)</f>
        <v>2240.9760000000001</v>
      </c>
      <c r="H370">
        <f>F370*_xlfn.XLOOKUP(B370,AM:AM,AO:AO)</f>
        <v>2614.4720000000002</v>
      </c>
      <c r="I370">
        <f t="shared" si="95"/>
        <v>0</v>
      </c>
      <c r="J370">
        <f>I370*_xlfn.XLOOKUP(B370,AM:AM,AO:AO)</f>
        <v>0</v>
      </c>
      <c r="K370" s="7">
        <f t="shared" si="96"/>
        <v>45834</v>
      </c>
      <c r="L370" s="7">
        <f t="shared" si="97"/>
        <v>45804</v>
      </c>
      <c r="M370">
        <f t="shared" si="98"/>
        <v>5</v>
      </c>
      <c r="N370">
        <f t="shared" si="99"/>
        <v>2025</v>
      </c>
      <c r="Q370" s="22">
        <v>526</v>
      </c>
      <c r="R370" s="22">
        <v>1318.98</v>
      </c>
      <c r="S370" s="22" t="str">
        <f t="shared" si="100"/>
        <v>USD</v>
      </c>
      <c r="T370" s="22">
        <f t="shared" si="101"/>
        <v>1318.98</v>
      </c>
      <c r="U370" s="28">
        <v>400</v>
      </c>
      <c r="W370" s="9">
        <v>288</v>
      </c>
      <c r="X370" s="9" t="s">
        <v>29</v>
      </c>
      <c r="AF370">
        <v>388</v>
      </c>
      <c r="AG370" t="s">
        <v>29</v>
      </c>
      <c r="AH370">
        <v>75930.67</v>
      </c>
      <c r="AI370" s="7">
        <v>45949</v>
      </c>
    </row>
    <row r="371" spans="1:35">
      <c r="A371">
        <v>403</v>
      </c>
      <c r="B371" t="str">
        <f t="shared" si="93"/>
        <v>USD</v>
      </c>
      <c r="C371">
        <f t="shared" si="94"/>
        <v>0</v>
      </c>
      <c r="D371">
        <f>C371*_xlfn.XLOOKUP(B371,AM:AM,AN:AN)</f>
        <v>0</v>
      </c>
      <c r="E371">
        <f>C371*_xlfn.XLOOKUP(B371,AM:AM,AO:AO)</f>
        <v>0</v>
      </c>
      <c r="F371">
        <v>7861.74</v>
      </c>
      <c r="G371">
        <f>F371*_xlfn.XLOOKUP(B371,AM:AM,AN:AN)</f>
        <v>6761.0963999999994</v>
      </c>
      <c r="H371">
        <f>F371*_xlfn.XLOOKUP(B371,AM:AM,AO:AO)</f>
        <v>7861.74</v>
      </c>
      <c r="I371">
        <f t="shared" si="95"/>
        <v>0</v>
      </c>
      <c r="J371">
        <f>I371*_xlfn.XLOOKUP(B371,AM:AM,AO:AO)</f>
        <v>0</v>
      </c>
      <c r="K371" s="7">
        <f t="shared" si="96"/>
        <v>45670</v>
      </c>
      <c r="L371" s="7">
        <f t="shared" si="97"/>
        <v>45640</v>
      </c>
      <c r="M371">
        <f t="shared" si="98"/>
        <v>12</v>
      </c>
      <c r="N371">
        <f t="shared" si="99"/>
        <v>2024</v>
      </c>
      <c r="Q371" s="22">
        <v>527</v>
      </c>
      <c r="R371" s="22">
        <v>5066.8500000000004</v>
      </c>
      <c r="S371" s="22" t="str">
        <f t="shared" si="100"/>
        <v>USD</v>
      </c>
      <c r="T371" s="22">
        <f t="shared" si="101"/>
        <v>5066.8500000000004</v>
      </c>
      <c r="U371" s="28">
        <v>400</v>
      </c>
      <c r="W371" s="9">
        <v>288</v>
      </c>
      <c r="X371" s="9" t="s">
        <v>29</v>
      </c>
      <c r="AF371">
        <v>389</v>
      </c>
      <c r="AG371" t="s">
        <v>29</v>
      </c>
      <c r="AH371">
        <v>73352.77</v>
      </c>
      <c r="AI371" s="7">
        <v>45949</v>
      </c>
    </row>
    <row r="372" spans="1:35">
      <c r="A372">
        <v>404</v>
      </c>
      <c r="B372" t="str">
        <f t="shared" si="93"/>
        <v>MXN</v>
      </c>
      <c r="C372">
        <f t="shared" si="94"/>
        <v>10352</v>
      </c>
      <c r="D372">
        <f>C372*_xlfn.XLOOKUP(B372,AM:AM,AN:AN)</f>
        <v>496.89600000000002</v>
      </c>
      <c r="E372">
        <f>C372*_xlfn.XLOOKUP(B372,AM:AM,AO:AO)</f>
        <v>579.71199999999999</v>
      </c>
      <c r="F372">
        <v>10352</v>
      </c>
      <c r="G372">
        <f>F372*_xlfn.XLOOKUP(B372,AM:AM,AN:AN)</f>
        <v>496.89600000000002</v>
      </c>
      <c r="H372">
        <f>F372*_xlfn.XLOOKUP(B372,AM:AM,AO:AO)</f>
        <v>579.71199999999999</v>
      </c>
      <c r="I372">
        <f t="shared" si="95"/>
        <v>0</v>
      </c>
      <c r="J372">
        <f>I372*_xlfn.XLOOKUP(B372,AM:AM,AO:AO)</f>
        <v>0</v>
      </c>
      <c r="K372" s="7">
        <f t="shared" si="96"/>
        <v>45814</v>
      </c>
      <c r="L372" s="7">
        <f t="shared" si="97"/>
        <v>45784</v>
      </c>
      <c r="M372">
        <f t="shared" si="98"/>
        <v>5</v>
      </c>
      <c r="N372">
        <f t="shared" si="99"/>
        <v>2025</v>
      </c>
      <c r="Q372" s="22">
        <v>528</v>
      </c>
      <c r="R372" s="22">
        <v>6395</v>
      </c>
      <c r="S372" s="22" t="str">
        <f t="shared" si="100"/>
        <v>USD</v>
      </c>
      <c r="T372" s="22">
        <f t="shared" si="101"/>
        <v>6395</v>
      </c>
      <c r="U372" s="28">
        <v>400</v>
      </c>
      <c r="W372" s="9">
        <v>288</v>
      </c>
      <c r="X372" s="9" t="s">
        <v>29</v>
      </c>
      <c r="AF372">
        <v>390</v>
      </c>
      <c r="AG372" t="s">
        <v>28</v>
      </c>
      <c r="AH372">
        <v>1089882.92</v>
      </c>
      <c r="AI372" s="7">
        <v>45924</v>
      </c>
    </row>
    <row r="373" spans="1:35">
      <c r="A373">
        <v>405</v>
      </c>
      <c r="B373" t="str">
        <f t="shared" si="93"/>
        <v>MXN</v>
      </c>
      <c r="C373">
        <f t="shared" si="94"/>
        <v>13313</v>
      </c>
      <c r="D373">
        <f>C373*_xlfn.XLOOKUP(B373,AM:AM,AN:AN)</f>
        <v>639.024</v>
      </c>
      <c r="E373">
        <f>C373*_xlfn.XLOOKUP(B373,AM:AM,AO:AO)</f>
        <v>745.52800000000002</v>
      </c>
      <c r="F373">
        <v>13313</v>
      </c>
      <c r="G373">
        <f>F373*_xlfn.XLOOKUP(B373,AM:AM,AN:AN)</f>
        <v>639.024</v>
      </c>
      <c r="H373">
        <f>F373*_xlfn.XLOOKUP(B373,AM:AM,AO:AO)</f>
        <v>745.52800000000002</v>
      </c>
      <c r="I373">
        <f t="shared" si="95"/>
        <v>0</v>
      </c>
      <c r="J373">
        <f>I373*_xlfn.XLOOKUP(B373,AM:AM,AO:AO)</f>
        <v>0</v>
      </c>
      <c r="K373" s="7">
        <f t="shared" si="96"/>
        <v>45873</v>
      </c>
      <c r="L373" s="7">
        <f t="shared" si="97"/>
        <v>45843</v>
      </c>
      <c r="M373">
        <f t="shared" si="98"/>
        <v>7</v>
      </c>
      <c r="N373">
        <f t="shared" si="99"/>
        <v>2025</v>
      </c>
      <c r="Q373" s="22">
        <v>529</v>
      </c>
      <c r="R373" s="22">
        <v>2802</v>
      </c>
      <c r="S373" s="22" t="str">
        <f t="shared" si="100"/>
        <v>CHF</v>
      </c>
      <c r="T373" s="22">
        <f t="shared" si="101"/>
        <v>3502.5</v>
      </c>
      <c r="U373" s="28">
        <v>400</v>
      </c>
      <c r="W373" s="9">
        <v>288</v>
      </c>
      <c r="X373" s="9" t="s">
        <v>29</v>
      </c>
      <c r="AF373">
        <v>391</v>
      </c>
      <c r="AG373" t="s">
        <v>29</v>
      </c>
      <c r="AH373">
        <v>75993.070000000007</v>
      </c>
      <c r="AI373" s="7">
        <v>45948</v>
      </c>
    </row>
    <row r="374" spans="1:35">
      <c r="A374">
        <v>406</v>
      </c>
      <c r="B374" t="str">
        <f t="shared" si="93"/>
        <v>USD</v>
      </c>
      <c r="C374">
        <f t="shared" si="94"/>
        <v>5842.0000000000036</v>
      </c>
      <c r="D374">
        <f>C374*_xlfn.XLOOKUP(B374,AM:AM,AN:AN)</f>
        <v>5024.1200000000026</v>
      </c>
      <c r="E374">
        <f>C374*_xlfn.XLOOKUP(B374,AM:AM,AO:AO)</f>
        <v>5842.0000000000036</v>
      </c>
      <c r="F374">
        <v>29857.7</v>
      </c>
      <c r="G374">
        <f>F374*_xlfn.XLOOKUP(B374,AM:AM,AN:AN)</f>
        <v>25677.621999999999</v>
      </c>
      <c r="H374">
        <f>F374*_xlfn.XLOOKUP(B374,AM:AM,AO:AO)</f>
        <v>29857.7</v>
      </c>
      <c r="I374">
        <f t="shared" si="95"/>
        <v>0</v>
      </c>
      <c r="J374">
        <f>I374*_xlfn.XLOOKUP(B374,AM:AM,AO:AO)</f>
        <v>0</v>
      </c>
      <c r="K374" s="7">
        <f t="shared" si="96"/>
        <v>45825</v>
      </c>
      <c r="L374" s="7">
        <f t="shared" si="97"/>
        <v>45795</v>
      </c>
      <c r="M374">
        <f t="shared" si="98"/>
        <v>5</v>
      </c>
      <c r="N374">
        <f t="shared" si="99"/>
        <v>2025</v>
      </c>
      <c r="Q374" s="22">
        <v>530</v>
      </c>
      <c r="R374" s="22">
        <v>7285.88</v>
      </c>
      <c r="S374" s="22" t="str">
        <f t="shared" si="100"/>
        <v>EUR</v>
      </c>
      <c r="T374" s="22">
        <f t="shared" si="101"/>
        <v>8451.6207999999988</v>
      </c>
      <c r="U374" s="28">
        <v>400</v>
      </c>
      <c r="W374" s="9">
        <v>288</v>
      </c>
      <c r="X374" s="9" t="s">
        <v>29</v>
      </c>
      <c r="AF374">
        <v>392</v>
      </c>
      <c r="AG374" t="s">
        <v>29</v>
      </c>
      <c r="AH374">
        <v>59116.68</v>
      </c>
      <c r="AI374" s="7">
        <v>46017</v>
      </c>
    </row>
    <row r="375" spans="1:35">
      <c r="A375">
        <v>407</v>
      </c>
      <c r="B375" t="str">
        <f t="shared" si="93"/>
        <v>USD</v>
      </c>
      <c r="C375">
        <f t="shared" si="94"/>
        <v>140</v>
      </c>
      <c r="D375">
        <f>C375*_xlfn.XLOOKUP(B375,AM:AM,AN:AN)</f>
        <v>120.39999999999999</v>
      </c>
      <c r="E375">
        <f>C375*_xlfn.XLOOKUP(B375,AM:AM,AO:AO)</f>
        <v>140</v>
      </c>
      <c r="F375">
        <v>13395.02</v>
      </c>
      <c r="G375">
        <f>F375*_xlfn.XLOOKUP(B375,AM:AM,AN:AN)</f>
        <v>11519.717200000001</v>
      </c>
      <c r="H375">
        <f>F375*_xlfn.XLOOKUP(B375,AM:AM,AO:AO)</f>
        <v>13395.02</v>
      </c>
      <c r="I375">
        <f t="shared" si="95"/>
        <v>0</v>
      </c>
      <c r="J375">
        <f>I375*_xlfn.XLOOKUP(B375,AM:AM,AO:AO)</f>
        <v>0</v>
      </c>
      <c r="K375" s="7">
        <f t="shared" si="96"/>
        <v>45814</v>
      </c>
      <c r="L375" s="7">
        <f t="shared" si="97"/>
        <v>45784</v>
      </c>
      <c r="M375">
        <f t="shared" si="98"/>
        <v>5</v>
      </c>
      <c r="N375">
        <f t="shared" si="99"/>
        <v>2025</v>
      </c>
      <c r="Q375" s="22">
        <v>531</v>
      </c>
      <c r="R375" s="22">
        <v>33581.880000000005</v>
      </c>
      <c r="S375" s="22" t="str">
        <f t="shared" si="100"/>
        <v>USD</v>
      </c>
      <c r="T375" s="22">
        <f t="shared" si="101"/>
        <v>33581.880000000005</v>
      </c>
      <c r="U375" s="28">
        <v>400</v>
      </c>
      <c r="W375" s="9">
        <v>288</v>
      </c>
      <c r="X375" s="9" t="s">
        <v>29</v>
      </c>
      <c r="AF375">
        <v>393</v>
      </c>
      <c r="AG375" t="s">
        <v>27</v>
      </c>
      <c r="AH375">
        <v>28530.04</v>
      </c>
      <c r="AI375" s="7">
        <v>45857</v>
      </c>
    </row>
    <row r="376" spans="1:35">
      <c r="A376">
        <v>408</v>
      </c>
      <c r="B376" t="str">
        <f t="shared" si="93"/>
        <v>MXN</v>
      </c>
      <c r="C376">
        <f t="shared" si="94"/>
        <v>163648.45000000001</v>
      </c>
      <c r="D376">
        <f>C376*_xlfn.XLOOKUP(B376,AM:AM,AN:AN)</f>
        <v>7855.1256000000003</v>
      </c>
      <c r="E376">
        <f>C376*_xlfn.XLOOKUP(B376,AM:AM,AO:AO)</f>
        <v>9164.3132000000005</v>
      </c>
      <c r="F376">
        <v>163648.45000000001</v>
      </c>
      <c r="G376">
        <f>F376*_xlfn.XLOOKUP(B376,AM:AM,AN:AN)</f>
        <v>7855.1256000000003</v>
      </c>
      <c r="H376">
        <f>F376*_xlfn.XLOOKUP(B376,AM:AM,AO:AO)</f>
        <v>9164.3132000000005</v>
      </c>
      <c r="I376">
        <f t="shared" si="95"/>
        <v>0</v>
      </c>
      <c r="J376">
        <f>I376*_xlfn.XLOOKUP(B376,AM:AM,AO:AO)</f>
        <v>0</v>
      </c>
      <c r="K376" s="7">
        <f t="shared" si="96"/>
        <v>45873</v>
      </c>
      <c r="L376" s="7">
        <f t="shared" si="97"/>
        <v>45843</v>
      </c>
      <c r="M376">
        <f t="shared" si="98"/>
        <v>7</v>
      </c>
      <c r="N376">
        <f t="shared" si="99"/>
        <v>2025</v>
      </c>
      <c r="Q376" s="22">
        <v>533</v>
      </c>
      <c r="R376" s="22">
        <v>2722.8500000000004</v>
      </c>
      <c r="S376" s="22" t="str">
        <f t="shared" si="100"/>
        <v>USD</v>
      </c>
      <c r="T376" s="22">
        <f t="shared" si="101"/>
        <v>2722.8500000000004</v>
      </c>
      <c r="U376" s="28">
        <v>400</v>
      </c>
      <c r="W376" s="9">
        <v>288</v>
      </c>
      <c r="X376" s="9" t="s">
        <v>29</v>
      </c>
      <c r="AF376">
        <v>394</v>
      </c>
      <c r="AG376" t="s">
        <v>29</v>
      </c>
      <c r="AH376">
        <v>33063.32</v>
      </c>
      <c r="AI376" s="7">
        <v>45819</v>
      </c>
    </row>
    <row r="377" spans="1:35">
      <c r="A377">
        <v>409</v>
      </c>
      <c r="B377" t="str">
        <f t="shared" si="93"/>
        <v>USD</v>
      </c>
      <c r="C377">
        <f t="shared" si="94"/>
        <v>0</v>
      </c>
      <c r="D377">
        <f>C377*_xlfn.XLOOKUP(B377,AM:AM,AN:AN)</f>
        <v>0</v>
      </c>
      <c r="E377">
        <f>C377*_xlfn.XLOOKUP(B377,AM:AM,AO:AO)</f>
        <v>0</v>
      </c>
      <c r="F377">
        <v>6108.88</v>
      </c>
      <c r="G377">
        <f>F377*_xlfn.XLOOKUP(B377,AM:AM,AN:AN)</f>
        <v>5253.6368000000002</v>
      </c>
      <c r="H377">
        <f>F377*_xlfn.XLOOKUP(B377,AM:AM,AO:AO)</f>
        <v>6108.88</v>
      </c>
      <c r="I377">
        <f t="shared" si="95"/>
        <v>0</v>
      </c>
      <c r="J377">
        <f>I377*_xlfn.XLOOKUP(B377,AM:AM,AO:AO)</f>
        <v>0</v>
      </c>
      <c r="K377" s="7">
        <f t="shared" si="96"/>
        <v>45854</v>
      </c>
      <c r="L377" s="7">
        <f t="shared" si="97"/>
        <v>45824</v>
      </c>
      <c r="M377">
        <f t="shared" si="98"/>
        <v>6</v>
      </c>
      <c r="N377">
        <f t="shared" si="99"/>
        <v>2025</v>
      </c>
      <c r="Q377" s="22">
        <v>535</v>
      </c>
      <c r="R377" s="22">
        <v>2861.4</v>
      </c>
      <c r="S377" s="22" t="str">
        <f t="shared" si="100"/>
        <v>USD</v>
      </c>
      <c r="T377" s="22">
        <f t="shared" si="101"/>
        <v>2861.4</v>
      </c>
      <c r="U377" s="28">
        <v>400</v>
      </c>
      <c r="W377" s="9">
        <v>288</v>
      </c>
      <c r="X377" s="9" t="s">
        <v>29</v>
      </c>
      <c r="AF377">
        <v>395</v>
      </c>
      <c r="AG377" t="s">
        <v>29</v>
      </c>
      <c r="AH377">
        <v>15971.66</v>
      </c>
      <c r="AI377" s="7">
        <v>45748</v>
      </c>
    </row>
    <row r="378" spans="1:35">
      <c r="A378">
        <v>410</v>
      </c>
      <c r="B378" t="str">
        <f t="shared" si="93"/>
        <v>USD</v>
      </c>
      <c r="C378">
        <f t="shared" si="94"/>
        <v>25052.36</v>
      </c>
      <c r="D378">
        <f>C378*_xlfn.XLOOKUP(B378,AM:AM,AN:AN)</f>
        <v>21545.029600000002</v>
      </c>
      <c r="E378">
        <f>C378*_xlfn.XLOOKUP(B378,AM:AM,AO:AO)</f>
        <v>25052.36</v>
      </c>
      <c r="F378">
        <v>25052.36</v>
      </c>
      <c r="G378">
        <f>F378*_xlfn.XLOOKUP(B378,AM:AM,AN:AN)</f>
        <v>21545.029600000002</v>
      </c>
      <c r="H378">
        <f>F378*_xlfn.XLOOKUP(B378,AM:AM,AO:AO)</f>
        <v>25052.36</v>
      </c>
      <c r="I378">
        <f t="shared" si="95"/>
        <v>0</v>
      </c>
      <c r="J378">
        <f>I378*_xlfn.XLOOKUP(B378,AM:AM,AO:AO)</f>
        <v>0</v>
      </c>
      <c r="K378" s="7">
        <f t="shared" si="96"/>
        <v>45864</v>
      </c>
      <c r="L378" s="7">
        <f t="shared" si="97"/>
        <v>45834</v>
      </c>
      <c r="M378">
        <f t="shared" si="98"/>
        <v>6</v>
      </c>
      <c r="N378">
        <f t="shared" si="99"/>
        <v>2025</v>
      </c>
      <c r="Q378" s="22">
        <v>536</v>
      </c>
      <c r="R378" s="22">
        <v>81706.590000000011</v>
      </c>
      <c r="S378" s="22" t="str">
        <f t="shared" si="100"/>
        <v>USD</v>
      </c>
      <c r="T378" s="22">
        <f t="shared" si="101"/>
        <v>81706.590000000011</v>
      </c>
      <c r="U378" s="28">
        <v>400</v>
      </c>
      <c r="W378" s="9">
        <v>288</v>
      </c>
      <c r="X378" s="9" t="s">
        <v>29</v>
      </c>
      <c r="AF378">
        <v>396</v>
      </c>
      <c r="AG378" t="s">
        <v>29</v>
      </c>
      <c r="AH378">
        <v>8265.9699999999993</v>
      </c>
      <c r="AI378" s="7">
        <v>45859</v>
      </c>
    </row>
    <row r="379" spans="1:35">
      <c r="A379">
        <v>411</v>
      </c>
      <c r="B379" t="str">
        <f t="shared" si="93"/>
        <v>USD</v>
      </c>
      <c r="C379">
        <f t="shared" si="94"/>
        <v>4767.8999999999996</v>
      </c>
      <c r="D379">
        <f>C379*_xlfn.XLOOKUP(B379,AM:AM,AN:AN)</f>
        <v>4100.3939999999993</v>
      </c>
      <c r="E379">
        <f>C379*_xlfn.XLOOKUP(B379,AM:AM,AO:AO)</f>
        <v>4767.8999999999996</v>
      </c>
      <c r="F379">
        <v>4767.8999999999996</v>
      </c>
      <c r="G379">
        <f>F379*_xlfn.XLOOKUP(B379,AM:AM,AN:AN)</f>
        <v>4100.3939999999993</v>
      </c>
      <c r="H379">
        <f>F379*_xlfn.XLOOKUP(B379,AM:AM,AO:AO)</f>
        <v>4767.8999999999996</v>
      </c>
      <c r="I379">
        <f t="shared" si="95"/>
        <v>0</v>
      </c>
      <c r="J379">
        <f>I379*_xlfn.XLOOKUP(B379,AM:AM,AO:AO)</f>
        <v>0</v>
      </c>
      <c r="K379" s="7">
        <f t="shared" si="96"/>
        <v>45825</v>
      </c>
      <c r="L379" s="7">
        <f t="shared" si="97"/>
        <v>45795</v>
      </c>
      <c r="M379">
        <f t="shared" si="98"/>
        <v>5</v>
      </c>
      <c r="N379">
        <f t="shared" si="99"/>
        <v>2025</v>
      </c>
      <c r="Q379" s="22">
        <v>537</v>
      </c>
      <c r="R379" s="22">
        <v>6262.4299999999994</v>
      </c>
      <c r="S379" s="22" t="str">
        <f t="shared" si="100"/>
        <v>EUR</v>
      </c>
      <c r="T379" s="22">
        <f t="shared" si="101"/>
        <v>7264.4187999999986</v>
      </c>
      <c r="U379" s="28">
        <v>400</v>
      </c>
      <c r="W379" s="9">
        <v>288</v>
      </c>
      <c r="X379" s="9" t="s">
        <v>29</v>
      </c>
      <c r="AF379">
        <v>397</v>
      </c>
      <c r="AG379" t="s">
        <v>29</v>
      </c>
      <c r="AH379">
        <v>43524.38</v>
      </c>
      <c r="AI379" s="7">
        <v>45843</v>
      </c>
    </row>
    <row r="380" spans="1:35">
      <c r="A380">
        <v>412</v>
      </c>
      <c r="B380" t="str">
        <f t="shared" si="93"/>
        <v>USD</v>
      </c>
      <c r="C380">
        <f t="shared" si="94"/>
        <v>0</v>
      </c>
      <c r="D380">
        <f>C380*_xlfn.XLOOKUP(B380,AM:AM,AN:AN)</f>
        <v>0</v>
      </c>
      <c r="E380">
        <f>C380*_xlfn.XLOOKUP(B380,AM:AM,AO:AO)</f>
        <v>0</v>
      </c>
      <c r="F380">
        <v>2286.5</v>
      </c>
      <c r="G380">
        <f>F380*_xlfn.XLOOKUP(B380,AM:AM,AN:AN)</f>
        <v>1966.3899999999999</v>
      </c>
      <c r="H380">
        <f>F380*_xlfn.XLOOKUP(B380,AM:AM,AO:AO)</f>
        <v>2286.5</v>
      </c>
      <c r="I380">
        <f t="shared" si="95"/>
        <v>0</v>
      </c>
      <c r="J380">
        <f>I380*_xlfn.XLOOKUP(B380,AM:AM,AO:AO)</f>
        <v>0</v>
      </c>
      <c r="K380" s="7">
        <f t="shared" si="96"/>
        <v>45783</v>
      </c>
      <c r="L380" s="7">
        <f t="shared" si="97"/>
        <v>45753</v>
      </c>
      <c r="M380">
        <f t="shared" si="98"/>
        <v>4</v>
      </c>
      <c r="N380">
        <f t="shared" si="99"/>
        <v>2025</v>
      </c>
      <c r="Q380" s="22">
        <v>539</v>
      </c>
      <c r="R380" s="22">
        <v>7198.65</v>
      </c>
      <c r="S380" s="22" t="str">
        <f t="shared" si="100"/>
        <v>USD</v>
      </c>
      <c r="T380" s="22">
        <f t="shared" si="101"/>
        <v>7198.65</v>
      </c>
      <c r="U380" s="28">
        <v>400</v>
      </c>
      <c r="W380" s="9">
        <v>288</v>
      </c>
      <c r="X380" s="9" t="s">
        <v>29</v>
      </c>
      <c r="AF380">
        <v>398</v>
      </c>
      <c r="AG380" t="s">
        <v>27</v>
      </c>
      <c r="AH380">
        <v>12669.04</v>
      </c>
      <c r="AI380" s="7">
        <v>45858</v>
      </c>
    </row>
    <row r="381" spans="1:35">
      <c r="A381">
        <v>413</v>
      </c>
      <c r="B381" t="str">
        <f t="shared" si="93"/>
        <v>MXN</v>
      </c>
      <c r="C381">
        <f t="shared" si="94"/>
        <v>23160</v>
      </c>
      <c r="D381">
        <f>C381*_xlfn.XLOOKUP(B381,AM:AM,AN:AN)</f>
        <v>1111.68</v>
      </c>
      <c r="E381">
        <f>C381*_xlfn.XLOOKUP(B381,AM:AM,AO:AO)</f>
        <v>1296.96</v>
      </c>
      <c r="F381">
        <v>23160</v>
      </c>
      <c r="G381">
        <f>F381*_xlfn.XLOOKUP(B381,AM:AM,AN:AN)</f>
        <v>1111.68</v>
      </c>
      <c r="H381">
        <f>F381*_xlfn.XLOOKUP(B381,AM:AM,AO:AO)</f>
        <v>1296.96</v>
      </c>
      <c r="I381">
        <f t="shared" si="95"/>
        <v>0</v>
      </c>
      <c r="J381">
        <f>I381*_xlfn.XLOOKUP(B381,AM:AM,AO:AO)</f>
        <v>0</v>
      </c>
      <c r="K381" s="7">
        <f t="shared" si="96"/>
        <v>45864</v>
      </c>
      <c r="L381" s="7">
        <f t="shared" si="97"/>
        <v>45834</v>
      </c>
      <c r="M381">
        <f t="shared" si="98"/>
        <v>6</v>
      </c>
      <c r="N381">
        <f t="shared" si="99"/>
        <v>2025</v>
      </c>
      <c r="Q381" s="22">
        <v>540</v>
      </c>
      <c r="R381" s="22">
        <v>42018.67</v>
      </c>
      <c r="S381" s="22" t="str">
        <f t="shared" si="100"/>
        <v>USD</v>
      </c>
      <c r="T381" s="22">
        <f t="shared" si="101"/>
        <v>42018.67</v>
      </c>
      <c r="U381" s="28">
        <v>400</v>
      </c>
      <c r="W381" s="9">
        <v>288</v>
      </c>
      <c r="X381" s="9" t="s">
        <v>29</v>
      </c>
      <c r="AF381">
        <v>399</v>
      </c>
      <c r="AG381" t="s">
        <v>29</v>
      </c>
      <c r="AH381">
        <v>5235</v>
      </c>
      <c r="AI381" s="7">
        <v>45714</v>
      </c>
    </row>
    <row r="382" spans="1:35">
      <c r="A382">
        <v>414</v>
      </c>
      <c r="B382" t="str">
        <f t="shared" si="93"/>
        <v>USD</v>
      </c>
      <c r="C382">
        <f t="shared" si="94"/>
        <v>0</v>
      </c>
      <c r="D382">
        <f>C382*_xlfn.XLOOKUP(B382,AM:AM,AN:AN)</f>
        <v>0</v>
      </c>
      <c r="E382">
        <f>C382*_xlfn.XLOOKUP(B382,AM:AM,AO:AO)</f>
        <v>0</v>
      </c>
      <c r="F382">
        <v>9783.3799999999992</v>
      </c>
      <c r="G382">
        <f>F382*_xlfn.XLOOKUP(B382,AM:AM,AN:AN)</f>
        <v>8413.7067999999999</v>
      </c>
      <c r="H382">
        <f>F382*_xlfn.XLOOKUP(B382,AM:AM,AO:AO)</f>
        <v>9783.3799999999992</v>
      </c>
      <c r="I382">
        <f t="shared" si="95"/>
        <v>1.8189894035458565E-12</v>
      </c>
      <c r="J382">
        <f>I382*_xlfn.XLOOKUP(B382,AM:AM,AO:AO)</f>
        <v>1.8189894035458565E-12</v>
      </c>
      <c r="K382" s="7">
        <f t="shared" si="96"/>
        <v>45817</v>
      </c>
      <c r="L382" s="7">
        <f t="shared" si="97"/>
        <v>45787</v>
      </c>
      <c r="M382">
        <f t="shared" si="98"/>
        <v>5</v>
      </c>
      <c r="N382">
        <f t="shared" si="99"/>
        <v>2025</v>
      </c>
      <c r="Q382" s="22">
        <v>541</v>
      </c>
      <c r="R382" s="22">
        <v>14819.43</v>
      </c>
      <c r="S382" s="22" t="str">
        <f t="shared" si="100"/>
        <v>USD</v>
      </c>
      <c r="T382" s="22">
        <f t="shared" si="101"/>
        <v>14819.43</v>
      </c>
      <c r="U382" s="28">
        <v>400</v>
      </c>
      <c r="W382" s="9">
        <v>288</v>
      </c>
      <c r="X382" s="9" t="s">
        <v>29</v>
      </c>
      <c r="AF382">
        <v>400</v>
      </c>
      <c r="AG382" t="s">
        <v>29</v>
      </c>
      <c r="AH382">
        <v>1740</v>
      </c>
      <c r="AI382" s="7">
        <v>45730</v>
      </c>
    </row>
    <row r="383" spans="1:35">
      <c r="A383">
        <v>416</v>
      </c>
      <c r="B383" t="str">
        <f t="shared" si="93"/>
        <v>MXN</v>
      </c>
      <c r="C383">
        <f t="shared" si="94"/>
        <v>141785.25999999995</v>
      </c>
      <c r="D383">
        <f>C383*_xlfn.XLOOKUP(B383,AM:AM,AN:AN)</f>
        <v>6805.6924799999979</v>
      </c>
      <c r="E383">
        <f>C383*_xlfn.XLOOKUP(B383,AM:AM,AO:AO)</f>
        <v>7939.9745599999978</v>
      </c>
      <c r="F383">
        <v>472374.25</v>
      </c>
      <c r="G383">
        <f>F383*_xlfn.XLOOKUP(B383,AM:AM,AN:AN)</f>
        <v>22673.964</v>
      </c>
      <c r="H383">
        <f>F383*_xlfn.XLOOKUP(B383,AM:AM,AO:AO)</f>
        <v>26452.958000000002</v>
      </c>
      <c r="I383">
        <f t="shared" si="95"/>
        <v>-7.0000000006984919E-2</v>
      </c>
      <c r="J383">
        <f>I383*_xlfn.XLOOKUP(B383,AM:AM,AO:AO)</f>
        <v>-3.9200000003911557E-3</v>
      </c>
      <c r="K383" s="7">
        <f t="shared" si="96"/>
        <v>45879</v>
      </c>
      <c r="L383" s="7">
        <f t="shared" si="97"/>
        <v>45849</v>
      </c>
      <c r="M383">
        <f t="shared" si="98"/>
        <v>7</v>
      </c>
      <c r="N383">
        <f t="shared" si="99"/>
        <v>2025</v>
      </c>
      <c r="Q383" s="22">
        <v>542</v>
      </c>
      <c r="R383" s="22">
        <v>3185.04</v>
      </c>
      <c r="S383" s="22" t="str">
        <f t="shared" si="100"/>
        <v>USD</v>
      </c>
      <c r="T383" s="22">
        <f t="shared" si="101"/>
        <v>3185.04</v>
      </c>
      <c r="U383" s="28">
        <v>400</v>
      </c>
      <c r="W383" s="9">
        <v>288</v>
      </c>
      <c r="X383" s="9" t="s">
        <v>29</v>
      </c>
      <c r="AF383">
        <v>401</v>
      </c>
      <c r="AG383" t="s">
        <v>29</v>
      </c>
      <c r="AH383">
        <v>4326</v>
      </c>
      <c r="AI383" s="7">
        <v>45728</v>
      </c>
    </row>
    <row r="384" spans="1:35">
      <c r="A384">
        <v>417</v>
      </c>
      <c r="B384" t="str">
        <f t="shared" si="93"/>
        <v>USD</v>
      </c>
      <c r="C384">
        <f t="shared" si="94"/>
        <v>9035.74</v>
      </c>
      <c r="D384">
        <f>C384*_xlfn.XLOOKUP(B384,AM:AM,AN:AN)</f>
        <v>7770.7363999999998</v>
      </c>
      <c r="E384">
        <f>C384*_xlfn.XLOOKUP(B384,AM:AM,AO:AO)</f>
        <v>9035.74</v>
      </c>
      <c r="F384">
        <v>9035.74</v>
      </c>
      <c r="G384">
        <f>F384*_xlfn.XLOOKUP(B384,AM:AM,AN:AN)</f>
        <v>7770.7363999999998</v>
      </c>
      <c r="H384">
        <f>F384*_xlfn.XLOOKUP(B384,AM:AM,AO:AO)</f>
        <v>9035.74</v>
      </c>
      <c r="I384">
        <f t="shared" si="95"/>
        <v>0</v>
      </c>
      <c r="J384">
        <f>I384*_xlfn.XLOOKUP(B384,AM:AM,AO:AO)</f>
        <v>0</v>
      </c>
      <c r="K384" s="7">
        <f t="shared" si="96"/>
        <v>45873</v>
      </c>
      <c r="L384" s="7">
        <f t="shared" si="97"/>
        <v>45843</v>
      </c>
      <c r="M384">
        <f t="shared" si="98"/>
        <v>7</v>
      </c>
      <c r="N384">
        <f t="shared" si="99"/>
        <v>2025</v>
      </c>
      <c r="Q384" s="22">
        <v>545</v>
      </c>
      <c r="R384" s="22">
        <v>4522.3100000000004</v>
      </c>
      <c r="S384" s="22" t="str">
        <f t="shared" si="100"/>
        <v>USD</v>
      </c>
      <c r="T384" s="22">
        <f t="shared" si="101"/>
        <v>4522.3100000000004</v>
      </c>
      <c r="U384" s="28">
        <v>400</v>
      </c>
      <c r="W384" s="9">
        <v>288</v>
      </c>
      <c r="X384" s="9" t="s">
        <v>29</v>
      </c>
      <c r="AF384">
        <v>402</v>
      </c>
      <c r="AG384" t="s">
        <v>28</v>
      </c>
      <c r="AH384">
        <v>46687</v>
      </c>
      <c r="AI384" s="7">
        <v>45834</v>
      </c>
    </row>
    <row r="385" spans="1:35">
      <c r="A385">
        <v>418</v>
      </c>
      <c r="B385" t="str">
        <f t="shared" si="93"/>
        <v>JPY</v>
      </c>
      <c r="C385">
        <f t="shared" si="94"/>
        <v>22353043.399999999</v>
      </c>
      <c r="D385">
        <f>C385*_xlfn.XLOOKUP(B385,AM:AM,AN:AN)</f>
        <v>122941.73869999999</v>
      </c>
      <c r="E385">
        <f>C385*_xlfn.XLOOKUP(B385,AM:AM,AO:AO)</f>
        <v>143059.47776000001</v>
      </c>
      <c r="F385">
        <v>22353043.399999999</v>
      </c>
      <c r="G385">
        <f>F385*_xlfn.XLOOKUP(B385,AM:AM,AN:AN)</f>
        <v>122941.73869999999</v>
      </c>
      <c r="H385">
        <f>F385*_xlfn.XLOOKUP(B385,AM:AM,AO:AO)</f>
        <v>143059.47776000001</v>
      </c>
      <c r="I385">
        <f t="shared" si="95"/>
        <v>0</v>
      </c>
      <c r="J385">
        <f>I385*_xlfn.XLOOKUP(B385,AM:AM,AO:AO)</f>
        <v>0</v>
      </c>
      <c r="K385" s="7">
        <f t="shared" si="96"/>
        <v>45877</v>
      </c>
      <c r="L385" s="7">
        <f t="shared" si="97"/>
        <v>45847</v>
      </c>
      <c r="M385">
        <f t="shared" si="98"/>
        <v>7</v>
      </c>
      <c r="N385">
        <f t="shared" si="99"/>
        <v>2025</v>
      </c>
      <c r="Q385" s="22">
        <v>546</v>
      </c>
      <c r="R385" s="22">
        <v>75606</v>
      </c>
      <c r="S385" s="22" t="str">
        <f t="shared" si="100"/>
        <v>MXN</v>
      </c>
      <c r="T385" s="22">
        <f t="shared" si="101"/>
        <v>4233.9359999999997</v>
      </c>
      <c r="U385" s="28">
        <v>400</v>
      </c>
      <c r="W385" s="9">
        <v>288</v>
      </c>
      <c r="X385" s="9" t="s">
        <v>29</v>
      </c>
      <c r="AF385">
        <v>403</v>
      </c>
      <c r="AG385" t="s">
        <v>29</v>
      </c>
      <c r="AH385">
        <v>7861.74</v>
      </c>
      <c r="AI385" s="7">
        <v>45670</v>
      </c>
    </row>
    <row r="386" spans="1:35">
      <c r="A386">
        <v>419</v>
      </c>
      <c r="B386" t="str">
        <f t="shared" si="93"/>
        <v>USD</v>
      </c>
      <c r="C386">
        <f t="shared" si="94"/>
        <v>3396</v>
      </c>
      <c r="D386">
        <f>C386*_xlfn.XLOOKUP(B386,AM:AM,AN:AN)</f>
        <v>2920.56</v>
      </c>
      <c r="E386">
        <f>C386*_xlfn.XLOOKUP(B386,AM:AM,AO:AO)</f>
        <v>3396</v>
      </c>
      <c r="F386">
        <v>8822</v>
      </c>
      <c r="G386">
        <f>F386*_xlfn.XLOOKUP(B386,AM:AM,AN:AN)</f>
        <v>7586.92</v>
      </c>
      <c r="H386">
        <f>F386*_xlfn.XLOOKUP(B386,AM:AM,AO:AO)</f>
        <v>8822</v>
      </c>
      <c r="I386">
        <f t="shared" si="95"/>
        <v>0</v>
      </c>
      <c r="J386">
        <f>I386*_xlfn.XLOOKUP(B386,AM:AM,AO:AO)</f>
        <v>0</v>
      </c>
      <c r="K386" s="7">
        <f t="shared" si="96"/>
        <v>45828</v>
      </c>
      <c r="L386" s="7">
        <f t="shared" si="97"/>
        <v>45798</v>
      </c>
      <c r="M386">
        <f t="shared" si="98"/>
        <v>5</v>
      </c>
      <c r="N386">
        <f t="shared" si="99"/>
        <v>2025</v>
      </c>
      <c r="Q386" s="22">
        <v>547</v>
      </c>
      <c r="R386" s="22">
        <v>4307.1499999999996</v>
      </c>
      <c r="S386" s="22" t="str">
        <f t="shared" si="100"/>
        <v>USD</v>
      </c>
      <c r="T386" s="22">
        <f t="shared" si="101"/>
        <v>4307.1499999999996</v>
      </c>
      <c r="U386" s="28">
        <v>400</v>
      </c>
      <c r="W386" s="9">
        <v>288</v>
      </c>
      <c r="X386" s="9" t="s">
        <v>29</v>
      </c>
      <c r="AF386">
        <v>404</v>
      </c>
      <c r="AG386" t="s">
        <v>28</v>
      </c>
      <c r="AH386">
        <v>10352</v>
      </c>
      <c r="AI386" s="7">
        <v>45814</v>
      </c>
    </row>
    <row r="387" spans="1:35">
      <c r="A387">
        <v>420</v>
      </c>
      <c r="B387" t="str">
        <f t="shared" ref="B387:B450" si="102">_xlfn.XLOOKUP(A387,AF:AF,AG:AG)</f>
        <v>USD</v>
      </c>
      <c r="C387">
        <f t="shared" ref="C387:C450" si="103">_xlfn.XLOOKUP(A387,AF:AF,AH:AH)-_xlfn.XLOOKUP(A387,Q:Q,R:R,"0")</f>
        <v>0</v>
      </c>
      <c r="D387">
        <f>C387*_xlfn.XLOOKUP(B387,AM:AM,AN:AN)</f>
        <v>0</v>
      </c>
      <c r="E387">
        <f>C387*_xlfn.XLOOKUP(B387,AM:AM,AO:AO)</f>
        <v>0</v>
      </c>
      <c r="F387">
        <v>3600</v>
      </c>
      <c r="G387">
        <f>F387*_xlfn.XLOOKUP(B387,AM:AM,AN:AN)</f>
        <v>3096</v>
      </c>
      <c r="H387">
        <f>F387*_xlfn.XLOOKUP(B387,AM:AM,AO:AO)</f>
        <v>3600</v>
      </c>
      <c r="I387">
        <f t="shared" ref="I387:I450" si="104">C387-F387+_xlfn.XLOOKUP(A387,Q:Q,R:R,"0")-_xlfn.XLOOKUP(A387,Z:Z,AA:AA,"0")</f>
        <v>0</v>
      </c>
      <c r="J387">
        <f>I387*_xlfn.XLOOKUP(B387,AM:AM,AO:AO)</f>
        <v>0</v>
      </c>
      <c r="K387" s="7">
        <f t="shared" ref="K387:K450" si="105">_xlfn.XLOOKUP(A387,AF:AF,AI:AI)</f>
        <v>45938</v>
      </c>
      <c r="L387" s="7">
        <f t="shared" ref="L387:L450" si="106">K387-30</f>
        <v>45908</v>
      </c>
      <c r="M387">
        <f t="shared" ref="M387:M450" si="107">MONTH(L387)</f>
        <v>9</v>
      </c>
      <c r="N387">
        <f t="shared" ref="N387:N450" si="108">YEAR(L387)</f>
        <v>2025</v>
      </c>
      <c r="Q387" s="22">
        <v>548</v>
      </c>
      <c r="R387" s="22">
        <v>62135</v>
      </c>
      <c r="S387" s="22" t="str">
        <f t="shared" ref="S387:S450" si="109">_xlfn.XLOOKUP(Q387,W:W,X:X)</f>
        <v>EUR</v>
      </c>
      <c r="T387" s="22">
        <f t="shared" si="101"/>
        <v>72076.599999999991</v>
      </c>
      <c r="U387" s="28">
        <v>400</v>
      </c>
      <c r="W387" s="9">
        <v>288</v>
      </c>
      <c r="X387" s="9" t="s">
        <v>29</v>
      </c>
      <c r="AF387">
        <v>405</v>
      </c>
      <c r="AG387" t="s">
        <v>28</v>
      </c>
      <c r="AH387">
        <v>13313</v>
      </c>
      <c r="AI387" s="7">
        <v>45873</v>
      </c>
    </row>
    <row r="388" spans="1:35">
      <c r="A388">
        <v>421</v>
      </c>
      <c r="B388" t="str">
        <f t="shared" si="102"/>
        <v>USD</v>
      </c>
      <c r="C388">
        <f t="shared" si="103"/>
        <v>17962.830000000002</v>
      </c>
      <c r="D388">
        <f>C388*_xlfn.XLOOKUP(B388,AM:AM,AN:AN)</f>
        <v>15448.033800000001</v>
      </c>
      <c r="E388">
        <f>C388*_xlfn.XLOOKUP(B388,AM:AM,AO:AO)</f>
        <v>17962.830000000002</v>
      </c>
      <c r="F388">
        <v>17962.830000000002</v>
      </c>
      <c r="G388">
        <f>F388*_xlfn.XLOOKUP(B388,AM:AM,AN:AN)</f>
        <v>15448.033800000001</v>
      </c>
      <c r="H388">
        <f>F388*_xlfn.XLOOKUP(B388,AM:AM,AO:AO)</f>
        <v>17962.830000000002</v>
      </c>
      <c r="I388">
        <f t="shared" si="104"/>
        <v>0</v>
      </c>
      <c r="J388">
        <f>I388*_xlfn.XLOOKUP(B388,AM:AM,AO:AO)</f>
        <v>0</v>
      </c>
      <c r="K388" s="7">
        <f t="shared" si="105"/>
        <v>45861</v>
      </c>
      <c r="L388" s="7">
        <f t="shared" si="106"/>
        <v>45831</v>
      </c>
      <c r="M388">
        <f t="shared" si="107"/>
        <v>6</v>
      </c>
      <c r="N388">
        <f t="shared" si="108"/>
        <v>2025</v>
      </c>
      <c r="Q388" s="22">
        <v>549</v>
      </c>
      <c r="R388" s="22">
        <v>32910</v>
      </c>
      <c r="S388" s="22" t="str">
        <f t="shared" si="109"/>
        <v>CHF</v>
      </c>
      <c r="T388" s="22">
        <f t="shared" si="101"/>
        <v>41137.5</v>
      </c>
      <c r="U388" s="28">
        <v>400</v>
      </c>
      <c r="W388" s="9">
        <v>288</v>
      </c>
      <c r="X388" s="9" t="s">
        <v>29</v>
      </c>
      <c r="AF388">
        <v>406</v>
      </c>
      <c r="AG388" t="s">
        <v>29</v>
      </c>
      <c r="AH388">
        <v>29857.7</v>
      </c>
      <c r="AI388" s="7">
        <v>45825</v>
      </c>
    </row>
    <row r="389" spans="1:35">
      <c r="A389">
        <v>422</v>
      </c>
      <c r="B389" t="str">
        <f t="shared" si="102"/>
        <v>EUR</v>
      </c>
      <c r="C389">
        <f t="shared" si="103"/>
        <v>0</v>
      </c>
      <c r="D389">
        <f>C389*_xlfn.XLOOKUP(B389,AM:AM,AN:AN)</f>
        <v>0</v>
      </c>
      <c r="E389">
        <f>C389*_xlfn.XLOOKUP(B389,AM:AM,AO:AO)</f>
        <v>0</v>
      </c>
      <c r="F389">
        <v>1788.96</v>
      </c>
      <c r="G389">
        <f>F389*_xlfn.XLOOKUP(B389,AM:AM,AN:AN)</f>
        <v>1788.96</v>
      </c>
      <c r="H389">
        <f>F389*_xlfn.XLOOKUP(B389,AM:AM,AO:AO)</f>
        <v>2075.1936000000001</v>
      </c>
      <c r="I389">
        <f t="shared" si="104"/>
        <v>0</v>
      </c>
      <c r="J389">
        <f>I389*_xlfn.XLOOKUP(B389,AM:AM,AO:AO)</f>
        <v>0</v>
      </c>
      <c r="K389" s="7">
        <f t="shared" si="105"/>
        <v>45840</v>
      </c>
      <c r="L389" s="7">
        <f t="shared" si="106"/>
        <v>45810</v>
      </c>
      <c r="M389">
        <f t="shared" si="107"/>
        <v>6</v>
      </c>
      <c r="N389">
        <f t="shared" si="108"/>
        <v>2025</v>
      </c>
      <c r="Q389" s="22">
        <v>550</v>
      </c>
      <c r="R389" s="22">
        <v>43995.07</v>
      </c>
      <c r="S389" s="22" t="str">
        <f t="shared" si="109"/>
        <v>USD</v>
      </c>
      <c r="T389" s="22">
        <f t="shared" si="101"/>
        <v>43995.07</v>
      </c>
      <c r="U389" s="28">
        <v>400</v>
      </c>
      <c r="W389" s="9">
        <v>292</v>
      </c>
      <c r="X389" s="9" t="s">
        <v>27</v>
      </c>
      <c r="AF389">
        <v>407</v>
      </c>
      <c r="AG389" t="s">
        <v>29</v>
      </c>
      <c r="AH389">
        <v>13395.02</v>
      </c>
      <c r="AI389" s="7">
        <v>45814</v>
      </c>
    </row>
    <row r="390" spans="1:35">
      <c r="A390">
        <v>423</v>
      </c>
      <c r="B390" t="str">
        <f t="shared" si="102"/>
        <v>USD</v>
      </c>
      <c r="C390">
        <f t="shared" si="103"/>
        <v>3657.6</v>
      </c>
      <c r="D390">
        <f>C390*_xlfn.XLOOKUP(B390,AM:AM,AN:AN)</f>
        <v>3145.5360000000001</v>
      </c>
      <c r="E390">
        <f>C390*_xlfn.XLOOKUP(B390,AM:AM,AO:AO)</f>
        <v>3657.6</v>
      </c>
      <c r="F390">
        <v>3667.15</v>
      </c>
      <c r="G390">
        <f>F390*_xlfn.XLOOKUP(B390,AM:AM,AN:AN)</f>
        <v>3153.7490000000003</v>
      </c>
      <c r="H390">
        <f>F390*_xlfn.XLOOKUP(B390,AM:AM,AO:AO)</f>
        <v>3667.15</v>
      </c>
      <c r="I390">
        <f t="shared" si="104"/>
        <v>-9.5500000000001819</v>
      </c>
      <c r="J390">
        <f>I390*_xlfn.XLOOKUP(B390,AM:AM,AO:AO)</f>
        <v>-9.5500000000001819</v>
      </c>
      <c r="K390" s="7">
        <f t="shared" si="105"/>
        <v>45847</v>
      </c>
      <c r="L390" s="7">
        <f t="shared" si="106"/>
        <v>45817</v>
      </c>
      <c r="M390">
        <f t="shared" si="107"/>
        <v>6</v>
      </c>
      <c r="N390">
        <f t="shared" si="108"/>
        <v>2025</v>
      </c>
      <c r="Q390" s="22">
        <v>551</v>
      </c>
      <c r="R390" s="22">
        <v>50478</v>
      </c>
      <c r="S390" s="22" t="str">
        <f t="shared" si="109"/>
        <v>MXN</v>
      </c>
      <c r="T390" s="22">
        <f t="shared" si="101"/>
        <v>2826.768</v>
      </c>
      <c r="U390" s="28">
        <v>400</v>
      </c>
      <c r="W390" s="9">
        <v>295</v>
      </c>
      <c r="X390" s="9" t="s">
        <v>29</v>
      </c>
      <c r="AF390">
        <v>408</v>
      </c>
      <c r="AG390" t="s">
        <v>28</v>
      </c>
      <c r="AH390">
        <v>163648.45000000001</v>
      </c>
      <c r="AI390" s="7">
        <v>45873</v>
      </c>
    </row>
    <row r="391" spans="1:35">
      <c r="A391">
        <v>424</v>
      </c>
      <c r="B391" t="str">
        <f t="shared" si="102"/>
        <v>EUR</v>
      </c>
      <c r="C391">
        <f t="shared" si="103"/>
        <v>0</v>
      </c>
      <c r="D391">
        <f>C391*_xlfn.XLOOKUP(B391,AM:AM,AN:AN)</f>
        <v>0</v>
      </c>
      <c r="E391">
        <f>C391*_xlfn.XLOOKUP(B391,AM:AM,AO:AO)</f>
        <v>0</v>
      </c>
      <c r="F391">
        <v>130395.5</v>
      </c>
      <c r="G391">
        <f>F391*_xlfn.XLOOKUP(B391,AM:AM,AN:AN)</f>
        <v>130395.5</v>
      </c>
      <c r="H391">
        <f>F391*_xlfn.XLOOKUP(B391,AM:AM,AO:AO)</f>
        <v>151258.78</v>
      </c>
      <c r="I391">
        <f t="shared" si="104"/>
        <v>0</v>
      </c>
      <c r="J391">
        <f>I391*_xlfn.XLOOKUP(B391,AM:AM,AO:AO)</f>
        <v>0</v>
      </c>
      <c r="K391" s="7">
        <f t="shared" si="105"/>
        <v>45897</v>
      </c>
      <c r="L391" s="7">
        <f t="shared" si="106"/>
        <v>45867</v>
      </c>
      <c r="M391">
        <f t="shared" si="107"/>
        <v>7</v>
      </c>
      <c r="N391">
        <f t="shared" si="108"/>
        <v>2025</v>
      </c>
      <c r="Q391" s="22">
        <v>552</v>
      </c>
      <c r="R391" s="22">
        <v>20696.18</v>
      </c>
      <c r="S391" s="22" t="str">
        <f t="shared" si="109"/>
        <v>USD</v>
      </c>
      <c r="T391" s="22">
        <f t="shared" si="101"/>
        <v>20696.18</v>
      </c>
      <c r="U391" s="28">
        <v>400</v>
      </c>
      <c r="W391" s="9">
        <v>295</v>
      </c>
      <c r="X391" s="9" t="s">
        <v>29</v>
      </c>
      <c r="AF391">
        <v>409</v>
      </c>
      <c r="AG391" t="s">
        <v>29</v>
      </c>
      <c r="AH391">
        <v>6108.88</v>
      </c>
      <c r="AI391" s="7">
        <v>45854</v>
      </c>
    </row>
    <row r="392" spans="1:35">
      <c r="A392">
        <v>425</v>
      </c>
      <c r="B392" t="str">
        <f t="shared" si="102"/>
        <v>USD</v>
      </c>
      <c r="C392">
        <f t="shared" si="103"/>
        <v>73552.55</v>
      </c>
      <c r="D392">
        <f>C392*_xlfn.XLOOKUP(B392,AM:AM,AN:AN)</f>
        <v>63255.192999999999</v>
      </c>
      <c r="E392">
        <f>C392*_xlfn.XLOOKUP(B392,AM:AM,AO:AO)</f>
        <v>73552.55</v>
      </c>
      <c r="F392">
        <v>73552.55</v>
      </c>
      <c r="G392">
        <f>F392*_xlfn.XLOOKUP(B392,AM:AM,AN:AN)</f>
        <v>63255.192999999999</v>
      </c>
      <c r="H392">
        <f>F392*_xlfn.XLOOKUP(B392,AM:AM,AO:AO)</f>
        <v>73552.55</v>
      </c>
      <c r="I392">
        <f t="shared" si="104"/>
        <v>0</v>
      </c>
      <c r="J392">
        <f>I392*_xlfn.XLOOKUP(B392,AM:AM,AO:AO)</f>
        <v>0</v>
      </c>
      <c r="K392" s="7">
        <f t="shared" si="105"/>
        <v>45943</v>
      </c>
      <c r="L392" s="7">
        <f t="shared" si="106"/>
        <v>45913</v>
      </c>
      <c r="M392">
        <f t="shared" si="107"/>
        <v>9</v>
      </c>
      <c r="N392">
        <f t="shared" si="108"/>
        <v>2025</v>
      </c>
      <c r="Q392" s="22">
        <v>553</v>
      </c>
      <c r="R392" s="22">
        <v>18980</v>
      </c>
      <c r="S392" s="22" t="str">
        <f t="shared" si="109"/>
        <v>EUR</v>
      </c>
      <c r="T392" s="22">
        <f t="shared" si="101"/>
        <v>22016.799999999999</v>
      </c>
      <c r="U392" s="28">
        <v>400</v>
      </c>
      <c r="W392" s="9">
        <v>295</v>
      </c>
      <c r="X392" s="9" t="s">
        <v>29</v>
      </c>
      <c r="AF392">
        <v>410</v>
      </c>
      <c r="AG392" t="s">
        <v>29</v>
      </c>
      <c r="AH392">
        <v>25052.36</v>
      </c>
      <c r="AI392" s="7">
        <v>45864</v>
      </c>
    </row>
    <row r="393" spans="1:35">
      <c r="A393">
        <v>426</v>
      </c>
      <c r="B393" t="str">
        <f t="shared" si="102"/>
        <v>MXN</v>
      </c>
      <c r="C393">
        <f t="shared" si="103"/>
        <v>23777.56</v>
      </c>
      <c r="D393">
        <f>C393*_xlfn.XLOOKUP(B393,AM:AM,AN:AN)</f>
        <v>1141.3228800000002</v>
      </c>
      <c r="E393">
        <f>C393*_xlfn.XLOOKUP(B393,AM:AM,AO:AO)</f>
        <v>1331.5433600000001</v>
      </c>
      <c r="F393">
        <v>23777.56</v>
      </c>
      <c r="G393">
        <f>F393*_xlfn.XLOOKUP(B393,AM:AM,AN:AN)</f>
        <v>1141.3228800000002</v>
      </c>
      <c r="H393">
        <f>F393*_xlfn.XLOOKUP(B393,AM:AM,AO:AO)</f>
        <v>1331.5433600000001</v>
      </c>
      <c r="I393">
        <f t="shared" si="104"/>
        <v>0</v>
      </c>
      <c r="J393">
        <f>I393*_xlfn.XLOOKUP(B393,AM:AM,AO:AO)</f>
        <v>0</v>
      </c>
      <c r="K393" s="7">
        <f t="shared" si="105"/>
        <v>45828</v>
      </c>
      <c r="L393" s="7">
        <f t="shared" si="106"/>
        <v>45798</v>
      </c>
      <c r="M393">
        <f t="shared" si="107"/>
        <v>5</v>
      </c>
      <c r="N393">
        <f t="shared" si="108"/>
        <v>2025</v>
      </c>
      <c r="Q393" s="22">
        <v>554</v>
      </c>
      <c r="R393" s="22">
        <v>1613.45</v>
      </c>
      <c r="S393" s="22" t="str">
        <f t="shared" si="109"/>
        <v>USD</v>
      </c>
      <c r="T393" s="22">
        <f t="shared" si="101"/>
        <v>1613.45</v>
      </c>
      <c r="U393" s="28">
        <v>400</v>
      </c>
      <c r="W393" s="9">
        <v>295</v>
      </c>
      <c r="X393" s="9" t="s">
        <v>29</v>
      </c>
      <c r="AF393">
        <v>411</v>
      </c>
      <c r="AG393" t="s">
        <v>29</v>
      </c>
      <c r="AH393">
        <v>4767.8999999999996</v>
      </c>
      <c r="AI393" s="7">
        <v>45825</v>
      </c>
    </row>
    <row r="394" spans="1:35">
      <c r="A394">
        <v>427</v>
      </c>
      <c r="B394" t="str">
        <f t="shared" si="102"/>
        <v>USD</v>
      </c>
      <c r="C394">
        <f t="shared" si="103"/>
        <v>514.29999999999927</v>
      </c>
      <c r="D394">
        <f>C394*_xlfn.XLOOKUP(B394,AM:AM,AN:AN)</f>
        <v>442.29799999999938</v>
      </c>
      <c r="E394">
        <f>C394*_xlfn.XLOOKUP(B394,AM:AM,AO:AO)</f>
        <v>514.29999999999927</v>
      </c>
      <c r="F394">
        <v>14634.54</v>
      </c>
      <c r="G394">
        <f>F394*_xlfn.XLOOKUP(B394,AM:AM,AN:AN)</f>
        <v>12585.704400000001</v>
      </c>
      <c r="H394">
        <f>F394*_xlfn.XLOOKUP(B394,AM:AM,AO:AO)</f>
        <v>14634.54</v>
      </c>
      <c r="I394">
        <f t="shared" si="104"/>
        <v>0</v>
      </c>
      <c r="J394">
        <f>I394*_xlfn.XLOOKUP(B394,AM:AM,AO:AO)</f>
        <v>0</v>
      </c>
      <c r="K394" s="7">
        <f t="shared" si="105"/>
        <v>45667</v>
      </c>
      <c r="L394" s="7">
        <f t="shared" si="106"/>
        <v>45637</v>
      </c>
      <c r="M394">
        <f t="shared" si="107"/>
        <v>12</v>
      </c>
      <c r="N394">
        <f t="shared" si="108"/>
        <v>2024</v>
      </c>
      <c r="Q394" s="22">
        <v>555</v>
      </c>
      <c r="R394" s="22">
        <v>5682</v>
      </c>
      <c r="S394" s="22" t="str">
        <f t="shared" si="109"/>
        <v>USD</v>
      </c>
      <c r="T394" s="22">
        <f t="shared" si="101"/>
        <v>5682</v>
      </c>
      <c r="U394" s="28">
        <v>400</v>
      </c>
      <c r="W394" s="9">
        <v>295</v>
      </c>
      <c r="X394" s="9" t="s">
        <v>29</v>
      </c>
      <c r="AF394">
        <v>412</v>
      </c>
      <c r="AG394" t="s">
        <v>29</v>
      </c>
      <c r="AH394">
        <v>2286.5</v>
      </c>
      <c r="AI394" s="7">
        <v>45783</v>
      </c>
    </row>
    <row r="395" spans="1:35">
      <c r="A395">
        <v>428</v>
      </c>
      <c r="B395" t="str">
        <f t="shared" si="102"/>
        <v>EUR</v>
      </c>
      <c r="C395">
        <f t="shared" si="103"/>
        <v>7346.5</v>
      </c>
      <c r="D395">
        <f>C395*_xlfn.XLOOKUP(B395,AM:AM,AN:AN)</f>
        <v>7346.5</v>
      </c>
      <c r="E395">
        <f>C395*_xlfn.XLOOKUP(B395,AM:AM,AO:AO)</f>
        <v>8521.9399999999987</v>
      </c>
      <c r="F395">
        <v>9708.82</v>
      </c>
      <c r="G395">
        <f>F395*_xlfn.XLOOKUP(B395,AM:AM,AN:AN)</f>
        <v>9708.82</v>
      </c>
      <c r="H395">
        <f>F395*_xlfn.XLOOKUP(B395,AM:AM,AO:AO)</f>
        <v>11262.231199999998</v>
      </c>
      <c r="I395">
        <f t="shared" si="104"/>
        <v>0</v>
      </c>
      <c r="J395">
        <f>I395*_xlfn.XLOOKUP(B395,AM:AM,AO:AO)</f>
        <v>0</v>
      </c>
      <c r="K395" s="7">
        <f t="shared" si="105"/>
        <v>45928</v>
      </c>
      <c r="L395" s="7">
        <f t="shared" si="106"/>
        <v>45898</v>
      </c>
      <c r="M395">
        <f t="shared" si="107"/>
        <v>8</v>
      </c>
      <c r="N395">
        <f t="shared" si="108"/>
        <v>2025</v>
      </c>
      <c r="Q395" s="22">
        <v>557</v>
      </c>
      <c r="R395" s="22">
        <v>8329.1899999999987</v>
      </c>
      <c r="S395" s="22" t="str">
        <f t="shared" si="109"/>
        <v>USD</v>
      </c>
      <c r="T395" s="22">
        <f t="shared" si="101"/>
        <v>8329.1899999999987</v>
      </c>
      <c r="U395" s="28">
        <v>400</v>
      </c>
      <c r="W395" s="9">
        <v>296</v>
      </c>
      <c r="X395" s="9" t="s">
        <v>29</v>
      </c>
      <c r="AF395">
        <v>413</v>
      </c>
      <c r="AG395" t="s">
        <v>28</v>
      </c>
      <c r="AH395">
        <v>23160</v>
      </c>
      <c r="AI395" s="7">
        <v>45864</v>
      </c>
    </row>
    <row r="396" spans="1:35">
      <c r="A396">
        <v>429</v>
      </c>
      <c r="B396" t="str">
        <f t="shared" si="102"/>
        <v>USD</v>
      </c>
      <c r="C396">
        <f t="shared" si="103"/>
        <v>0</v>
      </c>
      <c r="D396">
        <f>C396*_xlfn.XLOOKUP(B396,AM:AM,AN:AN)</f>
        <v>0</v>
      </c>
      <c r="E396">
        <f>C396*_xlfn.XLOOKUP(B396,AM:AM,AO:AO)</f>
        <v>0</v>
      </c>
      <c r="F396">
        <v>18950.68</v>
      </c>
      <c r="G396">
        <f>F396*_xlfn.XLOOKUP(B396,AM:AM,AN:AN)</f>
        <v>16297.584800000001</v>
      </c>
      <c r="H396">
        <f>F396*_xlfn.XLOOKUP(B396,AM:AM,AO:AO)</f>
        <v>18950.68</v>
      </c>
      <c r="I396">
        <f t="shared" si="104"/>
        <v>0</v>
      </c>
      <c r="J396">
        <f>I396*_xlfn.XLOOKUP(B396,AM:AM,AO:AO)</f>
        <v>0</v>
      </c>
      <c r="K396" s="7">
        <f t="shared" si="105"/>
        <v>45855</v>
      </c>
      <c r="L396" s="7">
        <f t="shared" si="106"/>
        <v>45825</v>
      </c>
      <c r="M396">
        <f t="shared" si="107"/>
        <v>6</v>
      </c>
      <c r="N396">
        <f t="shared" si="108"/>
        <v>2025</v>
      </c>
      <c r="Q396" s="22">
        <v>558</v>
      </c>
      <c r="R396" s="22">
        <v>16034.17</v>
      </c>
      <c r="S396" s="22" t="str">
        <f t="shared" si="109"/>
        <v>USD</v>
      </c>
      <c r="T396" s="22">
        <f t="shared" si="101"/>
        <v>16034.17</v>
      </c>
      <c r="U396" s="28">
        <v>400</v>
      </c>
      <c r="W396" s="9">
        <v>297</v>
      </c>
      <c r="X396" s="9" t="s">
        <v>29</v>
      </c>
      <c r="AF396">
        <v>414</v>
      </c>
      <c r="AG396" t="s">
        <v>29</v>
      </c>
      <c r="AH396">
        <v>9783.3799999999992</v>
      </c>
      <c r="AI396" s="7">
        <v>45817</v>
      </c>
    </row>
    <row r="397" spans="1:35">
      <c r="A397">
        <v>430</v>
      </c>
      <c r="B397" t="str">
        <f t="shared" si="102"/>
        <v>USD</v>
      </c>
      <c r="C397">
        <f t="shared" si="103"/>
        <v>280</v>
      </c>
      <c r="D397">
        <f>C397*_xlfn.XLOOKUP(B397,AM:AM,AN:AN)</f>
        <v>240.79999999999998</v>
      </c>
      <c r="E397">
        <f>C397*_xlfn.XLOOKUP(B397,AM:AM,AO:AO)</f>
        <v>280</v>
      </c>
      <c r="F397">
        <v>39624.06</v>
      </c>
      <c r="G397">
        <f>F397*_xlfn.XLOOKUP(B397,AM:AM,AN:AN)</f>
        <v>34076.691599999998</v>
      </c>
      <c r="H397">
        <f>F397*_xlfn.XLOOKUP(B397,AM:AM,AO:AO)</f>
        <v>39624.06</v>
      </c>
      <c r="I397">
        <f t="shared" si="104"/>
        <v>0</v>
      </c>
      <c r="J397">
        <f>I397*_xlfn.XLOOKUP(B397,AM:AM,AO:AO)</f>
        <v>0</v>
      </c>
      <c r="K397" s="7">
        <f t="shared" si="105"/>
        <v>45875</v>
      </c>
      <c r="L397" s="7">
        <f t="shared" si="106"/>
        <v>45845</v>
      </c>
      <c r="M397">
        <f t="shared" si="107"/>
        <v>7</v>
      </c>
      <c r="N397">
        <f t="shared" si="108"/>
        <v>2025</v>
      </c>
      <c r="Q397" s="22">
        <v>559</v>
      </c>
      <c r="R397" s="22">
        <v>1655.06</v>
      </c>
      <c r="S397" s="22" t="str">
        <f t="shared" si="109"/>
        <v>USD</v>
      </c>
      <c r="T397" s="22">
        <f t="shared" si="101"/>
        <v>1655.06</v>
      </c>
      <c r="U397" s="28">
        <v>400</v>
      </c>
      <c r="W397" s="9">
        <v>297</v>
      </c>
      <c r="X397" s="9" t="s">
        <v>29</v>
      </c>
      <c r="AF397">
        <v>416</v>
      </c>
      <c r="AG397" t="s">
        <v>28</v>
      </c>
      <c r="AH397">
        <v>472374.18</v>
      </c>
      <c r="AI397" s="7">
        <v>45879</v>
      </c>
    </row>
    <row r="398" spans="1:35">
      <c r="A398">
        <v>431</v>
      </c>
      <c r="B398" t="str">
        <f t="shared" si="102"/>
        <v>USD</v>
      </c>
      <c r="C398">
        <f t="shared" si="103"/>
        <v>6740.5700000000033</v>
      </c>
      <c r="D398">
        <f>C398*_xlfn.XLOOKUP(B398,AM:AM,AN:AN)</f>
        <v>5796.8902000000026</v>
      </c>
      <c r="E398">
        <f>C398*_xlfn.XLOOKUP(B398,AM:AM,AO:AO)</f>
        <v>6740.5700000000033</v>
      </c>
      <c r="F398">
        <v>23702.83</v>
      </c>
      <c r="G398">
        <f>F398*_xlfn.XLOOKUP(B398,AM:AM,AN:AN)</f>
        <v>20384.433800000003</v>
      </c>
      <c r="H398">
        <f>F398*_xlfn.XLOOKUP(B398,AM:AM,AO:AO)</f>
        <v>23702.83</v>
      </c>
      <c r="I398">
        <f t="shared" si="104"/>
        <v>0</v>
      </c>
      <c r="J398">
        <f>I398*_xlfn.XLOOKUP(B398,AM:AM,AO:AO)</f>
        <v>0</v>
      </c>
      <c r="K398" s="7">
        <f t="shared" si="105"/>
        <v>45903</v>
      </c>
      <c r="L398" s="7">
        <f t="shared" si="106"/>
        <v>45873</v>
      </c>
      <c r="M398">
        <f t="shared" si="107"/>
        <v>8</v>
      </c>
      <c r="N398">
        <f t="shared" si="108"/>
        <v>2025</v>
      </c>
      <c r="Q398" s="22">
        <v>560</v>
      </c>
      <c r="R398" s="22">
        <v>1725</v>
      </c>
      <c r="S398" s="22" t="str">
        <f t="shared" si="109"/>
        <v>GPB</v>
      </c>
      <c r="T398" s="22">
        <f t="shared" si="101"/>
        <v>2311.5</v>
      </c>
      <c r="U398" s="28">
        <v>400</v>
      </c>
      <c r="W398" s="9">
        <v>298</v>
      </c>
      <c r="X398" s="9" t="s">
        <v>29</v>
      </c>
      <c r="AF398">
        <v>417</v>
      </c>
      <c r="AG398" t="s">
        <v>29</v>
      </c>
      <c r="AH398">
        <v>9035.74</v>
      </c>
      <c r="AI398" s="7">
        <v>45873</v>
      </c>
    </row>
    <row r="399" spans="1:35">
      <c r="A399">
        <v>432</v>
      </c>
      <c r="B399" t="str">
        <f t="shared" si="102"/>
        <v>USD</v>
      </c>
      <c r="C399">
        <f t="shared" si="103"/>
        <v>200</v>
      </c>
      <c r="D399">
        <f>C399*_xlfn.XLOOKUP(B399,AM:AM,AN:AN)</f>
        <v>172</v>
      </c>
      <c r="E399">
        <f>C399*_xlfn.XLOOKUP(B399,AM:AM,AO:AO)</f>
        <v>200</v>
      </c>
      <c r="F399">
        <v>26949.24</v>
      </c>
      <c r="G399">
        <f>F399*_xlfn.XLOOKUP(B399,AM:AM,AN:AN)</f>
        <v>23176.346400000002</v>
      </c>
      <c r="H399">
        <f>F399*_xlfn.XLOOKUP(B399,AM:AM,AO:AO)</f>
        <v>26949.24</v>
      </c>
      <c r="I399">
        <f t="shared" si="104"/>
        <v>0</v>
      </c>
      <c r="J399">
        <f>I399*_xlfn.XLOOKUP(B399,AM:AM,AO:AO)</f>
        <v>0</v>
      </c>
      <c r="K399" s="7">
        <f t="shared" si="105"/>
        <v>45847</v>
      </c>
      <c r="L399" s="7">
        <f t="shared" si="106"/>
        <v>45817</v>
      </c>
      <c r="M399">
        <f t="shared" si="107"/>
        <v>6</v>
      </c>
      <c r="N399">
        <f t="shared" si="108"/>
        <v>2025</v>
      </c>
      <c r="Q399" s="22">
        <v>561</v>
      </c>
      <c r="R399" s="22">
        <v>143996.9</v>
      </c>
      <c r="S399" s="22" t="str">
        <f t="shared" si="109"/>
        <v>MXN</v>
      </c>
      <c r="T399" s="22">
        <f t="shared" si="101"/>
        <v>8063.8263999999999</v>
      </c>
      <c r="U399" s="28">
        <v>400</v>
      </c>
      <c r="W399" s="9">
        <v>299</v>
      </c>
      <c r="X399" s="9" t="s">
        <v>27</v>
      </c>
      <c r="AF399">
        <v>418</v>
      </c>
      <c r="AG399" t="s">
        <v>33</v>
      </c>
      <c r="AH399">
        <v>22353043.399999999</v>
      </c>
      <c r="AI399" s="7">
        <v>45877</v>
      </c>
    </row>
    <row r="400" spans="1:35">
      <c r="A400">
        <v>433</v>
      </c>
      <c r="B400" t="str">
        <f t="shared" si="102"/>
        <v>EUR</v>
      </c>
      <c r="C400">
        <f t="shared" si="103"/>
        <v>2550.5400000000009</v>
      </c>
      <c r="D400">
        <f>C400*_xlfn.XLOOKUP(B400,AM:AM,AN:AN)</f>
        <v>2550.5400000000009</v>
      </c>
      <c r="E400">
        <f>C400*_xlfn.XLOOKUP(B400,AM:AM,AO:AO)</f>
        <v>2958.626400000001</v>
      </c>
      <c r="F400">
        <v>13377.54</v>
      </c>
      <c r="G400">
        <f>F400*_xlfn.XLOOKUP(B400,AM:AM,AN:AN)</f>
        <v>13377.54</v>
      </c>
      <c r="H400">
        <f>F400*_xlfn.XLOOKUP(B400,AM:AM,AO:AO)</f>
        <v>15517.946400000001</v>
      </c>
      <c r="I400">
        <f t="shared" si="104"/>
        <v>0</v>
      </c>
      <c r="J400">
        <f>I400*_xlfn.XLOOKUP(B400,AM:AM,AO:AO)</f>
        <v>0</v>
      </c>
      <c r="K400" s="7">
        <f t="shared" si="105"/>
        <v>45848</v>
      </c>
      <c r="L400" s="7">
        <f t="shared" si="106"/>
        <v>45818</v>
      </c>
      <c r="M400">
        <f t="shared" si="107"/>
        <v>6</v>
      </c>
      <c r="N400">
        <f t="shared" si="108"/>
        <v>2025</v>
      </c>
      <c r="Q400" s="22">
        <v>562</v>
      </c>
      <c r="R400" s="22">
        <v>2837.24</v>
      </c>
      <c r="S400" s="22" t="str">
        <f t="shared" si="109"/>
        <v>USD</v>
      </c>
      <c r="T400" s="22">
        <f t="shared" si="101"/>
        <v>2837.24</v>
      </c>
      <c r="U400" s="28">
        <v>400</v>
      </c>
      <c r="W400" s="9">
        <v>300</v>
      </c>
      <c r="X400" s="9" t="s">
        <v>29</v>
      </c>
      <c r="AF400">
        <v>419</v>
      </c>
      <c r="AG400" t="s">
        <v>29</v>
      </c>
      <c r="AH400">
        <v>8822</v>
      </c>
      <c r="AI400" s="7">
        <v>45828</v>
      </c>
    </row>
    <row r="401" spans="1:35">
      <c r="A401">
        <v>434</v>
      </c>
      <c r="B401" t="str">
        <f t="shared" si="102"/>
        <v>GPB</v>
      </c>
      <c r="C401">
        <f t="shared" si="103"/>
        <v>0</v>
      </c>
      <c r="D401">
        <f>C401*_xlfn.XLOOKUP(B401,AM:AM,AN:AN)</f>
        <v>0</v>
      </c>
      <c r="E401">
        <f>C401*_xlfn.XLOOKUP(B401,AM:AM,AO:AO)</f>
        <v>0</v>
      </c>
      <c r="F401">
        <v>1445</v>
      </c>
      <c r="G401">
        <f>F401*_xlfn.XLOOKUP(B401,AM:AM,AN:AN)</f>
        <v>1661.7499999999998</v>
      </c>
      <c r="H401">
        <f>F401*_xlfn.XLOOKUP(B401,AM:AM,AO:AO)</f>
        <v>1936.3000000000002</v>
      </c>
      <c r="I401">
        <f t="shared" si="104"/>
        <v>0</v>
      </c>
      <c r="J401">
        <f>I401*_xlfn.XLOOKUP(B401,AM:AM,AO:AO)</f>
        <v>0</v>
      </c>
      <c r="K401" s="7">
        <f t="shared" si="105"/>
        <v>45826</v>
      </c>
      <c r="L401" s="7">
        <f t="shared" si="106"/>
        <v>45796</v>
      </c>
      <c r="M401">
        <f t="shared" si="107"/>
        <v>5</v>
      </c>
      <c r="N401">
        <f t="shared" si="108"/>
        <v>2025</v>
      </c>
      <c r="Q401" s="22">
        <v>563</v>
      </c>
      <c r="R401" s="22">
        <v>8838.5600000000013</v>
      </c>
      <c r="S401" s="22" t="str">
        <f t="shared" si="109"/>
        <v>USD</v>
      </c>
      <c r="T401" s="22">
        <f t="shared" si="101"/>
        <v>8838.5600000000013</v>
      </c>
      <c r="U401" s="28">
        <v>400</v>
      </c>
      <c r="W401" s="9">
        <v>300</v>
      </c>
      <c r="X401" s="9" t="s">
        <v>29</v>
      </c>
      <c r="AF401">
        <v>420</v>
      </c>
      <c r="AG401" t="s">
        <v>29</v>
      </c>
      <c r="AH401">
        <v>3600</v>
      </c>
      <c r="AI401" s="7">
        <v>45938</v>
      </c>
    </row>
    <row r="402" spans="1:35">
      <c r="A402">
        <v>435</v>
      </c>
      <c r="B402" t="str">
        <f t="shared" si="102"/>
        <v>USD</v>
      </c>
      <c r="C402">
        <f t="shared" si="103"/>
        <v>22831.480000000003</v>
      </c>
      <c r="D402">
        <f>C402*_xlfn.XLOOKUP(B402,AM:AM,AN:AN)</f>
        <v>19635.072800000002</v>
      </c>
      <c r="E402">
        <f>C402*_xlfn.XLOOKUP(B402,AM:AM,AO:AO)</f>
        <v>22831.480000000003</v>
      </c>
      <c r="F402">
        <v>73341.97</v>
      </c>
      <c r="G402">
        <f>F402*_xlfn.XLOOKUP(B402,AM:AM,AN:AN)</f>
        <v>63074.0942</v>
      </c>
      <c r="H402">
        <f>F402*_xlfn.XLOOKUP(B402,AM:AM,AO:AO)</f>
        <v>73341.97</v>
      </c>
      <c r="I402">
        <f t="shared" si="104"/>
        <v>0</v>
      </c>
      <c r="J402">
        <f>I402*_xlfn.XLOOKUP(B402,AM:AM,AO:AO)</f>
        <v>0</v>
      </c>
      <c r="K402" s="7">
        <f t="shared" si="105"/>
        <v>45848</v>
      </c>
      <c r="L402" s="7">
        <f t="shared" si="106"/>
        <v>45818</v>
      </c>
      <c r="M402">
        <f t="shared" si="107"/>
        <v>6</v>
      </c>
      <c r="N402">
        <f t="shared" si="108"/>
        <v>2025</v>
      </c>
      <c r="Q402" s="22">
        <v>564</v>
      </c>
      <c r="R402" s="22">
        <v>1033.73</v>
      </c>
      <c r="S402" s="22" t="str">
        <f t="shared" si="109"/>
        <v>USD</v>
      </c>
      <c r="T402" s="22">
        <f t="shared" ref="T402:T465" si="110">R402*_xlfn.XLOOKUP(S402,AM:AM,AO:AO)</f>
        <v>1033.73</v>
      </c>
      <c r="U402" s="28">
        <v>400</v>
      </c>
      <c r="W402" s="9">
        <v>300</v>
      </c>
      <c r="X402" s="9" t="s">
        <v>29</v>
      </c>
      <c r="AF402">
        <v>421</v>
      </c>
      <c r="AG402" t="s">
        <v>29</v>
      </c>
      <c r="AH402">
        <v>17962.830000000002</v>
      </c>
      <c r="AI402" s="7">
        <v>45861</v>
      </c>
    </row>
    <row r="403" spans="1:35">
      <c r="A403">
        <v>436</v>
      </c>
      <c r="B403" t="str">
        <f t="shared" si="102"/>
        <v>MXN</v>
      </c>
      <c r="C403">
        <f t="shared" si="103"/>
        <v>0</v>
      </c>
      <c r="D403">
        <f>C403*_xlfn.XLOOKUP(B403,AM:AM,AN:AN)</f>
        <v>0</v>
      </c>
      <c r="E403">
        <f>C403*_xlfn.XLOOKUP(B403,AM:AM,AO:AO)</f>
        <v>0</v>
      </c>
      <c r="F403">
        <v>254934</v>
      </c>
      <c r="G403">
        <f>F403*_xlfn.XLOOKUP(B403,AM:AM,AN:AN)</f>
        <v>12236.832</v>
      </c>
      <c r="H403">
        <f>F403*_xlfn.XLOOKUP(B403,AM:AM,AO:AO)</f>
        <v>14276.304</v>
      </c>
      <c r="I403">
        <f t="shared" si="104"/>
        <v>0</v>
      </c>
      <c r="J403">
        <f>I403*_xlfn.XLOOKUP(B403,AM:AM,AO:AO)</f>
        <v>0</v>
      </c>
      <c r="K403" s="7">
        <f t="shared" si="105"/>
        <v>45875</v>
      </c>
      <c r="L403" s="7">
        <f t="shared" si="106"/>
        <v>45845</v>
      </c>
      <c r="M403">
        <f t="shared" si="107"/>
        <v>7</v>
      </c>
      <c r="N403">
        <f t="shared" si="108"/>
        <v>2025</v>
      </c>
      <c r="Q403" s="22">
        <v>566</v>
      </c>
      <c r="R403" s="22">
        <v>19283.900000000001</v>
      </c>
      <c r="S403" s="22" t="str">
        <f t="shared" si="109"/>
        <v>MXN</v>
      </c>
      <c r="T403" s="22">
        <f t="shared" si="110"/>
        <v>1079.8984</v>
      </c>
      <c r="U403" s="28">
        <v>400</v>
      </c>
      <c r="W403" s="9">
        <v>300</v>
      </c>
      <c r="X403" s="9" t="s">
        <v>29</v>
      </c>
      <c r="AF403">
        <v>422</v>
      </c>
      <c r="AG403" t="s">
        <v>27</v>
      </c>
      <c r="AH403">
        <v>1788.96</v>
      </c>
      <c r="AI403" s="7">
        <v>45840</v>
      </c>
    </row>
    <row r="404" spans="1:35">
      <c r="A404">
        <v>437</v>
      </c>
      <c r="B404" t="str">
        <f t="shared" si="102"/>
        <v>EUR</v>
      </c>
      <c r="C404">
        <f t="shared" si="103"/>
        <v>40760.35</v>
      </c>
      <c r="D404">
        <f>C404*_xlfn.XLOOKUP(B404,AM:AM,AN:AN)</f>
        <v>40760.35</v>
      </c>
      <c r="E404">
        <f>C404*_xlfn.XLOOKUP(B404,AM:AM,AO:AO)</f>
        <v>47282.005999999994</v>
      </c>
      <c r="F404">
        <v>40897.86</v>
      </c>
      <c r="G404">
        <f>F404*_xlfn.XLOOKUP(B404,AM:AM,AN:AN)</f>
        <v>40897.86</v>
      </c>
      <c r="H404">
        <f>F404*_xlfn.XLOOKUP(B404,AM:AM,AO:AO)</f>
        <v>47441.517599999999</v>
      </c>
      <c r="I404">
        <f t="shared" si="104"/>
        <v>-2.0463630789890885E-12</v>
      </c>
      <c r="J404">
        <f>I404*_xlfn.XLOOKUP(B404,AM:AM,AO:AO)</f>
        <v>-2.3737811716273426E-12</v>
      </c>
      <c r="K404" s="7">
        <f t="shared" si="105"/>
        <v>45876</v>
      </c>
      <c r="L404" s="7">
        <f t="shared" si="106"/>
        <v>45846</v>
      </c>
      <c r="M404">
        <f t="shared" si="107"/>
        <v>7</v>
      </c>
      <c r="N404">
        <f t="shared" si="108"/>
        <v>2025</v>
      </c>
      <c r="Q404" s="22">
        <v>567</v>
      </c>
      <c r="R404" s="22">
        <v>713.63</v>
      </c>
      <c r="S404" s="22" t="str">
        <f t="shared" si="109"/>
        <v>USD</v>
      </c>
      <c r="T404" s="22">
        <f t="shared" si="110"/>
        <v>713.63</v>
      </c>
      <c r="U404" s="28">
        <v>400</v>
      </c>
      <c r="W404" s="9">
        <v>300</v>
      </c>
      <c r="X404" s="9" t="s">
        <v>29</v>
      </c>
      <c r="AF404">
        <v>423</v>
      </c>
      <c r="AG404" t="s">
        <v>29</v>
      </c>
      <c r="AH404">
        <v>3657.6</v>
      </c>
      <c r="AI404" s="7">
        <v>45847</v>
      </c>
    </row>
    <row r="405" spans="1:35">
      <c r="A405">
        <v>438</v>
      </c>
      <c r="B405" t="str">
        <f t="shared" si="102"/>
        <v>USD</v>
      </c>
      <c r="C405">
        <f t="shared" si="103"/>
        <v>12177.42</v>
      </c>
      <c r="D405">
        <f>C405*_xlfn.XLOOKUP(B405,AM:AM,AN:AN)</f>
        <v>10472.581200000001</v>
      </c>
      <c r="E405">
        <f>C405*_xlfn.XLOOKUP(B405,AM:AM,AO:AO)</f>
        <v>12177.42</v>
      </c>
      <c r="F405">
        <v>12177.42</v>
      </c>
      <c r="G405">
        <f>F405*_xlfn.XLOOKUP(B405,AM:AM,AN:AN)</f>
        <v>10472.581200000001</v>
      </c>
      <c r="H405">
        <f>F405*_xlfn.XLOOKUP(B405,AM:AM,AO:AO)</f>
        <v>12177.42</v>
      </c>
      <c r="I405">
        <f t="shared" si="104"/>
        <v>0</v>
      </c>
      <c r="J405">
        <f>I405*_xlfn.XLOOKUP(B405,AM:AM,AO:AO)</f>
        <v>0</v>
      </c>
      <c r="K405" s="7">
        <f t="shared" si="105"/>
        <v>45845</v>
      </c>
      <c r="L405" s="7">
        <f t="shared" si="106"/>
        <v>45815</v>
      </c>
      <c r="M405">
        <f t="shared" si="107"/>
        <v>6</v>
      </c>
      <c r="N405">
        <f t="shared" si="108"/>
        <v>2025</v>
      </c>
      <c r="Q405" s="22">
        <v>568</v>
      </c>
      <c r="R405" s="22">
        <v>2700</v>
      </c>
      <c r="S405" s="22" t="str">
        <f t="shared" si="109"/>
        <v>GPB</v>
      </c>
      <c r="T405" s="22">
        <f t="shared" si="110"/>
        <v>3618</v>
      </c>
      <c r="U405" s="28">
        <v>400</v>
      </c>
      <c r="W405" s="9">
        <v>300</v>
      </c>
      <c r="X405" s="9" t="s">
        <v>29</v>
      </c>
      <c r="AF405">
        <v>424</v>
      </c>
      <c r="AG405" t="s">
        <v>27</v>
      </c>
      <c r="AH405">
        <v>130395.5</v>
      </c>
      <c r="AI405" s="7">
        <v>45897</v>
      </c>
    </row>
    <row r="406" spans="1:35">
      <c r="A406">
        <v>439</v>
      </c>
      <c r="B406" t="str">
        <f t="shared" si="102"/>
        <v>USD</v>
      </c>
      <c r="C406">
        <f t="shared" si="103"/>
        <v>8130.05</v>
      </c>
      <c r="D406">
        <f>C406*_xlfn.XLOOKUP(B406,AM:AM,AN:AN)</f>
        <v>6991.8429999999998</v>
      </c>
      <c r="E406">
        <f>C406*_xlfn.XLOOKUP(B406,AM:AM,AO:AO)</f>
        <v>8130.05</v>
      </c>
      <c r="F406">
        <v>2379.69</v>
      </c>
      <c r="G406">
        <f>F406*_xlfn.XLOOKUP(B406,AM:AM,AN:AN)</f>
        <v>2046.5334</v>
      </c>
      <c r="H406">
        <f>F406*_xlfn.XLOOKUP(B406,AM:AM,AO:AO)</f>
        <v>2379.69</v>
      </c>
      <c r="I406">
        <f t="shared" si="104"/>
        <v>5750.3600000000006</v>
      </c>
      <c r="J406">
        <f>I406*_xlfn.XLOOKUP(B406,AM:AM,AO:AO)</f>
        <v>5750.3600000000006</v>
      </c>
      <c r="K406" s="7">
        <f t="shared" si="105"/>
        <v>45908</v>
      </c>
      <c r="L406" s="7">
        <f t="shared" si="106"/>
        <v>45878</v>
      </c>
      <c r="M406">
        <f t="shared" si="107"/>
        <v>8</v>
      </c>
      <c r="N406">
        <f t="shared" si="108"/>
        <v>2025</v>
      </c>
      <c r="Q406" s="22">
        <v>570</v>
      </c>
      <c r="R406" s="22">
        <v>2504</v>
      </c>
      <c r="S406" s="22" t="str">
        <f t="shared" si="109"/>
        <v>GBP</v>
      </c>
      <c r="T406" s="22">
        <f t="shared" si="110"/>
        <v>3355.36</v>
      </c>
      <c r="U406" s="28">
        <v>400</v>
      </c>
      <c r="W406" s="9">
        <v>300</v>
      </c>
      <c r="X406" s="9" t="s">
        <v>29</v>
      </c>
      <c r="AF406">
        <v>425</v>
      </c>
      <c r="AG406" t="s">
        <v>29</v>
      </c>
      <c r="AH406">
        <v>73552.55</v>
      </c>
      <c r="AI406" s="7">
        <v>45943</v>
      </c>
    </row>
    <row r="407" spans="1:35">
      <c r="A407">
        <v>440</v>
      </c>
      <c r="B407" t="str">
        <f t="shared" si="102"/>
        <v>MXN</v>
      </c>
      <c r="C407">
        <f t="shared" si="103"/>
        <v>1792979.16</v>
      </c>
      <c r="D407">
        <f>C407*_xlfn.XLOOKUP(B407,AM:AM,AN:AN)</f>
        <v>86062.999679999994</v>
      </c>
      <c r="E407">
        <f>C407*_xlfn.XLOOKUP(B407,AM:AM,AO:AO)</f>
        <v>100406.83296</v>
      </c>
      <c r="F407">
        <v>2048584.48</v>
      </c>
      <c r="G407">
        <f>F407*_xlfn.XLOOKUP(B407,AM:AM,AN:AN)</f>
        <v>98332.055040000007</v>
      </c>
      <c r="H407">
        <f>F407*_xlfn.XLOOKUP(B407,AM:AM,AO:AO)</f>
        <v>114720.73088</v>
      </c>
      <c r="I407">
        <f t="shared" si="104"/>
        <v>-5.8207660913467407E-11</v>
      </c>
      <c r="J407">
        <f>I407*_xlfn.XLOOKUP(B407,AM:AM,AO:AO)</f>
        <v>-3.2596290111541749E-12</v>
      </c>
      <c r="K407" s="7">
        <f t="shared" si="105"/>
        <v>45951</v>
      </c>
      <c r="L407" s="7">
        <f t="shared" si="106"/>
        <v>45921</v>
      </c>
      <c r="M407">
        <f t="shared" si="107"/>
        <v>9</v>
      </c>
      <c r="N407">
        <f t="shared" si="108"/>
        <v>2025</v>
      </c>
      <c r="Q407" s="22">
        <v>571</v>
      </c>
      <c r="R407" s="22">
        <v>11942</v>
      </c>
      <c r="S407" s="22" t="str">
        <f t="shared" si="109"/>
        <v>MXN</v>
      </c>
      <c r="T407" s="22">
        <f t="shared" si="110"/>
        <v>668.75200000000007</v>
      </c>
      <c r="U407" s="28">
        <v>400</v>
      </c>
      <c r="W407" s="9">
        <v>302</v>
      </c>
      <c r="X407" s="9" t="s">
        <v>29</v>
      </c>
      <c r="AF407">
        <v>426</v>
      </c>
      <c r="AG407" t="s">
        <v>28</v>
      </c>
      <c r="AH407">
        <v>23777.56</v>
      </c>
      <c r="AI407" s="7">
        <v>45828</v>
      </c>
    </row>
    <row r="408" spans="1:35">
      <c r="A408">
        <v>441</v>
      </c>
      <c r="B408" t="str">
        <f t="shared" si="102"/>
        <v>USD</v>
      </c>
      <c r="C408">
        <f t="shared" si="103"/>
        <v>2363.8000000000002</v>
      </c>
      <c r="D408">
        <f>C408*_xlfn.XLOOKUP(B408,AM:AM,AN:AN)</f>
        <v>2032.8680000000002</v>
      </c>
      <c r="E408">
        <f>C408*_xlfn.XLOOKUP(B408,AM:AM,AO:AO)</f>
        <v>2363.8000000000002</v>
      </c>
      <c r="F408">
        <v>2363.8000000000002</v>
      </c>
      <c r="G408">
        <f>F408*_xlfn.XLOOKUP(B408,AM:AM,AN:AN)</f>
        <v>2032.8680000000002</v>
      </c>
      <c r="H408">
        <f>F408*_xlfn.XLOOKUP(B408,AM:AM,AO:AO)</f>
        <v>2363.8000000000002</v>
      </c>
      <c r="I408">
        <f t="shared" si="104"/>
        <v>0</v>
      </c>
      <c r="J408">
        <f>I408*_xlfn.XLOOKUP(B408,AM:AM,AO:AO)</f>
        <v>0</v>
      </c>
      <c r="K408" s="7">
        <f t="shared" si="105"/>
        <v>45828</v>
      </c>
      <c r="L408" s="7">
        <f t="shared" si="106"/>
        <v>45798</v>
      </c>
      <c r="M408">
        <f t="shared" si="107"/>
        <v>5</v>
      </c>
      <c r="N408">
        <f t="shared" si="108"/>
        <v>2025</v>
      </c>
      <c r="Q408" s="22">
        <v>572</v>
      </c>
      <c r="R408" s="22">
        <v>10105.09</v>
      </c>
      <c r="S408" s="22" t="str">
        <f t="shared" si="109"/>
        <v>USD</v>
      </c>
      <c r="T408" s="22">
        <f t="shared" si="110"/>
        <v>10105.09</v>
      </c>
      <c r="U408" s="28">
        <v>400</v>
      </c>
      <c r="W408" s="9">
        <v>305</v>
      </c>
      <c r="X408" s="9" t="s">
        <v>29</v>
      </c>
      <c r="AF408">
        <v>427</v>
      </c>
      <c r="AG408" t="s">
        <v>29</v>
      </c>
      <c r="AH408">
        <v>14634.54</v>
      </c>
      <c r="AI408" s="7">
        <v>45667</v>
      </c>
    </row>
    <row r="409" spans="1:35">
      <c r="A409">
        <v>442</v>
      </c>
      <c r="B409" t="str">
        <f t="shared" si="102"/>
        <v>EUR</v>
      </c>
      <c r="C409">
        <f t="shared" si="103"/>
        <v>672.41</v>
      </c>
      <c r="D409">
        <f>C409*_xlfn.XLOOKUP(B409,AM:AM,AN:AN)</f>
        <v>672.41</v>
      </c>
      <c r="E409">
        <f>C409*_xlfn.XLOOKUP(B409,AM:AM,AO:AO)</f>
        <v>779.99559999999985</v>
      </c>
      <c r="F409">
        <v>672.41</v>
      </c>
      <c r="G409">
        <f>F409*_xlfn.XLOOKUP(B409,AM:AM,AN:AN)</f>
        <v>672.41</v>
      </c>
      <c r="H409">
        <f>F409*_xlfn.XLOOKUP(B409,AM:AM,AO:AO)</f>
        <v>779.99559999999985</v>
      </c>
      <c r="I409">
        <f t="shared" si="104"/>
        <v>0</v>
      </c>
      <c r="J409">
        <f>I409*_xlfn.XLOOKUP(B409,AM:AM,AO:AO)</f>
        <v>0</v>
      </c>
      <c r="K409" s="7">
        <f t="shared" si="105"/>
        <v>45838</v>
      </c>
      <c r="L409" s="7">
        <f t="shared" si="106"/>
        <v>45808</v>
      </c>
      <c r="M409">
        <f t="shared" si="107"/>
        <v>5</v>
      </c>
      <c r="N409">
        <f t="shared" si="108"/>
        <v>2025</v>
      </c>
      <c r="Q409" s="22">
        <v>573</v>
      </c>
      <c r="R409" s="22">
        <v>6668</v>
      </c>
      <c r="S409" s="22" t="str">
        <f t="shared" si="109"/>
        <v>USD</v>
      </c>
      <c r="T409" s="22">
        <f t="shared" si="110"/>
        <v>6668</v>
      </c>
      <c r="U409" s="28">
        <v>400</v>
      </c>
      <c r="W409" s="9">
        <v>305</v>
      </c>
      <c r="X409" s="9" t="s">
        <v>29</v>
      </c>
      <c r="AF409">
        <v>428</v>
      </c>
      <c r="AG409" t="s">
        <v>27</v>
      </c>
      <c r="AH409">
        <v>9708.82</v>
      </c>
      <c r="AI409" s="7">
        <v>45928</v>
      </c>
    </row>
    <row r="410" spans="1:35">
      <c r="A410">
        <v>443</v>
      </c>
      <c r="B410" t="str">
        <f t="shared" si="102"/>
        <v>MXN</v>
      </c>
      <c r="C410">
        <f t="shared" si="103"/>
        <v>2668.4000000000015</v>
      </c>
      <c r="D410">
        <f>C410*_xlfn.XLOOKUP(B410,AM:AM,AN:AN)</f>
        <v>128.08320000000006</v>
      </c>
      <c r="E410">
        <f>C410*_xlfn.XLOOKUP(B410,AM:AM,AO:AO)</f>
        <v>149.43040000000008</v>
      </c>
      <c r="F410">
        <v>41650.400000000001</v>
      </c>
      <c r="G410">
        <f>F410*_xlfn.XLOOKUP(B410,AM:AM,AN:AN)</f>
        <v>1999.2192</v>
      </c>
      <c r="H410">
        <f>F410*_xlfn.XLOOKUP(B410,AM:AM,AO:AO)</f>
        <v>2332.4223999999999</v>
      </c>
      <c r="I410">
        <f t="shared" si="104"/>
        <v>0</v>
      </c>
      <c r="J410">
        <f>I410*_xlfn.XLOOKUP(B410,AM:AM,AO:AO)</f>
        <v>0</v>
      </c>
      <c r="K410" s="7">
        <f t="shared" si="105"/>
        <v>45831</v>
      </c>
      <c r="L410" s="7">
        <f t="shared" ref="L410" si="111">K410-30</f>
        <v>45801</v>
      </c>
      <c r="M410">
        <f t="shared" ref="M410" si="112">MONTH(L410)</f>
        <v>5</v>
      </c>
      <c r="N410">
        <f t="shared" ref="N410" si="113">YEAR(L410)</f>
        <v>2025</v>
      </c>
      <c r="Q410" s="22">
        <v>575</v>
      </c>
      <c r="R410" s="22">
        <v>21032.86</v>
      </c>
      <c r="S410" s="22" t="str">
        <f t="shared" si="109"/>
        <v>USD</v>
      </c>
      <c r="T410" s="22">
        <f t="shared" si="110"/>
        <v>21032.86</v>
      </c>
      <c r="U410" s="28">
        <v>400</v>
      </c>
      <c r="W410" s="9">
        <v>306</v>
      </c>
      <c r="X410" s="9" t="s">
        <v>29</v>
      </c>
      <c r="AF410">
        <v>429</v>
      </c>
      <c r="AG410" t="s">
        <v>29</v>
      </c>
      <c r="AH410">
        <v>18950.68</v>
      </c>
      <c r="AI410" s="7">
        <v>45855</v>
      </c>
    </row>
    <row r="411" spans="1:35">
      <c r="A411">
        <v>444</v>
      </c>
      <c r="B411" t="str">
        <f t="shared" si="102"/>
        <v>MXN</v>
      </c>
      <c r="C411">
        <f t="shared" si="103"/>
        <v>113849</v>
      </c>
      <c r="D411">
        <f>C411*_xlfn.XLOOKUP(B411,AM:AM,AN:AN)</f>
        <v>5464.7520000000004</v>
      </c>
      <c r="E411">
        <f>C411*_xlfn.XLOOKUP(B411,AM:AM,AO:AO)</f>
        <v>6375.5439999999999</v>
      </c>
      <c r="F411">
        <v>113849</v>
      </c>
      <c r="G411">
        <f>F411*_xlfn.XLOOKUP(B411,AM:AM,AN:AN)</f>
        <v>5464.7520000000004</v>
      </c>
      <c r="H411">
        <f>F411*_xlfn.XLOOKUP(B411,AM:AM,AO:AO)</f>
        <v>6375.5439999999999</v>
      </c>
      <c r="I411">
        <f t="shared" si="104"/>
        <v>0</v>
      </c>
      <c r="J411">
        <f>I411*_xlfn.XLOOKUP(B411,AM:AM,AO:AO)</f>
        <v>0</v>
      </c>
      <c r="K411" s="7">
        <f t="shared" si="105"/>
        <v>45840</v>
      </c>
      <c r="L411" s="7">
        <f t="shared" si="106"/>
        <v>45810</v>
      </c>
      <c r="M411">
        <f t="shared" si="107"/>
        <v>6</v>
      </c>
      <c r="N411">
        <f t="shared" si="108"/>
        <v>2025</v>
      </c>
      <c r="Q411" s="22">
        <v>576</v>
      </c>
      <c r="R411" s="22">
        <v>10684</v>
      </c>
      <c r="S411" s="22" t="str">
        <f t="shared" si="109"/>
        <v>USD</v>
      </c>
      <c r="T411" s="22">
        <f t="shared" si="110"/>
        <v>10684</v>
      </c>
      <c r="U411" s="28">
        <v>400</v>
      </c>
      <c r="W411" s="9">
        <v>306</v>
      </c>
      <c r="X411" s="9" t="s">
        <v>29</v>
      </c>
      <c r="AF411">
        <v>430</v>
      </c>
      <c r="AG411" t="s">
        <v>29</v>
      </c>
      <c r="AH411">
        <v>39624.06</v>
      </c>
      <c r="AI411" s="7">
        <v>45875</v>
      </c>
    </row>
    <row r="412" spans="1:35">
      <c r="A412">
        <v>445</v>
      </c>
      <c r="B412" t="str">
        <f t="shared" si="102"/>
        <v>USD</v>
      </c>
      <c r="C412">
        <f t="shared" si="103"/>
        <v>142225.61000000002</v>
      </c>
      <c r="D412">
        <f>C412*_xlfn.XLOOKUP(B412,AM:AM,AN:AN)</f>
        <v>122314.0246</v>
      </c>
      <c r="E412">
        <f>C412*_xlfn.XLOOKUP(B412,AM:AM,AO:AO)</f>
        <v>142225.61000000002</v>
      </c>
      <c r="F412">
        <v>80678.009999999995</v>
      </c>
      <c r="G412">
        <f>F412*_xlfn.XLOOKUP(B412,AM:AM,AN:AN)</f>
        <v>69383.088599999988</v>
      </c>
      <c r="H412">
        <f>F412*_xlfn.XLOOKUP(B412,AM:AM,AO:AO)</f>
        <v>80678.009999999995</v>
      </c>
      <c r="I412">
        <f t="shared" si="104"/>
        <v>110978.00000000003</v>
      </c>
      <c r="J412">
        <f>I412*_xlfn.XLOOKUP(B412,AM:AM,AO:AO)</f>
        <v>110978.00000000003</v>
      </c>
      <c r="K412" s="7">
        <f t="shared" si="105"/>
        <v>45956</v>
      </c>
      <c r="L412" s="7">
        <f t="shared" si="106"/>
        <v>45926</v>
      </c>
      <c r="M412">
        <f t="shared" si="107"/>
        <v>9</v>
      </c>
      <c r="N412">
        <f t="shared" si="108"/>
        <v>2025</v>
      </c>
      <c r="Q412" s="22">
        <v>577</v>
      </c>
      <c r="R412" s="22">
        <v>22378.149999999998</v>
      </c>
      <c r="S412" s="22" t="str">
        <f t="shared" si="109"/>
        <v>USD</v>
      </c>
      <c r="T412" s="22">
        <f t="shared" si="110"/>
        <v>22378.149999999998</v>
      </c>
      <c r="U412" s="28">
        <v>400</v>
      </c>
      <c r="W412" s="9">
        <v>307</v>
      </c>
      <c r="X412" s="9" t="s">
        <v>29</v>
      </c>
      <c r="AF412">
        <v>431</v>
      </c>
      <c r="AG412" t="s">
        <v>29</v>
      </c>
      <c r="AH412">
        <v>23702.83</v>
      </c>
      <c r="AI412" s="7">
        <v>45903</v>
      </c>
    </row>
    <row r="413" spans="1:35">
      <c r="A413">
        <v>446</v>
      </c>
      <c r="B413" t="str">
        <f t="shared" si="102"/>
        <v>USD</v>
      </c>
      <c r="C413">
        <f t="shared" si="103"/>
        <v>0</v>
      </c>
      <c r="D413">
        <f>C413*_xlfn.XLOOKUP(B413,AM:AM,AN:AN)</f>
        <v>0</v>
      </c>
      <c r="E413">
        <f>C413*_xlfn.XLOOKUP(B413,AM:AM,AO:AO)</f>
        <v>0</v>
      </c>
      <c r="F413">
        <v>20159.509999999998</v>
      </c>
      <c r="G413">
        <f>F413*_xlfn.XLOOKUP(B413,AM:AM,AN:AN)</f>
        <v>17337.178599999999</v>
      </c>
      <c r="H413">
        <f>F413*_xlfn.XLOOKUP(B413,AM:AM,AO:AO)</f>
        <v>20159.509999999998</v>
      </c>
      <c r="I413">
        <f t="shared" si="104"/>
        <v>3.637978807091713E-12</v>
      </c>
      <c r="J413">
        <f>I413*_xlfn.XLOOKUP(B413,AM:AM,AO:AO)</f>
        <v>3.637978807091713E-12</v>
      </c>
      <c r="K413" s="7">
        <f t="shared" si="105"/>
        <v>45790</v>
      </c>
      <c r="L413" s="7">
        <f t="shared" si="106"/>
        <v>45760</v>
      </c>
      <c r="M413">
        <f t="shared" si="107"/>
        <v>4</v>
      </c>
      <c r="N413">
        <f t="shared" si="108"/>
        <v>2025</v>
      </c>
      <c r="Q413" s="22">
        <v>578</v>
      </c>
      <c r="R413" s="22">
        <v>4562.22</v>
      </c>
      <c r="S413" s="22" t="str">
        <f t="shared" si="109"/>
        <v>USD</v>
      </c>
      <c r="T413" s="22">
        <f t="shared" si="110"/>
        <v>4562.22</v>
      </c>
      <c r="U413" s="28">
        <v>400</v>
      </c>
      <c r="W413" s="9">
        <v>308</v>
      </c>
      <c r="X413" s="9" t="s">
        <v>29</v>
      </c>
      <c r="AF413">
        <v>432</v>
      </c>
      <c r="AG413" t="s">
        <v>29</v>
      </c>
      <c r="AH413">
        <v>26949.24</v>
      </c>
      <c r="AI413" s="7">
        <v>45847</v>
      </c>
    </row>
    <row r="414" spans="1:35">
      <c r="A414">
        <v>447</v>
      </c>
      <c r="B414" t="str">
        <f t="shared" si="102"/>
        <v>USD</v>
      </c>
      <c r="C414">
        <f t="shared" si="103"/>
        <v>35</v>
      </c>
      <c r="D414">
        <f>C414*_xlfn.XLOOKUP(B414,AM:AM,AN:AN)</f>
        <v>30.099999999999998</v>
      </c>
      <c r="E414">
        <f>C414*_xlfn.XLOOKUP(B414,AM:AM,AO:AO)</f>
        <v>35</v>
      </c>
      <c r="F414">
        <v>11123.36</v>
      </c>
      <c r="G414">
        <f>F414*_xlfn.XLOOKUP(B414,AM:AM,AN:AN)</f>
        <v>9566.0896000000012</v>
      </c>
      <c r="H414">
        <f>F414*_xlfn.XLOOKUP(B414,AM:AM,AO:AO)</f>
        <v>11123.36</v>
      </c>
      <c r="I414">
        <f t="shared" si="104"/>
        <v>0</v>
      </c>
      <c r="J414">
        <f>I414*_xlfn.XLOOKUP(B414,AM:AM,AO:AO)</f>
        <v>0</v>
      </c>
      <c r="K414" s="7" t="str">
        <f t="shared" si="105"/>
        <v>0000-00-00</v>
      </c>
      <c r="L414" s="7" t="e">
        <f t="shared" si="106"/>
        <v>#VALUE!</v>
      </c>
      <c r="M414" t="e">
        <f t="shared" si="107"/>
        <v>#VALUE!</v>
      </c>
      <c r="N414" t="e">
        <f t="shared" si="108"/>
        <v>#VALUE!</v>
      </c>
      <c r="Q414" s="22">
        <v>579</v>
      </c>
      <c r="R414" s="22">
        <v>3204.5299999999997</v>
      </c>
      <c r="S414" s="22" t="str">
        <f t="shared" si="109"/>
        <v>USD</v>
      </c>
      <c r="T414" s="22">
        <f t="shared" si="110"/>
        <v>3204.5299999999997</v>
      </c>
      <c r="U414" s="28">
        <v>400</v>
      </c>
      <c r="W414" s="9">
        <v>308</v>
      </c>
      <c r="X414" s="9" t="s">
        <v>29</v>
      </c>
      <c r="AF414">
        <v>433</v>
      </c>
      <c r="AG414" t="s">
        <v>27</v>
      </c>
      <c r="AH414">
        <v>13377.54</v>
      </c>
      <c r="AI414" s="7">
        <v>45848</v>
      </c>
    </row>
    <row r="415" spans="1:35">
      <c r="A415">
        <v>448</v>
      </c>
      <c r="B415" t="str">
        <f t="shared" si="102"/>
        <v>USD</v>
      </c>
      <c r="C415">
        <f t="shared" si="103"/>
        <v>105</v>
      </c>
      <c r="D415">
        <f>C415*_xlfn.XLOOKUP(B415,AM:AM,AN:AN)</f>
        <v>90.3</v>
      </c>
      <c r="E415">
        <f>C415*_xlfn.XLOOKUP(B415,AM:AM,AO:AO)</f>
        <v>105</v>
      </c>
      <c r="F415">
        <v>57613.7</v>
      </c>
      <c r="G415">
        <f>F415*_xlfn.XLOOKUP(B415,AM:AM,AN:AN)</f>
        <v>49547.781999999999</v>
      </c>
      <c r="H415">
        <f>F415*_xlfn.XLOOKUP(B415,AM:AM,AO:AO)</f>
        <v>57613.7</v>
      </c>
      <c r="I415">
        <f t="shared" si="104"/>
        <v>0</v>
      </c>
      <c r="J415">
        <f>I415*_xlfn.XLOOKUP(B415,AM:AM,AO:AO)</f>
        <v>0</v>
      </c>
      <c r="K415" s="7">
        <f t="shared" si="105"/>
        <v>45844</v>
      </c>
      <c r="L415" s="7">
        <f t="shared" si="106"/>
        <v>45814</v>
      </c>
      <c r="M415">
        <f t="shared" si="107"/>
        <v>6</v>
      </c>
      <c r="N415">
        <f t="shared" si="108"/>
        <v>2025</v>
      </c>
      <c r="Q415" s="22">
        <v>580</v>
      </c>
      <c r="R415" s="22">
        <v>764.1</v>
      </c>
      <c r="S415" s="22" t="str">
        <f t="shared" si="109"/>
        <v>USD</v>
      </c>
      <c r="T415" s="22">
        <f t="shared" si="110"/>
        <v>764.1</v>
      </c>
      <c r="U415" s="28">
        <v>400</v>
      </c>
      <c r="W415" s="9">
        <v>309</v>
      </c>
      <c r="X415" s="9" t="s">
        <v>29</v>
      </c>
      <c r="AF415">
        <v>434</v>
      </c>
      <c r="AG415" t="s">
        <v>32</v>
      </c>
      <c r="AH415">
        <v>1445</v>
      </c>
      <c r="AI415" s="7">
        <v>45826</v>
      </c>
    </row>
    <row r="416" spans="1:35">
      <c r="A416">
        <v>449</v>
      </c>
      <c r="B416" t="str">
        <f t="shared" si="102"/>
        <v>USD</v>
      </c>
      <c r="C416">
        <f t="shared" si="103"/>
        <v>175520.27</v>
      </c>
      <c r="D416">
        <f>C416*_xlfn.XLOOKUP(B416,AM:AM,AN:AN)</f>
        <v>150947.43219999998</v>
      </c>
      <c r="E416">
        <f>C416*_xlfn.XLOOKUP(B416,AM:AM,AO:AO)</f>
        <v>175520.27</v>
      </c>
      <c r="F416">
        <v>149273.54999999999</v>
      </c>
      <c r="G416">
        <f>F416*_xlfn.XLOOKUP(B416,AM:AM,AN:AN)</f>
        <v>128375.25299999998</v>
      </c>
      <c r="H416">
        <f>F416*_xlfn.XLOOKUP(B416,AM:AM,AO:AO)</f>
        <v>149273.54999999999</v>
      </c>
      <c r="I416">
        <f t="shared" si="104"/>
        <v>26246.720000000001</v>
      </c>
      <c r="J416">
        <f>I416*_xlfn.XLOOKUP(B416,AM:AM,AO:AO)</f>
        <v>26246.720000000001</v>
      </c>
      <c r="K416" s="7">
        <f t="shared" si="105"/>
        <v>45973</v>
      </c>
      <c r="L416" s="7">
        <f t="shared" si="106"/>
        <v>45943</v>
      </c>
      <c r="M416">
        <f t="shared" si="107"/>
        <v>10</v>
      </c>
      <c r="N416">
        <f t="shared" si="108"/>
        <v>2025</v>
      </c>
      <c r="Q416" s="22">
        <v>581</v>
      </c>
      <c r="R416" s="22">
        <v>1917.44</v>
      </c>
      <c r="S416" s="22" t="str">
        <f t="shared" si="109"/>
        <v>USD</v>
      </c>
      <c r="T416" s="22">
        <f t="shared" si="110"/>
        <v>1917.44</v>
      </c>
      <c r="U416" s="28">
        <v>400</v>
      </c>
      <c r="W416" s="9">
        <v>309</v>
      </c>
      <c r="X416" s="9" t="s">
        <v>29</v>
      </c>
      <c r="AF416">
        <v>435</v>
      </c>
      <c r="AG416" t="s">
        <v>29</v>
      </c>
      <c r="AH416">
        <v>73341.97</v>
      </c>
      <c r="AI416" s="7">
        <v>45848</v>
      </c>
    </row>
    <row r="417" spans="1:35">
      <c r="A417">
        <v>451</v>
      </c>
      <c r="B417" t="str">
        <f t="shared" si="102"/>
        <v>USD</v>
      </c>
      <c r="C417">
        <f t="shared" si="103"/>
        <v>0</v>
      </c>
      <c r="D417">
        <f>C417*_xlfn.XLOOKUP(B417,AM:AM,AN:AN)</f>
        <v>0</v>
      </c>
      <c r="E417">
        <f>C417*_xlfn.XLOOKUP(B417,AM:AM,AO:AO)</f>
        <v>0</v>
      </c>
      <c r="F417">
        <v>1494.49</v>
      </c>
      <c r="G417">
        <f>F417*_xlfn.XLOOKUP(B417,AM:AM,AN:AN)</f>
        <v>1285.2614000000001</v>
      </c>
      <c r="H417">
        <f>F417*_xlfn.XLOOKUP(B417,AM:AM,AO:AO)</f>
        <v>1494.49</v>
      </c>
      <c r="I417">
        <f t="shared" si="104"/>
        <v>0</v>
      </c>
      <c r="J417">
        <f>I417*_xlfn.XLOOKUP(B417,AM:AM,AO:AO)</f>
        <v>0</v>
      </c>
      <c r="K417" s="7">
        <f t="shared" si="105"/>
        <v>45851</v>
      </c>
      <c r="L417" s="7">
        <f t="shared" si="106"/>
        <v>45821</v>
      </c>
      <c r="M417">
        <f t="shared" si="107"/>
        <v>6</v>
      </c>
      <c r="N417">
        <f t="shared" si="108"/>
        <v>2025</v>
      </c>
      <c r="Q417" s="22">
        <v>583</v>
      </c>
      <c r="R417" s="22">
        <v>13550</v>
      </c>
      <c r="S417" s="22" t="str">
        <f t="shared" si="109"/>
        <v>EUR</v>
      </c>
      <c r="T417" s="22">
        <f t="shared" si="110"/>
        <v>15717.999999999998</v>
      </c>
      <c r="U417" s="28">
        <v>400</v>
      </c>
      <c r="W417" s="9">
        <v>309</v>
      </c>
      <c r="X417" s="9" t="s">
        <v>29</v>
      </c>
      <c r="AF417">
        <v>436</v>
      </c>
      <c r="AG417" t="s">
        <v>28</v>
      </c>
      <c r="AH417">
        <v>254934</v>
      </c>
      <c r="AI417" s="7">
        <v>45875</v>
      </c>
    </row>
    <row r="418" spans="1:35">
      <c r="A418">
        <v>452</v>
      </c>
      <c r="B418" t="str">
        <f t="shared" si="102"/>
        <v>USD</v>
      </c>
      <c r="C418">
        <f t="shared" si="103"/>
        <v>60889.46</v>
      </c>
      <c r="D418">
        <f>C418*_xlfn.XLOOKUP(B418,AM:AM,AN:AN)</f>
        <v>52364.935599999997</v>
      </c>
      <c r="E418">
        <f>C418*_xlfn.XLOOKUP(B418,AM:AM,AO:AO)</f>
        <v>60889.46</v>
      </c>
      <c r="F418">
        <v>60889.46</v>
      </c>
      <c r="G418">
        <f>F418*_xlfn.XLOOKUP(B418,AM:AM,AN:AN)</f>
        <v>52364.935599999997</v>
      </c>
      <c r="H418">
        <f>F418*_xlfn.XLOOKUP(B418,AM:AM,AO:AO)</f>
        <v>60889.46</v>
      </c>
      <c r="I418">
        <f t="shared" si="104"/>
        <v>0</v>
      </c>
      <c r="J418">
        <f>I418*_xlfn.XLOOKUP(B418,AM:AM,AO:AO)</f>
        <v>0</v>
      </c>
      <c r="K418" s="7">
        <f t="shared" si="105"/>
        <v>46009</v>
      </c>
      <c r="L418" s="7">
        <f t="shared" ref="L418" si="114">K418-30</f>
        <v>45979</v>
      </c>
      <c r="M418">
        <f t="shared" ref="M418" si="115">MONTH(L418)</f>
        <v>11</v>
      </c>
      <c r="N418">
        <f t="shared" ref="N418" si="116">YEAR(L418)</f>
        <v>2025</v>
      </c>
      <c r="Q418" s="22">
        <v>585</v>
      </c>
      <c r="R418" s="22">
        <v>130598</v>
      </c>
      <c r="S418" s="22" t="str">
        <f t="shared" si="109"/>
        <v>MXN</v>
      </c>
      <c r="T418" s="22">
        <f t="shared" si="110"/>
        <v>7313.4880000000003</v>
      </c>
      <c r="U418" s="28">
        <v>400</v>
      </c>
      <c r="W418" s="9">
        <v>309</v>
      </c>
      <c r="X418" s="9" t="s">
        <v>29</v>
      </c>
      <c r="AF418">
        <v>437</v>
      </c>
      <c r="AG418" t="s">
        <v>27</v>
      </c>
      <c r="AH418">
        <v>40897.86</v>
      </c>
      <c r="AI418" s="7">
        <v>45876</v>
      </c>
    </row>
    <row r="419" spans="1:35">
      <c r="A419">
        <v>453</v>
      </c>
      <c r="B419" t="str">
        <f t="shared" si="102"/>
        <v>USD</v>
      </c>
      <c r="C419">
        <f t="shared" si="103"/>
        <v>82243</v>
      </c>
      <c r="D419">
        <f>C419*_xlfn.XLOOKUP(B419,AM:AM,AN:AN)</f>
        <v>70728.98</v>
      </c>
      <c r="E419">
        <f>C419*_xlfn.XLOOKUP(B419,AM:AM,AO:AO)</f>
        <v>82243</v>
      </c>
      <c r="F419">
        <v>82243</v>
      </c>
      <c r="G419">
        <f>F419*_xlfn.XLOOKUP(B419,AM:AM,AN:AN)</f>
        <v>70728.98</v>
      </c>
      <c r="H419">
        <f>F419*_xlfn.XLOOKUP(B419,AM:AM,AO:AO)</f>
        <v>82243</v>
      </c>
      <c r="I419">
        <f t="shared" si="104"/>
        <v>0</v>
      </c>
      <c r="J419">
        <f>I419*_xlfn.XLOOKUP(B419,AM:AM,AO:AO)</f>
        <v>0</v>
      </c>
      <c r="K419" s="7">
        <f t="shared" si="105"/>
        <v>46013</v>
      </c>
      <c r="L419" s="7">
        <f t="shared" si="106"/>
        <v>45983</v>
      </c>
      <c r="M419">
        <f t="shared" si="107"/>
        <v>11</v>
      </c>
      <c r="N419">
        <f t="shared" si="108"/>
        <v>2025</v>
      </c>
      <c r="Q419" s="22">
        <v>587</v>
      </c>
      <c r="R419" s="22">
        <v>1971.8</v>
      </c>
      <c r="S419" s="22" t="str">
        <f t="shared" si="109"/>
        <v>USD</v>
      </c>
      <c r="T419" s="22">
        <f t="shared" si="110"/>
        <v>1971.8</v>
      </c>
      <c r="U419" s="28">
        <v>400</v>
      </c>
      <c r="W419" s="9">
        <v>312</v>
      </c>
      <c r="X419" s="9" t="s">
        <v>29</v>
      </c>
      <c r="AF419">
        <v>438</v>
      </c>
      <c r="AG419" t="s">
        <v>29</v>
      </c>
      <c r="AH419">
        <v>12177.42</v>
      </c>
      <c r="AI419" s="7">
        <v>45845</v>
      </c>
    </row>
    <row r="420" spans="1:35">
      <c r="A420">
        <v>454</v>
      </c>
      <c r="B420" t="str">
        <f t="shared" si="102"/>
        <v>USD</v>
      </c>
      <c r="C420">
        <f t="shared" si="103"/>
        <v>7792.8000000000029</v>
      </c>
      <c r="D420">
        <f>C420*_xlfn.XLOOKUP(B420,AM:AM,AN:AN)</f>
        <v>6701.8080000000027</v>
      </c>
      <c r="E420">
        <f>C420*_xlfn.XLOOKUP(B420,AM:AM,AO:AO)</f>
        <v>7792.8000000000029</v>
      </c>
      <c r="F420">
        <v>44002.8</v>
      </c>
      <c r="G420">
        <f>F420*_xlfn.XLOOKUP(B420,AM:AM,AN:AN)</f>
        <v>37842.408000000003</v>
      </c>
      <c r="H420">
        <f>F420*_xlfn.XLOOKUP(B420,AM:AM,AO:AO)</f>
        <v>44002.8</v>
      </c>
      <c r="I420">
        <f t="shared" si="104"/>
        <v>0</v>
      </c>
      <c r="J420">
        <f>I420*_xlfn.XLOOKUP(B420,AM:AM,AO:AO)</f>
        <v>0</v>
      </c>
      <c r="K420" s="7">
        <f t="shared" si="105"/>
        <v>45871</v>
      </c>
      <c r="L420" s="7">
        <f t="shared" si="106"/>
        <v>45841</v>
      </c>
      <c r="M420">
        <f t="shared" si="107"/>
        <v>7</v>
      </c>
      <c r="N420">
        <f t="shared" si="108"/>
        <v>2025</v>
      </c>
      <c r="Q420" s="22">
        <v>588</v>
      </c>
      <c r="R420" s="22">
        <v>1299</v>
      </c>
      <c r="S420" s="22" t="str">
        <f t="shared" si="109"/>
        <v>EUR</v>
      </c>
      <c r="T420" s="22">
        <f t="shared" si="110"/>
        <v>1506.84</v>
      </c>
      <c r="U420" s="28">
        <v>400</v>
      </c>
      <c r="W420" s="9">
        <v>313</v>
      </c>
      <c r="X420" s="9" t="s">
        <v>29</v>
      </c>
      <c r="AF420">
        <v>439</v>
      </c>
      <c r="AG420" t="s">
        <v>29</v>
      </c>
      <c r="AH420">
        <v>8130.05</v>
      </c>
      <c r="AI420" s="7">
        <v>45908</v>
      </c>
    </row>
    <row r="421" spans="1:35">
      <c r="A421">
        <v>455</v>
      </c>
      <c r="B421" t="str">
        <f t="shared" si="102"/>
        <v>USD</v>
      </c>
      <c r="C421">
        <f t="shared" si="103"/>
        <v>10910</v>
      </c>
      <c r="D421">
        <f>C421*_xlfn.XLOOKUP(B421,AM:AM,AN:AN)</f>
        <v>9382.6</v>
      </c>
      <c r="E421">
        <f>C421*_xlfn.XLOOKUP(B421,AM:AM,AO:AO)</f>
        <v>10910</v>
      </c>
      <c r="F421">
        <v>12589.79</v>
      </c>
      <c r="G421">
        <f>F421*_xlfn.XLOOKUP(B421,AM:AM,AN:AN)</f>
        <v>10827.2194</v>
      </c>
      <c r="H421">
        <f>F421*_xlfn.XLOOKUP(B421,AM:AM,AO:AO)</f>
        <v>12589.79</v>
      </c>
      <c r="I421">
        <f t="shared" si="104"/>
        <v>-14.790000000000873</v>
      </c>
      <c r="J421">
        <f>I421*_xlfn.XLOOKUP(B421,AM:AM,AO:AO)</f>
        <v>-14.790000000000873</v>
      </c>
      <c r="K421" s="7">
        <f t="shared" si="105"/>
        <v>46137</v>
      </c>
      <c r="L421" s="7">
        <f t="shared" si="106"/>
        <v>46107</v>
      </c>
      <c r="M421">
        <f t="shared" si="107"/>
        <v>3</v>
      </c>
      <c r="N421">
        <f t="shared" si="108"/>
        <v>2026</v>
      </c>
      <c r="Q421" s="22">
        <v>589</v>
      </c>
      <c r="R421" s="22">
        <v>1500</v>
      </c>
      <c r="S421" s="22" t="str">
        <f t="shared" si="109"/>
        <v>GPB</v>
      </c>
      <c r="T421" s="22">
        <f t="shared" si="110"/>
        <v>2010.0000000000002</v>
      </c>
      <c r="U421" s="28">
        <v>400</v>
      </c>
      <c r="W421" s="9">
        <v>314</v>
      </c>
      <c r="X421" s="9" t="s">
        <v>29</v>
      </c>
      <c r="AF421">
        <v>440</v>
      </c>
      <c r="AG421" t="s">
        <v>28</v>
      </c>
      <c r="AH421">
        <v>2048584.48</v>
      </c>
      <c r="AI421" s="7">
        <v>45951</v>
      </c>
    </row>
    <row r="422" spans="1:35">
      <c r="A422">
        <v>456</v>
      </c>
      <c r="B422" t="str">
        <f t="shared" si="102"/>
        <v>USD</v>
      </c>
      <c r="C422">
        <f t="shared" si="103"/>
        <v>0</v>
      </c>
      <c r="D422">
        <f>C422*_xlfn.XLOOKUP(B422,AM:AM,AN:AN)</f>
        <v>0</v>
      </c>
      <c r="E422">
        <f>C422*_xlfn.XLOOKUP(B422,AM:AM,AO:AO)</f>
        <v>0</v>
      </c>
      <c r="F422">
        <v>1205</v>
      </c>
      <c r="G422">
        <f>F422*_xlfn.XLOOKUP(B422,AM:AM,AN:AN)</f>
        <v>1036.3</v>
      </c>
      <c r="H422">
        <f>F422*_xlfn.XLOOKUP(B422,AM:AM,AO:AO)</f>
        <v>1205</v>
      </c>
      <c r="I422">
        <f t="shared" si="104"/>
        <v>0</v>
      </c>
      <c r="J422">
        <f>I422*_xlfn.XLOOKUP(B422,AM:AM,AO:AO)</f>
        <v>0</v>
      </c>
      <c r="K422" s="7">
        <f t="shared" si="105"/>
        <v>45721</v>
      </c>
      <c r="L422" s="7">
        <f t="shared" ref="L422" si="117">K422-30</f>
        <v>45691</v>
      </c>
      <c r="M422">
        <f t="shared" ref="M422" si="118">MONTH(L422)</f>
        <v>2</v>
      </c>
      <c r="N422">
        <f t="shared" ref="N422" si="119">YEAR(L422)</f>
        <v>2025</v>
      </c>
      <c r="Q422" s="22">
        <v>590</v>
      </c>
      <c r="R422" s="22">
        <v>3097.62</v>
      </c>
      <c r="S422" s="22" t="str">
        <f t="shared" si="109"/>
        <v>USD</v>
      </c>
      <c r="T422" s="22">
        <f t="shared" si="110"/>
        <v>3097.62</v>
      </c>
      <c r="U422" s="28">
        <v>400</v>
      </c>
      <c r="W422" s="9">
        <v>315</v>
      </c>
      <c r="X422" s="9" t="s">
        <v>29</v>
      </c>
      <c r="AF422">
        <v>441</v>
      </c>
      <c r="AG422" t="s">
        <v>29</v>
      </c>
      <c r="AH422">
        <v>2363.8000000000002</v>
      </c>
      <c r="AI422" s="7">
        <v>45828</v>
      </c>
    </row>
    <row r="423" spans="1:35">
      <c r="A423">
        <v>457</v>
      </c>
      <c r="B423" t="str">
        <f t="shared" si="102"/>
        <v>USD</v>
      </c>
      <c r="C423">
        <f t="shared" si="103"/>
        <v>0</v>
      </c>
      <c r="D423">
        <f>C423*_xlfn.XLOOKUP(B423,AM:AM,AN:AN)</f>
        <v>0</v>
      </c>
      <c r="E423">
        <f>C423*_xlfn.XLOOKUP(B423,AM:AM,AO:AO)</f>
        <v>0</v>
      </c>
      <c r="F423">
        <v>780</v>
      </c>
      <c r="G423">
        <f>F423*_xlfn.XLOOKUP(B423,AM:AM,AN:AN)</f>
        <v>670.8</v>
      </c>
      <c r="H423">
        <f>F423*_xlfn.XLOOKUP(B423,AM:AM,AO:AO)</f>
        <v>780</v>
      </c>
      <c r="I423">
        <f t="shared" si="104"/>
        <v>0</v>
      </c>
      <c r="J423">
        <f>I423*_xlfn.XLOOKUP(B423,AM:AM,AO:AO)</f>
        <v>0</v>
      </c>
      <c r="K423" s="7">
        <f t="shared" si="105"/>
        <v>45754</v>
      </c>
      <c r="L423" s="7">
        <f t="shared" si="106"/>
        <v>45724</v>
      </c>
      <c r="M423">
        <f t="shared" si="107"/>
        <v>3</v>
      </c>
      <c r="N423">
        <f t="shared" si="108"/>
        <v>2025</v>
      </c>
      <c r="Q423" s="22">
        <v>591</v>
      </c>
      <c r="R423" s="22">
        <v>4711.78</v>
      </c>
      <c r="S423" s="22" t="str">
        <f t="shared" si="109"/>
        <v>USD</v>
      </c>
      <c r="T423" s="22">
        <f t="shared" si="110"/>
        <v>4711.78</v>
      </c>
      <c r="U423" s="28">
        <v>400</v>
      </c>
      <c r="W423" s="9">
        <v>317</v>
      </c>
      <c r="X423" s="9" t="s">
        <v>29</v>
      </c>
      <c r="AF423">
        <v>442</v>
      </c>
      <c r="AG423" t="s">
        <v>27</v>
      </c>
      <c r="AH423">
        <v>672.41</v>
      </c>
      <c r="AI423" s="7">
        <v>45838</v>
      </c>
    </row>
    <row r="424" spans="1:35">
      <c r="A424">
        <v>458</v>
      </c>
      <c r="B424" t="str">
        <f t="shared" si="102"/>
        <v>USD</v>
      </c>
      <c r="C424">
        <f t="shared" si="103"/>
        <v>0</v>
      </c>
      <c r="D424">
        <f>C424*_xlfn.XLOOKUP(B424,AM:AM,AN:AN)</f>
        <v>0</v>
      </c>
      <c r="E424">
        <f>C424*_xlfn.XLOOKUP(B424,AM:AM,AO:AO)</f>
        <v>0</v>
      </c>
      <c r="F424">
        <v>1465</v>
      </c>
      <c r="G424">
        <f>F424*_xlfn.XLOOKUP(B424,AM:AM,AN:AN)</f>
        <v>1259.9000000000001</v>
      </c>
      <c r="H424">
        <f>F424*_xlfn.XLOOKUP(B424,AM:AM,AO:AO)</f>
        <v>1465</v>
      </c>
      <c r="I424">
        <f t="shared" si="104"/>
        <v>0</v>
      </c>
      <c r="J424">
        <f>I424*_xlfn.XLOOKUP(B424,AM:AM,AO:AO)</f>
        <v>0</v>
      </c>
      <c r="K424" s="7">
        <f t="shared" si="105"/>
        <v>45795</v>
      </c>
      <c r="L424" s="7">
        <f t="shared" si="106"/>
        <v>45765</v>
      </c>
      <c r="M424">
        <f t="shared" si="107"/>
        <v>4</v>
      </c>
      <c r="N424">
        <f t="shared" si="108"/>
        <v>2025</v>
      </c>
      <c r="Q424" s="22">
        <v>592</v>
      </c>
      <c r="R424" s="22">
        <v>2528.67</v>
      </c>
      <c r="S424" s="22" t="str">
        <f t="shared" si="109"/>
        <v>USD</v>
      </c>
      <c r="T424" s="22">
        <f t="shared" si="110"/>
        <v>2528.67</v>
      </c>
      <c r="U424" s="28">
        <v>400</v>
      </c>
      <c r="W424" s="9">
        <v>318</v>
      </c>
      <c r="X424" s="9" t="s">
        <v>29</v>
      </c>
      <c r="AF424">
        <v>443</v>
      </c>
      <c r="AG424" t="s">
        <v>28</v>
      </c>
      <c r="AH424">
        <v>41650.400000000001</v>
      </c>
      <c r="AI424" s="7">
        <v>45831</v>
      </c>
    </row>
    <row r="425" spans="1:35">
      <c r="A425">
        <v>459</v>
      </c>
      <c r="B425" t="str">
        <f t="shared" si="102"/>
        <v>USD</v>
      </c>
      <c r="C425">
        <f t="shared" si="103"/>
        <v>0</v>
      </c>
      <c r="D425">
        <f>C425*_xlfn.XLOOKUP(B425,AM:AM,AN:AN)</f>
        <v>0</v>
      </c>
      <c r="E425">
        <f>C425*_xlfn.XLOOKUP(B425,AM:AM,AO:AO)</f>
        <v>0</v>
      </c>
      <c r="F425">
        <v>305</v>
      </c>
      <c r="G425">
        <f>F425*_xlfn.XLOOKUP(B425,AM:AM,AN:AN)</f>
        <v>262.3</v>
      </c>
      <c r="H425">
        <f>F425*_xlfn.XLOOKUP(B425,AM:AM,AO:AO)</f>
        <v>305</v>
      </c>
      <c r="I425">
        <f t="shared" si="104"/>
        <v>0</v>
      </c>
      <c r="J425">
        <f>I425*_xlfn.XLOOKUP(B425,AM:AM,AO:AO)</f>
        <v>0</v>
      </c>
      <c r="K425" s="7">
        <f t="shared" si="105"/>
        <v>45804</v>
      </c>
      <c r="L425" s="7">
        <f t="shared" si="106"/>
        <v>45774</v>
      </c>
      <c r="M425">
        <f t="shared" si="107"/>
        <v>4</v>
      </c>
      <c r="N425">
        <f t="shared" si="108"/>
        <v>2025</v>
      </c>
      <c r="Q425" s="22">
        <v>593</v>
      </c>
      <c r="R425" s="22">
        <v>1877</v>
      </c>
      <c r="S425" s="22" t="str">
        <f t="shared" si="109"/>
        <v>USD</v>
      </c>
      <c r="T425" s="22">
        <f t="shared" si="110"/>
        <v>1877</v>
      </c>
      <c r="U425" s="28">
        <v>400</v>
      </c>
      <c r="W425" s="9">
        <v>319</v>
      </c>
      <c r="X425" s="9" t="s">
        <v>29</v>
      </c>
      <c r="AF425">
        <v>444</v>
      </c>
      <c r="AG425" t="s">
        <v>28</v>
      </c>
      <c r="AH425">
        <v>113849</v>
      </c>
      <c r="AI425" s="7">
        <v>45840</v>
      </c>
    </row>
    <row r="426" spans="1:35">
      <c r="A426">
        <v>460</v>
      </c>
      <c r="B426" t="str">
        <f t="shared" si="102"/>
        <v>USD</v>
      </c>
      <c r="C426">
        <f t="shared" si="103"/>
        <v>0</v>
      </c>
      <c r="D426">
        <f>C426*_xlfn.XLOOKUP(B426,AM:AM,AN:AN)</f>
        <v>0</v>
      </c>
      <c r="E426">
        <f>C426*_xlfn.XLOOKUP(B426,AM:AM,AO:AO)</f>
        <v>0</v>
      </c>
      <c r="F426">
        <v>2832</v>
      </c>
      <c r="G426">
        <f>F426*_xlfn.XLOOKUP(B426,AM:AM,AN:AN)</f>
        <v>2435.52</v>
      </c>
      <c r="H426">
        <f>F426*_xlfn.XLOOKUP(B426,AM:AM,AO:AO)</f>
        <v>2832</v>
      </c>
      <c r="I426">
        <f t="shared" si="104"/>
        <v>0</v>
      </c>
      <c r="J426">
        <f>I426*_xlfn.XLOOKUP(B426,AM:AM,AO:AO)</f>
        <v>0</v>
      </c>
      <c r="K426" s="7">
        <f t="shared" si="105"/>
        <v>45840</v>
      </c>
      <c r="L426" s="7">
        <f t="shared" si="106"/>
        <v>45810</v>
      </c>
      <c r="M426">
        <f t="shared" si="107"/>
        <v>6</v>
      </c>
      <c r="N426">
        <f t="shared" si="108"/>
        <v>2025</v>
      </c>
      <c r="Q426" s="22">
        <v>594</v>
      </c>
      <c r="R426" s="22">
        <v>6960</v>
      </c>
      <c r="S426" s="22" t="str">
        <f t="shared" si="109"/>
        <v>GPB</v>
      </c>
      <c r="T426" s="22">
        <f t="shared" si="110"/>
        <v>9326.4000000000015</v>
      </c>
      <c r="U426" s="28">
        <v>400</v>
      </c>
      <c r="W426" s="9">
        <v>320</v>
      </c>
      <c r="X426" s="9" t="s">
        <v>29</v>
      </c>
      <c r="AF426">
        <v>445</v>
      </c>
      <c r="AG426" t="s">
        <v>29</v>
      </c>
      <c r="AH426">
        <v>191656.01</v>
      </c>
      <c r="AI426" s="7">
        <v>45956</v>
      </c>
    </row>
    <row r="427" spans="1:35">
      <c r="A427">
        <v>461</v>
      </c>
      <c r="B427" t="str">
        <f t="shared" si="102"/>
        <v>MXN</v>
      </c>
      <c r="C427">
        <f t="shared" si="103"/>
        <v>0</v>
      </c>
      <c r="D427">
        <f>C427*_xlfn.XLOOKUP(B427,AM:AM,AN:AN)</f>
        <v>0</v>
      </c>
      <c r="E427">
        <f>C427*_xlfn.XLOOKUP(B427,AM:AM,AO:AO)</f>
        <v>0</v>
      </c>
      <c r="F427">
        <v>10222</v>
      </c>
      <c r="G427">
        <f>F427*_xlfn.XLOOKUP(B427,AM:AM,AN:AN)</f>
        <v>490.65600000000001</v>
      </c>
      <c r="H427">
        <f>F427*_xlfn.XLOOKUP(B427,AM:AM,AO:AO)</f>
        <v>572.43200000000002</v>
      </c>
      <c r="I427">
        <f t="shared" si="104"/>
        <v>0</v>
      </c>
      <c r="J427">
        <f>I427*_xlfn.XLOOKUP(B427,AM:AM,AO:AO)</f>
        <v>0</v>
      </c>
      <c r="K427" s="7">
        <f t="shared" si="105"/>
        <v>45862</v>
      </c>
      <c r="L427" s="7">
        <f t="shared" si="106"/>
        <v>45832</v>
      </c>
      <c r="M427">
        <f t="shared" si="107"/>
        <v>6</v>
      </c>
      <c r="N427">
        <f t="shared" si="108"/>
        <v>2025</v>
      </c>
      <c r="Q427" s="22">
        <v>597</v>
      </c>
      <c r="R427" s="22">
        <v>33737.5</v>
      </c>
      <c r="S427" s="22" t="str">
        <f t="shared" si="109"/>
        <v>USD</v>
      </c>
      <c r="T427" s="22">
        <f t="shared" si="110"/>
        <v>33737.5</v>
      </c>
      <c r="U427" s="28">
        <v>400</v>
      </c>
      <c r="W427" s="9">
        <v>321</v>
      </c>
      <c r="X427" s="9" t="s">
        <v>29</v>
      </c>
      <c r="AF427">
        <v>446</v>
      </c>
      <c r="AG427" t="s">
        <v>29</v>
      </c>
      <c r="AH427">
        <v>20159.509999999998</v>
      </c>
      <c r="AI427" s="7">
        <v>45790</v>
      </c>
    </row>
    <row r="428" spans="1:35">
      <c r="A428">
        <v>462</v>
      </c>
      <c r="B428" t="str">
        <f t="shared" si="102"/>
        <v>USD</v>
      </c>
      <c r="C428">
        <f t="shared" si="103"/>
        <v>140</v>
      </c>
      <c r="D428">
        <f>C428*_xlfn.XLOOKUP(B428,AM:AM,AN:AN)</f>
        <v>120.39999999999999</v>
      </c>
      <c r="E428">
        <f>C428*_xlfn.XLOOKUP(B428,AM:AM,AO:AO)</f>
        <v>140</v>
      </c>
      <c r="F428">
        <v>28332.89</v>
      </c>
      <c r="G428">
        <f>F428*_xlfn.XLOOKUP(B428,AM:AM,AN:AN)</f>
        <v>24366.285400000001</v>
      </c>
      <c r="H428">
        <f>F428*_xlfn.XLOOKUP(B428,AM:AM,AO:AO)</f>
        <v>28332.89</v>
      </c>
      <c r="I428">
        <f t="shared" si="104"/>
        <v>0</v>
      </c>
      <c r="J428">
        <f>I428*_xlfn.XLOOKUP(B428,AM:AM,AO:AO)</f>
        <v>0</v>
      </c>
      <c r="K428" s="7">
        <f t="shared" si="105"/>
        <v>45902</v>
      </c>
      <c r="L428" s="7">
        <f t="shared" si="106"/>
        <v>45872</v>
      </c>
      <c r="M428">
        <f t="shared" si="107"/>
        <v>8</v>
      </c>
      <c r="N428">
        <f t="shared" si="108"/>
        <v>2025</v>
      </c>
      <c r="Q428" s="22">
        <v>598</v>
      </c>
      <c r="R428" s="22">
        <v>2856</v>
      </c>
      <c r="S428" s="22" t="str">
        <f t="shared" si="109"/>
        <v>EUR</v>
      </c>
      <c r="T428" s="22">
        <f t="shared" si="110"/>
        <v>3312.9599999999996</v>
      </c>
      <c r="U428" s="28">
        <v>400</v>
      </c>
      <c r="W428" s="9">
        <v>322</v>
      </c>
      <c r="X428" s="9" t="s">
        <v>29</v>
      </c>
      <c r="AF428">
        <v>447</v>
      </c>
      <c r="AG428" t="s">
        <v>29</v>
      </c>
      <c r="AH428">
        <v>11123.36</v>
      </c>
      <c r="AI428" s="7" t="s">
        <v>34</v>
      </c>
    </row>
    <row r="429" spans="1:35">
      <c r="A429">
        <v>463</v>
      </c>
      <c r="B429" t="str">
        <f t="shared" si="102"/>
        <v>MXN</v>
      </c>
      <c r="C429">
        <f t="shared" si="103"/>
        <v>0</v>
      </c>
      <c r="D429">
        <f>C429*_xlfn.XLOOKUP(B429,AM:AM,AN:AN)</f>
        <v>0</v>
      </c>
      <c r="E429">
        <f>C429*_xlfn.XLOOKUP(B429,AM:AM,AO:AO)</f>
        <v>0</v>
      </c>
      <c r="F429">
        <v>34866</v>
      </c>
      <c r="G429">
        <f>F429*_xlfn.XLOOKUP(B429,AM:AM,AN:AN)</f>
        <v>1673.568</v>
      </c>
      <c r="H429">
        <f>F429*_xlfn.XLOOKUP(B429,AM:AM,AO:AO)</f>
        <v>1952.4960000000001</v>
      </c>
      <c r="I429">
        <f t="shared" si="104"/>
        <v>0</v>
      </c>
      <c r="J429">
        <f>I429*_xlfn.XLOOKUP(B429,AM:AM,AO:AO)</f>
        <v>0</v>
      </c>
      <c r="K429" s="7">
        <f t="shared" si="105"/>
        <v>45847</v>
      </c>
      <c r="L429" s="7">
        <f t="shared" si="106"/>
        <v>45817</v>
      </c>
      <c r="M429">
        <f t="shared" si="107"/>
        <v>6</v>
      </c>
      <c r="N429">
        <f t="shared" si="108"/>
        <v>2025</v>
      </c>
      <c r="Q429" s="22">
        <v>600</v>
      </c>
      <c r="R429" s="22">
        <v>1761.1599999999999</v>
      </c>
      <c r="S429" s="22" t="str">
        <f t="shared" si="109"/>
        <v>USD</v>
      </c>
      <c r="T429" s="22">
        <f t="shared" si="110"/>
        <v>1761.1599999999999</v>
      </c>
      <c r="U429" s="28">
        <v>400</v>
      </c>
      <c r="W429" s="9">
        <v>323</v>
      </c>
      <c r="X429" s="9" t="s">
        <v>28</v>
      </c>
      <c r="AF429">
        <v>448</v>
      </c>
      <c r="AG429" t="s">
        <v>29</v>
      </c>
      <c r="AH429">
        <v>57613.7</v>
      </c>
      <c r="AI429" s="7">
        <v>45844</v>
      </c>
    </row>
    <row r="430" spans="1:35">
      <c r="A430">
        <v>464</v>
      </c>
      <c r="B430" t="str">
        <f t="shared" si="102"/>
        <v>USD</v>
      </c>
      <c r="C430">
        <f t="shared" si="103"/>
        <v>0</v>
      </c>
      <c r="D430">
        <f>C430*_xlfn.XLOOKUP(B430,AM:AM,AN:AN)</f>
        <v>0</v>
      </c>
      <c r="E430">
        <f>C430*_xlfn.XLOOKUP(B430,AM:AM,AO:AO)</f>
        <v>0</v>
      </c>
      <c r="F430">
        <v>2267.5</v>
      </c>
      <c r="G430">
        <f>F430*_xlfn.XLOOKUP(B430,AM:AM,AN:AN)</f>
        <v>1950.05</v>
      </c>
      <c r="H430">
        <f>F430*_xlfn.XLOOKUP(B430,AM:AM,AO:AO)</f>
        <v>2267.5</v>
      </c>
      <c r="I430">
        <f t="shared" si="104"/>
        <v>0</v>
      </c>
      <c r="J430">
        <f>I430*_xlfn.XLOOKUP(B430,AM:AM,AO:AO)</f>
        <v>0</v>
      </c>
      <c r="K430" s="7">
        <f t="shared" si="105"/>
        <v>45838</v>
      </c>
      <c r="L430" s="7">
        <f t="shared" si="106"/>
        <v>45808</v>
      </c>
      <c r="M430">
        <f t="shared" si="107"/>
        <v>5</v>
      </c>
      <c r="N430">
        <f t="shared" si="108"/>
        <v>2025</v>
      </c>
      <c r="Q430" s="22">
        <v>601</v>
      </c>
      <c r="R430" s="22">
        <v>6150</v>
      </c>
      <c r="S430" s="22" t="str">
        <f t="shared" si="109"/>
        <v>CHF</v>
      </c>
      <c r="T430" s="22">
        <f t="shared" si="110"/>
        <v>7687.5</v>
      </c>
      <c r="U430" s="28">
        <v>400</v>
      </c>
      <c r="W430" s="9">
        <v>323</v>
      </c>
      <c r="X430" s="9" t="s">
        <v>28</v>
      </c>
      <c r="AF430">
        <v>449</v>
      </c>
      <c r="AG430" t="s">
        <v>29</v>
      </c>
      <c r="AH430">
        <v>175520.27</v>
      </c>
      <c r="AI430" s="7">
        <v>45973</v>
      </c>
    </row>
    <row r="431" spans="1:35">
      <c r="A431">
        <v>465</v>
      </c>
      <c r="B431" t="str">
        <f t="shared" si="102"/>
        <v>EUR</v>
      </c>
      <c r="C431">
        <f t="shared" si="103"/>
        <v>0</v>
      </c>
      <c r="D431">
        <f>C431*_xlfn.XLOOKUP(B431,AM:AM,AN:AN)</f>
        <v>0</v>
      </c>
      <c r="E431">
        <f>C431*_xlfn.XLOOKUP(B431,AM:AM,AO:AO)</f>
        <v>0</v>
      </c>
      <c r="F431">
        <v>9065</v>
      </c>
      <c r="G431">
        <f>F431*_xlfn.XLOOKUP(B431,AM:AM,AN:AN)</f>
        <v>9065</v>
      </c>
      <c r="H431">
        <f>F431*_xlfn.XLOOKUP(B431,AM:AM,AO:AO)</f>
        <v>10515.4</v>
      </c>
      <c r="I431">
        <f t="shared" si="104"/>
        <v>0</v>
      </c>
      <c r="J431">
        <f>I431*_xlfn.XLOOKUP(B431,AM:AM,AO:AO)</f>
        <v>0</v>
      </c>
      <c r="K431" s="7">
        <f t="shared" si="105"/>
        <v>45869</v>
      </c>
      <c r="L431" s="7">
        <f t="shared" si="106"/>
        <v>45839</v>
      </c>
      <c r="M431">
        <f t="shared" si="107"/>
        <v>7</v>
      </c>
      <c r="N431">
        <f t="shared" si="108"/>
        <v>2025</v>
      </c>
      <c r="Q431" s="22">
        <v>602</v>
      </c>
      <c r="R431" s="22">
        <v>4020</v>
      </c>
      <c r="S431" s="22" t="str">
        <f t="shared" si="109"/>
        <v>EUR</v>
      </c>
      <c r="T431" s="22">
        <f t="shared" si="110"/>
        <v>4663.2</v>
      </c>
      <c r="U431" s="28">
        <v>400</v>
      </c>
      <c r="W431" s="9">
        <v>324</v>
      </c>
      <c r="X431" s="9" t="s">
        <v>28</v>
      </c>
      <c r="AF431">
        <v>451</v>
      </c>
      <c r="AG431" t="s">
        <v>29</v>
      </c>
      <c r="AH431">
        <v>1494.49</v>
      </c>
      <c r="AI431" s="7">
        <v>45851</v>
      </c>
    </row>
    <row r="432" spans="1:35">
      <c r="A432">
        <v>466</v>
      </c>
      <c r="B432" t="str">
        <f t="shared" si="102"/>
        <v>USD</v>
      </c>
      <c r="C432">
        <f t="shared" si="103"/>
        <v>7936.29</v>
      </c>
      <c r="D432">
        <f>C432*_xlfn.XLOOKUP(B432,AM:AM,AN:AN)</f>
        <v>6825.2093999999997</v>
      </c>
      <c r="E432">
        <f>C432*_xlfn.XLOOKUP(B432,AM:AM,AO:AO)</f>
        <v>7936.29</v>
      </c>
      <c r="F432">
        <v>7936.29</v>
      </c>
      <c r="G432">
        <f>F432*_xlfn.XLOOKUP(B432,AM:AM,AN:AN)</f>
        <v>6825.2093999999997</v>
      </c>
      <c r="H432">
        <f>F432*_xlfn.XLOOKUP(B432,AM:AM,AO:AO)</f>
        <v>7936.29</v>
      </c>
      <c r="I432">
        <f t="shared" si="104"/>
        <v>0</v>
      </c>
      <c r="J432">
        <f>I432*_xlfn.XLOOKUP(B432,AM:AM,AO:AO)</f>
        <v>0</v>
      </c>
      <c r="K432" s="7">
        <f t="shared" si="105"/>
        <v>45950</v>
      </c>
      <c r="L432" s="7">
        <f t="shared" si="106"/>
        <v>45920</v>
      </c>
      <c r="M432">
        <f t="shared" si="107"/>
        <v>9</v>
      </c>
      <c r="N432">
        <f t="shared" si="108"/>
        <v>2025</v>
      </c>
      <c r="Q432" s="22">
        <v>603</v>
      </c>
      <c r="R432" s="22">
        <v>5322</v>
      </c>
      <c r="S432" s="22" t="str">
        <f t="shared" si="109"/>
        <v>USD</v>
      </c>
      <c r="T432" s="22">
        <f t="shared" si="110"/>
        <v>5322</v>
      </c>
      <c r="U432" s="28">
        <v>400</v>
      </c>
      <c r="W432" s="9">
        <v>325</v>
      </c>
      <c r="X432" s="9" t="s">
        <v>28</v>
      </c>
      <c r="AF432">
        <v>452</v>
      </c>
      <c r="AG432" t="s">
        <v>29</v>
      </c>
      <c r="AH432">
        <v>60889.46</v>
      </c>
      <c r="AI432" s="7">
        <v>46009</v>
      </c>
    </row>
    <row r="433" spans="1:35">
      <c r="A433">
        <v>467</v>
      </c>
      <c r="B433" t="str">
        <f t="shared" si="102"/>
        <v>MXN</v>
      </c>
      <c r="C433">
        <f t="shared" si="103"/>
        <v>0</v>
      </c>
      <c r="D433">
        <f>C433*_xlfn.XLOOKUP(B433,AM:AM,AN:AN)</f>
        <v>0</v>
      </c>
      <c r="E433">
        <f>C433*_xlfn.XLOOKUP(B433,AM:AM,AO:AO)</f>
        <v>0</v>
      </c>
      <c r="F433">
        <v>80360.45</v>
      </c>
      <c r="G433">
        <f>F433*_xlfn.XLOOKUP(B433,AM:AM,AN:AN)</f>
        <v>3857.3015999999998</v>
      </c>
      <c r="H433">
        <f>F433*_xlfn.XLOOKUP(B433,AM:AM,AO:AO)</f>
        <v>4500.1851999999999</v>
      </c>
      <c r="I433">
        <f t="shared" si="104"/>
        <v>0</v>
      </c>
      <c r="J433">
        <f>I433*_xlfn.XLOOKUP(B433,AM:AM,AO:AO)</f>
        <v>0</v>
      </c>
      <c r="K433" s="7">
        <f t="shared" si="105"/>
        <v>45805</v>
      </c>
      <c r="L433" s="7">
        <f t="shared" si="106"/>
        <v>45775</v>
      </c>
      <c r="M433">
        <f t="shared" si="107"/>
        <v>4</v>
      </c>
      <c r="N433">
        <f t="shared" si="108"/>
        <v>2025</v>
      </c>
      <c r="Q433" s="22">
        <v>604</v>
      </c>
      <c r="R433" s="22">
        <v>2020.5</v>
      </c>
      <c r="S433" s="22" t="str">
        <f t="shared" si="109"/>
        <v>EUR</v>
      </c>
      <c r="T433" s="22">
        <f t="shared" si="110"/>
        <v>2343.7799999999997</v>
      </c>
      <c r="U433" s="28">
        <v>400</v>
      </c>
      <c r="W433" s="9">
        <v>326</v>
      </c>
      <c r="X433" s="9" t="s">
        <v>27</v>
      </c>
      <c r="AF433">
        <v>453</v>
      </c>
      <c r="AG433" t="s">
        <v>29</v>
      </c>
      <c r="AH433">
        <v>82243</v>
      </c>
      <c r="AI433" s="7">
        <v>46013</v>
      </c>
    </row>
    <row r="434" spans="1:35">
      <c r="A434">
        <v>468</v>
      </c>
      <c r="B434" t="str">
        <f t="shared" si="102"/>
        <v>USD</v>
      </c>
      <c r="C434">
        <f t="shared" si="103"/>
        <v>72.799999999999272</v>
      </c>
      <c r="D434">
        <f>C434*_xlfn.XLOOKUP(B434,AM:AM,AN:AN)</f>
        <v>62.607999999999372</v>
      </c>
      <c r="E434">
        <f>C434*_xlfn.XLOOKUP(B434,AM:AM,AO:AO)</f>
        <v>72.799999999999272</v>
      </c>
      <c r="F434">
        <v>31335.84</v>
      </c>
      <c r="G434">
        <f>F434*_xlfn.XLOOKUP(B434,AM:AM,AN:AN)</f>
        <v>26948.822400000001</v>
      </c>
      <c r="H434">
        <f>F434*_xlfn.XLOOKUP(B434,AM:AM,AO:AO)</f>
        <v>31335.84</v>
      </c>
      <c r="I434">
        <f t="shared" si="104"/>
        <v>0</v>
      </c>
      <c r="J434">
        <f>I434*_xlfn.XLOOKUP(B434,AM:AM,AO:AO)</f>
        <v>0</v>
      </c>
      <c r="K434" s="7">
        <f t="shared" si="105"/>
        <v>45945</v>
      </c>
      <c r="L434" s="7">
        <f t="shared" si="106"/>
        <v>45915</v>
      </c>
      <c r="M434">
        <f t="shared" si="107"/>
        <v>9</v>
      </c>
      <c r="N434">
        <f t="shared" si="108"/>
        <v>2025</v>
      </c>
      <c r="Q434" s="22">
        <v>605</v>
      </c>
      <c r="R434" s="22">
        <v>4226</v>
      </c>
      <c r="S434" s="22" t="str">
        <f t="shared" si="109"/>
        <v>USD</v>
      </c>
      <c r="T434" s="22">
        <f t="shared" si="110"/>
        <v>4226</v>
      </c>
      <c r="U434" s="28">
        <v>400</v>
      </c>
      <c r="W434" s="9">
        <v>327</v>
      </c>
      <c r="X434" s="9" t="s">
        <v>29</v>
      </c>
      <c r="AF434">
        <v>454</v>
      </c>
      <c r="AG434" t="s">
        <v>29</v>
      </c>
      <c r="AH434">
        <v>44002.8</v>
      </c>
      <c r="AI434" s="7">
        <v>45871</v>
      </c>
    </row>
    <row r="435" spans="1:35">
      <c r="A435">
        <v>469</v>
      </c>
      <c r="B435" t="str">
        <f t="shared" si="102"/>
        <v>USD</v>
      </c>
      <c r="C435">
        <f t="shared" si="103"/>
        <v>0</v>
      </c>
      <c r="D435">
        <f>C435*_xlfn.XLOOKUP(B435,AM:AM,AN:AN)</f>
        <v>0</v>
      </c>
      <c r="E435">
        <f>C435*_xlfn.XLOOKUP(B435,AM:AM,AO:AO)</f>
        <v>0</v>
      </c>
      <c r="F435">
        <v>670.22</v>
      </c>
      <c r="G435">
        <f>F435*_xlfn.XLOOKUP(B435,AM:AM,AN:AN)</f>
        <v>576.38919999999996</v>
      </c>
      <c r="H435">
        <f>F435*_xlfn.XLOOKUP(B435,AM:AM,AO:AO)</f>
        <v>670.22</v>
      </c>
      <c r="I435">
        <f t="shared" si="104"/>
        <v>0</v>
      </c>
      <c r="J435">
        <f>I435*_xlfn.XLOOKUP(B435,AM:AM,AO:AO)</f>
        <v>0</v>
      </c>
      <c r="K435" s="7">
        <f t="shared" si="105"/>
        <v>45766</v>
      </c>
      <c r="L435" s="7">
        <f t="shared" si="106"/>
        <v>45736</v>
      </c>
      <c r="M435">
        <f t="shared" si="107"/>
        <v>3</v>
      </c>
      <c r="N435">
        <f t="shared" si="108"/>
        <v>2025</v>
      </c>
      <c r="Q435" s="22">
        <v>607</v>
      </c>
      <c r="R435" s="22">
        <v>9570</v>
      </c>
      <c r="S435" s="22" t="str">
        <f t="shared" si="109"/>
        <v>EUR</v>
      </c>
      <c r="T435" s="22">
        <f t="shared" si="110"/>
        <v>11101.199999999999</v>
      </c>
      <c r="U435" s="28">
        <v>400</v>
      </c>
      <c r="W435" s="9">
        <v>328</v>
      </c>
      <c r="X435" s="9" t="s">
        <v>29</v>
      </c>
      <c r="AF435">
        <v>455</v>
      </c>
      <c r="AG435" t="s">
        <v>29</v>
      </c>
      <c r="AH435">
        <v>12575</v>
      </c>
      <c r="AI435" s="7">
        <v>46137</v>
      </c>
    </row>
    <row r="436" spans="1:35">
      <c r="A436">
        <v>470</v>
      </c>
      <c r="B436" t="str">
        <f t="shared" si="102"/>
        <v>USD</v>
      </c>
      <c r="C436">
        <f t="shared" si="103"/>
        <v>11081.46</v>
      </c>
      <c r="D436">
        <f>C436*_xlfn.XLOOKUP(B436,AM:AM,AN:AN)</f>
        <v>9530.0555999999997</v>
      </c>
      <c r="E436">
        <f>C436*_xlfn.XLOOKUP(B436,AM:AM,AO:AO)</f>
        <v>11081.46</v>
      </c>
      <c r="F436">
        <v>16761.98</v>
      </c>
      <c r="G436">
        <f>F436*_xlfn.XLOOKUP(B436,AM:AM,AN:AN)</f>
        <v>14415.302799999999</v>
      </c>
      <c r="H436">
        <f>F436*_xlfn.XLOOKUP(B436,AM:AM,AO:AO)</f>
        <v>16761.98</v>
      </c>
      <c r="I436">
        <f t="shared" si="104"/>
        <v>0</v>
      </c>
      <c r="J436">
        <f>I436*_xlfn.XLOOKUP(B436,AM:AM,AO:AO)</f>
        <v>0</v>
      </c>
      <c r="K436" s="7">
        <f t="shared" si="105"/>
        <v>45847</v>
      </c>
      <c r="L436" s="7">
        <f t="shared" si="106"/>
        <v>45817</v>
      </c>
      <c r="M436">
        <f t="shared" si="107"/>
        <v>6</v>
      </c>
      <c r="N436">
        <f t="shared" si="108"/>
        <v>2025</v>
      </c>
      <c r="Q436" s="22">
        <v>608</v>
      </c>
      <c r="R436" s="22">
        <v>7395</v>
      </c>
      <c r="S436" s="22" t="str">
        <f t="shared" si="109"/>
        <v>EUR</v>
      </c>
      <c r="T436" s="22">
        <f t="shared" si="110"/>
        <v>8578.1999999999989</v>
      </c>
      <c r="U436" s="28">
        <v>400</v>
      </c>
      <c r="W436" s="9">
        <v>329</v>
      </c>
      <c r="X436" s="9" t="s">
        <v>28</v>
      </c>
      <c r="AF436">
        <v>456</v>
      </c>
      <c r="AG436" t="s">
        <v>29</v>
      </c>
      <c r="AH436">
        <v>1205</v>
      </c>
      <c r="AI436" s="7">
        <v>45721</v>
      </c>
    </row>
    <row r="437" spans="1:35">
      <c r="A437">
        <v>471</v>
      </c>
      <c r="B437" t="str">
        <f t="shared" si="102"/>
        <v>USD</v>
      </c>
      <c r="C437">
        <f t="shared" si="103"/>
        <v>0</v>
      </c>
      <c r="D437">
        <f>C437*_xlfn.XLOOKUP(B437,AM:AM,AN:AN)</f>
        <v>0</v>
      </c>
      <c r="E437">
        <f>C437*_xlfn.XLOOKUP(B437,AM:AM,AO:AO)</f>
        <v>0</v>
      </c>
      <c r="F437">
        <v>62621</v>
      </c>
      <c r="G437">
        <f>F437*_xlfn.XLOOKUP(B437,AM:AM,AN:AN)</f>
        <v>53854.06</v>
      </c>
      <c r="H437">
        <f>F437*_xlfn.XLOOKUP(B437,AM:AM,AO:AO)</f>
        <v>62621</v>
      </c>
      <c r="I437">
        <f t="shared" si="104"/>
        <v>0</v>
      </c>
      <c r="J437">
        <f>I437*_xlfn.XLOOKUP(B437,AM:AM,AO:AO)</f>
        <v>0</v>
      </c>
      <c r="K437" s="7">
        <f t="shared" si="105"/>
        <v>45767</v>
      </c>
      <c r="L437" s="7">
        <f t="shared" si="106"/>
        <v>45737</v>
      </c>
      <c r="M437">
        <f t="shared" si="107"/>
        <v>3</v>
      </c>
      <c r="N437">
        <f t="shared" si="108"/>
        <v>2025</v>
      </c>
      <c r="Q437" s="22">
        <v>609</v>
      </c>
      <c r="R437" s="22">
        <v>34869.280000000006</v>
      </c>
      <c r="S437" s="22" t="str">
        <f t="shared" si="109"/>
        <v>USD</v>
      </c>
      <c r="T437" s="22">
        <f t="shared" si="110"/>
        <v>34869.280000000006</v>
      </c>
      <c r="U437" s="28">
        <v>400</v>
      </c>
      <c r="W437" s="9">
        <v>329</v>
      </c>
      <c r="X437" s="9" t="s">
        <v>29</v>
      </c>
      <c r="AF437">
        <v>457</v>
      </c>
      <c r="AG437" t="s">
        <v>29</v>
      </c>
      <c r="AH437">
        <v>780</v>
      </c>
      <c r="AI437" s="7">
        <v>45754</v>
      </c>
    </row>
    <row r="438" spans="1:35">
      <c r="A438">
        <v>472</v>
      </c>
      <c r="B438" t="str">
        <f t="shared" si="102"/>
        <v>USD</v>
      </c>
      <c r="C438">
        <f t="shared" si="103"/>
        <v>0</v>
      </c>
      <c r="D438">
        <f>C438*_xlfn.XLOOKUP(B438,AM:AM,AN:AN)</f>
        <v>0</v>
      </c>
      <c r="E438">
        <f>C438*_xlfn.XLOOKUP(B438,AM:AM,AO:AO)</f>
        <v>0</v>
      </c>
      <c r="F438">
        <v>5320.72</v>
      </c>
      <c r="G438">
        <f>F438*_xlfn.XLOOKUP(B438,AM:AM,AN:AN)</f>
        <v>4575.8191999999999</v>
      </c>
      <c r="H438">
        <f>F438*_xlfn.XLOOKUP(B438,AM:AM,AO:AO)</f>
        <v>5320.72</v>
      </c>
      <c r="I438">
        <f t="shared" si="104"/>
        <v>-9.0949470177292824E-13</v>
      </c>
      <c r="J438">
        <f>I438*_xlfn.XLOOKUP(B438,AM:AM,AO:AO)</f>
        <v>-9.0949470177292824E-13</v>
      </c>
      <c r="K438" s="7">
        <f t="shared" si="105"/>
        <v>45712</v>
      </c>
      <c r="L438" s="7">
        <f t="shared" si="106"/>
        <v>45682</v>
      </c>
      <c r="M438">
        <f t="shared" si="107"/>
        <v>1</v>
      </c>
      <c r="N438">
        <f t="shared" si="108"/>
        <v>2025</v>
      </c>
      <c r="Q438" s="22">
        <v>610</v>
      </c>
      <c r="R438" s="22">
        <v>8888</v>
      </c>
      <c r="S438" s="22" t="str">
        <f t="shared" si="109"/>
        <v>USD</v>
      </c>
      <c r="T438" s="22">
        <f t="shared" si="110"/>
        <v>8888</v>
      </c>
      <c r="U438" s="28">
        <v>400</v>
      </c>
      <c r="W438" s="9">
        <v>331</v>
      </c>
      <c r="X438" s="9" t="s">
        <v>29</v>
      </c>
      <c r="AF438">
        <v>458</v>
      </c>
      <c r="AG438" t="s">
        <v>29</v>
      </c>
      <c r="AH438">
        <v>1465</v>
      </c>
      <c r="AI438" s="7">
        <v>45795</v>
      </c>
    </row>
    <row r="439" spans="1:35">
      <c r="A439">
        <v>473</v>
      </c>
      <c r="B439" t="str">
        <f t="shared" si="102"/>
        <v>EUR</v>
      </c>
      <c r="C439">
        <f t="shared" si="103"/>
        <v>0</v>
      </c>
      <c r="D439">
        <f>C439*_xlfn.XLOOKUP(B439,AM:AM,AN:AN)</f>
        <v>0</v>
      </c>
      <c r="E439">
        <f>C439*_xlfn.XLOOKUP(B439,AM:AM,AO:AO)</f>
        <v>0</v>
      </c>
      <c r="F439">
        <v>570</v>
      </c>
      <c r="G439">
        <f>F439*_xlfn.XLOOKUP(B439,AM:AM,AN:AN)</f>
        <v>570</v>
      </c>
      <c r="H439">
        <f>F439*_xlfn.XLOOKUP(B439,AM:AM,AO:AO)</f>
        <v>661.19999999999993</v>
      </c>
      <c r="I439">
        <f t="shared" si="104"/>
        <v>0</v>
      </c>
      <c r="J439">
        <f>I439*_xlfn.XLOOKUP(B439,AM:AM,AO:AO)</f>
        <v>0</v>
      </c>
      <c r="K439" s="7">
        <f t="shared" si="105"/>
        <v>45839</v>
      </c>
      <c r="L439" s="7">
        <f t="shared" si="106"/>
        <v>45809</v>
      </c>
      <c r="M439">
        <f t="shared" si="107"/>
        <v>6</v>
      </c>
      <c r="N439">
        <f t="shared" si="108"/>
        <v>2025</v>
      </c>
      <c r="Q439" s="22">
        <v>613</v>
      </c>
      <c r="R439" s="22">
        <v>18638.25</v>
      </c>
      <c r="S439" s="22" t="str">
        <f t="shared" si="109"/>
        <v>USD</v>
      </c>
      <c r="T439" s="22">
        <f t="shared" si="110"/>
        <v>18638.25</v>
      </c>
      <c r="U439" s="28">
        <v>400</v>
      </c>
      <c r="W439" s="9">
        <v>333</v>
      </c>
      <c r="X439" s="9" t="s">
        <v>29</v>
      </c>
      <c r="AF439">
        <v>459</v>
      </c>
      <c r="AG439" t="s">
        <v>29</v>
      </c>
      <c r="AH439">
        <v>305</v>
      </c>
      <c r="AI439" s="7">
        <v>45804</v>
      </c>
    </row>
    <row r="440" spans="1:35">
      <c r="A440">
        <v>474</v>
      </c>
      <c r="B440" t="str">
        <f t="shared" si="102"/>
        <v>USD</v>
      </c>
      <c r="C440">
        <f t="shared" si="103"/>
        <v>0</v>
      </c>
      <c r="D440">
        <f>C440*_xlfn.XLOOKUP(B440,AM:AM,AN:AN)</f>
        <v>0</v>
      </c>
      <c r="E440">
        <f>C440*_xlfn.XLOOKUP(B440,AM:AM,AO:AO)</f>
        <v>0</v>
      </c>
      <c r="F440">
        <v>5334.66</v>
      </c>
      <c r="G440">
        <f>F440*_xlfn.XLOOKUP(B440,AM:AM,AN:AN)</f>
        <v>4587.8076000000001</v>
      </c>
      <c r="H440">
        <f>F440*_xlfn.XLOOKUP(B440,AM:AM,AO:AO)</f>
        <v>5334.66</v>
      </c>
      <c r="I440">
        <f t="shared" si="104"/>
        <v>0</v>
      </c>
      <c r="J440">
        <f>I440*_xlfn.XLOOKUP(B440,AM:AM,AO:AO)</f>
        <v>0</v>
      </c>
      <c r="K440" s="7">
        <f t="shared" si="105"/>
        <v>45896</v>
      </c>
      <c r="L440" s="7">
        <f t="shared" si="106"/>
        <v>45866</v>
      </c>
      <c r="M440">
        <f t="shared" si="107"/>
        <v>7</v>
      </c>
      <c r="N440">
        <f t="shared" si="108"/>
        <v>2025</v>
      </c>
      <c r="Q440" s="22">
        <v>615</v>
      </c>
      <c r="R440" s="22">
        <v>7230</v>
      </c>
      <c r="S440" s="22" t="str">
        <f t="shared" si="109"/>
        <v>EUR</v>
      </c>
      <c r="T440" s="22">
        <f t="shared" si="110"/>
        <v>8386.7999999999993</v>
      </c>
      <c r="U440" s="28">
        <v>400</v>
      </c>
      <c r="W440" s="9">
        <v>334</v>
      </c>
      <c r="X440" s="9" t="s">
        <v>29</v>
      </c>
      <c r="AF440">
        <v>460</v>
      </c>
      <c r="AG440" t="s">
        <v>29</v>
      </c>
      <c r="AH440">
        <v>2832</v>
      </c>
      <c r="AI440" s="7">
        <v>45840</v>
      </c>
    </row>
    <row r="441" spans="1:35">
      <c r="A441">
        <v>477</v>
      </c>
      <c r="B441" t="str">
        <f t="shared" si="102"/>
        <v>EUR</v>
      </c>
      <c r="C441">
        <f t="shared" si="103"/>
        <v>1437.5</v>
      </c>
      <c r="D441">
        <f>C441*_xlfn.XLOOKUP(B441,AM:AM,AN:AN)</f>
        <v>1437.5</v>
      </c>
      <c r="E441">
        <f>C441*_xlfn.XLOOKUP(B441,AM:AM,AO:AO)</f>
        <v>1667.4999999999998</v>
      </c>
      <c r="F441">
        <v>1437.5</v>
      </c>
      <c r="G441">
        <f>F441*_xlfn.XLOOKUP(B441,AM:AM,AN:AN)</f>
        <v>1437.5</v>
      </c>
      <c r="H441">
        <f>F441*_xlfn.XLOOKUP(B441,AM:AM,AO:AO)</f>
        <v>1667.4999999999998</v>
      </c>
      <c r="I441">
        <f t="shared" si="104"/>
        <v>0</v>
      </c>
      <c r="J441">
        <f>I441*_xlfn.XLOOKUP(B441,AM:AM,AO:AO)</f>
        <v>0</v>
      </c>
      <c r="K441" s="7">
        <f t="shared" si="105"/>
        <v>45854</v>
      </c>
      <c r="L441" s="7">
        <f t="shared" si="106"/>
        <v>45824</v>
      </c>
      <c r="M441">
        <f t="shared" si="107"/>
        <v>6</v>
      </c>
      <c r="N441">
        <f t="shared" si="108"/>
        <v>2025</v>
      </c>
      <c r="Q441" s="22">
        <v>616</v>
      </c>
      <c r="R441" s="22">
        <v>4752</v>
      </c>
      <c r="S441" s="22" t="str">
        <f t="shared" si="109"/>
        <v>CHF</v>
      </c>
      <c r="T441" s="22">
        <f t="shared" si="110"/>
        <v>5940</v>
      </c>
      <c r="U441" s="28">
        <v>400</v>
      </c>
      <c r="W441" s="9">
        <v>335</v>
      </c>
      <c r="X441" s="9" t="s">
        <v>29</v>
      </c>
      <c r="AF441">
        <v>461</v>
      </c>
      <c r="AG441" t="s">
        <v>28</v>
      </c>
      <c r="AH441">
        <v>10222</v>
      </c>
      <c r="AI441" s="7">
        <v>45862</v>
      </c>
    </row>
    <row r="442" spans="1:35">
      <c r="A442">
        <v>478</v>
      </c>
      <c r="B442" t="str">
        <f t="shared" si="102"/>
        <v>USD</v>
      </c>
      <c r="C442">
        <f t="shared" si="103"/>
        <v>0</v>
      </c>
      <c r="D442">
        <f>C442*_xlfn.XLOOKUP(B442,AM:AM,AN:AN)</f>
        <v>0</v>
      </c>
      <c r="E442">
        <f>C442*_xlfn.XLOOKUP(B442,AM:AM,AO:AO)</f>
        <v>0</v>
      </c>
      <c r="F442">
        <v>8311</v>
      </c>
      <c r="G442">
        <f>F442*_xlfn.XLOOKUP(B442,AM:AM,AN:AN)</f>
        <v>7147.46</v>
      </c>
      <c r="H442">
        <f>F442*_xlfn.XLOOKUP(B442,AM:AM,AO:AO)</f>
        <v>8311</v>
      </c>
      <c r="I442">
        <f t="shared" si="104"/>
        <v>0</v>
      </c>
      <c r="J442">
        <f>I442*_xlfn.XLOOKUP(B442,AM:AM,AO:AO)</f>
        <v>0</v>
      </c>
      <c r="K442" s="7">
        <f t="shared" si="105"/>
        <v>45851</v>
      </c>
      <c r="L442" s="7">
        <f t="shared" si="106"/>
        <v>45821</v>
      </c>
      <c r="M442">
        <f t="shared" si="107"/>
        <v>6</v>
      </c>
      <c r="N442">
        <f t="shared" si="108"/>
        <v>2025</v>
      </c>
      <c r="Q442" s="22">
        <v>617</v>
      </c>
      <c r="R442" s="22">
        <v>5171.3899999999994</v>
      </c>
      <c r="S442" s="22" t="str">
        <f t="shared" si="109"/>
        <v>USD</v>
      </c>
      <c r="T442" s="22">
        <f t="shared" si="110"/>
        <v>5171.3899999999994</v>
      </c>
      <c r="U442" s="28">
        <v>400</v>
      </c>
      <c r="W442" s="9">
        <v>336</v>
      </c>
      <c r="X442" s="9" t="s">
        <v>29</v>
      </c>
      <c r="AF442">
        <v>462</v>
      </c>
      <c r="AG442" t="s">
        <v>29</v>
      </c>
      <c r="AH442">
        <v>28332.89</v>
      </c>
      <c r="AI442" s="7">
        <v>45902</v>
      </c>
    </row>
    <row r="443" spans="1:35">
      <c r="A443">
        <v>479</v>
      </c>
      <c r="B443" t="str">
        <f t="shared" si="102"/>
        <v>USD</v>
      </c>
      <c r="C443">
        <f t="shared" si="103"/>
        <v>0</v>
      </c>
      <c r="D443">
        <f>C443*_xlfn.XLOOKUP(B443,AM:AM,AN:AN)</f>
        <v>0</v>
      </c>
      <c r="E443">
        <f>C443*_xlfn.XLOOKUP(B443,AM:AM,AO:AO)</f>
        <v>0</v>
      </c>
      <c r="F443">
        <v>3878</v>
      </c>
      <c r="G443">
        <f>F443*_xlfn.XLOOKUP(B443,AM:AM,AN:AN)</f>
        <v>3335.08</v>
      </c>
      <c r="H443">
        <f>F443*_xlfn.XLOOKUP(B443,AM:AM,AO:AO)</f>
        <v>3878</v>
      </c>
      <c r="I443">
        <f t="shared" si="104"/>
        <v>0</v>
      </c>
      <c r="J443">
        <f>I443*_xlfn.XLOOKUP(B443,AM:AM,AO:AO)</f>
        <v>0</v>
      </c>
      <c r="K443" s="7">
        <f t="shared" si="105"/>
        <v>45855</v>
      </c>
      <c r="L443" s="7">
        <f t="shared" si="106"/>
        <v>45825</v>
      </c>
      <c r="M443">
        <f t="shared" si="107"/>
        <v>6</v>
      </c>
      <c r="N443">
        <f t="shared" si="108"/>
        <v>2025</v>
      </c>
      <c r="Q443" s="22">
        <v>618</v>
      </c>
      <c r="R443" s="22">
        <v>1920</v>
      </c>
      <c r="S443" s="22" t="str">
        <f t="shared" si="109"/>
        <v>EUR</v>
      </c>
      <c r="T443" s="22">
        <f t="shared" si="110"/>
        <v>2227.1999999999998</v>
      </c>
      <c r="U443" s="28">
        <v>400</v>
      </c>
      <c r="W443" s="9">
        <v>337</v>
      </c>
      <c r="X443" s="9" t="s">
        <v>29</v>
      </c>
      <c r="AF443">
        <v>463</v>
      </c>
      <c r="AG443" t="s">
        <v>28</v>
      </c>
      <c r="AH443">
        <v>34866</v>
      </c>
      <c r="AI443" s="7">
        <v>45847</v>
      </c>
    </row>
    <row r="444" spans="1:35">
      <c r="A444">
        <v>480</v>
      </c>
      <c r="B444" t="str">
        <f t="shared" si="102"/>
        <v>USD</v>
      </c>
      <c r="C444">
        <f t="shared" si="103"/>
        <v>0</v>
      </c>
      <c r="D444">
        <f>C444*_xlfn.XLOOKUP(B444,AM:AM,AN:AN)</f>
        <v>0</v>
      </c>
      <c r="E444">
        <f>C444*_xlfn.XLOOKUP(B444,AM:AM,AO:AO)</f>
        <v>0</v>
      </c>
      <c r="F444">
        <v>4998</v>
      </c>
      <c r="G444">
        <f>F444*_xlfn.XLOOKUP(B444,AM:AM,AN:AN)</f>
        <v>4298.28</v>
      </c>
      <c r="H444">
        <f>F444*_xlfn.XLOOKUP(B444,AM:AM,AO:AO)</f>
        <v>4998</v>
      </c>
      <c r="I444">
        <f t="shared" si="104"/>
        <v>0</v>
      </c>
      <c r="J444">
        <f>I444*_xlfn.XLOOKUP(B444,AM:AM,AO:AO)</f>
        <v>0</v>
      </c>
      <c r="K444" s="7">
        <f t="shared" si="105"/>
        <v>45863</v>
      </c>
      <c r="L444" s="7">
        <f t="shared" si="106"/>
        <v>45833</v>
      </c>
      <c r="M444">
        <f t="shared" si="107"/>
        <v>6</v>
      </c>
      <c r="N444">
        <f t="shared" si="108"/>
        <v>2025</v>
      </c>
      <c r="Q444" s="22">
        <v>622</v>
      </c>
      <c r="R444" s="22">
        <v>3010</v>
      </c>
      <c r="S444" s="22" t="str">
        <f t="shared" si="109"/>
        <v>EUR</v>
      </c>
      <c r="T444" s="22">
        <f t="shared" si="110"/>
        <v>3491.6</v>
      </c>
      <c r="U444" s="28">
        <v>400</v>
      </c>
      <c r="W444" s="9">
        <v>337</v>
      </c>
      <c r="X444" s="9" t="s">
        <v>29</v>
      </c>
      <c r="AF444">
        <v>464</v>
      </c>
      <c r="AG444" t="s">
        <v>29</v>
      </c>
      <c r="AH444">
        <v>2267.5</v>
      </c>
      <c r="AI444" s="7">
        <v>45838</v>
      </c>
    </row>
    <row r="445" spans="1:35">
      <c r="A445">
        <v>481</v>
      </c>
      <c r="B445" t="str">
        <f t="shared" si="102"/>
        <v>USD</v>
      </c>
      <c r="C445">
        <f t="shared" si="103"/>
        <v>70</v>
      </c>
      <c r="D445">
        <f>C445*_xlfn.XLOOKUP(B445,AM:AM,AN:AN)</f>
        <v>60.199999999999996</v>
      </c>
      <c r="E445">
        <f>C445*_xlfn.XLOOKUP(B445,AM:AM,AO:AO)</f>
        <v>70</v>
      </c>
      <c r="F445">
        <v>5122.76</v>
      </c>
      <c r="G445">
        <f>F445*_xlfn.XLOOKUP(B445,AM:AM,AN:AN)</f>
        <v>4405.5735999999997</v>
      </c>
      <c r="H445">
        <f>F445*_xlfn.XLOOKUP(B445,AM:AM,AO:AO)</f>
        <v>5122.76</v>
      </c>
      <c r="I445">
        <f t="shared" si="104"/>
        <v>0</v>
      </c>
      <c r="J445">
        <f>I445*_xlfn.XLOOKUP(B445,AM:AM,AO:AO)</f>
        <v>0</v>
      </c>
      <c r="K445" s="7">
        <f t="shared" si="105"/>
        <v>45860</v>
      </c>
      <c r="L445" s="7">
        <f t="shared" si="106"/>
        <v>45830</v>
      </c>
      <c r="M445">
        <f t="shared" si="107"/>
        <v>6</v>
      </c>
      <c r="N445">
        <f t="shared" si="108"/>
        <v>2025</v>
      </c>
      <c r="Q445" s="22">
        <v>624</v>
      </c>
      <c r="R445" s="22">
        <v>7360.8</v>
      </c>
      <c r="S445" s="22" t="str">
        <f t="shared" si="109"/>
        <v>USD</v>
      </c>
      <c r="T445" s="22">
        <f t="shared" si="110"/>
        <v>7360.8</v>
      </c>
      <c r="U445" s="28">
        <v>400</v>
      </c>
      <c r="W445" s="9">
        <v>340</v>
      </c>
      <c r="X445" s="9" t="s">
        <v>29</v>
      </c>
      <c r="AF445">
        <v>465</v>
      </c>
      <c r="AG445" t="s">
        <v>27</v>
      </c>
      <c r="AH445">
        <v>9065</v>
      </c>
      <c r="AI445" s="7">
        <v>45869</v>
      </c>
    </row>
    <row r="446" spans="1:35">
      <c r="A446">
        <v>482</v>
      </c>
      <c r="B446" t="str">
        <f t="shared" si="102"/>
        <v>EUR</v>
      </c>
      <c r="C446">
        <f t="shared" si="103"/>
        <v>0</v>
      </c>
      <c r="D446">
        <f>C446*_xlfn.XLOOKUP(B446,AM:AM,AN:AN)</f>
        <v>0</v>
      </c>
      <c r="E446">
        <f>C446*_xlfn.XLOOKUP(B446,AM:AM,AO:AO)</f>
        <v>0</v>
      </c>
      <c r="F446">
        <v>13118.4</v>
      </c>
      <c r="G446">
        <f>F446*_xlfn.XLOOKUP(B446,AM:AM,AN:AN)</f>
        <v>13118.4</v>
      </c>
      <c r="H446">
        <f>F446*_xlfn.XLOOKUP(B446,AM:AM,AO:AO)</f>
        <v>15217.343999999999</v>
      </c>
      <c r="I446">
        <f t="shared" si="104"/>
        <v>0</v>
      </c>
      <c r="J446">
        <f>I446*_xlfn.XLOOKUP(B446,AM:AM,AO:AO)</f>
        <v>0</v>
      </c>
      <c r="K446" s="7">
        <f t="shared" si="105"/>
        <v>45843</v>
      </c>
      <c r="L446" s="7">
        <f t="shared" si="106"/>
        <v>45813</v>
      </c>
      <c r="M446">
        <f t="shared" si="107"/>
        <v>6</v>
      </c>
      <c r="N446">
        <f t="shared" si="108"/>
        <v>2025</v>
      </c>
      <c r="Q446" s="22">
        <v>625</v>
      </c>
      <c r="R446" s="22">
        <v>379735</v>
      </c>
      <c r="S446" s="22" t="str">
        <f t="shared" si="109"/>
        <v>JPY</v>
      </c>
      <c r="T446" s="22">
        <f t="shared" si="110"/>
        <v>2430.3040000000001</v>
      </c>
      <c r="U446" s="28">
        <v>400</v>
      </c>
      <c r="W446" s="9">
        <v>340</v>
      </c>
      <c r="X446" s="9" t="s">
        <v>29</v>
      </c>
      <c r="AF446">
        <v>466</v>
      </c>
      <c r="AG446" t="s">
        <v>29</v>
      </c>
      <c r="AH446">
        <v>7936.29</v>
      </c>
      <c r="AI446" s="7">
        <v>45950</v>
      </c>
    </row>
    <row r="447" spans="1:35">
      <c r="A447">
        <v>483</v>
      </c>
      <c r="B447" t="str">
        <f t="shared" si="102"/>
        <v>GPB</v>
      </c>
      <c r="C447">
        <f t="shared" si="103"/>
        <v>0</v>
      </c>
      <c r="D447">
        <f>C447*_xlfn.XLOOKUP(B447,AM:AM,AN:AN)</f>
        <v>0</v>
      </c>
      <c r="E447">
        <f>C447*_xlfn.XLOOKUP(B447,AM:AM,AO:AO)</f>
        <v>0</v>
      </c>
      <c r="F447">
        <v>11170</v>
      </c>
      <c r="G447">
        <f>F447*_xlfn.XLOOKUP(B447,AM:AM,AN:AN)</f>
        <v>12845.499999999998</v>
      </c>
      <c r="H447">
        <f>F447*_xlfn.XLOOKUP(B447,AM:AM,AO:AO)</f>
        <v>14967.800000000001</v>
      </c>
      <c r="I447">
        <f t="shared" si="104"/>
        <v>0</v>
      </c>
      <c r="J447">
        <f>I447*_xlfn.XLOOKUP(B447,AM:AM,AO:AO)</f>
        <v>0</v>
      </c>
      <c r="K447" s="7">
        <f t="shared" si="105"/>
        <v>45845</v>
      </c>
      <c r="L447" s="7">
        <f t="shared" si="106"/>
        <v>45815</v>
      </c>
      <c r="M447">
        <f t="shared" si="107"/>
        <v>6</v>
      </c>
      <c r="N447">
        <f t="shared" si="108"/>
        <v>2025</v>
      </c>
      <c r="Q447" s="22">
        <v>626</v>
      </c>
      <c r="R447" s="22">
        <v>349075</v>
      </c>
      <c r="S447" s="22" t="str">
        <f t="shared" si="109"/>
        <v>JPY</v>
      </c>
      <c r="T447" s="22">
        <f t="shared" si="110"/>
        <v>2234.08</v>
      </c>
      <c r="U447" s="28">
        <v>400</v>
      </c>
      <c r="W447" s="9">
        <v>340</v>
      </c>
      <c r="X447" s="9" t="s">
        <v>29</v>
      </c>
      <c r="AF447">
        <v>467</v>
      </c>
      <c r="AG447" t="s">
        <v>28</v>
      </c>
      <c r="AH447">
        <v>80360.45</v>
      </c>
      <c r="AI447" s="7">
        <v>45805</v>
      </c>
    </row>
    <row r="448" spans="1:35">
      <c r="A448">
        <v>484</v>
      </c>
      <c r="B448" t="str">
        <f t="shared" si="102"/>
        <v>USD</v>
      </c>
      <c r="C448">
        <f t="shared" si="103"/>
        <v>0</v>
      </c>
      <c r="D448">
        <f>C448*_xlfn.XLOOKUP(B448,AM:AM,AN:AN)</f>
        <v>0</v>
      </c>
      <c r="E448">
        <f>C448*_xlfn.XLOOKUP(B448,AM:AM,AO:AO)</f>
        <v>0</v>
      </c>
      <c r="F448">
        <v>6901.05</v>
      </c>
      <c r="G448">
        <f>F448*_xlfn.XLOOKUP(B448,AM:AM,AN:AN)</f>
        <v>5934.9030000000002</v>
      </c>
      <c r="H448">
        <f>F448*_xlfn.XLOOKUP(B448,AM:AM,AO:AO)</f>
        <v>6901.05</v>
      </c>
      <c r="I448">
        <f t="shared" si="104"/>
        <v>0</v>
      </c>
      <c r="J448">
        <f>I448*_xlfn.XLOOKUP(B448,AM:AM,AO:AO)</f>
        <v>0</v>
      </c>
      <c r="K448" s="7">
        <f t="shared" si="105"/>
        <v>45825</v>
      </c>
      <c r="L448" s="7">
        <f t="shared" si="106"/>
        <v>45795</v>
      </c>
      <c r="M448">
        <f t="shared" si="107"/>
        <v>5</v>
      </c>
      <c r="N448">
        <f t="shared" si="108"/>
        <v>2025</v>
      </c>
      <c r="Q448" s="22">
        <v>627</v>
      </c>
      <c r="R448" s="22">
        <v>1230.3</v>
      </c>
      <c r="S448" s="22" t="str">
        <f t="shared" si="109"/>
        <v>GPB</v>
      </c>
      <c r="T448" s="22">
        <f t="shared" si="110"/>
        <v>1648.6020000000001</v>
      </c>
      <c r="U448" s="28">
        <v>400</v>
      </c>
      <c r="W448" s="9">
        <v>340</v>
      </c>
      <c r="X448" s="9" t="s">
        <v>29</v>
      </c>
      <c r="AF448">
        <v>468</v>
      </c>
      <c r="AG448" t="s">
        <v>29</v>
      </c>
      <c r="AH448">
        <v>31335.84</v>
      </c>
      <c r="AI448" s="7">
        <v>45945</v>
      </c>
    </row>
    <row r="449" spans="1:35">
      <c r="A449">
        <v>485</v>
      </c>
      <c r="B449" t="str">
        <f t="shared" si="102"/>
        <v>USD</v>
      </c>
      <c r="C449">
        <f t="shared" si="103"/>
        <v>13303.2</v>
      </c>
      <c r="D449">
        <f>C449*_xlfn.XLOOKUP(B449,AM:AM,AN:AN)</f>
        <v>11440.752</v>
      </c>
      <c r="E449">
        <f>C449*_xlfn.XLOOKUP(B449,AM:AM,AO:AO)</f>
        <v>13303.2</v>
      </c>
      <c r="F449">
        <v>13303.2</v>
      </c>
      <c r="G449">
        <f>F449*_xlfn.XLOOKUP(B449,AM:AM,AN:AN)</f>
        <v>11440.752</v>
      </c>
      <c r="H449">
        <f>F449*_xlfn.XLOOKUP(B449,AM:AM,AO:AO)</f>
        <v>13303.2</v>
      </c>
      <c r="I449">
        <f t="shared" si="104"/>
        <v>0</v>
      </c>
      <c r="J449">
        <f>I449*_xlfn.XLOOKUP(B449,AM:AM,AO:AO)</f>
        <v>0</v>
      </c>
      <c r="K449" s="7">
        <f t="shared" si="105"/>
        <v>45874</v>
      </c>
      <c r="L449" s="7">
        <f t="shared" si="106"/>
        <v>45844</v>
      </c>
      <c r="M449">
        <f t="shared" si="107"/>
        <v>7</v>
      </c>
      <c r="N449">
        <f t="shared" si="108"/>
        <v>2025</v>
      </c>
      <c r="Q449" s="22">
        <v>628</v>
      </c>
      <c r="R449" s="22">
        <v>421.57000000000005</v>
      </c>
      <c r="S449" s="22" t="str">
        <f t="shared" si="109"/>
        <v>USD</v>
      </c>
      <c r="T449" s="22">
        <f t="shared" si="110"/>
        <v>421.57000000000005</v>
      </c>
      <c r="U449" s="28">
        <v>400</v>
      </c>
      <c r="W449" s="9">
        <v>342</v>
      </c>
      <c r="X449" s="9" t="s">
        <v>28</v>
      </c>
      <c r="AF449">
        <v>469</v>
      </c>
      <c r="AG449" t="s">
        <v>29</v>
      </c>
      <c r="AH449">
        <v>670.22</v>
      </c>
      <c r="AI449" s="7">
        <v>45766</v>
      </c>
    </row>
    <row r="450" spans="1:35">
      <c r="A450">
        <v>486</v>
      </c>
      <c r="B450" t="str">
        <f t="shared" si="102"/>
        <v>EUR</v>
      </c>
      <c r="C450">
        <f t="shared" si="103"/>
        <v>7354</v>
      </c>
      <c r="D450">
        <f>C450*_xlfn.XLOOKUP(B450,AM:AM,AN:AN)</f>
        <v>7354</v>
      </c>
      <c r="E450">
        <f>C450*_xlfn.XLOOKUP(B450,AM:AM,AO:AO)</f>
        <v>8530.64</v>
      </c>
      <c r="F450">
        <v>32878</v>
      </c>
      <c r="G450">
        <f>F450*_xlfn.XLOOKUP(B450,AM:AM,AN:AN)</f>
        <v>32878</v>
      </c>
      <c r="H450">
        <f>F450*_xlfn.XLOOKUP(B450,AM:AM,AO:AO)</f>
        <v>38138.479999999996</v>
      </c>
      <c r="I450">
        <f t="shared" si="104"/>
        <v>0</v>
      </c>
      <c r="J450">
        <f>I450*_xlfn.XLOOKUP(B450,AM:AM,AO:AO)</f>
        <v>0</v>
      </c>
      <c r="K450" s="7">
        <f t="shared" si="105"/>
        <v>45861</v>
      </c>
      <c r="L450" s="7">
        <f t="shared" si="106"/>
        <v>45831</v>
      </c>
      <c r="M450">
        <f t="shared" si="107"/>
        <v>6</v>
      </c>
      <c r="N450">
        <f t="shared" si="108"/>
        <v>2025</v>
      </c>
      <c r="Q450" s="22">
        <v>629</v>
      </c>
      <c r="R450" s="22">
        <v>8936.83</v>
      </c>
      <c r="S450" s="22" t="str">
        <f t="shared" si="109"/>
        <v>USD</v>
      </c>
      <c r="T450" s="22">
        <f t="shared" si="110"/>
        <v>8936.83</v>
      </c>
      <c r="U450" s="28">
        <v>400</v>
      </c>
      <c r="W450" s="9">
        <v>342</v>
      </c>
      <c r="X450" s="9" t="s">
        <v>28</v>
      </c>
      <c r="AF450">
        <v>470</v>
      </c>
      <c r="AG450" t="s">
        <v>29</v>
      </c>
      <c r="AH450">
        <v>16761.98</v>
      </c>
      <c r="AI450" s="7">
        <v>45847</v>
      </c>
    </row>
    <row r="451" spans="1:35">
      <c r="A451">
        <v>487</v>
      </c>
      <c r="B451" t="str">
        <f t="shared" ref="B451:B514" si="120">_xlfn.XLOOKUP(A451,AF:AF,AG:AG)</f>
        <v>USD</v>
      </c>
      <c r="C451">
        <f t="shared" ref="C451:C514" si="121">_xlfn.XLOOKUP(A451,AF:AF,AH:AH)-_xlfn.XLOOKUP(A451,Q:Q,R:R,"0")</f>
        <v>175</v>
      </c>
      <c r="D451">
        <f>C451*_xlfn.XLOOKUP(B451,AM:AM,AN:AN)</f>
        <v>150.5</v>
      </c>
      <c r="E451">
        <f>C451*_xlfn.XLOOKUP(B451,AM:AM,AO:AO)</f>
        <v>175</v>
      </c>
      <c r="F451">
        <v>9628.11</v>
      </c>
      <c r="G451">
        <f>F451*_xlfn.XLOOKUP(B451,AM:AM,AN:AN)</f>
        <v>8280.1746000000003</v>
      </c>
      <c r="H451">
        <f>F451*_xlfn.XLOOKUP(B451,AM:AM,AO:AO)</f>
        <v>9628.11</v>
      </c>
      <c r="I451">
        <f t="shared" ref="I451:I514" si="122">C451-F451+_xlfn.XLOOKUP(A451,Q:Q,R:R,"0")-_xlfn.XLOOKUP(A451,Z:Z,AA:AA,"0")</f>
        <v>0</v>
      </c>
      <c r="J451">
        <f>I451*_xlfn.XLOOKUP(B451,AM:AM,AO:AO)</f>
        <v>0</v>
      </c>
      <c r="K451" s="7">
        <f t="shared" ref="K451:K514" si="123">_xlfn.XLOOKUP(A451,AF:AF,AI:AI)</f>
        <v>45845</v>
      </c>
      <c r="L451" s="7">
        <f t="shared" ref="L451:L512" si="124">K451-30</f>
        <v>45815</v>
      </c>
      <c r="M451">
        <f t="shared" ref="M451:M512" si="125">MONTH(L451)</f>
        <v>6</v>
      </c>
      <c r="N451">
        <f t="shared" ref="N451:N512" si="126">YEAR(L451)</f>
        <v>2025</v>
      </c>
      <c r="Q451" s="22">
        <v>630</v>
      </c>
      <c r="R451" s="22">
        <v>1738.56</v>
      </c>
      <c r="S451" s="22" t="str">
        <f t="shared" ref="S451:S514" si="127">_xlfn.XLOOKUP(Q451,W:W,X:X)</f>
        <v>USD</v>
      </c>
      <c r="T451" s="22">
        <f t="shared" si="110"/>
        <v>1738.56</v>
      </c>
      <c r="U451" s="28">
        <v>400</v>
      </c>
      <c r="W451" s="9">
        <v>342</v>
      </c>
      <c r="X451" s="9" t="s">
        <v>28</v>
      </c>
      <c r="AF451">
        <v>471</v>
      </c>
      <c r="AG451" t="s">
        <v>29</v>
      </c>
      <c r="AH451">
        <v>62621</v>
      </c>
      <c r="AI451" s="7">
        <v>45767</v>
      </c>
    </row>
    <row r="452" spans="1:35">
      <c r="A452">
        <v>488</v>
      </c>
      <c r="B452" t="str">
        <f t="shared" si="120"/>
        <v>EUR</v>
      </c>
      <c r="C452">
        <f t="shared" si="121"/>
        <v>73676</v>
      </c>
      <c r="D452">
        <f>C452*_xlfn.XLOOKUP(B452,AM:AM,AN:AN)</f>
        <v>73676</v>
      </c>
      <c r="E452">
        <f>C452*_xlfn.XLOOKUP(B452,AM:AM,AO:AO)</f>
        <v>85464.159999999989</v>
      </c>
      <c r="F452">
        <v>73676</v>
      </c>
      <c r="G452">
        <f>F452*_xlfn.XLOOKUP(B452,AM:AM,AN:AN)</f>
        <v>73676</v>
      </c>
      <c r="H452">
        <f>F452*_xlfn.XLOOKUP(B452,AM:AM,AO:AO)</f>
        <v>85464.159999999989</v>
      </c>
      <c r="I452">
        <f t="shared" si="122"/>
        <v>0</v>
      </c>
      <c r="J452">
        <f>I452*_xlfn.XLOOKUP(B452,AM:AM,AO:AO)</f>
        <v>0</v>
      </c>
      <c r="K452" s="7">
        <f t="shared" si="123"/>
        <v>46012</v>
      </c>
      <c r="L452" s="7">
        <f t="shared" si="124"/>
        <v>45982</v>
      </c>
      <c r="M452">
        <f t="shared" si="125"/>
        <v>11</v>
      </c>
      <c r="N452">
        <f t="shared" si="126"/>
        <v>2025</v>
      </c>
      <c r="Q452" s="22">
        <v>633</v>
      </c>
      <c r="R452" s="22">
        <v>3630</v>
      </c>
      <c r="S452" s="22" t="str">
        <f t="shared" si="127"/>
        <v>EUR</v>
      </c>
      <c r="T452" s="22">
        <f t="shared" si="110"/>
        <v>4210.7999999999993</v>
      </c>
      <c r="U452" s="28">
        <v>400</v>
      </c>
      <c r="W452" s="9">
        <v>343</v>
      </c>
      <c r="X452" s="9" t="s">
        <v>29</v>
      </c>
      <c r="AF452">
        <v>472</v>
      </c>
      <c r="AG452" t="s">
        <v>29</v>
      </c>
      <c r="AH452">
        <v>5320.72</v>
      </c>
      <c r="AI452" s="7">
        <v>45712</v>
      </c>
    </row>
    <row r="453" spans="1:35">
      <c r="A453">
        <v>489</v>
      </c>
      <c r="B453" t="str">
        <f t="shared" si="120"/>
        <v>USD</v>
      </c>
      <c r="C453">
        <f t="shared" si="121"/>
        <v>14350.509999999995</v>
      </c>
      <c r="D453">
        <f>C453*_xlfn.XLOOKUP(B453,AM:AM,AN:AN)</f>
        <v>12341.438599999996</v>
      </c>
      <c r="E453">
        <f>C453*_xlfn.XLOOKUP(B453,AM:AM,AO:AO)</f>
        <v>14350.509999999995</v>
      </c>
      <c r="F453">
        <v>75742.37</v>
      </c>
      <c r="G453">
        <f>F453*_xlfn.XLOOKUP(B453,AM:AM,AN:AN)</f>
        <v>65138.438199999997</v>
      </c>
      <c r="H453">
        <f>F453*_xlfn.XLOOKUP(B453,AM:AM,AO:AO)</f>
        <v>75742.37</v>
      </c>
      <c r="I453">
        <f t="shared" si="122"/>
        <v>0</v>
      </c>
      <c r="J453">
        <f>I453*_xlfn.XLOOKUP(B453,AM:AM,AO:AO)</f>
        <v>0</v>
      </c>
      <c r="K453" s="7">
        <f t="shared" si="123"/>
        <v>45901</v>
      </c>
      <c r="L453" s="7">
        <f t="shared" si="124"/>
        <v>45871</v>
      </c>
      <c r="M453">
        <f t="shared" si="125"/>
        <v>8</v>
      </c>
      <c r="N453">
        <f t="shared" si="126"/>
        <v>2025</v>
      </c>
      <c r="Q453" s="22">
        <v>634</v>
      </c>
      <c r="R453" s="22">
        <v>3528</v>
      </c>
      <c r="S453" s="22" t="str">
        <f t="shared" si="127"/>
        <v>EUR</v>
      </c>
      <c r="T453" s="22">
        <f t="shared" si="110"/>
        <v>4092.4799999999996</v>
      </c>
      <c r="U453" s="28">
        <v>400</v>
      </c>
      <c r="W453" s="9">
        <v>345</v>
      </c>
      <c r="X453" s="9" t="s">
        <v>27</v>
      </c>
      <c r="AF453">
        <v>473</v>
      </c>
      <c r="AG453" t="s">
        <v>27</v>
      </c>
      <c r="AH453">
        <v>570</v>
      </c>
      <c r="AI453" s="7">
        <v>45839</v>
      </c>
    </row>
    <row r="454" spans="1:35">
      <c r="A454">
        <v>490</v>
      </c>
      <c r="B454" t="str">
        <f t="shared" si="120"/>
        <v>USD</v>
      </c>
      <c r="C454">
        <f t="shared" si="121"/>
        <v>0</v>
      </c>
      <c r="D454">
        <f>C454*_xlfn.XLOOKUP(B454,AM:AM,AN:AN)</f>
        <v>0</v>
      </c>
      <c r="E454">
        <f>C454*_xlfn.XLOOKUP(B454,AM:AM,AO:AO)</f>
        <v>0</v>
      </c>
      <c r="F454">
        <v>2648</v>
      </c>
      <c r="G454">
        <f>F454*_xlfn.XLOOKUP(B454,AM:AM,AN:AN)</f>
        <v>2277.2799999999997</v>
      </c>
      <c r="H454">
        <f>F454*_xlfn.XLOOKUP(B454,AM:AM,AO:AO)</f>
        <v>2648</v>
      </c>
      <c r="I454">
        <f t="shared" si="122"/>
        <v>0</v>
      </c>
      <c r="J454">
        <f>I454*_xlfn.XLOOKUP(B454,AM:AM,AO:AO)</f>
        <v>0</v>
      </c>
      <c r="K454" s="7">
        <f t="shared" si="123"/>
        <v>45865</v>
      </c>
      <c r="L454" s="7">
        <f t="shared" si="124"/>
        <v>45835</v>
      </c>
      <c r="M454">
        <f t="shared" si="125"/>
        <v>6</v>
      </c>
      <c r="N454">
        <f t="shared" si="126"/>
        <v>2025</v>
      </c>
      <c r="Q454" s="22">
        <v>635</v>
      </c>
      <c r="R454" s="22">
        <v>5000</v>
      </c>
      <c r="S454" s="22" t="str">
        <f t="shared" si="127"/>
        <v>GPB</v>
      </c>
      <c r="T454" s="22">
        <f t="shared" si="110"/>
        <v>6700</v>
      </c>
      <c r="U454" s="28">
        <v>400</v>
      </c>
      <c r="W454" s="9">
        <v>346</v>
      </c>
      <c r="X454" s="9" t="s">
        <v>29</v>
      </c>
      <c r="AF454">
        <v>474</v>
      </c>
      <c r="AG454" t="s">
        <v>29</v>
      </c>
      <c r="AH454">
        <v>5334.66</v>
      </c>
      <c r="AI454" s="7">
        <v>45896</v>
      </c>
    </row>
    <row r="455" spans="1:35">
      <c r="A455">
        <v>491</v>
      </c>
      <c r="B455" t="str">
        <f t="shared" si="120"/>
        <v>USD</v>
      </c>
      <c r="C455">
        <f t="shared" si="121"/>
        <v>0</v>
      </c>
      <c r="D455">
        <f>C455*_xlfn.XLOOKUP(B455,AM:AM,AN:AN)</f>
        <v>0</v>
      </c>
      <c r="E455">
        <f>C455*_xlfn.XLOOKUP(B455,AM:AM,AO:AO)</f>
        <v>0</v>
      </c>
      <c r="F455">
        <v>5691</v>
      </c>
      <c r="G455">
        <f>F455*_xlfn.XLOOKUP(B455,AM:AM,AN:AN)</f>
        <v>4894.26</v>
      </c>
      <c r="H455">
        <f>F455*_xlfn.XLOOKUP(B455,AM:AM,AO:AO)</f>
        <v>5691</v>
      </c>
      <c r="I455">
        <f t="shared" si="122"/>
        <v>0</v>
      </c>
      <c r="J455">
        <f>I455*_xlfn.XLOOKUP(B455,AM:AM,AO:AO)</f>
        <v>0</v>
      </c>
      <c r="K455" s="7">
        <f t="shared" si="123"/>
        <v>45867</v>
      </c>
      <c r="L455" s="7">
        <f t="shared" si="124"/>
        <v>45837</v>
      </c>
      <c r="M455">
        <f t="shared" si="125"/>
        <v>6</v>
      </c>
      <c r="N455">
        <f t="shared" si="126"/>
        <v>2025</v>
      </c>
      <c r="Q455" s="22">
        <v>636</v>
      </c>
      <c r="R455" s="22">
        <v>1221</v>
      </c>
      <c r="S455" s="22" t="str">
        <f t="shared" si="127"/>
        <v>EUR</v>
      </c>
      <c r="T455" s="22">
        <f t="shared" si="110"/>
        <v>1416.36</v>
      </c>
      <c r="U455" s="28">
        <v>400</v>
      </c>
      <c r="W455" s="9">
        <v>348</v>
      </c>
      <c r="X455" s="9" t="s">
        <v>29</v>
      </c>
      <c r="AF455">
        <v>477</v>
      </c>
      <c r="AG455" t="s">
        <v>27</v>
      </c>
      <c r="AH455">
        <v>1437.5</v>
      </c>
      <c r="AI455" s="7">
        <v>45854</v>
      </c>
    </row>
    <row r="456" spans="1:35">
      <c r="A456">
        <v>492</v>
      </c>
      <c r="B456" t="str">
        <f t="shared" si="120"/>
        <v>MXN</v>
      </c>
      <c r="C456">
        <f t="shared" si="121"/>
        <v>746.77999999999884</v>
      </c>
      <c r="D456">
        <f>C456*_xlfn.XLOOKUP(B456,AM:AM,AN:AN)</f>
        <v>35.845439999999947</v>
      </c>
      <c r="E456">
        <f>C456*_xlfn.XLOOKUP(B456,AM:AM,AO:AO)</f>
        <v>41.819679999999934</v>
      </c>
      <c r="F456">
        <v>85053.78</v>
      </c>
      <c r="G456">
        <f>F456*_xlfn.XLOOKUP(B456,AM:AM,AN:AN)</f>
        <v>4082.5814399999999</v>
      </c>
      <c r="H456">
        <f>F456*_xlfn.XLOOKUP(B456,AM:AM,AO:AO)</f>
        <v>4763.0116799999996</v>
      </c>
      <c r="I456">
        <f t="shared" si="122"/>
        <v>0</v>
      </c>
      <c r="J456">
        <f>I456*_xlfn.XLOOKUP(B456,AM:AM,AO:AO)</f>
        <v>0</v>
      </c>
      <c r="K456" s="7">
        <f t="shared" si="123"/>
        <v>45848</v>
      </c>
      <c r="L456" s="7">
        <f t="shared" si="124"/>
        <v>45818</v>
      </c>
      <c r="M456">
        <f t="shared" si="125"/>
        <v>6</v>
      </c>
      <c r="N456">
        <f t="shared" si="126"/>
        <v>2025</v>
      </c>
      <c r="Q456" s="22">
        <v>637</v>
      </c>
      <c r="R456" s="22">
        <v>1158.04</v>
      </c>
      <c r="S456" s="22" t="str">
        <f t="shared" si="127"/>
        <v>EUR</v>
      </c>
      <c r="T456" s="22">
        <f t="shared" si="110"/>
        <v>1343.3263999999999</v>
      </c>
      <c r="U456" s="28">
        <v>400</v>
      </c>
      <c r="W456" s="9">
        <v>350</v>
      </c>
      <c r="X456" s="9" t="s">
        <v>29</v>
      </c>
      <c r="AF456">
        <v>478</v>
      </c>
      <c r="AG456" t="s">
        <v>29</v>
      </c>
      <c r="AH456">
        <v>8311</v>
      </c>
      <c r="AI456" s="7">
        <v>45851</v>
      </c>
    </row>
    <row r="457" spans="1:35">
      <c r="A457">
        <v>493</v>
      </c>
      <c r="B457" t="str">
        <f t="shared" si="120"/>
        <v>USD</v>
      </c>
      <c r="C457">
        <f t="shared" si="121"/>
        <v>35</v>
      </c>
      <c r="D457">
        <f>C457*_xlfn.XLOOKUP(B457,AM:AM,AN:AN)</f>
        <v>30.099999999999998</v>
      </c>
      <c r="E457">
        <f>C457*_xlfn.XLOOKUP(B457,AM:AM,AO:AO)</f>
        <v>35</v>
      </c>
      <c r="F457">
        <v>645.15</v>
      </c>
      <c r="G457">
        <f>F457*_xlfn.XLOOKUP(B457,AM:AM,AN:AN)</f>
        <v>554.82899999999995</v>
      </c>
      <c r="H457">
        <f>F457*_xlfn.XLOOKUP(B457,AM:AM,AO:AO)</f>
        <v>645.15</v>
      </c>
      <c r="I457">
        <f t="shared" si="122"/>
        <v>0</v>
      </c>
      <c r="J457">
        <f>I457*_xlfn.XLOOKUP(B457,AM:AM,AO:AO)</f>
        <v>0</v>
      </c>
      <c r="K457" s="7">
        <f t="shared" si="123"/>
        <v>45850</v>
      </c>
      <c r="L457" s="7">
        <f t="shared" si="124"/>
        <v>45820</v>
      </c>
      <c r="M457">
        <f t="shared" si="125"/>
        <v>6</v>
      </c>
      <c r="N457">
        <f t="shared" si="126"/>
        <v>2025</v>
      </c>
      <c r="Q457" s="22">
        <v>638</v>
      </c>
      <c r="R457" s="22">
        <v>9570</v>
      </c>
      <c r="S457" s="22" t="str">
        <f t="shared" si="127"/>
        <v>EUR</v>
      </c>
      <c r="T457" s="22">
        <f t="shared" si="110"/>
        <v>11101.199999999999</v>
      </c>
      <c r="U457" s="28">
        <v>400</v>
      </c>
      <c r="W457" s="9">
        <v>350</v>
      </c>
      <c r="X457" s="9" t="s">
        <v>29</v>
      </c>
      <c r="AF457">
        <v>479</v>
      </c>
      <c r="AG457" t="s">
        <v>29</v>
      </c>
      <c r="AH457">
        <v>3878</v>
      </c>
      <c r="AI457" s="7">
        <v>45855</v>
      </c>
    </row>
    <row r="458" spans="1:35">
      <c r="A458">
        <v>494</v>
      </c>
      <c r="B458" t="str">
        <f t="shared" si="120"/>
        <v>USD</v>
      </c>
      <c r="C458">
        <f t="shared" si="121"/>
        <v>27414.18</v>
      </c>
      <c r="D458">
        <f>C458*_xlfn.XLOOKUP(B458,AM:AM,AN:AN)</f>
        <v>23576.194800000001</v>
      </c>
      <c r="E458">
        <f>C458*_xlfn.XLOOKUP(B458,AM:AM,AO:AO)</f>
        <v>27414.18</v>
      </c>
      <c r="F458">
        <v>27414.18</v>
      </c>
      <c r="G458">
        <f>F458*_xlfn.XLOOKUP(B458,AM:AM,AN:AN)</f>
        <v>23576.194800000001</v>
      </c>
      <c r="H458">
        <f>F458*_xlfn.XLOOKUP(B458,AM:AM,AO:AO)</f>
        <v>27414.18</v>
      </c>
      <c r="I458">
        <f t="shared" si="122"/>
        <v>0</v>
      </c>
      <c r="J458">
        <f>I458*_xlfn.XLOOKUP(B458,AM:AM,AO:AO)</f>
        <v>0</v>
      </c>
      <c r="K458" s="7">
        <f t="shared" si="123"/>
        <v>45935</v>
      </c>
      <c r="L458" s="7">
        <f t="shared" si="124"/>
        <v>45905</v>
      </c>
      <c r="M458">
        <f t="shared" si="125"/>
        <v>9</v>
      </c>
      <c r="N458">
        <f t="shared" si="126"/>
        <v>2025</v>
      </c>
      <c r="Q458" s="22">
        <v>640</v>
      </c>
      <c r="R458" s="22">
        <v>200</v>
      </c>
      <c r="S458" s="22" t="str">
        <f t="shared" si="127"/>
        <v>EUR</v>
      </c>
      <c r="T458" s="22">
        <f t="shared" si="110"/>
        <v>231.99999999999997</v>
      </c>
      <c r="U458" s="28">
        <v>400</v>
      </c>
      <c r="W458" s="9">
        <v>351</v>
      </c>
      <c r="X458" s="9" t="s">
        <v>29</v>
      </c>
      <c r="AF458">
        <v>480</v>
      </c>
      <c r="AG458" t="s">
        <v>29</v>
      </c>
      <c r="AH458">
        <v>4998</v>
      </c>
      <c r="AI458" s="7">
        <v>45863</v>
      </c>
    </row>
    <row r="459" spans="1:35">
      <c r="A459">
        <v>495</v>
      </c>
      <c r="B459" t="str">
        <f t="shared" si="120"/>
        <v>USD</v>
      </c>
      <c r="C459">
        <f t="shared" si="121"/>
        <v>52147.770000000004</v>
      </c>
      <c r="D459">
        <f>C459*_xlfn.XLOOKUP(B459,AM:AM,AN:AN)</f>
        <v>44847.082200000004</v>
      </c>
      <c r="E459">
        <f>C459*_xlfn.XLOOKUP(B459,AM:AM,AO:AO)</f>
        <v>52147.770000000004</v>
      </c>
      <c r="F459">
        <v>74971.3</v>
      </c>
      <c r="G459">
        <f>F459*_xlfn.XLOOKUP(B459,AM:AM,AN:AN)</f>
        <v>64475.317999999999</v>
      </c>
      <c r="H459">
        <f>F459*_xlfn.XLOOKUP(B459,AM:AM,AO:AO)</f>
        <v>74971.3</v>
      </c>
      <c r="I459">
        <f t="shared" si="122"/>
        <v>0</v>
      </c>
      <c r="J459">
        <f>I459*_xlfn.XLOOKUP(B459,AM:AM,AO:AO)</f>
        <v>0</v>
      </c>
      <c r="K459" s="7">
        <f t="shared" si="123"/>
        <v>46016</v>
      </c>
      <c r="L459" s="7">
        <f t="shared" si="124"/>
        <v>45986</v>
      </c>
      <c r="M459">
        <f t="shared" si="125"/>
        <v>11</v>
      </c>
      <c r="N459">
        <f t="shared" si="126"/>
        <v>2025</v>
      </c>
      <c r="Q459" s="22">
        <v>642</v>
      </c>
      <c r="R459" s="22">
        <v>7395</v>
      </c>
      <c r="S459" s="22" t="str">
        <f t="shared" si="127"/>
        <v>EUR</v>
      </c>
      <c r="T459" s="22">
        <f t="shared" si="110"/>
        <v>8578.1999999999989</v>
      </c>
      <c r="U459" s="28">
        <v>400</v>
      </c>
      <c r="W459" s="9">
        <v>352</v>
      </c>
      <c r="X459" s="9" t="s">
        <v>29</v>
      </c>
      <c r="AF459">
        <v>481</v>
      </c>
      <c r="AG459" t="s">
        <v>29</v>
      </c>
      <c r="AH459">
        <v>5122.76</v>
      </c>
      <c r="AI459" s="7">
        <v>45860</v>
      </c>
    </row>
    <row r="460" spans="1:35">
      <c r="A460">
        <v>496</v>
      </c>
      <c r="B460" t="str">
        <f t="shared" si="120"/>
        <v>USD</v>
      </c>
      <c r="C460">
        <f t="shared" si="121"/>
        <v>4514.26</v>
      </c>
      <c r="D460">
        <f>C460*_xlfn.XLOOKUP(B460,AM:AM,AN:AN)</f>
        <v>3882.2636000000002</v>
      </c>
      <c r="E460">
        <f>C460*_xlfn.XLOOKUP(B460,AM:AM,AO:AO)</f>
        <v>4514.26</v>
      </c>
      <c r="F460">
        <v>11461.99</v>
      </c>
      <c r="G460">
        <f>F460*_xlfn.XLOOKUP(B460,AM:AM,AN:AN)</f>
        <v>9857.3114000000005</v>
      </c>
      <c r="H460">
        <f>F460*_xlfn.XLOOKUP(B460,AM:AM,AO:AO)</f>
        <v>11461.99</v>
      </c>
      <c r="I460">
        <f t="shared" si="122"/>
        <v>0</v>
      </c>
      <c r="J460">
        <f>I460*_xlfn.XLOOKUP(B460,AM:AM,AO:AO)</f>
        <v>0</v>
      </c>
      <c r="K460" s="7">
        <f t="shared" si="123"/>
        <v>45864</v>
      </c>
      <c r="L460" s="7">
        <f t="shared" si="124"/>
        <v>45834</v>
      </c>
      <c r="M460">
        <f t="shared" si="125"/>
        <v>6</v>
      </c>
      <c r="N460">
        <f t="shared" si="126"/>
        <v>2025</v>
      </c>
      <c r="Q460" s="22">
        <v>643</v>
      </c>
      <c r="R460" s="22">
        <v>1320000</v>
      </c>
      <c r="S460" s="22" t="str">
        <f t="shared" si="127"/>
        <v>JPY</v>
      </c>
      <c r="T460" s="22">
        <f t="shared" si="110"/>
        <v>8448</v>
      </c>
      <c r="U460" s="28">
        <v>400</v>
      </c>
      <c r="W460" s="9">
        <v>352</v>
      </c>
      <c r="X460" s="9" t="s">
        <v>29</v>
      </c>
      <c r="AF460">
        <v>482</v>
      </c>
      <c r="AG460" t="s">
        <v>27</v>
      </c>
      <c r="AH460">
        <v>13118.4</v>
      </c>
      <c r="AI460" s="7">
        <v>45843</v>
      </c>
    </row>
    <row r="461" spans="1:35">
      <c r="A461">
        <v>497</v>
      </c>
      <c r="B461" t="str">
        <f t="shared" si="120"/>
        <v>MXN</v>
      </c>
      <c r="C461">
        <f t="shared" si="121"/>
        <v>664.30000000000018</v>
      </c>
      <c r="D461">
        <f>C461*_xlfn.XLOOKUP(B461,AM:AM,AN:AN)</f>
        <v>31.886400000000009</v>
      </c>
      <c r="E461">
        <f>C461*_xlfn.XLOOKUP(B461,AM:AM,AO:AO)</f>
        <v>37.200800000000008</v>
      </c>
      <c r="F461">
        <v>5102.3</v>
      </c>
      <c r="G461">
        <f>F461*_xlfn.XLOOKUP(B461,AM:AM,AN:AN)</f>
        <v>244.91040000000001</v>
      </c>
      <c r="H461">
        <f>F461*_xlfn.XLOOKUP(B461,AM:AM,AO:AO)</f>
        <v>285.72880000000004</v>
      </c>
      <c r="I461">
        <f t="shared" si="122"/>
        <v>0</v>
      </c>
      <c r="J461">
        <f>I461*_xlfn.XLOOKUP(B461,AM:AM,AO:AO)</f>
        <v>0</v>
      </c>
      <c r="K461" s="7">
        <f t="shared" si="123"/>
        <v>45850</v>
      </c>
      <c r="L461" s="7">
        <f t="shared" si="124"/>
        <v>45820</v>
      </c>
      <c r="M461">
        <f t="shared" si="125"/>
        <v>6</v>
      </c>
      <c r="N461">
        <f t="shared" si="126"/>
        <v>2025</v>
      </c>
      <c r="Q461" s="22">
        <v>644</v>
      </c>
      <c r="R461" s="22">
        <v>3017.44</v>
      </c>
      <c r="S461" s="22" t="str">
        <f t="shared" si="127"/>
        <v>USD</v>
      </c>
      <c r="T461" s="22">
        <f t="shared" si="110"/>
        <v>3017.44</v>
      </c>
      <c r="U461" s="28">
        <v>400</v>
      </c>
      <c r="W461" s="9">
        <v>353</v>
      </c>
      <c r="X461" s="9" t="s">
        <v>29</v>
      </c>
      <c r="AF461">
        <v>483</v>
      </c>
      <c r="AG461" t="s">
        <v>32</v>
      </c>
      <c r="AH461">
        <v>11170</v>
      </c>
      <c r="AI461" s="7">
        <v>45845</v>
      </c>
    </row>
    <row r="462" spans="1:35">
      <c r="A462">
        <v>498</v>
      </c>
      <c r="B462" t="str">
        <f t="shared" si="120"/>
        <v>GPB</v>
      </c>
      <c r="C462">
        <f t="shared" si="121"/>
        <v>0</v>
      </c>
      <c r="D462">
        <f>C462*_xlfn.XLOOKUP(B462,AM:AM,AN:AN)</f>
        <v>0</v>
      </c>
      <c r="E462">
        <f>C462*_xlfn.XLOOKUP(B462,AM:AM,AO:AO)</f>
        <v>0</v>
      </c>
      <c r="F462">
        <v>25884.35</v>
      </c>
      <c r="G462">
        <f>F462*_xlfn.XLOOKUP(B462,AM:AM,AN:AN)</f>
        <v>29767.002499999995</v>
      </c>
      <c r="H462">
        <f>F462*_xlfn.XLOOKUP(B462,AM:AM,AO:AO)</f>
        <v>34685.029000000002</v>
      </c>
      <c r="I462">
        <f t="shared" si="122"/>
        <v>0</v>
      </c>
      <c r="J462">
        <f>I462*_xlfn.XLOOKUP(B462,AM:AM,AO:AO)</f>
        <v>0</v>
      </c>
      <c r="K462" s="7">
        <f t="shared" si="123"/>
        <v>45850</v>
      </c>
      <c r="L462" s="7">
        <f t="shared" si="124"/>
        <v>45820</v>
      </c>
      <c r="M462">
        <f t="shared" si="125"/>
        <v>6</v>
      </c>
      <c r="N462">
        <f t="shared" si="126"/>
        <v>2025</v>
      </c>
      <c r="Q462" s="22">
        <v>645</v>
      </c>
      <c r="R462" s="22">
        <v>2566.4</v>
      </c>
      <c r="S462" s="22" t="str">
        <f t="shared" si="127"/>
        <v>USD</v>
      </c>
      <c r="T462" s="22">
        <f t="shared" si="110"/>
        <v>2566.4</v>
      </c>
      <c r="U462" s="28">
        <v>400</v>
      </c>
      <c r="W462" s="9">
        <v>353</v>
      </c>
      <c r="X462" s="9" t="s">
        <v>29</v>
      </c>
      <c r="AF462">
        <v>484</v>
      </c>
      <c r="AG462" t="s">
        <v>29</v>
      </c>
      <c r="AH462">
        <v>6901.05</v>
      </c>
      <c r="AI462" s="7">
        <v>45825</v>
      </c>
    </row>
    <row r="463" spans="1:35">
      <c r="A463">
        <v>499</v>
      </c>
      <c r="B463" t="str">
        <f t="shared" si="120"/>
        <v>USD</v>
      </c>
      <c r="C463">
        <f t="shared" si="121"/>
        <v>0</v>
      </c>
      <c r="D463">
        <f>C463*_xlfn.XLOOKUP(B463,AM:AM,AN:AN)</f>
        <v>0</v>
      </c>
      <c r="E463">
        <f>C463*_xlfn.XLOOKUP(B463,AM:AM,AO:AO)</f>
        <v>0</v>
      </c>
      <c r="F463">
        <v>19682.599999999999</v>
      </c>
      <c r="G463">
        <f>F463*_xlfn.XLOOKUP(B463,AM:AM,AN:AN)</f>
        <v>16927.036</v>
      </c>
      <c r="H463">
        <f>F463*_xlfn.XLOOKUP(B463,AM:AM,AO:AO)</f>
        <v>19682.599999999999</v>
      </c>
      <c r="I463">
        <f t="shared" si="122"/>
        <v>0</v>
      </c>
      <c r="J463">
        <f>I463*_xlfn.XLOOKUP(B463,AM:AM,AO:AO)</f>
        <v>0</v>
      </c>
      <c r="K463" s="7">
        <f t="shared" si="123"/>
        <v>45753</v>
      </c>
      <c r="L463" s="7">
        <f t="shared" si="124"/>
        <v>45723</v>
      </c>
      <c r="M463">
        <f t="shared" si="125"/>
        <v>3</v>
      </c>
      <c r="N463">
        <f t="shared" si="126"/>
        <v>2025</v>
      </c>
      <c r="Q463" s="22">
        <v>646</v>
      </c>
      <c r="R463" s="22">
        <v>1515.02</v>
      </c>
      <c r="S463" s="22" t="str">
        <f t="shared" si="127"/>
        <v>USD</v>
      </c>
      <c r="T463" s="22">
        <f t="shared" si="110"/>
        <v>1515.02</v>
      </c>
      <c r="U463" s="28">
        <v>400</v>
      </c>
      <c r="W463" s="9">
        <v>353</v>
      </c>
      <c r="X463" s="9" t="s">
        <v>29</v>
      </c>
      <c r="AF463">
        <v>485</v>
      </c>
      <c r="AG463" t="s">
        <v>29</v>
      </c>
      <c r="AH463">
        <v>13303.2</v>
      </c>
      <c r="AI463" s="7">
        <v>45874</v>
      </c>
    </row>
    <row r="464" spans="1:35">
      <c r="A464">
        <v>500</v>
      </c>
      <c r="B464" t="str">
        <f t="shared" si="120"/>
        <v>EUR</v>
      </c>
      <c r="C464">
        <f t="shared" si="121"/>
        <v>0</v>
      </c>
      <c r="D464">
        <f>C464*_xlfn.XLOOKUP(B464,AM:AM,AN:AN)</f>
        <v>0</v>
      </c>
      <c r="E464">
        <f>C464*_xlfn.XLOOKUP(B464,AM:AM,AO:AO)</f>
        <v>0</v>
      </c>
      <c r="F464">
        <v>11054.87</v>
      </c>
      <c r="G464">
        <f>F464*_xlfn.XLOOKUP(B464,AM:AM,AN:AN)</f>
        <v>11054.87</v>
      </c>
      <c r="H464">
        <f>F464*_xlfn.XLOOKUP(B464,AM:AM,AO:AO)</f>
        <v>12823.6492</v>
      </c>
      <c r="I464">
        <f t="shared" si="122"/>
        <v>-1.8189894035458565E-12</v>
      </c>
      <c r="J464">
        <f>I464*_xlfn.XLOOKUP(B464,AM:AM,AO:AO)</f>
        <v>-2.1100277081131934E-12</v>
      </c>
      <c r="K464" s="7">
        <f t="shared" si="123"/>
        <v>45937</v>
      </c>
      <c r="L464" s="7">
        <f t="shared" si="124"/>
        <v>45907</v>
      </c>
      <c r="M464">
        <f t="shared" si="125"/>
        <v>9</v>
      </c>
      <c r="N464">
        <f t="shared" si="126"/>
        <v>2025</v>
      </c>
      <c r="Q464" s="22">
        <v>647</v>
      </c>
      <c r="R464" s="22">
        <v>1200</v>
      </c>
      <c r="S464" s="22" t="str">
        <f t="shared" si="127"/>
        <v>USD</v>
      </c>
      <c r="T464" s="22">
        <f t="shared" si="110"/>
        <v>1200</v>
      </c>
      <c r="U464" s="28">
        <v>400</v>
      </c>
      <c r="W464" s="9">
        <v>353</v>
      </c>
      <c r="X464" s="9" t="s">
        <v>29</v>
      </c>
      <c r="AF464">
        <v>486</v>
      </c>
      <c r="AG464" t="s">
        <v>27</v>
      </c>
      <c r="AH464">
        <v>32878</v>
      </c>
      <c r="AI464" s="7">
        <v>45861</v>
      </c>
    </row>
    <row r="465" spans="1:35">
      <c r="A465">
        <v>501</v>
      </c>
      <c r="B465" t="str">
        <f t="shared" si="120"/>
        <v>USD</v>
      </c>
      <c r="C465">
        <f t="shared" si="121"/>
        <v>0</v>
      </c>
      <c r="D465">
        <f>C465*_xlfn.XLOOKUP(B465,AM:AM,AN:AN)</f>
        <v>0</v>
      </c>
      <c r="E465">
        <f>C465*_xlfn.XLOOKUP(B465,AM:AM,AO:AO)</f>
        <v>0</v>
      </c>
      <c r="F465">
        <v>11490</v>
      </c>
      <c r="G465">
        <f>F465*_xlfn.XLOOKUP(B465,AM:AM,AN:AN)</f>
        <v>9881.4</v>
      </c>
      <c r="H465">
        <f>F465*_xlfn.XLOOKUP(B465,AM:AM,AO:AO)</f>
        <v>11490</v>
      </c>
      <c r="I465">
        <f t="shared" si="122"/>
        <v>0</v>
      </c>
      <c r="J465">
        <f>I465*_xlfn.XLOOKUP(B465,AM:AM,AO:AO)</f>
        <v>0</v>
      </c>
      <c r="K465" s="7">
        <f t="shared" si="123"/>
        <v>46111</v>
      </c>
      <c r="L465" s="7">
        <f t="shared" si="124"/>
        <v>46081</v>
      </c>
      <c r="M465">
        <f t="shared" si="125"/>
        <v>2</v>
      </c>
      <c r="N465">
        <f t="shared" si="126"/>
        <v>2026</v>
      </c>
      <c r="Q465" s="22">
        <v>648</v>
      </c>
      <c r="R465" s="22">
        <v>3120143</v>
      </c>
      <c r="S465" s="22" t="str">
        <f t="shared" si="127"/>
        <v>JPY</v>
      </c>
      <c r="T465" s="22">
        <f t="shared" si="110"/>
        <v>19968.915199999999</v>
      </c>
      <c r="U465" s="28">
        <v>400</v>
      </c>
      <c r="W465" s="9">
        <v>353</v>
      </c>
      <c r="X465" s="9" t="s">
        <v>29</v>
      </c>
      <c r="AF465">
        <v>487</v>
      </c>
      <c r="AG465" t="s">
        <v>29</v>
      </c>
      <c r="AH465">
        <v>9628.11</v>
      </c>
      <c r="AI465" s="7">
        <v>45845</v>
      </c>
    </row>
    <row r="466" spans="1:35">
      <c r="A466">
        <v>502</v>
      </c>
      <c r="B466" t="str">
        <f t="shared" si="120"/>
        <v>USD</v>
      </c>
      <c r="C466">
        <f t="shared" si="121"/>
        <v>16384.55</v>
      </c>
      <c r="D466">
        <f>C466*_xlfn.XLOOKUP(B466,AM:AM,AN:AN)</f>
        <v>14090.713</v>
      </c>
      <c r="E466">
        <f>C466*_xlfn.XLOOKUP(B466,AM:AM,AO:AO)</f>
        <v>16384.55</v>
      </c>
      <c r="F466">
        <v>16384.55</v>
      </c>
      <c r="G466">
        <f>F466*_xlfn.XLOOKUP(B466,AM:AM,AN:AN)</f>
        <v>14090.713</v>
      </c>
      <c r="H466">
        <f>F466*_xlfn.XLOOKUP(B466,AM:AM,AO:AO)</f>
        <v>16384.55</v>
      </c>
      <c r="I466">
        <f t="shared" si="122"/>
        <v>0</v>
      </c>
      <c r="J466">
        <f>I466*_xlfn.XLOOKUP(B466,AM:AM,AO:AO)</f>
        <v>0</v>
      </c>
      <c r="K466" s="7">
        <f t="shared" si="123"/>
        <v>45956</v>
      </c>
      <c r="L466" s="7">
        <f t="shared" si="124"/>
        <v>45926</v>
      </c>
      <c r="M466">
        <f t="shared" si="125"/>
        <v>9</v>
      </c>
      <c r="N466">
        <f t="shared" si="126"/>
        <v>2025</v>
      </c>
      <c r="Q466" s="22">
        <v>649</v>
      </c>
      <c r="R466" s="22">
        <v>13274.970000000001</v>
      </c>
      <c r="S466" s="22" t="str">
        <f t="shared" si="127"/>
        <v>USD</v>
      </c>
      <c r="T466" s="22">
        <f t="shared" ref="T466:T529" si="128">R466*_xlfn.XLOOKUP(S466,AM:AM,AO:AO)</f>
        <v>13274.970000000001</v>
      </c>
      <c r="U466" s="28">
        <v>400</v>
      </c>
      <c r="W466" s="9">
        <v>354</v>
      </c>
      <c r="X466" s="9" t="s">
        <v>29</v>
      </c>
      <c r="AF466">
        <v>488</v>
      </c>
      <c r="AG466" t="s">
        <v>27</v>
      </c>
      <c r="AH466">
        <v>73676</v>
      </c>
      <c r="AI466" s="7">
        <v>46012</v>
      </c>
    </row>
    <row r="467" spans="1:35">
      <c r="A467">
        <v>503</v>
      </c>
      <c r="B467" t="str">
        <f t="shared" si="120"/>
        <v>USD</v>
      </c>
      <c r="C467">
        <f t="shared" si="121"/>
        <v>35</v>
      </c>
      <c r="D467">
        <f>C467*_xlfn.XLOOKUP(B467,AM:AM,AN:AN)</f>
        <v>30.099999999999998</v>
      </c>
      <c r="E467">
        <f>C467*_xlfn.XLOOKUP(B467,AM:AM,AO:AO)</f>
        <v>35</v>
      </c>
      <c r="F467">
        <v>73991</v>
      </c>
      <c r="G467">
        <f>F467*_xlfn.XLOOKUP(B467,AM:AM,AN:AN)</f>
        <v>63632.26</v>
      </c>
      <c r="H467">
        <f>F467*_xlfn.XLOOKUP(B467,AM:AM,AO:AO)</f>
        <v>73991</v>
      </c>
      <c r="I467">
        <f t="shared" si="122"/>
        <v>0</v>
      </c>
      <c r="J467">
        <f>I467*_xlfn.XLOOKUP(B467,AM:AM,AO:AO)</f>
        <v>0</v>
      </c>
      <c r="K467" s="7">
        <f t="shared" si="123"/>
        <v>45756</v>
      </c>
      <c r="L467" s="7">
        <f t="shared" si="124"/>
        <v>45726</v>
      </c>
      <c r="M467">
        <f t="shared" si="125"/>
        <v>3</v>
      </c>
      <c r="N467">
        <f t="shared" si="126"/>
        <v>2025</v>
      </c>
      <c r="Q467" s="22">
        <v>650</v>
      </c>
      <c r="R467" s="22">
        <v>1928.28</v>
      </c>
      <c r="S467" s="22" t="str">
        <f t="shared" si="127"/>
        <v>EUR</v>
      </c>
      <c r="T467" s="22">
        <f t="shared" si="128"/>
        <v>2236.8047999999999</v>
      </c>
      <c r="U467" s="28">
        <v>400</v>
      </c>
      <c r="W467" s="9">
        <v>354</v>
      </c>
      <c r="X467" s="9" t="s">
        <v>29</v>
      </c>
      <c r="AF467">
        <v>489</v>
      </c>
      <c r="AG467" t="s">
        <v>29</v>
      </c>
      <c r="AH467">
        <v>75742.37</v>
      </c>
      <c r="AI467" s="7">
        <v>45901</v>
      </c>
    </row>
    <row r="468" spans="1:35">
      <c r="A468">
        <v>504</v>
      </c>
      <c r="B468" t="str">
        <f t="shared" si="120"/>
        <v>USD</v>
      </c>
      <c r="C468">
        <f t="shared" si="121"/>
        <v>22527.7</v>
      </c>
      <c r="D468">
        <f>C468*_xlfn.XLOOKUP(B468,AM:AM,AN:AN)</f>
        <v>19373.822</v>
      </c>
      <c r="E468">
        <f>C468*_xlfn.XLOOKUP(B468,AM:AM,AO:AO)</f>
        <v>22527.7</v>
      </c>
      <c r="F468">
        <v>22527.7</v>
      </c>
      <c r="G468">
        <f>F468*_xlfn.XLOOKUP(B468,AM:AM,AN:AN)</f>
        <v>19373.822</v>
      </c>
      <c r="H468">
        <f>F468*_xlfn.XLOOKUP(B468,AM:AM,AO:AO)</f>
        <v>22527.7</v>
      </c>
      <c r="I468">
        <f t="shared" si="122"/>
        <v>0</v>
      </c>
      <c r="J468">
        <f>I468*_xlfn.XLOOKUP(B468,AM:AM,AO:AO)</f>
        <v>0</v>
      </c>
      <c r="K468" s="7">
        <f t="shared" si="123"/>
        <v>46026</v>
      </c>
      <c r="L468" s="7">
        <f t="shared" si="124"/>
        <v>45996</v>
      </c>
      <c r="M468">
        <f t="shared" si="125"/>
        <v>12</v>
      </c>
      <c r="N468">
        <f t="shared" si="126"/>
        <v>2025</v>
      </c>
      <c r="Q468" s="22">
        <v>651</v>
      </c>
      <c r="R468" s="22">
        <v>4760</v>
      </c>
      <c r="S468" s="22" t="str">
        <f t="shared" si="127"/>
        <v>USD</v>
      </c>
      <c r="T468" s="22">
        <f t="shared" si="128"/>
        <v>4760</v>
      </c>
      <c r="U468" s="28">
        <v>400</v>
      </c>
      <c r="W468" s="9">
        <v>354</v>
      </c>
      <c r="X468" s="9" t="s">
        <v>29</v>
      </c>
      <c r="AF468">
        <v>490</v>
      </c>
      <c r="AG468" t="s">
        <v>29</v>
      </c>
      <c r="AH468">
        <v>2648</v>
      </c>
      <c r="AI468" s="7">
        <v>45865</v>
      </c>
    </row>
    <row r="469" spans="1:35">
      <c r="A469">
        <v>505</v>
      </c>
      <c r="B469" t="str">
        <f t="shared" si="120"/>
        <v>EUR</v>
      </c>
      <c r="C469">
        <f t="shared" si="121"/>
        <v>0</v>
      </c>
      <c r="D469">
        <f>C469*_xlfn.XLOOKUP(B469,AM:AM,AN:AN)</f>
        <v>0</v>
      </c>
      <c r="E469">
        <f>C469*_xlfn.XLOOKUP(B469,AM:AM,AO:AO)</f>
        <v>0</v>
      </c>
      <c r="F469">
        <v>8631.9599999999991</v>
      </c>
      <c r="G469">
        <f>F469*_xlfn.XLOOKUP(B469,AM:AM,AN:AN)</f>
        <v>8631.9599999999991</v>
      </c>
      <c r="H469">
        <f>F469*_xlfn.XLOOKUP(B469,AM:AM,AO:AO)</f>
        <v>10013.073599999998</v>
      </c>
      <c r="I469">
        <f t="shared" si="122"/>
        <v>0</v>
      </c>
      <c r="J469">
        <f>I469*_xlfn.XLOOKUP(B469,AM:AM,AO:AO)</f>
        <v>0</v>
      </c>
      <c r="K469" s="7">
        <f t="shared" si="123"/>
        <v>45852</v>
      </c>
      <c r="L469" s="7">
        <f t="shared" si="124"/>
        <v>45822</v>
      </c>
      <c r="M469">
        <f t="shared" si="125"/>
        <v>6</v>
      </c>
      <c r="N469">
        <f t="shared" si="126"/>
        <v>2025</v>
      </c>
      <c r="Q469" s="22">
        <v>652</v>
      </c>
      <c r="R469" s="22">
        <v>1990</v>
      </c>
      <c r="S469" s="22" t="str">
        <f t="shared" si="127"/>
        <v>EUR</v>
      </c>
      <c r="T469" s="22">
        <f t="shared" si="128"/>
        <v>2308.3999999999996</v>
      </c>
      <c r="U469" s="28">
        <v>400</v>
      </c>
      <c r="W469" s="9">
        <v>355</v>
      </c>
      <c r="X469" s="9" t="s">
        <v>29</v>
      </c>
      <c r="AF469">
        <v>491</v>
      </c>
      <c r="AG469" t="s">
        <v>29</v>
      </c>
      <c r="AH469">
        <v>5691</v>
      </c>
      <c r="AI469" s="7">
        <v>45867</v>
      </c>
    </row>
    <row r="470" spans="1:35">
      <c r="A470">
        <v>506</v>
      </c>
      <c r="B470" t="str">
        <f t="shared" si="120"/>
        <v>USD</v>
      </c>
      <c r="C470">
        <f t="shared" si="121"/>
        <v>3011.5800000000017</v>
      </c>
      <c r="D470">
        <f>C470*_xlfn.XLOOKUP(B470,AM:AM,AN:AN)</f>
        <v>2589.9588000000012</v>
      </c>
      <c r="E470">
        <f>C470*_xlfn.XLOOKUP(B470,AM:AM,AO:AO)</f>
        <v>3011.5800000000017</v>
      </c>
      <c r="F470">
        <v>25058.9</v>
      </c>
      <c r="G470">
        <f>F470*_xlfn.XLOOKUP(B470,AM:AM,AN:AN)</f>
        <v>21550.654000000002</v>
      </c>
      <c r="H470">
        <f>F470*_xlfn.XLOOKUP(B470,AM:AM,AO:AO)</f>
        <v>25058.9</v>
      </c>
      <c r="I470">
        <f t="shared" si="122"/>
        <v>0</v>
      </c>
      <c r="J470">
        <f>I470*_xlfn.XLOOKUP(B470,AM:AM,AO:AO)</f>
        <v>0</v>
      </c>
      <c r="K470" s="7">
        <f t="shared" si="123"/>
        <v>45841</v>
      </c>
      <c r="L470" s="7">
        <f t="shared" si="124"/>
        <v>45811</v>
      </c>
      <c r="M470">
        <f t="shared" si="125"/>
        <v>6</v>
      </c>
      <c r="N470">
        <f t="shared" si="126"/>
        <v>2025</v>
      </c>
      <c r="Q470" s="22">
        <v>653</v>
      </c>
      <c r="R470" s="22">
        <v>260</v>
      </c>
      <c r="S470" s="22" t="str">
        <f t="shared" si="127"/>
        <v>USD</v>
      </c>
      <c r="T470" s="22">
        <f t="shared" si="128"/>
        <v>260</v>
      </c>
      <c r="U470" s="28">
        <v>400</v>
      </c>
      <c r="W470" s="9">
        <v>355</v>
      </c>
      <c r="X470" s="9" t="s">
        <v>29</v>
      </c>
      <c r="AF470">
        <v>492</v>
      </c>
      <c r="AG470" t="s">
        <v>28</v>
      </c>
      <c r="AH470">
        <v>85053.78</v>
      </c>
      <c r="AI470" s="7">
        <v>45848</v>
      </c>
    </row>
    <row r="471" spans="1:35">
      <c r="A471">
        <v>507</v>
      </c>
      <c r="B471" t="str">
        <f t="shared" si="120"/>
        <v>USD</v>
      </c>
      <c r="C471">
        <f t="shared" si="121"/>
        <v>0</v>
      </c>
      <c r="D471">
        <f>C471*_xlfn.XLOOKUP(B471,AM:AM,AN:AN)</f>
        <v>0</v>
      </c>
      <c r="E471">
        <f>C471*_xlfn.XLOOKUP(B471,AM:AM,AO:AO)</f>
        <v>0</v>
      </c>
      <c r="F471">
        <v>10798.04</v>
      </c>
      <c r="G471">
        <f>F471*_xlfn.XLOOKUP(B471,AM:AM,AN:AN)</f>
        <v>9286.3144000000011</v>
      </c>
      <c r="H471">
        <f>F471*_xlfn.XLOOKUP(B471,AM:AM,AO:AO)</f>
        <v>10798.04</v>
      </c>
      <c r="I471">
        <f t="shared" si="122"/>
        <v>0</v>
      </c>
      <c r="J471">
        <f>I471*_xlfn.XLOOKUP(B471,AM:AM,AO:AO)</f>
        <v>0</v>
      </c>
      <c r="K471" s="7">
        <f t="shared" si="123"/>
        <v>45821</v>
      </c>
      <c r="L471" s="7">
        <f t="shared" si="124"/>
        <v>45791</v>
      </c>
      <c r="M471">
        <f t="shared" si="125"/>
        <v>5</v>
      </c>
      <c r="N471">
        <f t="shared" si="126"/>
        <v>2025</v>
      </c>
      <c r="Q471" s="22">
        <v>654</v>
      </c>
      <c r="R471" s="22">
        <v>1980</v>
      </c>
      <c r="S471" s="22" t="str">
        <f t="shared" si="127"/>
        <v>USD</v>
      </c>
      <c r="T471" s="22">
        <f t="shared" si="128"/>
        <v>1980</v>
      </c>
      <c r="U471" s="28">
        <v>400</v>
      </c>
      <c r="W471" s="9">
        <v>356</v>
      </c>
      <c r="X471" s="9" t="s">
        <v>29</v>
      </c>
      <c r="AF471">
        <v>493</v>
      </c>
      <c r="AG471" t="s">
        <v>29</v>
      </c>
      <c r="AH471">
        <v>645.15</v>
      </c>
      <c r="AI471" s="7">
        <v>45850</v>
      </c>
    </row>
    <row r="472" spans="1:35">
      <c r="A472">
        <v>508</v>
      </c>
      <c r="B472" t="str">
        <f t="shared" si="120"/>
        <v>GPB</v>
      </c>
      <c r="C472">
        <f t="shared" si="121"/>
        <v>0</v>
      </c>
      <c r="D472">
        <f>C472*_xlfn.XLOOKUP(B472,AM:AM,AN:AN)</f>
        <v>0</v>
      </c>
      <c r="E472">
        <f>C472*_xlfn.XLOOKUP(B472,AM:AM,AO:AO)</f>
        <v>0</v>
      </c>
      <c r="F472">
        <v>7119</v>
      </c>
      <c r="G472">
        <f>F472*_xlfn.XLOOKUP(B472,AM:AM,AN:AN)</f>
        <v>8186.8499999999995</v>
      </c>
      <c r="H472">
        <f>F472*_xlfn.XLOOKUP(B472,AM:AM,AO:AO)</f>
        <v>9539.4600000000009</v>
      </c>
      <c r="I472">
        <f t="shared" si="122"/>
        <v>0</v>
      </c>
      <c r="J472">
        <f>I472*_xlfn.XLOOKUP(B472,AM:AM,AO:AO)</f>
        <v>0</v>
      </c>
      <c r="K472" s="7">
        <f t="shared" si="123"/>
        <v>45759</v>
      </c>
      <c r="L472" s="7">
        <f t="shared" si="124"/>
        <v>45729</v>
      </c>
      <c r="M472">
        <f t="shared" si="125"/>
        <v>3</v>
      </c>
      <c r="N472">
        <f t="shared" si="126"/>
        <v>2025</v>
      </c>
      <c r="Q472" s="22">
        <v>655</v>
      </c>
      <c r="R472" s="22">
        <v>5384.78</v>
      </c>
      <c r="S472" s="22" t="str">
        <f t="shared" si="127"/>
        <v>USD</v>
      </c>
      <c r="T472" s="22">
        <f t="shared" si="128"/>
        <v>5384.78</v>
      </c>
      <c r="U472" s="28">
        <v>400</v>
      </c>
      <c r="W472" s="9">
        <v>356</v>
      </c>
      <c r="X472" s="9" t="s">
        <v>29</v>
      </c>
      <c r="AF472">
        <v>494</v>
      </c>
      <c r="AG472" t="s">
        <v>29</v>
      </c>
      <c r="AH472">
        <v>27414.18</v>
      </c>
      <c r="AI472" s="7">
        <v>45935</v>
      </c>
    </row>
    <row r="473" spans="1:35">
      <c r="A473">
        <v>509</v>
      </c>
      <c r="B473" t="str">
        <f t="shared" si="120"/>
        <v>USD</v>
      </c>
      <c r="C473">
        <f t="shared" si="121"/>
        <v>104.99999999999909</v>
      </c>
      <c r="D473">
        <f>C473*_xlfn.XLOOKUP(B473,AM:AM,AN:AN)</f>
        <v>90.299999999999216</v>
      </c>
      <c r="E473">
        <f>C473*_xlfn.XLOOKUP(B473,AM:AM,AO:AO)</f>
        <v>104.99999999999909</v>
      </c>
      <c r="F473">
        <v>5915.36</v>
      </c>
      <c r="G473">
        <f>F473*_xlfn.XLOOKUP(B473,AM:AM,AN:AN)</f>
        <v>5087.2095999999992</v>
      </c>
      <c r="H473">
        <f>F473*_xlfn.XLOOKUP(B473,AM:AM,AO:AO)</f>
        <v>5915.36</v>
      </c>
      <c r="I473">
        <f t="shared" si="122"/>
        <v>0</v>
      </c>
      <c r="J473">
        <f>I473*_xlfn.XLOOKUP(B473,AM:AM,AO:AO)</f>
        <v>0</v>
      </c>
      <c r="K473" s="7">
        <f t="shared" si="123"/>
        <v>45883</v>
      </c>
      <c r="L473" s="7">
        <f t="shared" si="124"/>
        <v>45853</v>
      </c>
      <c r="M473">
        <f t="shared" si="125"/>
        <v>7</v>
      </c>
      <c r="N473">
        <f t="shared" si="126"/>
        <v>2025</v>
      </c>
      <c r="Q473" s="22">
        <v>656</v>
      </c>
      <c r="R473" s="22">
        <v>691.98</v>
      </c>
      <c r="S473" s="22" t="str">
        <f t="shared" si="127"/>
        <v>USD</v>
      </c>
      <c r="T473" s="22">
        <f t="shared" si="128"/>
        <v>691.98</v>
      </c>
      <c r="U473" s="28">
        <v>400</v>
      </c>
      <c r="W473" s="9">
        <v>356</v>
      </c>
      <c r="X473" s="9" t="s">
        <v>29</v>
      </c>
      <c r="AF473">
        <v>495</v>
      </c>
      <c r="AG473" t="s">
        <v>29</v>
      </c>
      <c r="AH473">
        <v>74971.3</v>
      </c>
      <c r="AI473" s="7">
        <v>46016</v>
      </c>
    </row>
    <row r="474" spans="1:35">
      <c r="A474">
        <v>510</v>
      </c>
      <c r="B474" t="str">
        <f t="shared" si="120"/>
        <v>USD</v>
      </c>
      <c r="C474">
        <f t="shared" si="121"/>
        <v>0</v>
      </c>
      <c r="D474">
        <f>C474*_xlfn.XLOOKUP(B474,AM:AM,AN:AN)</f>
        <v>0</v>
      </c>
      <c r="E474">
        <f>C474*_xlfn.XLOOKUP(B474,AM:AM,AO:AO)</f>
        <v>0</v>
      </c>
      <c r="F474">
        <v>19967.13</v>
      </c>
      <c r="G474">
        <f>F474*_xlfn.XLOOKUP(B474,AM:AM,AN:AN)</f>
        <v>17171.731800000001</v>
      </c>
      <c r="H474">
        <f>F474*_xlfn.XLOOKUP(B474,AM:AM,AO:AO)</f>
        <v>19967.13</v>
      </c>
      <c r="I474">
        <f t="shared" si="122"/>
        <v>0</v>
      </c>
      <c r="J474">
        <f>I474*_xlfn.XLOOKUP(B474,AM:AM,AO:AO)</f>
        <v>0</v>
      </c>
      <c r="K474" s="7">
        <f t="shared" si="123"/>
        <v>45846</v>
      </c>
      <c r="L474" s="7">
        <f t="shared" si="124"/>
        <v>45816</v>
      </c>
      <c r="M474">
        <f t="shared" si="125"/>
        <v>6</v>
      </c>
      <c r="N474">
        <f t="shared" si="126"/>
        <v>2025</v>
      </c>
      <c r="Q474" s="22">
        <v>657</v>
      </c>
      <c r="R474" s="22">
        <v>2724.75</v>
      </c>
      <c r="S474" s="22" t="str">
        <f t="shared" si="127"/>
        <v>USD</v>
      </c>
      <c r="T474" s="22">
        <f t="shared" si="128"/>
        <v>2724.75</v>
      </c>
      <c r="U474" s="28">
        <v>400</v>
      </c>
      <c r="W474" s="9">
        <v>356</v>
      </c>
      <c r="X474" s="9" t="s">
        <v>29</v>
      </c>
      <c r="AF474">
        <v>496</v>
      </c>
      <c r="AG474" t="s">
        <v>29</v>
      </c>
      <c r="AH474">
        <v>11461.99</v>
      </c>
      <c r="AI474" s="7">
        <v>45864</v>
      </c>
    </row>
    <row r="475" spans="1:35">
      <c r="A475">
        <v>511</v>
      </c>
      <c r="B475" t="str">
        <f t="shared" si="120"/>
        <v>CHF</v>
      </c>
      <c r="C475">
        <f t="shared" si="121"/>
        <v>0</v>
      </c>
      <c r="D475">
        <f>C475*_xlfn.XLOOKUP(B475,AM:AM,AN:AN)</f>
        <v>0</v>
      </c>
      <c r="E475">
        <f>C475*_xlfn.XLOOKUP(B475,AM:AM,AO:AO)</f>
        <v>0</v>
      </c>
      <c r="F475">
        <v>25252.01</v>
      </c>
      <c r="G475">
        <f>F475*_xlfn.XLOOKUP(B475,AM:AM,AN:AN)</f>
        <v>27019.650699999998</v>
      </c>
      <c r="H475">
        <f>F475*_xlfn.XLOOKUP(B475,AM:AM,AO:AO)</f>
        <v>31565.012499999997</v>
      </c>
      <c r="I475">
        <f t="shared" si="122"/>
        <v>0</v>
      </c>
      <c r="J475">
        <f>I475*_xlfn.XLOOKUP(B475,AM:AM,AO:AO)</f>
        <v>0</v>
      </c>
      <c r="K475" s="7">
        <f t="shared" si="123"/>
        <v>45892</v>
      </c>
      <c r="L475" s="7">
        <f t="shared" si="124"/>
        <v>45862</v>
      </c>
      <c r="M475">
        <f t="shared" si="125"/>
        <v>7</v>
      </c>
      <c r="N475">
        <f t="shared" si="126"/>
        <v>2025</v>
      </c>
      <c r="Q475" s="22">
        <v>658</v>
      </c>
      <c r="R475" s="22">
        <v>2342.65</v>
      </c>
      <c r="S475" s="22" t="str">
        <f t="shared" si="127"/>
        <v>USD</v>
      </c>
      <c r="T475" s="22">
        <f t="shared" si="128"/>
        <v>2342.65</v>
      </c>
      <c r="U475" s="28">
        <v>400</v>
      </c>
      <c r="W475" s="9">
        <v>360</v>
      </c>
      <c r="X475" s="9" t="s">
        <v>29</v>
      </c>
      <c r="AF475">
        <v>497</v>
      </c>
      <c r="AG475" t="s">
        <v>28</v>
      </c>
      <c r="AH475">
        <v>5102.3</v>
      </c>
      <c r="AI475" s="7">
        <v>45850</v>
      </c>
    </row>
    <row r="476" spans="1:35">
      <c r="A476">
        <v>512</v>
      </c>
      <c r="B476" t="str">
        <f t="shared" si="120"/>
        <v>USD</v>
      </c>
      <c r="C476">
        <f t="shared" si="121"/>
        <v>16537</v>
      </c>
      <c r="D476">
        <f>C476*_xlfn.XLOOKUP(B476,AM:AM,AN:AN)</f>
        <v>14221.82</v>
      </c>
      <c r="E476">
        <f>C476*_xlfn.XLOOKUP(B476,AM:AM,AO:AO)</f>
        <v>16537</v>
      </c>
      <c r="F476">
        <v>16537</v>
      </c>
      <c r="G476">
        <f>F476*_xlfn.XLOOKUP(B476,AM:AM,AN:AN)</f>
        <v>14221.82</v>
      </c>
      <c r="H476">
        <f>F476*_xlfn.XLOOKUP(B476,AM:AM,AO:AO)</f>
        <v>16537</v>
      </c>
      <c r="I476">
        <f t="shared" si="122"/>
        <v>0</v>
      </c>
      <c r="J476">
        <f>I476*_xlfn.XLOOKUP(B476,AM:AM,AO:AO)</f>
        <v>0</v>
      </c>
      <c r="K476" s="7">
        <f t="shared" si="123"/>
        <v>45881</v>
      </c>
      <c r="L476" s="7">
        <f t="shared" si="124"/>
        <v>45851</v>
      </c>
      <c r="M476">
        <f t="shared" si="125"/>
        <v>7</v>
      </c>
      <c r="N476">
        <f t="shared" si="126"/>
        <v>2025</v>
      </c>
      <c r="Q476" s="22">
        <v>660</v>
      </c>
      <c r="R476" s="22">
        <v>20000</v>
      </c>
      <c r="S476" s="22" t="str">
        <f t="shared" si="127"/>
        <v>USD</v>
      </c>
      <c r="T476" s="22">
        <f t="shared" si="128"/>
        <v>20000</v>
      </c>
      <c r="U476" s="28">
        <v>400</v>
      </c>
      <c r="W476" s="9">
        <v>361</v>
      </c>
      <c r="X476" s="9" t="s">
        <v>29</v>
      </c>
      <c r="AF476">
        <v>498</v>
      </c>
      <c r="AG476" t="s">
        <v>32</v>
      </c>
      <c r="AH476">
        <v>25884.35</v>
      </c>
      <c r="AI476" s="7">
        <v>45850</v>
      </c>
    </row>
    <row r="477" spans="1:35">
      <c r="A477">
        <v>513</v>
      </c>
      <c r="B477" t="str">
        <f t="shared" si="120"/>
        <v>USD</v>
      </c>
      <c r="C477">
        <f t="shared" si="121"/>
        <v>6746.5800000000017</v>
      </c>
      <c r="D477">
        <f>C477*_xlfn.XLOOKUP(B477,AM:AM,AN:AN)</f>
        <v>5802.0588000000016</v>
      </c>
      <c r="E477">
        <f>C477*_xlfn.XLOOKUP(B477,AM:AM,AO:AO)</f>
        <v>6746.5800000000017</v>
      </c>
      <c r="F477">
        <v>71421.67</v>
      </c>
      <c r="G477">
        <f>F477*_xlfn.XLOOKUP(B477,AM:AM,AN:AN)</f>
        <v>61422.636200000001</v>
      </c>
      <c r="H477">
        <f>F477*_xlfn.XLOOKUP(B477,AM:AM,AO:AO)</f>
        <v>71421.67</v>
      </c>
      <c r="I477">
        <f t="shared" si="122"/>
        <v>0</v>
      </c>
      <c r="J477">
        <f>I477*_xlfn.XLOOKUP(B477,AM:AM,AO:AO)</f>
        <v>0</v>
      </c>
      <c r="K477" s="7">
        <f t="shared" si="123"/>
        <v>45867</v>
      </c>
      <c r="L477" s="7">
        <f t="shared" si="124"/>
        <v>45837</v>
      </c>
      <c r="M477">
        <f t="shared" si="125"/>
        <v>6</v>
      </c>
      <c r="N477">
        <f t="shared" si="126"/>
        <v>2025</v>
      </c>
      <c r="Q477" s="22">
        <v>661</v>
      </c>
      <c r="R477" s="22">
        <v>10104</v>
      </c>
      <c r="S477" s="22" t="str">
        <f t="shared" si="127"/>
        <v>MXN</v>
      </c>
      <c r="T477" s="22">
        <f t="shared" si="128"/>
        <v>565.82399999999996</v>
      </c>
      <c r="U477" s="28">
        <v>400</v>
      </c>
      <c r="W477" s="9">
        <v>362</v>
      </c>
      <c r="X477" s="9" t="s">
        <v>29</v>
      </c>
      <c r="AF477">
        <v>499</v>
      </c>
      <c r="AG477" t="s">
        <v>29</v>
      </c>
      <c r="AH477">
        <v>19682.599999999999</v>
      </c>
      <c r="AI477" s="7">
        <v>45753</v>
      </c>
    </row>
    <row r="478" spans="1:35">
      <c r="A478">
        <v>514</v>
      </c>
      <c r="B478" t="str">
        <f t="shared" si="120"/>
        <v>MXN</v>
      </c>
      <c r="C478">
        <f t="shared" si="121"/>
        <v>0</v>
      </c>
      <c r="D478">
        <f>C478*_xlfn.XLOOKUP(B478,AM:AM,AN:AN)</f>
        <v>0</v>
      </c>
      <c r="E478">
        <f>C478*_xlfn.XLOOKUP(B478,AM:AM,AO:AO)</f>
        <v>0</v>
      </c>
      <c r="F478">
        <v>60840</v>
      </c>
      <c r="G478">
        <f>F478*_xlfn.XLOOKUP(B478,AM:AM,AN:AN)</f>
        <v>2920.32</v>
      </c>
      <c r="H478">
        <f>F478*_xlfn.XLOOKUP(B478,AM:AM,AO:AO)</f>
        <v>3407.04</v>
      </c>
      <c r="I478">
        <f t="shared" si="122"/>
        <v>0</v>
      </c>
      <c r="J478">
        <f>I478*_xlfn.XLOOKUP(B478,AM:AM,AO:AO)</f>
        <v>0</v>
      </c>
      <c r="K478" s="7">
        <f t="shared" si="123"/>
        <v>45818</v>
      </c>
      <c r="L478" s="7">
        <f t="shared" si="124"/>
        <v>45788</v>
      </c>
      <c r="M478">
        <f t="shared" si="125"/>
        <v>5</v>
      </c>
      <c r="N478">
        <f t="shared" si="126"/>
        <v>2025</v>
      </c>
      <c r="Q478" s="22">
        <v>662</v>
      </c>
      <c r="R478" s="22">
        <v>12606</v>
      </c>
      <c r="S478" s="22" t="str">
        <f t="shared" si="127"/>
        <v>MXN</v>
      </c>
      <c r="T478" s="22">
        <f t="shared" si="128"/>
        <v>705.93600000000004</v>
      </c>
      <c r="U478" s="28">
        <v>400</v>
      </c>
      <c r="W478" s="9">
        <v>362</v>
      </c>
      <c r="X478" s="9" t="s">
        <v>29</v>
      </c>
      <c r="AF478">
        <v>500</v>
      </c>
      <c r="AG478" t="s">
        <v>27</v>
      </c>
      <c r="AH478">
        <v>11054.87</v>
      </c>
      <c r="AI478" s="7">
        <v>45937</v>
      </c>
    </row>
    <row r="479" spans="1:35">
      <c r="A479">
        <v>515</v>
      </c>
      <c r="B479" t="str">
        <f t="shared" si="120"/>
        <v>EUR</v>
      </c>
      <c r="C479">
        <f t="shared" si="121"/>
        <v>0</v>
      </c>
      <c r="D479">
        <f>C479*_xlfn.XLOOKUP(B479,AM:AM,AN:AN)</f>
        <v>0</v>
      </c>
      <c r="E479">
        <f>C479*_xlfn.XLOOKUP(B479,AM:AM,AO:AO)</f>
        <v>0</v>
      </c>
      <c r="F479">
        <v>11020.8</v>
      </c>
      <c r="G479">
        <f>F479*_xlfn.XLOOKUP(B479,AM:AM,AN:AN)</f>
        <v>11020.8</v>
      </c>
      <c r="H479">
        <f>F479*_xlfn.XLOOKUP(B479,AM:AM,AO:AO)</f>
        <v>12784.127999999999</v>
      </c>
      <c r="I479">
        <f t="shared" si="122"/>
        <v>0</v>
      </c>
      <c r="J479">
        <f>I479*_xlfn.XLOOKUP(B479,AM:AM,AO:AO)</f>
        <v>0</v>
      </c>
      <c r="K479" s="7">
        <f t="shared" si="123"/>
        <v>45653</v>
      </c>
      <c r="L479" s="7">
        <f t="shared" si="124"/>
        <v>45623</v>
      </c>
      <c r="M479">
        <f t="shared" si="125"/>
        <v>11</v>
      </c>
      <c r="N479">
        <f t="shared" si="126"/>
        <v>2024</v>
      </c>
      <c r="Q479" s="22">
        <v>664</v>
      </c>
      <c r="R479" s="22">
        <v>940</v>
      </c>
      <c r="S479" s="22" t="str">
        <f t="shared" si="127"/>
        <v>USD</v>
      </c>
      <c r="T479" s="22">
        <f t="shared" si="128"/>
        <v>940</v>
      </c>
      <c r="U479" s="28">
        <v>400</v>
      </c>
      <c r="W479" s="9">
        <v>363</v>
      </c>
      <c r="X479" s="9" t="s">
        <v>28</v>
      </c>
      <c r="AF479">
        <v>501</v>
      </c>
      <c r="AG479" t="s">
        <v>29</v>
      </c>
      <c r="AH479">
        <v>11490</v>
      </c>
      <c r="AI479" s="7">
        <v>46111</v>
      </c>
    </row>
    <row r="480" spans="1:35">
      <c r="A480">
        <v>516</v>
      </c>
      <c r="B480" t="str">
        <f t="shared" si="120"/>
        <v>EUR</v>
      </c>
      <c r="C480">
        <f t="shared" si="121"/>
        <v>0</v>
      </c>
      <c r="D480">
        <f>C480*_xlfn.XLOOKUP(B480,AM:AM,AN:AN)</f>
        <v>0</v>
      </c>
      <c r="E480">
        <f>C480*_xlfn.XLOOKUP(B480,AM:AM,AO:AO)</f>
        <v>0</v>
      </c>
      <c r="F480">
        <v>7872</v>
      </c>
      <c r="G480">
        <f>F480*_xlfn.XLOOKUP(B480,AM:AM,AN:AN)</f>
        <v>7872</v>
      </c>
      <c r="H480">
        <f>F480*_xlfn.XLOOKUP(B480,AM:AM,AO:AO)</f>
        <v>9131.5199999999986</v>
      </c>
      <c r="I480">
        <f t="shared" si="122"/>
        <v>0</v>
      </c>
      <c r="J480">
        <f>I480*_xlfn.XLOOKUP(B480,AM:AM,AO:AO)</f>
        <v>0</v>
      </c>
      <c r="K480" s="7">
        <f t="shared" si="123"/>
        <v>45653</v>
      </c>
      <c r="L480" s="7">
        <f t="shared" si="124"/>
        <v>45623</v>
      </c>
      <c r="M480">
        <f t="shared" si="125"/>
        <v>11</v>
      </c>
      <c r="N480">
        <f t="shared" si="126"/>
        <v>2024</v>
      </c>
      <c r="Q480" s="22">
        <v>665</v>
      </c>
      <c r="R480" s="22">
        <v>5733.7000000000007</v>
      </c>
      <c r="S480" s="22" t="str">
        <f t="shared" si="127"/>
        <v>USD</v>
      </c>
      <c r="T480" s="22">
        <f t="shared" si="128"/>
        <v>5733.7000000000007</v>
      </c>
      <c r="U480" s="28">
        <v>400</v>
      </c>
      <c r="W480" s="9">
        <v>364</v>
      </c>
      <c r="X480" s="9" t="s">
        <v>29</v>
      </c>
      <c r="AF480">
        <v>502</v>
      </c>
      <c r="AG480" t="s">
        <v>29</v>
      </c>
      <c r="AH480">
        <v>16384.55</v>
      </c>
      <c r="AI480" s="7">
        <v>45956</v>
      </c>
    </row>
    <row r="481" spans="1:35">
      <c r="A481">
        <v>518</v>
      </c>
      <c r="B481" t="str">
        <f t="shared" si="120"/>
        <v>USD</v>
      </c>
      <c r="C481">
        <f t="shared" si="121"/>
        <v>0</v>
      </c>
      <c r="D481">
        <f>C481*_xlfn.XLOOKUP(B481,AM:AM,AN:AN)</f>
        <v>0</v>
      </c>
      <c r="E481">
        <f>C481*_xlfn.XLOOKUP(B481,AM:AM,AO:AO)</f>
        <v>0</v>
      </c>
      <c r="F481">
        <v>1497.6</v>
      </c>
      <c r="G481">
        <f>F481*_xlfn.XLOOKUP(B481,AM:AM,AN:AN)</f>
        <v>1287.9359999999999</v>
      </c>
      <c r="H481">
        <f>F481*_xlfn.XLOOKUP(B481,AM:AM,AO:AO)</f>
        <v>1497.6</v>
      </c>
      <c r="I481">
        <f t="shared" si="122"/>
        <v>0</v>
      </c>
      <c r="J481">
        <f>I481*_xlfn.XLOOKUP(B481,AM:AM,AO:AO)</f>
        <v>0</v>
      </c>
      <c r="K481" s="7">
        <f t="shared" si="123"/>
        <v>45855</v>
      </c>
      <c r="L481" s="7">
        <f t="shared" si="124"/>
        <v>45825</v>
      </c>
      <c r="M481">
        <f t="shared" si="125"/>
        <v>6</v>
      </c>
      <c r="N481">
        <f t="shared" si="126"/>
        <v>2025</v>
      </c>
      <c r="Q481" s="22">
        <v>667</v>
      </c>
      <c r="R481" s="22">
        <v>8228</v>
      </c>
      <c r="S481" s="22" t="str">
        <f t="shared" si="127"/>
        <v>USD</v>
      </c>
      <c r="T481" s="22">
        <f t="shared" si="128"/>
        <v>8228</v>
      </c>
      <c r="U481" s="28">
        <v>400</v>
      </c>
      <c r="W481" s="9">
        <v>364</v>
      </c>
      <c r="X481" s="9" t="s">
        <v>29</v>
      </c>
      <c r="AF481">
        <v>503</v>
      </c>
      <c r="AG481" t="s">
        <v>29</v>
      </c>
      <c r="AH481">
        <v>73991</v>
      </c>
      <c r="AI481" s="7">
        <v>45756</v>
      </c>
    </row>
    <row r="482" spans="1:35">
      <c r="A482">
        <v>519</v>
      </c>
      <c r="B482" t="str">
        <f t="shared" si="120"/>
        <v>USD</v>
      </c>
      <c r="C482">
        <f t="shared" si="121"/>
        <v>0</v>
      </c>
      <c r="D482">
        <f>C482*_xlfn.XLOOKUP(B482,AM:AM,AN:AN)</f>
        <v>0</v>
      </c>
      <c r="E482">
        <f>C482*_xlfn.XLOOKUP(B482,AM:AM,AO:AO)</f>
        <v>0</v>
      </c>
      <c r="F482">
        <v>1648.65</v>
      </c>
      <c r="G482">
        <f>F482*_xlfn.XLOOKUP(B482,AM:AM,AN:AN)</f>
        <v>1417.8390000000002</v>
      </c>
      <c r="H482">
        <f>F482*_xlfn.XLOOKUP(B482,AM:AM,AO:AO)</f>
        <v>1648.65</v>
      </c>
      <c r="I482">
        <f t="shared" si="122"/>
        <v>0</v>
      </c>
      <c r="J482">
        <f>I482*_xlfn.XLOOKUP(B482,AM:AM,AO:AO)</f>
        <v>0</v>
      </c>
      <c r="K482" s="7">
        <f t="shared" si="123"/>
        <v>45821</v>
      </c>
      <c r="L482" s="7">
        <f t="shared" si="124"/>
        <v>45791</v>
      </c>
      <c r="M482">
        <f t="shared" si="125"/>
        <v>5</v>
      </c>
      <c r="N482">
        <f t="shared" si="126"/>
        <v>2025</v>
      </c>
      <c r="Q482" s="22">
        <v>668</v>
      </c>
      <c r="R482" s="22">
        <v>4700</v>
      </c>
      <c r="S482" s="22" t="str">
        <f t="shared" si="127"/>
        <v>EUR</v>
      </c>
      <c r="T482" s="22">
        <f t="shared" si="128"/>
        <v>5452</v>
      </c>
      <c r="U482" s="28">
        <v>400</v>
      </c>
      <c r="W482" s="9">
        <v>364</v>
      </c>
      <c r="X482" s="9" t="s">
        <v>29</v>
      </c>
      <c r="AF482">
        <v>504</v>
      </c>
      <c r="AG482" t="s">
        <v>29</v>
      </c>
      <c r="AH482">
        <v>22527.7</v>
      </c>
      <c r="AI482" s="7">
        <v>46026</v>
      </c>
    </row>
    <row r="483" spans="1:35">
      <c r="A483">
        <v>520</v>
      </c>
      <c r="B483" t="str">
        <f t="shared" si="120"/>
        <v>EUR</v>
      </c>
      <c r="C483">
        <f t="shared" si="121"/>
        <v>86125</v>
      </c>
      <c r="D483">
        <f>C483*_xlfn.XLOOKUP(B483,AM:AM,AN:AN)</f>
        <v>86125</v>
      </c>
      <c r="E483">
        <f>C483*_xlfn.XLOOKUP(B483,AM:AM,AO:AO)</f>
        <v>99905</v>
      </c>
      <c r="F483">
        <v>86125</v>
      </c>
      <c r="G483">
        <f>F483*_xlfn.XLOOKUP(B483,AM:AM,AN:AN)</f>
        <v>86125</v>
      </c>
      <c r="H483">
        <f>F483*_xlfn.XLOOKUP(B483,AM:AM,AO:AO)</f>
        <v>99905</v>
      </c>
      <c r="I483">
        <f t="shared" si="122"/>
        <v>0</v>
      </c>
      <c r="J483">
        <f>I483*_xlfn.XLOOKUP(B483,AM:AM,AO:AO)</f>
        <v>0</v>
      </c>
      <c r="K483" s="7">
        <f t="shared" si="123"/>
        <v>45960</v>
      </c>
      <c r="L483" s="7">
        <f t="shared" si="124"/>
        <v>45930</v>
      </c>
      <c r="M483">
        <f t="shared" si="125"/>
        <v>9</v>
      </c>
      <c r="N483">
        <f t="shared" si="126"/>
        <v>2025</v>
      </c>
      <c r="Q483" s="22">
        <v>669</v>
      </c>
      <c r="R483" s="22">
        <v>2004.02</v>
      </c>
      <c r="S483" s="22" t="str">
        <f t="shared" si="127"/>
        <v>USD</v>
      </c>
      <c r="T483" s="22">
        <f t="shared" si="128"/>
        <v>2004.02</v>
      </c>
      <c r="U483" s="28">
        <v>400</v>
      </c>
      <c r="W483" s="9">
        <v>364</v>
      </c>
      <c r="X483" s="9" t="s">
        <v>29</v>
      </c>
      <c r="AF483">
        <v>505</v>
      </c>
      <c r="AG483" t="s">
        <v>27</v>
      </c>
      <c r="AH483">
        <v>8631.9599999999991</v>
      </c>
      <c r="AI483" s="7">
        <v>45852</v>
      </c>
    </row>
    <row r="484" spans="1:35">
      <c r="A484">
        <v>521</v>
      </c>
      <c r="B484" t="str">
        <f t="shared" si="120"/>
        <v>MXN</v>
      </c>
      <c r="C484">
        <f t="shared" si="121"/>
        <v>0</v>
      </c>
      <c r="D484">
        <f>C484*_xlfn.XLOOKUP(B484,AM:AM,AN:AN)</f>
        <v>0</v>
      </c>
      <c r="E484">
        <f>C484*_xlfn.XLOOKUP(B484,AM:AM,AO:AO)</f>
        <v>0</v>
      </c>
      <c r="F484">
        <v>194772</v>
      </c>
      <c r="G484">
        <f>F484*_xlfn.XLOOKUP(B484,AM:AM,AN:AN)</f>
        <v>9349.0560000000005</v>
      </c>
      <c r="H484">
        <f>F484*_xlfn.XLOOKUP(B484,AM:AM,AO:AO)</f>
        <v>10907.232</v>
      </c>
      <c r="I484">
        <f t="shared" si="122"/>
        <v>0</v>
      </c>
      <c r="J484">
        <f>I484*_xlfn.XLOOKUP(B484,AM:AM,AO:AO)</f>
        <v>0</v>
      </c>
      <c r="K484" s="7">
        <f t="shared" si="123"/>
        <v>45845</v>
      </c>
      <c r="L484" s="7">
        <f t="shared" si="124"/>
        <v>45815</v>
      </c>
      <c r="M484">
        <f t="shared" si="125"/>
        <v>6</v>
      </c>
      <c r="N484">
        <f t="shared" si="126"/>
        <v>2025</v>
      </c>
      <c r="Q484" s="22">
        <v>670</v>
      </c>
      <c r="R484" s="22">
        <v>4956.01</v>
      </c>
      <c r="S484" s="22" t="str">
        <f t="shared" si="127"/>
        <v>USD</v>
      </c>
      <c r="T484" s="22">
        <f t="shared" si="128"/>
        <v>4956.01</v>
      </c>
      <c r="U484" s="28">
        <v>400</v>
      </c>
      <c r="W484" s="9">
        <v>364</v>
      </c>
      <c r="X484" s="9" t="s">
        <v>29</v>
      </c>
      <c r="AF484">
        <v>506</v>
      </c>
      <c r="AG484" t="s">
        <v>29</v>
      </c>
      <c r="AH484">
        <v>25058.9</v>
      </c>
      <c r="AI484" s="7">
        <v>45841</v>
      </c>
    </row>
    <row r="485" spans="1:35">
      <c r="A485">
        <v>522</v>
      </c>
      <c r="B485" t="str">
        <f t="shared" si="120"/>
        <v>EUR</v>
      </c>
      <c r="C485">
        <f t="shared" si="121"/>
        <v>0</v>
      </c>
      <c r="D485">
        <f>C485*_xlfn.XLOOKUP(B485,AM:AM,AN:AN)</f>
        <v>0</v>
      </c>
      <c r="E485">
        <f>C485*_xlfn.XLOOKUP(B485,AM:AM,AO:AO)</f>
        <v>0</v>
      </c>
      <c r="F485">
        <v>23340</v>
      </c>
      <c r="G485">
        <f>F485*_xlfn.XLOOKUP(B485,AM:AM,AN:AN)</f>
        <v>23340</v>
      </c>
      <c r="H485">
        <f>F485*_xlfn.XLOOKUP(B485,AM:AM,AO:AO)</f>
        <v>27074.399999999998</v>
      </c>
      <c r="I485">
        <f t="shared" si="122"/>
        <v>0</v>
      </c>
      <c r="J485">
        <f>I485*_xlfn.XLOOKUP(B485,AM:AM,AO:AO)</f>
        <v>0</v>
      </c>
      <c r="K485" s="7">
        <f t="shared" si="123"/>
        <v>45860</v>
      </c>
      <c r="L485" s="7">
        <f t="shared" si="124"/>
        <v>45830</v>
      </c>
      <c r="M485">
        <f t="shared" si="125"/>
        <v>6</v>
      </c>
      <c r="N485">
        <f t="shared" si="126"/>
        <v>2025</v>
      </c>
      <c r="Q485" s="22">
        <v>671</v>
      </c>
      <c r="R485" s="22">
        <v>5985</v>
      </c>
      <c r="S485" s="22" t="str">
        <f t="shared" si="127"/>
        <v>USD</v>
      </c>
      <c r="T485" s="22">
        <f t="shared" si="128"/>
        <v>5985</v>
      </c>
      <c r="U485" s="28">
        <v>400</v>
      </c>
      <c r="W485" s="9">
        <v>364</v>
      </c>
      <c r="X485" s="9" t="s">
        <v>29</v>
      </c>
      <c r="AF485">
        <v>507</v>
      </c>
      <c r="AG485" t="s">
        <v>29</v>
      </c>
      <c r="AH485">
        <v>10798.04</v>
      </c>
      <c r="AI485" s="7">
        <v>45821</v>
      </c>
    </row>
    <row r="486" spans="1:35">
      <c r="A486">
        <v>523</v>
      </c>
      <c r="B486" t="str">
        <f t="shared" si="120"/>
        <v>EUR</v>
      </c>
      <c r="C486">
        <f t="shared" si="121"/>
        <v>0</v>
      </c>
      <c r="D486">
        <f>C486*_xlfn.XLOOKUP(B486,AM:AM,AN:AN)</f>
        <v>0</v>
      </c>
      <c r="E486">
        <f>C486*_xlfn.XLOOKUP(B486,AM:AM,AO:AO)</f>
        <v>0</v>
      </c>
      <c r="F486">
        <v>2100</v>
      </c>
      <c r="G486">
        <f>F486*_xlfn.XLOOKUP(B486,AM:AM,AN:AN)</f>
        <v>2100</v>
      </c>
      <c r="H486">
        <f>F486*_xlfn.XLOOKUP(B486,AM:AM,AO:AO)</f>
        <v>2436</v>
      </c>
      <c r="I486">
        <f t="shared" si="122"/>
        <v>0</v>
      </c>
      <c r="J486">
        <f>I486*_xlfn.XLOOKUP(B486,AM:AM,AO:AO)</f>
        <v>0</v>
      </c>
      <c r="K486" s="7">
        <f t="shared" si="123"/>
        <v>45842</v>
      </c>
      <c r="L486" s="7">
        <f t="shared" si="124"/>
        <v>45812</v>
      </c>
      <c r="M486">
        <f t="shared" si="125"/>
        <v>6</v>
      </c>
      <c r="N486">
        <f t="shared" si="126"/>
        <v>2025</v>
      </c>
      <c r="Q486" s="22">
        <v>672</v>
      </c>
      <c r="R486" s="22">
        <v>20073.969999999998</v>
      </c>
      <c r="S486" s="22" t="str">
        <f t="shared" si="127"/>
        <v>EUR</v>
      </c>
      <c r="T486" s="22">
        <f t="shared" si="128"/>
        <v>23285.805199999995</v>
      </c>
      <c r="U486" s="28">
        <v>400</v>
      </c>
      <c r="W486" s="9">
        <v>364</v>
      </c>
      <c r="X486" s="9" t="s">
        <v>29</v>
      </c>
      <c r="AF486">
        <v>508</v>
      </c>
      <c r="AG486" t="s">
        <v>32</v>
      </c>
      <c r="AH486">
        <v>7119</v>
      </c>
      <c r="AI486" s="7">
        <v>45759</v>
      </c>
    </row>
    <row r="487" spans="1:35">
      <c r="A487">
        <v>524</v>
      </c>
      <c r="B487" t="str">
        <f t="shared" si="120"/>
        <v>USD</v>
      </c>
      <c r="C487">
        <f t="shared" si="121"/>
        <v>4000</v>
      </c>
      <c r="D487">
        <f>C487*_xlfn.XLOOKUP(B487,AM:AM,AN:AN)</f>
        <v>3440</v>
      </c>
      <c r="E487">
        <f>C487*_xlfn.XLOOKUP(B487,AM:AM,AO:AO)</f>
        <v>4000</v>
      </c>
      <c r="F487">
        <v>274863.65000000002</v>
      </c>
      <c r="G487">
        <f>F487*_xlfn.XLOOKUP(B487,AM:AM,AN:AN)</f>
        <v>236382.73900000003</v>
      </c>
      <c r="H487">
        <f>F487*_xlfn.XLOOKUP(B487,AM:AM,AO:AO)</f>
        <v>274863.65000000002</v>
      </c>
      <c r="I487">
        <f t="shared" si="122"/>
        <v>0</v>
      </c>
      <c r="J487">
        <f>I487*_xlfn.XLOOKUP(B487,AM:AM,AO:AO)</f>
        <v>0</v>
      </c>
      <c r="K487" s="7">
        <f t="shared" si="123"/>
        <v>45864</v>
      </c>
      <c r="L487" s="7">
        <f t="shared" si="124"/>
        <v>45834</v>
      </c>
      <c r="M487">
        <f t="shared" si="125"/>
        <v>6</v>
      </c>
      <c r="N487">
        <f t="shared" si="126"/>
        <v>2025</v>
      </c>
      <c r="Q487" s="22">
        <v>673</v>
      </c>
      <c r="R487" s="22">
        <v>1876.62</v>
      </c>
      <c r="S487" s="22" t="str">
        <f t="shared" si="127"/>
        <v>USD</v>
      </c>
      <c r="T487" s="22">
        <f t="shared" si="128"/>
        <v>1876.62</v>
      </c>
      <c r="U487" s="28">
        <v>400</v>
      </c>
      <c r="W487" s="9">
        <v>368</v>
      </c>
      <c r="X487" s="9" t="s">
        <v>29</v>
      </c>
      <c r="AF487">
        <v>509</v>
      </c>
      <c r="AG487" t="s">
        <v>29</v>
      </c>
      <c r="AH487">
        <v>5915.36</v>
      </c>
      <c r="AI487" s="7">
        <v>45883</v>
      </c>
    </row>
    <row r="488" spans="1:35">
      <c r="A488">
        <v>525</v>
      </c>
      <c r="B488" t="str">
        <f t="shared" si="120"/>
        <v>USD</v>
      </c>
      <c r="C488">
        <f t="shared" si="121"/>
        <v>1885</v>
      </c>
      <c r="D488">
        <f>C488*_xlfn.XLOOKUP(B488,AM:AM,AN:AN)</f>
        <v>1621.1</v>
      </c>
      <c r="E488">
        <f>C488*_xlfn.XLOOKUP(B488,AM:AM,AO:AO)</f>
        <v>1885</v>
      </c>
      <c r="F488">
        <v>24593.55</v>
      </c>
      <c r="G488">
        <f>F488*_xlfn.XLOOKUP(B488,AM:AM,AN:AN)</f>
        <v>21150.452999999998</v>
      </c>
      <c r="H488">
        <f>F488*_xlfn.XLOOKUP(B488,AM:AM,AO:AO)</f>
        <v>24593.55</v>
      </c>
      <c r="I488">
        <f t="shared" si="122"/>
        <v>0</v>
      </c>
      <c r="J488">
        <f>I488*_xlfn.XLOOKUP(B488,AM:AM,AO:AO)</f>
        <v>0</v>
      </c>
      <c r="K488" s="7">
        <f t="shared" si="123"/>
        <v>45935</v>
      </c>
      <c r="L488" s="7">
        <f t="shared" si="124"/>
        <v>45905</v>
      </c>
      <c r="M488">
        <f t="shared" si="125"/>
        <v>9</v>
      </c>
      <c r="N488">
        <f t="shared" si="126"/>
        <v>2025</v>
      </c>
      <c r="Q488" s="22">
        <v>674</v>
      </c>
      <c r="R488" s="22">
        <v>3108.73</v>
      </c>
      <c r="S488" s="22" t="str">
        <f t="shared" si="127"/>
        <v>USD</v>
      </c>
      <c r="T488" s="22">
        <f t="shared" si="128"/>
        <v>3108.73</v>
      </c>
      <c r="U488" s="28">
        <v>400</v>
      </c>
      <c r="W488" s="9">
        <v>369</v>
      </c>
      <c r="X488" s="9" t="s">
        <v>29</v>
      </c>
      <c r="AF488">
        <v>510</v>
      </c>
      <c r="AG488" t="s">
        <v>29</v>
      </c>
      <c r="AH488">
        <v>19967.13</v>
      </c>
      <c r="AI488" s="7">
        <v>45846</v>
      </c>
    </row>
    <row r="489" spans="1:35">
      <c r="A489">
        <v>526</v>
      </c>
      <c r="B489" t="str">
        <f t="shared" si="120"/>
        <v>USD</v>
      </c>
      <c r="C489">
        <f t="shared" si="121"/>
        <v>0</v>
      </c>
      <c r="D489">
        <f>C489*_xlfn.XLOOKUP(B489,AM:AM,AN:AN)</f>
        <v>0</v>
      </c>
      <c r="E489">
        <f>C489*_xlfn.XLOOKUP(B489,AM:AM,AO:AO)</f>
        <v>0</v>
      </c>
      <c r="F489">
        <v>1318.98</v>
      </c>
      <c r="G489">
        <f>F489*_xlfn.XLOOKUP(B489,AM:AM,AN:AN)</f>
        <v>1134.3227999999999</v>
      </c>
      <c r="H489">
        <f>F489*_xlfn.XLOOKUP(B489,AM:AM,AO:AO)</f>
        <v>1318.98</v>
      </c>
      <c r="I489">
        <f t="shared" si="122"/>
        <v>0</v>
      </c>
      <c r="J489">
        <f>I489*_xlfn.XLOOKUP(B489,AM:AM,AO:AO)</f>
        <v>0</v>
      </c>
      <c r="K489" s="7">
        <f t="shared" si="123"/>
        <v>45868</v>
      </c>
      <c r="L489" s="7">
        <f t="shared" si="124"/>
        <v>45838</v>
      </c>
      <c r="M489">
        <f t="shared" si="125"/>
        <v>6</v>
      </c>
      <c r="N489">
        <f t="shared" si="126"/>
        <v>2025</v>
      </c>
      <c r="Q489" s="22">
        <v>675</v>
      </c>
      <c r="R489" s="22">
        <v>1816.94</v>
      </c>
      <c r="S489" s="22" t="str">
        <f t="shared" si="127"/>
        <v>USD</v>
      </c>
      <c r="T489" s="22">
        <f t="shared" si="128"/>
        <v>1816.94</v>
      </c>
      <c r="U489" s="28">
        <v>400</v>
      </c>
      <c r="W489" s="9">
        <v>369</v>
      </c>
      <c r="X489" s="9" t="s">
        <v>29</v>
      </c>
      <c r="AF489">
        <v>511</v>
      </c>
      <c r="AG489" t="s">
        <v>30</v>
      </c>
      <c r="AH489">
        <v>25252.01</v>
      </c>
      <c r="AI489" s="7">
        <v>45892</v>
      </c>
    </row>
    <row r="490" spans="1:35">
      <c r="A490">
        <v>527</v>
      </c>
      <c r="B490" t="str">
        <f t="shared" si="120"/>
        <v>USD</v>
      </c>
      <c r="C490">
        <f t="shared" si="121"/>
        <v>50</v>
      </c>
      <c r="D490">
        <f>C490*_xlfn.XLOOKUP(B490,AM:AM,AN:AN)</f>
        <v>43</v>
      </c>
      <c r="E490">
        <f>C490*_xlfn.XLOOKUP(B490,AM:AM,AO:AO)</f>
        <v>50</v>
      </c>
      <c r="F490">
        <v>5116.8500000000004</v>
      </c>
      <c r="G490">
        <f>F490*_xlfn.XLOOKUP(B490,AM:AM,AN:AN)</f>
        <v>4400.491</v>
      </c>
      <c r="H490">
        <f>F490*_xlfn.XLOOKUP(B490,AM:AM,AO:AO)</f>
        <v>5116.8500000000004</v>
      </c>
      <c r="I490">
        <f t="shared" si="122"/>
        <v>0</v>
      </c>
      <c r="J490">
        <f>I490*_xlfn.XLOOKUP(B490,AM:AM,AO:AO)</f>
        <v>0</v>
      </c>
      <c r="K490" s="7">
        <f t="shared" si="123"/>
        <v>45882</v>
      </c>
      <c r="L490" s="7">
        <f t="shared" si="124"/>
        <v>45852</v>
      </c>
      <c r="M490">
        <f t="shared" si="125"/>
        <v>7</v>
      </c>
      <c r="N490">
        <f t="shared" si="126"/>
        <v>2025</v>
      </c>
      <c r="Q490" s="22">
        <v>676</v>
      </c>
      <c r="R490" s="22">
        <v>19036.89</v>
      </c>
      <c r="S490" s="22" t="str">
        <f t="shared" si="127"/>
        <v>EUR</v>
      </c>
      <c r="T490" s="22">
        <f t="shared" si="128"/>
        <v>22082.792399999998</v>
      </c>
      <c r="U490" s="28">
        <v>400</v>
      </c>
      <c r="W490" s="9">
        <v>369</v>
      </c>
      <c r="X490" s="9" t="s">
        <v>29</v>
      </c>
      <c r="AF490">
        <v>512</v>
      </c>
      <c r="AG490" t="s">
        <v>29</v>
      </c>
      <c r="AH490">
        <v>16537</v>
      </c>
      <c r="AI490" s="7">
        <v>45881</v>
      </c>
    </row>
    <row r="491" spans="1:35">
      <c r="A491">
        <v>528</v>
      </c>
      <c r="B491" t="str">
        <f t="shared" si="120"/>
        <v>USD</v>
      </c>
      <c r="C491">
        <f t="shared" si="121"/>
        <v>0</v>
      </c>
      <c r="D491">
        <f>C491*_xlfn.XLOOKUP(B491,AM:AM,AN:AN)</f>
        <v>0</v>
      </c>
      <c r="E491">
        <f>C491*_xlfn.XLOOKUP(B491,AM:AM,AO:AO)</f>
        <v>0</v>
      </c>
      <c r="F491">
        <v>6395</v>
      </c>
      <c r="G491">
        <f>F491*_xlfn.XLOOKUP(B491,AM:AM,AN:AN)</f>
        <v>5499.7</v>
      </c>
      <c r="H491">
        <f>F491*_xlfn.XLOOKUP(B491,AM:AM,AO:AO)</f>
        <v>6395</v>
      </c>
      <c r="I491">
        <f t="shared" si="122"/>
        <v>0</v>
      </c>
      <c r="J491">
        <f>I491*_xlfn.XLOOKUP(B491,AM:AM,AO:AO)</f>
        <v>0</v>
      </c>
      <c r="K491" s="7">
        <f t="shared" si="123"/>
        <v>46016</v>
      </c>
      <c r="L491" s="7">
        <f t="shared" si="124"/>
        <v>45986</v>
      </c>
      <c r="M491">
        <f t="shared" si="125"/>
        <v>11</v>
      </c>
      <c r="N491">
        <f t="shared" si="126"/>
        <v>2025</v>
      </c>
      <c r="Q491" s="22">
        <v>678</v>
      </c>
      <c r="R491" s="22">
        <v>2313.5</v>
      </c>
      <c r="S491" s="22" t="str">
        <f t="shared" si="127"/>
        <v>USD</v>
      </c>
      <c r="T491" s="22">
        <f t="shared" si="128"/>
        <v>2313.5</v>
      </c>
      <c r="U491" s="28">
        <v>400</v>
      </c>
      <c r="W491" s="9">
        <v>370</v>
      </c>
      <c r="X491" s="9" t="s">
        <v>29</v>
      </c>
      <c r="AF491">
        <v>513</v>
      </c>
      <c r="AG491" t="s">
        <v>29</v>
      </c>
      <c r="AH491">
        <v>71421.67</v>
      </c>
      <c r="AI491" s="7">
        <v>45867</v>
      </c>
    </row>
    <row r="492" spans="1:35">
      <c r="A492">
        <v>529</v>
      </c>
      <c r="B492" t="str">
        <f t="shared" si="120"/>
        <v>CHF</v>
      </c>
      <c r="C492">
        <f t="shared" si="121"/>
        <v>0</v>
      </c>
      <c r="D492">
        <f>C492*_xlfn.XLOOKUP(B492,AM:AM,AN:AN)</f>
        <v>0</v>
      </c>
      <c r="E492">
        <f>C492*_xlfn.XLOOKUP(B492,AM:AM,AO:AO)</f>
        <v>0</v>
      </c>
      <c r="F492">
        <v>2802</v>
      </c>
      <c r="G492">
        <f>F492*_xlfn.XLOOKUP(B492,AM:AM,AN:AN)</f>
        <v>2998.1400000000003</v>
      </c>
      <c r="H492">
        <f>F492*_xlfn.XLOOKUP(B492,AM:AM,AO:AO)</f>
        <v>3502.5</v>
      </c>
      <c r="I492">
        <f t="shared" si="122"/>
        <v>0</v>
      </c>
      <c r="J492">
        <f>I492*_xlfn.XLOOKUP(B492,AM:AM,AO:AO)</f>
        <v>0</v>
      </c>
      <c r="K492" s="7">
        <f t="shared" si="123"/>
        <v>45866</v>
      </c>
      <c r="L492" s="7">
        <f t="shared" si="124"/>
        <v>45836</v>
      </c>
      <c r="M492">
        <f t="shared" si="125"/>
        <v>6</v>
      </c>
      <c r="N492">
        <f t="shared" si="126"/>
        <v>2025</v>
      </c>
      <c r="Q492" s="22">
        <v>679</v>
      </c>
      <c r="R492" s="22">
        <v>11383</v>
      </c>
      <c r="S492" s="22" t="str">
        <f t="shared" si="127"/>
        <v>USD</v>
      </c>
      <c r="T492" s="22">
        <f t="shared" si="128"/>
        <v>11383</v>
      </c>
      <c r="U492" s="28">
        <v>400</v>
      </c>
      <c r="W492" s="9">
        <v>370</v>
      </c>
      <c r="X492" s="9" t="s">
        <v>29</v>
      </c>
      <c r="AF492">
        <v>514</v>
      </c>
      <c r="AG492" t="s">
        <v>28</v>
      </c>
      <c r="AH492">
        <v>60840</v>
      </c>
      <c r="AI492" s="7">
        <v>45818</v>
      </c>
    </row>
    <row r="493" spans="1:35">
      <c r="A493">
        <v>530</v>
      </c>
      <c r="B493" t="str">
        <f t="shared" si="120"/>
        <v>USD</v>
      </c>
      <c r="C493">
        <f t="shared" si="121"/>
        <v>41574</v>
      </c>
      <c r="D493">
        <f>C493*_xlfn.XLOOKUP(B493,AM:AM,AN:AN)</f>
        <v>35753.64</v>
      </c>
      <c r="E493">
        <f>C493*_xlfn.XLOOKUP(B493,AM:AM,AO:AO)</f>
        <v>41574</v>
      </c>
      <c r="F493">
        <v>48859.88</v>
      </c>
      <c r="G493">
        <f>F493*_xlfn.XLOOKUP(B493,AM:AM,AN:AN)</f>
        <v>42019.496799999994</v>
      </c>
      <c r="H493">
        <f>F493*_xlfn.XLOOKUP(B493,AM:AM,AO:AO)</f>
        <v>48859.88</v>
      </c>
      <c r="I493">
        <f t="shared" si="122"/>
        <v>2.7284841053187847E-12</v>
      </c>
      <c r="J493">
        <f>I493*_xlfn.XLOOKUP(B493,AM:AM,AO:AO)</f>
        <v>2.7284841053187847E-12</v>
      </c>
      <c r="K493" s="7">
        <f t="shared" si="123"/>
        <v>45935</v>
      </c>
      <c r="L493" s="7">
        <f t="shared" si="124"/>
        <v>45905</v>
      </c>
      <c r="M493">
        <f t="shared" si="125"/>
        <v>9</v>
      </c>
      <c r="N493">
        <f t="shared" si="126"/>
        <v>2025</v>
      </c>
      <c r="Q493" s="22">
        <v>680</v>
      </c>
      <c r="R493" s="22">
        <v>10136.19</v>
      </c>
      <c r="S493" s="22" t="str">
        <f t="shared" si="127"/>
        <v>USD</v>
      </c>
      <c r="T493" s="22">
        <f t="shared" si="128"/>
        <v>10136.19</v>
      </c>
      <c r="U493" s="28">
        <v>400</v>
      </c>
      <c r="W493" s="9">
        <v>370</v>
      </c>
      <c r="X493" s="9" t="s">
        <v>29</v>
      </c>
      <c r="AF493">
        <v>515</v>
      </c>
      <c r="AG493" t="s">
        <v>27</v>
      </c>
      <c r="AH493">
        <v>11020.8</v>
      </c>
      <c r="AI493" s="7">
        <v>45653</v>
      </c>
    </row>
    <row r="494" spans="1:35">
      <c r="A494">
        <v>531</v>
      </c>
      <c r="B494" t="str">
        <f t="shared" si="120"/>
        <v>USD</v>
      </c>
      <c r="C494">
        <f t="shared" si="121"/>
        <v>0</v>
      </c>
      <c r="D494">
        <f>C494*_xlfn.XLOOKUP(B494,AM:AM,AN:AN)</f>
        <v>0</v>
      </c>
      <c r="E494">
        <f>C494*_xlfn.XLOOKUP(B494,AM:AM,AO:AO)</f>
        <v>0</v>
      </c>
      <c r="F494">
        <v>33581.879999999997</v>
      </c>
      <c r="G494">
        <f>F494*_xlfn.XLOOKUP(B494,AM:AM,AN:AN)</f>
        <v>28880.416799999999</v>
      </c>
      <c r="H494">
        <f>F494*_xlfn.XLOOKUP(B494,AM:AM,AO:AO)</f>
        <v>33581.879999999997</v>
      </c>
      <c r="I494">
        <f t="shared" si="122"/>
        <v>7.2759576141834259E-12</v>
      </c>
      <c r="J494">
        <f>I494*_xlfn.XLOOKUP(B494,AM:AM,AO:AO)</f>
        <v>7.2759576141834259E-12</v>
      </c>
      <c r="K494" s="7">
        <f t="shared" si="123"/>
        <v>45864</v>
      </c>
      <c r="L494" s="7">
        <f t="shared" si="124"/>
        <v>45834</v>
      </c>
      <c r="M494">
        <f t="shared" si="125"/>
        <v>6</v>
      </c>
      <c r="N494">
        <f t="shared" si="126"/>
        <v>2025</v>
      </c>
      <c r="Q494" s="22">
        <v>683</v>
      </c>
      <c r="R494" s="22">
        <v>3081</v>
      </c>
      <c r="S494" s="22" t="str">
        <f t="shared" si="127"/>
        <v>GPB</v>
      </c>
      <c r="T494" s="22">
        <f t="shared" si="128"/>
        <v>4128.54</v>
      </c>
      <c r="U494" s="28">
        <v>400</v>
      </c>
      <c r="W494" s="9">
        <v>370</v>
      </c>
      <c r="X494" s="9" t="s">
        <v>29</v>
      </c>
      <c r="AF494">
        <v>516</v>
      </c>
      <c r="AG494" t="s">
        <v>27</v>
      </c>
      <c r="AH494">
        <v>7872</v>
      </c>
      <c r="AI494" s="7">
        <v>45653</v>
      </c>
    </row>
    <row r="495" spans="1:35">
      <c r="A495">
        <v>533</v>
      </c>
      <c r="B495" t="str">
        <f t="shared" si="120"/>
        <v>USD</v>
      </c>
      <c r="C495">
        <f t="shared" si="121"/>
        <v>0</v>
      </c>
      <c r="D495">
        <f>C495*_xlfn.XLOOKUP(B495,AM:AM,AN:AN)</f>
        <v>0</v>
      </c>
      <c r="E495">
        <f>C495*_xlfn.XLOOKUP(B495,AM:AM,AO:AO)</f>
        <v>0</v>
      </c>
      <c r="F495">
        <v>2722.85</v>
      </c>
      <c r="G495">
        <f>F495*_xlfn.XLOOKUP(B495,AM:AM,AN:AN)</f>
        <v>2341.6509999999998</v>
      </c>
      <c r="H495">
        <f>F495*_xlfn.XLOOKUP(B495,AM:AM,AO:AO)</f>
        <v>2722.85</v>
      </c>
      <c r="I495">
        <f t="shared" si="122"/>
        <v>4.5474735088646412E-13</v>
      </c>
      <c r="J495">
        <f>I495*_xlfn.XLOOKUP(B495,AM:AM,AO:AO)</f>
        <v>4.5474735088646412E-13</v>
      </c>
      <c r="K495" s="7">
        <f t="shared" si="123"/>
        <v>45830</v>
      </c>
      <c r="L495" s="7">
        <f t="shared" si="124"/>
        <v>45800</v>
      </c>
      <c r="M495">
        <f t="shared" si="125"/>
        <v>5</v>
      </c>
      <c r="N495">
        <f t="shared" si="126"/>
        <v>2025</v>
      </c>
      <c r="Q495" s="22">
        <v>684</v>
      </c>
      <c r="R495" s="22">
        <v>194.6</v>
      </c>
      <c r="S495" s="22" t="str">
        <f t="shared" si="127"/>
        <v>USD</v>
      </c>
      <c r="T495" s="22">
        <f t="shared" si="128"/>
        <v>194.6</v>
      </c>
      <c r="U495" s="28">
        <v>400</v>
      </c>
      <c r="W495" s="9">
        <v>370</v>
      </c>
      <c r="X495" s="9" t="s">
        <v>29</v>
      </c>
      <c r="AF495">
        <v>518</v>
      </c>
      <c r="AG495" t="s">
        <v>29</v>
      </c>
      <c r="AH495">
        <v>1497.6</v>
      </c>
      <c r="AI495" s="7">
        <v>45855</v>
      </c>
    </row>
    <row r="496" spans="1:35">
      <c r="A496">
        <v>534</v>
      </c>
      <c r="B496" t="str">
        <f t="shared" si="120"/>
        <v>USD</v>
      </c>
      <c r="C496">
        <f t="shared" si="121"/>
        <v>46069.59</v>
      </c>
      <c r="D496">
        <f>C496*_xlfn.XLOOKUP(B496,AM:AM,AN:AN)</f>
        <v>39619.847399999999</v>
      </c>
      <c r="E496">
        <f>C496*_xlfn.XLOOKUP(B496,AM:AM,AO:AO)</f>
        <v>46069.59</v>
      </c>
      <c r="F496">
        <v>19822.87</v>
      </c>
      <c r="G496">
        <f>F496*_xlfn.XLOOKUP(B496,AM:AM,AN:AN)</f>
        <v>17047.6682</v>
      </c>
      <c r="H496">
        <f>F496*_xlfn.XLOOKUP(B496,AM:AM,AO:AO)</f>
        <v>19822.87</v>
      </c>
      <c r="I496">
        <f t="shared" si="122"/>
        <v>0</v>
      </c>
      <c r="J496">
        <f>I496*_xlfn.XLOOKUP(B496,AM:AM,AO:AO)</f>
        <v>0</v>
      </c>
      <c r="K496" s="7">
        <f t="shared" si="123"/>
        <v>45869</v>
      </c>
      <c r="L496" s="7">
        <f t="shared" si="124"/>
        <v>45839</v>
      </c>
      <c r="M496">
        <f t="shared" si="125"/>
        <v>7</v>
      </c>
      <c r="N496">
        <f t="shared" si="126"/>
        <v>2025</v>
      </c>
      <c r="Q496" s="22">
        <v>686</v>
      </c>
      <c r="R496" s="22">
        <v>2417.65</v>
      </c>
      <c r="S496" s="22" t="str">
        <f t="shared" si="127"/>
        <v>EUR</v>
      </c>
      <c r="T496" s="22">
        <f t="shared" si="128"/>
        <v>2804.4739999999997</v>
      </c>
      <c r="U496" s="28">
        <v>400</v>
      </c>
      <c r="W496" s="9">
        <v>371</v>
      </c>
      <c r="X496" s="9" t="s">
        <v>29</v>
      </c>
      <c r="AF496">
        <v>519</v>
      </c>
      <c r="AG496" t="s">
        <v>29</v>
      </c>
      <c r="AH496">
        <v>1648.65</v>
      </c>
      <c r="AI496" s="7">
        <v>45821</v>
      </c>
    </row>
    <row r="497" spans="1:35">
      <c r="A497">
        <v>535</v>
      </c>
      <c r="B497" t="str">
        <f t="shared" si="120"/>
        <v>USD</v>
      </c>
      <c r="C497">
        <f t="shared" si="121"/>
        <v>0</v>
      </c>
      <c r="D497">
        <f>C497*_xlfn.XLOOKUP(B497,AM:AM,AN:AN)</f>
        <v>0</v>
      </c>
      <c r="E497">
        <f>C497*_xlfn.XLOOKUP(B497,AM:AM,AO:AO)</f>
        <v>0</v>
      </c>
      <c r="F497">
        <v>2861.4</v>
      </c>
      <c r="G497">
        <f>F497*_xlfn.XLOOKUP(B497,AM:AM,AN:AN)</f>
        <v>2460.8040000000001</v>
      </c>
      <c r="H497">
        <f>F497*_xlfn.XLOOKUP(B497,AM:AM,AO:AO)</f>
        <v>2861.4</v>
      </c>
      <c r="I497">
        <f t="shared" si="122"/>
        <v>0</v>
      </c>
      <c r="J497">
        <f>I497*_xlfn.XLOOKUP(B497,AM:AM,AO:AO)</f>
        <v>0</v>
      </c>
      <c r="K497" s="7">
        <f t="shared" si="123"/>
        <v>45812</v>
      </c>
      <c r="L497" s="7">
        <f t="shared" si="124"/>
        <v>45782</v>
      </c>
      <c r="M497">
        <f t="shared" si="125"/>
        <v>5</v>
      </c>
      <c r="N497">
        <f t="shared" si="126"/>
        <v>2025</v>
      </c>
      <c r="Q497" s="22">
        <v>687</v>
      </c>
      <c r="R497" s="22">
        <v>645.5</v>
      </c>
      <c r="S497" s="22" t="str">
        <f t="shared" si="127"/>
        <v>USD</v>
      </c>
      <c r="T497" s="22">
        <f t="shared" si="128"/>
        <v>645.5</v>
      </c>
      <c r="U497" s="28">
        <v>400</v>
      </c>
      <c r="W497" s="9">
        <v>371</v>
      </c>
      <c r="X497" s="9" t="s">
        <v>29</v>
      </c>
      <c r="AF497">
        <v>520</v>
      </c>
      <c r="AG497" t="s">
        <v>27</v>
      </c>
      <c r="AH497">
        <v>86125</v>
      </c>
      <c r="AI497" s="7">
        <v>45960</v>
      </c>
    </row>
    <row r="498" spans="1:35">
      <c r="A498">
        <v>536</v>
      </c>
      <c r="B498" t="str">
        <f t="shared" si="120"/>
        <v>USD</v>
      </c>
      <c r="C498">
        <f t="shared" si="121"/>
        <v>0</v>
      </c>
      <c r="D498">
        <f>C498*_xlfn.XLOOKUP(B498,AM:AM,AN:AN)</f>
        <v>0</v>
      </c>
      <c r="E498">
        <f>C498*_xlfn.XLOOKUP(B498,AM:AM,AO:AO)</f>
        <v>0</v>
      </c>
      <c r="F498">
        <v>81706.59</v>
      </c>
      <c r="G498">
        <f>F498*_xlfn.XLOOKUP(B498,AM:AM,AN:AN)</f>
        <v>70267.667399999991</v>
      </c>
      <c r="H498">
        <f>F498*_xlfn.XLOOKUP(B498,AM:AM,AO:AO)</f>
        <v>81706.59</v>
      </c>
      <c r="I498">
        <f t="shared" si="122"/>
        <v>1.4551915228366852E-11</v>
      </c>
      <c r="J498">
        <f>I498*_xlfn.XLOOKUP(B498,AM:AM,AO:AO)</f>
        <v>1.4551915228366852E-11</v>
      </c>
      <c r="K498" s="7">
        <f t="shared" si="123"/>
        <v>45822</v>
      </c>
      <c r="L498" s="7">
        <f t="shared" si="124"/>
        <v>45792</v>
      </c>
      <c r="M498">
        <f t="shared" si="125"/>
        <v>5</v>
      </c>
      <c r="N498">
        <f t="shared" si="126"/>
        <v>2025</v>
      </c>
      <c r="Q498" s="22">
        <v>691</v>
      </c>
      <c r="R498" s="22">
        <v>1034.08</v>
      </c>
      <c r="S498" s="22" t="str">
        <f t="shared" si="127"/>
        <v>USD</v>
      </c>
      <c r="T498" s="22">
        <f t="shared" si="128"/>
        <v>1034.08</v>
      </c>
      <c r="U498" s="28">
        <v>400</v>
      </c>
      <c r="W498" s="9">
        <v>371</v>
      </c>
      <c r="X498" s="9" t="s">
        <v>29</v>
      </c>
      <c r="AF498">
        <v>521</v>
      </c>
      <c r="AG498" t="s">
        <v>28</v>
      </c>
      <c r="AH498">
        <v>194772</v>
      </c>
      <c r="AI498" s="7">
        <v>45845</v>
      </c>
    </row>
    <row r="499" spans="1:35">
      <c r="A499">
        <v>537</v>
      </c>
      <c r="B499" t="str">
        <f t="shared" si="120"/>
        <v>EUR</v>
      </c>
      <c r="C499">
        <f t="shared" si="121"/>
        <v>59.820000000000618</v>
      </c>
      <c r="D499">
        <f>C499*_xlfn.XLOOKUP(B499,AM:AM,AN:AN)</f>
        <v>59.820000000000618</v>
      </c>
      <c r="E499">
        <f>C499*_xlfn.XLOOKUP(B499,AM:AM,AO:AO)</f>
        <v>69.391200000000708</v>
      </c>
      <c r="F499">
        <v>6322.25</v>
      </c>
      <c r="G499">
        <f>F499*_xlfn.XLOOKUP(B499,AM:AM,AN:AN)</f>
        <v>6322.25</v>
      </c>
      <c r="H499">
        <f>F499*_xlfn.XLOOKUP(B499,AM:AM,AO:AO)</f>
        <v>7333.8099999999995</v>
      </c>
      <c r="I499">
        <f t="shared" si="122"/>
        <v>0</v>
      </c>
      <c r="J499">
        <f>I499*_xlfn.XLOOKUP(B499,AM:AM,AO:AO)</f>
        <v>0</v>
      </c>
      <c r="K499" s="7">
        <f t="shared" si="123"/>
        <v>45915</v>
      </c>
      <c r="L499" s="7">
        <f t="shared" si="124"/>
        <v>45885</v>
      </c>
      <c r="M499">
        <f t="shared" si="125"/>
        <v>8</v>
      </c>
      <c r="N499">
        <f t="shared" si="126"/>
        <v>2025</v>
      </c>
      <c r="Q499" s="22">
        <v>692</v>
      </c>
      <c r="R499" s="22">
        <v>3288.3</v>
      </c>
      <c r="S499" s="22" t="str">
        <f t="shared" si="127"/>
        <v>USD</v>
      </c>
      <c r="T499" s="22">
        <f t="shared" si="128"/>
        <v>3288.3</v>
      </c>
      <c r="U499" s="28">
        <v>400</v>
      </c>
      <c r="W499" s="9">
        <v>371</v>
      </c>
      <c r="X499" s="9" t="s">
        <v>29</v>
      </c>
      <c r="AF499">
        <v>522</v>
      </c>
      <c r="AG499" t="s">
        <v>27</v>
      </c>
      <c r="AH499">
        <v>23340</v>
      </c>
      <c r="AI499" s="7">
        <v>45860</v>
      </c>
    </row>
    <row r="500" spans="1:35">
      <c r="A500">
        <v>539</v>
      </c>
      <c r="B500" t="str">
        <f t="shared" si="120"/>
        <v>USD</v>
      </c>
      <c r="C500">
        <f t="shared" si="121"/>
        <v>0</v>
      </c>
      <c r="D500">
        <f>C500*_xlfn.XLOOKUP(B500,AM:AM,AN:AN)</f>
        <v>0</v>
      </c>
      <c r="E500">
        <f>C500*_xlfn.XLOOKUP(B500,AM:AM,AO:AO)</f>
        <v>0</v>
      </c>
      <c r="F500">
        <v>7198.65</v>
      </c>
      <c r="G500">
        <f>F500*_xlfn.XLOOKUP(B500,AM:AM,AN:AN)</f>
        <v>6190.8389999999999</v>
      </c>
      <c r="H500">
        <f>F500*_xlfn.XLOOKUP(B500,AM:AM,AO:AO)</f>
        <v>7198.65</v>
      </c>
      <c r="I500">
        <f t="shared" si="122"/>
        <v>0</v>
      </c>
      <c r="J500">
        <f>I500*_xlfn.XLOOKUP(B500,AM:AM,AO:AO)</f>
        <v>0</v>
      </c>
      <c r="K500" s="7">
        <f t="shared" si="123"/>
        <v>45792</v>
      </c>
      <c r="L500" s="7">
        <f t="shared" si="124"/>
        <v>45762</v>
      </c>
      <c r="M500">
        <f t="shared" si="125"/>
        <v>4</v>
      </c>
      <c r="N500">
        <f t="shared" si="126"/>
        <v>2025</v>
      </c>
      <c r="Q500" s="22">
        <v>693</v>
      </c>
      <c r="R500" s="22">
        <v>6460</v>
      </c>
      <c r="S500" s="22" t="str">
        <f t="shared" si="127"/>
        <v>EUR</v>
      </c>
      <c r="T500" s="22">
        <f t="shared" si="128"/>
        <v>7493.5999999999995</v>
      </c>
      <c r="U500" s="28">
        <v>400</v>
      </c>
      <c r="W500" s="9">
        <v>371</v>
      </c>
      <c r="X500" s="9" t="s">
        <v>29</v>
      </c>
      <c r="AF500">
        <v>523</v>
      </c>
      <c r="AG500" t="s">
        <v>27</v>
      </c>
      <c r="AH500">
        <v>2100</v>
      </c>
      <c r="AI500" s="7">
        <v>45842</v>
      </c>
    </row>
    <row r="501" spans="1:35">
      <c r="A501">
        <v>540</v>
      </c>
      <c r="B501" t="str">
        <f t="shared" si="120"/>
        <v>USD</v>
      </c>
      <c r="C501">
        <f t="shared" si="121"/>
        <v>835</v>
      </c>
      <c r="D501">
        <f>C501*_xlfn.XLOOKUP(B501,AM:AM,AN:AN)</f>
        <v>718.1</v>
      </c>
      <c r="E501">
        <f>C501*_xlfn.XLOOKUP(B501,AM:AM,AO:AO)</f>
        <v>835</v>
      </c>
      <c r="F501">
        <v>42853.67</v>
      </c>
      <c r="G501">
        <f>F501*_xlfn.XLOOKUP(B501,AM:AM,AN:AN)</f>
        <v>36854.156199999998</v>
      </c>
      <c r="H501">
        <f>F501*_xlfn.XLOOKUP(B501,AM:AM,AO:AO)</f>
        <v>42853.67</v>
      </c>
      <c r="I501">
        <f t="shared" si="122"/>
        <v>0</v>
      </c>
      <c r="J501">
        <f>I501*_xlfn.XLOOKUP(B501,AM:AM,AO:AO)</f>
        <v>0</v>
      </c>
      <c r="K501" s="7">
        <f t="shared" si="123"/>
        <v>45869</v>
      </c>
      <c r="L501" s="7">
        <f t="shared" si="124"/>
        <v>45839</v>
      </c>
      <c r="M501">
        <f t="shared" si="125"/>
        <v>7</v>
      </c>
      <c r="N501">
        <f t="shared" si="126"/>
        <v>2025</v>
      </c>
      <c r="Q501" s="22">
        <v>694</v>
      </c>
      <c r="R501" s="22">
        <v>6975</v>
      </c>
      <c r="S501" s="22" t="str">
        <f t="shared" si="127"/>
        <v>EUR</v>
      </c>
      <c r="T501" s="22">
        <f t="shared" si="128"/>
        <v>8090.9999999999991</v>
      </c>
      <c r="U501" s="28">
        <v>400</v>
      </c>
      <c r="W501" s="9">
        <v>371</v>
      </c>
      <c r="X501" s="9" t="s">
        <v>29</v>
      </c>
      <c r="AF501">
        <v>524</v>
      </c>
      <c r="AG501" t="s">
        <v>29</v>
      </c>
      <c r="AH501">
        <v>274863.65000000002</v>
      </c>
      <c r="AI501" s="7">
        <v>45864</v>
      </c>
    </row>
    <row r="502" spans="1:35">
      <c r="A502">
        <v>541</v>
      </c>
      <c r="B502" t="str">
        <f t="shared" si="120"/>
        <v>USD</v>
      </c>
      <c r="C502">
        <f t="shared" si="121"/>
        <v>0</v>
      </c>
      <c r="D502">
        <f>C502*_xlfn.XLOOKUP(B502,AM:AM,AN:AN)</f>
        <v>0</v>
      </c>
      <c r="E502">
        <f>C502*_xlfn.XLOOKUP(B502,AM:AM,AO:AO)</f>
        <v>0</v>
      </c>
      <c r="F502">
        <v>14819.43</v>
      </c>
      <c r="G502">
        <f>F502*_xlfn.XLOOKUP(B502,AM:AM,AN:AN)</f>
        <v>12744.709800000001</v>
      </c>
      <c r="H502">
        <f>F502*_xlfn.XLOOKUP(B502,AM:AM,AO:AO)</f>
        <v>14819.43</v>
      </c>
      <c r="I502">
        <f t="shared" si="122"/>
        <v>0</v>
      </c>
      <c r="J502">
        <f>I502*_xlfn.XLOOKUP(B502,AM:AM,AO:AO)</f>
        <v>0</v>
      </c>
      <c r="K502" s="7">
        <f t="shared" si="123"/>
        <v>45737</v>
      </c>
      <c r="L502" s="7">
        <f t="shared" si="124"/>
        <v>45707</v>
      </c>
      <c r="M502">
        <f t="shared" si="125"/>
        <v>2</v>
      </c>
      <c r="N502">
        <f t="shared" si="126"/>
        <v>2025</v>
      </c>
      <c r="Q502" s="22">
        <v>695</v>
      </c>
      <c r="R502" s="22">
        <v>14214.94</v>
      </c>
      <c r="S502" s="22" t="str">
        <f t="shared" si="127"/>
        <v>USD</v>
      </c>
      <c r="T502" s="22">
        <f t="shared" si="128"/>
        <v>14214.94</v>
      </c>
      <c r="U502" s="28">
        <v>400</v>
      </c>
      <c r="W502" s="9">
        <v>371</v>
      </c>
      <c r="X502" s="9" t="s">
        <v>29</v>
      </c>
      <c r="AF502">
        <v>525</v>
      </c>
      <c r="AG502" t="s">
        <v>29</v>
      </c>
      <c r="AH502">
        <v>24593.55</v>
      </c>
      <c r="AI502" s="7">
        <v>45935</v>
      </c>
    </row>
    <row r="503" spans="1:35">
      <c r="A503">
        <v>542</v>
      </c>
      <c r="B503" t="str">
        <f t="shared" si="120"/>
        <v>USD</v>
      </c>
      <c r="C503">
        <f t="shared" si="121"/>
        <v>0</v>
      </c>
      <c r="D503">
        <f>C503*_xlfn.XLOOKUP(B503,AM:AM,AN:AN)</f>
        <v>0</v>
      </c>
      <c r="E503">
        <f>C503*_xlfn.XLOOKUP(B503,AM:AM,AO:AO)</f>
        <v>0</v>
      </c>
      <c r="F503">
        <v>3185.04</v>
      </c>
      <c r="G503">
        <f>F503*_xlfn.XLOOKUP(B503,AM:AM,AN:AN)</f>
        <v>2739.1343999999999</v>
      </c>
      <c r="H503">
        <f>F503*_xlfn.XLOOKUP(B503,AM:AM,AO:AO)</f>
        <v>3185.04</v>
      </c>
      <c r="I503">
        <f t="shared" si="122"/>
        <v>0</v>
      </c>
      <c r="J503">
        <f>I503*_xlfn.XLOOKUP(B503,AM:AM,AO:AO)</f>
        <v>0</v>
      </c>
      <c r="K503" s="7">
        <f t="shared" si="123"/>
        <v>45699</v>
      </c>
      <c r="L503" s="7">
        <f t="shared" si="124"/>
        <v>45669</v>
      </c>
      <c r="M503">
        <f t="shared" si="125"/>
        <v>1</v>
      </c>
      <c r="N503">
        <f t="shared" si="126"/>
        <v>2025</v>
      </c>
      <c r="Q503" s="22">
        <v>696</v>
      </c>
      <c r="R503" s="22">
        <v>23507.210000000003</v>
      </c>
      <c r="S503" s="22" t="str">
        <f t="shared" si="127"/>
        <v>USD</v>
      </c>
      <c r="T503" s="22">
        <f t="shared" si="128"/>
        <v>23507.210000000003</v>
      </c>
      <c r="U503" s="28">
        <v>400</v>
      </c>
      <c r="W503" s="9">
        <v>371</v>
      </c>
      <c r="X503" s="9" t="s">
        <v>29</v>
      </c>
      <c r="AF503">
        <v>526</v>
      </c>
      <c r="AG503" t="s">
        <v>29</v>
      </c>
      <c r="AH503">
        <v>1318.98</v>
      </c>
      <c r="AI503" s="7">
        <v>45868</v>
      </c>
    </row>
    <row r="504" spans="1:35">
      <c r="A504">
        <v>544</v>
      </c>
      <c r="B504" t="str">
        <f t="shared" si="120"/>
        <v>MXN</v>
      </c>
      <c r="C504">
        <f t="shared" si="121"/>
        <v>38204.58</v>
      </c>
      <c r="D504">
        <f>C504*_xlfn.XLOOKUP(B504,AM:AM,AN:AN)</f>
        <v>1833.8198400000001</v>
      </c>
      <c r="E504">
        <f>C504*_xlfn.XLOOKUP(B504,AM:AM,AO:AO)</f>
        <v>2139.4564800000003</v>
      </c>
      <c r="F504">
        <v>38204.58</v>
      </c>
      <c r="G504">
        <f>F504*_xlfn.XLOOKUP(B504,AM:AM,AN:AN)</f>
        <v>1833.8198400000001</v>
      </c>
      <c r="H504">
        <f>F504*_xlfn.XLOOKUP(B504,AM:AM,AO:AO)</f>
        <v>2139.4564800000003</v>
      </c>
      <c r="I504">
        <f t="shared" si="122"/>
        <v>0</v>
      </c>
      <c r="J504">
        <f>I504*_xlfn.XLOOKUP(B504,AM:AM,AO:AO)</f>
        <v>0</v>
      </c>
      <c r="K504" s="7">
        <f t="shared" si="123"/>
        <v>45978</v>
      </c>
      <c r="L504" s="7">
        <f t="shared" si="124"/>
        <v>45948</v>
      </c>
      <c r="M504">
        <f t="shared" si="125"/>
        <v>10</v>
      </c>
      <c r="N504">
        <f t="shared" si="126"/>
        <v>2025</v>
      </c>
      <c r="Q504" s="22">
        <v>697</v>
      </c>
      <c r="R504" s="22">
        <v>1130.9000000000001</v>
      </c>
      <c r="S504" s="22" t="str">
        <f t="shared" si="127"/>
        <v>USD</v>
      </c>
      <c r="T504" s="22">
        <f t="shared" si="128"/>
        <v>1130.9000000000001</v>
      </c>
      <c r="U504" s="28">
        <v>400</v>
      </c>
      <c r="W504" s="9">
        <v>371</v>
      </c>
      <c r="X504" s="9" t="s">
        <v>29</v>
      </c>
      <c r="AF504">
        <v>527</v>
      </c>
      <c r="AG504" t="s">
        <v>29</v>
      </c>
      <c r="AH504">
        <v>5116.8500000000004</v>
      </c>
      <c r="AI504" s="7">
        <v>45882</v>
      </c>
    </row>
    <row r="505" spans="1:35">
      <c r="A505">
        <v>545</v>
      </c>
      <c r="B505" t="str">
        <f t="shared" si="120"/>
        <v>USD</v>
      </c>
      <c r="C505">
        <f t="shared" si="121"/>
        <v>0</v>
      </c>
      <c r="D505">
        <f>C505*_xlfn.XLOOKUP(B505,AM:AM,AN:AN)</f>
        <v>0</v>
      </c>
      <c r="E505">
        <f>C505*_xlfn.XLOOKUP(B505,AM:AM,AO:AO)</f>
        <v>0</v>
      </c>
      <c r="F505">
        <v>4522.3100000000004</v>
      </c>
      <c r="G505">
        <f>F505*_xlfn.XLOOKUP(B505,AM:AM,AN:AN)</f>
        <v>3889.1866000000005</v>
      </c>
      <c r="H505">
        <f>F505*_xlfn.XLOOKUP(B505,AM:AM,AO:AO)</f>
        <v>4522.3100000000004</v>
      </c>
      <c r="I505">
        <f t="shared" si="122"/>
        <v>0</v>
      </c>
      <c r="J505">
        <f>I505*_xlfn.XLOOKUP(B505,AM:AM,AO:AO)</f>
        <v>0</v>
      </c>
      <c r="K505" s="7">
        <f t="shared" si="123"/>
        <v>45695</v>
      </c>
      <c r="L505" s="7">
        <f t="shared" si="124"/>
        <v>45665</v>
      </c>
      <c r="M505">
        <f t="shared" si="125"/>
        <v>1</v>
      </c>
      <c r="N505">
        <f t="shared" si="126"/>
        <v>2025</v>
      </c>
      <c r="Q505" s="22">
        <v>699</v>
      </c>
      <c r="R505" s="22">
        <v>1825</v>
      </c>
      <c r="S505" s="22" t="str">
        <f t="shared" si="127"/>
        <v>USD</v>
      </c>
      <c r="T505" s="22">
        <f t="shared" si="128"/>
        <v>1825</v>
      </c>
      <c r="U505" s="28">
        <v>400</v>
      </c>
      <c r="W505" s="9">
        <v>372</v>
      </c>
      <c r="X505" s="9" t="s">
        <v>29</v>
      </c>
      <c r="AF505">
        <v>528</v>
      </c>
      <c r="AG505" t="s">
        <v>29</v>
      </c>
      <c r="AH505">
        <v>6395</v>
      </c>
      <c r="AI505" s="7">
        <v>46016</v>
      </c>
    </row>
    <row r="506" spans="1:35">
      <c r="A506">
        <v>546</v>
      </c>
      <c r="B506" t="str">
        <f t="shared" si="120"/>
        <v>MXN</v>
      </c>
      <c r="C506">
        <f t="shared" si="121"/>
        <v>0</v>
      </c>
      <c r="D506">
        <f>C506*_xlfn.XLOOKUP(B506,AM:AM,AN:AN)</f>
        <v>0</v>
      </c>
      <c r="E506">
        <f>C506*_xlfn.XLOOKUP(B506,AM:AM,AO:AO)</f>
        <v>0</v>
      </c>
      <c r="F506">
        <v>75606</v>
      </c>
      <c r="G506">
        <f>F506*_xlfn.XLOOKUP(B506,AM:AM,AN:AN)</f>
        <v>3629.0880000000002</v>
      </c>
      <c r="H506">
        <f>F506*_xlfn.XLOOKUP(B506,AM:AM,AO:AO)</f>
        <v>4233.9359999999997</v>
      </c>
      <c r="I506">
        <f t="shared" si="122"/>
        <v>0</v>
      </c>
      <c r="J506">
        <f>I506*_xlfn.XLOOKUP(B506,AM:AM,AO:AO)</f>
        <v>0</v>
      </c>
      <c r="K506" s="7">
        <f t="shared" si="123"/>
        <v>45835</v>
      </c>
      <c r="L506" s="7">
        <f t="shared" si="124"/>
        <v>45805</v>
      </c>
      <c r="M506">
        <f t="shared" si="125"/>
        <v>5</v>
      </c>
      <c r="N506">
        <f t="shared" si="126"/>
        <v>2025</v>
      </c>
      <c r="Q506" s="22">
        <v>700</v>
      </c>
      <c r="R506" s="22">
        <v>260</v>
      </c>
      <c r="S506" s="22" t="str">
        <f t="shared" si="127"/>
        <v>USD</v>
      </c>
      <c r="T506" s="22">
        <f t="shared" si="128"/>
        <v>260</v>
      </c>
      <c r="U506" s="28">
        <v>400</v>
      </c>
      <c r="W506" s="9">
        <v>373</v>
      </c>
      <c r="X506" s="9" t="s">
        <v>29</v>
      </c>
      <c r="AF506">
        <v>529</v>
      </c>
      <c r="AG506" t="s">
        <v>30</v>
      </c>
      <c r="AH506">
        <v>2802</v>
      </c>
      <c r="AI506" s="7">
        <v>45866</v>
      </c>
    </row>
    <row r="507" spans="1:35">
      <c r="A507">
        <v>547</v>
      </c>
      <c r="B507" t="str">
        <f t="shared" si="120"/>
        <v>USD</v>
      </c>
      <c r="C507">
        <f t="shared" si="121"/>
        <v>0</v>
      </c>
      <c r="D507">
        <f>C507*_xlfn.XLOOKUP(B507,AM:AM,AN:AN)</f>
        <v>0</v>
      </c>
      <c r="E507">
        <f>C507*_xlfn.XLOOKUP(B507,AM:AM,AO:AO)</f>
        <v>0</v>
      </c>
      <c r="F507">
        <v>4307.1499999999996</v>
      </c>
      <c r="G507">
        <f>F507*_xlfn.XLOOKUP(B507,AM:AM,AN:AN)</f>
        <v>3704.1489999999994</v>
      </c>
      <c r="H507">
        <f>F507*_xlfn.XLOOKUP(B507,AM:AM,AO:AO)</f>
        <v>4307.1499999999996</v>
      </c>
      <c r="I507">
        <f t="shared" si="122"/>
        <v>0</v>
      </c>
      <c r="J507">
        <f>I507*_xlfn.XLOOKUP(B507,AM:AM,AO:AO)</f>
        <v>0</v>
      </c>
      <c r="K507" s="7">
        <f t="shared" si="123"/>
        <v>45837</v>
      </c>
      <c r="L507" s="7">
        <f t="shared" si="124"/>
        <v>45807</v>
      </c>
      <c r="M507">
        <f t="shared" si="125"/>
        <v>5</v>
      </c>
      <c r="N507">
        <f t="shared" si="126"/>
        <v>2025</v>
      </c>
      <c r="Q507" s="22">
        <v>701</v>
      </c>
      <c r="R507" s="22">
        <v>3915</v>
      </c>
      <c r="S507" s="22" t="str">
        <f t="shared" si="127"/>
        <v>USD</v>
      </c>
      <c r="T507" s="22">
        <f t="shared" si="128"/>
        <v>3915</v>
      </c>
      <c r="U507" s="28">
        <v>400</v>
      </c>
      <c r="W507" s="9">
        <v>373</v>
      </c>
      <c r="X507" s="9" t="s">
        <v>29</v>
      </c>
      <c r="AF507">
        <v>530</v>
      </c>
      <c r="AG507" t="s">
        <v>29</v>
      </c>
      <c r="AH507">
        <v>48859.88</v>
      </c>
      <c r="AI507" s="7">
        <v>45935</v>
      </c>
    </row>
    <row r="508" spans="1:35">
      <c r="A508">
        <v>548</v>
      </c>
      <c r="B508" t="str">
        <f t="shared" si="120"/>
        <v>EUR</v>
      </c>
      <c r="C508">
        <f t="shared" si="121"/>
        <v>0</v>
      </c>
      <c r="D508">
        <f>C508*_xlfn.XLOOKUP(B508,AM:AM,AN:AN)</f>
        <v>0</v>
      </c>
      <c r="E508">
        <f>C508*_xlfn.XLOOKUP(B508,AM:AM,AO:AO)</f>
        <v>0</v>
      </c>
      <c r="F508">
        <v>62135</v>
      </c>
      <c r="G508">
        <f>F508*_xlfn.XLOOKUP(B508,AM:AM,AN:AN)</f>
        <v>62135</v>
      </c>
      <c r="H508">
        <f>F508*_xlfn.XLOOKUP(B508,AM:AM,AO:AO)</f>
        <v>72076.599999999991</v>
      </c>
      <c r="I508">
        <f t="shared" si="122"/>
        <v>0</v>
      </c>
      <c r="J508">
        <f>I508*_xlfn.XLOOKUP(B508,AM:AM,AO:AO)</f>
        <v>0</v>
      </c>
      <c r="K508" s="7">
        <f t="shared" si="123"/>
        <v>45858</v>
      </c>
      <c r="L508" s="7">
        <f t="shared" si="124"/>
        <v>45828</v>
      </c>
      <c r="M508">
        <f t="shared" si="125"/>
        <v>6</v>
      </c>
      <c r="N508">
        <f t="shared" si="126"/>
        <v>2025</v>
      </c>
      <c r="Q508" s="22">
        <v>702</v>
      </c>
      <c r="R508" s="22">
        <v>796.16</v>
      </c>
      <c r="S508" s="22" t="str">
        <f t="shared" si="127"/>
        <v>USD</v>
      </c>
      <c r="T508" s="22">
        <f t="shared" si="128"/>
        <v>796.16</v>
      </c>
      <c r="U508" s="28">
        <v>400</v>
      </c>
      <c r="W508" s="9">
        <v>374</v>
      </c>
      <c r="X508" s="9" t="s">
        <v>28</v>
      </c>
      <c r="AF508">
        <v>531</v>
      </c>
      <c r="AG508" t="s">
        <v>29</v>
      </c>
      <c r="AH508">
        <v>33581.879999999997</v>
      </c>
      <c r="AI508" s="7">
        <v>45864</v>
      </c>
    </row>
    <row r="509" spans="1:35">
      <c r="A509">
        <v>549</v>
      </c>
      <c r="B509" t="str">
        <f t="shared" si="120"/>
        <v>CHF</v>
      </c>
      <c r="C509">
        <f t="shared" si="121"/>
        <v>0</v>
      </c>
      <c r="D509">
        <f>C509*_xlfn.XLOOKUP(B509,AM:AM,AN:AN)</f>
        <v>0</v>
      </c>
      <c r="E509">
        <f>C509*_xlfn.XLOOKUP(B509,AM:AM,AO:AO)</f>
        <v>0</v>
      </c>
      <c r="F509">
        <v>32910</v>
      </c>
      <c r="G509">
        <f>F509*_xlfn.XLOOKUP(B509,AM:AM,AN:AN)</f>
        <v>35213.700000000004</v>
      </c>
      <c r="H509">
        <f>F509*_xlfn.XLOOKUP(B509,AM:AM,AO:AO)</f>
        <v>41137.5</v>
      </c>
      <c r="I509">
        <f t="shared" si="122"/>
        <v>0</v>
      </c>
      <c r="J509">
        <f>I509*_xlfn.XLOOKUP(B509,AM:AM,AO:AO)</f>
        <v>0</v>
      </c>
      <c r="K509" s="7">
        <f t="shared" si="123"/>
        <v>45855</v>
      </c>
      <c r="L509" s="7">
        <f t="shared" si="124"/>
        <v>45825</v>
      </c>
      <c r="M509">
        <f t="shared" si="125"/>
        <v>6</v>
      </c>
      <c r="N509">
        <f t="shared" si="126"/>
        <v>2025</v>
      </c>
      <c r="Q509" s="22">
        <v>704</v>
      </c>
      <c r="R509" s="22">
        <v>9825.9399999999987</v>
      </c>
      <c r="S509" s="22" t="str">
        <f t="shared" si="127"/>
        <v>USD</v>
      </c>
      <c r="T509" s="22">
        <f t="shared" si="128"/>
        <v>9825.9399999999987</v>
      </c>
      <c r="U509" s="28">
        <v>400</v>
      </c>
      <c r="W509" s="9">
        <v>375</v>
      </c>
      <c r="X509" s="9" t="s">
        <v>28</v>
      </c>
      <c r="AF509">
        <v>532</v>
      </c>
      <c r="AG509" t="s">
        <v>29</v>
      </c>
      <c r="AH509">
        <v>2831.43</v>
      </c>
      <c r="AI509" s="7">
        <v>45903</v>
      </c>
    </row>
    <row r="510" spans="1:35">
      <c r="A510">
        <v>550</v>
      </c>
      <c r="B510" t="str">
        <f t="shared" si="120"/>
        <v>USD</v>
      </c>
      <c r="C510">
        <f t="shared" si="121"/>
        <v>0</v>
      </c>
      <c r="D510">
        <f>C510*_xlfn.XLOOKUP(B510,AM:AM,AN:AN)</f>
        <v>0</v>
      </c>
      <c r="E510">
        <f>C510*_xlfn.XLOOKUP(B510,AM:AM,AO:AO)</f>
        <v>0</v>
      </c>
      <c r="F510">
        <v>43995.07</v>
      </c>
      <c r="G510">
        <f>F510*_xlfn.XLOOKUP(B510,AM:AM,AN:AN)</f>
        <v>37835.760199999997</v>
      </c>
      <c r="H510">
        <f>F510*_xlfn.XLOOKUP(B510,AM:AM,AO:AO)</f>
        <v>43995.07</v>
      </c>
      <c r="I510">
        <f t="shared" si="122"/>
        <v>0</v>
      </c>
      <c r="J510">
        <f>I510*_xlfn.XLOOKUP(B510,AM:AM,AO:AO)</f>
        <v>0</v>
      </c>
      <c r="K510" s="7">
        <f t="shared" si="123"/>
        <v>45843</v>
      </c>
      <c r="L510" s="7">
        <f t="shared" si="124"/>
        <v>45813</v>
      </c>
      <c r="M510">
        <f t="shared" si="125"/>
        <v>6</v>
      </c>
      <c r="N510">
        <f t="shared" si="126"/>
        <v>2025</v>
      </c>
      <c r="Q510" s="22">
        <v>706</v>
      </c>
      <c r="R510" s="22">
        <v>10334.1</v>
      </c>
      <c r="S510" s="22" t="str">
        <f t="shared" si="127"/>
        <v>USD</v>
      </c>
      <c r="T510" s="22">
        <f t="shared" si="128"/>
        <v>10334.1</v>
      </c>
      <c r="U510" s="28">
        <v>400</v>
      </c>
      <c r="W510" s="9">
        <v>376</v>
      </c>
      <c r="X510" s="9" t="s">
        <v>29</v>
      </c>
      <c r="AF510">
        <v>533</v>
      </c>
      <c r="AG510" t="s">
        <v>29</v>
      </c>
      <c r="AH510">
        <v>2722.85</v>
      </c>
      <c r="AI510" s="7">
        <v>45830</v>
      </c>
    </row>
    <row r="511" spans="1:35">
      <c r="A511">
        <v>551</v>
      </c>
      <c r="B511" t="str">
        <f t="shared" si="120"/>
        <v>MXN</v>
      </c>
      <c r="C511">
        <f t="shared" si="121"/>
        <v>1339.0999999999985</v>
      </c>
      <c r="D511">
        <f>C511*_xlfn.XLOOKUP(B511,AM:AM,AN:AN)</f>
        <v>64.276799999999938</v>
      </c>
      <c r="E511">
        <f>C511*_xlfn.XLOOKUP(B511,AM:AM,AO:AO)</f>
        <v>74.989599999999925</v>
      </c>
      <c r="F511">
        <v>51817.1</v>
      </c>
      <c r="G511">
        <f>F511*_xlfn.XLOOKUP(B511,AM:AM,AN:AN)</f>
        <v>2487.2208000000001</v>
      </c>
      <c r="H511">
        <f>F511*_xlfn.XLOOKUP(B511,AM:AM,AO:AO)</f>
        <v>2901.7575999999999</v>
      </c>
      <c r="I511">
        <f t="shared" si="122"/>
        <v>0</v>
      </c>
      <c r="J511">
        <f>I511*_xlfn.XLOOKUP(B511,AM:AM,AO:AO)</f>
        <v>0</v>
      </c>
      <c r="K511" s="7">
        <f t="shared" si="123"/>
        <v>45887</v>
      </c>
      <c r="L511" s="7">
        <f t="shared" ref="L511" si="129">K511-30</f>
        <v>45857</v>
      </c>
      <c r="M511">
        <f t="shared" ref="M511" si="130">MONTH(L511)</f>
        <v>7</v>
      </c>
      <c r="N511">
        <f t="shared" ref="N511" si="131">YEAR(L511)</f>
        <v>2025</v>
      </c>
      <c r="Q511" s="22">
        <v>707</v>
      </c>
      <c r="R511" s="22">
        <v>29787.300000000003</v>
      </c>
      <c r="S511" s="22" t="str">
        <f t="shared" si="127"/>
        <v>USD</v>
      </c>
      <c r="T511" s="22">
        <f t="shared" si="128"/>
        <v>29787.300000000003</v>
      </c>
      <c r="U511" s="28">
        <v>400</v>
      </c>
      <c r="W511" s="9">
        <v>377</v>
      </c>
      <c r="X511" s="9" t="s">
        <v>29</v>
      </c>
      <c r="AF511">
        <v>534</v>
      </c>
      <c r="AG511" t="s">
        <v>29</v>
      </c>
      <c r="AH511">
        <v>46069.59</v>
      </c>
      <c r="AI511" s="7">
        <v>45869</v>
      </c>
    </row>
    <row r="512" spans="1:35">
      <c r="A512">
        <v>552</v>
      </c>
      <c r="B512" t="str">
        <f t="shared" si="120"/>
        <v>USD</v>
      </c>
      <c r="C512">
        <f t="shared" si="121"/>
        <v>18824.230000000003</v>
      </c>
      <c r="D512">
        <f>C512*_xlfn.XLOOKUP(B512,AM:AM,AN:AN)</f>
        <v>16188.837800000003</v>
      </c>
      <c r="E512">
        <f>C512*_xlfn.XLOOKUP(B512,AM:AM,AO:AO)</f>
        <v>18824.230000000003</v>
      </c>
      <c r="F512">
        <v>39520.410000000003</v>
      </c>
      <c r="G512">
        <f>F512*_xlfn.XLOOKUP(B512,AM:AM,AN:AN)</f>
        <v>33987.552600000003</v>
      </c>
      <c r="H512">
        <f>F512*_xlfn.XLOOKUP(B512,AM:AM,AO:AO)</f>
        <v>39520.410000000003</v>
      </c>
      <c r="I512">
        <f t="shared" si="122"/>
        <v>0</v>
      </c>
      <c r="J512">
        <f>I512*_xlfn.XLOOKUP(B512,AM:AM,AO:AO)</f>
        <v>0</v>
      </c>
      <c r="K512" s="7">
        <f t="shared" si="123"/>
        <v>45876</v>
      </c>
      <c r="L512" s="7">
        <f t="shared" si="124"/>
        <v>45846</v>
      </c>
      <c r="M512">
        <f t="shared" si="125"/>
        <v>7</v>
      </c>
      <c r="N512">
        <f t="shared" si="126"/>
        <v>2025</v>
      </c>
      <c r="Q512" s="22">
        <v>709</v>
      </c>
      <c r="R512" s="22">
        <v>3780</v>
      </c>
      <c r="S512" s="22" t="str">
        <f t="shared" si="127"/>
        <v>CHF</v>
      </c>
      <c r="T512" s="22">
        <f t="shared" si="128"/>
        <v>4725</v>
      </c>
      <c r="U512" s="28">
        <v>400</v>
      </c>
      <c r="W512" s="9">
        <v>378</v>
      </c>
      <c r="X512" s="9" t="s">
        <v>29</v>
      </c>
      <c r="AF512">
        <v>535</v>
      </c>
      <c r="AG512" t="s">
        <v>29</v>
      </c>
      <c r="AH512">
        <v>2861.4</v>
      </c>
      <c r="AI512" s="7">
        <v>45812</v>
      </c>
    </row>
    <row r="513" spans="1:35">
      <c r="A513">
        <v>553</v>
      </c>
      <c r="B513" t="str">
        <f t="shared" si="120"/>
        <v>EUR</v>
      </c>
      <c r="C513">
        <f t="shared" si="121"/>
        <v>58603</v>
      </c>
      <c r="D513">
        <f t="shared" ref="D513:D576" si="132">C513*_xlfn.XLOOKUP(B513,AM:AM,AN:AN)</f>
        <v>58603</v>
      </c>
      <c r="E513">
        <f t="shared" ref="E513:E576" si="133">C513*_xlfn.XLOOKUP(B513,AM:AM,AO:AO)</f>
        <v>67979.48</v>
      </c>
      <c r="F513">
        <v>77583</v>
      </c>
      <c r="G513">
        <f t="shared" ref="G513:G576" si="134">F513*_xlfn.XLOOKUP(B513,AM:AM,AN:AN)</f>
        <v>77583</v>
      </c>
      <c r="H513">
        <f t="shared" ref="H513:H576" si="135">F513*_xlfn.XLOOKUP(B513,AM:AM,AO:AO)</f>
        <v>89996.28</v>
      </c>
      <c r="I513">
        <f t="shared" si="122"/>
        <v>0</v>
      </c>
      <c r="J513">
        <f t="shared" ref="J513:J576" si="136">I513*_xlfn.XLOOKUP(B513,AM:AM,AO:AO)</f>
        <v>0</v>
      </c>
      <c r="K513" s="7">
        <f t="shared" si="123"/>
        <v>45903</v>
      </c>
      <c r="L513" s="7">
        <f t="shared" ref="L513:L576" si="137">K513-30</f>
        <v>45873</v>
      </c>
      <c r="M513">
        <f t="shared" ref="M513:M576" si="138">MONTH(L513)</f>
        <v>8</v>
      </c>
      <c r="N513">
        <f t="shared" ref="N513:N576" si="139">YEAR(L513)</f>
        <v>2025</v>
      </c>
      <c r="Q513" s="22">
        <v>710</v>
      </c>
      <c r="R513" s="22">
        <v>6025</v>
      </c>
      <c r="S513" s="22" t="str">
        <f t="shared" si="127"/>
        <v>EUR</v>
      </c>
      <c r="T513" s="22">
        <f t="shared" si="128"/>
        <v>6988.9999999999991</v>
      </c>
      <c r="U513" s="28">
        <v>400</v>
      </c>
      <c r="W513" s="9">
        <v>379</v>
      </c>
      <c r="X513" s="9" t="s">
        <v>29</v>
      </c>
      <c r="AF513">
        <v>536</v>
      </c>
      <c r="AG513" t="s">
        <v>29</v>
      </c>
      <c r="AH513">
        <v>81706.59</v>
      </c>
      <c r="AI513" s="7">
        <v>45822</v>
      </c>
    </row>
    <row r="514" spans="1:35">
      <c r="A514">
        <v>554</v>
      </c>
      <c r="B514" t="str">
        <f t="shared" si="120"/>
        <v>USD</v>
      </c>
      <c r="C514">
        <f t="shared" si="121"/>
        <v>0</v>
      </c>
      <c r="D514">
        <f t="shared" si="132"/>
        <v>0</v>
      </c>
      <c r="E514">
        <f t="shared" si="133"/>
        <v>0</v>
      </c>
      <c r="F514">
        <v>1613.45</v>
      </c>
      <c r="G514">
        <f t="shared" si="134"/>
        <v>1387.567</v>
      </c>
      <c r="H514">
        <f t="shared" si="135"/>
        <v>1613.45</v>
      </c>
      <c r="I514">
        <f t="shared" si="122"/>
        <v>0</v>
      </c>
      <c r="J514">
        <f t="shared" si="136"/>
        <v>0</v>
      </c>
      <c r="K514" s="7">
        <f t="shared" si="123"/>
        <v>45871</v>
      </c>
      <c r="L514" s="7">
        <f t="shared" si="137"/>
        <v>45841</v>
      </c>
      <c r="M514">
        <f t="shared" si="138"/>
        <v>7</v>
      </c>
      <c r="N514">
        <f t="shared" si="139"/>
        <v>2025</v>
      </c>
      <c r="Q514" s="22">
        <v>711</v>
      </c>
      <c r="R514" s="22">
        <v>7725.82</v>
      </c>
      <c r="S514" s="22" t="str">
        <f t="shared" si="127"/>
        <v>USD</v>
      </c>
      <c r="T514" s="22">
        <f t="shared" si="128"/>
        <v>7725.82</v>
      </c>
      <c r="U514" s="28">
        <v>400</v>
      </c>
      <c r="W514" s="9">
        <v>379</v>
      </c>
      <c r="X514" s="9" t="s">
        <v>29</v>
      </c>
      <c r="AF514">
        <v>537</v>
      </c>
      <c r="AG514" t="s">
        <v>27</v>
      </c>
      <c r="AH514">
        <v>6322.25</v>
      </c>
      <c r="AI514" s="7">
        <v>45915</v>
      </c>
    </row>
    <row r="515" spans="1:35">
      <c r="A515">
        <v>555</v>
      </c>
      <c r="B515" t="str">
        <f t="shared" ref="B515:B578" si="140">_xlfn.XLOOKUP(A515,AF:AF,AG:AG)</f>
        <v>USD</v>
      </c>
      <c r="C515">
        <f t="shared" ref="C515:C578" si="141">_xlfn.XLOOKUP(A515,AF:AF,AH:AH)-_xlfn.XLOOKUP(A515,Q:Q,R:R,"0")</f>
        <v>0</v>
      </c>
      <c r="D515">
        <f t="shared" si="132"/>
        <v>0</v>
      </c>
      <c r="E515">
        <f t="shared" si="133"/>
        <v>0</v>
      </c>
      <c r="F515">
        <v>5682</v>
      </c>
      <c r="G515">
        <f t="shared" si="134"/>
        <v>4886.5199999999995</v>
      </c>
      <c r="H515">
        <f t="shared" si="135"/>
        <v>5682</v>
      </c>
      <c r="I515">
        <f t="shared" ref="I515:I578" si="142">C515-F515+_xlfn.XLOOKUP(A515,Q:Q,R:R,"0")-_xlfn.XLOOKUP(A515,Z:Z,AA:AA,"0")</f>
        <v>0</v>
      </c>
      <c r="J515">
        <f t="shared" si="136"/>
        <v>0</v>
      </c>
      <c r="K515" s="7">
        <f t="shared" ref="K515:K578" si="143">_xlfn.XLOOKUP(A515,AF:AF,AI:AI)</f>
        <v>45878</v>
      </c>
      <c r="L515" s="7">
        <f t="shared" si="137"/>
        <v>45848</v>
      </c>
      <c r="M515">
        <f t="shared" si="138"/>
        <v>7</v>
      </c>
      <c r="N515">
        <f t="shared" si="139"/>
        <v>2025</v>
      </c>
      <c r="Q515" s="22">
        <v>712</v>
      </c>
      <c r="R515" s="22">
        <v>12080</v>
      </c>
      <c r="S515" s="22" t="str">
        <f t="shared" ref="S515:S578" si="144">_xlfn.XLOOKUP(Q515,W:W,X:X)</f>
        <v>EUR</v>
      </c>
      <c r="T515" s="22">
        <f t="shared" si="128"/>
        <v>14012.8</v>
      </c>
      <c r="U515" s="28">
        <v>400</v>
      </c>
      <c r="W515" s="9">
        <v>379</v>
      </c>
      <c r="X515" s="9" t="s">
        <v>29</v>
      </c>
      <c r="AF515">
        <v>538</v>
      </c>
      <c r="AG515" t="s">
        <v>29</v>
      </c>
      <c r="AH515">
        <v>1044.98</v>
      </c>
      <c r="AI515" s="7">
        <v>45982</v>
      </c>
    </row>
    <row r="516" spans="1:35">
      <c r="A516">
        <v>556</v>
      </c>
      <c r="B516" t="str">
        <f t="shared" si="140"/>
        <v>USD</v>
      </c>
      <c r="C516">
        <f t="shared" si="141"/>
        <v>13220.5</v>
      </c>
      <c r="D516">
        <f t="shared" si="132"/>
        <v>11369.63</v>
      </c>
      <c r="E516">
        <f t="shared" si="133"/>
        <v>13220.5</v>
      </c>
      <c r="F516">
        <v>13220.5</v>
      </c>
      <c r="G516">
        <f t="shared" si="134"/>
        <v>11369.63</v>
      </c>
      <c r="H516">
        <f t="shared" si="135"/>
        <v>13220.5</v>
      </c>
      <c r="I516">
        <f t="shared" si="142"/>
        <v>0</v>
      </c>
      <c r="J516">
        <f t="shared" si="136"/>
        <v>0</v>
      </c>
      <c r="K516" s="7">
        <f t="shared" si="143"/>
        <v>45874</v>
      </c>
      <c r="L516" s="7">
        <f t="shared" si="137"/>
        <v>45844</v>
      </c>
      <c r="M516">
        <f t="shared" si="138"/>
        <v>7</v>
      </c>
      <c r="N516">
        <f t="shared" si="139"/>
        <v>2025</v>
      </c>
      <c r="Q516" s="22">
        <v>714</v>
      </c>
      <c r="R516" s="22">
        <v>35813</v>
      </c>
      <c r="S516" s="22" t="str">
        <f t="shared" si="144"/>
        <v>USD</v>
      </c>
      <c r="T516" s="22">
        <f t="shared" si="128"/>
        <v>35813</v>
      </c>
      <c r="U516" s="28">
        <v>400</v>
      </c>
      <c r="W516" s="9">
        <v>380</v>
      </c>
      <c r="X516" s="9" t="s">
        <v>29</v>
      </c>
      <c r="AF516">
        <v>539</v>
      </c>
      <c r="AG516" t="s">
        <v>29</v>
      </c>
      <c r="AH516">
        <v>7198.65</v>
      </c>
      <c r="AI516" s="7">
        <v>45792</v>
      </c>
    </row>
    <row r="517" spans="1:35">
      <c r="A517">
        <v>557</v>
      </c>
      <c r="B517" t="str">
        <f t="shared" si="140"/>
        <v>USD</v>
      </c>
      <c r="C517">
        <f t="shared" si="141"/>
        <v>0</v>
      </c>
      <c r="D517">
        <f t="shared" si="132"/>
        <v>0</v>
      </c>
      <c r="E517">
        <f t="shared" si="133"/>
        <v>0</v>
      </c>
      <c r="F517">
        <v>8329.19</v>
      </c>
      <c r="G517">
        <f t="shared" si="134"/>
        <v>7163.1034</v>
      </c>
      <c r="H517">
        <f t="shared" si="135"/>
        <v>8329.19</v>
      </c>
      <c r="I517">
        <f t="shared" si="142"/>
        <v>-1.8189894035458565E-12</v>
      </c>
      <c r="J517">
        <f t="shared" si="136"/>
        <v>-1.8189894035458565E-12</v>
      </c>
      <c r="K517" s="7">
        <f t="shared" si="143"/>
        <v>45779</v>
      </c>
      <c r="L517" s="7">
        <f t="shared" si="137"/>
        <v>45749</v>
      </c>
      <c r="M517">
        <f t="shared" si="138"/>
        <v>4</v>
      </c>
      <c r="N517">
        <f t="shared" si="139"/>
        <v>2025</v>
      </c>
      <c r="Q517" s="22">
        <v>715</v>
      </c>
      <c r="R517" s="22">
        <v>30166.35</v>
      </c>
      <c r="S517" s="22" t="str">
        <f t="shared" si="144"/>
        <v>MXN</v>
      </c>
      <c r="T517" s="22">
        <f t="shared" si="128"/>
        <v>1689.3155999999999</v>
      </c>
      <c r="U517" s="28">
        <v>400</v>
      </c>
      <c r="W517" s="9">
        <v>382</v>
      </c>
      <c r="X517" s="9" t="s">
        <v>29</v>
      </c>
      <c r="AF517">
        <v>540</v>
      </c>
      <c r="AG517" t="s">
        <v>29</v>
      </c>
      <c r="AH517">
        <v>42853.67</v>
      </c>
      <c r="AI517" s="7">
        <v>45869</v>
      </c>
    </row>
    <row r="518" spans="1:35">
      <c r="A518">
        <v>558</v>
      </c>
      <c r="B518" t="str">
        <f t="shared" si="140"/>
        <v>USD</v>
      </c>
      <c r="C518">
        <f t="shared" si="141"/>
        <v>0</v>
      </c>
      <c r="D518">
        <f t="shared" si="132"/>
        <v>0</v>
      </c>
      <c r="E518">
        <f t="shared" si="133"/>
        <v>0</v>
      </c>
      <c r="F518">
        <v>16034.17</v>
      </c>
      <c r="G518">
        <f t="shared" si="134"/>
        <v>13789.386199999999</v>
      </c>
      <c r="H518">
        <f t="shared" si="135"/>
        <v>16034.17</v>
      </c>
      <c r="I518">
        <f t="shared" si="142"/>
        <v>0</v>
      </c>
      <c r="J518">
        <f t="shared" si="136"/>
        <v>0</v>
      </c>
      <c r="K518" s="7">
        <f t="shared" si="143"/>
        <v>45861</v>
      </c>
      <c r="L518" s="7">
        <f t="shared" si="137"/>
        <v>45831</v>
      </c>
      <c r="M518">
        <f t="shared" si="138"/>
        <v>6</v>
      </c>
      <c r="N518">
        <f t="shared" si="139"/>
        <v>2025</v>
      </c>
      <c r="Q518" s="22">
        <v>716</v>
      </c>
      <c r="R518" s="22">
        <v>384.51</v>
      </c>
      <c r="S518" s="22" t="str">
        <f t="shared" si="144"/>
        <v>USD</v>
      </c>
      <c r="T518" s="22">
        <f t="shared" si="128"/>
        <v>384.51</v>
      </c>
      <c r="U518" s="28">
        <v>400</v>
      </c>
      <c r="W518" s="9">
        <v>382</v>
      </c>
      <c r="X518" s="9" t="s">
        <v>29</v>
      </c>
      <c r="AF518">
        <v>541</v>
      </c>
      <c r="AG518" t="s">
        <v>29</v>
      </c>
      <c r="AH518">
        <v>14819.43</v>
      </c>
      <c r="AI518" s="7">
        <v>45737</v>
      </c>
    </row>
    <row r="519" spans="1:35">
      <c r="A519">
        <v>559</v>
      </c>
      <c r="B519" t="str">
        <f t="shared" si="140"/>
        <v>USD</v>
      </c>
      <c r="C519">
        <f t="shared" si="141"/>
        <v>70</v>
      </c>
      <c r="D519">
        <f t="shared" si="132"/>
        <v>60.199999999999996</v>
      </c>
      <c r="E519">
        <f t="shared" si="133"/>
        <v>70</v>
      </c>
      <c r="F519">
        <v>1725.06</v>
      </c>
      <c r="G519">
        <f t="shared" si="134"/>
        <v>1483.5516</v>
      </c>
      <c r="H519">
        <f t="shared" si="135"/>
        <v>1725.06</v>
      </c>
      <c r="I519">
        <f t="shared" si="142"/>
        <v>0</v>
      </c>
      <c r="J519">
        <f t="shared" si="136"/>
        <v>0</v>
      </c>
      <c r="K519" s="7">
        <f t="shared" si="143"/>
        <v>45912</v>
      </c>
      <c r="L519" s="7">
        <f t="shared" si="137"/>
        <v>45882</v>
      </c>
      <c r="M519">
        <f t="shared" si="138"/>
        <v>8</v>
      </c>
      <c r="N519">
        <f t="shared" si="139"/>
        <v>2025</v>
      </c>
      <c r="Q519" s="22">
        <v>722</v>
      </c>
      <c r="R519" s="22">
        <v>1349</v>
      </c>
      <c r="S519" s="22" t="str">
        <f t="shared" si="144"/>
        <v>USD</v>
      </c>
      <c r="T519" s="22">
        <f t="shared" si="128"/>
        <v>1349</v>
      </c>
      <c r="U519" s="28">
        <v>400</v>
      </c>
      <c r="W519" s="9">
        <v>382</v>
      </c>
      <c r="X519" s="9" t="s">
        <v>29</v>
      </c>
      <c r="AF519">
        <v>542</v>
      </c>
      <c r="AG519" t="s">
        <v>29</v>
      </c>
      <c r="AH519">
        <v>3185.04</v>
      </c>
      <c r="AI519" s="7">
        <v>45699</v>
      </c>
    </row>
    <row r="520" spans="1:35">
      <c r="A520">
        <v>560</v>
      </c>
      <c r="B520" t="str">
        <f t="shared" si="140"/>
        <v>GPB</v>
      </c>
      <c r="C520">
        <f t="shared" si="141"/>
        <v>0</v>
      </c>
      <c r="D520">
        <f t="shared" si="132"/>
        <v>0</v>
      </c>
      <c r="E520">
        <f t="shared" si="133"/>
        <v>0</v>
      </c>
      <c r="F520">
        <v>1725</v>
      </c>
      <c r="G520">
        <f t="shared" si="134"/>
        <v>1983.7499999999998</v>
      </c>
      <c r="H520">
        <f t="shared" si="135"/>
        <v>2311.5</v>
      </c>
      <c r="I520">
        <f t="shared" si="142"/>
        <v>0</v>
      </c>
      <c r="J520">
        <f t="shared" si="136"/>
        <v>0</v>
      </c>
      <c r="K520" s="7">
        <f t="shared" si="143"/>
        <v>45885</v>
      </c>
      <c r="L520" s="7">
        <f t="shared" si="137"/>
        <v>45855</v>
      </c>
      <c r="M520">
        <f t="shared" si="138"/>
        <v>7</v>
      </c>
      <c r="N520">
        <f t="shared" si="139"/>
        <v>2025</v>
      </c>
      <c r="Q520" s="22">
        <v>724</v>
      </c>
      <c r="R520" s="22">
        <v>1396</v>
      </c>
      <c r="S520" s="22" t="str">
        <f t="shared" si="144"/>
        <v>USD</v>
      </c>
      <c r="T520" s="22">
        <f t="shared" si="128"/>
        <v>1396</v>
      </c>
      <c r="U520" s="28">
        <v>400</v>
      </c>
      <c r="W520" s="9">
        <v>384</v>
      </c>
      <c r="X520" s="9" t="s">
        <v>29</v>
      </c>
      <c r="AF520">
        <v>544</v>
      </c>
      <c r="AG520" t="s">
        <v>28</v>
      </c>
      <c r="AH520">
        <v>38204.58</v>
      </c>
      <c r="AI520" s="7">
        <v>45978</v>
      </c>
    </row>
    <row r="521" spans="1:35">
      <c r="A521">
        <v>561</v>
      </c>
      <c r="B521" t="str">
        <f t="shared" si="140"/>
        <v>MXN</v>
      </c>
      <c r="C521">
        <f t="shared" si="141"/>
        <v>1390</v>
      </c>
      <c r="D521">
        <f t="shared" si="132"/>
        <v>66.72</v>
      </c>
      <c r="E521">
        <f t="shared" si="133"/>
        <v>77.84</v>
      </c>
      <c r="F521">
        <v>145386.9</v>
      </c>
      <c r="G521">
        <f t="shared" si="134"/>
        <v>6978.5712000000003</v>
      </c>
      <c r="H521">
        <f t="shared" si="135"/>
        <v>8141.6664000000001</v>
      </c>
      <c r="I521">
        <f t="shared" si="142"/>
        <v>0</v>
      </c>
      <c r="J521">
        <f t="shared" si="136"/>
        <v>0</v>
      </c>
      <c r="K521" s="7">
        <f t="shared" si="143"/>
        <v>45931</v>
      </c>
      <c r="L521" s="7">
        <f t="shared" si="137"/>
        <v>45901</v>
      </c>
      <c r="M521">
        <f t="shared" si="138"/>
        <v>9</v>
      </c>
      <c r="N521">
        <f t="shared" si="139"/>
        <v>2025</v>
      </c>
      <c r="Q521" s="22">
        <v>725</v>
      </c>
      <c r="R521" s="22">
        <v>854.4</v>
      </c>
      <c r="S521" s="22" t="str">
        <f t="shared" si="144"/>
        <v>USD</v>
      </c>
      <c r="T521" s="22">
        <f t="shared" si="128"/>
        <v>854.4</v>
      </c>
      <c r="U521" s="28">
        <v>400</v>
      </c>
      <c r="W521" s="9">
        <v>385</v>
      </c>
      <c r="X521" s="9" t="s">
        <v>29</v>
      </c>
      <c r="AF521">
        <v>545</v>
      </c>
      <c r="AG521" t="s">
        <v>29</v>
      </c>
      <c r="AH521">
        <v>4522.3100000000004</v>
      </c>
      <c r="AI521" s="7">
        <v>45695</v>
      </c>
    </row>
    <row r="522" spans="1:35">
      <c r="A522">
        <v>562</v>
      </c>
      <c r="B522" t="str">
        <f t="shared" si="140"/>
        <v>USD</v>
      </c>
      <c r="C522">
        <f t="shared" si="141"/>
        <v>0</v>
      </c>
      <c r="D522">
        <f t="shared" si="132"/>
        <v>0</v>
      </c>
      <c r="E522">
        <f t="shared" si="133"/>
        <v>0</v>
      </c>
      <c r="F522">
        <v>2837.24</v>
      </c>
      <c r="G522">
        <f t="shared" si="134"/>
        <v>2440.0263999999997</v>
      </c>
      <c r="H522">
        <f t="shared" si="135"/>
        <v>2837.24</v>
      </c>
      <c r="I522">
        <f t="shared" si="142"/>
        <v>0</v>
      </c>
      <c r="J522">
        <f t="shared" si="136"/>
        <v>0</v>
      </c>
      <c r="K522" s="7">
        <f t="shared" si="143"/>
        <v>45891</v>
      </c>
      <c r="L522" s="7">
        <f t="shared" si="137"/>
        <v>45861</v>
      </c>
      <c r="M522">
        <f t="shared" si="138"/>
        <v>7</v>
      </c>
      <c r="N522">
        <f t="shared" si="139"/>
        <v>2025</v>
      </c>
      <c r="Q522" s="22">
        <v>727</v>
      </c>
      <c r="R522" s="22">
        <v>58869.08</v>
      </c>
      <c r="S522" s="22" t="str">
        <f t="shared" si="144"/>
        <v>USD</v>
      </c>
      <c r="T522" s="22">
        <f t="shared" si="128"/>
        <v>58869.08</v>
      </c>
      <c r="U522" s="28">
        <v>400</v>
      </c>
      <c r="W522" s="9">
        <v>386</v>
      </c>
      <c r="X522" s="9" t="s">
        <v>29</v>
      </c>
      <c r="AF522">
        <v>546</v>
      </c>
      <c r="AG522" t="s">
        <v>28</v>
      </c>
      <c r="AH522">
        <v>75606</v>
      </c>
      <c r="AI522" s="7">
        <v>45835</v>
      </c>
    </row>
    <row r="523" spans="1:35">
      <c r="A523">
        <v>563</v>
      </c>
      <c r="B523" t="str">
        <f t="shared" si="140"/>
        <v>USD</v>
      </c>
      <c r="C523">
        <f t="shared" si="141"/>
        <v>0</v>
      </c>
      <c r="D523">
        <f t="shared" si="132"/>
        <v>0</v>
      </c>
      <c r="E523">
        <f t="shared" si="133"/>
        <v>0</v>
      </c>
      <c r="F523">
        <v>8838.56</v>
      </c>
      <c r="G523">
        <f t="shared" si="134"/>
        <v>7601.1615999999995</v>
      </c>
      <c r="H523">
        <f t="shared" si="135"/>
        <v>8838.56</v>
      </c>
      <c r="I523">
        <f t="shared" si="142"/>
        <v>1.8189894035458565E-12</v>
      </c>
      <c r="J523">
        <f t="shared" si="136"/>
        <v>1.8189894035458565E-12</v>
      </c>
      <c r="K523" s="7">
        <f t="shared" si="143"/>
        <v>45926</v>
      </c>
      <c r="L523" s="7">
        <f t="shared" si="137"/>
        <v>45896</v>
      </c>
      <c r="M523">
        <f t="shared" si="138"/>
        <v>8</v>
      </c>
      <c r="N523">
        <f t="shared" si="139"/>
        <v>2025</v>
      </c>
      <c r="Q523" s="22">
        <v>728</v>
      </c>
      <c r="R523" s="22">
        <v>6075</v>
      </c>
      <c r="S523" s="22" t="str">
        <f t="shared" si="144"/>
        <v>USD</v>
      </c>
      <c r="T523" s="22">
        <f t="shared" si="128"/>
        <v>6075</v>
      </c>
      <c r="U523" s="28">
        <v>400</v>
      </c>
      <c r="W523" s="9">
        <v>387</v>
      </c>
      <c r="X523" s="9" t="s">
        <v>29</v>
      </c>
      <c r="AF523">
        <v>547</v>
      </c>
      <c r="AG523" t="s">
        <v>29</v>
      </c>
      <c r="AH523">
        <v>4307.1499999999996</v>
      </c>
      <c r="AI523" s="7">
        <v>45837</v>
      </c>
    </row>
    <row r="524" spans="1:35">
      <c r="A524">
        <v>564</v>
      </c>
      <c r="B524" t="str">
        <f t="shared" si="140"/>
        <v>USD</v>
      </c>
      <c r="C524">
        <f t="shared" si="141"/>
        <v>99745.760000000009</v>
      </c>
      <c r="D524">
        <f t="shared" si="132"/>
        <v>85781.353600000002</v>
      </c>
      <c r="E524">
        <f t="shared" si="133"/>
        <v>99745.760000000009</v>
      </c>
      <c r="F524">
        <v>100181.56</v>
      </c>
      <c r="G524">
        <f t="shared" si="134"/>
        <v>86156.141600000003</v>
      </c>
      <c r="H524">
        <f t="shared" si="135"/>
        <v>100181.56</v>
      </c>
      <c r="I524">
        <f t="shared" si="142"/>
        <v>597.93000000001166</v>
      </c>
      <c r="J524">
        <f t="shared" si="136"/>
        <v>597.93000000001166</v>
      </c>
      <c r="K524" s="7">
        <f t="shared" si="143"/>
        <v>45936</v>
      </c>
      <c r="L524" s="7">
        <f t="shared" si="137"/>
        <v>45906</v>
      </c>
      <c r="M524">
        <f t="shared" si="138"/>
        <v>9</v>
      </c>
      <c r="N524">
        <f t="shared" si="139"/>
        <v>2025</v>
      </c>
      <c r="Q524" s="22">
        <v>729</v>
      </c>
      <c r="R524" s="22">
        <v>17512</v>
      </c>
      <c r="S524" s="22" t="str">
        <f t="shared" si="144"/>
        <v>USD</v>
      </c>
      <c r="T524" s="22">
        <f t="shared" si="128"/>
        <v>17512</v>
      </c>
      <c r="U524" s="28">
        <v>400</v>
      </c>
      <c r="W524" s="9">
        <v>388</v>
      </c>
      <c r="X524" s="9" t="s">
        <v>29</v>
      </c>
      <c r="AF524">
        <v>548</v>
      </c>
      <c r="AG524" t="s">
        <v>27</v>
      </c>
      <c r="AH524">
        <v>62135</v>
      </c>
      <c r="AI524" s="7">
        <v>45858</v>
      </c>
    </row>
    <row r="525" spans="1:35">
      <c r="A525">
        <v>566</v>
      </c>
      <c r="B525" t="str">
        <f t="shared" si="140"/>
        <v>MXN</v>
      </c>
      <c r="C525">
        <f t="shared" si="141"/>
        <v>499811.06</v>
      </c>
      <c r="D525">
        <f t="shared" si="132"/>
        <v>23990.93088</v>
      </c>
      <c r="E525">
        <f t="shared" si="133"/>
        <v>27989.41936</v>
      </c>
      <c r="F525">
        <v>519094.96</v>
      </c>
      <c r="G525">
        <f t="shared" si="134"/>
        <v>24916.558080000003</v>
      </c>
      <c r="H525">
        <f t="shared" si="135"/>
        <v>29069.317760000002</v>
      </c>
      <c r="I525">
        <f t="shared" si="142"/>
        <v>-2.1827872842550278E-11</v>
      </c>
      <c r="J525">
        <f t="shared" si="136"/>
        <v>-1.2223608791828156E-12</v>
      </c>
      <c r="K525" s="7">
        <f t="shared" si="143"/>
        <v>45937</v>
      </c>
      <c r="L525" s="7">
        <f t="shared" si="137"/>
        <v>45907</v>
      </c>
      <c r="M525">
        <f t="shared" si="138"/>
        <v>9</v>
      </c>
      <c r="N525">
        <f t="shared" si="139"/>
        <v>2025</v>
      </c>
      <c r="Q525" s="22">
        <v>730</v>
      </c>
      <c r="R525" s="22">
        <v>9701.2199999999993</v>
      </c>
      <c r="S525" s="22" t="str">
        <f t="shared" si="144"/>
        <v>USD</v>
      </c>
      <c r="T525" s="22">
        <f t="shared" si="128"/>
        <v>9701.2199999999993</v>
      </c>
      <c r="U525" s="28">
        <v>400</v>
      </c>
      <c r="W525" s="9">
        <v>388</v>
      </c>
      <c r="X525" s="9" t="s">
        <v>29</v>
      </c>
      <c r="AF525">
        <v>549</v>
      </c>
      <c r="AG525" t="s">
        <v>30</v>
      </c>
      <c r="AH525">
        <v>32910</v>
      </c>
      <c r="AI525" s="7">
        <v>45855</v>
      </c>
    </row>
    <row r="526" spans="1:35">
      <c r="A526">
        <v>567</v>
      </c>
      <c r="B526" t="str">
        <f t="shared" si="140"/>
        <v>USD</v>
      </c>
      <c r="C526">
        <f t="shared" si="141"/>
        <v>1004.13</v>
      </c>
      <c r="D526">
        <f t="shared" si="132"/>
        <v>863.55179999999996</v>
      </c>
      <c r="E526">
        <f t="shared" si="133"/>
        <v>1004.13</v>
      </c>
      <c r="F526">
        <v>748.63</v>
      </c>
      <c r="G526">
        <f t="shared" si="134"/>
        <v>643.82179999999994</v>
      </c>
      <c r="H526">
        <f t="shared" si="135"/>
        <v>748.63</v>
      </c>
      <c r="I526">
        <f t="shared" si="142"/>
        <v>969.13</v>
      </c>
      <c r="J526">
        <f t="shared" si="136"/>
        <v>969.13</v>
      </c>
      <c r="K526" s="7">
        <f t="shared" si="143"/>
        <v>45891</v>
      </c>
      <c r="L526" s="7">
        <f t="shared" si="137"/>
        <v>45861</v>
      </c>
      <c r="M526">
        <f t="shared" si="138"/>
        <v>7</v>
      </c>
      <c r="N526">
        <f t="shared" si="139"/>
        <v>2025</v>
      </c>
      <c r="Q526" s="22">
        <v>731</v>
      </c>
      <c r="R526" s="22">
        <v>16650</v>
      </c>
      <c r="S526" s="22" t="str">
        <f t="shared" si="144"/>
        <v>USD</v>
      </c>
      <c r="T526" s="22">
        <f t="shared" si="128"/>
        <v>16650</v>
      </c>
      <c r="U526" s="28">
        <v>400</v>
      </c>
      <c r="W526" s="9">
        <v>388</v>
      </c>
      <c r="X526" s="9" t="s">
        <v>29</v>
      </c>
      <c r="AF526">
        <v>550</v>
      </c>
      <c r="AG526" t="s">
        <v>29</v>
      </c>
      <c r="AH526">
        <v>43995.07</v>
      </c>
      <c r="AI526" s="7">
        <v>45843</v>
      </c>
    </row>
    <row r="527" spans="1:35">
      <c r="A527">
        <v>568</v>
      </c>
      <c r="B527" t="str">
        <f t="shared" si="140"/>
        <v>GPB</v>
      </c>
      <c r="C527">
        <f t="shared" si="141"/>
        <v>0</v>
      </c>
      <c r="D527">
        <f t="shared" si="132"/>
        <v>0</v>
      </c>
      <c r="E527">
        <f t="shared" si="133"/>
        <v>0</v>
      </c>
      <c r="F527">
        <v>2700</v>
      </c>
      <c r="G527">
        <f t="shared" si="134"/>
        <v>3104.9999999999995</v>
      </c>
      <c r="H527">
        <f t="shared" si="135"/>
        <v>3618</v>
      </c>
      <c r="I527">
        <f t="shared" si="142"/>
        <v>0</v>
      </c>
      <c r="J527">
        <f t="shared" si="136"/>
        <v>0</v>
      </c>
      <c r="K527" s="7">
        <f t="shared" si="143"/>
        <v>45757</v>
      </c>
      <c r="L527" s="7">
        <f t="shared" si="137"/>
        <v>45727</v>
      </c>
      <c r="M527">
        <f t="shared" si="138"/>
        <v>3</v>
      </c>
      <c r="N527">
        <f t="shared" si="139"/>
        <v>2025</v>
      </c>
      <c r="Q527" s="22">
        <v>732</v>
      </c>
      <c r="R527" s="22">
        <v>2563.04</v>
      </c>
      <c r="S527" s="22" t="str">
        <f t="shared" si="144"/>
        <v>USD</v>
      </c>
      <c r="T527" s="22">
        <f t="shared" si="128"/>
        <v>2563.04</v>
      </c>
      <c r="U527" s="28">
        <v>400</v>
      </c>
      <c r="W527" s="9">
        <v>388</v>
      </c>
      <c r="X527" s="9" t="s">
        <v>29</v>
      </c>
      <c r="AF527">
        <v>551</v>
      </c>
      <c r="AG527" t="s">
        <v>28</v>
      </c>
      <c r="AH527">
        <v>51817.1</v>
      </c>
      <c r="AI527" s="7">
        <v>45887</v>
      </c>
    </row>
    <row r="528" spans="1:35">
      <c r="A528">
        <v>569</v>
      </c>
      <c r="B528" t="str">
        <f t="shared" si="140"/>
        <v>MXN</v>
      </c>
      <c r="C528">
        <f t="shared" si="141"/>
        <v>123600</v>
      </c>
      <c r="D528">
        <f t="shared" si="132"/>
        <v>5932.8</v>
      </c>
      <c r="E528">
        <f t="shared" si="133"/>
        <v>6921.6</v>
      </c>
      <c r="F528">
        <v>123600</v>
      </c>
      <c r="G528">
        <f t="shared" si="134"/>
        <v>5932.8</v>
      </c>
      <c r="H528">
        <f t="shared" si="135"/>
        <v>6921.6</v>
      </c>
      <c r="I528">
        <f t="shared" si="142"/>
        <v>0</v>
      </c>
      <c r="J528">
        <f t="shared" si="136"/>
        <v>0</v>
      </c>
      <c r="K528" s="7">
        <f t="shared" si="143"/>
        <v>45900</v>
      </c>
      <c r="L528" s="7">
        <f t="shared" si="137"/>
        <v>45870</v>
      </c>
      <c r="M528">
        <f t="shared" si="138"/>
        <v>8</v>
      </c>
      <c r="N528">
        <f t="shared" si="139"/>
        <v>2025</v>
      </c>
      <c r="Q528" s="22">
        <v>733</v>
      </c>
      <c r="R528" s="22">
        <v>12516</v>
      </c>
      <c r="S528" s="22" t="str">
        <f t="shared" si="144"/>
        <v>USD</v>
      </c>
      <c r="T528" s="22">
        <f t="shared" si="128"/>
        <v>12516</v>
      </c>
      <c r="U528" s="28">
        <v>400</v>
      </c>
      <c r="W528" s="9">
        <v>388</v>
      </c>
      <c r="X528" s="9" t="s">
        <v>29</v>
      </c>
      <c r="AF528">
        <v>552</v>
      </c>
      <c r="AG528" t="s">
        <v>29</v>
      </c>
      <c r="AH528">
        <v>39520.410000000003</v>
      </c>
      <c r="AI528" s="7">
        <v>45876</v>
      </c>
    </row>
    <row r="529" spans="1:35">
      <c r="A529">
        <v>570</v>
      </c>
      <c r="B529" t="str">
        <f t="shared" si="140"/>
        <v>GPB</v>
      </c>
      <c r="C529">
        <f t="shared" si="141"/>
        <v>0</v>
      </c>
      <c r="D529">
        <f t="shared" si="132"/>
        <v>0</v>
      </c>
      <c r="E529">
        <f t="shared" si="133"/>
        <v>0</v>
      </c>
      <c r="F529">
        <v>2504</v>
      </c>
      <c r="G529">
        <f t="shared" si="134"/>
        <v>2879.6</v>
      </c>
      <c r="H529">
        <f t="shared" si="135"/>
        <v>3355.36</v>
      </c>
      <c r="I529">
        <f t="shared" si="142"/>
        <v>0</v>
      </c>
      <c r="J529">
        <f t="shared" si="136"/>
        <v>0</v>
      </c>
      <c r="K529" s="7">
        <f t="shared" si="143"/>
        <v>45762</v>
      </c>
      <c r="L529" s="7">
        <f t="shared" si="137"/>
        <v>45732</v>
      </c>
      <c r="M529">
        <f t="shared" si="138"/>
        <v>3</v>
      </c>
      <c r="N529">
        <f t="shared" si="139"/>
        <v>2025</v>
      </c>
      <c r="Q529" s="22">
        <v>734</v>
      </c>
      <c r="R529" s="22">
        <v>9616.3100000000013</v>
      </c>
      <c r="S529" s="22" t="str">
        <f t="shared" si="144"/>
        <v>USD</v>
      </c>
      <c r="T529" s="22">
        <f t="shared" si="128"/>
        <v>9616.3100000000013</v>
      </c>
      <c r="U529" s="28">
        <v>400</v>
      </c>
      <c r="W529" s="9">
        <v>388</v>
      </c>
      <c r="X529" s="9" t="s">
        <v>29</v>
      </c>
      <c r="AF529">
        <v>553</v>
      </c>
      <c r="AG529" t="s">
        <v>27</v>
      </c>
      <c r="AH529">
        <v>77583</v>
      </c>
      <c r="AI529" s="7">
        <v>45903</v>
      </c>
    </row>
    <row r="530" spans="1:35">
      <c r="A530">
        <v>571</v>
      </c>
      <c r="B530" t="str">
        <f t="shared" si="140"/>
        <v>MXN</v>
      </c>
      <c r="C530">
        <f t="shared" si="141"/>
        <v>0</v>
      </c>
      <c r="D530">
        <f t="shared" si="132"/>
        <v>0</v>
      </c>
      <c r="E530">
        <f t="shared" si="133"/>
        <v>0</v>
      </c>
      <c r="F530">
        <v>11942</v>
      </c>
      <c r="G530">
        <f t="shared" si="134"/>
        <v>573.21600000000001</v>
      </c>
      <c r="H530">
        <f t="shared" si="135"/>
        <v>668.75200000000007</v>
      </c>
      <c r="I530">
        <f t="shared" si="142"/>
        <v>0</v>
      </c>
      <c r="J530">
        <f t="shared" si="136"/>
        <v>0</v>
      </c>
      <c r="K530" s="7">
        <f t="shared" si="143"/>
        <v>45884</v>
      </c>
      <c r="L530" s="7">
        <f t="shared" si="137"/>
        <v>45854</v>
      </c>
      <c r="M530">
        <f t="shared" si="138"/>
        <v>7</v>
      </c>
      <c r="N530">
        <f t="shared" si="139"/>
        <v>2025</v>
      </c>
      <c r="Q530" s="22">
        <v>735</v>
      </c>
      <c r="R530" s="22">
        <v>22193.800000000003</v>
      </c>
      <c r="S530" s="22" t="str">
        <f t="shared" si="144"/>
        <v>USD</v>
      </c>
      <c r="T530" s="22">
        <f t="shared" ref="T530:T593" si="145">R530*_xlfn.XLOOKUP(S530,AM:AM,AO:AO)</f>
        <v>22193.800000000003</v>
      </c>
      <c r="U530" s="28">
        <v>400</v>
      </c>
      <c r="W530" s="9">
        <v>388</v>
      </c>
      <c r="X530" s="9" t="s">
        <v>29</v>
      </c>
      <c r="AF530">
        <v>554</v>
      </c>
      <c r="AG530" t="s">
        <v>29</v>
      </c>
      <c r="AH530">
        <v>1613.45</v>
      </c>
      <c r="AI530" s="7">
        <v>45871</v>
      </c>
    </row>
    <row r="531" spans="1:35">
      <c r="A531">
        <v>572</v>
      </c>
      <c r="B531" t="str">
        <f t="shared" si="140"/>
        <v>USD</v>
      </c>
      <c r="C531">
        <f t="shared" si="141"/>
        <v>0</v>
      </c>
      <c r="D531">
        <f t="shared" si="132"/>
        <v>0</v>
      </c>
      <c r="E531">
        <f t="shared" si="133"/>
        <v>0</v>
      </c>
      <c r="F531">
        <v>10105.09</v>
      </c>
      <c r="G531">
        <f t="shared" si="134"/>
        <v>8690.3773999999994</v>
      </c>
      <c r="H531">
        <f t="shared" si="135"/>
        <v>10105.09</v>
      </c>
      <c r="I531">
        <f t="shared" si="142"/>
        <v>0</v>
      </c>
      <c r="J531">
        <f t="shared" si="136"/>
        <v>0</v>
      </c>
      <c r="K531" s="7">
        <f t="shared" si="143"/>
        <v>45803</v>
      </c>
      <c r="L531" s="7">
        <f t="shared" si="137"/>
        <v>45773</v>
      </c>
      <c r="M531">
        <f t="shared" si="138"/>
        <v>4</v>
      </c>
      <c r="N531">
        <f t="shared" si="139"/>
        <v>2025</v>
      </c>
      <c r="Q531" s="22">
        <v>737</v>
      </c>
      <c r="R531" s="22">
        <v>5070</v>
      </c>
      <c r="S531" s="22" t="str">
        <f t="shared" si="144"/>
        <v>EUR</v>
      </c>
      <c r="T531" s="22">
        <f t="shared" si="145"/>
        <v>5881.2</v>
      </c>
      <c r="U531" s="28">
        <v>400</v>
      </c>
      <c r="W531" s="9">
        <v>388</v>
      </c>
      <c r="X531" s="9" t="s">
        <v>29</v>
      </c>
      <c r="AF531">
        <v>555</v>
      </c>
      <c r="AG531" t="s">
        <v>29</v>
      </c>
      <c r="AH531">
        <v>5682</v>
      </c>
      <c r="AI531" s="7">
        <v>45878</v>
      </c>
    </row>
    <row r="532" spans="1:35">
      <c r="A532">
        <v>573</v>
      </c>
      <c r="B532" t="str">
        <f t="shared" si="140"/>
        <v>USD</v>
      </c>
      <c r="C532">
        <f t="shared" si="141"/>
        <v>0</v>
      </c>
      <c r="D532">
        <f t="shared" si="132"/>
        <v>0</v>
      </c>
      <c r="E532">
        <f t="shared" si="133"/>
        <v>0</v>
      </c>
      <c r="F532">
        <v>6668</v>
      </c>
      <c r="G532">
        <f t="shared" si="134"/>
        <v>5734.48</v>
      </c>
      <c r="H532">
        <f t="shared" si="135"/>
        <v>6668</v>
      </c>
      <c r="I532">
        <f t="shared" si="142"/>
        <v>0</v>
      </c>
      <c r="J532">
        <f t="shared" si="136"/>
        <v>0</v>
      </c>
      <c r="K532" s="7">
        <f t="shared" si="143"/>
        <v>45807</v>
      </c>
      <c r="L532" s="7">
        <f t="shared" si="137"/>
        <v>45777</v>
      </c>
      <c r="M532">
        <f t="shared" si="138"/>
        <v>4</v>
      </c>
      <c r="N532">
        <f t="shared" si="139"/>
        <v>2025</v>
      </c>
      <c r="Q532" s="22">
        <v>738</v>
      </c>
      <c r="R532" s="22">
        <v>2253.0500000000002</v>
      </c>
      <c r="S532" s="22" t="str">
        <f t="shared" si="144"/>
        <v>EUR</v>
      </c>
      <c r="T532" s="22">
        <f t="shared" si="145"/>
        <v>2613.538</v>
      </c>
      <c r="U532" s="28">
        <v>400</v>
      </c>
      <c r="W532" s="9">
        <v>388</v>
      </c>
      <c r="X532" s="9" t="s">
        <v>29</v>
      </c>
      <c r="AF532">
        <v>556</v>
      </c>
      <c r="AG532" t="s">
        <v>29</v>
      </c>
      <c r="AH532">
        <v>13220.5</v>
      </c>
      <c r="AI532" s="7">
        <v>45874</v>
      </c>
    </row>
    <row r="533" spans="1:35">
      <c r="A533">
        <v>575</v>
      </c>
      <c r="B533" t="str">
        <f t="shared" si="140"/>
        <v>USD</v>
      </c>
      <c r="C533">
        <f t="shared" si="141"/>
        <v>0</v>
      </c>
      <c r="D533">
        <f t="shared" si="132"/>
        <v>0</v>
      </c>
      <c r="E533">
        <f t="shared" si="133"/>
        <v>0</v>
      </c>
      <c r="F533">
        <v>21032.86</v>
      </c>
      <c r="G533">
        <f t="shared" si="134"/>
        <v>18088.259600000001</v>
      </c>
      <c r="H533">
        <f t="shared" si="135"/>
        <v>21032.86</v>
      </c>
      <c r="I533">
        <f t="shared" si="142"/>
        <v>0</v>
      </c>
      <c r="J533">
        <f t="shared" si="136"/>
        <v>0</v>
      </c>
      <c r="K533" s="7">
        <f t="shared" si="143"/>
        <v>45864</v>
      </c>
      <c r="L533" s="7">
        <f t="shared" si="137"/>
        <v>45834</v>
      </c>
      <c r="M533">
        <f t="shared" si="138"/>
        <v>6</v>
      </c>
      <c r="N533">
        <f t="shared" si="139"/>
        <v>2025</v>
      </c>
      <c r="Q533" s="22">
        <v>739</v>
      </c>
      <c r="R533" s="22">
        <v>9199.69</v>
      </c>
      <c r="S533" s="22" t="str">
        <f t="shared" si="144"/>
        <v>EUR</v>
      </c>
      <c r="T533" s="22">
        <f t="shared" si="145"/>
        <v>10671.6404</v>
      </c>
      <c r="U533" s="28">
        <v>400</v>
      </c>
      <c r="W533" s="9">
        <v>389</v>
      </c>
      <c r="X533" s="9" t="s">
        <v>29</v>
      </c>
      <c r="AF533">
        <v>557</v>
      </c>
      <c r="AG533" t="s">
        <v>29</v>
      </c>
      <c r="AH533">
        <v>8329.19</v>
      </c>
      <c r="AI533" s="7">
        <v>45779</v>
      </c>
    </row>
    <row r="534" spans="1:35">
      <c r="A534">
        <v>576</v>
      </c>
      <c r="B534" t="str">
        <f t="shared" si="140"/>
        <v>USD</v>
      </c>
      <c r="C534">
        <f t="shared" si="141"/>
        <v>0</v>
      </c>
      <c r="D534">
        <f t="shared" si="132"/>
        <v>0</v>
      </c>
      <c r="E534">
        <f t="shared" si="133"/>
        <v>0</v>
      </c>
      <c r="F534">
        <v>10684</v>
      </c>
      <c r="G534">
        <f t="shared" si="134"/>
        <v>9188.24</v>
      </c>
      <c r="H534">
        <f t="shared" si="135"/>
        <v>10684</v>
      </c>
      <c r="I534">
        <f t="shared" si="142"/>
        <v>0</v>
      </c>
      <c r="J534">
        <f t="shared" si="136"/>
        <v>0</v>
      </c>
      <c r="K534" s="7">
        <f t="shared" si="143"/>
        <v>45902</v>
      </c>
      <c r="L534" s="7">
        <f t="shared" si="137"/>
        <v>45872</v>
      </c>
      <c r="M534">
        <f t="shared" si="138"/>
        <v>8</v>
      </c>
      <c r="N534">
        <f t="shared" si="139"/>
        <v>2025</v>
      </c>
      <c r="Q534" s="22">
        <v>740</v>
      </c>
      <c r="R534" s="22">
        <v>20705.800000000003</v>
      </c>
      <c r="S534" s="22" t="str">
        <f t="shared" si="144"/>
        <v>USD</v>
      </c>
      <c r="T534" s="22">
        <f t="shared" si="145"/>
        <v>20705.800000000003</v>
      </c>
      <c r="U534" s="28">
        <v>400</v>
      </c>
      <c r="W534" s="9">
        <v>389</v>
      </c>
      <c r="X534" s="9" t="s">
        <v>29</v>
      </c>
      <c r="AF534">
        <v>558</v>
      </c>
      <c r="AG534" t="s">
        <v>29</v>
      </c>
      <c r="AH534">
        <v>16034.17</v>
      </c>
      <c r="AI534" s="7">
        <v>45861</v>
      </c>
    </row>
    <row r="535" spans="1:35">
      <c r="A535">
        <v>577</v>
      </c>
      <c r="B535" t="str">
        <f t="shared" si="140"/>
        <v>USD</v>
      </c>
      <c r="C535">
        <f t="shared" si="141"/>
        <v>175.00000000000364</v>
      </c>
      <c r="D535">
        <f t="shared" si="132"/>
        <v>150.50000000000313</v>
      </c>
      <c r="E535">
        <f t="shared" si="133"/>
        <v>175.00000000000364</v>
      </c>
      <c r="F535">
        <v>22553.15</v>
      </c>
      <c r="G535">
        <f t="shared" si="134"/>
        <v>19395.709000000003</v>
      </c>
      <c r="H535">
        <f t="shared" si="135"/>
        <v>22553.15</v>
      </c>
      <c r="I535">
        <f t="shared" si="142"/>
        <v>0</v>
      </c>
      <c r="J535">
        <f t="shared" si="136"/>
        <v>0</v>
      </c>
      <c r="K535" s="7">
        <f t="shared" si="143"/>
        <v>45870</v>
      </c>
      <c r="L535" s="7">
        <f t="shared" si="137"/>
        <v>45840</v>
      </c>
      <c r="M535">
        <f t="shared" si="138"/>
        <v>7</v>
      </c>
      <c r="N535">
        <f t="shared" si="139"/>
        <v>2025</v>
      </c>
      <c r="Q535" s="22">
        <v>742</v>
      </c>
      <c r="R535" s="22">
        <v>14996.6</v>
      </c>
      <c r="S535" s="22" t="str">
        <f t="shared" si="144"/>
        <v>EUR</v>
      </c>
      <c r="T535" s="22">
        <f t="shared" si="145"/>
        <v>17396.056</v>
      </c>
      <c r="U535" s="28">
        <v>400</v>
      </c>
      <c r="W535" s="9">
        <v>389</v>
      </c>
      <c r="X535" s="9" t="s">
        <v>29</v>
      </c>
      <c r="AF535">
        <v>559</v>
      </c>
      <c r="AG535" t="s">
        <v>29</v>
      </c>
      <c r="AH535">
        <v>1725.06</v>
      </c>
      <c r="AI535" s="7">
        <v>45912</v>
      </c>
    </row>
    <row r="536" spans="1:35">
      <c r="A536">
        <v>578</v>
      </c>
      <c r="B536" t="str">
        <f t="shared" si="140"/>
        <v>USD</v>
      </c>
      <c r="C536">
        <f t="shared" si="141"/>
        <v>50</v>
      </c>
      <c r="D536">
        <f t="shared" si="132"/>
        <v>43</v>
      </c>
      <c r="E536">
        <f t="shared" si="133"/>
        <v>50</v>
      </c>
      <c r="F536">
        <v>4612.22</v>
      </c>
      <c r="G536">
        <f t="shared" si="134"/>
        <v>3966.5092</v>
      </c>
      <c r="H536">
        <f t="shared" si="135"/>
        <v>4612.22</v>
      </c>
      <c r="I536">
        <f t="shared" si="142"/>
        <v>0</v>
      </c>
      <c r="J536">
        <f t="shared" si="136"/>
        <v>0</v>
      </c>
      <c r="K536" s="7">
        <f t="shared" si="143"/>
        <v>45888</v>
      </c>
      <c r="L536" s="7">
        <f t="shared" si="137"/>
        <v>45858</v>
      </c>
      <c r="M536">
        <f t="shared" si="138"/>
        <v>7</v>
      </c>
      <c r="N536">
        <f t="shared" si="139"/>
        <v>2025</v>
      </c>
      <c r="Q536" s="22">
        <v>743</v>
      </c>
      <c r="R536" s="22">
        <v>31490.39</v>
      </c>
      <c r="S536" s="22" t="str">
        <f t="shared" si="144"/>
        <v>USD</v>
      </c>
      <c r="T536" s="22">
        <f t="shared" si="145"/>
        <v>31490.39</v>
      </c>
      <c r="U536" s="28">
        <v>400</v>
      </c>
      <c r="W536" s="9">
        <v>389</v>
      </c>
      <c r="X536" s="9" t="s">
        <v>29</v>
      </c>
      <c r="AF536">
        <v>560</v>
      </c>
      <c r="AG536" t="s">
        <v>32</v>
      </c>
      <c r="AH536">
        <v>1725</v>
      </c>
      <c r="AI536" s="7">
        <v>45885</v>
      </c>
    </row>
    <row r="537" spans="1:35">
      <c r="A537">
        <v>579</v>
      </c>
      <c r="B537" t="str">
        <f t="shared" si="140"/>
        <v>USD</v>
      </c>
      <c r="C537">
        <f t="shared" si="141"/>
        <v>70.000000000000455</v>
      </c>
      <c r="D537">
        <f t="shared" si="132"/>
        <v>60.200000000000394</v>
      </c>
      <c r="E537">
        <f t="shared" si="133"/>
        <v>70.000000000000455</v>
      </c>
      <c r="F537">
        <v>3274.53</v>
      </c>
      <c r="G537">
        <f t="shared" si="134"/>
        <v>2816.0958000000001</v>
      </c>
      <c r="H537">
        <f t="shared" si="135"/>
        <v>3274.53</v>
      </c>
      <c r="I537">
        <f t="shared" si="142"/>
        <v>0</v>
      </c>
      <c r="J537">
        <f t="shared" si="136"/>
        <v>0</v>
      </c>
      <c r="K537" s="7">
        <f t="shared" si="143"/>
        <v>45912</v>
      </c>
      <c r="L537" s="7">
        <f t="shared" si="137"/>
        <v>45882</v>
      </c>
      <c r="M537">
        <f t="shared" si="138"/>
        <v>8</v>
      </c>
      <c r="N537">
        <f t="shared" si="139"/>
        <v>2025</v>
      </c>
      <c r="Q537" s="22">
        <v>744</v>
      </c>
      <c r="R537" s="22">
        <v>22133.98</v>
      </c>
      <c r="S537" s="22" t="str">
        <f t="shared" si="144"/>
        <v>USD</v>
      </c>
      <c r="T537" s="22">
        <f t="shared" si="145"/>
        <v>22133.98</v>
      </c>
      <c r="U537" s="28">
        <v>400</v>
      </c>
      <c r="W537" s="9">
        <v>389</v>
      </c>
      <c r="X537" s="9" t="s">
        <v>29</v>
      </c>
      <c r="AF537">
        <v>561</v>
      </c>
      <c r="AG537" t="s">
        <v>28</v>
      </c>
      <c r="AH537">
        <v>145386.9</v>
      </c>
      <c r="AI537" s="7">
        <v>45931</v>
      </c>
    </row>
    <row r="538" spans="1:35">
      <c r="A538">
        <v>580</v>
      </c>
      <c r="B538" t="str">
        <f t="shared" si="140"/>
        <v>USD</v>
      </c>
      <c r="C538">
        <f t="shared" si="141"/>
        <v>35</v>
      </c>
      <c r="D538">
        <f t="shared" si="132"/>
        <v>30.099999999999998</v>
      </c>
      <c r="E538">
        <f t="shared" si="133"/>
        <v>35</v>
      </c>
      <c r="F538">
        <v>799.1</v>
      </c>
      <c r="G538">
        <f t="shared" si="134"/>
        <v>687.226</v>
      </c>
      <c r="H538">
        <f t="shared" si="135"/>
        <v>799.1</v>
      </c>
      <c r="I538">
        <f t="shared" si="142"/>
        <v>0</v>
      </c>
      <c r="J538">
        <f t="shared" si="136"/>
        <v>0</v>
      </c>
      <c r="K538" s="7">
        <f t="shared" si="143"/>
        <v>45970</v>
      </c>
      <c r="L538" s="7">
        <f t="shared" si="137"/>
        <v>45940</v>
      </c>
      <c r="M538">
        <f t="shared" si="138"/>
        <v>10</v>
      </c>
      <c r="N538">
        <f t="shared" si="139"/>
        <v>2025</v>
      </c>
      <c r="Q538" s="22">
        <v>745</v>
      </c>
      <c r="R538" s="22">
        <v>11714.05</v>
      </c>
      <c r="S538" s="22" t="str">
        <f t="shared" si="144"/>
        <v>USD</v>
      </c>
      <c r="T538" s="22">
        <f t="shared" si="145"/>
        <v>11714.05</v>
      </c>
      <c r="U538" s="28">
        <v>400</v>
      </c>
      <c r="W538" s="9">
        <v>389</v>
      </c>
      <c r="X538" s="9" t="s">
        <v>29</v>
      </c>
      <c r="AF538">
        <v>562</v>
      </c>
      <c r="AG538" t="s">
        <v>29</v>
      </c>
      <c r="AH538">
        <v>2837.24</v>
      </c>
      <c r="AI538" s="7">
        <v>45891</v>
      </c>
    </row>
    <row r="539" spans="1:35">
      <c r="A539">
        <v>581</v>
      </c>
      <c r="B539" t="str">
        <f t="shared" si="140"/>
        <v>USD</v>
      </c>
      <c r="C539">
        <f t="shared" si="141"/>
        <v>0</v>
      </c>
      <c r="D539">
        <f t="shared" si="132"/>
        <v>0</v>
      </c>
      <c r="E539">
        <f t="shared" si="133"/>
        <v>0</v>
      </c>
      <c r="F539">
        <v>1917.44</v>
      </c>
      <c r="G539">
        <f t="shared" si="134"/>
        <v>1648.9983999999999</v>
      </c>
      <c r="H539">
        <f t="shared" si="135"/>
        <v>1917.44</v>
      </c>
      <c r="I539">
        <f t="shared" si="142"/>
        <v>0</v>
      </c>
      <c r="J539">
        <f t="shared" si="136"/>
        <v>0</v>
      </c>
      <c r="K539" s="7">
        <f t="shared" si="143"/>
        <v>45884</v>
      </c>
      <c r="L539" s="7">
        <f t="shared" si="137"/>
        <v>45854</v>
      </c>
      <c r="M539">
        <f t="shared" si="138"/>
        <v>7</v>
      </c>
      <c r="N539">
        <f t="shared" si="139"/>
        <v>2025</v>
      </c>
      <c r="Q539" s="22">
        <v>749</v>
      </c>
      <c r="R539" s="22">
        <v>13873.49</v>
      </c>
      <c r="S539" s="22" t="str">
        <f t="shared" si="144"/>
        <v>USD</v>
      </c>
      <c r="T539" s="22">
        <f t="shared" si="145"/>
        <v>13873.49</v>
      </c>
      <c r="U539" s="28">
        <v>400</v>
      </c>
      <c r="W539" s="9">
        <v>389</v>
      </c>
      <c r="X539" s="9" t="s">
        <v>29</v>
      </c>
      <c r="AF539">
        <v>563</v>
      </c>
      <c r="AG539" t="s">
        <v>29</v>
      </c>
      <c r="AH539">
        <v>8838.56</v>
      </c>
      <c r="AI539" s="7">
        <v>45926</v>
      </c>
    </row>
    <row r="540" spans="1:35">
      <c r="A540">
        <v>582</v>
      </c>
      <c r="B540" t="str">
        <f t="shared" si="140"/>
        <v>EUR</v>
      </c>
      <c r="C540">
        <f t="shared" si="141"/>
        <v>26761.06</v>
      </c>
      <c r="D540">
        <f t="shared" si="132"/>
        <v>26761.06</v>
      </c>
      <c r="E540">
        <f t="shared" si="133"/>
        <v>31042.829600000001</v>
      </c>
      <c r="F540">
        <v>26761.06</v>
      </c>
      <c r="G540">
        <f t="shared" si="134"/>
        <v>26761.06</v>
      </c>
      <c r="H540">
        <f t="shared" si="135"/>
        <v>31042.829600000001</v>
      </c>
      <c r="I540">
        <f t="shared" si="142"/>
        <v>0</v>
      </c>
      <c r="J540">
        <f t="shared" si="136"/>
        <v>0</v>
      </c>
      <c r="K540" s="7">
        <f t="shared" si="143"/>
        <v>45907</v>
      </c>
      <c r="L540" s="7">
        <f t="shared" si="137"/>
        <v>45877</v>
      </c>
      <c r="M540">
        <f t="shared" si="138"/>
        <v>8</v>
      </c>
      <c r="N540">
        <f t="shared" si="139"/>
        <v>2025</v>
      </c>
      <c r="Q540" s="22">
        <v>750</v>
      </c>
      <c r="R540" s="22">
        <v>10448</v>
      </c>
      <c r="S540" s="22" t="str">
        <f t="shared" si="144"/>
        <v>USD</v>
      </c>
      <c r="T540" s="22">
        <f t="shared" si="145"/>
        <v>10448</v>
      </c>
      <c r="U540" s="28">
        <v>400</v>
      </c>
      <c r="W540" s="9">
        <v>389</v>
      </c>
      <c r="X540" s="9" t="s">
        <v>29</v>
      </c>
      <c r="AF540">
        <v>564</v>
      </c>
      <c r="AG540" t="s">
        <v>29</v>
      </c>
      <c r="AH540">
        <v>100779.49</v>
      </c>
      <c r="AI540" s="7">
        <v>45936</v>
      </c>
    </row>
    <row r="541" spans="1:35">
      <c r="A541">
        <v>583</v>
      </c>
      <c r="B541" t="str">
        <f t="shared" si="140"/>
        <v>EUR</v>
      </c>
      <c r="C541">
        <f t="shared" si="141"/>
        <v>0</v>
      </c>
      <c r="D541">
        <f t="shared" si="132"/>
        <v>0</v>
      </c>
      <c r="E541">
        <f t="shared" si="133"/>
        <v>0</v>
      </c>
      <c r="F541">
        <v>13550</v>
      </c>
      <c r="G541">
        <f t="shared" si="134"/>
        <v>13550</v>
      </c>
      <c r="H541">
        <f t="shared" si="135"/>
        <v>15717.999999999998</v>
      </c>
      <c r="I541">
        <f t="shared" si="142"/>
        <v>0</v>
      </c>
      <c r="J541">
        <f t="shared" si="136"/>
        <v>0</v>
      </c>
      <c r="K541" s="7">
        <f t="shared" si="143"/>
        <v>45874</v>
      </c>
      <c r="L541" s="7">
        <f t="shared" si="137"/>
        <v>45844</v>
      </c>
      <c r="M541">
        <f t="shared" si="138"/>
        <v>7</v>
      </c>
      <c r="N541">
        <f t="shared" si="139"/>
        <v>2025</v>
      </c>
      <c r="Q541" s="22">
        <v>751</v>
      </c>
      <c r="R541" s="22">
        <v>27327</v>
      </c>
      <c r="S541" s="22" t="str">
        <f t="shared" si="144"/>
        <v>EUR</v>
      </c>
      <c r="T541" s="22">
        <f t="shared" si="145"/>
        <v>31699.319999999996</v>
      </c>
      <c r="U541" s="28">
        <v>400</v>
      </c>
      <c r="W541" s="9">
        <v>389</v>
      </c>
      <c r="X541" s="9" t="s">
        <v>29</v>
      </c>
      <c r="AF541">
        <v>565</v>
      </c>
      <c r="AG541" t="s">
        <v>29</v>
      </c>
      <c r="AH541">
        <v>1896.82</v>
      </c>
      <c r="AI541" s="7">
        <v>45954</v>
      </c>
    </row>
    <row r="542" spans="1:35">
      <c r="A542">
        <v>585</v>
      </c>
      <c r="B542" t="str">
        <f t="shared" si="140"/>
        <v>MXN</v>
      </c>
      <c r="C542">
        <f t="shared" si="141"/>
        <v>41805.149999999994</v>
      </c>
      <c r="D542">
        <f t="shared" si="132"/>
        <v>2006.6471999999997</v>
      </c>
      <c r="E542">
        <f t="shared" si="133"/>
        <v>2341.0883999999996</v>
      </c>
      <c r="F542">
        <v>139144.29999999999</v>
      </c>
      <c r="G542">
        <f t="shared" si="134"/>
        <v>6678.9263999999994</v>
      </c>
      <c r="H542">
        <f t="shared" si="135"/>
        <v>7792.0807999999997</v>
      </c>
      <c r="I542">
        <f t="shared" si="142"/>
        <v>33258.850000000006</v>
      </c>
      <c r="J542">
        <f t="shared" si="136"/>
        <v>1862.4956000000004</v>
      </c>
      <c r="K542" s="7">
        <f t="shared" si="143"/>
        <v>45899</v>
      </c>
      <c r="L542" s="7">
        <f t="shared" si="137"/>
        <v>45869</v>
      </c>
      <c r="M542">
        <f t="shared" si="138"/>
        <v>7</v>
      </c>
      <c r="N542">
        <f t="shared" si="139"/>
        <v>2025</v>
      </c>
      <c r="Q542" s="22">
        <v>752</v>
      </c>
      <c r="R542" s="22">
        <v>57810</v>
      </c>
      <c r="S542" s="22" t="str">
        <f t="shared" si="144"/>
        <v>MXN</v>
      </c>
      <c r="T542" s="22">
        <f t="shared" si="145"/>
        <v>3237.36</v>
      </c>
      <c r="U542" s="28">
        <v>400</v>
      </c>
      <c r="W542" s="9">
        <v>390</v>
      </c>
      <c r="X542" s="9" t="s">
        <v>28</v>
      </c>
      <c r="AF542">
        <v>566</v>
      </c>
      <c r="AG542" t="s">
        <v>28</v>
      </c>
      <c r="AH542">
        <v>519094.96</v>
      </c>
      <c r="AI542" s="7">
        <v>45937</v>
      </c>
    </row>
    <row r="543" spans="1:35">
      <c r="A543">
        <v>586</v>
      </c>
      <c r="B543" t="str">
        <f t="shared" si="140"/>
        <v>USD</v>
      </c>
      <c r="C543">
        <f t="shared" si="141"/>
        <v>3217.4</v>
      </c>
      <c r="D543">
        <f t="shared" si="132"/>
        <v>2766.9639999999999</v>
      </c>
      <c r="E543">
        <f t="shared" si="133"/>
        <v>3217.4</v>
      </c>
      <c r="F543">
        <v>3217.4</v>
      </c>
      <c r="G543">
        <f t="shared" si="134"/>
        <v>2766.9639999999999</v>
      </c>
      <c r="H543">
        <f t="shared" si="135"/>
        <v>3217.4</v>
      </c>
      <c r="I543">
        <f t="shared" si="142"/>
        <v>0</v>
      </c>
      <c r="J543">
        <f t="shared" si="136"/>
        <v>0</v>
      </c>
      <c r="K543" s="7">
        <f t="shared" si="143"/>
        <v>45894</v>
      </c>
      <c r="L543" s="7">
        <f t="shared" si="137"/>
        <v>45864</v>
      </c>
      <c r="M543">
        <f t="shared" si="138"/>
        <v>7</v>
      </c>
      <c r="N543">
        <f t="shared" si="139"/>
        <v>2025</v>
      </c>
      <c r="Q543" s="22">
        <v>753</v>
      </c>
      <c r="R543" s="22">
        <v>6053.6</v>
      </c>
      <c r="S543" s="22" t="str">
        <f t="shared" si="144"/>
        <v>USD</v>
      </c>
      <c r="T543" s="22">
        <f t="shared" si="145"/>
        <v>6053.6</v>
      </c>
      <c r="U543" s="28">
        <v>400</v>
      </c>
      <c r="W543" s="9">
        <v>390</v>
      </c>
      <c r="X543" s="9" t="s">
        <v>28</v>
      </c>
      <c r="AF543">
        <v>567</v>
      </c>
      <c r="AG543" t="s">
        <v>29</v>
      </c>
      <c r="AH543">
        <v>1717.76</v>
      </c>
      <c r="AI543" s="7">
        <v>45891</v>
      </c>
    </row>
    <row r="544" spans="1:35">
      <c r="A544">
        <v>587</v>
      </c>
      <c r="B544" t="str">
        <f t="shared" si="140"/>
        <v>USD</v>
      </c>
      <c r="C544">
        <f t="shared" si="141"/>
        <v>0</v>
      </c>
      <c r="D544">
        <f t="shared" si="132"/>
        <v>0</v>
      </c>
      <c r="E544">
        <f t="shared" si="133"/>
        <v>0</v>
      </c>
      <c r="F544">
        <v>1971.8</v>
      </c>
      <c r="G544">
        <f t="shared" si="134"/>
        <v>1695.748</v>
      </c>
      <c r="H544">
        <f t="shared" si="135"/>
        <v>1971.8</v>
      </c>
      <c r="I544">
        <f t="shared" si="142"/>
        <v>0</v>
      </c>
      <c r="J544">
        <f t="shared" si="136"/>
        <v>0</v>
      </c>
      <c r="K544" s="7">
        <f t="shared" si="143"/>
        <v>45891</v>
      </c>
      <c r="L544" s="7">
        <f t="shared" si="137"/>
        <v>45861</v>
      </c>
      <c r="M544">
        <f t="shared" si="138"/>
        <v>7</v>
      </c>
      <c r="N544">
        <f t="shared" si="139"/>
        <v>2025</v>
      </c>
      <c r="Q544" s="22">
        <v>754</v>
      </c>
      <c r="R544" s="22">
        <v>78276</v>
      </c>
      <c r="S544" s="22" t="str">
        <f t="shared" si="144"/>
        <v>USD</v>
      </c>
      <c r="T544" s="22">
        <f t="shared" si="145"/>
        <v>78276</v>
      </c>
      <c r="U544" s="28">
        <v>400</v>
      </c>
      <c r="W544" s="9">
        <v>390</v>
      </c>
      <c r="X544" s="9" t="s">
        <v>28</v>
      </c>
      <c r="AF544">
        <v>568</v>
      </c>
      <c r="AG544" t="s">
        <v>32</v>
      </c>
      <c r="AH544">
        <v>2700</v>
      </c>
      <c r="AI544" s="7">
        <v>45757</v>
      </c>
    </row>
    <row r="545" spans="1:35">
      <c r="A545">
        <v>588</v>
      </c>
      <c r="B545" t="str">
        <f t="shared" si="140"/>
        <v>EUR</v>
      </c>
      <c r="C545">
        <f t="shared" si="141"/>
        <v>0</v>
      </c>
      <c r="D545">
        <f t="shared" si="132"/>
        <v>0</v>
      </c>
      <c r="E545">
        <f t="shared" si="133"/>
        <v>0</v>
      </c>
      <c r="F545">
        <v>1299</v>
      </c>
      <c r="G545">
        <f t="shared" si="134"/>
        <v>1299</v>
      </c>
      <c r="H545">
        <f t="shared" si="135"/>
        <v>1506.84</v>
      </c>
      <c r="I545">
        <f t="shared" si="142"/>
        <v>0</v>
      </c>
      <c r="J545">
        <f t="shared" si="136"/>
        <v>0</v>
      </c>
      <c r="K545" s="7">
        <f t="shared" si="143"/>
        <v>45911</v>
      </c>
      <c r="L545" s="7">
        <f t="shared" si="137"/>
        <v>45881</v>
      </c>
      <c r="M545">
        <f t="shared" si="138"/>
        <v>8</v>
      </c>
      <c r="N545">
        <f t="shared" si="139"/>
        <v>2025</v>
      </c>
      <c r="Q545" s="22">
        <v>755</v>
      </c>
      <c r="R545" s="22">
        <v>4447.01</v>
      </c>
      <c r="S545" s="22" t="str">
        <f t="shared" si="144"/>
        <v>USD</v>
      </c>
      <c r="T545" s="22">
        <f t="shared" si="145"/>
        <v>4447.01</v>
      </c>
      <c r="U545" s="28">
        <v>400</v>
      </c>
      <c r="W545" s="9">
        <v>391</v>
      </c>
      <c r="X545" s="9" t="s">
        <v>29</v>
      </c>
      <c r="AF545">
        <v>569</v>
      </c>
      <c r="AG545" t="s">
        <v>28</v>
      </c>
      <c r="AH545">
        <v>123600</v>
      </c>
      <c r="AI545" s="7">
        <v>45900</v>
      </c>
    </row>
    <row r="546" spans="1:35">
      <c r="A546">
        <v>589</v>
      </c>
      <c r="B546" t="str">
        <f t="shared" si="140"/>
        <v>GPB</v>
      </c>
      <c r="C546">
        <f t="shared" si="141"/>
        <v>0</v>
      </c>
      <c r="D546">
        <f t="shared" si="132"/>
        <v>0</v>
      </c>
      <c r="E546">
        <f t="shared" si="133"/>
        <v>0</v>
      </c>
      <c r="F546">
        <v>1500</v>
      </c>
      <c r="G546">
        <f t="shared" si="134"/>
        <v>1724.9999999999998</v>
      </c>
      <c r="H546">
        <f t="shared" si="135"/>
        <v>2010.0000000000002</v>
      </c>
      <c r="I546">
        <f t="shared" si="142"/>
        <v>0</v>
      </c>
      <c r="J546">
        <f t="shared" si="136"/>
        <v>0</v>
      </c>
      <c r="K546" s="7">
        <f t="shared" si="143"/>
        <v>45887</v>
      </c>
      <c r="L546" s="7">
        <f t="shared" si="137"/>
        <v>45857</v>
      </c>
      <c r="M546">
        <f t="shared" si="138"/>
        <v>7</v>
      </c>
      <c r="N546">
        <f t="shared" si="139"/>
        <v>2025</v>
      </c>
      <c r="Q546" s="22">
        <v>757</v>
      </c>
      <c r="R546" s="22">
        <v>1067.6400000000001</v>
      </c>
      <c r="S546" s="22" t="str">
        <f t="shared" si="144"/>
        <v>USD</v>
      </c>
      <c r="T546" s="22">
        <f t="shared" si="145"/>
        <v>1067.6400000000001</v>
      </c>
      <c r="U546" s="28">
        <v>400</v>
      </c>
      <c r="W546" s="9">
        <v>391</v>
      </c>
      <c r="X546" s="9" t="s">
        <v>29</v>
      </c>
      <c r="AF546">
        <v>570</v>
      </c>
      <c r="AG546" t="s">
        <v>32</v>
      </c>
      <c r="AH546">
        <v>2504</v>
      </c>
      <c r="AI546" s="7">
        <v>45762</v>
      </c>
    </row>
    <row r="547" spans="1:35">
      <c r="A547">
        <v>590</v>
      </c>
      <c r="B547" t="str">
        <f t="shared" si="140"/>
        <v>USD</v>
      </c>
      <c r="C547">
        <f t="shared" si="141"/>
        <v>0</v>
      </c>
      <c r="D547">
        <f t="shared" si="132"/>
        <v>0</v>
      </c>
      <c r="E547">
        <f t="shared" si="133"/>
        <v>0</v>
      </c>
      <c r="F547">
        <v>3097.62</v>
      </c>
      <c r="G547">
        <f t="shared" si="134"/>
        <v>2663.9531999999999</v>
      </c>
      <c r="H547">
        <f t="shared" si="135"/>
        <v>3097.62</v>
      </c>
      <c r="I547">
        <f t="shared" si="142"/>
        <v>0</v>
      </c>
      <c r="J547">
        <f t="shared" si="136"/>
        <v>0</v>
      </c>
      <c r="K547" s="7">
        <f t="shared" si="143"/>
        <v>45842</v>
      </c>
      <c r="L547" s="7">
        <f t="shared" si="137"/>
        <v>45812</v>
      </c>
      <c r="M547">
        <f t="shared" si="138"/>
        <v>6</v>
      </c>
      <c r="N547">
        <f t="shared" si="139"/>
        <v>2025</v>
      </c>
      <c r="Q547" s="22">
        <v>758</v>
      </c>
      <c r="R547" s="22">
        <v>1002.1</v>
      </c>
      <c r="S547" s="22" t="str">
        <f t="shared" si="144"/>
        <v>EUR</v>
      </c>
      <c r="T547" s="22">
        <f t="shared" si="145"/>
        <v>1162.4359999999999</v>
      </c>
      <c r="U547" s="28">
        <v>400</v>
      </c>
      <c r="W547" s="9">
        <v>391</v>
      </c>
      <c r="X547" s="9" t="s">
        <v>29</v>
      </c>
      <c r="AF547">
        <v>571</v>
      </c>
      <c r="AG547" t="s">
        <v>28</v>
      </c>
      <c r="AH547">
        <v>11942</v>
      </c>
      <c r="AI547" s="7">
        <v>45884</v>
      </c>
    </row>
    <row r="548" spans="1:35">
      <c r="A548">
        <v>591</v>
      </c>
      <c r="B548" t="str">
        <f t="shared" si="140"/>
        <v>USD</v>
      </c>
      <c r="C548">
        <f t="shared" si="141"/>
        <v>0</v>
      </c>
      <c r="D548">
        <f t="shared" si="132"/>
        <v>0</v>
      </c>
      <c r="E548">
        <f t="shared" si="133"/>
        <v>0</v>
      </c>
      <c r="F548">
        <v>4711.78</v>
      </c>
      <c r="G548">
        <f t="shared" si="134"/>
        <v>4052.1307999999999</v>
      </c>
      <c r="H548">
        <f t="shared" si="135"/>
        <v>4711.78</v>
      </c>
      <c r="I548">
        <f t="shared" si="142"/>
        <v>0</v>
      </c>
      <c r="J548">
        <f t="shared" si="136"/>
        <v>0</v>
      </c>
      <c r="K548" s="7">
        <f t="shared" si="143"/>
        <v>45845</v>
      </c>
      <c r="L548" s="7">
        <f t="shared" si="137"/>
        <v>45815</v>
      </c>
      <c r="M548">
        <f t="shared" si="138"/>
        <v>6</v>
      </c>
      <c r="N548">
        <f t="shared" si="139"/>
        <v>2025</v>
      </c>
      <c r="Q548" s="22">
        <v>761</v>
      </c>
      <c r="R548" s="22">
        <v>23457.45</v>
      </c>
      <c r="S548" s="22" t="str">
        <f t="shared" si="144"/>
        <v>USD</v>
      </c>
      <c r="T548" s="22">
        <f t="shared" si="145"/>
        <v>23457.45</v>
      </c>
      <c r="U548" s="28">
        <v>400</v>
      </c>
      <c r="W548" s="9">
        <v>391</v>
      </c>
      <c r="X548" s="9" t="s">
        <v>29</v>
      </c>
      <c r="AF548">
        <v>572</v>
      </c>
      <c r="AG548" t="s">
        <v>29</v>
      </c>
      <c r="AH548">
        <v>10105.09</v>
      </c>
      <c r="AI548" s="7">
        <v>45803</v>
      </c>
    </row>
    <row r="549" spans="1:35">
      <c r="A549">
        <v>592</v>
      </c>
      <c r="B549" t="str">
        <f t="shared" si="140"/>
        <v>USD</v>
      </c>
      <c r="C549">
        <f t="shared" si="141"/>
        <v>0</v>
      </c>
      <c r="D549">
        <f t="shared" si="132"/>
        <v>0</v>
      </c>
      <c r="E549">
        <f t="shared" si="133"/>
        <v>0</v>
      </c>
      <c r="F549">
        <v>2528.67</v>
      </c>
      <c r="G549">
        <f t="shared" si="134"/>
        <v>2174.6561999999999</v>
      </c>
      <c r="H549">
        <f t="shared" si="135"/>
        <v>2528.67</v>
      </c>
      <c r="I549">
        <f t="shared" si="142"/>
        <v>0</v>
      </c>
      <c r="J549">
        <f t="shared" si="136"/>
        <v>0</v>
      </c>
      <c r="K549" s="7">
        <f t="shared" si="143"/>
        <v>45900</v>
      </c>
      <c r="L549" s="7">
        <f t="shared" si="137"/>
        <v>45870</v>
      </c>
      <c r="M549">
        <f t="shared" si="138"/>
        <v>8</v>
      </c>
      <c r="N549">
        <f t="shared" si="139"/>
        <v>2025</v>
      </c>
      <c r="Q549" s="22">
        <v>765</v>
      </c>
      <c r="R549" s="22">
        <v>418305.1</v>
      </c>
      <c r="S549" s="22" t="str">
        <f t="shared" si="144"/>
        <v>USD</v>
      </c>
      <c r="T549" s="22">
        <f t="shared" si="145"/>
        <v>418305.1</v>
      </c>
      <c r="U549" s="28">
        <v>400</v>
      </c>
      <c r="W549" s="9">
        <v>391</v>
      </c>
      <c r="X549" s="9" t="s">
        <v>29</v>
      </c>
      <c r="AF549">
        <v>573</v>
      </c>
      <c r="AG549" t="s">
        <v>29</v>
      </c>
      <c r="AH549">
        <v>6668</v>
      </c>
      <c r="AI549" s="7">
        <v>45807</v>
      </c>
    </row>
    <row r="550" spans="1:35">
      <c r="A550">
        <v>593</v>
      </c>
      <c r="B550" t="str">
        <f t="shared" si="140"/>
        <v>USD</v>
      </c>
      <c r="C550">
        <f t="shared" si="141"/>
        <v>0</v>
      </c>
      <c r="D550">
        <f t="shared" si="132"/>
        <v>0</v>
      </c>
      <c r="E550">
        <f t="shared" si="133"/>
        <v>0</v>
      </c>
      <c r="F550">
        <v>1877</v>
      </c>
      <c r="G550">
        <f t="shared" si="134"/>
        <v>1614.22</v>
      </c>
      <c r="H550">
        <f t="shared" si="135"/>
        <v>1877</v>
      </c>
      <c r="I550">
        <f t="shared" si="142"/>
        <v>0</v>
      </c>
      <c r="J550">
        <f t="shared" si="136"/>
        <v>0</v>
      </c>
      <c r="K550" s="7">
        <f t="shared" si="143"/>
        <v>45868</v>
      </c>
      <c r="L550" s="7">
        <f t="shared" si="137"/>
        <v>45838</v>
      </c>
      <c r="M550">
        <f t="shared" si="138"/>
        <v>6</v>
      </c>
      <c r="N550">
        <f t="shared" si="139"/>
        <v>2025</v>
      </c>
      <c r="Q550" s="22">
        <v>766</v>
      </c>
      <c r="R550" s="22">
        <v>17247.439999999999</v>
      </c>
      <c r="S550" s="22" t="str">
        <f t="shared" si="144"/>
        <v>USD</v>
      </c>
      <c r="T550" s="22">
        <f t="shared" si="145"/>
        <v>17247.439999999999</v>
      </c>
      <c r="U550" s="28">
        <v>400</v>
      </c>
      <c r="W550" s="9">
        <v>391</v>
      </c>
      <c r="X550" s="9" t="s">
        <v>29</v>
      </c>
      <c r="AF550">
        <v>574</v>
      </c>
      <c r="AG550" t="s">
        <v>29</v>
      </c>
      <c r="AH550">
        <v>3854.09</v>
      </c>
      <c r="AI550" s="7">
        <v>45996</v>
      </c>
    </row>
    <row r="551" spans="1:35">
      <c r="A551">
        <v>594</v>
      </c>
      <c r="B551" t="str">
        <f t="shared" si="140"/>
        <v>GPB</v>
      </c>
      <c r="C551">
        <f t="shared" si="141"/>
        <v>4542.66</v>
      </c>
      <c r="D551">
        <f t="shared" si="132"/>
        <v>5224.0589999999993</v>
      </c>
      <c r="E551">
        <f t="shared" si="133"/>
        <v>6087.1644000000006</v>
      </c>
      <c r="F551">
        <v>11502.66</v>
      </c>
      <c r="G551">
        <f t="shared" si="134"/>
        <v>13228.058999999999</v>
      </c>
      <c r="H551">
        <f t="shared" si="135"/>
        <v>15413.564400000001</v>
      </c>
      <c r="I551">
        <f t="shared" si="142"/>
        <v>0</v>
      </c>
      <c r="J551">
        <f t="shared" si="136"/>
        <v>0</v>
      </c>
      <c r="K551" s="7">
        <f t="shared" si="143"/>
        <v>45893</v>
      </c>
      <c r="L551" s="7">
        <f t="shared" si="137"/>
        <v>45863</v>
      </c>
      <c r="M551">
        <f t="shared" si="138"/>
        <v>7</v>
      </c>
      <c r="N551">
        <f t="shared" si="139"/>
        <v>2025</v>
      </c>
      <c r="Q551" s="22">
        <v>767</v>
      </c>
      <c r="R551" s="22">
        <v>65660.42</v>
      </c>
      <c r="S551" s="22" t="str">
        <f t="shared" si="144"/>
        <v>USD</v>
      </c>
      <c r="T551" s="22">
        <f t="shared" si="145"/>
        <v>65660.42</v>
      </c>
      <c r="U551" s="28">
        <v>400</v>
      </c>
      <c r="W551" s="9">
        <v>391</v>
      </c>
      <c r="X551" s="9" t="s">
        <v>29</v>
      </c>
      <c r="AF551">
        <v>575</v>
      </c>
      <c r="AG551" t="s">
        <v>29</v>
      </c>
      <c r="AH551">
        <v>21032.86</v>
      </c>
      <c r="AI551" s="7">
        <v>45864</v>
      </c>
    </row>
    <row r="552" spans="1:35">
      <c r="A552">
        <v>595</v>
      </c>
      <c r="B552" t="str">
        <f t="shared" si="140"/>
        <v>EUR</v>
      </c>
      <c r="C552">
        <f t="shared" si="141"/>
        <v>17817.63</v>
      </c>
      <c r="D552">
        <f t="shared" si="132"/>
        <v>17817.63</v>
      </c>
      <c r="E552">
        <f t="shared" si="133"/>
        <v>20668.450799999999</v>
      </c>
      <c r="F552">
        <v>17817.63</v>
      </c>
      <c r="G552">
        <f t="shared" si="134"/>
        <v>17817.63</v>
      </c>
      <c r="H552">
        <f t="shared" si="135"/>
        <v>20668.450799999999</v>
      </c>
      <c r="I552">
        <f t="shared" si="142"/>
        <v>0</v>
      </c>
      <c r="J552">
        <f t="shared" si="136"/>
        <v>0</v>
      </c>
      <c r="K552" s="7">
        <f t="shared" si="143"/>
        <v>45907</v>
      </c>
      <c r="L552" s="7">
        <f t="shared" si="137"/>
        <v>45877</v>
      </c>
      <c r="M552">
        <f t="shared" si="138"/>
        <v>8</v>
      </c>
      <c r="N552">
        <f t="shared" si="139"/>
        <v>2025</v>
      </c>
      <c r="Q552" s="22">
        <v>769</v>
      </c>
      <c r="R552" s="22">
        <v>1823</v>
      </c>
      <c r="S552" s="22" t="str">
        <f t="shared" si="144"/>
        <v>EUR</v>
      </c>
      <c r="T552" s="22">
        <f t="shared" si="145"/>
        <v>2114.6799999999998</v>
      </c>
      <c r="U552" s="28">
        <v>400</v>
      </c>
      <c r="W552" s="9">
        <v>391</v>
      </c>
      <c r="X552" s="9" t="s">
        <v>29</v>
      </c>
      <c r="AF552">
        <v>576</v>
      </c>
      <c r="AG552" t="s">
        <v>29</v>
      </c>
      <c r="AH552">
        <v>10684</v>
      </c>
      <c r="AI552" s="7">
        <v>45902</v>
      </c>
    </row>
    <row r="553" spans="1:35">
      <c r="A553">
        <v>596</v>
      </c>
      <c r="B553" t="str">
        <f t="shared" si="140"/>
        <v>USD</v>
      </c>
      <c r="C553">
        <f t="shared" si="141"/>
        <v>268000.69</v>
      </c>
      <c r="D553">
        <f t="shared" si="132"/>
        <v>230480.59340000001</v>
      </c>
      <c r="E553">
        <f t="shared" si="133"/>
        <v>268000.69</v>
      </c>
      <c r="F553">
        <v>253270</v>
      </c>
      <c r="G553">
        <f t="shared" si="134"/>
        <v>217812.19999999998</v>
      </c>
      <c r="H553">
        <f t="shared" si="135"/>
        <v>253270</v>
      </c>
      <c r="I553">
        <f t="shared" si="142"/>
        <v>14730.690000000002</v>
      </c>
      <c r="J553">
        <f t="shared" si="136"/>
        <v>14730.690000000002</v>
      </c>
      <c r="K553" s="7">
        <f t="shared" si="143"/>
        <v>45915</v>
      </c>
      <c r="L553" s="7">
        <f t="shared" si="137"/>
        <v>45885</v>
      </c>
      <c r="M553">
        <f t="shared" si="138"/>
        <v>8</v>
      </c>
      <c r="N553">
        <f t="shared" si="139"/>
        <v>2025</v>
      </c>
      <c r="Q553" s="22">
        <v>770</v>
      </c>
      <c r="R553" s="22">
        <v>5943.6</v>
      </c>
      <c r="S553" s="22" t="str">
        <f t="shared" si="144"/>
        <v>EUR</v>
      </c>
      <c r="T553" s="22">
        <f t="shared" si="145"/>
        <v>6894.576</v>
      </c>
      <c r="U553" s="28">
        <v>400</v>
      </c>
      <c r="W553" s="9">
        <v>391</v>
      </c>
      <c r="X553" s="9" t="s">
        <v>29</v>
      </c>
      <c r="AF553">
        <v>577</v>
      </c>
      <c r="AG553" t="s">
        <v>29</v>
      </c>
      <c r="AH553">
        <v>22553.15</v>
      </c>
      <c r="AI553" s="7">
        <v>45870</v>
      </c>
    </row>
    <row r="554" spans="1:35">
      <c r="A554">
        <v>597</v>
      </c>
      <c r="B554" t="str">
        <f t="shared" si="140"/>
        <v>USD</v>
      </c>
      <c r="C554">
        <f t="shared" si="141"/>
        <v>372947.43</v>
      </c>
      <c r="D554">
        <f t="shared" si="132"/>
        <v>320734.78979999997</v>
      </c>
      <c r="E554">
        <f t="shared" si="133"/>
        <v>372947.43</v>
      </c>
      <c r="F554">
        <v>294183</v>
      </c>
      <c r="G554">
        <f t="shared" si="134"/>
        <v>252997.38</v>
      </c>
      <c r="H554">
        <f t="shared" si="135"/>
        <v>294183</v>
      </c>
      <c r="I554">
        <f t="shared" si="142"/>
        <v>112501.93</v>
      </c>
      <c r="J554">
        <f t="shared" si="136"/>
        <v>112501.93</v>
      </c>
      <c r="K554" s="7">
        <f t="shared" si="143"/>
        <v>46054</v>
      </c>
      <c r="L554" s="7">
        <f t="shared" si="137"/>
        <v>46024</v>
      </c>
      <c r="M554">
        <f t="shared" si="138"/>
        <v>1</v>
      </c>
      <c r="N554">
        <f t="shared" si="139"/>
        <v>2026</v>
      </c>
      <c r="Q554" s="22">
        <v>774</v>
      </c>
      <c r="R554" s="22">
        <v>959220</v>
      </c>
      <c r="S554" s="22" t="str">
        <f t="shared" si="144"/>
        <v>JPY</v>
      </c>
      <c r="T554" s="22">
        <f t="shared" si="145"/>
        <v>6139.0080000000007</v>
      </c>
      <c r="U554" s="28">
        <v>400</v>
      </c>
      <c r="W554" s="9">
        <v>391</v>
      </c>
      <c r="X554" s="9" t="s">
        <v>29</v>
      </c>
      <c r="AF554">
        <v>578</v>
      </c>
      <c r="AG554" t="s">
        <v>29</v>
      </c>
      <c r="AH554">
        <v>4612.22</v>
      </c>
      <c r="AI554" s="7">
        <v>45888</v>
      </c>
    </row>
    <row r="555" spans="1:35">
      <c r="A555">
        <v>598</v>
      </c>
      <c r="B555" t="str">
        <f t="shared" si="140"/>
        <v>EUR</v>
      </c>
      <c r="C555">
        <f t="shared" si="141"/>
        <v>0</v>
      </c>
      <c r="D555">
        <f t="shared" si="132"/>
        <v>0</v>
      </c>
      <c r="E555">
        <f t="shared" si="133"/>
        <v>0</v>
      </c>
      <c r="F555">
        <v>2856</v>
      </c>
      <c r="G555">
        <f t="shared" si="134"/>
        <v>2856</v>
      </c>
      <c r="H555">
        <f t="shared" si="135"/>
        <v>3312.9599999999996</v>
      </c>
      <c r="I555">
        <f t="shared" si="142"/>
        <v>0</v>
      </c>
      <c r="J555">
        <f t="shared" si="136"/>
        <v>0</v>
      </c>
      <c r="K555" s="7">
        <f t="shared" si="143"/>
        <v>45876</v>
      </c>
      <c r="L555" s="7">
        <f t="shared" si="137"/>
        <v>45846</v>
      </c>
      <c r="M555">
        <f t="shared" si="138"/>
        <v>7</v>
      </c>
      <c r="N555">
        <f t="shared" si="139"/>
        <v>2025</v>
      </c>
      <c r="Q555" s="22">
        <v>775</v>
      </c>
      <c r="R555" s="22">
        <v>3689941</v>
      </c>
      <c r="S555" s="22" t="str">
        <f t="shared" si="144"/>
        <v>JPY</v>
      </c>
      <c r="T555" s="22">
        <f t="shared" si="145"/>
        <v>23615.6224</v>
      </c>
      <c r="U555" s="28">
        <v>400</v>
      </c>
      <c r="W555" s="9">
        <v>392</v>
      </c>
      <c r="X555" s="9" t="s">
        <v>29</v>
      </c>
      <c r="AF555">
        <v>579</v>
      </c>
      <c r="AG555" t="s">
        <v>29</v>
      </c>
      <c r="AH555">
        <v>3274.53</v>
      </c>
      <c r="AI555" s="7">
        <v>45912</v>
      </c>
    </row>
    <row r="556" spans="1:35">
      <c r="A556">
        <v>600</v>
      </c>
      <c r="B556" t="str">
        <f t="shared" si="140"/>
        <v>USD</v>
      </c>
      <c r="C556">
        <f t="shared" si="141"/>
        <v>35.000000000000227</v>
      </c>
      <c r="D556">
        <f t="shared" si="132"/>
        <v>30.100000000000197</v>
      </c>
      <c r="E556">
        <f t="shared" si="133"/>
        <v>35.000000000000227</v>
      </c>
      <c r="F556">
        <v>1796.16</v>
      </c>
      <c r="G556">
        <f t="shared" si="134"/>
        <v>1544.6976</v>
      </c>
      <c r="H556">
        <f t="shared" si="135"/>
        <v>1796.16</v>
      </c>
      <c r="I556">
        <f t="shared" si="142"/>
        <v>0</v>
      </c>
      <c r="J556">
        <f t="shared" si="136"/>
        <v>0</v>
      </c>
      <c r="K556" s="7">
        <f t="shared" si="143"/>
        <v>45939</v>
      </c>
      <c r="L556" s="7">
        <f t="shared" si="137"/>
        <v>45909</v>
      </c>
      <c r="M556">
        <f t="shared" si="138"/>
        <v>9</v>
      </c>
      <c r="N556">
        <f t="shared" si="139"/>
        <v>2025</v>
      </c>
      <c r="Q556" s="22">
        <v>776</v>
      </c>
      <c r="R556" s="22">
        <v>24401740</v>
      </c>
      <c r="S556" s="22" t="str">
        <f t="shared" si="144"/>
        <v>JPY</v>
      </c>
      <c r="T556" s="22">
        <f t="shared" si="145"/>
        <v>156171.136</v>
      </c>
      <c r="U556" s="28">
        <v>400</v>
      </c>
      <c r="W556" s="9">
        <v>392</v>
      </c>
      <c r="X556" s="9" t="s">
        <v>29</v>
      </c>
      <c r="AF556">
        <v>580</v>
      </c>
      <c r="AG556" t="s">
        <v>29</v>
      </c>
      <c r="AH556">
        <v>799.1</v>
      </c>
      <c r="AI556" s="7">
        <v>45970</v>
      </c>
    </row>
    <row r="557" spans="1:35">
      <c r="A557">
        <v>601</v>
      </c>
      <c r="B557" t="str">
        <f t="shared" si="140"/>
        <v>CHF</v>
      </c>
      <c r="C557">
        <f t="shared" si="141"/>
        <v>0</v>
      </c>
      <c r="D557">
        <f t="shared" si="132"/>
        <v>0</v>
      </c>
      <c r="E557">
        <f t="shared" si="133"/>
        <v>0</v>
      </c>
      <c r="F557">
        <v>6150</v>
      </c>
      <c r="G557">
        <f t="shared" si="134"/>
        <v>6580.5</v>
      </c>
      <c r="H557">
        <f t="shared" si="135"/>
        <v>7687.5</v>
      </c>
      <c r="I557">
        <f t="shared" si="142"/>
        <v>0</v>
      </c>
      <c r="J557">
        <f t="shared" si="136"/>
        <v>0</v>
      </c>
      <c r="K557" s="7">
        <f t="shared" si="143"/>
        <v>45896</v>
      </c>
      <c r="L557" s="7">
        <f t="shared" si="137"/>
        <v>45866</v>
      </c>
      <c r="M557">
        <f t="shared" si="138"/>
        <v>7</v>
      </c>
      <c r="N557">
        <f t="shared" si="139"/>
        <v>2025</v>
      </c>
      <c r="Q557" s="22">
        <v>778</v>
      </c>
      <c r="R557" s="22">
        <v>5390.56</v>
      </c>
      <c r="S557" s="22" t="str">
        <f t="shared" si="144"/>
        <v>USD</v>
      </c>
      <c r="T557" s="22">
        <f t="shared" si="145"/>
        <v>5390.56</v>
      </c>
      <c r="U557" s="28">
        <v>400</v>
      </c>
      <c r="W557" s="9">
        <v>392</v>
      </c>
      <c r="X557" s="9" t="s">
        <v>29</v>
      </c>
      <c r="AF557">
        <v>581</v>
      </c>
      <c r="AG557" t="s">
        <v>29</v>
      </c>
      <c r="AH557">
        <v>1917.44</v>
      </c>
      <c r="AI557" s="7">
        <v>45884</v>
      </c>
    </row>
    <row r="558" spans="1:35">
      <c r="A558">
        <v>602</v>
      </c>
      <c r="B558" t="str">
        <f t="shared" si="140"/>
        <v>EUR</v>
      </c>
      <c r="C558">
        <f t="shared" si="141"/>
        <v>0</v>
      </c>
      <c r="D558">
        <f t="shared" si="132"/>
        <v>0</v>
      </c>
      <c r="E558">
        <f t="shared" si="133"/>
        <v>0</v>
      </c>
      <c r="F558">
        <v>4020</v>
      </c>
      <c r="G558">
        <f t="shared" si="134"/>
        <v>4020</v>
      </c>
      <c r="H558">
        <f t="shared" si="135"/>
        <v>4663.2</v>
      </c>
      <c r="I558">
        <f t="shared" si="142"/>
        <v>0</v>
      </c>
      <c r="J558">
        <f t="shared" si="136"/>
        <v>0</v>
      </c>
      <c r="K558" s="7">
        <f t="shared" si="143"/>
        <v>45910</v>
      </c>
      <c r="L558" s="7">
        <f t="shared" si="137"/>
        <v>45880</v>
      </c>
      <c r="M558">
        <f t="shared" si="138"/>
        <v>8</v>
      </c>
      <c r="N558">
        <f t="shared" si="139"/>
        <v>2025</v>
      </c>
      <c r="Q558" s="22">
        <v>779</v>
      </c>
      <c r="R558" s="22">
        <v>88516.239999999991</v>
      </c>
      <c r="S558" s="22" t="str">
        <f t="shared" si="144"/>
        <v>USD</v>
      </c>
      <c r="T558" s="22">
        <f t="shared" si="145"/>
        <v>88516.239999999991</v>
      </c>
      <c r="U558" s="28">
        <v>400</v>
      </c>
      <c r="W558" s="9">
        <v>394</v>
      </c>
      <c r="X558" s="9" t="s">
        <v>29</v>
      </c>
      <c r="AF558">
        <v>582</v>
      </c>
      <c r="AG558" t="s">
        <v>27</v>
      </c>
      <c r="AH558">
        <v>26761.06</v>
      </c>
      <c r="AI558" s="7">
        <v>45907</v>
      </c>
    </row>
    <row r="559" spans="1:35">
      <c r="A559">
        <v>603</v>
      </c>
      <c r="B559" t="str">
        <f t="shared" si="140"/>
        <v>USD</v>
      </c>
      <c r="C559">
        <f t="shared" si="141"/>
        <v>0</v>
      </c>
      <c r="D559">
        <f t="shared" si="132"/>
        <v>0</v>
      </c>
      <c r="E559">
        <f t="shared" si="133"/>
        <v>0</v>
      </c>
      <c r="F559">
        <v>5322</v>
      </c>
      <c r="G559">
        <f t="shared" si="134"/>
        <v>4576.92</v>
      </c>
      <c r="H559">
        <f t="shared" si="135"/>
        <v>5322</v>
      </c>
      <c r="I559">
        <f t="shared" si="142"/>
        <v>0</v>
      </c>
      <c r="J559">
        <f t="shared" si="136"/>
        <v>0</v>
      </c>
      <c r="K559" s="7">
        <f t="shared" si="143"/>
        <v>45893</v>
      </c>
      <c r="L559" s="7">
        <f t="shared" si="137"/>
        <v>45863</v>
      </c>
      <c r="M559">
        <f t="shared" si="138"/>
        <v>7</v>
      </c>
      <c r="N559">
        <f t="shared" si="139"/>
        <v>2025</v>
      </c>
      <c r="Q559" s="22">
        <v>780</v>
      </c>
      <c r="R559" s="22">
        <v>7927.78</v>
      </c>
      <c r="S559" s="22" t="str">
        <f t="shared" si="144"/>
        <v>USD</v>
      </c>
      <c r="T559" s="22">
        <f t="shared" si="145"/>
        <v>7927.78</v>
      </c>
      <c r="U559" s="28">
        <v>400</v>
      </c>
      <c r="W559" s="9">
        <v>394</v>
      </c>
      <c r="X559" s="9" t="s">
        <v>29</v>
      </c>
      <c r="AF559">
        <v>583</v>
      </c>
      <c r="AG559" t="s">
        <v>27</v>
      </c>
      <c r="AH559">
        <v>13550</v>
      </c>
      <c r="AI559" s="7">
        <v>45874</v>
      </c>
    </row>
    <row r="560" spans="1:35">
      <c r="A560">
        <v>604</v>
      </c>
      <c r="B560" t="str">
        <f t="shared" si="140"/>
        <v>EUR</v>
      </c>
      <c r="C560">
        <f t="shared" si="141"/>
        <v>0</v>
      </c>
      <c r="D560">
        <f t="shared" si="132"/>
        <v>0</v>
      </c>
      <c r="E560">
        <f t="shared" si="133"/>
        <v>0</v>
      </c>
      <c r="F560">
        <v>2020.5</v>
      </c>
      <c r="G560">
        <f t="shared" si="134"/>
        <v>2020.5</v>
      </c>
      <c r="H560">
        <f t="shared" si="135"/>
        <v>2343.7799999999997</v>
      </c>
      <c r="I560">
        <f t="shared" si="142"/>
        <v>0</v>
      </c>
      <c r="J560">
        <f t="shared" si="136"/>
        <v>0</v>
      </c>
      <c r="K560" s="7">
        <f t="shared" si="143"/>
        <v>45878</v>
      </c>
      <c r="L560" s="7">
        <f t="shared" si="137"/>
        <v>45848</v>
      </c>
      <c r="M560">
        <f t="shared" si="138"/>
        <v>7</v>
      </c>
      <c r="N560">
        <f t="shared" si="139"/>
        <v>2025</v>
      </c>
      <c r="Q560" s="22">
        <v>781</v>
      </c>
      <c r="R560" s="22">
        <v>8424</v>
      </c>
      <c r="S560" s="22" t="str">
        <f t="shared" si="144"/>
        <v>USD</v>
      </c>
      <c r="T560" s="22">
        <f t="shared" si="145"/>
        <v>8424</v>
      </c>
      <c r="U560" s="28">
        <v>400</v>
      </c>
      <c r="W560" s="9">
        <v>394</v>
      </c>
      <c r="X560" s="9" t="s">
        <v>29</v>
      </c>
      <c r="AF560">
        <v>585</v>
      </c>
      <c r="AG560" t="s">
        <v>28</v>
      </c>
      <c r="AH560">
        <v>172403.15</v>
      </c>
      <c r="AI560" s="7">
        <v>45899</v>
      </c>
    </row>
    <row r="561" spans="1:35">
      <c r="A561">
        <v>605</v>
      </c>
      <c r="B561" t="str">
        <f t="shared" si="140"/>
        <v>USD</v>
      </c>
      <c r="C561">
        <f t="shared" si="141"/>
        <v>0</v>
      </c>
      <c r="D561">
        <f t="shared" si="132"/>
        <v>0</v>
      </c>
      <c r="E561">
        <f t="shared" si="133"/>
        <v>0</v>
      </c>
      <c r="F561">
        <v>4226</v>
      </c>
      <c r="G561">
        <f t="shared" si="134"/>
        <v>3634.36</v>
      </c>
      <c r="H561">
        <f t="shared" si="135"/>
        <v>4226</v>
      </c>
      <c r="I561">
        <f t="shared" si="142"/>
        <v>0</v>
      </c>
      <c r="J561">
        <f t="shared" si="136"/>
        <v>0</v>
      </c>
      <c r="K561" s="7">
        <f t="shared" si="143"/>
        <v>45925</v>
      </c>
      <c r="L561" s="7">
        <f t="shared" si="137"/>
        <v>45895</v>
      </c>
      <c r="M561">
        <f t="shared" si="138"/>
        <v>8</v>
      </c>
      <c r="N561">
        <f t="shared" si="139"/>
        <v>2025</v>
      </c>
      <c r="Q561" s="22">
        <v>782</v>
      </c>
      <c r="R561" s="22">
        <v>35977.03</v>
      </c>
      <c r="S561" s="22" t="str">
        <f t="shared" si="144"/>
        <v>USD</v>
      </c>
      <c r="T561" s="22">
        <f t="shared" si="145"/>
        <v>35977.03</v>
      </c>
      <c r="U561" s="28">
        <v>400</v>
      </c>
      <c r="W561" s="9">
        <v>394</v>
      </c>
      <c r="X561" s="9" t="s">
        <v>29</v>
      </c>
      <c r="AF561">
        <v>586</v>
      </c>
      <c r="AG561" t="s">
        <v>29</v>
      </c>
      <c r="AH561">
        <v>3217.4</v>
      </c>
      <c r="AI561" s="7">
        <v>45894</v>
      </c>
    </row>
    <row r="562" spans="1:35">
      <c r="A562">
        <v>607</v>
      </c>
      <c r="B562" t="str">
        <f t="shared" si="140"/>
        <v>EUR</v>
      </c>
      <c r="C562">
        <f t="shared" si="141"/>
        <v>0</v>
      </c>
      <c r="D562">
        <f t="shared" si="132"/>
        <v>0</v>
      </c>
      <c r="E562">
        <f t="shared" si="133"/>
        <v>0</v>
      </c>
      <c r="F562">
        <v>9570</v>
      </c>
      <c r="G562">
        <f t="shared" si="134"/>
        <v>9570</v>
      </c>
      <c r="H562">
        <f t="shared" si="135"/>
        <v>11101.199999999999</v>
      </c>
      <c r="I562">
        <f t="shared" si="142"/>
        <v>0</v>
      </c>
      <c r="J562">
        <f t="shared" si="136"/>
        <v>0</v>
      </c>
      <c r="K562" s="7">
        <f t="shared" si="143"/>
        <v>45869</v>
      </c>
      <c r="L562" s="7">
        <f t="shared" si="137"/>
        <v>45839</v>
      </c>
      <c r="M562">
        <f t="shared" si="138"/>
        <v>7</v>
      </c>
      <c r="N562">
        <f t="shared" si="139"/>
        <v>2025</v>
      </c>
      <c r="Q562" s="22">
        <v>783</v>
      </c>
      <c r="R562" s="22">
        <v>3925</v>
      </c>
      <c r="S562" s="22" t="str">
        <f t="shared" si="144"/>
        <v>GBP</v>
      </c>
      <c r="T562" s="22">
        <f t="shared" si="145"/>
        <v>5259.5</v>
      </c>
      <c r="U562" s="28">
        <v>400</v>
      </c>
      <c r="W562" s="9">
        <v>394</v>
      </c>
      <c r="X562" s="9" t="s">
        <v>29</v>
      </c>
      <c r="AF562">
        <v>587</v>
      </c>
      <c r="AG562" t="s">
        <v>29</v>
      </c>
      <c r="AH562">
        <v>1971.8</v>
      </c>
      <c r="AI562" s="7">
        <v>45891</v>
      </c>
    </row>
    <row r="563" spans="1:35">
      <c r="A563">
        <v>608</v>
      </c>
      <c r="B563" t="str">
        <f t="shared" si="140"/>
        <v>EUR</v>
      </c>
      <c r="C563">
        <f t="shared" si="141"/>
        <v>0</v>
      </c>
      <c r="D563">
        <f t="shared" si="132"/>
        <v>0</v>
      </c>
      <c r="E563">
        <f t="shared" si="133"/>
        <v>0</v>
      </c>
      <c r="F563">
        <v>7395</v>
      </c>
      <c r="G563">
        <f t="shared" si="134"/>
        <v>7395</v>
      </c>
      <c r="H563">
        <f t="shared" si="135"/>
        <v>8578.1999999999989</v>
      </c>
      <c r="I563">
        <f t="shared" si="142"/>
        <v>0</v>
      </c>
      <c r="J563">
        <f t="shared" si="136"/>
        <v>0</v>
      </c>
      <c r="K563" s="7">
        <f t="shared" si="143"/>
        <v>45907</v>
      </c>
      <c r="L563" s="7">
        <f t="shared" si="137"/>
        <v>45877</v>
      </c>
      <c r="M563">
        <f t="shared" si="138"/>
        <v>8</v>
      </c>
      <c r="N563">
        <f t="shared" si="139"/>
        <v>2025</v>
      </c>
      <c r="Q563" s="22">
        <v>784</v>
      </c>
      <c r="R563" s="22">
        <v>1413.59</v>
      </c>
      <c r="S563" s="22" t="str">
        <f t="shared" si="144"/>
        <v>EUR</v>
      </c>
      <c r="T563" s="22">
        <f t="shared" si="145"/>
        <v>1639.7643999999998</v>
      </c>
      <c r="U563" s="28">
        <v>400</v>
      </c>
      <c r="W563" s="9">
        <v>394</v>
      </c>
      <c r="X563" s="9" t="s">
        <v>29</v>
      </c>
      <c r="AF563">
        <v>588</v>
      </c>
      <c r="AG563" t="s">
        <v>27</v>
      </c>
      <c r="AH563">
        <v>1299</v>
      </c>
      <c r="AI563" s="7">
        <v>45911</v>
      </c>
    </row>
    <row r="564" spans="1:35">
      <c r="A564">
        <v>609</v>
      </c>
      <c r="B564" t="str">
        <f t="shared" si="140"/>
        <v>USD</v>
      </c>
      <c r="C564">
        <f t="shared" si="141"/>
        <v>249.99999999999272</v>
      </c>
      <c r="D564">
        <f t="shared" si="132"/>
        <v>214.99999999999375</v>
      </c>
      <c r="E564">
        <f t="shared" si="133"/>
        <v>249.99999999999272</v>
      </c>
      <c r="F564">
        <v>35054.28</v>
      </c>
      <c r="G564">
        <f t="shared" si="134"/>
        <v>30146.680799999998</v>
      </c>
      <c r="H564">
        <f t="shared" si="135"/>
        <v>35054.28</v>
      </c>
      <c r="I564">
        <f t="shared" si="142"/>
        <v>65</v>
      </c>
      <c r="J564">
        <f t="shared" si="136"/>
        <v>65</v>
      </c>
      <c r="K564" s="7">
        <f t="shared" si="143"/>
        <v>45889</v>
      </c>
      <c r="L564" s="7">
        <f t="shared" si="137"/>
        <v>45859</v>
      </c>
      <c r="M564">
        <f t="shared" si="138"/>
        <v>7</v>
      </c>
      <c r="N564">
        <f t="shared" si="139"/>
        <v>2025</v>
      </c>
      <c r="Q564" s="22">
        <v>787</v>
      </c>
      <c r="R564" s="22">
        <v>9224.880000000001</v>
      </c>
      <c r="S564" s="22" t="str">
        <f t="shared" si="144"/>
        <v>USD</v>
      </c>
      <c r="T564" s="22">
        <f t="shared" si="145"/>
        <v>9224.880000000001</v>
      </c>
      <c r="U564" s="28">
        <v>400</v>
      </c>
      <c r="W564" s="9">
        <v>394</v>
      </c>
      <c r="X564" s="9" t="s">
        <v>29</v>
      </c>
      <c r="AF564">
        <v>589</v>
      </c>
      <c r="AG564" t="s">
        <v>32</v>
      </c>
      <c r="AH564">
        <v>1500</v>
      </c>
      <c r="AI564" s="7">
        <v>45887</v>
      </c>
    </row>
    <row r="565" spans="1:35">
      <c r="A565">
        <v>610</v>
      </c>
      <c r="B565" t="str">
        <f t="shared" si="140"/>
        <v>USD</v>
      </c>
      <c r="C565">
        <f t="shared" si="141"/>
        <v>70</v>
      </c>
      <c r="D565">
        <f t="shared" si="132"/>
        <v>60.199999999999996</v>
      </c>
      <c r="E565">
        <f t="shared" si="133"/>
        <v>70</v>
      </c>
      <c r="F565">
        <v>8958</v>
      </c>
      <c r="G565">
        <f t="shared" si="134"/>
        <v>7703.88</v>
      </c>
      <c r="H565">
        <f t="shared" si="135"/>
        <v>8958</v>
      </c>
      <c r="I565">
        <f t="shared" si="142"/>
        <v>0</v>
      </c>
      <c r="J565">
        <f t="shared" si="136"/>
        <v>0</v>
      </c>
      <c r="K565" s="7">
        <f t="shared" si="143"/>
        <v>45928</v>
      </c>
      <c r="L565" s="7">
        <f t="shared" si="137"/>
        <v>45898</v>
      </c>
      <c r="M565">
        <f t="shared" si="138"/>
        <v>8</v>
      </c>
      <c r="N565">
        <f t="shared" si="139"/>
        <v>2025</v>
      </c>
      <c r="Q565" s="22">
        <v>789</v>
      </c>
      <c r="R565" s="22">
        <v>7019.78</v>
      </c>
      <c r="S565" s="22" t="str">
        <f t="shared" si="144"/>
        <v>USD</v>
      </c>
      <c r="T565" s="22">
        <f t="shared" si="145"/>
        <v>7019.78</v>
      </c>
      <c r="U565" s="28">
        <v>400</v>
      </c>
      <c r="W565" s="9">
        <v>395</v>
      </c>
      <c r="X565" s="9" t="s">
        <v>29</v>
      </c>
      <c r="AF565">
        <v>590</v>
      </c>
      <c r="AG565" t="s">
        <v>29</v>
      </c>
      <c r="AH565">
        <v>3097.62</v>
      </c>
      <c r="AI565" s="7">
        <v>45842</v>
      </c>
    </row>
    <row r="566" spans="1:35">
      <c r="A566">
        <v>613</v>
      </c>
      <c r="B566" t="str">
        <f t="shared" si="140"/>
        <v>USD</v>
      </c>
      <c r="C566">
        <f t="shared" si="141"/>
        <v>0</v>
      </c>
      <c r="D566">
        <f t="shared" si="132"/>
        <v>0</v>
      </c>
      <c r="E566">
        <f t="shared" si="133"/>
        <v>0</v>
      </c>
      <c r="F566">
        <v>18638.25</v>
      </c>
      <c r="G566">
        <f t="shared" si="134"/>
        <v>16028.895</v>
      </c>
      <c r="H566">
        <f t="shared" si="135"/>
        <v>18638.25</v>
      </c>
      <c r="I566">
        <f t="shared" si="142"/>
        <v>0</v>
      </c>
      <c r="J566">
        <f t="shared" si="136"/>
        <v>0</v>
      </c>
      <c r="K566" s="7">
        <f t="shared" si="143"/>
        <v>45952</v>
      </c>
      <c r="L566" s="7">
        <f t="shared" si="137"/>
        <v>45922</v>
      </c>
      <c r="M566">
        <f t="shared" si="138"/>
        <v>9</v>
      </c>
      <c r="N566">
        <f t="shared" si="139"/>
        <v>2025</v>
      </c>
      <c r="Q566" s="22">
        <v>790</v>
      </c>
      <c r="R566" s="22">
        <v>4940.1000000000004</v>
      </c>
      <c r="S566" s="22" t="str">
        <f t="shared" si="144"/>
        <v>USD</v>
      </c>
      <c r="T566" s="22">
        <f t="shared" si="145"/>
        <v>4940.1000000000004</v>
      </c>
      <c r="U566" s="28">
        <v>400</v>
      </c>
      <c r="W566" s="9">
        <v>395</v>
      </c>
      <c r="X566" s="9" t="s">
        <v>29</v>
      </c>
      <c r="AF566">
        <v>591</v>
      </c>
      <c r="AG566" t="s">
        <v>29</v>
      </c>
      <c r="AH566">
        <v>4711.78</v>
      </c>
      <c r="AI566" s="7">
        <v>45845</v>
      </c>
    </row>
    <row r="567" spans="1:35">
      <c r="A567">
        <v>614</v>
      </c>
      <c r="B567" t="str">
        <f t="shared" si="140"/>
        <v>USD</v>
      </c>
      <c r="C567">
        <f t="shared" si="141"/>
        <v>12500</v>
      </c>
      <c r="D567">
        <f t="shared" si="132"/>
        <v>10750</v>
      </c>
      <c r="E567">
        <f t="shared" si="133"/>
        <v>12500</v>
      </c>
      <c r="F567">
        <v>12500</v>
      </c>
      <c r="G567">
        <f t="shared" si="134"/>
        <v>10750</v>
      </c>
      <c r="H567">
        <f t="shared" si="135"/>
        <v>12500</v>
      </c>
      <c r="I567">
        <f t="shared" si="142"/>
        <v>0</v>
      </c>
      <c r="J567">
        <f t="shared" si="136"/>
        <v>0</v>
      </c>
      <c r="K567" s="7">
        <f t="shared" si="143"/>
        <v>45918</v>
      </c>
      <c r="L567" s="7">
        <f t="shared" si="137"/>
        <v>45888</v>
      </c>
      <c r="M567">
        <f t="shared" si="138"/>
        <v>8</v>
      </c>
      <c r="N567">
        <f t="shared" si="139"/>
        <v>2025</v>
      </c>
      <c r="Q567" s="22">
        <v>791</v>
      </c>
      <c r="R567" s="22">
        <v>1982.72</v>
      </c>
      <c r="S567" s="22" t="str">
        <f t="shared" si="144"/>
        <v>EUR</v>
      </c>
      <c r="T567" s="22">
        <f t="shared" si="145"/>
        <v>2299.9551999999999</v>
      </c>
      <c r="U567" s="28">
        <v>400</v>
      </c>
      <c r="W567" s="9">
        <v>395</v>
      </c>
      <c r="X567" s="9" t="s">
        <v>29</v>
      </c>
      <c r="AF567">
        <v>592</v>
      </c>
      <c r="AG567" t="s">
        <v>29</v>
      </c>
      <c r="AH567">
        <v>2528.67</v>
      </c>
      <c r="AI567" s="7">
        <v>45900</v>
      </c>
    </row>
    <row r="568" spans="1:35">
      <c r="A568">
        <v>615</v>
      </c>
      <c r="B568" t="str">
        <f t="shared" si="140"/>
        <v>EUR</v>
      </c>
      <c r="C568">
        <f t="shared" si="141"/>
        <v>0</v>
      </c>
      <c r="D568">
        <f t="shared" si="132"/>
        <v>0</v>
      </c>
      <c r="E568">
        <f t="shared" si="133"/>
        <v>0</v>
      </c>
      <c r="F568">
        <v>7230</v>
      </c>
      <c r="G568">
        <f t="shared" si="134"/>
        <v>7230</v>
      </c>
      <c r="H568">
        <f t="shared" si="135"/>
        <v>8386.7999999999993</v>
      </c>
      <c r="I568">
        <f t="shared" si="142"/>
        <v>0</v>
      </c>
      <c r="J568">
        <f t="shared" si="136"/>
        <v>0</v>
      </c>
      <c r="K568" s="7">
        <f t="shared" si="143"/>
        <v>45930</v>
      </c>
      <c r="L568" s="7">
        <f t="shared" si="137"/>
        <v>45900</v>
      </c>
      <c r="M568">
        <f t="shared" si="138"/>
        <v>8</v>
      </c>
      <c r="N568">
        <f t="shared" si="139"/>
        <v>2025</v>
      </c>
      <c r="Q568" s="22">
        <v>792</v>
      </c>
      <c r="R568" s="22">
        <v>930</v>
      </c>
      <c r="S568" s="22" t="str">
        <f t="shared" si="144"/>
        <v>GBP</v>
      </c>
      <c r="T568" s="22">
        <f t="shared" si="145"/>
        <v>1246.2</v>
      </c>
      <c r="U568" s="28">
        <v>400</v>
      </c>
      <c r="W568" s="9">
        <v>395</v>
      </c>
      <c r="X568" s="9" t="s">
        <v>29</v>
      </c>
      <c r="AF568">
        <v>593</v>
      </c>
      <c r="AG568" t="s">
        <v>29</v>
      </c>
      <c r="AH568">
        <v>1877</v>
      </c>
      <c r="AI568" s="7">
        <v>45868</v>
      </c>
    </row>
    <row r="569" spans="1:35">
      <c r="A569">
        <v>616</v>
      </c>
      <c r="B569" t="str">
        <f t="shared" si="140"/>
        <v>CHF</v>
      </c>
      <c r="C569">
        <f t="shared" si="141"/>
        <v>0</v>
      </c>
      <c r="D569">
        <f t="shared" si="132"/>
        <v>0</v>
      </c>
      <c r="E569">
        <f t="shared" si="133"/>
        <v>0</v>
      </c>
      <c r="F569">
        <v>4752</v>
      </c>
      <c r="G569">
        <f t="shared" si="134"/>
        <v>5084.6400000000003</v>
      </c>
      <c r="H569">
        <f t="shared" si="135"/>
        <v>5940</v>
      </c>
      <c r="I569">
        <f t="shared" si="142"/>
        <v>0</v>
      </c>
      <c r="J569">
        <f t="shared" si="136"/>
        <v>0</v>
      </c>
      <c r="K569" s="7">
        <f t="shared" si="143"/>
        <v>45870</v>
      </c>
      <c r="L569" s="7">
        <f t="shared" si="137"/>
        <v>45840</v>
      </c>
      <c r="M569">
        <f t="shared" si="138"/>
        <v>7</v>
      </c>
      <c r="N569">
        <f t="shared" si="139"/>
        <v>2025</v>
      </c>
      <c r="Q569" s="22">
        <v>793</v>
      </c>
      <c r="R569" s="22">
        <v>4474</v>
      </c>
      <c r="S569" s="22" t="str">
        <f t="shared" si="144"/>
        <v>EUR</v>
      </c>
      <c r="T569" s="22">
        <f t="shared" si="145"/>
        <v>5189.8399999999992</v>
      </c>
      <c r="U569" s="28">
        <v>400</v>
      </c>
      <c r="W569" s="9">
        <v>396</v>
      </c>
      <c r="X569" s="9" t="s">
        <v>29</v>
      </c>
      <c r="AF569">
        <v>594</v>
      </c>
      <c r="AG569" t="s">
        <v>32</v>
      </c>
      <c r="AH569">
        <v>11502.66</v>
      </c>
      <c r="AI569" s="7">
        <v>45893</v>
      </c>
    </row>
    <row r="570" spans="1:35">
      <c r="A570">
        <v>617</v>
      </c>
      <c r="B570" t="str">
        <f t="shared" si="140"/>
        <v>USD</v>
      </c>
      <c r="C570">
        <f t="shared" si="141"/>
        <v>1890.0000000000009</v>
      </c>
      <c r="D570">
        <f t="shared" si="132"/>
        <v>1625.4000000000008</v>
      </c>
      <c r="E570">
        <f t="shared" si="133"/>
        <v>1890.0000000000009</v>
      </c>
      <c r="F570">
        <v>7061.39</v>
      </c>
      <c r="G570">
        <f t="shared" si="134"/>
        <v>6072.7954</v>
      </c>
      <c r="H570">
        <f t="shared" si="135"/>
        <v>7061.39</v>
      </c>
      <c r="I570">
        <f t="shared" si="142"/>
        <v>0</v>
      </c>
      <c r="J570">
        <f t="shared" si="136"/>
        <v>0</v>
      </c>
      <c r="K570" s="7">
        <f t="shared" si="143"/>
        <v>45914</v>
      </c>
      <c r="L570" s="7">
        <f t="shared" si="137"/>
        <v>45884</v>
      </c>
      <c r="M570">
        <f t="shared" si="138"/>
        <v>8</v>
      </c>
      <c r="N570">
        <f t="shared" si="139"/>
        <v>2025</v>
      </c>
      <c r="Q570" s="22">
        <v>795</v>
      </c>
      <c r="R570" s="22">
        <v>11980.26</v>
      </c>
      <c r="S570" s="22" t="str">
        <f t="shared" si="144"/>
        <v>USD</v>
      </c>
      <c r="T570" s="22">
        <f t="shared" si="145"/>
        <v>11980.26</v>
      </c>
      <c r="U570" s="28">
        <v>400</v>
      </c>
      <c r="W570" s="9">
        <v>396</v>
      </c>
      <c r="X570" s="9" t="s">
        <v>29</v>
      </c>
      <c r="AF570">
        <v>595</v>
      </c>
      <c r="AG570" t="s">
        <v>27</v>
      </c>
      <c r="AH570">
        <v>17817.63</v>
      </c>
      <c r="AI570" s="7">
        <v>45907</v>
      </c>
    </row>
    <row r="571" spans="1:35">
      <c r="A571">
        <v>618</v>
      </c>
      <c r="B571" t="str">
        <f t="shared" si="140"/>
        <v>EUR</v>
      </c>
      <c r="C571">
        <f t="shared" si="141"/>
        <v>0</v>
      </c>
      <c r="D571">
        <f t="shared" si="132"/>
        <v>0</v>
      </c>
      <c r="E571">
        <f t="shared" si="133"/>
        <v>0</v>
      </c>
      <c r="F571">
        <v>1920</v>
      </c>
      <c r="G571">
        <f t="shared" si="134"/>
        <v>1920</v>
      </c>
      <c r="H571">
        <f t="shared" si="135"/>
        <v>2227.1999999999998</v>
      </c>
      <c r="I571">
        <f t="shared" si="142"/>
        <v>0</v>
      </c>
      <c r="J571">
        <f t="shared" si="136"/>
        <v>0</v>
      </c>
      <c r="K571" s="7">
        <f t="shared" si="143"/>
        <v>45897</v>
      </c>
      <c r="L571" s="7">
        <f t="shared" si="137"/>
        <v>45867</v>
      </c>
      <c r="M571">
        <f t="shared" si="138"/>
        <v>7</v>
      </c>
      <c r="N571">
        <f t="shared" si="139"/>
        <v>2025</v>
      </c>
      <c r="Q571" s="22">
        <v>797</v>
      </c>
      <c r="R571" s="22">
        <v>2383.44</v>
      </c>
      <c r="S571" s="22" t="str">
        <f t="shared" si="144"/>
        <v>USD</v>
      </c>
      <c r="T571" s="22">
        <f t="shared" si="145"/>
        <v>2383.44</v>
      </c>
      <c r="U571" s="28">
        <v>400</v>
      </c>
      <c r="W571" s="9">
        <v>398</v>
      </c>
      <c r="X571" s="9" t="s">
        <v>27</v>
      </c>
      <c r="AF571">
        <v>596</v>
      </c>
      <c r="AG571" t="s">
        <v>29</v>
      </c>
      <c r="AH571">
        <v>268000.69</v>
      </c>
      <c r="AI571" s="7">
        <v>45915</v>
      </c>
    </row>
    <row r="572" spans="1:35">
      <c r="A572">
        <v>621</v>
      </c>
      <c r="B572" t="str">
        <f t="shared" si="140"/>
        <v>MXN</v>
      </c>
      <c r="C572">
        <f t="shared" si="141"/>
        <v>69666</v>
      </c>
      <c r="D572">
        <f t="shared" si="132"/>
        <v>3343.9679999999998</v>
      </c>
      <c r="E572">
        <f t="shared" si="133"/>
        <v>3901.2960000000003</v>
      </c>
      <c r="F572">
        <v>69666</v>
      </c>
      <c r="G572">
        <f t="shared" si="134"/>
        <v>3343.9679999999998</v>
      </c>
      <c r="H572">
        <f t="shared" si="135"/>
        <v>3901.2960000000003</v>
      </c>
      <c r="I572">
        <f t="shared" si="142"/>
        <v>0</v>
      </c>
      <c r="J572">
        <f t="shared" si="136"/>
        <v>0</v>
      </c>
      <c r="K572" s="7">
        <f t="shared" si="143"/>
        <v>45896</v>
      </c>
      <c r="L572" s="7">
        <f t="shared" si="137"/>
        <v>45866</v>
      </c>
      <c r="M572">
        <f t="shared" si="138"/>
        <v>7</v>
      </c>
      <c r="N572">
        <f t="shared" si="139"/>
        <v>2025</v>
      </c>
      <c r="Q572" s="22">
        <v>798</v>
      </c>
      <c r="R572" s="22">
        <v>5300</v>
      </c>
      <c r="S572" s="22" t="str">
        <f t="shared" si="144"/>
        <v>USD</v>
      </c>
      <c r="T572" s="22">
        <f t="shared" si="145"/>
        <v>5300</v>
      </c>
      <c r="U572" s="28">
        <v>400</v>
      </c>
      <c r="W572" s="9">
        <v>398</v>
      </c>
      <c r="X572" s="9" t="s">
        <v>27</v>
      </c>
      <c r="AF572">
        <v>597</v>
      </c>
      <c r="AG572" t="s">
        <v>29</v>
      </c>
      <c r="AH572">
        <v>406684.93</v>
      </c>
      <c r="AI572" s="7">
        <v>46054</v>
      </c>
    </row>
    <row r="573" spans="1:35">
      <c r="A573">
        <v>622</v>
      </c>
      <c r="B573" t="str">
        <f t="shared" si="140"/>
        <v>EUR</v>
      </c>
      <c r="C573">
        <f t="shared" si="141"/>
        <v>0</v>
      </c>
      <c r="D573">
        <f t="shared" si="132"/>
        <v>0</v>
      </c>
      <c r="E573">
        <f t="shared" si="133"/>
        <v>0</v>
      </c>
      <c r="F573">
        <v>3010</v>
      </c>
      <c r="G573">
        <f t="shared" si="134"/>
        <v>3010</v>
      </c>
      <c r="H573">
        <f t="shared" si="135"/>
        <v>3491.6</v>
      </c>
      <c r="I573">
        <f t="shared" si="142"/>
        <v>0</v>
      </c>
      <c r="J573">
        <f t="shared" si="136"/>
        <v>0</v>
      </c>
      <c r="K573" s="7">
        <f t="shared" si="143"/>
        <v>45928</v>
      </c>
      <c r="L573" s="7">
        <f t="shared" si="137"/>
        <v>45898</v>
      </c>
      <c r="M573">
        <f t="shared" si="138"/>
        <v>8</v>
      </c>
      <c r="N573">
        <f t="shared" si="139"/>
        <v>2025</v>
      </c>
      <c r="Q573" s="22">
        <v>799</v>
      </c>
      <c r="R573" s="22">
        <v>2233369</v>
      </c>
      <c r="S573" s="22" t="str">
        <f t="shared" si="144"/>
        <v>JPY</v>
      </c>
      <c r="T573" s="22">
        <f t="shared" si="145"/>
        <v>14293.561600000001</v>
      </c>
      <c r="U573" s="28">
        <v>400</v>
      </c>
      <c r="W573" s="9">
        <v>398</v>
      </c>
      <c r="X573" s="9" t="s">
        <v>27</v>
      </c>
      <c r="AF573">
        <v>598</v>
      </c>
      <c r="AG573" t="s">
        <v>27</v>
      </c>
      <c r="AH573">
        <v>2856</v>
      </c>
      <c r="AI573" s="7">
        <v>45876</v>
      </c>
    </row>
    <row r="574" spans="1:35">
      <c r="A574">
        <v>624</v>
      </c>
      <c r="B574" t="str">
        <f t="shared" si="140"/>
        <v>USD</v>
      </c>
      <c r="C574">
        <f t="shared" si="141"/>
        <v>0</v>
      </c>
      <c r="D574">
        <f t="shared" si="132"/>
        <v>0</v>
      </c>
      <c r="E574">
        <f t="shared" si="133"/>
        <v>0</v>
      </c>
      <c r="F574">
        <v>7360.8</v>
      </c>
      <c r="G574">
        <f t="shared" si="134"/>
        <v>6330.2880000000005</v>
      </c>
      <c r="H574">
        <f t="shared" si="135"/>
        <v>7360.8</v>
      </c>
      <c r="I574">
        <f t="shared" si="142"/>
        <v>0</v>
      </c>
      <c r="J574">
        <f t="shared" si="136"/>
        <v>0</v>
      </c>
      <c r="K574" s="7">
        <f t="shared" si="143"/>
        <v>45843</v>
      </c>
      <c r="L574" s="7">
        <f t="shared" si="137"/>
        <v>45813</v>
      </c>
      <c r="M574">
        <f t="shared" si="138"/>
        <v>6</v>
      </c>
      <c r="N574">
        <f t="shared" si="139"/>
        <v>2025</v>
      </c>
      <c r="Q574" s="22">
        <v>802</v>
      </c>
      <c r="R574" s="22">
        <v>858.4</v>
      </c>
      <c r="S574" s="22" t="str">
        <f t="shared" si="144"/>
        <v>USD</v>
      </c>
      <c r="T574" s="22">
        <f t="shared" si="145"/>
        <v>858.4</v>
      </c>
      <c r="U574" s="28">
        <v>400</v>
      </c>
      <c r="W574" s="9">
        <v>398</v>
      </c>
      <c r="X574" s="9" t="s">
        <v>27</v>
      </c>
      <c r="AF574">
        <v>600</v>
      </c>
      <c r="AG574" t="s">
        <v>29</v>
      </c>
      <c r="AH574">
        <v>1796.16</v>
      </c>
      <c r="AI574" s="7">
        <v>45939</v>
      </c>
    </row>
    <row r="575" spans="1:35">
      <c r="A575">
        <v>625</v>
      </c>
      <c r="B575" t="str">
        <f t="shared" si="140"/>
        <v>JPY</v>
      </c>
      <c r="C575">
        <f t="shared" si="141"/>
        <v>0</v>
      </c>
      <c r="D575">
        <f t="shared" si="132"/>
        <v>0</v>
      </c>
      <c r="E575">
        <f t="shared" si="133"/>
        <v>0</v>
      </c>
      <c r="F575">
        <v>379735</v>
      </c>
      <c r="G575">
        <f t="shared" si="134"/>
        <v>2088.5425</v>
      </c>
      <c r="H575">
        <f t="shared" si="135"/>
        <v>2430.3040000000001</v>
      </c>
      <c r="I575">
        <f t="shared" si="142"/>
        <v>0</v>
      </c>
      <c r="J575">
        <f t="shared" si="136"/>
        <v>0</v>
      </c>
      <c r="K575" s="7">
        <f t="shared" si="143"/>
        <v>45960</v>
      </c>
      <c r="L575" s="7">
        <f t="shared" si="137"/>
        <v>45930</v>
      </c>
      <c r="M575">
        <f t="shared" si="138"/>
        <v>9</v>
      </c>
      <c r="N575">
        <f t="shared" si="139"/>
        <v>2025</v>
      </c>
      <c r="Q575" s="22">
        <v>803</v>
      </c>
      <c r="R575" s="22">
        <v>10075</v>
      </c>
      <c r="S575" s="22" t="str">
        <f t="shared" si="144"/>
        <v>MXN</v>
      </c>
      <c r="T575" s="22">
        <f t="shared" si="145"/>
        <v>564.20000000000005</v>
      </c>
      <c r="U575" s="28">
        <v>400</v>
      </c>
      <c r="W575" s="9">
        <v>398</v>
      </c>
      <c r="X575" s="9" t="s">
        <v>27</v>
      </c>
      <c r="AF575">
        <v>601</v>
      </c>
      <c r="AG575" t="s">
        <v>30</v>
      </c>
      <c r="AH575">
        <v>6150</v>
      </c>
      <c r="AI575" s="7">
        <v>45896</v>
      </c>
    </row>
    <row r="576" spans="1:35">
      <c r="A576">
        <v>626</v>
      </c>
      <c r="B576" t="str">
        <f t="shared" si="140"/>
        <v>JPY</v>
      </c>
      <c r="C576">
        <f t="shared" si="141"/>
        <v>3502289.86</v>
      </c>
      <c r="D576">
        <f t="shared" si="132"/>
        <v>19262.594229999999</v>
      </c>
      <c r="E576">
        <f t="shared" si="133"/>
        <v>22414.655104000001</v>
      </c>
      <c r="F576">
        <v>3851364.86</v>
      </c>
      <c r="G576">
        <f t="shared" si="134"/>
        <v>21182.506729999997</v>
      </c>
      <c r="H576">
        <f t="shared" si="135"/>
        <v>24648.735103999999</v>
      </c>
      <c r="I576">
        <f t="shared" si="142"/>
        <v>0</v>
      </c>
      <c r="J576">
        <f t="shared" si="136"/>
        <v>0</v>
      </c>
      <c r="K576" s="7">
        <f t="shared" si="143"/>
        <v>45955</v>
      </c>
      <c r="L576" s="7">
        <f t="shared" si="137"/>
        <v>45925</v>
      </c>
      <c r="M576">
        <f t="shared" si="138"/>
        <v>9</v>
      </c>
      <c r="N576">
        <f t="shared" si="139"/>
        <v>2025</v>
      </c>
      <c r="Q576" s="22">
        <v>805</v>
      </c>
      <c r="R576" s="22">
        <v>1238.3</v>
      </c>
      <c r="S576" s="22" t="str">
        <f t="shared" si="144"/>
        <v>USD</v>
      </c>
      <c r="T576" s="22">
        <f t="shared" si="145"/>
        <v>1238.3</v>
      </c>
      <c r="U576" s="28">
        <v>400</v>
      </c>
      <c r="W576" s="9">
        <v>398</v>
      </c>
      <c r="X576" s="9" t="s">
        <v>27</v>
      </c>
      <c r="AF576">
        <v>602</v>
      </c>
      <c r="AG576" t="s">
        <v>27</v>
      </c>
      <c r="AH576">
        <v>4020</v>
      </c>
      <c r="AI576" s="7">
        <v>45910</v>
      </c>
    </row>
    <row r="577" spans="1:35">
      <c r="A577">
        <v>627</v>
      </c>
      <c r="B577" t="str">
        <f t="shared" si="140"/>
        <v>GPB</v>
      </c>
      <c r="C577">
        <f t="shared" si="141"/>
        <v>0</v>
      </c>
      <c r="D577">
        <f t="shared" ref="D577:D640" si="146">C577*_xlfn.XLOOKUP(B577,AM:AM,AN:AN)</f>
        <v>0</v>
      </c>
      <c r="E577">
        <f t="shared" ref="E577:E640" si="147">C577*_xlfn.XLOOKUP(B577,AM:AM,AO:AO)</f>
        <v>0</v>
      </c>
      <c r="F577">
        <v>1230.3</v>
      </c>
      <c r="G577">
        <f t="shared" ref="G577:G640" si="148">F577*_xlfn.XLOOKUP(B577,AM:AM,AN:AN)</f>
        <v>1414.8449999999998</v>
      </c>
      <c r="H577">
        <f t="shared" ref="H577:H640" si="149">F577*_xlfn.XLOOKUP(B577,AM:AM,AO:AO)</f>
        <v>1648.6020000000001</v>
      </c>
      <c r="I577">
        <f t="shared" si="142"/>
        <v>0</v>
      </c>
      <c r="J577">
        <f t="shared" ref="J577:J640" si="150">I577*_xlfn.XLOOKUP(B577,AM:AM,AO:AO)</f>
        <v>0</v>
      </c>
      <c r="K577" s="7">
        <f t="shared" si="143"/>
        <v>45928</v>
      </c>
      <c r="L577" s="7">
        <f t="shared" ref="L577:L640" si="151">K577-30</f>
        <v>45898</v>
      </c>
      <c r="M577">
        <f t="shared" ref="M577:M640" si="152">MONTH(L577)</f>
        <v>8</v>
      </c>
      <c r="N577">
        <f t="shared" ref="N577:N640" si="153">YEAR(L577)</f>
        <v>2025</v>
      </c>
      <c r="Q577" s="22">
        <v>806</v>
      </c>
      <c r="R577" s="22">
        <v>14262</v>
      </c>
      <c r="S577" s="22" t="str">
        <f t="shared" si="144"/>
        <v>USD</v>
      </c>
      <c r="T577" s="22">
        <f t="shared" si="145"/>
        <v>14262</v>
      </c>
      <c r="U577" s="28">
        <v>400</v>
      </c>
      <c r="W577" s="9">
        <v>399</v>
      </c>
      <c r="X577" s="9" t="s">
        <v>29</v>
      </c>
      <c r="AF577">
        <v>603</v>
      </c>
      <c r="AG577" t="s">
        <v>29</v>
      </c>
      <c r="AH577">
        <v>5322</v>
      </c>
      <c r="AI577" s="7">
        <v>45893</v>
      </c>
    </row>
    <row r="578" spans="1:35">
      <c r="A578">
        <v>628</v>
      </c>
      <c r="B578" t="str">
        <f t="shared" si="140"/>
        <v>USD</v>
      </c>
      <c r="C578">
        <f t="shared" si="141"/>
        <v>36815.090000000004</v>
      </c>
      <c r="D578">
        <f t="shared" si="146"/>
        <v>31660.977400000003</v>
      </c>
      <c r="E578">
        <f t="shared" si="147"/>
        <v>36815.090000000004</v>
      </c>
      <c r="F578">
        <v>421.57</v>
      </c>
      <c r="G578">
        <f t="shared" si="148"/>
        <v>362.55019999999996</v>
      </c>
      <c r="H578">
        <f t="shared" si="149"/>
        <v>421.57</v>
      </c>
      <c r="I578">
        <f t="shared" si="142"/>
        <v>34927.69</v>
      </c>
      <c r="J578">
        <f t="shared" si="150"/>
        <v>34927.69</v>
      </c>
      <c r="K578" s="7">
        <f t="shared" si="143"/>
        <v>45902</v>
      </c>
      <c r="L578" s="7">
        <f t="shared" si="151"/>
        <v>45872</v>
      </c>
      <c r="M578">
        <f t="shared" si="152"/>
        <v>8</v>
      </c>
      <c r="N578">
        <f t="shared" si="153"/>
        <v>2025</v>
      </c>
      <c r="Q578" s="22">
        <v>811</v>
      </c>
      <c r="R578" s="22">
        <v>3004.5200000000004</v>
      </c>
      <c r="S578" s="22" t="str">
        <f t="shared" si="144"/>
        <v>USD</v>
      </c>
      <c r="T578" s="22">
        <f t="shared" si="145"/>
        <v>3004.5200000000004</v>
      </c>
      <c r="U578" s="28">
        <v>400</v>
      </c>
      <c r="W578" s="9">
        <v>400</v>
      </c>
      <c r="X578" s="9" t="s">
        <v>29</v>
      </c>
      <c r="AF578">
        <v>604</v>
      </c>
      <c r="AG578" t="s">
        <v>27</v>
      </c>
      <c r="AH578">
        <v>2020.5</v>
      </c>
      <c r="AI578" s="7">
        <v>45878</v>
      </c>
    </row>
    <row r="579" spans="1:35">
      <c r="A579">
        <v>629</v>
      </c>
      <c r="B579" t="str">
        <f t="shared" ref="B579:B642" si="154">_xlfn.XLOOKUP(A579,AF:AF,AG:AG)</f>
        <v>USD</v>
      </c>
      <c r="C579">
        <f t="shared" ref="C579:C642" si="155">_xlfn.XLOOKUP(A579,AF:AF,AH:AH)-_xlfn.XLOOKUP(A579,Q:Q,R:R,"0")</f>
        <v>280</v>
      </c>
      <c r="D579">
        <f t="shared" si="146"/>
        <v>240.79999999999998</v>
      </c>
      <c r="E579">
        <f t="shared" si="147"/>
        <v>280</v>
      </c>
      <c r="F579">
        <v>9216.83</v>
      </c>
      <c r="G579">
        <f t="shared" si="148"/>
        <v>7926.4737999999998</v>
      </c>
      <c r="H579">
        <f t="shared" si="149"/>
        <v>9216.83</v>
      </c>
      <c r="I579">
        <f t="shared" ref="I579:I642" si="156">C579-F579+_xlfn.XLOOKUP(A579,Q:Q,R:R,"0")-_xlfn.XLOOKUP(A579,Z:Z,AA:AA,"0")</f>
        <v>0</v>
      </c>
      <c r="J579">
        <f t="shared" si="150"/>
        <v>0</v>
      </c>
      <c r="K579" s="7">
        <f t="shared" ref="K579:K642" si="157">_xlfn.XLOOKUP(A579,AF:AF,AI:AI)</f>
        <v>45897</v>
      </c>
      <c r="L579" s="7">
        <f t="shared" si="151"/>
        <v>45867</v>
      </c>
      <c r="M579">
        <f t="shared" si="152"/>
        <v>7</v>
      </c>
      <c r="N579">
        <f t="shared" si="153"/>
        <v>2025</v>
      </c>
      <c r="Q579" s="22">
        <v>819</v>
      </c>
      <c r="R579" s="22">
        <v>2770.61</v>
      </c>
      <c r="S579" s="22" t="str">
        <f t="shared" ref="S579:S642" si="158">_xlfn.XLOOKUP(Q579,W:W,X:X)</f>
        <v>USD</v>
      </c>
      <c r="T579" s="22">
        <f t="shared" si="145"/>
        <v>2770.61</v>
      </c>
      <c r="U579" s="28">
        <v>400</v>
      </c>
      <c r="W579" s="9">
        <v>401</v>
      </c>
      <c r="X579" s="9" t="s">
        <v>29</v>
      </c>
      <c r="AF579">
        <v>605</v>
      </c>
      <c r="AG579" t="s">
        <v>29</v>
      </c>
      <c r="AH579">
        <v>4226</v>
      </c>
      <c r="AI579" s="7">
        <v>45925</v>
      </c>
    </row>
    <row r="580" spans="1:35">
      <c r="A580">
        <v>630</v>
      </c>
      <c r="B580" t="str">
        <f t="shared" si="154"/>
        <v>USD</v>
      </c>
      <c r="C580">
        <f t="shared" si="155"/>
        <v>41918.080000000002</v>
      </c>
      <c r="D580">
        <f t="shared" si="146"/>
        <v>36049.548800000004</v>
      </c>
      <c r="E580">
        <f t="shared" si="147"/>
        <v>41918.080000000002</v>
      </c>
      <c r="F580">
        <v>43656.639999999999</v>
      </c>
      <c r="G580">
        <f t="shared" si="148"/>
        <v>37544.710399999996</v>
      </c>
      <c r="H580">
        <f t="shared" si="149"/>
        <v>43656.639999999999</v>
      </c>
      <c r="I580">
        <f t="shared" si="156"/>
        <v>2.2737367544323206E-12</v>
      </c>
      <c r="J580">
        <f t="shared" si="150"/>
        <v>2.2737367544323206E-12</v>
      </c>
      <c r="K580" s="7">
        <f t="shared" si="157"/>
        <v>45660</v>
      </c>
      <c r="L580" s="7">
        <f t="shared" si="151"/>
        <v>45630</v>
      </c>
      <c r="M580">
        <f t="shared" si="152"/>
        <v>12</v>
      </c>
      <c r="N580">
        <f t="shared" si="153"/>
        <v>2024</v>
      </c>
      <c r="Q580" s="22">
        <v>820</v>
      </c>
      <c r="R580" s="22">
        <v>17919</v>
      </c>
      <c r="S580" s="22" t="str">
        <f t="shared" si="158"/>
        <v>MXN</v>
      </c>
      <c r="T580" s="22">
        <f t="shared" si="145"/>
        <v>1003.4640000000001</v>
      </c>
      <c r="U580" s="28">
        <v>400</v>
      </c>
      <c r="W580" s="9">
        <v>402</v>
      </c>
      <c r="X580" s="9" t="s">
        <v>28</v>
      </c>
      <c r="AF580">
        <v>607</v>
      </c>
      <c r="AG580" t="s">
        <v>27</v>
      </c>
      <c r="AH580">
        <v>9570</v>
      </c>
      <c r="AI580" s="7">
        <v>45869</v>
      </c>
    </row>
    <row r="581" spans="1:35">
      <c r="A581">
        <v>631</v>
      </c>
      <c r="B581" t="str">
        <f t="shared" si="154"/>
        <v>USD</v>
      </c>
      <c r="C581">
        <f t="shared" si="155"/>
        <v>10037.469999999999</v>
      </c>
      <c r="D581">
        <f t="shared" si="146"/>
        <v>8632.2241999999987</v>
      </c>
      <c r="E581">
        <f t="shared" si="147"/>
        <v>10037.469999999999</v>
      </c>
      <c r="F581">
        <v>10037.469999999999</v>
      </c>
      <c r="G581">
        <f t="shared" si="148"/>
        <v>8632.2241999999987</v>
      </c>
      <c r="H581">
        <f t="shared" si="149"/>
        <v>10037.469999999999</v>
      </c>
      <c r="I581">
        <f t="shared" si="156"/>
        <v>0</v>
      </c>
      <c r="J581">
        <f t="shared" si="150"/>
        <v>0</v>
      </c>
      <c r="K581" s="7">
        <f t="shared" si="157"/>
        <v>45897</v>
      </c>
      <c r="L581" s="7">
        <f t="shared" si="151"/>
        <v>45867</v>
      </c>
      <c r="M581">
        <f t="shared" si="152"/>
        <v>7</v>
      </c>
      <c r="N581">
        <f t="shared" si="153"/>
        <v>2025</v>
      </c>
      <c r="Q581" s="22">
        <v>821</v>
      </c>
      <c r="R581" s="22">
        <v>442</v>
      </c>
      <c r="S581" s="22" t="str">
        <f t="shared" si="158"/>
        <v>EUR</v>
      </c>
      <c r="T581" s="22">
        <f t="shared" si="145"/>
        <v>512.71999999999991</v>
      </c>
      <c r="U581" s="28">
        <v>400</v>
      </c>
      <c r="W581" s="9">
        <v>403</v>
      </c>
      <c r="X581" s="9" t="s">
        <v>29</v>
      </c>
      <c r="AF581">
        <v>608</v>
      </c>
      <c r="AG581" t="s">
        <v>27</v>
      </c>
      <c r="AH581">
        <v>7395</v>
      </c>
      <c r="AI581" s="7">
        <v>45907</v>
      </c>
    </row>
    <row r="582" spans="1:35">
      <c r="A582">
        <v>633</v>
      </c>
      <c r="B582" t="str">
        <f t="shared" si="154"/>
        <v>EUR</v>
      </c>
      <c r="C582">
        <f t="shared" si="155"/>
        <v>0</v>
      </c>
      <c r="D582">
        <f t="shared" si="146"/>
        <v>0</v>
      </c>
      <c r="E582">
        <f t="shared" si="147"/>
        <v>0</v>
      </c>
      <c r="F582">
        <v>3630</v>
      </c>
      <c r="G582">
        <f t="shared" si="148"/>
        <v>3630</v>
      </c>
      <c r="H582">
        <f t="shared" si="149"/>
        <v>4210.7999999999993</v>
      </c>
      <c r="I582">
        <f t="shared" si="156"/>
        <v>0</v>
      </c>
      <c r="J582">
        <f t="shared" si="150"/>
        <v>0</v>
      </c>
      <c r="K582" s="7">
        <f t="shared" si="157"/>
        <v>45930</v>
      </c>
      <c r="L582" s="7">
        <f t="shared" si="151"/>
        <v>45900</v>
      </c>
      <c r="M582">
        <f t="shared" si="152"/>
        <v>8</v>
      </c>
      <c r="N582">
        <f t="shared" si="153"/>
        <v>2025</v>
      </c>
      <c r="Q582" s="22">
        <v>824</v>
      </c>
      <c r="R582" s="22">
        <v>107577</v>
      </c>
      <c r="S582" s="22" t="str">
        <f t="shared" si="158"/>
        <v>MXN</v>
      </c>
      <c r="T582" s="22">
        <f t="shared" si="145"/>
        <v>6024.3119999999999</v>
      </c>
      <c r="U582" s="28">
        <v>400</v>
      </c>
      <c r="W582" s="9">
        <v>403</v>
      </c>
      <c r="X582" s="9" t="s">
        <v>29</v>
      </c>
      <c r="AF582">
        <v>609</v>
      </c>
      <c r="AG582" t="s">
        <v>29</v>
      </c>
      <c r="AH582">
        <v>35119.279999999999</v>
      </c>
      <c r="AI582" s="7">
        <v>45889</v>
      </c>
    </row>
    <row r="583" spans="1:35">
      <c r="A583">
        <v>634</v>
      </c>
      <c r="B583" t="str">
        <f t="shared" si="154"/>
        <v>EUR</v>
      </c>
      <c r="C583">
        <f t="shared" si="155"/>
        <v>0</v>
      </c>
      <c r="D583">
        <f t="shared" si="146"/>
        <v>0</v>
      </c>
      <c r="E583">
        <f t="shared" si="147"/>
        <v>0</v>
      </c>
      <c r="F583">
        <v>3528</v>
      </c>
      <c r="G583">
        <f t="shared" si="148"/>
        <v>3528</v>
      </c>
      <c r="H583">
        <f t="shared" si="149"/>
        <v>4092.4799999999996</v>
      </c>
      <c r="I583">
        <f t="shared" si="156"/>
        <v>0</v>
      </c>
      <c r="J583">
        <f t="shared" si="150"/>
        <v>0</v>
      </c>
      <c r="K583" s="7">
        <f t="shared" si="157"/>
        <v>45930</v>
      </c>
      <c r="L583" s="7">
        <f t="shared" si="151"/>
        <v>45900</v>
      </c>
      <c r="M583">
        <f t="shared" si="152"/>
        <v>8</v>
      </c>
      <c r="N583">
        <f t="shared" si="153"/>
        <v>2025</v>
      </c>
      <c r="Q583" s="22">
        <v>828</v>
      </c>
      <c r="R583" s="22">
        <v>124392</v>
      </c>
      <c r="S583" s="22" t="str">
        <f t="shared" si="158"/>
        <v>MXN</v>
      </c>
      <c r="T583" s="22">
        <f t="shared" si="145"/>
        <v>6965.9520000000002</v>
      </c>
      <c r="U583" s="28">
        <v>400</v>
      </c>
      <c r="W583" s="9">
        <v>406</v>
      </c>
      <c r="X583" s="9" t="s">
        <v>29</v>
      </c>
      <c r="AF583">
        <v>610</v>
      </c>
      <c r="AG583" t="s">
        <v>29</v>
      </c>
      <c r="AH583">
        <v>8958</v>
      </c>
      <c r="AI583" s="7">
        <v>45928</v>
      </c>
    </row>
    <row r="584" spans="1:35">
      <c r="A584">
        <v>635</v>
      </c>
      <c r="B584" t="str">
        <f t="shared" si="154"/>
        <v>GPB</v>
      </c>
      <c r="C584">
        <f t="shared" si="155"/>
        <v>0</v>
      </c>
      <c r="D584">
        <f t="shared" si="146"/>
        <v>0</v>
      </c>
      <c r="E584">
        <f t="shared" si="147"/>
        <v>0</v>
      </c>
      <c r="F584">
        <v>5000</v>
      </c>
      <c r="G584">
        <f t="shared" si="148"/>
        <v>5750</v>
      </c>
      <c r="H584">
        <f t="shared" si="149"/>
        <v>6700</v>
      </c>
      <c r="I584">
        <f t="shared" si="156"/>
        <v>0</v>
      </c>
      <c r="J584">
        <f t="shared" si="150"/>
        <v>0</v>
      </c>
      <c r="K584" s="7">
        <f t="shared" si="157"/>
        <v>45899</v>
      </c>
      <c r="L584" s="7">
        <f t="shared" si="151"/>
        <v>45869</v>
      </c>
      <c r="M584">
        <f t="shared" si="152"/>
        <v>7</v>
      </c>
      <c r="N584">
        <f t="shared" si="153"/>
        <v>2025</v>
      </c>
      <c r="Q584" s="22">
        <v>829</v>
      </c>
      <c r="R584" s="22">
        <v>6388.26</v>
      </c>
      <c r="S584" s="22" t="str">
        <f t="shared" si="158"/>
        <v>USD</v>
      </c>
      <c r="T584" s="22">
        <f t="shared" si="145"/>
        <v>6388.26</v>
      </c>
      <c r="U584" s="28">
        <v>400</v>
      </c>
      <c r="W584" s="9">
        <v>406</v>
      </c>
      <c r="X584" s="9" t="s">
        <v>29</v>
      </c>
      <c r="AF584">
        <v>613</v>
      </c>
      <c r="AG584" t="s">
        <v>29</v>
      </c>
      <c r="AH584">
        <v>18638.25</v>
      </c>
      <c r="AI584" s="7">
        <v>45952</v>
      </c>
    </row>
    <row r="585" spans="1:35">
      <c r="A585">
        <v>636</v>
      </c>
      <c r="B585" t="str">
        <f t="shared" si="154"/>
        <v>EUR</v>
      </c>
      <c r="C585">
        <f t="shared" si="155"/>
        <v>0</v>
      </c>
      <c r="D585">
        <f t="shared" si="146"/>
        <v>0</v>
      </c>
      <c r="E585">
        <f t="shared" si="147"/>
        <v>0</v>
      </c>
      <c r="F585">
        <v>1221</v>
      </c>
      <c r="G585">
        <f t="shared" si="148"/>
        <v>1221</v>
      </c>
      <c r="H585">
        <f t="shared" si="149"/>
        <v>1416.36</v>
      </c>
      <c r="I585">
        <f t="shared" si="156"/>
        <v>0</v>
      </c>
      <c r="J585">
        <f t="shared" si="150"/>
        <v>0</v>
      </c>
      <c r="K585" s="7">
        <f t="shared" si="157"/>
        <v>45907</v>
      </c>
      <c r="L585" s="7">
        <f t="shared" si="151"/>
        <v>45877</v>
      </c>
      <c r="M585">
        <f t="shared" si="152"/>
        <v>8</v>
      </c>
      <c r="N585">
        <f t="shared" si="153"/>
        <v>2025</v>
      </c>
      <c r="Q585" s="22">
        <v>830</v>
      </c>
      <c r="R585" s="22">
        <v>22902</v>
      </c>
      <c r="S585" s="22" t="str">
        <f t="shared" si="158"/>
        <v>USD</v>
      </c>
      <c r="T585" s="22">
        <f t="shared" si="145"/>
        <v>22902</v>
      </c>
      <c r="U585" s="28">
        <v>400</v>
      </c>
      <c r="W585" s="9">
        <v>406</v>
      </c>
      <c r="X585" s="9" t="s">
        <v>29</v>
      </c>
      <c r="AF585">
        <v>614</v>
      </c>
      <c r="AG585" t="s">
        <v>29</v>
      </c>
      <c r="AH585">
        <v>12500</v>
      </c>
      <c r="AI585" s="7">
        <v>45918</v>
      </c>
    </row>
    <row r="586" spans="1:35">
      <c r="A586">
        <v>637</v>
      </c>
      <c r="B586" t="str">
        <f t="shared" si="154"/>
        <v>EUR</v>
      </c>
      <c r="C586">
        <f t="shared" si="155"/>
        <v>0</v>
      </c>
      <c r="D586">
        <f t="shared" si="146"/>
        <v>0</v>
      </c>
      <c r="E586">
        <f t="shared" si="147"/>
        <v>0</v>
      </c>
      <c r="F586">
        <v>1158.04</v>
      </c>
      <c r="G586">
        <f t="shared" si="148"/>
        <v>1158.04</v>
      </c>
      <c r="H586">
        <f t="shared" si="149"/>
        <v>1343.3263999999999</v>
      </c>
      <c r="I586">
        <f t="shared" si="156"/>
        <v>0</v>
      </c>
      <c r="J586">
        <f t="shared" si="150"/>
        <v>0</v>
      </c>
      <c r="K586" s="7">
        <f t="shared" si="157"/>
        <v>45914</v>
      </c>
      <c r="L586" s="7">
        <f t="shared" si="151"/>
        <v>45884</v>
      </c>
      <c r="M586">
        <f t="shared" si="152"/>
        <v>8</v>
      </c>
      <c r="N586">
        <f t="shared" si="153"/>
        <v>2025</v>
      </c>
      <c r="Q586" s="22">
        <v>836</v>
      </c>
      <c r="R586" s="22">
        <v>27015.5</v>
      </c>
      <c r="S586" s="22" t="str">
        <f t="shared" si="158"/>
        <v>USD</v>
      </c>
      <c r="T586" s="22">
        <f t="shared" si="145"/>
        <v>27015.5</v>
      </c>
      <c r="U586" s="28">
        <v>400</v>
      </c>
      <c r="W586" s="9">
        <v>406</v>
      </c>
      <c r="X586" s="9" t="s">
        <v>29</v>
      </c>
      <c r="AF586">
        <v>615</v>
      </c>
      <c r="AG586" t="s">
        <v>27</v>
      </c>
      <c r="AH586">
        <v>7230</v>
      </c>
      <c r="AI586" s="7">
        <v>45930</v>
      </c>
    </row>
    <row r="587" spans="1:35">
      <c r="A587">
        <v>638</v>
      </c>
      <c r="B587" t="str">
        <f t="shared" si="154"/>
        <v>EUR</v>
      </c>
      <c r="C587">
        <f t="shared" si="155"/>
        <v>0</v>
      </c>
      <c r="D587">
        <f t="shared" si="146"/>
        <v>0</v>
      </c>
      <c r="E587">
        <f t="shared" si="147"/>
        <v>0</v>
      </c>
      <c r="F587">
        <v>9570</v>
      </c>
      <c r="G587">
        <f t="shared" si="148"/>
        <v>9570</v>
      </c>
      <c r="H587">
        <f t="shared" si="149"/>
        <v>11101.199999999999</v>
      </c>
      <c r="I587">
        <f t="shared" si="156"/>
        <v>0</v>
      </c>
      <c r="J587">
        <f t="shared" si="150"/>
        <v>0</v>
      </c>
      <c r="K587" s="7">
        <f t="shared" si="157"/>
        <v>45869</v>
      </c>
      <c r="L587" s="7">
        <f t="shared" si="151"/>
        <v>45839</v>
      </c>
      <c r="M587">
        <f t="shared" si="152"/>
        <v>7</v>
      </c>
      <c r="N587">
        <f t="shared" si="153"/>
        <v>2025</v>
      </c>
      <c r="Q587" s="22">
        <v>837</v>
      </c>
      <c r="R587" s="22">
        <v>5821.37</v>
      </c>
      <c r="S587" s="22" t="str">
        <f t="shared" si="158"/>
        <v>USD</v>
      </c>
      <c r="T587" s="22">
        <f t="shared" si="145"/>
        <v>5821.37</v>
      </c>
      <c r="U587" s="28">
        <v>400</v>
      </c>
      <c r="W587" s="9">
        <v>406</v>
      </c>
      <c r="X587" s="9" t="s">
        <v>29</v>
      </c>
      <c r="AF587">
        <v>616</v>
      </c>
      <c r="AG587" t="s">
        <v>30</v>
      </c>
      <c r="AH587">
        <v>4752</v>
      </c>
      <c r="AI587" s="7">
        <v>45870</v>
      </c>
    </row>
    <row r="588" spans="1:35">
      <c r="A588">
        <v>640</v>
      </c>
      <c r="B588" t="str">
        <f t="shared" si="154"/>
        <v>EUR</v>
      </c>
      <c r="C588">
        <f t="shared" si="155"/>
        <v>0</v>
      </c>
      <c r="D588">
        <f t="shared" si="146"/>
        <v>0</v>
      </c>
      <c r="E588">
        <f t="shared" si="147"/>
        <v>0</v>
      </c>
      <c r="F588">
        <v>200</v>
      </c>
      <c r="G588">
        <f t="shared" si="148"/>
        <v>200</v>
      </c>
      <c r="H588">
        <f t="shared" si="149"/>
        <v>231.99999999999997</v>
      </c>
      <c r="I588">
        <f t="shared" si="156"/>
        <v>0</v>
      </c>
      <c r="J588">
        <f t="shared" si="150"/>
        <v>0</v>
      </c>
      <c r="K588" s="7">
        <f t="shared" si="157"/>
        <v>45901</v>
      </c>
      <c r="L588" s="7">
        <f t="shared" si="151"/>
        <v>45871</v>
      </c>
      <c r="M588">
        <f t="shared" si="152"/>
        <v>8</v>
      </c>
      <c r="N588">
        <f t="shared" si="153"/>
        <v>2025</v>
      </c>
      <c r="Q588" s="22">
        <v>838</v>
      </c>
      <c r="R588" s="22">
        <v>2818.75</v>
      </c>
      <c r="S588" s="22" t="str">
        <f t="shared" si="158"/>
        <v>USD</v>
      </c>
      <c r="T588" s="22">
        <f t="shared" si="145"/>
        <v>2818.75</v>
      </c>
      <c r="U588" s="28">
        <v>400</v>
      </c>
      <c r="W588" s="9">
        <v>406</v>
      </c>
      <c r="X588" s="9" t="s">
        <v>29</v>
      </c>
      <c r="AF588">
        <v>617</v>
      </c>
      <c r="AG588" t="s">
        <v>29</v>
      </c>
      <c r="AH588">
        <v>7061.39</v>
      </c>
      <c r="AI588" s="7">
        <v>45914</v>
      </c>
    </row>
    <row r="589" spans="1:35">
      <c r="A589">
        <v>641</v>
      </c>
      <c r="B589" t="str">
        <f t="shared" si="154"/>
        <v>USD</v>
      </c>
      <c r="C589">
        <f t="shared" si="155"/>
        <v>55137.02</v>
      </c>
      <c r="D589">
        <f t="shared" si="146"/>
        <v>47417.837199999994</v>
      </c>
      <c r="E589">
        <f t="shared" si="147"/>
        <v>55137.02</v>
      </c>
      <c r="F589">
        <v>45227.98</v>
      </c>
      <c r="G589">
        <f t="shared" si="148"/>
        <v>38896.0628</v>
      </c>
      <c r="H589">
        <f t="shared" si="149"/>
        <v>45227.98</v>
      </c>
      <c r="I589">
        <f t="shared" si="156"/>
        <v>0</v>
      </c>
      <c r="J589">
        <f t="shared" si="150"/>
        <v>0</v>
      </c>
      <c r="K589" s="7">
        <f t="shared" si="157"/>
        <v>46006</v>
      </c>
      <c r="L589" s="7">
        <f t="shared" si="151"/>
        <v>45976</v>
      </c>
      <c r="M589">
        <f t="shared" si="152"/>
        <v>11</v>
      </c>
      <c r="N589">
        <f t="shared" si="153"/>
        <v>2025</v>
      </c>
      <c r="Q589" s="22">
        <v>839</v>
      </c>
      <c r="R589" s="22">
        <v>40532</v>
      </c>
      <c r="S589" s="22" t="str">
        <f t="shared" si="158"/>
        <v>MXN</v>
      </c>
      <c r="T589" s="22">
        <f t="shared" si="145"/>
        <v>2269.7919999999999</v>
      </c>
      <c r="U589" s="28">
        <v>400</v>
      </c>
      <c r="W589" s="9">
        <v>406</v>
      </c>
      <c r="X589" s="9" t="s">
        <v>29</v>
      </c>
      <c r="AF589">
        <v>618</v>
      </c>
      <c r="AG589" t="s">
        <v>27</v>
      </c>
      <c r="AH589">
        <v>1920</v>
      </c>
      <c r="AI589" s="7">
        <v>45897</v>
      </c>
    </row>
    <row r="590" spans="1:35">
      <c r="A590">
        <v>642</v>
      </c>
      <c r="B590" t="str">
        <f t="shared" si="154"/>
        <v>EUR</v>
      </c>
      <c r="C590">
        <f t="shared" si="155"/>
        <v>0</v>
      </c>
      <c r="D590">
        <f t="shared" si="146"/>
        <v>0</v>
      </c>
      <c r="E590">
        <f t="shared" si="147"/>
        <v>0</v>
      </c>
      <c r="F590">
        <v>7395</v>
      </c>
      <c r="G590">
        <f t="shared" si="148"/>
        <v>7395</v>
      </c>
      <c r="H590">
        <f t="shared" si="149"/>
        <v>8578.1999999999989</v>
      </c>
      <c r="I590">
        <f t="shared" si="156"/>
        <v>0</v>
      </c>
      <c r="J590">
        <f t="shared" si="150"/>
        <v>0</v>
      </c>
      <c r="K590" s="7">
        <f t="shared" si="157"/>
        <v>45907</v>
      </c>
      <c r="L590" s="7">
        <f t="shared" si="151"/>
        <v>45877</v>
      </c>
      <c r="M590">
        <f t="shared" si="152"/>
        <v>8</v>
      </c>
      <c r="N590">
        <f t="shared" si="153"/>
        <v>2025</v>
      </c>
      <c r="Q590" s="22">
        <v>840</v>
      </c>
      <c r="R590" s="22">
        <v>6083.58</v>
      </c>
      <c r="S590" s="22" t="str">
        <f t="shared" si="158"/>
        <v>USD</v>
      </c>
      <c r="T590" s="22">
        <f t="shared" si="145"/>
        <v>6083.58</v>
      </c>
      <c r="U590" s="28">
        <v>400</v>
      </c>
      <c r="W590" s="9">
        <v>406</v>
      </c>
      <c r="X590" s="9" t="s">
        <v>29</v>
      </c>
      <c r="AF590">
        <v>621</v>
      </c>
      <c r="AG590" t="s">
        <v>28</v>
      </c>
      <c r="AH590">
        <v>69666</v>
      </c>
      <c r="AI590" s="7">
        <v>45896</v>
      </c>
    </row>
    <row r="591" spans="1:35">
      <c r="A591">
        <v>643</v>
      </c>
      <c r="B591" t="str">
        <f t="shared" si="154"/>
        <v>JPY</v>
      </c>
      <c r="C591">
        <f t="shared" si="155"/>
        <v>0</v>
      </c>
      <c r="D591">
        <f t="shared" si="146"/>
        <v>0</v>
      </c>
      <c r="E591">
        <f t="shared" si="147"/>
        <v>0</v>
      </c>
      <c r="F591">
        <v>1320000</v>
      </c>
      <c r="G591">
        <f t="shared" si="148"/>
        <v>7260</v>
      </c>
      <c r="H591">
        <f t="shared" si="149"/>
        <v>8448</v>
      </c>
      <c r="I591">
        <f t="shared" si="156"/>
        <v>0</v>
      </c>
      <c r="J591">
        <f t="shared" si="150"/>
        <v>0</v>
      </c>
      <c r="K591" s="7">
        <f t="shared" si="157"/>
        <v>45964</v>
      </c>
      <c r="L591" s="7">
        <f t="shared" si="151"/>
        <v>45934</v>
      </c>
      <c r="M591">
        <f t="shared" si="152"/>
        <v>10</v>
      </c>
      <c r="N591">
        <f t="shared" si="153"/>
        <v>2025</v>
      </c>
      <c r="Q591" s="22">
        <v>841</v>
      </c>
      <c r="R591" s="22">
        <v>31983.9</v>
      </c>
      <c r="S591" s="22" t="str">
        <f t="shared" si="158"/>
        <v>USD</v>
      </c>
      <c r="T591" s="22">
        <f t="shared" si="145"/>
        <v>31983.9</v>
      </c>
      <c r="U591" s="28">
        <v>400</v>
      </c>
      <c r="W591" s="9">
        <v>407</v>
      </c>
      <c r="X591" s="9" t="s">
        <v>29</v>
      </c>
      <c r="AF591">
        <v>622</v>
      </c>
      <c r="AG591" t="s">
        <v>27</v>
      </c>
      <c r="AH591">
        <v>3010</v>
      </c>
      <c r="AI591" s="7">
        <v>45928</v>
      </c>
    </row>
    <row r="592" spans="1:35">
      <c r="A592">
        <v>644</v>
      </c>
      <c r="B592" t="str">
        <f t="shared" si="154"/>
        <v>USD</v>
      </c>
      <c r="C592">
        <f t="shared" si="155"/>
        <v>0</v>
      </c>
      <c r="D592">
        <f t="shared" si="146"/>
        <v>0</v>
      </c>
      <c r="E592">
        <f t="shared" si="147"/>
        <v>0</v>
      </c>
      <c r="F592">
        <v>3017.44</v>
      </c>
      <c r="G592">
        <f t="shared" si="148"/>
        <v>2594.9983999999999</v>
      </c>
      <c r="H592">
        <f t="shared" si="149"/>
        <v>3017.44</v>
      </c>
      <c r="I592">
        <f t="shared" si="156"/>
        <v>0</v>
      </c>
      <c r="J592">
        <f t="shared" si="150"/>
        <v>0</v>
      </c>
      <c r="K592" s="7">
        <f t="shared" si="157"/>
        <v>45802</v>
      </c>
      <c r="L592" s="7">
        <f t="shared" si="151"/>
        <v>45772</v>
      </c>
      <c r="M592">
        <f t="shared" si="152"/>
        <v>4</v>
      </c>
      <c r="N592">
        <f t="shared" si="153"/>
        <v>2025</v>
      </c>
      <c r="Q592" s="22">
        <v>842</v>
      </c>
      <c r="R592" s="22">
        <v>1210.2</v>
      </c>
      <c r="S592" s="22" t="str">
        <f t="shared" si="158"/>
        <v>USD</v>
      </c>
      <c r="T592" s="22">
        <f t="shared" si="145"/>
        <v>1210.2</v>
      </c>
      <c r="U592" s="28">
        <v>400</v>
      </c>
      <c r="W592" s="9">
        <v>407</v>
      </c>
      <c r="X592" s="9" t="s">
        <v>29</v>
      </c>
      <c r="AF592">
        <v>624</v>
      </c>
      <c r="AG592" t="s">
        <v>29</v>
      </c>
      <c r="AH592">
        <v>7360.8</v>
      </c>
      <c r="AI592" s="7">
        <v>45843</v>
      </c>
    </row>
    <row r="593" spans="1:35">
      <c r="A593">
        <v>645</v>
      </c>
      <c r="B593" t="str">
        <f t="shared" si="154"/>
        <v>USD</v>
      </c>
      <c r="C593">
        <f t="shared" si="155"/>
        <v>0</v>
      </c>
      <c r="D593">
        <f t="shared" si="146"/>
        <v>0</v>
      </c>
      <c r="E593">
        <f t="shared" si="147"/>
        <v>0</v>
      </c>
      <c r="F593">
        <v>2566.4</v>
      </c>
      <c r="G593">
        <f t="shared" si="148"/>
        <v>2207.1040000000003</v>
      </c>
      <c r="H593">
        <f t="shared" si="149"/>
        <v>2566.4</v>
      </c>
      <c r="I593">
        <f t="shared" si="156"/>
        <v>0</v>
      </c>
      <c r="J593">
        <f t="shared" si="150"/>
        <v>0</v>
      </c>
      <c r="K593" s="7">
        <f t="shared" si="157"/>
        <v>45789</v>
      </c>
      <c r="L593" s="7">
        <f t="shared" si="151"/>
        <v>45759</v>
      </c>
      <c r="M593">
        <f t="shared" si="152"/>
        <v>4</v>
      </c>
      <c r="N593">
        <f t="shared" si="153"/>
        <v>2025</v>
      </c>
      <c r="Q593" s="22">
        <v>843</v>
      </c>
      <c r="R593" s="22">
        <v>5195.99</v>
      </c>
      <c r="S593" s="22" t="str">
        <f t="shared" si="158"/>
        <v>USD</v>
      </c>
      <c r="T593" s="22">
        <f t="shared" si="145"/>
        <v>5195.99</v>
      </c>
      <c r="U593" s="28">
        <v>400</v>
      </c>
      <c r="W593" s="9">
        <v>409</v>
      </c>
      <c r="X593" s="9" t="s">
        <v>29</v>
      </c>
      <c r="AF593">
        <v>625</v>
      </c>
      <c r="AG593" t="s">
        <v>33</v>
      </c>
      <c r="AH593">
        <v>379735</v>
      </c>
      <c r="AI593" s="7">
        <v>45960</v>
      </c>
    </row>
    <row r="594" spans="1:35">
      <c r="A594">
        <v>646</v>
      </c>
      <c r="B594" t="str">
        <f t="shared" si="154"/>
        <v>USD</v>
      </c>
      <c r="C594">
        <f t="shared" si="155"/>
        <v>0</v>
      </c>
      <c r="D594">
        <f t="shared" si="146"/>
        <v>0</v>
      </c>
      <c r="E594">
        <f t="shared" si="147"/>
        <v>0</v>
      </c>
      <c r="F594">
        <v>1515.02</v>
      </c>
      <c r="G594">
        <f t="shared" si="148"/>
        <v>1302.9171999999999</v>
      </c>
      <c r="H594">
        <f t="shared" si="149"/>
        <v>1515.02</v>
      </c>
      <c r="I594">
        <f t="shared" si="156"/>
        <v>0</v>
      </c>
      <c r="J594">
        <f t="shared" si="150"/>
        <v>0</v>
      </c>
      <c r="K594" s="7">
        <f t="shared" si="157"/>
        <v>45800</v>
      </c>
      <c r="L594" s="7">
        <f t="shared" si="151"/>
        <v>45770</v>
      </c>
      <c r="M594">
        <f t="shared" si="152"/>
        <v>4</v>
      </c>
      <c r="N594">
        <f t="shared" si="153"/>
        <v>2025</v>
      </c>
      <c r="Q594" s="22">
        <v>844</v>
      </c>
      <c r="R594" s="22">
        <v>12165.93</v>
      </c>
      <c r="S594" s="22" t="str">
        <f t="shared" si="158"/>
        <v>EUR</v>
      </c>
      <c r="T594" s="22">
        <f t="shared" ref="T594:T657" si="159">R594*_xlfn.XLOOKUP(S594,AM:AM,AO:AO)</f>
        <v>14112.478799999999</v>
      </c>
      <c r="U594" s="28">
        <v>400</v>
      </c>
      <c r="W594" s="9">
        <v>409</v>
      </c>
      <c r="X594" s="9" t="s">
        <v>29</v>
      </c>
      <c r="AF594">
        <v>626</v>
      </c>
      <c r="AG594" t="s">
        <v>33</v>
      </c>
      <c r="AH594">
        <v>3851364.86</v>
      </c>
      <c r="AI594" s="7">
        <v>45955</v>
      </c>
    </row>
    <row r="595" spans="1:35">
      <c r="A595">
        <v>647</v>
      </c>
      <c r="B595" t="str">
        <f t="shared" si="154"/>
        <v>USD</v>
      </c>
      <c r="C595">
        <f t="shared" si="155"/>
        <v>0</v>
      </c>
      <c r="D595">
        <f t="shared" si="146"/>
        <v>0</v>
      </c>
      <c r="E595">
        <f t="shared" si="147"/>
        <v>0</v>
      </c>
      <c r="F595">
        <v>1200</v>
      </c>
      <c r="G595">
        <f t="shared" si="148"/>
        <v>1032</v>
      </c>
      <c r="H595">
        <f t="shared" si="149"/>
        <v>1200</v>
      </c>
      <c r="I595">
        <f t="shared" si="156"/>
        <v>0</v>
      </c>
      <c r="J595">
        <f t="shared" si="150"/>
        <v>0</v>
      </c>
      <c r="K595" s="7">
        <f t="shared" si="157"/>
        <v>45796</v>
      </c>
      <c r="L595" s="7">
        <f t="shared" si="151"/>
        <v>45766</v>
      </c>
      <c r="M595">
        <f t="shared" si="152"/>
        <v>4</v>
      </c>
      <c r="N595">
        <f t="shared" si="153"/>
        <v>2025</v>
      </c>
      <c r="Q595" s="22">
        <v>845</v>
      </c>
      <c r="R595" s="22">
        <v>2954</v>
      </c>
      <c r="S595" s="22" t="str">
        <f t="shared" si="158"/>
        <v>USD</v>
      </c>
      <c r="T595" s="22">
        <f t="shared" si="159"/>
        <v>2954</v>
      </c>
      <c r="U595" s="28">
        <v>400</v>
      </c>
      <c r="W595" s="9">
        <v>412</v>
      </c>
      <c r="X595" s="9" t="s">
        <v>29</v>
      </c>
      <c r="AF595">
        <v>627</v>
      </c>
      <c r="AG595" t="s">
        <v>32</v>
      </c>
      <c r="AH595">
        <v>1230.3</v>
      </c>
      <c r="AI595" s="7">
        <v>45928</v>
      </c>
    </row>
    <row r="596" spans="1:35">
      <c r="A596">
        <v>648</v>
      </c>
      <c r="B596" t="str">
        <f t="shared" si="154"/>
        <v>JPY</v>
      </c>
      <c r="C596">
        <f t="shared" si="155"/>
        <v>0</v>
      </c>
      <c r="D596">
        <f t="shared" si="146"/>
        <v>0</v>
      </c>
      <c r="E596">
        <f t="shared" si="147"/>
        <v>0</v>
      </c>
      <c r="F596">
        <v>3120143</v>
      </c>
      <c r="G596">
        <f t="shared" si="148"/>
        <v>17160.786499999998</v>
      </c>
      <c r="H596">
        <f t="shared" si="149"/>
        <v>19968.915199999999</v>
      </c>
      <c r="I596">
        <f t="shared" si="156"/>
        <v>0</v>
      </c>
      <c r="J596">
        <f t="shared" si="150"/>
        <v>0</v>
      </c>
      <c r="K596" s="7">
        <f t="shared" si="157"/>
        <v>46094</v>
      </c>
      <c r="L596" s="7">
        <f t="shared" si="151"/>
        <v>46064</v>
      </c>
      <c r="M596">
        <f t="shared" si="152"/>
        <v>2</v>
      </c>
      <c r="N596">
        <f t="shared" si="153"/>
        <v>2026</v>
      </c>
      <c r="Q596" s="22">
        <v>847</v>
      </c>
      <c r="R596" s="22">
        <v>1150.47</v>
      </c>
      <c r="S596" s="22" t="str">
        <f t="shared" si="158"/>
        <v>USD</v>
      </c>
      <c r="T596" s="22">
        <f t="shared" si="159"/>
        <v>1150.47</v>
      </c>
      <c r="U596" s="28">
        <v>400</v>
      </c>
      <c r="W596" s="9">
        <v>414</v>
      </c>
      <c r="X596" s="9" t="s">
        <v>29</v>
      </c>
      <c r="AF596">
        <v>628</v>
      </c>
      <c r="AG596" t="s">
        <v>29</v>
      </c>
      <c r="AH596">
        <v>37236.660000000003</v>
      </c>
      <c r="AI596" s="7">
        <v>45902</v>
      </c>
    </row>
    <row r="597" spans="1:35">
      <c r="A597">
        <v>649</v>
      </c>
      <c r="B597" t="str">
        <f t="shared" si="154"/>
        <v>USD</v>
      </c>
      <c r="C597">
        <f t="shared" si="155"/>
        <v>0</v>
      </c>
      <c r="D597">
        <f t="shared" si="146"/>
        <v>0</v>
      </c>
      <c r="E597">
        <f t="shared" si="147"/>
        <v>0</v>
      </c>
      <c r="F597">
        <v>13274.97</v>
      </c>
      <c r="G597">
        <f t="shared" si="148"/>
        <v>11416.474199999999</v>
      </c>
      <c r="H597">
        <f t="shared" si="149"/>
        <v>13274.97</v>
      </c>
      <c r="I597">
        <f t="shared" si="156"/>
        <v>1.8189894035458565E-12</v>
      </c>
      <c r="J597">
        <f t="shared" si="150"/>
        <v>1.8189894035458565E-12</v>
      </c>
      <c r="K597" s="7">
        <f t="shared" si="157"/>
        <v>46009</v>
      </c>
      <c r="L597" s="7">
        <f t="shared" si="151"/>
        <v>45979</v>
      </c>
      <c r="M597">
        <f t="shared" si="152"/>
        <v>11</v>
      </c>
      <c r="N597">
        <f t="shared" si="153"/>
        <v>2025</v>
      </c>
      <c r="Q597" s="22">
        <v>848</v>
      </c>
      <c r="R597" s="22">
        <v>48447.960000000006</v>
      </c>
      <c r="S597" s="22" t="str">
        <f t="shared" si="158"/>
        <v>USD</v>
      </c>
      <c r="T597" s="22">
        <f t="shared" si="159"/>
        <v>48447.960000000006</v>
      </c>
      <c r="U597" s="28">
        <v>400</v>
      </c>
      <c r="W597" s="9">
        <v>414</v>
      </c>
      <c r="X597" s="9" t="s">
        <v>29</v>
      </c>
      <c r="AF597">
        <v>629</v>
      </c>
      <c r="AG597" t="s">
        <v>29</v>
      </c>
      <c r="AH597">
        <v>9216.83</v>
      </c>
      <c r="AI597" s="7">
        <v>45897</v>
      </c>
    </row>
    <row r="598" spans="1:35">
      <c r="A598">
        <v>650</v>
      </c>
      <c r="B598" t="str">
        <f t="shared" si="154"/>
        <v>EUR</v>
      </c>
      <c r="C598">
        <f t="shared" si="155"/>
        <v>0</v>
      </c>
      <c r="D598">
        <f t="shared" si="146"/>
        <v>0</v>
      </c>
      <c r="E598">
        <f t="shared" si="147"/>
        <v>0</v>
      </c>
      <c r="F598">
        <v>1928.28</v>
      </c>
      <c r="G598">
        <f t="shared" si="148"/>
        <v>1928.28</v>
      </c>
      <c r="H598">
        <f t="shared" si="149"/>
        <v>2236.8047999999999</v>
      </c>
      <c r="I598">
        <f t="shared" si="156"/>
        <v>0</v>
      </c>
      <c r="J598">
        <f t="shared" si="150"/>
        <v>0</v>
      </c>
      <c r="K598" s="7">
        <f t="shared" si="157"/>
        <v>45896</v>
      </c>
      <c r="L598" s="7">
        <f t="shared" si="151"/>
        <v>45866</v>
      </c>
      <c r="M598">
        <f t="shared" si="152"/>
        <v>7</v>
      </c>
      <c r="N598">
        <f t="shared" si="153"/>
        <v>2025</v>
      </c>
      <c r="Q598" s="22">
        <v>849</v>
      </c>
      <c r="R598" s="22">
        <v>2206.02</v>
      </c>
      <c r="S598" s="22" t="str">
        <f t="shared" si="158"/>
        <v>USD</v>
      </c>
      <c r="T598" s="22">
        <f t="shared" si="159"/>
        <v>2206.02</v>
      </c>
      <c r="U598" s="28">
        <v>400</v>
      </c>
      <c r="W598" s="9">
        <v>414</v>
      </c>
      <c r="X598" s="9" t="s">
        <v>29</v>
      </c>
      <c r="AF598">
        <v>630</v>
      </c>
      <c r="AG598" t="s">
        <v>29</v>
      </c>
      <c r="AH598">
        <v>43656.639999999999</v>
      </c>
      <c r="AI598" s="7">
        <v>45660</v>
      </c>
    </row>
    <row r="599" spans="1:35">
      <c r="A599">
        <v>651</v>
      </c>
      <c r="B599" t="str">
        <f t="shared" si="154"/>
        <v>USD</v>
      </c>
      <c r="C599">
        <f t="shared" si="155"/>
        <v>0</v>
      </c>
      <c r="D599">
        <f t="shared" si="146"/>
        <v>0</v>
      </c>
      <c r="E599">
        <f t="shared" si="147"/>
        <v>0</v>
      </c>
      <c r="F599">
        <v>4760</v>
      </c>
      <c r="G599">
        <f t="shared" si="148"/>
        <v>4093.6</v>
      </c>
      <c r="H599">
        <f t="shared" si="149"/>
        <v>4760</v>
      </c>
      <c r="I599">
        <f t="shared" si="156"/>
        <v>0</v>
      </c>
      <c r="J599">
        <f t="shared" si="150"/>
        <v>0</v>
      </c>
      <c r="K599" s="7">
        <f t="shared" si="157"/>
        <v>45953</v>
      </c>
      <c r="L599" s="7">
        <f t="shared" si="151"/>
        <v>45923</v>
      </c>
      <c r="M599">
        <f t="shared" si="152"/>
        <v>9</v>
      </c>
      <c r="N599">
        <f t="shared" si="153"/>
        <v>2025</v>
      </c>
      <c r="Q599" s="22">
        <v>850</v>
      </c>
      <c r="R599" s="22">
        <v>39270.6</v>
      </c>
      <c r="S599" s="22" t="str">
        <f t="shared" si="158"/>
        <v>MXN</v>
      </c>
      <c r="T599" s="22">
        <f t="shared" si="159"/>
        <v>2199.1536000000001</v>
      </c>
      <c r="U599" s="28">
        <v>400</v>
      </c>
      <c r="W599" s="9">
        <v>416</v>
      </c>
      <c r="X599" s="9" t="s">
        <v>28</v>
      </c>
      <c r="AF599">
        <v>631</v>
      </c>
      <c r="AG599" t="s">
        <v>29</v>
      </c>
      <c r="AH599">
        <v>10037.469999999999</v>
      </c>
      <c r="AI599" s="7">
        <v>45897</v>
      </c>
    </row>
    <row r="600" spans="1:35">
      <c r="A600">
        <v>652</v>
      </c>
      <c r="B600" t="str">
        <f t="shared" si="154"/>
        <v>EUR</v>
      </c>
      <c r="C600">
        <f t="shared" si="155"/>
        <v>0</v>
      </c>
      <c r="D600">
        <f t="shared" si="146"/>
        <v>0</v>
      </c>
      <c r="E600">
        <f t="shared" si="147"/>
        <v>0</v>
      </c>
      <c r="F600">
        <v>1990</v>
      </c>
      <c r="G600">
        <f t="shared" si="148"/>
        <v>1990</v>
      </c>
      <c r="H600">
        <f t="shared" si="149"/>
        <v>2308.3999999999996</v>
      </c>
      <c r="I600">
        <f t="shared" si="156"/>
        <v>0</v>
      </c>
      <c r="J600">
        <f t="shared" si="150"/>
        <v>0</v>
      </c>
      <c r="K600" s="7">
        <f t="shared" si="157"/>
        <v>45921</v>
      </c>
      <c r="L600" s="7">
        <f t="shared" si="151"/>
        <v>45891</v>
      </c>
      <c r="M600">
        <f t="shared" si="152"/>
        <v>8</v>
      </c>
      <c r="N600">
        <f t="shared" si="153"/>
        <v>2025</v>
      </c>
      <c r="Q600" s="22">
        <v>856</v>
      </c>
      <c r="R600" s="22">
        <v>8775</v>
      </c>
      <c r="S600" s="22" t="str">
        <f t="shared" si="158"/>
        <v>EUR</v>
      </c>
      <c r="T600" s="22">
        <f t="shared" si="159"/>
        <v>10179</v>
      </c>
      <c r="U600" s="28">
        <v>400</v>
      </c>
      <c r="W600" s="9">
        <v>416</v>
      </c>
      <c r="X600" s="9" t="s">
        <v>28</v>
      </c>
      <c r="AF600">
        <v>633</v>
      </c>
      <c r="AG600" t="s">
        <v>27</v>
      </c>
      <c r="AH600">
        <v>3630</v>
      </c>
      <c r="AI600" s="7">
        <v>45930</v>
      </c>
    </row>
    <row r="601" spans="1:35">
      <c r="A601">
        <v>653</v>
      </c>
      <c r="B601" t="str">
        <f t="shared" si="154"/>
        <v>USD</v>
      </c>
      <c r="C601">
        <f t="shared" si="155"/>
        <v>0</v>
      </c>
      <c r="D601">
        <f t="shared" si="146"/>
        <v>0</v>
      </c>
      <c r="E601">
        <f t="shared" si="147"/>
        <v>0</v>
      </c>
      <c r="F601">
        <v>260</v>
      </c>
      <c r="G601">
        <f t="shared" si="148"/>
        <v>223.6</v>
      </c>
      <c r="H601">
        <f t="shared" si="149"/>
        <v>260</v>
      </c>
      <c r="I601">
        <f t="shared" si="156"/>
        <v>0</v>
      </c>
      <c r="J601">
        <f t="shared" si="150"/>
        <v>0</v>
      </c>
      <c r="K601" s="7">
        <f t="shared" si="157"/>
        <v>46153</v>
      </c>
      <c r="L601" s="7">
        <f t="shared" si="151"/>
        <v>46123</v>
      </c>
      <c r="M601">
        <f t="shared" si="152"/>
        <v>4</v>
      </c>
      <c r="N601">
        <f t="shared" si="153"/>
        <v>2026</v>
      </c>
      <c r="Q601" s="22">
        <v>857</v>
      </c>
      <c r="R601" s="22">
        <v>9081</v>
      </c>
      <c r="S601" s="22" t="str">
        <f t="shared" si="158"/>
        <v>EUR</v>
      </c>
      <c r="T601" s="22">
        <f t="shared" si="159"/>
        <v>10533.96</v>
      </c>
      <c r="U601" s="28">
        <v>400</v>
      </c>
      <c r="W601" s="9">
        <v>419</v>
      </c>
      <c r="X601" s="9" t="s">
        <v>29</v>
      </c>
      <c r="AF601">
        <v>634</v>
      </c>
      <c r="AG601" t="s">
        <v>27</v>
      </c>
      <c r="AH601">
        <v>3528</v>
      </c>
      <c r="AI601" s="7">
        <v>45930</v>
      </c>
    </row>
    <row r="602" spans="1:35">
      <c r="A602">
        <v>654</v>
      </c>
      <c r="B602" t="str">
        <f t="shared" si="154"/>
        <v>USD</v>
      </c>
      <c r="C602">
        <f t="shared" si="155"/>
        <v>0</v>
      </c>
      <c r="D602">
        <f t="shared" si="146"/>
        <v>0</v>
      </c>
      <c r="E602">
        <f t="shared" si="147"/>
        <v>0</v>
      </c>
      <c r="F602">
        <v>1980</v>
      </c>
      <c r="G602">
        <f t="shared" si="148"/>
        <v>1702.8</v>
      </c>
      <c r="H602">
        <f t="shared" si="149"/>
        <v>1980</v>
      </c>
      <c r="I602">
        <f t="shared" si="156"/>
        <v>0</v>
      </c>
      <c r="J602">
        <f t="shared" si="150"/>
        <v>0</v>
      </c>
      <c r="K602" s="7">
        <f t="shared" si="157"/>
        <v>46158</v>
      </c>
      <c r="L602" s="7">
        <f t="shared" si="151"/>
        <v>46128</v>
      </c>
      <c r="M602">
        <f t="shared" si="152"/>
        <v>4</v>
      </c>
      <c r="N602">
        <f t="shared" si="153"/>
        <v>2026</v>
      </c>
      <c r="Q602" s="22">
        <v>858</v>
      </c>
      <c r="R602" s="22">
        <v>6523.9</v>
      </c>
      <c r="S602" s="22" t="str">
        <f t="shared" si="158"/>
        <v>USD</v>
      </c>
      <c r="T602" s="22">
        <f t="shared" si="159"/>
        <v>6523.9</v>
      </c>
      <c r="U602" s="28">
        <v>400</v>
      </c>
      <c r="W602" s="9">
        <v>419</v>
      </c>
      <c r="X602" s="9" t="s">
        <v>29</v>
      </c>
      <c r="AF602">
        <v>635</v>
      </c>
      <c r="AG602" t="s">
        <v>32</v>
      </c>
      <c r="AH602">
        <v>5000</v>
      </c>
      <c r="AI602" s="7">
        <v>45899</v>
      </c>
    </row>
    <row r="603" spans="1:35">
      <c r="A603">
        <v>655</v>
      </c>
      <c r="B603" t="str">
        <f t="shared" si="154"/>
        <v>USD</v>
      </c>
      <c r="C603">
        <f t="shared" si="155"/>
        <v>0</v>
      </c>
      <c r="D603">
        <f t="shared" si="146"/>
        <v>0</v>
      </c>
      <c r="E603">
        <f t="shared" si="147"/>
        <v>0</v>
      </c>
      <c r="F603">
        <v>5384.78</v>
      </c>
      <c r="G603">
        <f t="shared" si="148"/>
        <v>4630.9107999999997</v>
      </c>
      <c r="H603">
        <f t="shared" si="149"/>
        <v>5384.78</v>
      </c>
      <c r="I603">
        <f t="shared" si="156"/>
        <v>0</v>
      </c>
      <c r="J603">
        <f t="shared" si="150"/>
        <v>0</v>
      </c>
      <c r="K603" s="7">
        <f t="shared" si="157"/>
        <v>45921</v>
      </c>
      <c r="L603" s="7">
        <f t="shared" si="151"/>
        <v>45891</v>
      </c>
      <c r="M603">
        <f t="shared" si="152"/>
        <v>8</v>
      </c>
      <c r="N603">
        <f t="shared" si="153"/>
        <v>2025</v>
      </c>
      <c r="Q603" s="22">
        <v>859</v>
      </c>
      <c r="R603" s="22">
        <v>36400</v>
      </c>
      <c r="S603" s="22" t="str">
        <f t="shared" si="158"/>
        <v>USD</v>
      </c>
      <c r="T603" s="22">
        <f t="shared" si="159"/>
        <v>36400</v>
      </c>
      <c r="U603" s="28">
        <v>400</v>
      </c>
      <c r="W603" s="9">
        <v>420</v>
      </c>
      <c r="X603" s="9" t="s">
        <v>29</v>
      </c>
      <c r="AF603">
        <v>636</v>
      </c>
      <c r="AG603" t="s">
        <v>27</v>
      </c>
      <c r="AH603">
        <v>1221</v>
      </c>
      <c r="AI603" s="7">
        <v>45907</v>
      </c>
    </row>
    <row r="604" spans="1:35">
      <c r="A604">
        <v>656</v>
      </c>
      <c r="B604" t="str">
        <f t="shared" si="154"/>
        <v>USD</v>
      </c>
      <c r="C604">
        <f t="shared" si="155"/>
        <v>0</v>
      </c>
      <c r="D604">
        <f t="shared" si="146"/>
        <v>0</v>
      </c>
      <c r="E604">
        <f t="shared" si="147"/>
        <v>0</v>
      </c>
      <c r="F604">
        <v>691.98</v>
      </c>
      <c r="G604">
        <f t="shared" si="148"/>
        <v>595.1028</v>
      </c>
      <c r="H604">
        <f t="shared" si="149"/>
        <v>691.98</v>
      </c>
      <c r="I604">
        <f t="shared" si="156"/>
        <v>0</v>
      </c>
      <c r="J604">
        <f t="shared" si="150"/>
        <v>0</v>
      </c>
      <c r="K604" s="7">
        <f t="shared" si="157"/>
        <v>45929</v>
      </c>
      <c r="L604" s="7">
        <f t="shared" si="151"/>
        <v>45899</v>
      </c>
      <c r="M604">
        <f t="shared" si="152"/>
        <v>8</v>
      </c>
      <c r="N604">
        <f t="shared" si="153"/>
        <v>2025</v>
      </c>
      <c r="Q604" s="22">
        <v>860</v>
      </c>
      <c r="R604" s="22">
        <v>10493</v>
      </c>
      <c r="S604" s="22" t="str">
        <f t="shared" si="158"/>
        <v>GBP</v>
      </c>
      <c r="T604" s="22">
        <f t="shared" si="159"/>
        <v>14060.62</v>
      </c>
      <c r="U604" s="28">
        <v>400</v>
      </c>
      <c r="W604" s="9">
        <v>422</v>
      </c>
      <c r="X604" s="9" t="s">
        <v>27</v>
      </c>
      <c r="AF604">
        <v>637</v>
      </c>
      <c r="AG604" t="s">
        <v>27</v>
      </c>
      <c r="AH604">
        <v>1158.04</v>
      </c>
      <c r="AI604" s="7">
        <v>45914</v>
      </c>
    </row>
    <row r="605" spans="1:35">
      <c r="A605">
        <v>657</v>
      </c>
      <c r="B605" t="str">
        <f t="shared" si="154"/>
        <v>USD</v>
      </c>
      <c r="C605">
        <f t="shared" si="155"/>
        <v>0</v>
      </c>
      <c r="D605">
        <f t="shared" si="146"/>
        <v>0</v>
      </c>
      <c r="E605">
        <f t="shared" si="147"/>
        <v>0</v>
      </c>
      <c r="F605">
        <v>2724.75</v>
      </c>
      <c r="G605">
        <f t="shared" si="148"/>
        <v>2343.2849999999999</v>
      </c>
      <c r="H605">
        <f t="shared" si="149"/>
        <v>2724.75</v>
      </c>
      <c r="I605">
        <f t="shared" si="156"/>
        <v>0</v>
      </c>
      <c r="J605">
        <f t="shared" si="150"/>
        <v>0</v>
      </c>
      <c r="K605" s="7">
        <f t="shared" si="157"/>
        <v>45826</v>
      </c>
      <c r="L605" s="7">
        <f t="shared" si="151"/>
        <v>45796</v>
      </c>
      <c r="M605">
        <f t="shared" si="152"/>
        <v>5</v>
      </c>
      <c r="N605">
        <f t="shared" si="153"/>
        <v>2025</v>
      </c>
      <c r="Q605" s="22">
        <v>861</v>
      </c>
      <c r="R605" s="22">
        <v>275.92</v>
      </c>
      <c r="S605" s="22" t="str">
        <f t="shared" si="158"/>
        <v>EUR</v>
      </c>
      <c r="T605" s="22">
        <f t="shared" si="159"/>
        <v>320.06720000000001</v>
      </c>
      <c r="U605" s="28">
        <v>400</v>
      </c>
      <c r="W605" s="9">
        <v>422</v>
      </c>
      <c r="X605" s="9" t="s">
        <v>27</v>
      </c>
      <c r="AF605">
        <v>638</v>
      </c>
      <c r="AG605" t="s">
        <v>27</v>
      </c>
      <c r="AH605">
        <v>9570</v>
      </c>
      <c r="AI605" s="7">
        <v>45869</v>
      </c>
    </row>
    <row r="606" spans="1:35">
      <c r="A606">
        <v>658</v>
      </c>
      <c r="B606" t="str">
        <f t="shared" si="154"/>
        <v>USD</v>
      </c>
      <c r="C606">
        <f t="shared" si="155"/>
        <v>140</v>
      </c>
      <c r="D606">
        <f t="shared" si="146"/>
        <v>120.39999999999999</v>
      </c>
      <c r="E606">
        <f t="shared" si="147"/>
        <v>140</v>
      </c>
      <c r="F606">
        <v>2482.65</v>
      </c>
      <c r="G606">
        <f t="shared" si="148"/>
        <v>2135.0790000000002</v>
      </c>
      <c r="H606">
        <f t="shared" si="149"/>
        <v>2482.65</v>
      </c>
      <c r="I606">
        <f t="shared" si="156"/>
        <v>0</v>
      </c>
      <c r="J606">
        <f t="shared" si="150"/>
        <v>0</v>
      </c>
      <c r="K606" s="7">
        <f t="shared" si="157"/>
        <v>45904</v>
      </c>
      <c r="L606" s="7">
        <f t="shared" si="151"/>
        <v>45874</v>
      </c>
      <c r="M606">
        <f t="shared" si="152"/>
        <v>8</v>
      </c>
      <c r="N606">
        <f t="shared" si="153"/>
        <v>2025</v>
      </c>
      <c r="Q606" s="22">
        <v>862</v>
      </c>
      <c r="R606" s="22">
        <v>263.72000000000003</v>
      </c>
      <c r="S606" s="22" t="str">
        <f t="shared" si="158"/>
        <v>USD</v>
      </c>
      <c r="T606" s="22">
        <f t="shared" si="159"/>
        <v>263.72000000000003</v>
      </c>
      <c r="U606" s="28">
        <v>400</v>
      </c>
      <c r="W606" s="9">
        <v>424</v>
      </c>
      <c r="X606" s="9" t="s">
        <v>27</v>
      </c>
      <c r="AF606">
        <v>640</v>
      </c>
      <c r="AG606" t="s">
        <v>27</v>
      </c>
      <c r="AH606">
        <v>200</v>
      </c>
      <c r="AI606" s="7">
        <v>45901</v>
      </c>
    </row>
    <row r="607" spans="1:35">
      <c r="A607">
        <v>660</v>
      </c>
      <c r="B607" t="str">
        <f t="shared" si="154"/>
        <v>USD</v>
      </c>
      <c r="C607">
        <f t="shared" si="155"/>
        <v>0</v>
      </c>
      <c r="D607">
        <f t="shared" si="146"/>
        <v>0</v>
      </c>
      <c r="E607">
        <f t="shared" si="147"/>
        <v>0</v>
      </c>
      <c r="F607">
        <v>20000</v>
      </c>
      <c r="G607">
        <f t="shared" si="148"/>
        <v>17200</v>
      </c>
      <c r="H607">
        <f t="shared" si="149"/>
        <v>20000</v>
      </c>
      <c r="I607">
        <f t="shared" si="156"/>
        <v>0</v>
      </c>
      <c r="J607">
        <f t="shared" si="150"/>
        <v>0</v>
      </c>
      <c r="K607" s="7">
        <f t="shared" si="157"/>
        <v>45878</v>
      </c>
      <c r="L607" s="7">
        <f t="shared" si="151"/>
        <v>45848</v>
      </c>
      <c r="M607">
        <f t="shared" si="152"/>
        <v>7</v>
      </c>
      <c r="N607">
        <f t="shared" si="153"/>
        <v>2025</v>
      </c>
      <c r="Q607" s="22">
        <v>864</v>
      </c>
      <c r="R607" s="22">
        <v>287.76</v>
      </c>
      <c r="S607" s="22" t="str">
        <f t="shared" si="158"/>
        <v>USD</v>
      </c>
      <c r="T607" s="22">
        <f t="shared" si="159"/>
        <v>287.76</v>
      </c>
      <c r="U607" s="28">
        <v>400</v>
      </c>
      <c r="W607" s="9">
        <v>424</v>
      </c>
      <c r="X607" s="9" t="s">
        <v>27</v>
      </c>
      <c r="AF607">
        <v>641</v>
      </c>
      <c r="AG607" t="s">
        <v>29</v>
      </c>
      <c r="AH607">
        <v>55137.02</v>
      </c>
      <c r="AI607" s="7">
        <v>46006</v>
      </c>
    </row>
    <row r="608" spans="1:35">
      <c r="A608">
        <v>661</v>
      </c>
      <c r="B608" t="str">
        <f t="shared" si="154"/>
        <v>MXN</v>
      </c>
      <c r="C608">
        <f t="shared" si="155"/>
        <v>1330</v>
      </c>
      <c r="D608">
        <f t="shared" si="146"/>
        <v>63.84</v>
      </c>
      <c r="E608">
        <f t="shared" si="147"/>
        <v>74.48</v>
      </c>
      <c r="F608">
        <v>11434</v>
      </c>
      <c r="G608">
        <f t="shared" si="148"/>
        <v>548.83199999999999</v>
      </c>
      <c r="H608">
        <f t="shared" si="149"/>
        <v>640.30399999999997</v>
      </c>
      <c r="I608">
        <f t="shared" si="156"/>
        <v>0</v>
      </c>
      <c r="J608">
        <f t="shared" si="150"/>
        <v>0</v>
      </c>
      <c r="K608" s="7">
        <f t="shared" si="157"/>
        <v>45919</v>
      </c>
      <c r="L608" s="7">
        <f t="shared" si="151"/>
        <v>45889</v>
      </c>
      <c r="M608">
        <f t="shared" si="152"/>
        <v>8</v>
      </c>
      <c r="N608">
        <f t="shared" si="153"/>
        <v>2025</v>
      </c>
      <c r="Q608" s="22">
        <v>875</v>
      </c>
      <c r="R608" s="22">
        <v>3899.58</v>
      </c>
      <c r="S608" s="22" t="str">
        <f t="shared" si="158"/>
        <v>USD</v>
      </c>
      <c r="T608" s="22">
        <f t="shared" si="159"/>
        <v>3899.58</v>
      </c>
      <c r="U608" s="28">
        <v>400</v>
      </c>
      <c r="W608" s="9">
        <v>424</v>
      </c>
      <c r="X608" s="9" t="s">
        <v>27</v>
      </c>
      <c r="AF608">
        <v>642</v>
      </c>
      <c r="AG608" t="s">
        <v>27</v>
      </c>
      <c r="AH608">
        <v>7395</v>
      </c>
      <c r="AI608" s="7">
        <v>45907</v>
      </c>
    </row>
    <row r="609" spans="1:35">
      <c r="A609">
        <v>662</v>
      </c>
      <c r="B609" t="str">
        <f t="shared" si="154"/>
        <v>MXN</v>
      </c>
      <c r="C609">
        <f t="shared" si="155"/>
        <v>1330</v>
      </c>
      <c r="D609">
        <f t="shared" si="146"/>
        <v>63.84</v>
      </c>
      <c r="E609">
        <f t="shared" si="147"/>
        <v>74.48</v>
      </c>
      <c r="F609">
        <v>13936</v>
      </c>
      <c r="G609">
        <f t="shared" si="148"/>
        <v>668.928</v>
      </c>
      <c r="H609">
        <f t="shared" si="149"/>
        <v>780.41600000000005</v>
      </c>
      <c r="I609">
        <f t="shared" si="156"/>
        <v>0</v>
      </c>
      <c r="J609">
        <f t="shared" si="150"/>
        <v>0</v>
      </c>
      <c r="K609" s="7">
        <f t="shared" si="157"/>
        <v>45919</v>
      </c>
      <c r="L609" s="7">
        <f t="shared" si="151"/>
        <v>45889</v>
      </c>
      <c r="M609">
        <f t="shared" si="152"/>
        <v>8</v>
      </c>
      <c r="N609">
        <f t="shared" si="153"/>
        <v>2025</v>
      </c>
      <c r="Q609" s="22">
        <v>876</v>
      </c>
      <c r="R609" s="22">
        <v>508.64</v>
      </c>
      <c r="S609" s="22" t="str">
        <f t="shared" si="158"/>
        <v>USD</v>
      </c>
      <c r="T609" s="22">
        <f t="shared" si="159"/>
        <v>508.64</v>
      </c>
      <c r="U609" s="28">
        <v>400</v>
      </c>
      <c r="W609" s="9">
        <v>424</v>
      </c>
      <c r="X609" s="9" t="s">
        <v>27</v>
      </c>
      <c r="AF609">
        <v>643</v>
      </c>
      <c r="AG609" t="s">
        <v>33</v>
      </c>
      <c r="AH609">
        <v>1320000</v>
      </c>
      <c r="AI609" s="7">
        <v>45964</v>
      </c>
    </row>
    <row r="610" spans="1:35">
      <c r="A610">
        <v>663</v>
      </c>
      <c r="B610" t="str">
        <f t="shared" si="154"/>
        <v>EUR</v>
      </c>
      <c r="C610">
        <f t="shared" si="155"/>
        <v>400000</v>
      </c>
      <c r="D610">
        <f t="shared" si="146"/>
        <v>400000</v>
      </c>
      <c r="E610">
        <f t="shared" si="147"/>
        <v>463999.99999999994</v>
      </c>
      <c r="F610">
        <v>400000</v>
      </c>
      <c r="G610">
        <f t="shared" si="148"/>
        <v>400000</v>
      </c>
      <c r="H610">
        <f t="shared" si="149"/>
        <v>463999.99999999994</v>
      </c>
      <c r="I610">
        <f t="shared" si="156"/>
        <v>0</v>
      </c>
      <c r="J610">
        <f t="shared" si="150"/>
        <v>0</v>
      </c>
      <c r="K610" s="7">
        <f t="shared" si="157"/>
        <v>46011</v>
      </c>
      <c r="L610" s="7">
        <f t="shared" si="151"/>
        <v>45981</v>
      </c>
      <c r="M610">
        <f t="shared" si="152"/>
        <v>11</v>
      </c>
      <c r="N610">
        <f t="shared" si="153"/>
        <v>2025</v>
      </c>
      <c r="Q610" s="22">
        <v>877</v>
      </c>
      <c r="R610" s="22">
        <v>10000</v>
      </c>
      <c r="S610" s="22" t="str">
        <f t="shared" si="158"/>
        <v>USD</v>
      </c>
      <c r="T610" s="22">
        <f t="shared" si="159"/>
        <v>10000</v>
      </c>
      <c r="U610" s="28">
        <v>400</v>
      </c>
      <c r="W610" s="9">
        <v>424</v>
      </c>
      <c r="X610" s="9" t="s">
        <v>27</v>
      </c>
      <c r="AF610">
        <v>644</v>
      </c>
      <c r="AG610" t="s">
        <v>29</v>
      </c>
      <c r="AH610">
        <v>3017.44</v>
      </c>
      <c r="AI610" s="7">
        <v>45802</v>
      </c>
    </row>
    <row r="611" spans="1:35">
      <c r="A611">
        <v>664</v>
      </c>
      <c r="B611" t="str">
        <f t="shared" si="154"/>
        <v>USD</v>
      </c>
      <c r="C611">
        <f t="shared" si="155"/>
        <v>0</v>
      </c>
      <c r="D611">
        <f t="shared" si="146"/>
        <v>0</v>
      </c>
      <c r="E611">
        <f t="shared" si="147"/>
        <v>0</v>
      </c>
      <c r="F611">
        <v>940</v>
      </c>
      <c r="G611">
        <f t="shared" si="148"/>
        <v>808.4</v>
      </c>
      <c r="H611">
        <f t="shared" si="149"/>
        <v>940</v>
      </c>
      <c r="I611">
        <f t="shared" si="156"/>
        <v>0</v>
      </c>
      <c r="J611">
        <f t="shared" si="150"/>
        <v>0</v>
      </c>
      <c r="K611" s="7">
        <f t="shared" si="157"/>
        <v>45861</v>
      </c>
      <c r="L611" s="7">
        <f t="shared" si="151"/>
        <v>45831</v>
      </c>
      <c r="M611">
        <f t="shared" si="152"/>
        <v>6</v>
      </c>
      <c r="N611">
        <f t="shared" si="153"/>
        <v>2025</v>
      </c>
      <c r="Q611" s="22">
        <v>879</v>
      </c>
      <c r="R611" s="22">
        <v>5281.02</v>
      </c>
      <c r="S611" s="22" t="str">
        <f t="shared" si="158"/>
        <v>USD</v>
      </c>
      <c r="T611" s="22">
        <f t="shared" si="159"/>
        <v>5281.02</v>
      </c>
      <c r="U611" s="28">
        <v>400</v>
      </c>
      <c r="W611" s="9">
        <v>427</v>
      </c>
      <c r="X611" s="9" t="s">
        <v>29</v>
      </c>
      <c r="AF611">
        <v>645</v>
      </c>
      <c r="AG611" t="s">
        <v>29</v>
      </c>
      <c r="AH611">
        <v>2566.4</v>
      </c>
      <c r="AI611" s="7">
        <v>45789</v>
      </c>
    </row>
    <row r="612" spans="1:35">
      <c r="A612">
        <v>665</v>
      </c>
      <c r="B612" t="str">
        <f t="shared" si="154"/>
        <v>USD</v>
      </c>
      <c r="C612">
        <f t="shared" si="155"/>
        <v>0</v>
      </c>
      <c r="D612">
        <f t="shared" si="146"/>
        <v>0</v>
      </c>
      <c r="E612">
        <f t="shared" si="147"/>
        <v>0</v>
      </c>
      <c r="F612">
        <v>5733.7</v>
      </c>
      <c r="G612">
        <f t="shared" si="148"/>
        <v>4930.982</v>
      </c>
      <c r="H612">
        <f t="shared" si="149"/>
        <v>5733.7</v>
      </c>
      <c r="I612">
        <f t="shared" si="156"/>
        <v>9.0949470177292824E-13</v>
      </c>
      <c r="J612">
        <f t="shared" si="150"/>
        <v>9.0949470177292824E-13</v>
      </c>
      <c r="K612" s="7">
        <f t="shared" si="157"/>
        <v>45815</v>
      </c>
      <c r="L612" s="7">
        <f t="shared" si="151"/>
        <v>45785</v>
      </c>
      <c r="M612">
        <f t="shared" si="152"/>
        <v>5</v>
      </c>
      <c r="N612">
        <f t="shared" si="153"/>
        <v>2025</v>
      </c>
      <c r="Q612" s="22">
        <v>880</v>
      </c>
      <c r="R612" s="22">
        <v>7141.22</v>
      </c>
      <c r="S612" s="22" t="str">
        <f t="shared" si="158"/>
        <v>USD</v>
      </c>
      <c r="T612" s="22">
        <f t="shared" si="159"/>
        <v>7141.22</v>
      </c>
      <c r="U612" s="28">
        <v>400</v>
      </c>
      <c r="W612" s="9">
        <v>427</v>
      </c>
      <c r="X612" s="9" t="s">
        <v>29</v>
      </c>
      <c r="AF612">
        <v>646</v>
      </c>
      <c r="AG612" t="s">
        <v>29</v>
      </c>
      <c r="AH612">
        <v>1515.02</v>
      </c>
      <c r="AI612" s="7">
        <v>45800</v>
      </c>
    </row>
    <row r="613" spans="1:35">
      <c r="A613">
        <v>666</v>
      </c>
      <c r="B613" t="str">
        <f t="shared" si="154"/>
        <v>EUR</v>
      </c>
      <c r="C613">
        <f t="shared" si="155"/>
        <v>2955</v>
      </c>
      <c r="D613">
        <f t="shared" si="146"/>
        <v>2955</v>
      </c>
      <c r="E613">
        <f t="shared" si="147"/>
        <v>3427.7999999999997</v>
      </c>
      <c r="F613">
        <v>2955</v>
      </c>
      <c r="G613">
        <f t="shared" si="148"/>
        <v>2955</v>
      </c>
      <c r="H613">
        <f t="shared" si="149"/>
        <v>3427.7999999999997</v>
      </c>
      <c r="I613">
        <f t="shared" si="156"/>
        <v>0</v>
      </c>
      <c r="J613">
        <f t="shared" si="150"/>
        <v>0</v>
      </c>
      <c r="K613" s="7">
        <f t="shared" si="157"/>
        <v>45910</v>
      </c>
      <c r="L613" s="7">
        <f t="shared" si="151"/>
        <v>45880</v>
      </c>
      <c r="M613">
        <f t="shared" si="152"/>
        <v>8</v>
      </c>
      <c r="N613">
        <f t="shared" si="153"/>
        <v>2025</v>
      </c>
      <c r="Q613" s="22">
        <v>882</v>
      </c>
      <c r="R613" s="22">
        <v>427120</v>
      </c>
      <c r="S613" s="22" t="str">
        <f t="shared" si="158"/>
        <v>JPY</v>
      </c>
      <c r="T613" s="22">
        <f t="shared" si="159"/>
        <v>2733.5680000000002</v>
      </c>
      <c r="U613" s="28">
        <v>400</v>
      </c>
      <c r="W613" s="9">
        <v>427</v>
      </c>
      <c r="X613" s="9" t="s">
        <v>29</v>
      </c>
      <c r="AF613">
        <v>647</v>
      </c>
      <c r="AG613" t="s">
        <v>29</v>
      </c>
      <c r="AH613">
        <v>1200</v>
      </c>
      <c r="AI613" s="7">
        <v>45796</v>
      </c>
    </row>
    <row r="614" spans="1:35">
      <c r="A614">
        <v>667</v>
      </c>
      <c r="B614" t="str">
        <f t="shared" si="154"/>
        <v>USD</v>
      </c>
      <c r="C614">
        <f t="shared" si="155"/>
        <v>0</v>
      </c>
      <c r="D614">
        <f t="shared" si="146"/>
        <v>0</v>
      </c>
      <c r="E614">
        <f t="shared" si="147"/>
        <v>0</v>
      </c>
      <c r="F614">
        <v>8228</v>
      </c>
      <c r="G614">
        <f t="shared" si="148"/>
        <v>7076.08</v>
      </c>
      <c r="H614">
        <f t="shared" si="149"/>
        <v>8228</v>
      </c>
      <c r="I614">
        <f t="shared" si="156"/>
        <v>0</v>
      </c>
      <c r="J614">
        <f t="shared" si="150"/>
        <v>0</v>
      </c>
      <c r="K614" s="7">
        <f t="shared" si="157"/>
        <v>45951</v>
      </c>
      <c r="L614" s="7">
        <f t="shared" si="151"/>
        <v>45921</v>
      </c>
      <c r="M614">
        <f t="shared" si="152"/>
        <v>9</v>
      </c>
      <c r="N614">
        <f t="shared" si="153"/>
        <v>2025</v>
      </c>
      <c r="Q614" s="22">
        <v>884</v>
      </c>
      <c r="R614" s="22">
        <v>759.07</v>
      </c>
      <c r="S614" s="22" t="str">
        <f t="shared" si="158"/>
        <v>USD</v>
      </c>
      <c r="T614" s="22">
        <f t="shared" si="159"/>
        <v>759.07</v>
      </c>
      <c r="U614" s="28">
        <v>400</v>
      </c>
      <c r="W614" s="9">
        <v>427</v>
      </c>
      <c r="X614" s="9" t="s">
        <v>29</v>
      </c>
      <c r="AF614">
        <v>648</v>
      </c>
      <c r="AG614" t="s">
        <v>33</v>
      </c>
      <c r="AH614">
        <v>3120143</v>
      </c>
      <c r="AI614" s="7">
        <v>46094</v>
      </c>
    </row>
    <row r="615" spans="1:35">
      <c r="A615">
        <v>668</v>
      </c>
      <c r="B615" t="str">
        <f t="shared" si="154"/>
        <v>EUR</v>
      </c>
      <c r="C615">
        <f t="shared" si="155"/>
        <v>0</v>
      </c>
      <c r="D615">
        <f t="shared" si="146"/>
        <v>0</v>
      </c>
      <c r="E615">
        <f t="shared" si="147"/>
        <v>0</v>
      </c>
      <c r="F615">
        <v>4700</v>
      </c>
      <c r="G615">
        <f t="shared" si="148"/>
        <v>4700</v>
      </c>
      <c r="H615">
        <f t="shared" si="149"/>
        <v>5452</v>
      </c>
      <c r="I615">
        <f t="shared" si="156"/>
        <v>0</v>
      </c>
      <c r="J615">
        <f t="shared" si="150"/>
        <v>0</v>
      </c>
      <c r="K615" s="7">
        <f t="shared" si="157"/>
        <v>45772</v>
      </c>
      <c r="L615" s="7">
        <f t="shared" si="151"/>
        <v>45742</v>
      </c>
      <c r="M615">
        <f t="shared" si="152"/>
        <v>3</v>
      </c>
      <c r="N615">
        <f t="shared" si="153"/>
        <v>2025</v>
      </c>
      <c r="Q615" s="22">
        <v>891</v>
      </c>
      <c r="R615" s="22">
        <v>5550906</v>
      </c>
      <c r="S615" s="22" t="str">
        <f t="shared" si="158"/>
        <v>MXN</v>
      </c>
      <c r="T615" s="22">
        <f t="shared" si="159"/>
        <v>310850.73600000003</v>
      </c>
      <c r="U615" s="28">
        <v>400</v>
      </c>
      <c r="W615" s="9">
        <v>427</v>
      </c>
      <c r="X615" s="9" t="s">
        <v>29</v>
      </c>
      <c r="AF615">
        <v>649</v>
      </c>
      <c r="AG615" t="s">
        <v>29</v>
      </c>
      <c r="AH615">
        <v>13274.97</v>
      </c>
      <c r="AI615" s="7">
        <v>46009</v>
      </c>
    </row>
    <row r="616" spans="1:35">
      <c r="A616">
        <v>669</v>
      </c>
      <c r="B616" t="str">
        <f t="shared" si="154"/>
        <v>USD</v>
      </c>
      <c r="C616">
        <f t="shared" si="155"/>
        <v>0</v>
      </c>
      <c r="D616">
        <f t="shared" si="146"/>
        <v>0</v>
      </c>
      <c r="E616">
        <f t="shared" si="147"/>
        <v>0</v>
      </c>
      <c r="F616">
        <v>2004.02</v>
      </c>
      <c r="G616">
        <f t="shared" si="148"/>
        <v>1723.4572000000001</v>
      </c>
      <c r="H616">
        <f t="shared" si="149"/>
        <v>2004.02</v>
      </c>
      <c r="I616">
        <f t="shared" si="156"/>
        <v>0</v>
      </c>
      <c r="J616">
        <f t="shared" si="150"/>
        <v>0</v>
      </c>
      <c r="K616" s="7">
        <f t="shared" si="157"/>
        <v>45854</v>
      </c>
      <c r="L616" s="7">
        <f t="shared" si="151"/>
        <v>45824</v>
      </c>
      <c r="M616">
        <f t="shared" si="152"/>
        <v>6</v>
      </c>
      <c r="N616">
        <f t="shared" si="153"/>
        <v>2025</v>
      </c>
      <c r="Q616" s="22">
        <v>892</v>
      </c>
      <c r="R616" s="22">
        <v>4772.49</v>
      </c>
      <c r="S616" s="22" t="str">
        <f t="shared" si="158"/>
        <v>USD</v>
      </c>
      <c r="T616" s="22">
        <f t="shared" si="159"/>
        <v>4772.49</v>
      </c>
      <c r="U616" s="28">
        <v>400</v>
      </c>
      <c r="W616" s="9">
        <v>427</v>
      </c>
      <c r="X616" s="9" t="s">
        <v>29</v>
      </c>
      <c r="AF616">
        <v>650</v>
      </c>
      <c r="AG616" t="s">
        <v>27</v>
      </c>
      <c r="AH616">
        <v>1928.28</v>
      </c>
      <c r="AI616" s="7">
        <v>45896</v>
      </c>
    </row>
    <row r="617" spans="1:35">
      <c r="A617">
        <v>670</v>
      </c>
      <c r="B617" t="str">
        <f t="shared" si="154"/>
        <v>USD</v>
      </c>
      <c r="C617">
        <f t="shared" si="155"/>
        <v>0</v>
      </c>
      <c r="D617">
        <f t="shared" si="146"/>
        <v>0</v>
      </c>
      <c r="E617">
        <f t="shared" si="147"/>
        <v>0</v>
      </c>
      <c r="F617">
        <v>4956.01</v>
      </c>
      <c r="G617">
        <f t="shared" si="148"/>
        <v>4262.1686</v>
      </c>
      <c r="H617">
        <f t="shared" si="149"/>
        <v>4956.01</v>
      </c>
      <c r="I617">
        <f t="shared" si="156"/>
        <v>0</v>
      </c>
      <c r="J617">
        <f t="shared" si="150"/>
        <v>0</v>
      </c>
      <c r="K617" s="7">
        <f t="shared" si="157"/>
        <v>45911</v>
      </c>
      <c r="L617" s="7">
        <f t="shared" si="151"/>
        <v>45881</v>
      </c>
      <c r="M617">
        <f t="shared" si="152"/>
        <v>8</v>
      </c>
      <c r="N617">
        <f t="shared" si="153"/>
        <v>2025</v>
      </c>
      <c r="Q617" s="22">
        <v>896</v>
      </c>
      <c r="R617" s="22">
        <v>12935.9</v>
      </c>
      <c r="S617" s="22" t="str">
        <f t="shared" si="158"/>
        <v>USD</v>
      </c>
      <c r="T617" s="22">
        <f t="shared" si="159"/>
        <v>12935.9</v>
      </c>
      <c r="U617" s="28">
        <v>400</v>
      </c>
      <c r="W617" s="9">
        <v>427</v>
      </c>
      <c r="X617" s="9" t="s">
        <v>29</v>
      </c>
      <c r="AF617">
        <v>651</v>
      </c>
      <c r="AG617" t="s">
        <v>29</v>
      </c>
      <c r="AH617">
        <v>4760</v>
      </c>
      <c r="AI617" s="7">
        <v>45953</v>
      </c>
    </row>
    <row r="618" spans="1:35">
      <c r="A618">
        <v>671</v>
      </c>
      <c r="B618" t="str">
        <f t="shared" si="154"/>
        <v>USD</v>
      </c>
      <c r="C618">
        <f t="shared" si="155"/>
        <v>0</v>
      </c>
      <c r="D618">
        <f t="shared" si="146"/>
        <v>0</v>
      </c>
      <c r="E618">
        <f t="shared" si="147"/>
        <v>0</v>
      </c>
      <c r="F618">
        <v>5985</v>
      </c>
      <c r="G618">
        <f t="shared" si="148"/>
        <v>5147.1000000000004</v>
      </c>
      <c r="H618">
        <f t="shared" si="149"/>
        <v>5985</v>
      </c>
      <c r="I618">
        <f t="shared" si="156"/>
        <v>0</v>
      </c>
      <c r="J618">
        <f t="shared" si="150"/>
        <v>0</v>
      </c>
      <c r="K618" s="7">
        <f t="shared" si="157"/>
        <v>46143</v>
      </c>
      <c r="L618" s="7">
        <f t="shared" si="151"/>
        <v>46113</v>
      </c>
      <c r="M618">
        <f t="shared" si="152"/>
        <v>4</v>
      </c>
      <c r="N618">
        <f t="shared" si="153"/>
        <v>2026</v>
      </c>
      <c r="Q618" s="22">
        <v>899</v>
      </c>
      <c r="R618" s="22">
        <v>653.5</v>
      </c>
      <c r="S618" s="22" t="str">
        <f t="shared" si="158"/>
        <v>USD</v>
      </c>
      <c r="T618" s="22">
        <f t="shared" si="159"/>
        <v>653.5</v>
      </c>
      <c r="U618" s="28">
        <v>400</v>
      </c>
      <c r="W618" s="9">
        <v>427</v>
      </c>
      <c r="X618" s="9" t="s">
        <v>29</v>
      </c>
      <c r="AF618">
        <v>652</v>
      </c>
      <c r="AG618" t="s">
        <v>27</v>
      </c>
      <c r="AH618">
        <v>1990</v>
      </c>
      <c r="AI618" s="7">
        <v>45921</v>
      </c>
    </row>
    <row r="619" spans="1:35">
      <c r="A619">
        <v>672</v>
      </c>
      <c r="B619" t="str">
        <f t="shared" si="154"/>
        <v>EUR</v>
      </c>
      <c r="C619">
        <f t="shared" si="155"/>
        <v>120.00000000000364</v>
      </c>
      <c r="D619">
        <f t="shared" si="146"/>
        <v>120.00000000000364</v>
      </c>
      <c r="E619">
        <f t="shared" si="147"/>
        <v>139.20000000000422</v>
      </c>
      <c r="F619">
        <v>20193.97</v>
      </c>
      <c r="G619">
        <f t="shared" si="148"/>
        <v>20193.97</v>
      </c>
      <c r="H619">
        <f t="shared" si="149"/>
        <v>23425.0052</v>
      </c>
      <c r="I619">
        <f t="shared" si="156"/>
        <v>0</v>
      </c>
      <c r="J619">
        <f t="shared" si="150"/>
        <v>0</v>
      </c>
      <c r="K619" s="7">
        <f t="shared" si="157"/>
        <v>45904</v>
      </c>
      <c r="L619" s="7">
        <f t="shared" si="151"/>
        <v>45874</v>
      </c>
      <c r="M619">
        <f t="shared" si="152"/>
        <v>8</v>
      </c>
      <c r="N619">
        <f t="shared" si="153"/>
        <v>2025</v>
      </c>
      <c r="Q619" s="22">
        <v>901</v>
      </c>
      <c r="R619" s="22">
        <v>6429.5</v>
      </c>
      <c r="S619" s="22" t="str">
        <f t="shared" si="158"/>
        <v>EUR</v>
      </c>
      <c r="T619" s="22">
        <f t="shared" si="159"/>
        <v>7458.2199999999993</v>
      </c>
      <c r="U619" s="28">
        <v>400</v>
      </c>
      <c r="W619" s="9">
        <v>427</v>
      </c>
      <c r="X619" s="9" t="s">
        <v>29</v>
      </c>
      <c r="AF619">
        <v>653</v>
      </c>
      <c r="AG619" t="s">
        <v>29</v>
      </c>
      <c r="AH619">
        <v>260</v>
      </c>
      <c r="AI619" s="7">
        <v>46153</v>
      </c>
    </row>
    <row r="620" spans="1:35">
      <c r="A620">
        <v>673</v>
      </c>
      <c r="B620" t="str">
        <f t="shared" si="154"/>
        <v>USD</v>
      </c>
      <c r="C620">
        <f t="shared" si="155"/>
        <v>0</v>
      </c>
      <c r="D620">
        <f t="shared" si="146"/>
        <v>0</v>
      </c>
      <c r="E620">
        <f t="shared" si="147"/>
        <v>0</v>
      </c>
      <c r="F620">
        <v>1876.62</v>
      </c>
      <c r="G620">
        <f t="shared" si="148"/>
        <v>1613.8932</v>
      </c>
      <c r="H620">
        <f t="shared" si="149"/>
        <v>1876.62</v>
      </c>
      <c r="I620">
        <f t="shared" si="156"/>
        <v>0</v>
      </c>
      <c r="J620">
        <f t="shared" si="150"/>
        <v>0</v>
      </c>
      <c r="K620" s="7">
        <f t="shared" si="157"/>
        <v>46172</v>
      </c>
      <c r="L620" s="7">
        <f t="shared" si="151"/>
        <v>46142</v>
      </c>
      <c r="M620">
        <f t="shared" si="152"/>
        <v>4</v>
      </c>
      <c r="N620">
        <f t="shared" si="153"/>
        <v>2026</v>
      </c>
      <c r="Q620" s="22">
        <v>902</v>
      </c>
      <c r="R620" s="22">
        <v>16350.41</v>
      </c>
      <c r="S620" s="22" t="str">
        <f t="shared" si="158"/>
        <v>USD</v>
      </c>
      <c r="T620" s="22">
        <f t="shared" si="159"/>
        <v>16350.41</v>
      </c>
      <c r="U620" s="28">
        <v>400</v>
      </c>
      <c r="W620" s="9">
        <v>427</v>
      </c>
      <c r="X620" s="9" t="s">
        <v>29</v>
      </c>
      <c r="AF620">
        <v>654</v>
      </c>
      <c r="AG620" t="s">
        <v>29</v>
      </c>
      <c r="AH620">
        <v>1980</v>
      </c>
      <c r="AI620" s="7">
        <v>46158</v>
      </c>
    </row>
    <row r="621" spans="1:35">
      <c r="A621">
        <v>674</v>
      </c>
      <c r="B621" t="str">
        <f t="shared" si="154"/>
        <v>USD</v>
      </c>
      <c r="C621">
        <f t="shared" si="155"/>
        <v>0</v>
      </c>
      <c r="D621">
        <f t="shared" si="146"/>
        <v>0</v>
      </c>
      <c r="E621">
        <f t="shared" si="147"/>
        <v>0</v>
      </c>
      <c r="F621">
        <v>3108.73</v>
      </c>
      <c r="G621">
        <f t="shared" si="148"/>
        <v>2673.5077999999999</v>
      </c>
      <c r="H621">
        <f t="shared" si="149"/>
        <v>3108.73</v>
      </c>
      <c r="I621">
        <f t="shared" si="156"/>
        <v>0</v>
      </c>
      <c r="J621">
        <f t="shared" si="150"/>
        <v>0</v>
      </c>
      <c r="K621" s="7">
        <f t="shared" si="157"/>
        <v>46171</v>
      </c>
      <c r="L621" s="7">
        <f t="shared" si="151"/>
        <v>46141</v>
      </c>
      <c r="M621">
        <f t="shared" si="152"/>
        <v>4</v>
      </c>
      <c r="N621">
        <f t="shared" si="153"/>
        <v>2026</v>
      </c>
      <c r="Q621" s="22">
        <v>904</v>
      </c>
      <c r="R621" s="22">
        <v>6818</v>
      </c>
      <c r="S621" s="22" t="str">
        <f t="shared" si="158"/>
        <v>USD</v>
      </c>
      <c r="T621" s="22">
        <f t="shared" si="159"/>
        <v>6818</v>
      </c>
      <c r="U621" s="28">
        <v>400</v>
      </c>
      <c r="W621" s="9">
        <v>427</v>
      </c>
      <c r="X621" s="9" t="s">
        <v>29</v>
      </c>
      <c r="AF621">
        <v>655</v>
      </c>
      <c r="AG621" t="s">
        <v>29</v>
      </c>
      <c r="AH621">
        <v>5384.78</v>
      </c>
      <c r="AI621" s="7">
        <v>45921</v>
      </c>
    </row>
    <row r="622" spans="1:35">
      <c r="A622">
        <v>675</v>
      </c>
      <c r="B622" t="str">
        <f t="shared" si="154"/>
        <v>USD</v>
      </c>
      <c r="C622">
        <f t="shared" si="155"/>
        <v>0</v>
      </c>
      <c r="D622">
        <f t="shared" si="146"/>
        <v>0</v>
      </c>
      <c r="E622">
        <f t="shared" si="147"/>
        <v>0</v>
      </c>
      <c r="F622">
        <v>1816.94</v>
      </c>
      <c r="G622">
        <f t="shared" si="148"/>
        <v>1562.5684000000001</v>
      </c>
      <c r="H622">
        <f t="shared" si="149"/>
        <v>1816.94</v>
      </c>
      <c r="I622">
        <f t="shared" si="156"/>
        <v>0</v>
      </c>
      <c r="J622">
        <f t="shared" si="150"/>
        <v>0</v>
      </c>
      <c r="K622" s="7">
        <f t="shared" si="157"/>
        <v>45916</v>
      </c>
      <c r="L622" s="7">
        <f t="shared" si="151"/>
        <v>45886</v>
      </c>
      <c r="M622">
        <f t="shared" si="152"/>
        <v>8</v>
      </c>
      <c r="N622">
        <f t="shared" si="153"/>
        <v>2025</v>
      </c>
      <c r="Q622" s="22">
        <v>908</v>
      </c>
      <c r="R622" s="22">
        <v>7177.03</v>
      </c>
      <c r="S622" s="22" t="str">
        <f t="shared" si="158"/>
        <v>USD</v>
      </c>
      <c r="T622" s="22">
        <f t="shared" si="159"/>
        <v>7177.03</v>
      </c>
      <c r="U622" s="28">
        <v>400</v>
      </c>
      <c r="W622" s="9">
        <v>427</v>
      </c>
      <c r="X622" s="9" t="s">
        <v>29</v>
      </c>
      <c r="AF622">
        <v>656</v>
      </c>
      <c r="AG622" t="s">
        <v>29</v>
      </c>
      <c r="AH622">
        <v>691.98</v>
      </c>
      <c r="AI622" s="7">
        <v>45929</v>
      </c>
    </row>
    <row r="623" spans="1:35">
      <c r="A623">
        <v>676</v>
      </c>
      <c r="B623" t="str">
        <f t="shared" si="154"/>
        <v>EUR</v>
      </c>
      <c r="C623">
        <f t="shared" si="155"/>
        <v>0</v>
      </c>
      <c r="D623">
        <f t="shared" si="146"/>
        <v>0</v>
      </c>
      <c r="E623">
        <f t="shared" si="147"/>
        <v>0</v>
      </c>
      <c r="F623">
        <v>19036.89</v>
      </c>
      <c r="G623">
        <f t="shared" si="148"/>
        <v>19036.89</v>
      </c>
      <c r="H623">
        <f t="shared" si="149"/>
        <v>22082.792399999998</v>
      </c>
      <c r="I623">
        <f t="shared" si="156"/>
        <v>0</v>
      </c>
      <c r="J623">
        <f t="shared" si="150"/>
        <v>0</v>
      </c>
      <c r="K623" s="7">
        <f t="shared" si="157"/>
        <v>45946</v>
      </c>
      <c r="L623" s="7">
        <f t="shared" si="151"/>
        <v>45916</v>
      </c>
      <c r="M623">
        <f t="shared" si="152"/>
        <v>9</v>
      </c>
      <c r="N623">
        <f t="shared" si="153"/>
        <v>2025</v>
      </c>
      <c r="Q623" s="22">
        <v>909</v>
      </c>
      <c r="R623" s="22">
        <v>31592</v>
      </c>
      <c r="S623" s="22" t="str">
        <f t="shared" si="158"/>
        <v>MXN</v>
      </c>
      <c r="T623" s="22">
        <f t="shared" si="159"/>
        <v>1769.152</v>
      </c>
      <c r="U623" s="28">
        <v>400</v>
      </c>
      <c r="W623" s="9">
        <v>427</v>
      </c>
      <c r="X623" s="9" t="s">
        <v>29</v>
      </c>
      <c r="AF623">
        <v>657</v>
      </c>
      <c r="AG623" t="s">
        <v>29</v>
      </c>
      <c r="AH623">
        <v>2724.75</v>
      </c>
      <c r="AI623" s="7">
        <v>45826</v>
      </c>
    </row>
    <row r="624" spans="1:35">
      <c r="A624">
        <v>677</v>
      </c>
      <c r="B624" t="str">
        <f t="shared" si="154"/>
        <v>EUR</v>
      </c>
      <c r="C624">
        <f t="shared" si="155"/>
        <v>10350.17</v>
      </c>
      <c r="D624">
        <f t="shared" si="146"/>
        <v>10350.17</v>
      </c>
      <c r="E624">
        <f t="shared" si="147"/>
        <v>12006.197199999999</v>
      </c>
      <c r="F624">
        <v>10350.17</v>
      </c>
      <c r="G624">
        <f t="shared" si="148"/>
        <v>10350.17</v>
      </c>
      <c r="H624">
        <f t="shared" si="149"/>
        <v>12006.197199999999</v>
      </c>
      <c r="I624">
        <f t="shared" si="156"/>
        <v>0</v>
      </c>
      <c r="J624">
        <f t="shared" si="150"/>
        <v>0</v>
      </c>
      <c r="K624" s="7">
        <f t="shared" si="157"/>
        <v>45924</v>
      </c>
      <c r="L624" s="7">
        <f t="shared" si="151"/>
        <v>45894</v>
      </c>
      <c r="M624">
        <f t="shared" si="152"/>
        <v>8</v>
      </c>
      <c r="N624">
        <f t="shared" si="153"/>
        <v>2025</v>
      </c>
      <c r="Q624" s="22">
        <v>910</v>
      </c>
      <c r="R624" s="22">
        <v>767.06</v>
      </c>
      <c r="S624" s="22" t="str">
        <f t="shared" si="158"/>
        <v>USD</v>
      </c>
      <c r="T624" s="22">
        <f t="shared" si="159"/>
        <v>767.06</v>
      </c>
      <c r="U624" s="28">
        <v>400</v>
      </c>
      <c r="W624" s="9">
        <v>427</v>
      </c>
      <c r="X624" s="9" t="s">
        <v>29</v>
      </c>
      <c r="AF624">
        <v>658</v>
      </c>
      <c r="AG624" t="s">
        <v>29</v>
      </c>
      <c r="AH624">
        <v>2482.65</v>
      </c>
      <c r="AI624" s="7">
        <v>45904</v>
      </c>
    </row>
    <row r="625" spans="1:35">
      <c r="A625">
        <v>678</v>
      </c>
      <c r="B625" t="str">
        <f t="shared" si="154"/>
        <v>USD</v>
      </c>
      <c r="C625">
        <f t="shared" si="155"/>
        <v>0</v>
      </c>
      <c r="D625">
        <f t="shared" si="146"/>
        <v>0</v>
      </c>
      <c r="E625">
        <f t="shared" si="147"/>
        <v>0</v>
      </c>
      <c r="F625">
        <v>2313.5</v>
      </c>
      <c r="G625">
        <f t="shared" si="148"/>
        <v>1989.61</v>
      </c>
      <c r="H625">
        <f t="shared" si="149"/>
        <v>2313.5</v>
      </c>
      <c r="I625">
        <f t="shared" si="156"/>
        <v>0</v>
      </c>
      <c r="J625">
        <f t="shared" si="150"/>
        <v>0</v>
      </c>
      <c r="K625" s="7">
        <f t="shared" si="157"/>
        <v>45885</v>
      </c>
      <c r="L625" s="7">
        <f t="shared" si="151"/>
        <v>45855</v>
      </c>
      <c r="M625">
        <f t="shared" si="152"/>
        <v>7</v>
      </c>
      <c r="N625">
        <f t="shared" si="153"/>
        <v>2025</v>
      </c>
      <c r="Q625" s="22">
        <v>911</v>
      </c>
      <c r="R625" s="22">
        <v>13252</v>
      </c>
      <c r="S625" s="22" t="str">
        <f t="shared" si="158"/>
        <v>USD</v>
      </c>
      <c r="T625" s="22">
        <f t="shared" si="159"/>
        <v>13252</v>
      </c>
      <c r="U625" s="28">
        <v>400</v>
      </c>
      <c r="W625" s="9">
        <v>427</v>
      </c>
      <c r="X625" s="9" t="s">
        <v>29</v>
      </c>
      <c r="AF625">
        <v>660</v>
      </c>
      <c r="AG625" t="s">
        <v>29</v>
      </c>
      <c r="AH625">
        <v>20000</v>
      </c>
      <c r="AI625" s="7">
        <v>45878</v>
      </c>
    </row>
    <row r="626" spans="1:35">
      <c r="A626">
        <v>679</v>
      </c>
      <c r="B626" t="str">
        <f t="shared" si="154"/>
        <v>USD</v>
      </c>
      <c r="C626">
        <f t="shared" si="155"/>
        <v>0</v>
      </c>
      <c r="D626">
        <f t="shared" si="146"/>
        <v>0</v>
      </c>
      <c r="E626">
        <f t="shared" si="147"/>
        <v>0</v>
      </c>
      <c r="F626">
        <v>11383</v>
      </c>
      <c r="G626">
        <f t="shared" si="148"/>
        <v>9789.3799999999992</v>
      </c>
      <c r="H626">
        <f t="shared" si="149"/>
        <v>11383</v>
      </c>
      <c r="I626">
        <f t="shared" si="156"/>
        <v>0</v>
      </c>
      <c r="J626">
        <f t="shared" si="150"/>
        <v>0</v>
      </c>
      <c r="K626" s="7">
        <f t="shared" si="157"/>
        <v>45911</v>
      </c>
      <c r="L626" s="7">
        <f t="shared" si="151"/>
        <v>45881</v>
      </c>
      <c r="M626">
        <f t="shared" si="152"/>
        <v>8</v>
      </c>
      <c r="N626">
        <f t="shared" si="153"/>
        <v>2025</v>
      </c>
      <c r="Q626" s="22">
        <v>912</v>
      </c>
      <c r="R626" s="22">
        <v>2058</v>
      </c>
      <c r="S626" s="22" t="str">
        <f t="shared" si="158"/>
        <v>USD</v>
      </c>
      <c r="T626" s="22">
        <f t="shared" si="159"/>
        <v>2058</v>
      </c>
      <c r="U626" s="28">
        <v>400</v>
      </c>
      <c r="W626" s="9">
        <v>427</v>
      </c>
      <c r="X626" s="9" t="s">
        <v>28</v>
      </c>
      <c r="AF626">
        <v>661</v>
      </c>
      <c r="AG626" t="s">
        <v>28</v>
      </c>
      <c r="AH626">
        <v>11434</v>
      </c>
      <c r="AI626" s="7">
        <v>45919</v>
      </c>
    </row>
    <row r="627" spans="1:35">
      <c r="A627">
        <v>680</v>
      </c>
      <c r="B627" t="str">
        <f t="shared" si="154"/>
        <v>USD</v>
      </c>
      <c r="C627">
        <f t="shared" si="155"/>
        <v>280</v>
      </c>
      <c r="D627">
        <f t="shared" si="146"/>
        <v>240.79999999999998</v>
      </c>
      <c r="E627">
        <f t="shared" si="147"/>
        <v>280</v>
      </c>
      <c r="F627">
        <v>10416.19</v>
      </c>
      <c r="G627">
        <f t="shared" si="148"/>
        <v>8957.9233999999997</v>
      </c>
      <c r="H627">
        <f t="shared" si="149"/>
        <v>10416.19</v>
      </c>
      <c r="I627">
        <f t="shared" si="156"/>
        <v>0</v>
      </c>
      <c r="J627">
        <f t="shared" si="150"/>
        <v>0</v>
      </c>
      <c r="K627" s="7">
        <f t="shared" si="157"/>
        <v>45973</v>
      </c>
      <c r="L627" s="7">
        <f t="shared" si="151"/>
        <v>45943</v>
      </c>
      <c r="M627">
        <f t="shared" si="152"/>
        <v>10</v>
      </c>
      <c r="N627">
        <f t="shared" si="153"/>
        <v>2025</v>
      </c>
      <c r="Q627" s="22">
        <v>913</v>
      </c>
      <c r="R627" s="22">
        <v>299292.08</v>
      </c>
      <c r="S627" s="22" t="str">
        <f t="shared" si="158"/>
        <v>MXN</v>
      </c>
      <c r="T627" s="22">
        <f t="shared" si="159"/>
        <v>16760.356480000002</v>
      </c>
      <c r="U627" s="28">
        <v>400</v>
      </c>
      <c r="W627" s="9">
        <v>427</v>
      </c>
      <c r="X627" s="9" t="s">
        <v>28</v>
      </c>
      <c r="AF627">
        <v>662</v>
      </c>
      <c r="AG627" t="s">
        <v>28</v>
      </c>
      <c r="AH627">
        <v>13936</v>
      </c>
      <c r="AI627" s="7">
        <v>45919</v>
      </c>
    </row>
    <row r="628" spans="1:35">
      <c r="A628">
        <v>681</v>
      </c>
      <c r="B628" t="str">
        <f t="shared" si="154"/>
        <v>EUR</v>
      </c>
      <c r="C628">
        <f t="shared" si="155"/>
        <v>7045.5</v>
      </c>
      <c r="D628">
        <f t="shared" si="146"/>
        <v>7045.5</v>
      </c>
      <c r="E628">
        <f t="shared" si="147"/>
        <v>8172.78</v>
      </c>
      <c r="F628">
        <v>7045.5</v>
      </c>
      <c r="G628">
        <f t="shared" si="148"/>
        <v>7045.5</v>
      </c>
      <c r="H628">
        <f t="shared" si="149"/>
        <v>8172.78</v>
      </c>
      <c r="I628">
        <f t="shared" si="156"/>
        <v>0</v>
      </c>
      <c r="J628">
        <f t="shared" si="150"/>
        <v>0</v>
      </c>
      <c r="K628" s="7">
        <f t="shared" si="157"/>
        <v>45947</v>
      </c>
      <c r="L628" s="7">
        <f t="shared" si="151"/>
        <v>45917</v>
      </c>
      <c r="M628">
        <f t="shared" si="152"/>
        <v>9</v>
      </c>
      <c r="N628">
        <f t="shared" si="153"/>
        <v>2025</v>
      </c>
      <c r="Q628" s="22">
        <v>914</v>
      </c>
      <c r="R628" s="22">
        <v>7520.6</v>
      </c>
      <c r="S628" s="22" t="str">
        <f t="shared" si="158"/>
        <v>USD</v>
      </c>
      <c r="T628" s="22">
        <f t="shared" si="159"/>
        <v>7520.6</v>
      </c>
      <c r="U628" s="28">
        <v>400</v>
      </c>
      <c r="W628" s="9">
        <v>427</v>
      </c>
      <c r="X628" s="9" t="s">
        <v>29</v>
      </c>
      <c r="AF628">
        <v>663</v>
      </c>
      <c r="AG628" t="s">
        <v>27</v>
      </c>
      <c r="AH628">
        <v>400000</v>
      </c>
      <c r="AI628" s="7">
        <v>46011</v>
      </c>
    </row>
    <row r="629" spans="1:35">
      <c r="A629">
        <v>683</v>
      </c>
      <c r="B629" t="str">
        <f t="shared" si="154"/>
        <v>GPB</v>
      </c>
      <c r="C629">
        <f t="shared" si="155"/>
        <v>0</v>
      </c>
      <c r="D629">
        <f t="shared" si="146"/>
        <v>0</v>
      </c>
      <c r="E629">
        <f t="shared" si="147"/>
        <v>0</v>
      </c>
      <c r="F629">
        <v>3081</v>
      </c>
      <c r="G629">
        <f t="shared" si="148"/>
        <v>3543.1499999999996</v>
      </c>
      <c r="H629">
        <f t="shared" si="149"/>
        <v>4128.54</v>
      </c>
      <c r="I629">
        <f t="shared" si="156"/>
        <v>0</v>
      </c>
      <c r="J629">
        <f t="shared" si="150"/>
        <v>0</v>
      </c>
      <c r="K629" s="7">
        <f t="shared" si="157"/>
        <v>45908</v>
      </c>
      <c r="L629" s="7">
        <f t="shared" si="151"/>
        <v>45878</v>
      </c>
      <c r="M629">
        <f t="shared" si="152"/>
        <v>8</v>
      </c>
      <c r="N629">
        <f t="shared" si="153"/>
        <v>2025</v>
      </c>
      <c r="Q629" s="22">
        <v>919</v>
      </c>
      <c r="R629" s="22">
        <v>16765</v>
      </c>
      <c r="S629" s="22" t="str">
        <f t="shared" si="158"/>
        <v>USD</v>
      </c>
      <c r="T629" s="22">
        <f t="shared" si="159"/>
        <v>16765</v>
      </c>
      <c r="U629" s="28">
        <v>400</v>
      </c>
      <c r="W629" s="9">
        <v>427</v>
      </c>
      <c r="X629" s="9" t="s">
        <v>29</v>
      </c>
      <c r="AF629">
        <v>664</v>
      </c>
      <c r="AG629" t="s">
        <v>29</v>
      </c>
      <c r="AH629">
        <v>940</v>
      </c>
      <c r="AI629" s="7">
        <v>45861</v>
      </c>
    </row>
    <row r="630" spans="1:35">
      <c r="A630">
        <v>684</v>
      </c>
      <c r="B630" t="str">
        <f t="shared" si="154"/>
        <v>USD</v>
      </c>
      <c r="C630">
        <f t="shared" si="155"/>
        <v>0</v>
      </c>
      <c r="D630">
        <f t="shared" si="146"/>
        <v>0</v>
      </c>
      <c r="E630">
        <f t="shared" si="147"/>
        <v>0</v>
      </c>
      <c r="F630">
        <v>194.6</v>
      </c>
      <c r="G630">
        <f t="shared" si="148"/>
        <v>167.35599999999999</v>
      </c>
      <c r="H630">
        <f t="shared" si="149"/>
        <v>194.6</v>
      </c>
      <c r="I630">
        <f t="shared" si="156"/>
        <v>0</v>
      </c>
      <c r="J630">
        <f t="shared" si="150"/>
        <v>0</v>
      </c>
      <c r="K630" s="7">
        <f t="shared" si="157"/>
        <v>45887</v>
      </c>
      <c r="L630" s="7">
        <f t="shared" si="151"/>
        <v>45857</v>
      </c>
      <c r="M630">
        <f t="shared" si="152"/>
        <v>7</v>
      </c>
      <c r="N630">
        <f t="shared" si="153"/>
        <v>2025</v>
      </c>
      <c r="Q630" s="22">
        <v>920</v>
      </c>
      <c r="R630" s="22">
        <v>5067.5200000000004</v>
      </c>
      <c r="S630" s="22" t="str">
        <f t="shared" si="158"/>
        <v>USD</v>
      </c>
      <c r="T630" s="22">
        <f t="shared" si="159"/>
        <v>5067.5200000000004</v>
      </c>
      <c r="U630" s="28">
        <v>400</v>
      </c>
      <c r="W630" s="9">
        <v>427</v>
      </c>
      <c r="X630" s="9" t="s">
        <v>29</v>
      </c>
      <c r="AF630">
        <v>665</v>
      </c>
      <c r="AG630" t="s">
        <v>29</v>
      </c>
      <c r="AH630">
        <v>5733.7</v>
      </c>
      <c r="AI630" s="7">
        <v>45815</v>
      </c>
    </row>
    <row r="631" spans="1:35">
      <c r="A631">
        <v>686</v>
      </c>
      <c r="B631" t="str">
        <f t="shared" si="154"/>
        <v>EUR</v>
      </c>
      <c r="C631">
        <f t="shared" si="155"/>
        <v>0</v>
      </c>
      <c r="D631">
        <f t="shared" si="146"/>
        <v>0</v>
      </c>
      <c r="E631">
        <f t="shared" si="147"/>
        <v>0</v>
      </c>
      <c r="F631">
        <v>2417.65</v>
      </c>
      <c r="G631">
        <f t="shared" si="148"/>
        <v>2417.65</v>
      </c>
      <c r="H631">
        <f t="shared" si="149"/>
        <v>2804.4739999999997</v>
      </c>
      <c r="I631">
        <f t="shared" si="156"/>
        <v>0</v>
      </c>
      <c r="J631">
        <f t="shared" si="150"/>
        <v>0</v>
      </c>
      <c r="K631" s="7">
        <f t="shared" si="157"/>
        <v>45923</v>
      </c>
      <c r="L631" s="7">
        <f t="shared" si="151"/>
        <v>45893</v>
      </c>
      <c r="M631">
        <f t="shared" si="152"/>
        <v>8</v>
      </c>
      <c r="N631">
        <f t="shared" si="153"/>
        <v>2025</v>
      </c>
      <c r="Q631" s="22">
        <v>921</v>
      </c>
      <c r="R631" s="22">
        <v>2533.7600000000002</v>
      </c>
      <c r="S631" s="22" t="str">
        <f t="shared" si="158"/>
        <v>USD</v>
      </c>
      <c r="T631" s="22">
        <f t="shared" si="159"/>
        <v>2533.7600000000002</v>
      </c>
      <c r="U631" s="28">
        <v>400</v>
      </c>
      <c r="W631" s="9">
        <v>427</v>
      </c>
      <c r="X631" s="9" t="s">
        <v>29</v>
      </c>
      <c r="AF631">
        <v>666</v>
      </c>
      <c r="AG631" t="s">
        <v>27</v>
      </c>
      <c r="AH631">
        <v>2955</v>
      </c>
      <c r="AI631" s="7">
        <v>45910</v>
      </c>
    </row>
    <row r="632" spans="1:35">
      <c r="A632">
        <v>687</v>
      </c>
      <c r="B632" t="str">
        <f t="shared" si="154"/>
        <v>USD</v>
      </c>
      <c r="C632">
        <f t="shared" si="155"/>
        <v>1329.7</v>
      </c>
      <c r="D632">
        <f t="shared" si="146"/>
        <v>1143.5419999999999</v>
      </c>
      <c r="E632">
        <f t="shared" si="147"/>
        <v>1329.7</v>
      </c>
      <c r="F632">
        <v>680.5</v>
      </c>
      <c r="G632">
        <f t="shared" si="148"/>
        <v>585.23</v>
      </c>
      <c r="H632">
        <f t="shared" si="149"/>
        <v>680.5</v>
      </c>
      <c r="I632">
        <f t="shared" si="156"/>
        <v>1294.7</v>
      </c>
      <c r="J632">
        <f t="shared" si="150"/>
        <v>1294.7</v>
      </c>
      <c r="K632" s="7">
        <f t="shared" si="157"/>
        <v>45903</v>
      </c>
      <c r="L632" s="7">
        <f t="shared" si="151"/>
        <v>45873</v>
      </c>
      <c r="M632">
        <f t="shared" si="152"/>
        <v>8</v>
      </c>
      <c r="N632">
        <f t="shared" si="153"/>
        <v>2025</v>
      </c>
      <c r="Q632" s="22">
        <v>922</v>
      </c>
      <c r="R632" s="22">
        <v>2403.5</v>
      </c>
      <c r="S632" s="22" t="str">
        <f t="shared" si="158"/>
        <v>EUR</v>
      </c>
      <c r="T632" s="22">
        <f t="shared" si="159"/>
        <v>2788.06</v>
      </c>
      <c r="U632" s="28">
        <v>400</v>
      </c>
      <c r="W632" s="9">
        <v>427</v>
      </c>
      <c r="X632" s="9" t="s">
        <v>29</v>
      </c>
      <c r="AF632">
        <v>667</v>
      </c>
      <c r="AG632" t="s">
        <v>29</v>
      </c>
      <c r="AH632">
        <v>8228</v>
      </c>
      <c r="AI632" s="7">
        <v>45951</v>
      </c>
    </row>
    <row r="633" spans="1:35">
      <c r="A633">
        <v>688</v>
      </c>
      <c r="B633" t="str">
        <f t="shared" si="154"/>
        <v>EUR</v>
      </c>
      <c r="C633">
        <f t="shared" si="155"/>
        <v>10324.98</v>
      </c>
      <c r="D633">
        <f t="shared" si="146"/>
        <v>10324.98</v>
      </c>
      <c r="E633">
        <f t="shared" si="147"/>
        <v>11976.976799999999</v>
      </c>
      <c r="F633">
        <v>10324.98</v>
      </c>
      <c r="G633">
        <f t="shared" si="148"/>
        <v>10324.98</v>
      </c>
      <c r="H633">
        <f t="shared" si="149"/>
        <v>11976.976799999999</v>
      </c>
      <c r="I633">
        <f t="shared" si="156"/>
        <v>0</v>
      </c>
      <c r="J633">
        <f t="shared" si="150"/>
        <v>0</v>
      </c>
      <c r="K633" s="7">
        <f t="shared" si="157"/>
        <v>45923</v>
      </c>
      <c r="L633" s="7">
        <f t="shared" si="151"/>
        <v>45893</v>
      </c>
      <c r="M633">
        <f t="shared" si="152"/>
        <v>8</v>
      </c>
      <c r="N633">
        <f t="shared" si="153"/>
        <v>2025</v>
      </c>
      <c r="Q633" s="22">
        <v>923</v>
      </c>
      <c r="R633" s="22">
        <v>1039.5</v>
      </c>
      <c r="S633" s="22" t="str">
        <f t="shared" si="158"/>
        <v>EUR</v>
      </c>
      <c r="T633" s="22">
        <f t="shared" si="159"/>
        <v>1205.82</v>
      </c>
      <c r="U633" s="28">
        <v>400</v>
      </c>
      <c r="W633" s="9">
        <v>427</v>
      </c>
      <c r="X633" s="9" t="s">
        <v>29</v>
      </c>
      <c r="AF633">
        <v>668</v>
      </c>
      <c r="AG633" t="s">
        <v>27</v>
      </c>
      <c r="AH633">
        <v>4700</v>
      </c>
      <c r="AI633" s="7">
        <v>45772</v>
      </c>
    </row>
    <row r="634" spans="1:35">
      <c r="A634">
        <v>689</v>
      </c>
      <c r="B634" t="str">
        <f t="shared" si="154"/>
        <v>USD</v>
      </c>
      <c r="C634">
        <f t="shared" si="155"/>
        <v>13114.49</v>
      </c>
      <c r="D634">
        <f t="shared" si="146"/>
        <v>11278.4614</v>
      </c>
      <c r="E634">
        <f t="shared" si="147"/>
        <v>13114.49</v>
      </c>
      <c r="F634">
        <v>13114.49</v>
      </c>
      <c r="G634">
        <f t="shared" si="148"/>
        <v>11278.4614</v>
      </c>
      <c r="H634">
        <f t="shared" si="149"/>
        <v>13114.49</v>
      </c>
      <c r="I634">
        <f t="shared" si="156"/>
        <v>0</v>
      </c>
      <c r="J634">
        <f t="shared" si="150"/>
        <v>0</v>
      </c>
      <c r="K634" s="7">
        <f t="shared" si="157"/>
        <v>45913</v>
      </c>
      <c r="L634" s="7">
        <f t="shared" si="151"/>
        <v>45883</v>
      </c>
      <c r="M634">
        <f t="shared" si="152"/>
        <v>8</v>
      </c>
      <c r="N634">
        <f t="shared" si="153"/>
        <v>2025</v>
      </c>
      <c r="Q634" s="22">
        <v>925</v>
      </c>
      <c r="R634" s="22">
        <v>136</v>
      </c>
      <c r="S634" s="22" t="str">
        <f t="shared" si="158"/>
        <v>EUR</v>
      </c>
      <c r="T634" s="22">
        <f t="shared" si="159"/>
        <v>157.76</v>
      </c>
      <c r="U634" s="28">
        <v>400</v>
      </c>
      <c r="W634" s="9">
        <v>427</v>
      </c>
      <c r="X634" s="9" t="s">
        <v>29</v>
      </c>
      <c r="AF634">
        <v>669</v>
      </c>
      <c r="AG634" t="s">
        <v>29</v>
      </c>
      <c r="AH634">
        <v>2004.02</v>
      </c>
      <c r="AI634" s="7">
        <v>45854</v>
      </c>
    </row>
    <row r="635" spans="1:35">
      <c r="A635">
        <v>690</v>
      </c>
      <c r="B635" t="str">
        <f t="shared" si="154"/>
        <v>USD</v>
      </c>
      <c r="C635">
        <f t="shared" si="155"/>
        <v>26950.49</v>
      </c>
      <c r="D635">
        <f t="shared" si="146"/>
        <v>23177.421399999999</v>
      </c>
      <c r="E635">
        <f t="shared" si="147"/>
        <v>26950.49</v>
      </c>
      <c r="F635">
        <v>26950.49</v>
      </c>
      <c r="G635">
        <f t="shared" si="148"/>
        <v>23177.421399999999</v>
      </c>
      <c r="H635">
        <f t="shared" si="149"/>
        <v>26950.49</v>
      </c>
      <c r="I635">
        <f t="shared" si="156"/>
        <v>0</v>
      </c>
      <c r="J635">
        <f t="shared" si="150"/>
        <v>0</v>
      </c>
      <c r="K635" s="7">
        <f t="shared" si="157"/>
        <v>45913</v>
      </c>
      <c r="L635" s="7">
        <f t="shared" si="151"/>
        <v>45883</v>
      </c>
      <c r="M635">
        <f t="shared" si="152"/>
        <v>8</v>
      </c>
      <c r="N635">
        <f t="shared" si="153"/>
        <v>2025</v>
      </c>
      <c r="Q635" s="22">
        <v>930</v>
      </c>
      <c r="R635" s="22">
        <v>3485</v>
      </c>
      <c r="S635" s="22" t="str">
        <f t="shared" si="158"/>
        <v>USD</v>
      </c>
      <c r="T635" s="22">
        <f t="shared" si="159"/>
        <v>3485</v>
      </c>
      <c r="U635" s="28">
        <v>400</v>
      </c>
      <c r="W635" s="9">
        <v>427</v>
      </c>
      <c r="X635" s="9" t="s">
        <v>29</v>
      </c>
      <c r="AF635">
        <v>670</v>
      </c>
      <c r="AG635" t="s">
        <v>29</v>
      </c>
      <c r="AH635">
        <v>4956.01</v>
      </c>
      <c r="AI635" s="7">
        <v>45911</v>
      </c>
    </row>
    <row r="636" spans="1:35">
      <c r="A636">
        <v>691</v>
      </c>
      <c r="B636" t="str">
        <f t="shared" si="154"/>
        <v>USD</v>
      </c>
      <c r="C636">
        <f t="shared" si="155"/>
        <v>80</v>
      </c>
      <c r="D636">
        <f t="shared" si="146"/>
        <v>68.8</v>
      </c>
      <c r="E636">
        <f t="shared" si="147"/>
        <v>80</v>
      </c>
      <c r="F636">
        <v>1114.08</v>
      </c>
      <c r="G636">
        <f t="shared" si="148"/>
        <v>958.10879999999997</v>
      </c>
      <c r="H636">
        <f t="shared" si="149"/>
        <v>1114.08</v>
      </c>
      <c r="I636">
        <f t="shared" si="156"/>
        <v>0</v>
      </c>
      <c r="J636">
        <f t="shared" si="150"/>
        <v>0</v>
      </c>
      <c r="K636" s="7">
        <f t="shared" si="157"/>
        <v>45923</v>
      </c>
      <c r="L636" s="7">
        <f t="shared" si="151"/>
        <v>45893</v>
      </c>
      <c r="M636">
        <f t="shared" si="152"/>
        <v>8</v>
      </c>
      <c r="N636">
        <f t="shared" si="153"/>
        <v>2025</v>
      </c>
      <c r="Q636" s="22">
        <v>937</v>
      </c>
      <c r="R636" s="22">
        <v>14973.21</v>
      </c>
      <c r="S636" s="22" t="str">
        <f t="shared" si="158"/>
        <v>USD</v>
      </c>
      <c r="T636" s="22">
        <f t="shared" si="159"/>
        <v>14973.21</v>
      </c>
      <c r="U636" s="28">
        <v>400</v>
      </c>
      <c r="W636" s="9">
        <v>427</v>
      </c>
      <c r="X636" s="9" t="s">
        <v>29</v>
      </c>
      <c r="AF636">
        <v>671</v>
      </c>
      <c r="AG636" t="s">
        <v>29</v>
      </c>
      <c r="AH636">
        <v>5985</v>
      </c>
      <c r="AI636" s="7">
        <v>46143</v>
      </c>
    </row>
    <row r="637" spans="1:35">
      <c r="A637">
        <v>692</v>
      </c>
      <c r="B637" t="str">
        <f t="shared" si="154"/>
        <v>USD</v>
      </c>
      <c r="C637">
        <f t="shared" si="155"/>
        <v>0</v>
      </c>
      <c r="D637">
        <f t="shared" si="146"/>
        <v>0</v>
      </c>
      <c r="E637">
        <f t="shared" si="147"/>
        <v>0</v>
      </c>
      <c r="F637">
        <v>3288.3</v>
      </c>
      <c r="G637">
        <f t="shared" si="148"/>
        <v>2827.9380000000001</v>
      </c>
      <c r="H637">
        <f t="shared" si="149"/>
        <v>3288.3</v>
      </c>
      <c r="I637">
        <f t="shared" si="156"/>
        <v>0</v>
      </c>
      <c r="J637">
        <f t="shared" si="150"/>
        <v>0</v>
      </c>
      <c r="K637" s="7">
        <f t="shared" si="157"/>
        <v>45912</v>
      </c>
      <c r="L637" s="7">
        <f t="shared" si="151"/>
        <v>45882</v>
      </c>
      <c r="M637">
        <f t="shared" si="152"/>
        <v>8</v>
      </c>
      <c r="N637">
        <f t="shared" si="153"/>
        <v>2025</v>
      </c>
      <c r="Q637" s="22">
        <v>938</v>
      </c>
      <c r="R637" s="22">
        <v>60106.45</v>
      </c>
      <c r="S637" s="22" t="str">
        <f t="shared" si="158"/>
        <v>USD</v>
      </c>
      <c r="T637" s="22">
        <f t="shared" si="159"/>
        <v>60106.45</v>
      </c>
      <c r="U637" s="28">
        <v>400</v>
      </c>
      <c r="W637" s="9">
        <v>428</v>
      </c>
      <c r="X637" s="9" t="s">
        <v>29</v>
      </c>
      <c r="AF637">
        <v>672</v>
      </c>
      <c r="AG637" t="s">
        <v>27</v>
      </c>
      <c r="AH637">
        <v>20193.97</v>
      </c>
      <c r="AI637" s="7">
        <v>45904</v>
      </c>
    </row>
    <row r="638" spans="1:35">
      <c r="A638">
        <v>693</v>
      </c>
      <c r="B638" t="str">
        <f t="shared" si="154"/>
        <v>EUR</v>
      </c>
      <c r="C638">
        <f t="shared" si="155"/>
        <v>0</v>
      </c>
      <c r="D638">
        <f t="shared" si="146"/>
        <v>0</v>
      </c>
      <c r="E638">
        <f t="shared" si="147"/>
        <v>0</v>
      </c>
      <c r="F638">
        <v>6460</v>
      </c>
      <c r="G638">
        <f t="shared" si="148"/>
        <v>6460</v>
      </c>
      <c r="H638">
        <f t="shared" si="149"/>
        <v>7493.5999999999995</v>
      </c>
      <c r="I638">
        <f t="shared" si="156"/>
        <v>0</v>
      </c>
      <c r="J638">
        <f t="shared" si="150"/>
        <v>0</v>
      </c>
      <c r="K638" s="7">
        <f t="shared" si="157"/>
        <v>45918</v>
      </c>
      <c r="L638" s="7">
        <f t="shared" si="151"/>
        <v>45888</v>
      </c>
      <c r="M638">
        <f t="shared" si="152"/>
        <v>8</v>
      </c>
      <c r="N638">
        <f t="shared" si="153"/>
        <v>2025</v>
      </c>
      <c r="Q638" s="22">
        <v>941</v>
      </c>
      <c r="R638" s="22">
        <v>20200</v>
      </c>
      <c r="S638" s="22" t="str">
        <f t="shared" si="158"/>
        <v>USD</v>
      </c>
      <c r="T638" s="22">
        <f t="shared" si="159"/>
        <v>20200</v>
      </c>
      <c r="U638" s="28">
        <v>400</v>
      </c>
      <c r="W638" s="9">
        <v>428</v>
      </c>
      <c r="X638" s="9" t="s">
        <v>27</v>
      </c>
      <c r="AF638">
        <v>673</v>
      </c>
      <c r="AG638" t="s">
        <v>29</v>
      </c>
      <c r="AH638">
        <v>1876.62</v>
      </c>
      <c r="AI638" s="7">
        <v>46172</v>
      </c>
    </row>
    <row r="639" spans="1:35">
      <c r="A639">
        <v>694</v>
      </c>
      <c r="B639" t="str">
        <f t="shared" si="154"/>
        <v>EUR</v>
      </c>
      <c r="C639">
        <f t="shared" si="155"/>
        <v>0</v>
      </c>
      <c r="D639">
        <f t="shared" si="146"/>
        <v>0</v>
      </c>
      <c r="E639">
        <f t="shared" si="147"/>
        <v>0</v>
      </c>
      <c r="F639">
        <v>6975</v>
      </c>
      <c r="G639">
        <f t="shared" si="148"/>
        <v>6975</v>
      </c>
      <c r="H639">
        <f t="shared" si="149"/>
        <v>8090.9999999999991</v>
      </c>
      <c r="I639">
        <f t="shared" si="156"/>
        <v>0</v>
      </c>
      <c r="J639">
        <f t="shared" si="150"/>
        <v>0</v>
      </c>
      <c r="K639" s="7">
        <f t="shared" si="157"/>
        <v>45907</v>
      </c>
      <c r="L639" s="7">
        <f t="shared" si="151"/>
        <v>45877</v>
      </c>
      <c r="M639">
        <f t="shared" si="152"/>
        <v>8</v>
      </c>
      <c r="N639">
        <f t="shared" si="153"/>
        <v>2025</v>
      </c>
      <c r="Q639" s="22">
        <v>942</v>
      </c>
      <c r="R639" s="22">
        <v>1155.8900000000001</v>
      </c>
      <c r="S639" s="22" t="str">
        <f t="shared" si="158"/>
        <v>USD</v>
      </c>
      <c r="T639" s="22">
        <f t="shared" si="159"/>
        <v>1155.8900000000001</v>
      </c>
      <c r="U639" s="28">
        <v>400</v>
      </c>
      <c r="W639" s="9">
        <v>429</v>
      </c>
      <c r="X639" s="9" t="s">
        <v>29</v>
      </c>
      <c r="AF639">
        <v>674</v>
      </c>
      <c r="AG639" t="s">
        <v>29</v>
      </c>
      <c r="AH639">
        <v>3108.73</v>
      </c>
      <c r="AI639" s="7">
        <v>46171</v>
      </c>
    </row>
    <row r="640" spans="1:35">
      <c r="A640">
        <v>695</v>
      </c>
      <c r="B640" t="str">
        <f t="shared" si="154"/>
        <v>USD</v>
      </c>
      <c r="C640">
        <f t="shared" si="155"/>
        <v>33816</v>
      </c>
      <c r="D640">
        <f t="shared" si="146"/>
        <v>29081.759999999998</v>
      </c>
      <c r="E640">
        <f t="shared" si="147"/>
        <v>33816</v>
      </c>
      <c r="F640">
        <v>48030.94</v>
      </c>
      <c r="G640">
        <f t="shared" si="148"/>
        <v>41306.608400000005</v>
      </c>
      <c r="H640">
        <f t="shared" si="149"/>
        <v>48030.94</v>
      </c>
      <c r="I640">
        <f t="shared" si="156"/>
        <v>-1.8189894035458565E-12</v>
      </c>
      <c r="J640">
        <f t="shared" si="150"/>
        <v>-1.8189894035458565E-12</v>
      </c>
      <c r="K640" s="7">
        <f t="shared" si="157"/>
        <v>45937</v>
      </c>
      <c r="L640" s="7">
        <f t="shared" si="151"/>
        <v>45907</v>
      </c>
      <c r="M640">
        <f t="shared" si="152"/>
        <v>9</v>
      </c>
      <c r="N640">
        <f t="shared" si="153"/>
        <v>2025</v>
      </c>
      <c r="Q640" s="22">
        <v>943</v>
      </c>
      <c r="R640" s="22">
        <v>1080</v>
      </c>
      <c r="S640" s="22" t="str">
        <f t="shared" si="158"/>
        <v>USD</v>
      </c>
      <c r="T640" s="22">
        <f t="shared" si="159"/>
        <v>1080</v>
      </c>
      <c r="U640" s="28">
        <v>400</v>
      </c>
      <c r="W640" s="9">
        <v>429</v>
      </c>
      <c r="X640" s="9" t="s">
        <v>29</v>
      </c>
      <c r="AF640">
        <v>675</v>
      </c>
      <c r="AG640" t="s">
        <v>29</v>
      </c>
      <c r="AH640">
        <v>1816.94</v>
      </c>
      <c r="AI640" s="7">
        <v>45916</v>
      </c>
    </row>
    <row r="641" spans="1:35">
      <c r="A641">
        <v>696</v>
      </c>
      <c r="B641" t="str">
        <f t="shared" si="154"/>
        <v>USD</v>
      </c>
      <c r="C641">
        <f t="shared" si="155"/>
        <v>1644.9999999999964</v>
      </c>
      <c r="D641">
        <f t="shared" ref="D641:D704" si="160">C641*_xlfn.XLOOKUP(B641,AM:AM,AN:AN)</f>
        <v>1414.6999999999969</v>
      </c>
      <c r="E641">
        <f t="shared" ref="E641:E704" si="161">C641*_xlfn.XLOOKUP(B641,AM:AM,AO:AO)</f>
        <v>1644.9999999999964</v>
      </c>
      <c r="F641">
        <v>25152.21</v>
      </c>
      <c r="G641">
        <f t="shared" ref="G641:G704" si="162">F641*_xlfn.XLOOKUP(B641,AM:AM,AN:AN)</f>
        <v>21630.900599999997</v>
      </c>
      <c r="H641">
        <f t="shared" ref="H641:H704" si="163">F641*_xlfn.XLOOKUP(B641,AM:AM,AO:AO)</f>
        <v>25152.21</v>
      </c>
      <c r="I641">
        <f t="shared" si="156"/>
        <v>0</v>
      </c>
      <c r="J641">
        <f t="shared" ref="J641:J704" si="164">I641*_xlfn.XLOOKUP(B641,AM:AM,AO:AO)</f>
        <v>0</v>
      </c>
      <c r="K641" s="7">
        <f t="shared" si="157"/>
        <v>45960</v>
      </c>
      <c r="L641" s="7">
        <f t="shared" ref="L641:L704" si="165">K641-30</f>
        <v>45930</v>
      </c>
      <c r="M641">
        <f t="shared" ref="M641:M704" si="166">MONTH(L641)</f>
        <v>9</v>
      </c>
      <c r="N641">
        <f t="shared" ref="N641:N704" si="167">YEAR(L641)</f>
        <v>2025</v>
      </c>
      <c r="Q641" s="22">
        <v>944</v>
      </c>
      <c r="R641" s="22">
        <v>84200</v>
      </c>
      <c r="S641" s="22" t="str">
        <f t="shared" si="158"/>
        <v>MXN</v>
      </c>
      <c r="T641" s="22">
        <f t="shared" si="159"/>
        <v>4715.2</v>
      </c>
      <c r="U641" s="28">
        <v>400</v>
      </c>
      <c r="W641" s="9">
        <v>429</v>
      </c>
      <c r="X641" s="9" t="s">
        <v>29</v>
      </c>
      <c r="AF641">
        <v>676</v>
      </c>
      <c r="AG641" t="s">
        <v>27</v>
      </c>
      <c r="AH641">
        <v>19036.89</v>
      </c>
      <c r="AI641" s="7">
        <v>45946</v>
      </c>
    </row>
    <row r="642" spans="1:35">
      <c r="A642">
        <v>697</v>
      </c>
      <c r="B642" t="str">
        <f t="shared" si="154"/>
        <v>USD</v>
      </c>
      <c r="C642">
        <f t="shared" si="155"/>
        <v>3889.6600000000003</v>
      </c>
      <c r="D642">
        <f t="shared" si="160"/>
        <v>3345.1076000000003</v>
      </c>
      <c r="E642">
        <f t="shared" si="161"/>
        <v>3889.6600000000003</v>
      </c>
      <c r="F642">
        <v>5020.5600000000004</v>
      </c>
      <c r="G642">
        <f t="shared" si="162"/>
        <v>4317.6815999999999</v>
      </c>
      <c r="H642">
        <f t="shared" si="163"/>
        <v>5020.5600000000004</v>
      </c>
      <c r="I642">
        <f t="shared" si="156"/>
        <v>0</v>
      </c>
      <c r="J642">
        <f t="shared" si="164"/>
        <v>0</v>
      </c>
      <c r="K642" s="7">
        <f t="shared" si="157"/>
        <v>45914</v>
      </c>
      <c r="L642" s="7">
        <f t="shared" si="165"/>
        <v>45884</v>
      </c>
      <c r="M642">
        <f t="shared" si="166"/>
        <v>8</v>
      </c>
      <c r="N642">
        <f t="shared" si="167"/>
        <v>2025</v>
      </c>
      <c r="Q642" s="22">
        <v>945</v>
      </c>
      <c r="R642" s="22">
        <v>2308</v>
      </c>
      <c r="S642" s="22" t="str">
        <f t="shared" si="158"/>
        <v>GBP</v>
      </c>
      <c r="T642" s="22">
        <f t="shared" si="159"/>
        <v>3092.7200000000003</v>
      </c>
      <c r="U642" s="28">
        <v>400</v>
      </c>
      <c r="W642" s="9">
        <v>429</v>
      </c>
      <c r="X642" s="9" t="s">
        <v>29</v>
      </c>
      <c r="AF642">
        <v>677</v>
      </c>
      <c r="AG642" t="s">
        <v>27</v>
      </c>
      <c r="AH642">
        <v>10350.17</v>
      </c>
      <c r="AI642" s="7">
        <v>45924</v>
      </c>
    </row>
    <row r="643" spans="1:35">
      <c r="A643">
        <v>699</v>
      </c>
      <c r="B643" t="str">
        <f t="shared" ref="B643:B706" si="168">_xlfn.XLOOKUP(A643,AF:AF,AG:AG)</f>
        <v>USD</v>
      </c>
      <c r="C643">
        <f t="shared" ref="C643:C706" si="169">_xlfn.XLOOKUP(A643,AF:AF,AH:AH)-_xlfn.XLOOKUP(A643,Q:Q,R:R,"0")</f>
        <v>0</v>
      </c>
      <c r="D643">
        <f t="shared" si="160"/>
        <v>0</v>
      </c>
      <c r="E643">
        <f t="shared" si="161"/>
        <v>0</v>
      </c>
      <c r="F643">
        <v>1825</v>
      </c>
      <c r="G643">
        <f t="shared" si="162"/>
        <v>1569.5</v>
      </c>
      <c r="H643">
        <f t="shared" si="163"/>
        <v>1825</v>
      </c>
      <c r="I643">
        <f t="shared" ref="I643:I706" si="170">C643-F643+_xlfn.XLOOKUP(A643,Q:Q,R:R,"0")-_xlfn.XLOOKUP(A643,Z:Z,AA:AA,"0")</f>
        <v>0</v>
      </c>
      <c r="J643">
        <f t="shared" si="164"/>
        <v>0</v>
      </c>
      <c r="K643" s="7">
        <f t="shared" ref="K643:K706" si="171">_xlfn.XLOOKUP(A643,AF:AF,AI:AI)</f>
        <v>45819</v>
      </c>
      <c r="L643" s="7">
        <f t="shared" si="165"/>
        <v>45789</v>
      </c>
      <c r="M643">
        <f t="shared" si="166"/>
        <v>5</v>
      </c>
      <c r="N643">
        <f t="shared" si="167"/>
        <v>2025</v>
      </c>
      <c r="Q643" s="22">
        <v>946</v>
      </c>
      <c r="R643" s="22">
        <v>2464</v>
      </c>
      <c r="S643" s="22" t="str">
        <f t="shared" ref="S643:S706" si="172">_xlfn.XLOOKUP(Q643,W:W,X:X)</f>
        <v>GBP</v>
      </c>
      <c r="T643" s="22">
        <f t="shared" si="159"/>
        <v>3301.76</v>
      </c>
      <c r="U643" s="28">
        <v>400</v>
      </c>
      <c r="W643" s="9">
        <v>429</v>
      </c>
      <c r="X643" s="9" t="s">
        <v>29</v>
      </c>
      <c r="AF643">
        <v>678</v>
      </c>
      <c r="AG643" t="s">
        <v>29</v>
      </c>
      <c r="AH643">
        <v>2313.5</v>
      </c>
      <c r="AI643" s="7">
        <v>45885</v>
      </c>
    </row>
    <row r="644" spans="1:35">
      <c r="A644">
        <v>700</v>
      </c>
      <c r="B644" t="str">
        <f t="shared" si="168"/>
        <v>USD</v>
      </c>
      <c r="C644">
        <f t="shared" si="169"/>
        <v>0</v>
      </c>
      <c r="D644">
        <f t="shared" si="160"/>
        <v>0</v>
      </c>
      <c r="E644">
        <f t="shared" si="161"/>
        <v>0</v>
      </c>
      <c r="F644">
        <v>260</v>
      </c>
      <c r="G644">
        <f t="shared" si="162"/>
        <v>223.6</v>
      </c>
      <c r="H644">
        <f t="shared" si="163"/>
        <v>260</v>
      </c>
      <c r="I644">
        <f t="shared" si="170"/>
        <v>0</v>
      </c>
      <c r="J644">
        <f t="shared" si="164"/>
        <v>0</v>
      </c>
      <c r="K644" s="7">
        <f t="shared" si="171"/>
        <v>45844</v>
      </c>
      <c r="L644" s="7">
        <f t="shared" si="165"/>
        <v>45814</v>
      </c>
      <c r="M644">
        <f t="shared" si="166"/>
        <v>6</v>
      </c>
      <c r="N644">
        <f t="shared" si="167"/>
        <v>2025</v>
      </c>
      <c r="Q644" s="22">
        <v>947</v>
      </c>
      <c r="R644" s="22">
        <v>142.08000000000001</v>
      </c>
      <c r="S644" s="22" t="str">
        <f t="shared" si="172"/>
        <v>USD</v>
      </c>
      <c r="T644" s="22">
        <f t="shared" si="159"/>
        <v>142.08000000000001</v>
      </c>
      <c r="U644" s="28">
        <v>400</v>
      </c>
      <c r="W644" s="9">
        <v>429</v>
      </c>
      <c r="X644" s="9" t="s">
        <v>29</v>
      </c>
      <c r="AF644">
        <v>679</v>
      </c>
      <c r="AG644" t="s">
        <v>29</v>
      </c>
      <c r="AH644">
        <v>11383</v>
      </c>
      <c r="AI644" s="7">
        <v>45911</v>
      </c>
    </row>
    <row r="645" spans="1:35">
      <c r="A645">
        <v>701</v>
      </c>
      <c r="B645" t="str">
        <f t="shared" si="168"/>
        <v>USD</v>
      </c>
      <c r="C645">
        <f t="shared" si="169"/>
        <v>0</v>
      </c>
      <c r="D645">
        <f t="shared" si="160"/>
        <v>0</v>
      </c>
      <c r="E645">
        <f t="shared" si="161"/>
        <v>0</v>
      </c>
      <c r="F645">
        <v>3915</v>
      </c>
      <c r="G645">
        <f t="shared" si="162"/>
        <v>3366.9</v>
      </c>
      <c r="H645">
        <f t="shared" si="163"/>
        <v>3915</v>
      </c>
      <c r="I645">
        <f t="shared" si="170"/>
        <v>0</v>
      </c>
      <c r="J645">
        <f t="shared" si="164"/>
        <v>0</v>
      </c>
      <c r="K645" s="7">
        <f t="shared" si="171"/>
        <v>45885</v>
      </c>
      <c r="L645" s="7">
        <f t="shared" si="165"/>
        <v>45855</v>
      </c>
      <c r="M645">
        <f t="shared" si="166"/>
        <v>7</v>
      </c>
      <c r="N645">
        <f t="shared" si="167"/>
        <v>2025</v>
      </c>
      <c r="Q645" s="22">
        <v>948</v>
      </c>
      <c r="R645" s="22">
        <v>3052</v>
      </c>
      <c r="S645" s="22" t="str">
        <f t="shared" si="172"/>
        <v>USD</v>
      </c>
      <c r="T645" s="22">
        <f t="shared" si="159"/>
        <v>3052</v>
      </c>
      <c r="U645" s="28">
        <v>400</v>
      </c>
      <c r="W645" s="9">
        <v>430</v>
      </c>
      <c r="X645" s="9" t="s">
        <v>29</v>
      </c>
      <c r="AF645">
        <v>680</v>
      </c>
      <c r="AG645" t="s">
        <v>29</v>
      </c>
      <c r="AH645">
        <v>10416.19</v>
      </c>
      <c r="AI645" s="7">
        <v>45973</v>
      </c>
    </row>
    <row r="646" spans="1:35">
      <c r="A646">
        <v>702</v>
      </c>
      <c r="B646" t="str">
        <f t="shared" si="168"/>
        <v>USD</v>
      </c>
      <c r="C646">
        <f t="shared" si="169"/>
        <v>0</v>
      </c>
      <c r="D646">
        <f t="shared" si="160"/>
        <v>0</v>
      </c>
      <c r="E646">
        <f t="shared" si="161"/>
        <v>0</v>
      </c>
      <c r="F646">
        <v>796.16</v>
      </c>
      <c r="G646">
        <f t="shared" si="162"/>
        <v>684.69759999999997</v>
      </c>
      <c r="H646">
        <f t="shared" si="163"/>
        <v>796.16</v>
      </c>
      <c r="I646">
        <f t="shared" si="170"/>
        <v>0</v>
      </c>
      <c r="J646">
        <f t="shared" si="164"/>
        <v>0</v>
      </c>
      <c r="K646" s="7">
        <f t="shared" si="171"/>
        <v>45962</v>
      </c>
      <c r="L646" s="7">
        <f t="shared" si="165"/>
        <v>45932</v>
      </c>
      <c r="M646">
        <f t="shared" si="166"/>
        <v>10</v>
      </c>
      <c r="N646">
        <f t="shared" si="167"/>
        <v>2025</v>
      </c>
      <c r="Q646" s="22">
        <v>949</v>
      </c>
      <c r="R646" s="22">
        <v>1685.86</v>
      </c>
      <c r="S646" s="22" t="str">
        <f t="shared" si="172"/>
        <v>USD</v>
      </c>
      <c r="T646" s="22">
        <f t="shared" si="159"/>
        <v>1685.86</v>
      </c>
      <c r="U646" s="28">
        <v>400</v>
      </c>
      <c r="W646" s="9">
        <v>430</v>
      </c>
      <c r="X646" s="9" t="s">
        <v>29</v>
      </c>
      <c r="AF646">
        <v>681</v>
      </c>
      <c r="AG646" t="s">
        <v>27</v>
      </c>
      <c r="AH646">
        <v>7045.5</v>
      </c>
      <c r="AI646" s="7">
        <v>45947</v>
      </c>
    </row>
    <row r="647" spans="1:35">
      <c r="A647">
        <v>703</v>
      </c>
      <c r="B647" t="str">
        <f t="shared" si="168"/>
        <v>USD</v>
      </c>
      <c r="C647">
        <f t="shared" si="169"/>
        <v>129987.86</v>
      </c>
      <c r="D647">
        <f t="shared" si="160"/>
        <v>111789.55959999999</v>
      </c>
      <c r="E647">
        <f t="shared" si="161"/>
        <v>129987.86</v>
      </c>
      <c r="F647">
        <v>95082</v>
      </c>
      <c r="G647">
        <f t="shared" si="162"/>
        <v>81770.52</v>
      </c>
      <c r="H647">
        <f t="shared" si="163"/>
        <v>95082</v>
      </c>
      <c r="I647">
        <f t="shared" si="170"/>
        <v>34905.86</v>
      </c>
      <c r="J647">
        <f t="shared" si="164"/>
        <v>34905.86</v>
      </c>
      <c r="K647" s="7">
        <f t="shared" si="171"/>
        <v>46161</v>
      </c>
      <c r="L647" s="7">
        <f t="shared" si="165"/>
        <v>46131</v>
      </c>
      <c r="M647">
        <f t="shared" si="166"/>
        <v>4</v>
      </c>
      <c r="N647">
        <f t="shared" si="167"/>
        <v>2026</v>
      </c>
      <c r="Q647" s="22">
        <v>950</v>
      </c>
      <c r="R647" s="22">
        <v>582.66</v>
      </c>
      <c r="S647" s="22" t="str">
        <f t="shared" si="172"/>
        <v>USD</v>
      </c>
      <c r="T647" s="22">
        <f t="shared" si="159"/>
        <v>582.66</v>
      </c>
      <c r="U647" s="28">
        <v>400</v>
      </c>
      <c r="W647" s="9">
        <v>431</v>
      </c>
      <c r="X647" s="9" t="s">
        <v>29</v>
      </c>
      <c r="AF647">
        <v>683</v>
      </c>
      <c r="AG647" t="s">
        <v>32</v>
      </c>
      <c r="AH647">
        <v>3081</v>
      </c>
      <c r="AI647" s="7">
        <v>45908</v>
      </c>
    </row>
    <row r="648" spans="1:35">
      <c r="A648">
        <v>704</v>
      </c>
      <c r="B648" t="str">
        <f t="shared" si="168"/>
        <v>USD</v>
      </c>
      <c r="C648">
        <f t="shared" si="169"/>
        <v>0</v>
      </c>
      <c r="D648">
        <f t="shared" si="160"/>
        <v>0</v>
      </c>
      <c r="E648">
        <f t="shared" si="161"/>
        <v>0</v>
      </c>
      <c r="F648">
        <v>9825.94</v>
      </c>
      <c r="G648">
        <f t="shared" si="162"/>
        <v>8450.3083999999999</v>
      </c>
      <c r="H648">
        <f t="shared" si="163"/>
        <v>9825.94</v>
      </c>
      <c r="I648">
        <f t="shared" si="170"/>
        <v>-1.8189894035458565E-12</v>
      </c>
      <c r="J648">
        <f t="shared" si="164"/>
        <v>-1.8189894035458565E-12</v>
      </c>
      <c r="K648" s="7">
        <f t="shared" si="171"/>
        <v>45876</v>
      </c>
      <c r="L648" s="7">
        <f t="shared" si="165"/>
        <v>45846</v>
      </c>
      <c r="M648">
        <f t="shared" si="166"/>
        <v>7</v>
      </c>
      <c r="N648">
        <f t="shared" si="167"/>
        <v>2025</v>
      </c>
      <c r="Q648" s="22">
        <v>952</v>
      </c>
      <c r="R648" s="22">
        <v>10125.280000000001</v>
      </c>
      <c r="S648" s="22" t="str">
        <f t="shared" si="172"/>
        <v>USD</v>
      </c>
      <c r="T648" s="22">
        <f t="shared" si="159"/>
        <v>10125.280000000001</v>
      </c>
      <c r="U648" s="28">
        <v>400</v>
      </c>
      <c r="W648" s="9">
        <v>431</v>
      </c>
      <c r="X648" s="9" t="s">
        <v>29</v>
      </c>
      <c r="AF648">
        <v>684</v>
      </c>
      <c r="AG648" t="s">
        <v>29</v>
      </c>
      <c r="AH648">
        <v>194.6</v>
      </c>
      <c r="AI648" s="7">
        <v>45887</v>
      </c>
    </row>
    <row r="649" spans="1:35">
      <c r="A649">
        <v>706</v>
      </c>
      <c r="B649" t="str">
        <f t="shared" si="168"/>
        <v>USD</v>
      </c>
      <c r="C649">
        <f t="shared" si="169"/>
        <v>21509.989999999998</v>
      </c>
      <c r="D649">
        <f t="shared" si="160"/>
        <v>18498.591399999998</v>
      </c>
      <c r="E649">
        <f t="shared" si="161"/>
        <v>21509.989999999998</v>
      </c>
      <c r="F649">
        <v>26748.79</v>
      </c>
      <c r="G649">
        <f t="shared" si="162"/>
        <v>23003.9594</v>
      </c>
      <c r="H649">
        <f t="shared" si="163"/>
        <v>26748.79</v>
      </c>
      <c r="I649">
        <f t="shared" si="170"/>
        <v>5095.2999999999975</v>
      </c>
      <c r="J649">
        <f t="shared" si="164"/>
        <v>5095.2999999999975</v>
      </c>
      <c r="K649" s="7">
        <f t="shared" si="171"/>
        <v>45950</v>
      </c>
      <c r="L649" s="7">
        <f t="shared" si="165"/>
        <v>45920</v>
      </c>
      <c r="M649">
        <f t="shared" si="166"/>
        <v>9</v>
      </c>
      <c r="N649">
        <f t="shared" si="167"/>
        <v>2025</v>
      </c>
      <c r="Q649" s="22">
        <v>953</v>
      </c>
      <c r="R649" s="22">
        <v>10472.799999999999</v>
      </c>
      <c r="S649" s="22" t="str">
        <f t="shared" si="172"/>
        <v>USD</v>
      </c>
      <c r="T649" s="22">
        <f t="shared" si="159"/>
        <v>10472.799999999999</v>
      </c>
      <c r="U649" s="28">
        <v>400</v>
      </c>
      <c r="W649" s="9">
        <v>431</v>
      </c>
      <c r="X649" s="9" t="s">
        <v>29</v>
      </c>
      <c r="AF649">
        <v>686</v>
      </c>
      <c r="AG649" t="s">
        <v>27</v>
      </c>
      <c r="AH649">
        <v>2417.65</v>
      </c>
      <c r="AI649" s="7">
        <v>45923</v>
      </c>
    </row>
    <row r="650" spans="1:35">
      <c r="A650">
        <v>707</v>
      </c>
      <c r="B650" t="str">
        <f t="shared" si="168"/>
        <v>USD</v>
      </c>
      <c r="C650">
        <f t="shared" si="169"/>
        <v>20216.509999999995</v>
      </c>
      <c r="D650">
        <f t="shared" si="160"/>
        <v>17386.198599999996</v>
      </c>
      <c r="E650">
        <f t="shared" si="161"/>
        <v>20216.509999999995</v>
      </c>
      <c r="F650">
        <v>50003.81</v>
      </c>
      <c r="G650">
        <f t="shared" si="162"/>
        <v>43003.276599999997</v>
      </c>
      <c r="H650">
        <f t="shared" si="163"/>
        <v>50003.81</v>
      </c>
      <c r="I650">
        <f t="shared" si="170"/>
        <v>0</v>
      </c>
      <c r="J650">
        <f t="shared" si="164"/>
        <v>0</v>
      </c>
      <c r="K650" s="7">
        <f t="shared" si="171"/>
        <v>46033</v>
      </c>
      <c r="L650" s="7">
        <f t="shared" si="165"/>
        <v>46003</v>
      </c>
      <c r="M650">
        <f t="shared" si="166"/>
        <v>12</v>
      </c>
      <c r="N650">
        <f t="shared" si="167"/>
        <v>2025</v>
      </c>
      <c r="Q650" s="22">
        <v>956</v>
      </c>
      <c r="R650" s="22">
        <v>63072</v>
      </c>
      <c r="S650" s="22" t="str">
        <f t="shared" si="172"/>
        <v>USD</v>
      </c>
      <c r="T650" s="22">
        <f t="shared" si="159"/>
        <v>63072</v>
      </c>
      <c r="U650" s="28">
        <v>400</v>
      </c>
      <c r="W650" s="9">
        <v>431</v>
      </c>
      <c r="X650" s="9" t="s">
        <v>29</v>
      </c>
      <c r="AF650">
        <v>687</v>
      </c>
      <c r="AG650" t="s">
        <v>29</v>
      </c>
      <c r="AH650">
        <v>1975.2</v>
      </c>
      <c r="AI650" s="7">
        <v>45903</v>
      </c>
    </row>
    <row r="651" spans="1:35">
      <c r="A651">
        <v>709</v>
      </c>
      <c r="B651" t="str">
        <f t="shared" si="168"/>
        <v>CHF</v>
      </c>
      <c r="C651">
        <f t="shared" si="169"/>
        <v>0</v>
      </c>
      <c r="D651">
        <f t="shared" si="160"/>
        <v>0</v>
      </c>
      <c r="E651">
        <f t="shared" si="161"/>
        <v>0</v>
      </c>
      <c r="F651">
        <v>3780</v>
      </c>
      <c r="G651">
        <f t="shared" si="162"/>
        <v>4044.6000000000004</v>
      </c>
      <c r="H651">
        <f t="shared" si="163"/>
        <v>4725</v>
      </c>
      <c r="I651">
        <f t="shared" si="170"/>
        <v>0</v>
      </c>
      <c r="J651">
        <f t="shared" si="164"/>
        <v>0</v>
      </c>
      <c r="K651" s="7">
        <f t="shared" si="171"/>
        <v>45865</v>
      </c>
      <c r="L651" s="7">
        <f t="shared" si="165"/>
        <v>45835</v>
      </c>
      <c r="M651">
        <f t="shared" si="166"/>
        <v>6</v>
      </c>
      <c r="N651">
        <f t="shared" si="167"/>
        <v>2025</v>
      </c>
      <c r="Q651" s="22">
        <v>957</v>
      </c>
      <c r="R651" s="22">
        <v>2884.36</v>
      </c>
      <c r="S651" s="22" t="str">
        <f t="shared" si="172"/>
        <v>USD</v>
      </c>
      <c r="T651" s="22">
        <f t="shared" si="159"/>
        <v>2884.36</v>
      </c>
      <c r="U651" s="28">
        <v>400</v>
      </c>
      <c r="W651" s="9">
        <v>431</v>
      </c>
      <c r="X651" s="9" t="s">
        <v>29</v>
      </c>
      <c r="AF651">
        <v>688</v>
      </c>
      <c r="AG651" t="s">
        <v>27</v>
      </c>
      <c r="AH651">
        <v>10324.98</v>
      </c>
      <c r="AI651" s="7">
        <v>45923</v>
      </c>
    </row>
    <row r="652" spans="1:35">
      <c r="A652">
        <v>710</v>
      </c>
      <c r="B652" t="str">
        <f t="shared" si="168"/>
        <v>EUR</v>
      </c>
      <c r="C652">
        <f t="shared" si="169"/>
        <v>0</v>
      </c>
      <c r="D652">
        <f t="shared" si="160"/>
        <v>0</v>
      </c>
      <c r="E652">
        <f t="shared" si="161"/>
        <v>0</v>
      </c>
      <c r="F652">
        <v>6025</v>
      </c>
      <c r="G652">
        <f t="shared" si="162"/>
        <v>6025</v>
      </c>
      <c r="H652">
        <f t="shared" si="163"/>
        <v>6988.9999999999991</v>
      </c>
      <c r="I652">
        <f t="shared" si="170"/>
        <v>0</v>
      </c>
      <c r="J652">
        <f t="shared" si="164"/>
        <v>0</v>
      </c>
      <c r="K652" s="7">
        <f t="shared" si="171"/>
        <v>45919</v>
      </c>
      <c r="L652" s="7">
        <f t="shared" si="165"/>
        <v>45889</v>
      </c>
      <c r="M652">
        <f t="shared" si="166"/>
        <v>8</v>
      </c>
      <c r="N652">
        <f t="shared" si="167"/>
        <v>2025</v>
      </c>
      <c r="Q652" s="22">
        <v>961</v>
      </c>
      <c r="R652" s="22">
        <v>13916.6</v>
      </c>
      <c r="S652" s="22" t="str">
        <f t="shared" si="172"/>
        <v>USD</v>
      </c>
      <c r="T652" s="22">
        <f t="shared" si="159"/>
        <v>13916.6</v>
      </c>
      <c r="U652" s="28">
        <v>400</v>
      </c>
      <c r="W652" s="9">
        <v>432</v>
      </c>
      <c r="X652" s="9" t="s">
        <v>29</v>
      </c>
      <c r="AF652">
        <v>689</v>
      </c>
      <c r="AG652" t="s">
        <v>29</v>
      </c>
      <c r="AH652">
        <v>13114.49</v>
      </c>
      <c r="AI652" s="7">
        <v>45913</v>
      </c>
    </row>
    <row r="653" spans="1:35">
      <c r="A653">
        <v>711</v>
      </c>
      <c r="B653" t="str">
        <f t="shared" si="168"/>
        <v>EUR</v>
      </c>
      <c r="C653">
        <f t="shared" si="169"/>
        <v>378.28000000000065</v>
      </c>
      <c r="D653">
        <f t="shared" si="160"/>
        <v>378.28000000000065</v>
      </c>
      <c r="E653">
        <f t="shared" si="161"/>
        <v>438.80480000000074</v>
      </c>
      <c r="F653">
        <v>8104.1</v>
      </c>
      <c r="G653">
        <f t="shared" si="162"/>
        <v>8104.1</v>
      </c>
      <c r="H653">
        <f t="shared" si="163"/>
        <v>9400.7559999999994</v>
      </c>
      <c r="I653">
        <f t="shared" si="170"/>
        <v>0</v>
      </c>
      <c r="J653">
        <f t="shared" si="164"/>
        <v>0</v>
      </c>
      <c r="K653" s="7">
        <f t="shared" si="171"/>
        <v>45919</v>
      </c>
      <c r="L653" s="7">
        <f t="shared" si="165"/>
        <v>45889</v>
      </c>
      <c r="M653">
        <f t="shared" si="166"/>
        <v>8</v>
      </c>
      <c r="N653">
        <f t="shared" si="167"/>
        <v>2025</v>
      </c>
      <c r="Q653" s="22">
        <v>962</v>
      </c>
      <c r="R653" s="22">
        <v>1707</v>
      </c>
      <c r="S653" s="22" t="str">
        <f t="shared" si="172"/>
        <v>USD</v>
      </c>
      <c r="T653" s="22">
        <f t="shared" si="159"/>
        <v>1707</v>
      </c>
      <c r="U653" s="28">
        <v>400</v>
      </c>
      <c r="W653" s="9">
        <v>433</v>
      </c>
      <c r="X653" s="9" t="s">
        <v>27</v>
      </c>
      <c r="AF653">
        <v>690</v>
      </c>
      <c r="AG653" t="s">
        <v>29</v>
      </c>
      <c r="AH653">
        <v>26950.49</v>
      </c>
      <c r="AI653" s="7">
        <v>45913</v>
      </c>
    </row>
    <row r="654" spans="1:35">
      <c r="A654">
        <v>712</v>
      </c>
      <c r="B654" t="str">
        <f t="shared" si="168"/>
        <v>EUR</v>
      </c>
      <c r="C654">
        <f t="shared" si="169"/>
        <v>0</v>
      </c>
      <c r="D654">
        <f t="shared" si="160"/>
        <v>0</v>
      </c>
      <c r="E654">
        <f t="shared" si="161"/>
        <v>0</v>
      </c>
      <c r="F654">
        <v>12080</v>
      </c>
      <c r="G654">
        <f t="shared" si="162"/>
        <v>12080</v>
      </c>
      <c r="H654">
        <f t="shared" si="163"/>
        <v>14012.8</v>
      </c>
      <c r="I654">
        <f t="shared" si="170"/>
        <v>0</v>
      </c>
      <c r="J654">
        <f t="shared" si="164"/>
        <v>0</v>
      </c>
      <c r="K654" s="7">
        <f t="shared" si="171"/>
        <v>45873</v>
      </c>
      <c r="L654" s="7">
        <f t="shared" si="165"/>
        <v>45843</v>
      </c>
      <c r="M654">
        <f t="shared" si="166"/>
        <v>7</v>
      </c>
      <c r="N654">
        <f t="shared" si="167"/>
        <v>2025</v>
      </c>
      <c r="Q654" s="22">
        <v>963</v>
      </c>
      <c r="R654" s="22">
        <v>2595</v>
      </c>
      <c r="S654" s="22" t="str">
        <f t="shared" si="172"/>
        <v>USD</v>
      </c>
      <c r="T654" s="22">
        <f t="shared" si="159"/>
        <v>2595</v>
      </c>
      <c r="U654" s="28">
        <v>400</v>
      </c>
      <c r="W654" s="9">
        <v>433</v>
      </c>
      <c r="X654" s="9" t="s">
        <v>27</v>
      </c>
      <c r="AF654">
        <v>691</v>
      </c>
      <c r="AG654" t="s">
        <v>29</v>
      </c>
      <c r="AH654">
        <v>1114.08</v>
      </c>
      <c r="AI654" s="7">
        <v>45923</v>
      </c>
    </row>
    <row r="655" spans="1:35">
      <c r="A655">
        <v>713</v>
      </c>
      <c r="B655" t="str">
        <f t="shared" si="168"/>
        <v>GPB</v>
      </c>
      <c r="C655">
        <f t="shared" si="169"/>
        <v>6000</v>
      </c>
      <c r="D655">
        <f t="shared" si="160"/>
        <v>6899.9999999999991</v>
      </c>
      <c r="E655">
        <f t="shared" si="161"/>
        <v>8040.0000000000009</v>
      </c>
      <c r="F655">
        <v>12686.19</v>
      </c>
      <c r="G655">
        <f t="shared" si="162"/>
        <v>14589.118499999999</v>
      </c>
      <c r="H655">
        <f t="shared" si="163"/>
        <v>16999.494600000002</v>
      </c>
      <c r="I655">
        <f t="shared" si="170"/>
        <v>-6686.1900000000005</v>
      </c>
      <c r="J655">
        <f t="shared" si="164"/>
        <v>-8959.4946000000018</v>
      </c>
      <c r="K655" s="7">
        <f t="shared" si="171"/>
        <v>45931</v>
      </c>
      <c r="L655" s="7">
        <f t="shared" si="165"/>
        <v>45901</v>
      </c>
      <c r="M655">
        <f t="shared" si="166"/>
        <v>9</v>
      </c>
      <c r="N655">
        <f t="shared" si="167"/>
        <v>2025</v>
      </c>
      <c r="Q655" s="22">
        <v>964</v>
      </c>
      <c r="R655" s="22">
        <v>75618</v>
      </c>
      <c r="S655" s="22" t="str">
        <f t="shared" si="172"/>
        <v>USD</v>
      </c>
      <c r="T655" s="22">
        <f t="shared" si="159"/>
        <v>75618</v>
      </c>
      <c r="U655" s="28">
        <v>400</v>
      </c>
      <c r="W655" s="9">
        <v>433</v>
      </c>
      <c r="X655" s="9" t="s">
        <v>27</v>
      </c>
      <c r="AF655">
        <v>692</v>
      </c>
      <c r="AG655" t="s">
        <v>29</v>
      </c>
      <c r="AH655">
        <v>3288.3</v>
      </c>
      <c r="AI655" s="7">
        <v>45912</v>
      </c>
    </row>
    <row r="656" spans="1:35">
      <c r="A656">
        <v>714</v>
      </c>
      <c r="B656" t="str">
        <f t="shared" si="168"/>
        <v>USD</v>
      </c>
      <c r="C656">
        <f t="shared" si="169"/>
        <v>0</v>
      </c>
      <c r="D656">
        <f t="shared" si="160"/>
        <v>0</v>
      </c>
      <c r="E656">
        <f t="shared" si="161"/>
        <v>0</v>
      </c>
      <c r="F656">
        <v>35813</v>
      </c>
      <c r="G656">
        <f t="shared" si="162"/>
        <v>30799.18</v>
      </c>
      <c r="H656">
        <f t="shared" si="163"/>
        <v>35813</v>
      </c>
      <c r="I656">
        <f t="shared" si="170"/>
        <v>0</v>
      </c>
      <c r="J656">
        <f t="shared" si="164"/>
        <v>0</v>
      </c>
      <c r="K656" s="7">
        <f t="shared" si="171"/>
        <v>45753</v>
      </c>
      <c r="L656" s="7">
        <f t="shared" si="165"/>
        <v>45723</v>
      </c>
      <c r="M656">
        <f t="shared" si="166"/>
        <v>3</v>
      </c>
      <c r="N656">
        <f t="shared" si="167"/>
        <v>2025</v>
      </c>
      <c r="Q656" s="22">
        <v>965</v>
      </c>
      <c r="R656" s="22">
        <v>2685</v>
      </c>
      <c r="S656" s="22" t="str">
        <f t="shared" si="172"/>
        <v>USD</v>
      </c>
      <c r="T656" s="22">
        <f t="shared" si="159"/>
        <v>2685</v>
      </c>
      <c r="U656" s="28">
        <v>400</v>
      </c>
      <c r="W656" s="9">
        <v>433</v>
      </c>
      <c r="X656" s="9" t="s">
        <v>27</v>
      </c>
      <c r="AF656">
        <v>693</v>
      </c>
      <c r="AG656" t="s">
        <v>27</v>
      </c>
      <c r="AH656">
        <v>6460</v>
      </c>
      <c r="AI656" s="7">
        <v>45918</v>
      </c>
    </row>
    <row r="657" spans="1:35">
      <c r="A657">
        <v>715</v>
      </c>
      <c r="B657" t="str">
        <f t="shared" si="168"/>
        <v>MXN</v>
      </c>
      <c r="C657">
        <f t="shared" si="169"/>
        <v>0</v>
      </c>
      <c r="D657">
        <f t="shared" si="160"/>
        <v>0</v>
      </c>
      <c r="E657">
        <f t="shared" si="161"/>
        <v>0</v>
      </c>
      <c r="F657">
        <v>30166.35</v>
      </c>
      <c r="G657">
        <f t="shared" si="162"/>
        <v>1447.9848</v>
      </c>
      <c r="H657">
        <f t="shared" si="163"/>
        <v>1689.3155999999999</v>
      </c>
      <c r="I657">
        <f t="shared" si="170"/>
        <v>0</v>
      </c>
      <c r="J657">
        <f t="shared" si="164"/>
        <v>0</v>
      </c>
      <c r="K657" s="7">
        <f t="shared" si="171"/>
        <v>45897</v>
      </c>
      <c r="L657" s="7">
        <f t="shared" si="165"/>
        <v>45867</v>
      </c>
      <c r="M657">
        <f t="shared" si="166"/>
        <v>7</v>
      </c>
      <c r="N657">
        <f t="shared" si="167"/>
        <v>2025</v>
      </c>
      <c r="Q657" s="22">
        <v>966</v>
      </c>
      <c r="R657" s="22">
        <v>4363</v>
      </c>
      <c r="S657" s="22" t="str">
        <f t="shared" si="172"/>
        <v>USD</v>
      </c>
      <c r="T657" s="22">
        <f t="shared" si="159"/>
        <v>4363</v>
      </c>
      <c r="U657" s="28">
        <v>400</v>
      </c>
      <c r="W657" s="9">
        <v>433</v>
      </c>
      <c r="X657" s="9" t="s">
        <v>27</v>
      </c>
      <c r="AF657">
        <v>694</v>
      </c>
      <c r="AG657" t="s">
        <v>27</v>
      </c>
      <c r="AH657">
        <v>6975</v>
      </c>
      <c r="AI657" s="7">
        <v>45907</v>
      </c>
    </row>
    <row r="658" spans="1:35">
      <c r="A658">
        <v>716</v>
      </c>
      <c r="B658" t="str">
        <f t="shared" si="168"/>
        <v>USD</v>
      </c>
      <c r="C658">
        <f t="shared" si="169"/>
        <v>0</v>
      </c>
      <c r="D658">
        <f t="shared" si="160"/>
        <v>0</v>
      </c>
      <c r="E658">
        <f t="shared" si="161"/>
        <v>0</v>
      </c>
      <c r="F658">
        <v>384.51</v>
      </c>
      <c r="G658">
        <f t="shared" si="162"/>
        <v>330.67859999999996</v>
      </c>
      <c r="H658">
        <f t="shared" si="163"/>
        <v>384.51</v>
      </c>
      <c r="I658">
        <f t="shared" si="170"/>
        <v>0</v>
      </c>
      <c r="J658">
        <f t="shared" si="164"/>
        <v>0</v>
      </c>
      <c r="K658" s="7">
        <f t="shared" si="171"/>
        <v>45830</v>
      </c>
      <c r="L658" s="7">
        <f t="shared" si="165"/>
        <v>45800</v>
      </c>
      <c r="M658">
        <f t="shared" si="166"/>
        <v>5</v>
      </c>
      <c r="N658">
        <f t="shared" si="167"/>
        <v>2025</v>
      </c>
      <c r="Q658" s="22">
        <v>968</v>
      </c>
      <c r="R658" s="22">
        <v>33286.720000000001</v>
      </c>
      <c r="S658" s="22" t="str">
        <f t="shared" si="172"/>
        <v>USD</v>
      </c>
      <c r="T658" s="22">
        <f t="shared" ref="T658:T721" si="173">R658*_xlfn.XLOOKUP(S658,AM:AM,AO:AO)</f>
        <v>33286.720000000001</v>
      </c>
      <c r="U658" s="28">
        <v>400</v>
      </c>
      <c r="W658" s="9">
        <v>434</v>
      </c>
      <c r="X658" s="9" t="s">
        <v>32</v>
      </c>
      <c r="AF658">
        <v>695</v>
      </c>
      <c r="AG658" t="s">
        <v>29</v>
      </c>
      <c r="AH658">
        <v>48030.94</v>
      </c>
      <c r="AI658" s="7">
        <v>45937</v>
      </c>
    </row>
    <row r="659" spans="1:35">
      <c r="A659">
        <v>721</v>
      </c>
      <c r="B659" t="str">
        <f t="shared" si="168"/>
        <v>MXN</v>
      </c>
      <c r="C659">
        <f t="shared" si="169"/>
        <v>63818.35</v>
      </c>
      <c r="D659">
        <f t="shared" si="160"/>
        <v>3063.2808</v>
      </c>
      <c r="E659">
        <f t="shared" si="161"/>
        <v>3573.8276000000001</v>
      </c>
      <c r="F659">
        <v>63818.35</v>
      </c>
      <c r="G659">
        <f t="shared" si="162"/>
        <v>3063.2808</v>
      </c>
      <c r="H659">
        <f t="shared" si="163"/>
        <v>3573.8276000000001</v>
      </c>
      <c r="I659">
        <f t="shared" si="170"/>
        <v>0</v>
      </c>
      <c r="J659">
        <f t="shared" si="164"/>
        <v>0</v>
      </c>
      <c r="K659" s="7">
        <f t="shared" si="171"/>
        <v>45953</v>
      </c>
      <c r="L659" s="7">
        <f t="shared" si="165"/>
        <v>45923</v>
      </c>
      <c r="M659">
        <f t="shared" si="166"/>
        <v>9</v>
      </c>
      <c r="N659">
        <f t="shared" si="167"/>
        <v>2025</v>
      </c>
      <c r="Q659" s="22">
        <v>970</v>
      </c>
      <c r="R659" s="22">
        <v>2320</v>
      </c>
      <c r="S659" s="22" t="str">
        <f t="shared" si="172"/>
        <v>EUR</v>
      </c>
      <c r="T659" s="22">
        <f t="shared" si="173"/>
        <v>2691.2</v>
      </c>
      <c r="U659" s="28">
        <v>400</v>
      </c>
      <c r="W659" s="9">
        <v>435</v>
      </c>
      <c r="X659" s="9" t="s">
        <v>29</v>
      </c>
      <c r="AF659">
        <v>696</v>
      </c>
      <c r="AG659" t="s">
        <v>29</v>
      </c>
      <c r="AH659">
        <v>25152.21</v>
      </c>
      <c r="AI659" s="7">
        <v>45960</v>
      </c>
    </row>
    <row r="660" spans="1:35">
      <c r="A660">
        <v>722</v>
      </c>
      <c r="B660" t="str">
        <f t="shared" si="168"/>
        <v>USD</v>
      </c>
      <c r="C660">
        <f t="shared" si="169"/>
        <v>0</v>
      </c>
      <c r="D660">
        <f t="shared" si="160"/>
        <v>0</v>
      </c>
      <c r="E660">
        <f t="shared" si="161"/>
        <v>0</v>
      </c>
      <c r="F660">
        <v>1349</v>
      </c>
      <c r="G660">
        <f t="shared" si="162"/>
        <v>1160.1399999999999</v>
      </c>
      <c r="H660">
        <f t="shared" si="163"/>
        <v>1349</v>
      </c>
      <c r="I660">
        <f t="shared" si="170"/>
        <v>0</v>
      </c>
      <c r="J660">
        <f t="shared" si="164"/>
        <v>0</v>
      </c>
      <c r="K660" s="7">
        <f t="shared" si="171"/>
        <v>45871</v>
      </c>
      <c r="L660" s="7">
        <f t="shared" si="165"/>
        <v>45841</v>
      </c>
      <c r="M660">
        <f t="shared" si="166"/>
        <v>7</v>
      </c>
      <c r="N660">
        <f t="shared" si="167"/>
        <v>2025</v>
      </c>
      <c r="Q660" s="22">
        <v>971</v>
      </c>
      <c r="R660" s="22">
        <v>90124.479999999996</v>
      </c>
      <c r="S660" s="22" t="str">
        <f t="shared" si="172"/>
        <v>MXN</v>
      </c>
      <c r="T660" s="22">
        <f t="shared" si="173"/>
        <v>5046.9708799999999</v>
      </c>
      <c r="U660" s="28">
        <v>400</v>
      </c>
      <c r="W660" s="9">
        <v>435</v>
      </c>
      <c r="X660" s="9" t="s">
        <v>29</v>
      </c>
      <c r="AF660">
        <v>697</v>
      </c>
      <c r="AG660" t="s">
        <v>29</v>
      </c>
      <c r="AH660">
        <v>5020.5600000000004</v>
      </c>
      <c r="AI660" s="7">
        <v>45914</v>
      </c>
    </row>
    <row r="661" spans="1:35">
      <c r="A661">
        <v>724</v>
      </c>
      <c r="B661" t="str">
        <f t="shared" si="168"/>
        <v>USD</v>
      </c>
      <c r="C661">
        <f t="shared" si="169"/>
        <v>567.65000000000009</v>
      </c>
      <c r="D661">
        <f t="shared" si="160"/>
        <v>488.17900000000009</v>
      </c>
      <c r="E661">
        <f t="shared" si="161"/>
        <v>567.65000000000009</v>
      </c>
      <c r="F661">
        <v>1963.65</v>
      </c>
      <c r="G661">
        <f t="shared" si="162"/>
        <v>1688.739</v>
      </c>
      <c r="H661">
        <f t="shared" si="163"/>
        <v>1963.65</v>
      </c>
      <c r="I661">
        <f t="shared" si="170"/>
        <v>0</v>
      </c>
      <c r="J661">
        <f t="shared" si="164"/>
        <v>0</v>
      </c>
      <c r="K661" s="7">
        <f t="shared" si="171"/>
        <v>45658</v>
      </c>
      <c r="L661" s="7">
        <f t="shared" si="165"/>
        <v>45628</v>
      </c>
      <c r="M661">
        <f t="shared" si="166"/>
        <v>12</v>
      </c>
      <c r="N661">
        <f t="shared" si="167"/>
        <v>2024</v>
      </c>
      <c r="Q661" s="22">
        <v>972</v>
      </c>
      <c r="R661" s="22">
        <v>2040</v>
      </c>
      <c r="S661" s="22" t="str">
        <f t="shared" si="172"/>
        <v>GBP</v>
      </c>
      <c r="T661" s="22">
        <f t="shared" si="173"/>
        <v>2733.6000000000004</v>
      </c>
      <c r="U661" s="28">
        <v>400</v>
      </c>
      <c r="W661" s="9">
        <v>435</v>
      </c>
      <c r="X661" s="9" t="s">
        <v>29</v>
      </c>
      <c r="AF661">
        <v>698</v>
      </c>
      <c r="AG661" t="s">
        <v>29</v>
      </c>
      <c r="AH661">
        <v>1000</v>
      </c>
      <c r="AI661" s="7">
        <v>46223</v>
      </c>
    </row>
    <row r="662" spans="1:35">
      <c r="A662">
        <v>725</v>
      </c>
      <c r="B662" t="str">
        <f t="shared" si="168"/>
        <v>USD</v>
      </c>
      <c r="C662">
        <f t="shared" si="169"/>
        <v>27250.78</v>
      </c>
      <c r="D662">
        <f t="shared" si="160"/>
        <v>23435.6708</v>
      </c>
      <c r="E662">
        <f t="shared" si="161"/>
        <v>27250.78</v>
      </c>
      <c r="F662">
        <v>28105.18</v>
      </c>
      <c r="G662">
        <f t="shared" si="162"/>
        <v>24170.4548</v>
      </c>
      <c r="H662">
        <f t="shared" si="163"/>
        <v>28105.18</v>
      </c>
      <c r="I662">
        <f t="shared" si="170"/>
        <v>-1.4779288903810084E-12</v>
      </c>
      <c r="J662">
        <f t="shared" si="164"/>
        <v>-1.4779288903810084E-12</v>
      </c>
      <c r="K662" s="7">
        <f t="shared" si="171"/>
        <v>45937</v>
      </c>
      <c r="L662" s="7">
        <f t="shared" si="165"/>
        <v>45907</v>
      </c>
      <c r="M662">
        <f t="shared" si="166"/>
        <v>9</v>
      </c>
      <c r="N662">
        <f t="shared" si="167"/>
        <v>2025</v>
      </c>
      <c r="Q662" s="22">
        <v>975</v>
      </c>
      <c r="R662" s="22">
        <v>11920.39</v>
      </c>
      <c r="S662" s="22" t="str">
        <f t="shared" si="172"/>
        <v>MXN</v>
      </c>
      <c r="T662" s="22">
        <f t="shared" si="173"/>
        <v>667.54183999999998</v>
      </c>
      <c r="U662" s="28">
        <v>400</v>
      </c>
      <c r="W662" s="9">
        <v>436</v>
      </c>
      <c r="X662" s="9" t="s">
        <v>28</v>
      </c>
      <c r="AF662">
        <v>699</v>
      </c>
      <c r="AG662" t="s">
        <v>29</v>
      </c>
      <c r="AH662">
        <v>1825</v>
      </c>
      <c r="AI662" s="7">
        <v>45819</v>
      </c>
    </row>
    <row r="663" spans="1:35">
      <c r="A663">
        <v>727</v>
      </c>
      <c r="B663" t="str">
        <f t="shared" si="168"/>
        <v>USD</v>
      </c>
      <c r="C663">
        <f t="shared" si="169"/>
        <v>40307</v>
      </c>
      <c r="D663">
        <f t="shared" si="160"/>
        <v>34664.019999999997</v>
      </c>
      <c r="E663">
        <f t="shared" si="161"/>
        <v>40307</v>
      </c>
      <c r="F663">
        <v>99176.08</v>
      </c>
      <c r="G663">
        <f t="shared" si="162"/>
        <v>85291.428799999994</v>
      </c>
      <c r="H663">
        <f t="shared" si="163"/>
        <v>99176.08</v>
      </c>
      <c r="I663">
        <f t="shared" si="170"/>
        <v>0</v>
      </c>
      <c r="J663">
        <f t="shared" si="164"/>
        <v>0</v>
      </c>
      <c r="K663" s="7">
        <f t="shared" si="171"/>
        <v>45975</v>
      </c>
      <c r="L663" s="7">
        <f t="shared" si="165"/>
        <v>45945</v>
      </c>
      <c r="M663">
        <f t="shared" si="166"/>
        <v>10</v>
      </c>
      <c r="N663">
        <f t="shared" si="167"/>
        <v>2025</v>
      </c>
      <c r="Q663" s="22">
        <v>979</v>
      </c>
      <c r="R663" s="22">
        <v>2523</v>
      </c>
      <c r="S663" s="22" t="str">
        <f t="shared" si="172"/>
        <v>USD</v>
      </c>
      <c r="T663" s="22">
        <f t="shared" si="173"/>
        <v>2523</v>
      </c>
      <c r="U663" s="28">
        <v>400</v>
      </c>
      <c r="W663" s="9">
        <v>436</v>
      </c>
      <c r="X663" s="9" t="s">
        <v>28</v>
      </c>
      <c r="AF663">
        <v>700</v>
      </c>
      <c r="AG663" t="s">
        <v>29</v>
      </c>
      <c r="AH663">
        <v>260</v>
      </c>
      <c r="AI663" s="7">
        <v>45844</v>
      </c>
    </row>
    <row r="664" spans="1:35">
      <c r="A664">
        <v>728</v>
      </c>
      <c r="B664" t="str">
        <f t="shared" si="168"/>
        <v>USD</v>
      </c>
      <c r="C664">
        <f t="shared" si="169"/>
        <v>0</v>
      </c>
      <c r="D664">
        <f t="shared" si="160"/>
        <v>0</v>
      </c>
      <c r="E664">
        <f t="shared" si="161"/>
        <v>0</v>
      </c>
      <c r="F664">
        <v>6075</v>
      </c>
      <c r="G664">
        <f t="shared" si="162"/>
        <v>5224.5</v>
      </c>
      <c r="H664">
        <f t="shared" si="163"/>
        <v>6075</v>
      </c>
      <c r="I664">
        <f t="shared" si="170"/>
        <v>0</v>
      </c>
      <c r="J664">
        <f t="shared" si="164"/>
        <v>0</v>
      </c>
      <c r="K664" s="7">
        <f t="shared" si="171"/>
        <v>45914</v>
      </c>
      <c r="L664" s="7">
        <f t="shared" si="165"/>
        <v>45884</v>
      </c>
      <c r="M664">
        <f t="shared" si="166"/>
        <v>8</v>
      </c>
      <c r="N664">
        <f t="shared" si="167"/>
        <v>2025</v>
      </c>
      <c r="Q664" s="22">
        <v>980</v>
      </c>
      <c r="R664" s="22">
        <v>6766</v>
      </c>
      <c r="S664" s="22" t="str">
        <f t="shared" si="172"/>
        <v>USD</v>
      </c>
      <c r="T664" s="22">
        <f t="shared" si="173"/>
        <v>6766</v>
      </c>
      <c r="U664" s="28">
        <v>400</v>
      </c>
      <c r="W664" s="9">
        <v>436</v>
      </c>
      <c r="X664" s="9" t="s">
        <v>28</v>
      </c>
      <c r="AF664">
        <v>701</v>
      </c>
      <c r="AG664" t="s">
        <v>29</v>
      </c>
      <c r="AH664">
        <v>3915</v>
      </c>
      <c r="AI664" s="7">
        <v>45885</v>
      </c>
    </row>
    <row r="665" spans="1:35">
      <c r="A665">
        <v>729</v>
      </c>
      <c r="B665" t="str">
        <f t="shared" si="168"/>
        <v>USD</v>
      </c>
      <c r="C665">
        <f t="shared" si="169"/>
        <v>0</v>
      </c>
      <c r="D665">
        <f t="shared" si="160"/>
        <v>0</v>
      </c>
      <c r="E665">
        <f t="shared" si="161"/>
        <v>0</v>
      </c>
      <c r="F665">
        <v>17512</v>
      </c>
      <c r="G665">
        <f t="shared" si="162"/>
        <v>15060.32</v>
      </c>
      <c r="H665">
        <f t="shared" si="163"/>
        <v>17512</v>
      </c>
      <c r="I665">
        <f t="shared" si="170"/>
        <v>0</v>
      </c>
      <c r="J665">
        <f t="shared" si="164"/>
        <v>0</v>
      </c>
      <c r="K665" s="7">
        <f t="shared" si="171"/>
        <v>45857</v>
      </c>
      <c r="L665" s="7">
        <f t="shared" si="165"/>
        <v>45827</v>
      </c>
      <c r="M665">
        <f t="shared" si="166"/>
        <v>6</v>
      </c>
      <c r="N665">
        <f t="shared" si="167"/>
        <v>2025</v>
      </c>
      <c r="Q665" s="22">
        <v>982</v>
      </c>
      <c r="R665" s="22">
        <v>144</v>
      </c>
      <c r="S665" s="22" t="str">
        <f t="shared" si="172"/>
        <v>USD</v>
      </c>
      <c r="T665" s="22">
        <f t="shared" si="173"/>
        <v>144</v>
      </c>
      <c r="U665" s="28">
        <v>400</v>
      </c>
      <c r="W665" s="9">
        <v>437</v>
      </c>
      <c r="X665" s="9" t="s">
        <v>27</v>
      </c>
      <c r="AF665">
        <v>702</v>
      </c>
      <c r="AG665" t="s">
        <v>29</v>
      </c>
      <c r="AH665">
        <v>796.16</v>
      </c>
      <c r="AI665" s="7">
        <v>45962</v>
      </c>
    </row>
    <row r="666" spans="1:35">
      <c r="A666">
        <v>730</v>
      </c>
      <c r="B666" t="str">
        <f t="shared" si="168"/>
        <v>USD</v>
      </c>
      <c r="C666">
        <f t="shared" si="169"/>
        <v>0</v>
      </c>
      <c r="D666">
        <f t="shared" si="160"/>
        <v>0</v>
      </c>
      <c r="E666">
        <f t="shared" si="161"/>
        <v>0</v>
      </c>
      <c r="F666">
        <v>9701.2199999999993</v>
      </c>
      <c r="G666">
        <f t="shared" si="162"/>
        <v>8343.0491999999995</v>
      </c>
      <c r="H666">
        <f t="shared" si="163"/>
        <v>9701.2199999999993</v>
      </c>
      <c r="I666">
        <f t="shared" si="170"/>
        <v>0</v>
      </c>
      <c r="J666">
        <f t="shared" si="164"/>
        <v>0</v>
      </c>
      <c r="K666" s="7">
        <f t="shared" si="171"/>
        <v>45861</v>
      </c>
      <c r="L666" s="7">
        <f t="shared" si="165"/>
        <v>45831</v>
      </c>
      <c r="M666">
        <f t="shared" si="166"/>
        <v>6</v>
      </c>
      <c r="N666">
        <f t="shared" si="167"/>
        <v>2025</v>
      </c>
      <c r="Q666" s="22">
        <v>984</v>
      </c>
      <c r="R666" s="22">
        <v>6620.68</v>
      </c>
      <c r="S666" s="22" t="str">
        <f t="shared" si="172"/>
        <v>EUR</v>
      </c>
      <c r="T666" s="22">
        <f t="shared" si="173"/>
        <v>7679.9888000000001</v>
      </c>
      <c r="U666" s="28">
        <v>400</v>
      </c>
      <c r="W666" s="9">
        <v>440</v>
      </c>
      <c r="X666" s="9" t="s">
        <v>28</v>
      </c>
      <c r="AF666">
        <v>703</v>
      </c>
      <c r="AG666" t="s">
        <v>29</v>
      </c>
      <c r="AH666">
        <v>129987.86</v>
      </c>
      <c r="AI666" s="7">
        <v>46161</v>
      </c>
    </row>
    <row r="667" spans="1:35">
      <c r="A667">
        <v>731</v>
      </c>
      <c r="B667" t="str">
        <f t="shared" si="168"/>
        <v>USD</v>
      </c>
      <c r="C667">
        <f t="shared" si="169"/>
        <v>1350</v>
      </c>
      <c r="D667">
        <f t="shared" si="160"/>
        <v>1161</v>
      </c>
      <c r="E667">
        <f t="shared" si="161"/>
        <v>1350</v>
      </c>
      <c r="F667">
        <v>16650</v>
      </c>
      <c r="G667">
        <f t="shared" si="162"/>
        <v>14319</v>
      </c>
      <c r="H667">
        <f t="shared" si="163"/>
        <v>16650</v>
      </c>
      <c r="I667">
        <f t="shared" si="170"/>
        <v>1350</v>
      </c>
      <c r="J667">
        <f t="shared" si="164"/>
        <v>1350</v>
      </c>
      <c r="K667" s="7">
        <f t="shared" si="171"/>
        <v>46022</v>
      </c>
      <c r="L667" s="7">
        <f t="shared" si="165"/>
        <v>45992</v>
      </c>
      <c r="M667">
        <f t="shared" si="166"/>
        <v>12</v>
      </c>
      <c r="N667">
        <f t="shared" si="167"/>
        <v>2025</v>
      </c>
      <c r="Q667" s="22">
        <v>985</v>
      </c>
      <c r="R667" s="22">
        <v>1227.19</v>
      </c>
      <c r="S667" s="22" t="str">
        <f t="shared" si="172"/>
        <v>USD</v>
      </c>
      <c r="T667" s="22">
        <f t="shared" si="173"/>
        <v>1227.19</v>
      </c>
      <c r="U667" s="28">
        <v>400</v>
      </c>
      <c r="W667" s="9">
        <v>440</v>
      </c>
      <c r="X667" s="9" t="s">
        <v>28</v>
      </c>
      <c r="AF667">
        <v>704</v>
      </c>
      <c r="AG667" t="s">
        <v>29</v>
      </c>
      <c r="AH667">
        <v>9825.94</v>
      </c>
      <c r="AI667" s="7">
        <v>45876</v>
      </c>
    </row>
    <row r="668" spans="1:35">
      <c r="A668">
        <v>732</v>
      </c>
      <c r="B668" t="str">
        <f t="shared" si="168"/>
        <v>USD</v>
      </c>
      <c r="C668">
        <f t="shared" si="169"/>
        <v>0</v>
      </c>
      <c r="D668">
        <f t="shared" si="160"/>
        <v>0</v>
      </c>
      <c r="E668">
        <f t="shared" si="161"/>
        <v>0</v>
      </c>
      <c r="F668">
        <v>2563.04</v>
      </c>
      <c r="G668">
        <f t="shared" si="162"/>
        <v>2204.2143999999998</v>
      </c>
      <c r="H668">
        <f t="shared" si="163"/>
        <v>2563.04</v>
      </c>
      <c r="I668">
        <f t="shared" si="170"/>
        <v>0</v>
      </c>
      <c r="J668">
        <f t="shared" si="164"/>
        <v>0</v>
      </c>
      <c r="K668" s="7">
        <f t="shared" si="171"/>
        <v>45995</v>
      </c>
      <c r="L668" s="7">
        <f t="shared" si="165"/>
        <v>45965</v>
      </c>
      <c r="M668">
        <f t="shared" si="166"/>
        <v>11</v>
      </c>
      <c r="N668">
        <f t="shared" si="167"/>
        <v>2025</v>
      </c>
      <c r="Q668" s="22">
        <v>986</v>
      </c>
      <c r="R668" s="22">
        <v>5224</v>
      </c>
      <c r="S668" s="22" t="str">
        <f t="shared" si="172"/>
        <v>EUR</v>
      </c>
      <c r="T668" s="22">
        <f t="shared" si="173"/>
        <v>6059.8399999999992</v>
      </c>
      <c r="U668" s="28">
        <v>400</v>
      </c>
      <c r="W668" s="9">
        <v>440</v>
      </c>
      <c r="X668" s="9" t="s">
        <v>28</v>
      </c>
      <c r="AF668">
        <v>706</v>
      </c>
      <c r="AG668" t="s">
        <v>29</v>
      </c>
      <c r="AH668">
        <v>31844.09</v>
      </c>
      <c r="AI668" s="7">
        <v>45950</v>
      </c>
    </row>
    <row r="669" spans="1:35">
      <c r="A669">
        <v>733</v>
      </c>
      <c r="B669" t="str">
        <f t="shared" si="168"/>
        <v>USD</v>
      </c>
      <c r="C669">
        <f t="shared" si="169"/>
        <v>101074.32</v>
      </c>
      <c r="D669">
        <f t="shared" si="160"/>
        <v>86923.915200000003</v>
      </c>
      <c r="E669">
        <f t="shared" si="161"/>
        <v>101074.32</v>
      </c>
      <c r="F669">
        <v>112162.93</v>
      </c>
      <c r="G669">
        <f t="shared" si="162"/>
        <v>96460.119799999986</v>
      </c>
      <c r="H669">
        <f t="shared" si="163"/>
        <v>112162.93</v>
      </c>
      <c r="I669">
        <f t="shared" si="170"/>
        <v>1427.390000000014</v>
      </c>
      <c r="J669">
        <f t="shared" si="164"/>
        <v>1427.390000000014</v>
      </c>
      <c r="K669" s="7">
        <f t="shared" si="171"/>
        <v>46062</v>
      </c>
      <c r="L669" s="7">
        <f t="shared" si="165"/>
        <v>46032</v>
      </c>
      <c r="M669">
        <f t="shared" si="166"/>
        <v>1</v>
      </c>
      <c r="N669">
        <f t="shared" si="167"/>
        <v>2026</v>
      </c>
      <c r="Q669" s="22">
        <v>987</v>
      </c>
      <c r="R669" s="22">
        <v>5251</v>
      </c>
      <c r="S669" s="22" t="str">
        <f t="shared" si="172"/>
        <v>USD</v>
      </c>
      <c r="T669" s="22">
        <f t="shared" si="173"/>
        <v>5251</v>
      </c>
      <c r="U669" s="28">
        <v>400</v>
      </c>
      <c r="W669" s="9">
        <v>440</v>
      </c>
      <c r="X669" s="9" t="s">
        <v>28</v>
      </c>
      <c r="AF669">
        <v>707</v>
      </c>
      <c r="AG669" t="s">
        <v>29</v>
      </c>
      <c r="AH669">
        <v>50003.81</v>
      </c>
      <c r="AI669" s="7">
        <v>46033</v>
      </c>
    </row>
    <row r="670" spans="1:35">
      <c r="A670">
        <v>734</v>
      </c>
      <c r="B670" t="str">
        <f t="shared" si="168"/>
        <v>USD</v>
      </c>
      <c r="C670">
        <f t="shared" si="169"/>
        <v>0</v>
      </c>
      <c r="D670">
        <f t="shared" si="160"/>
        <v>0</v>
      </c>
      <c r="E670">
        <f t="shared" si="161"/>
        <v>0</v>
      </c>
      <c r="F670">
        <v>9616.31</v>
      </c>
      <c r="G670">
        <f t="shared" si="162"/>
        <v>8270.0265999999992</v>
      </c>
      <c r="H670">
        <f t="shared" si="163"/>
        <v>9616.31</v>
      </c>
      <c r="I670">
        <f t="shared" si="170"/>
        <v>1.8189894035458565E-12</v>
      </c>
      <c r="J670">
        <f t="shared" si="164"/>
        <v>1.8189894035458565E-12</v>
      </c>
      <c r="K670" s="7">
        <f t="shared" si="171"/>
        <v>45940</v>
      </c>
      <c r="L670" s="7">
        <f t="shared" si="165"/>
        <v>45910</v>
      </c>
      <c r="M670">
        <f t="shared" si="166"/>
        <v>9</v>
      </c>
      <c r="N670">
        <f t="shared" si="167"/>
        <v>2025</v>
      </c>
      <c r="Q670" s="22">
        <v>988</v>
      </c>
      <c r="R670" s="22">
        <v>1201.26</v>
      </c>
      <c r="S670" s="22" t="str">
        <f t="shared" si="172"/>
        <v>USD</v>
      </c>
      <c r="T670" s="22">
        <f t="shared" si="173"/>
        <v>1201.26</v>
      </c>
      <c r="U670" s="28">
        <v>400</v>
      </c>
      <c r="W670" s="9">
        <v>440</v>
      </c>
      <c r="X670" s="9" t="s">
        <v>28</v>
      </c>
      <c r="AF670">
        <v>708</v>
      </c>
      <c r="AG670" t="s">
        <v>29</v>
      </c>
      <c r="AH670">
        <v>1986.98</v>
      </c>
      <c r="AI670" s="7">
        <v>46046</v>
      </c>
    </row>
    <row r="671" spans="1:35">
      <c r="A671">
        <v>735</v>
      </c>
      <c r="B671" t="str">
        <f t="shared" si="168"/>
        <v>USD</v>
      </c>
      <c r="C671">
        <f t="shared" si="169"/>
        <v>58881</v>
      </c>
      <c r="D671">
        <f t="shared" si="160"/>
        <v>50637.659999999996</v>
      </c>
      <c r="E671">
        <f t="shared" si="161"/>
        <v>58881</v>
      </c>
      <c r="F671">
        <v>81074.8</v>
      </c>
      <c r="G671">
        <f t="shared" si="162"/>
        <v>69724.328000000009</v>
      </c>
      <c r="H671">
        <f t="shared" si="163"/>
        <v>81074.8</v>
      </c>
      <c r="I671">
        <f t="shared" si="170"/>
        <v>0</v>
      </c>
      <c r="J671">
        <f t="shared" si="164"/>
        <v>0</v>
      </c>
      <c r="K671" s="7">
        <f t="shared" si="171"/>
        <v>45951</v>
      </c>
      <c r="L671" s="7">
        <f t="shared" si="165"/>
        <v>45921</v>
      </c>
      <c r="M671">
        <f t="shared" si="166"/>
        <v>9</v>
      </c>
      <c r="N671">
        <f t="shared" si="167"/>
        <v>2025</v>
      </c>
      <c r="Q671" s="22">
        <v>991</v>
      </c>
      <c r="R671" s="22">
        <v>13898.8</v>
      </c>
      <c r="S671" s="22" t="str">
        <f t="shared" si="172"/>
        <v>USD</v>
      </c>
      <c r="T671" s="22">
        <f t="shared" si="173"/>
        <v>13898.8</v>
      </c>
      <c r="U671" s="28">
        <v>400</v>
      </c>
      <c r="W671" s="9">
        <v>440</v>
      </c>
      <c r="X671" s="9" t="s">
        <v>28</v>
      </c>
      <c r="AF671">
        <v>709</v>
      </c>
      <c r="AG671" t="s">
        <v>30</v>
      </c>
      <c r="AH671">
        <v>3780</v>
      </c>
      <c r="AI671" s="7">
        <v>45865</v>
      </c>
    </row>
    <row r="672" spans="1:35">
      <c r="A672">
        <v>736</v>
      </c>
      <c r="B672" t="str">
        <f t="shared" si="168"/>
        <v>USD</v>
      </c>
      <c r="C672">
        <f t="shared" si="169"/>
        <v>13900</v>
      </c>
      <c r="D672">
        <f t="shared" si="160"/>
        <v>11954</v>
      </c>
      <c r="E672">
        <f t="shared" si="161"/>
        <v>13900</v>
      </c>
      <c r="F672">
        <v>13900</v>
      </c>
      <c r="G672">
        <f t="shared" si="162"/>
        <v>11954</v>
      </c>
      <c r="H672">
        <f t="shared" si="163"/>
        <v>13900</v>
      </c>
      <c r="I672">
        <f t="shared" si="170"/>
        <v>0</v>
      </c>
      <c r="J672">
        <f t="shared" si="164"/>
        <v>0</v>
      </c>
      <c r="K672" s="7">
        <f t="shared" si="171"/>
        <v>46184</v>
      </c>
      <c r="L672" s="7">
        <f t="shared" si="165"/>
        <v>46154</v>
      </c>
      <c r="M672">
        <f t="shared" si="166"/>
        <v>5</v>
      </c>
      <c r="N672">
        <f t="shared" si="167"/>
        <v>2026</v>
      </c>
      <c r="Q672" s="22">
        <v>993</v>
      </c>
      <c r="R672" s="22">
        <v>6573.9</v>
      </c>
      <c r="S672" s="22" t="str">
        <f t="shared" si="172"/>
        <v>USD</v>
      </c>
      <c r="T672" s="22">
        <f t="shared" si="173"/>
        <v>6573.9</v>
      </c>
      <c r="U672" s="28">
        <v>400</v>
      </c>
      <c r="W672" s="9">
        <v>443</v>
      </c>
      <c r="X672" s="9" t="s">
        <v>28</v>
      </c>
      <c r="AF672">
        <v>710</v>
      </c>
      <c r="AG672" t="s">
        <v>27</v>
      </c>
      <c r="AH672">
        <v>6025</v>
      </c>
      <c r="AI672" s="7">
        <v>45919</v>
      </c>
    </row>
    <row r="673" spans="1:35">
      <c r="A673">
        <v>737</v>
      </c>
      <c r="B673" t="str">
        <f t="shared" si="168"/>
        <v>EUR</v>
      </c>
      <c r="C673">
        <f t="shared" si="169"/>
        <v>0</v>
      </c>
      <c r="D673">
        <f t="shared" si="160"/>
        <v>0</v>
      </c>
      <c r="E673">
        <f t="shared" si="161"/>
        <v>0</v>
      </c>
      <c r="F673">
        <v>5070</v>
      </c>
      <c r="G673">
        <f t="shared" si="162"/>
        <v>5070</v>
      </c>
      <c r="H673">
        <f t="shared" si="163"/>
        <v>5881.2</v>
      </c>
      <c r="I673">
        <f t="shared" si="170"/>
        <v>0</v>
      </c>
      <c r="J673">
        <f t="shared" si="164"/>
        <v>0</v>
      </c>
      <c r="K673" s="7">
        <f t="shared" si="171"/>
        <v>45893</v>
      </c>
      <c r="L673" s="7">
        <f t="shared" si="165"/>
        <v>45863</v>
      </c>
      <c r="M673">
        <f t="shared" si="166"/>
        <v>7</v>
      </c>
      <c r="N673">
        <f t="shared" si="167"/>
        <v>2025</v>
      </c>
      <c r="Q673" s="22">
        <v>997</v>
      </c>
      <c r="R673" s="22">
        <v>8610</v>
      </c>
      <c r="S673" s="22" t="str">
        <f t="shared" si="172"/>
        <v>USD</v>
      </c>
      <c r="T673" s="22">
        <f t="shared" si="173"/>
        <v>8610</v>
      </c>
      <c r="U673" s="28">
        <v>400</v>
      </c>
      <c r="W673" s="9">
        <v>443</v>
      </c>
      <c r="X673" s="9" t="s">
        <v>28</v>
      </c>
      <c r="AF673">
        <v>711</v>
      </c>
      <c r="AG673" t="s">
        <v>27</v>
      </c>
      <c r="AH673">
        <v>8104.1</v>
      </c>
      <c r="AI673" s="7">
        <v>45919</v>
      </c>
    </row>
    <row r="674" spans="1:35">
      <c r="A674">
        <v>738</v>
      </c>
      <c r="B674" t="str">
        <f t="shared" si="168"/>
        <v>EUR</v>
      </c>
      <c r="C674">
        <f t="shared" si="169"/>
        <v>0</v>
      </c>
      <c r="D674">
        <f t="shared" si="160"/>
        <v>0</v>
      </c>
      <c r="E674">
        <f t="shared" si="161"/>
        <v>0</v>
      </c>
      <c r="F674">
        <v>2253.0500000000002</v>
      </c>
      <c r="G674">
        <f t="shared" si="162"/>
        <v>2253.0500000000002</v>
      </c>
      <c r="H674">
        <f t="shared" si="163"/>
        <v>2613.538</v>
      </c>
      <c r="I674">
        <f t="shared" si="170"/>
        <v>0</v>
      </c>
      <c r="J674">
        <f t="shared" si="164"/>
        <v>0</v>
      </c>
      <c r="K674" s="7">
        <f t="shared" si="171"/>
        <v>45848</v>
      </c>
      <c r="L674" s="7">
        <f t="shared" si="165"/>
        <v>45818</v>
      </c>
      <c r="M674">
        <f t="shared" si="166"/>
        <v>6</v>
      </c>
      <c r="N674">
        <f t="shared" si="167"/>
        <v>2025</v>
      </c>
      <c r="Q674" s="22">
        <v>998</v>
      </c>
      <c r="R674" s="22">
        <v>494.88</v>
      </c>
      <c r="S674" s="22" t="str">
        <f t="shared" si="172"/>
        <v>USD</v>
      </c>
      <c r="T674" s="22">
        <f t="shared" si="173"/>
        <v>494.88</v>
      </c>
      <c r="U674" s="28">
        <v>400</v>
      </c>
      <c r="W674" s="9">
        <v>443</v>
      </c>
      <c r="X674" s="9" t="s">
        <v>28</v>
      </c>
      <c r="AF674">
        <v>712</v>
      </c>
      <c r="AG674" t="s">
        <v>27</v>
      </c>
      <c r="AH674">
        <v>12080</v>
      </c>
      <c r="AI674" s="7">
        <v>45873</v>
      </c>
    </row>
    <row r="675" spans="1:35">
      <c r="A675">
        <v>739</v>
      </c>
      <c r="B675" t="str">
        <f t="shared" si="168"/>
        <v>EUR</v>
      </c>
      <c r="C675">
        <f t="shared" si="169"/>
        <v>0</v>
      </c>
      <c r="D675">
        <f t="shared" si="160"/>
        <v>0</v>
      </c>
      <c r="E675">
        <f t="shared" si="161"/>
        <v>0</v>
      </c>
      <c r="F675">
        <v>9199.69</v>
      </c>
      <c r="G675">
        <f t="shared" si="162"/>
        <v>9199.69</v>
      </c>
      <c r="H675">
        <f t="shared" si="163"/>
        <v>10671.6404</v>
      </c>
      <c r="I675">
        <f t="shared" si="170"/>
        <v>0</v>
      </c>
      <c r="J675">
        <f t="shared" si="164"/>
        <v>0</v>
      </c>
      <c r="K675" s="7">
        <f t="shared" si="171"/>
        <v>46030</v>
      </c>
      <c r="L675" s="7">
        <f t="shared" si="165"/>
        <v>46000</v>
      </c>
      <c r="M675">
        <f t="shared" si="166"/>
        <v>12</v>
      </c>
      <c r="N675">
        <f t="shared" si="167"/>
        <v>2025</v>
      </c>
      <c r="Q675" s="22">
        <v>1000</v>
      </c>
      <c r="R675" s="22">
        <v>7147.49</v>
      </c>
      <c r="S675" s="22" t="str">
        <f t="shared" si="172"/>
        <v>USD</v>
      </c>
      <c r="T675" s="22">
        <f t="shared" si="173"/>
        <v>7147.49</v>
      </c>
      <c r="U675" s="28">
        <v>400</v>
      </c>
      <c r="W675" s="9">
        <v>443</v>
      </c>
      <c r="X675" s="9" t="s">
        <v>28</v>
      </c>
      <c r="AF675">
        <v>713</v>
      </c>
      <c r="AG675" t="s">
        <v>32</v>
      </c>
      <c r="AH675">
        <v>6000</v>
      </c>
      <c r="AI675" s="7">
        <v>45931</v>
      </c>
    </row>
    <row r="676" spans="1:35">
      <c r="A676">
        <v>740</v>
      </c>
      <c r="B676" t="str">
        <f t="shared" si="168"/>
        <v>USD</v>
      </c>
      <c r="C676">
        <f t="shared" si="169"/>
        <v>0</v>
      </c>
      <c r="D676">
        <f t="shared" si="160"/>
        <v>0</v>
      </c>
      <c r="E676">
        <f t="shared" si="161"/>
        <v>0</v>
      </c>
      <c r="F676">
        <v>20705.8</v>
      </c>
      <c r="G676">
        <f t="shared" si="162"/>
        <v>17806.987999999998</v>
      </c>
      <c r="H676">
        <f t="shared" si="163"/>
        <v>20705.8</v>
      </c>
      <c r="I676">
        <f t="shared" si="170"/>
        <v>3.637978807091713E-12</v>
      </c>
      <c r="J676">
        <f t="shared" si="164"/>
        <v>3.637978807091713E-12</v>
      </c>
      <c r="K676" s="7">
        <f t="shared" si="171"/>
        <v>45846</v>
      </c>
      <c r="L676" s="7">
        <f t="shared" si="165"/>
        <v>45816</v>
      </c>
      <c r="M676">
        <f t="shared" si="166"/>
        <v>6</v>
      </c>
      <c r="N676">
        <f t="shared" si="167"/>
        <v>2025</v>
      </c>
      <c r="Q676" s="22">
        <v>1005</v>
      </c>
      <c r="R676" s="22">
        <v>20006.439999999999</v>
      </c>
      <c r="S676" s="22" t="str">
        <f t="shared" si="172"/>
        <v>EUR</v>
      </c>
      <c r="T676" s="22">
        <f t="shared" si="173"/>
        <v>23207.470399999998</v>
      </c>
      <c r="U676" s="28">
        <v>400</v>
      </c>
      <c r="W676" s="9">
        <v>445</v>
      </c>
      <c r="X676" s="9" t="s">
        <v>29</v>
      </c>
      <c r="AF676">
        <v>714</v>
      </c>
      <c r="AG676" t="s">
        <v>29</v>
      </c>
      <c r="AH676">
        <v>35813</v>
      </c>
      <c r="AI676" s="7">
        <v>45753</v>
      </c>
    </row>
    <row r="677" spans="1:35">
      <c r="A677">
        <v>742</v>
      </c>
      <c r="B677" t="str">
        <f t="shared" si="168"/>
        <v>EUR</v>
      </c>
      <c r="C677">
        <f t="shared" si="169"/>
        <v>210</v>
      </c>
      <c r="D677">
        <f t="shared" si="160"/>
        <v>210</v>
      </c>
      <c r="E677">
        <f t="shared" si="161"/>
        <v>243.6</v>
      </c>
      <c r="F677">
        <v>14996.6</v>
      </c>
      <c r="G677">
        <f t="shared" si="162"/>
        <v>14996.6</v>
      </c>
      <c r="H677">
        <f t="shared" si="163"/>
        <v>17396.056</v>
      </c>
      <c r="I677">
        <f t="shared" si="170"/>
        <v>210</v>
      </c>
      <c r="J677">
        <f t="shared" si="164"/>
        <v>243.6</v>
      </c>
      <c r="K677" s="7">
        <f t="shared" si="171"/>
        <v>45933</v>
      </c>
      <c r="L677" s="7">
        <f t="shared" si="165"/>
        <v>45903</v>
      </c>
      <c r="M677">
        <f t="shared" si="166"/>
        <v>9</v>
      </c>
      <c r="N677">
        <f t="shared" si="167"/>
        <v>2025</v>
      </c>
      <c r="Q677" s="22">
        <v>1006</v>
      </c>
      <c r="R677" s="22">
        <v>12022.15</v>
      </c>
      <c r="S677" s="22" t="str">
        <f t="shared" si="172"/>
        <v>USD</v>
      </c>
      <c r="T677" s="22">
        <f t="shared" si="173"/>
        <v>12022.15</v>
      </c>
      <c r="U677" s="28">
        <v>400</v>
      </c>
      <c r="W677" s="9">
        <v>445</v>
      </c>
      <c r="X677" s="9" t="s">
        <v>29</v>
      </c>
      <c r="AF677">
        <v>715</v>
      </c>
      <c r="AG677" t="s">
        <v>28</v>
      </c>
      <c r="AH677">
        <v>30166.35</v>
      </c>
      <c r="AI677" s="7">
        <v>45897</v>
      </c>
    </row>
    <row r="678" spans="1:35">
      <c r="A678">
        <v>743</v>
      </c>
      <c r="B678" t="str">
        <f t="shared" si="168"/>
        <v>USD</v>
      </c>
      <c r="C678">
        <f t="shared" si="169"/>
        <v>15911</v>
      </c>
      <c r="D678">
        <f t="shared" si="160"/>
        <v>13683.46</v>
      </c>
      <c r="E678">
        <f t="shared" si="161"/>
        <v>15911</v>
      </c>
      <c r="F678">
        <v>47413.25</v>
      </c>
      <c r="G678">
        <f t="shared" si="162"/>
        <v>40775.394999999997</v>
      </c>
      <c r="H678">
        <f t="shared" si="163"/>
        <v>47413.25</v>
      </c>
      <c r="I678">
        <f t="shared" si="170"/>
        <v>-11.860000000000582</v>
      </c>
      <c r="J678">
        <f t="shared" si="164"/>
        <v>-11.860000000000582</v>
      </c>
      <c r="K678" s="7">
        <f t="shared" si="171"/>
        <v>45972</v>
      </c>
      <c r="L678" s="7">
        <f t="shared" si="165"/>
        <v>45942</v>
      </c>
      <c r="M678">
        <f t="shared" si="166"/>
        <v>10</v>
      </c>
      <c r="N678">
        <f t="shared" si="167"/>
        <v>2025</v>
      </c>
      <c r="Q678" s="22">
        <v>1007</v>
      </c>
      <c r="R678" s="22">
        <v>219</v>
      </c>
      <c r="S678" s="22" t="str">
        <f t="shared" si="172"/>
        <v>USD</v>
      </c>
      <c r="T678" s="22">
        <f t="shared" si="173"/>
        <v>219</v>
      </c>
      <c r="U678" s="28">
        <v>400</v>
      </c>
      <c r="W678" s="9">
        <v>445</v>
      </c>
      <c r="X678" s="9" t="s">
        <v>29</v>
      </c>
      <c r="AF678">
        <v>716</v>
      </c>
      <c r="AG678" t="s">
        <v>29</v>
      </c>
      <c r="AH678">
        <v>384.51</v>
      </c>
      <c r="AI678" s="7">
        <v>45830</v>
      </c>
    </row>
    <row r="679" spans="1:35">
      <c r="A679">
        <v>744</v>
      </c>
      <c r="B679" t="str">
        <f t="shared" si="168"/>
        <v>USD</v>
      </c>
      <c r="C679">
        <f t="shared" si="169"/>
        <v>35</v>
      </c>
      <c r="D679">
        <f t="shared" si="160"/>
        <v>30.099999999999998</v>
      </c>
      <c r="E679">
        <f t="shared" si="161"/>
        <v>35</v>
      </c>
      <c r="F679">
        <v>22168.98</v>
      </c>
      <c r="G679">
        <f t="shared" si="162"/>
        <v>19065.322799999998</v>
      </c>
      <c r="H679">
        <f t="shared" si="163"/>
        <v>22168.98</v>
      </c>
      <c r="I679">
        <f t="shared" si="170"/>
        <v>0</v>
      </c>
      <c r="J679">
        <f t="shared" si="164"/>
        <v>0</v>
      </c>
      <c r="K679" s="7">
        <f t="shared" si="171"/>
        <v>45966</v>
      </c>
      <c r="L679" s="7">
        <f t="shared" si="165"/>
        <v>45936</v>
      </c>
      <c r="M679">
        <f t="shared" si="166"/>
        <v>10</v>
      </c>
      <c r="N679">
        <f t="shared" si="167"/>
        <v>2025</v>
      </c>
      <c r="Q679" s="22">
        <v>1008</v>
      </c>
      <c r="R679" s="22">
        <v>219</v>
      </c>
      <c r="S679" s="22" t="str">
        <f t="shared" si="172"/>
        <v>USD</v>
      </c>
      <c r="T679" s="22">
        <f t="shared" si="173"/>
        <v>219</v>
      </c>
      <c r="U679" s="28">
        <v>400</v>
      </c>
      <c r="W679" s="9">
        <v>445</v>
      </c>
      <c r="X679" s="9" t="s">
        <v>29</v>
      </c>
      <c r="AF679">
        <v>721</v>
      </c>
      <c r="AG679" t="s">
        <v>28</v>
      </c>
      <c r="AH679">
        <v>63818.35</v>
      </c>
      <c r="AI679" s="7">
        <v>45953</v>
      </c>
    </row>
    <row r="680" spans="1:35">
      <c r="A680">
        <v>745</v>
      </c>
      <c r="B680" t="str">
        <f t="shared" si="168"/>
        <v>USD</v>
      </c>
      <c r="C680">
        <f t="shared" si="169"/>
        <v>0</v>
      </c>
      <c r="D680">
        <f t="shared" si="160"/>
        <v>0</v>
      </c>
      <c r="E680">
        <f t="shared" si="161"/>
        <v>0</v>
      </c>
      <c r="F680">
        <v>11714.05</v>
      </c>
      <c r="G680">
        <f t="shared" si="162"/>
        <v>10074.082999999999</v>
      </c>
      <c r="H680">
        <f t="shared" si="163"/>
        <v>11714.05</v>
      </c>
      <c r="I680">
        <f t="shared" si="170"/>
        <v>0</v>
      </c>
      <c r="J680">
        <f t="shared" si="164"/>
        <v>0</v>
      </c>
      <c r="K680" s="7">
        <f t="shared" si="171"/>
        <v>45967</v>
      </c>
      <c r="L680" s="7">
        <f t="shared" si="165"/>
        <v>45937</v>
      </c>
      <c r="M680">
        <f t="shared" si="166"/>
        <v>10</v>
      </c>
      <c r="N680">
        <f t="shared" si="167"/>
        <v>2025</v>
      </c>
      <c r="Q680" s="22">
        <v>1009</v>
      </c>
      <c r="R680" s="22">
        <v>76952</v>
      </c>
      <c r="S680" s="22" t="str">
        <f t="shared" si="172"/>
        <v>MXN</v>
      </c>
      <c r="T680" s="22">
        <f t="shared" si="173"/>
        <v>4309.3119999999999</v>
      </c>
      <c r="U680" s="28">
        <v>400</v>
      </c>
      <c r="W680" s="9">
        <v>445</v>
      </c>
      <c r="X680" s="9" t="s">
        <v>29</v>
      </c>
      <c r="AF680">
        <v>722</v>
      </c>
      <c r="AG680" t="s">
        <v>29</v>
      </c>
      <c r="AH680">
        <v>1349</v>
      </c>
      <c r="AI680" s="7">
        <v>45871</v>
      </c>
    </row>
    <row r="681" spans="1:35">
      <c r="A681">
        <v>746</v>
      </c>
      <c r="B681" t="str">
        <f t="shared" si="168"/>
        <v>USD</v>
      </c>
      <c r="C681">
        <f t="shared" si="169"/>
        <v>12861.26</v>
      </c>
      <c r="D681">
        <f t="shared" si="160"/>
        <v>11060.6836</v>
      </c>
      <c r="E681">
        <f t="shared" si="161"/>
        <v>12861.26</v>
      </c>
      <c r="F681">
        <v>13487.52</v>
      </c>
      <c r="G681">
        <f t="shared" si="162"/>
        <v>11599.2672</v>
      </c>
      <c r="H681">
        <f t="shared" si="163"/>
        <v>13487.52</v>
      </c>
      <c r="I681">
        <f t="shared" si="170"/>
        <v>-626.26000000000022</v>
      </c>
      <c r="J681">
        <f t="shared" si="164"/>
        <v>-626.26000000000022</v>
      </c>
      <c r="K681" s="7">
        <f t="shared" si="171"/>
        <v>46106</v>
      </c>
      <c r="L681" s="7">
        <f t="shared" si="165"/>
        <v>46076</v>
      </c>
      <c r="M681">
        <f t="shared" si="166"/>
        <v>2</v>
      </c>
      <c r="N681">
        <f t="shared" si="167"/>
        <v>2026</v>
      </c>
      <c r="Q681" s="22">
        <v>1010</v>
      </c>
      <c r="R681" s="22">
        <v>9639</v>
      </c>
      <c r="S681" s="22" t="str">
        <f t="shared" si="172"/>
        <v>USD</v>
      </c>
      <c r="T681" s="22">
        <f t="shared" si="173"/>
        <v>9639</v>
      </c>
      <c r="U681" s="28">
        <v>400</v>
      </c>
      <c r="W681" s="9">
        <v>445</v>
      </c>
      <c r="X681" s="9" t="s">
        <v>29</v>
      </c>
      <c r="AF681">
        <v>724</v>
      </c>
      <c r="AG681" t="s">
        <v>29</v>
      </c>
      <c r="AH681">
        <v>1963.65</v>
      </c>
      <c r="AI681" s="7">
        <v>45658</v>
      </c>
    </row>
    <row r="682" spans="1:35">
      <c r="A682">
        <v>747</v>
      </c>
      <c r="B682" t="str">
        <f t="shared" si="168"/>
        <v>EUR</v>
      </c>
      <c r="C682">
        <f t="shared" si="169"/>
        <v>10745</v>
      </c>
      <c r="D682">
        <f t="shared" si="160"/>
        <v>10745</v>
      </c>
      <c r="E682">
        <f t="shared" si="161"/>
        <v>12464.199999999999</v>
      </c>
      <c r="F682">
        <v>10745</v>
      </c>
      <c r="G682">
        <f t="shared" si="162"/>
        <v>10745</v>
      </c>
      <c r="H682">
        <f t="shared" si="163"/>
        <v>12464.199999999999</v>
      </c>
      <c r="I682">
        <f t="shared" si="170"/>
        <v>0</v>
      </c>
      <c r="J682">
        <f t="shared" si="164"/>
        <v>0</v>
      </c>
      <c r="K682" s="7">
        <f t="shared" si="171"/>
        <v>46074</v>
      </c>
      <c r="L682" s="7">
        <f t="shared" si="165"/>
        <v>46044</v>
      </c>
      <c r="M682">
        <f t="shared" si="166"/>
        <v>1</v>
      </c>
      <c r="N682">
        <f t="shared" si="167"/>
        <v>2026</v>
      </c>
      <c r="Q682" s="22">
        <v>1014</v>
      </c>
      <c r="R682" s="22">
        <v>3300.7</v>
      </c>
      <c r="S682" s="22" t="str">
        <f t="shared" si="172"/>
        <v>USD</v>
      </c>
      <c r="T682" s="22">
        <f t="shared" si="173"/>
        <v>3300.7</v>
      </c>
      <c r="U682" s="28">
        <v>400</v>
      </c>
      <c r="W682" s="9">
        <v>446</v>
      </c>
      <c r="X682" s="9" t="s">
        <v>29</v>
      </c>
      <c r="AF682">
        <v>725</v>
      </c>
      <c r="AG682" t="s">
        <v>29</v>
      </c>
      <c r="AH682">
        <v>28105.18</v>
      </c>
      <c r="AI682" s="7">
        <v>45937</v>
      </c>
    </row>
    <row r="683" spans="1:35">
      <c r="A683">
        <v>748</v>
      </c>
      <c r="B683" t="str">
        <f t="shared" si="168"/>
        <v>USD</v>
      </c>
      <c r="C683">
        <f t="shared" si="169"/>
        <v>63360</v>
      </c>
      <c r="D683">
        <f t="shared" si="160"/>
        <v>54489.599999999999</v>
      </c>
      <c r="E683">
        <f t="shared" si="161"/>
        <v>63360</v>
      </c>
      <c r="F683">
        <v>63360</v>
      </c>
      <c r="G683">
        <f t="shared" si="162"/>
        <v>54489.599999999999</v>
      </c>
      <c r="H683">
        <f t="shared" si="163"/>
        <v>63360</v>
      </c>
      <c r="I683">
        <f t="shared" si="170"/>
        <v>0</v>
      </c>
      <c r="J683">
        <f t="shared" si="164"/>
        <v>0</v>
      </c>
      <c r="K683" s="7">
        <f t="shared" si="171"/>
        <v>45958</v>
      </c>
      <c r="L683" s="7">
        <f t="shared" si="165"/>
        <v>45928</v>
      </c>
      <c r="M683">
        <f t="shared" si="166"/>
        <v>9</v>
      </c>
      <c r="N683">
        <f t="shared" si="167"/>
        <v>2025</v>
      </c>
      <c r="Q683" s="22">
        <v>1016</v>
      </c>
      <c r="R683" s="22">
        <v>2644</v>
      </c>
      <c r="S683" s="22" t="str">
        <f t="shared" si="172"/>
        <v>USD</v>
      </c>
      <c r="T683" s="22">
        <f t="shared" si="173"/>
        <v>2644</v>
      </c>
      <c r="U683" s="28">
        <v>400</v>
      </c>
      <c r="W683" s="9">
        <v>446</v>
      </c>
      <c r="X683" s="9" t="s">
        <v>29</v>
      </c>
      <c r="AF683">
        <v>727</v>
      </c>
      <c r="AG683" t="s">
        <v>29</v>
      </c>
      <c r="AH683">
        <v>99176.08</v>
      </c>
      <c r="AI683" s="7">
        <v>45975</v>
      </c>
    </row>
    <row r="684" spans="1:35">
      <c r="A684">
        <v>749</v>
      </c>
      <c r="B684" t="str">
        <f t="shared" si="168"/>
        <v>USD</v>
      </c>
      <c r="C684">
        <f t="shared" si="169"/>
        <v>0</v>
      </c>
      <c r="D684">
        <f t="shared" si="160"/>
        <v>0</v>
      </c>
      <c r="E684">
        <f t="shared" si="161"/>
        <v>0</v>
      </c>
      <c r="F684">
        <v>13873.49</v>
      </c>
      <c r="G684">
        <f t="shared" si="162"/>
        <v>11931.2014</v>
      </c>
      <c r="H684">
        <f t="shared" si="163"/>
        <v>13873.49</v>
      </c>
      <c r="I684">
        <f t="shared" si="170"/>
        <v>0</v>
      </c>
      <c r="J684">
        <f t="shared" si="164"/>
        <v>0</v>
      </c>
      <c r="K684" s="7">
        <f t="shared" si="171"/>
        <v>45934</v>
      </c>
      <c r="L684" s="7">
        <f t="shared" si="165"/>
        <v>45904</v>
      </c>
      <c r="M684">
        <f t="shared" si="166"/>
        <v>9</v>
      </c>
      <c r="N684">
        <f t="shared" si="167"/>
        <v>2025</v>
      </c>
      <c r="Q684" s="22">
        <v>1017</v>
      </c>
      <c r="R684" s="22">
        <v>1386.99</v>
      </c>
      <c r="S684" s="22" t="str">
        <f t="shared" si="172"/>
        <v>USD</v>
      </c>
      <c r="T684" s="22">
        <f t="shared" si="173"/>
        <v>1386.99</v>
      </c>
      <c r="U684" s="28">
        <v>400</v>
      </c>
      <c r="W684" s="9">
        <v>446</v>
      </c>
      <c r="X684" s="9" t="s">
        <v>29</v>
      </c>
      <c r="AF684">
        <v>728</v>
      </c>
      <c r="AG684" t="s">
        <v>29</v>
      </c>
      <c r="AH684">
        <v>6075</v>
      </c>
      <c r="AI684" s="7">
        <v>45914</v>
      </c>
    </row>
    <row r="685" spans="1:35">
      <c r="A685">
        <v>750</v>
      </c>
      <c r="B685" t="str">
        <f t="shared" si="168"/>
        <v>USD</v>
      </c>
      <c r="C685">
        <f t="shared" si="169"/>
        <v>48691</v>
      </c>
      <c r="D685">
        <f t="shared" si="160"/>
        <v>41874.26</v>
      </c>
      <c r="E685">
        <f t="shared" si="161"/>
        <v>48691</v>
      </c>
      <c r="F685">
        <v>42851.16</v>
      </c>
      <c r="G685">
        <f t="shared" si="162"/>
        <v>36851.997600000002</v>
      </c>
      <c r="H685">
        <f t="shared" si="163"/>
        <v>42851.16</v>
      </c>
      <c r="I685">
        <f t="shared" si="170"/>
        <v>16287.839999999997</v>
      </c>
      <c r="J685">
        <f t="shared" si="164"/>
        <v>16287.839999999997</v>
      </c>
      <c r="K685" s="7">
        <f t="shared" si="171"/>
        <v>45960</v>
      </c>
      <c r="L685" s="7">
        <f t="shared" si="165"/>
        <v>45930</v>
      </c>
      <c r="M685">
        <f t="shared" si="166"/>
        <v>9</v>
      </c>
      <c r="N685">
        <f t="shared" si="167"/>
        <v>2025</v>
      </c>
      <c r="Q685" s="22">
        <v>1018</v>
      </c>
      <c r="R685" s="22">
        <v>5312</v>
      </c>
      <c r="S685" s="22" t="str">
        <f t="shared" si="172"/>
        <v>USD</v>
      </c>
      <c r="T685" s="22">
        <f t="shared" si="173"/>
        <v>5312</v>
      </c>
      <c r="U685" s="28">
        <v>400</v>
      </c>
      <c r="W685" s="9">
        <v>446</v>
      </c>
      <c r="X685" s="9" t="s">
        <v>29</v>
      </c>
      <c r="AF685">
        <v>729</v>
      </c>
      <c r="AG685" t="s">
        <v>29</v>
      </c>
      <c r="AH685">
        <v>17512</v>
      </c>
      <c r="AI685" s="7">
        <v>45857</v>
      </c>
    </row>
    <row r="686" spans="1:35">
      <c r="A686">
        <v>751</v>
      </c>
      <c r="B686" t="str">
        <f t="shared" si="168"/>
        <v>EUR</v>
      </c>
      <c r="C686">
        <f t="shared" si="169"/>
        <v>0</v>
      </c>
      <c r="D686">
        <f t="shared" si="160"/>
        <v>0</v>
      </c>
      <c r="E686">
        <f t="shared" si="161"/>
        <v>0</v>
      </c>
      <c r="F686">
        <v>27327</v>
      </c>
      <c r="G686">
        <f t="shared" si="162"/>
        <v>27327</v>
      </c>
      <c r="H686">
        <f t="shared" si="163"/>
        <v>31699.319999999996</v>
      </c>
      <c r="I686">
        <f t="shared" si="170"/>
        <v>0</v>
      </c>
      <c r="J686">
        <f t="shared" si="164"/>
        <v>0</v>
      </c>
      <c r="K686" s="7">
        <f t="shared" si="171"/>
        <v>45980</v>
      </c>
      <c r="L686" s="7">
        <f t="shared" si="165"/>
        <v>45950</v>
      </c>
      <c r="M686">
        <f t="shared" si="166"/>
        <v>10</v>
      </c>
      <c r="N686">
        <f t="shared" si="167"/>
        <v>2025</v>
      </c>
      <c r="Q686" s="22">
        <v>1020</v>
      </c>
      <c r="R686" s="22">
        <v>56849.37</v>
      </c>
      <c r="S686" s="22" t="str">
        <f t="shared" si="172"/>
        <v>USD</v>
      </c>
      <c r="T686" s="22">
        <f t="shared" si="173"/>
        <v>56849.37</v>
      </c>
      <c r="U686" s="28">
        <v>400</v>
      </c>
      <c r="W686" s="9">
        <v>447</v>
      </c>
      <c r="X686" s="9" t="s">
        <v>29</v>
      </c>
      <c r="AF686">
        <v>730</v>
      </c>
      <c r="AG686" t="s">
        <v>29</v>
      </c>
      <c r="AH686">
        <v>9701.2199999999993</v>
      </c>
      <c r="AI686" s="7">
        <v>45861</v>
      </c>
    </row>
    <row r="687" spans="1:35">
      <c r="A687">
        <v>752</v>
      </c>
      <c r="B687" t="str">
        <f t="shared" si="168"/>
        <v>MXN</v>
      </c>
      <c r="C687">
        <f t="shared" si="169"/>
        <v>2624.3000000000029</v>
      </c>
      <c r="D687">
        <f t="shared" si="160"/>
        <v>125.96640000000015</v>
      </c>
      <c r="E687">
        <f t="shared" si="161"/>
        <v>146.96080000000018</v>
      </c>
      <c r="F687">
        <v>60434.3</v>
      </c>
      <c r="G687">
        <f t="shared" si="162"/>
        <v>2900.8464000000004</v>
      </c>
      <c r="H687">
        <f t="shared" si="163"/>
        <v>3384.3208000000004</v>
      </c>
      <c r="I687">
        <f t="shared" si="170"/>
        <v>0</v>
      </c>
      <c r="J687">
        <f t="shared" si="164"/>
        <v>0</v>
      </c>
      <c r="K687" s="7">
        <f t="shared" si="171"/>
        <v>45952</v>
      </c>
      <c r="L687" s="7">
        <f t="shared" si="165"/>
        <v>45922</v>
      </c>
      <c r="M687">
        <f t="shared" si="166"/>
        <v>9</v>
      </c>
      <c r="N687">
        <f t="shared" si="167"/>
        <v>2025</v>
      </c>
      <c r="Q687" s="22">
        <v>1024</v>
      </c>
      <c r="R687" s="22">
        <v>12996</v>
      </c>
      <c r="S687" s="22" t="str">
        <f t="shared" si="172"/>
        <v>USD</v>
      </c>
      <c r="T687" s="22">
        <f t="shared" si="173"/>
        <v>12996</v>
      </c>
      <c r="U687" s="28">
        <v>400</v>
      </c>
      <c r="W687" s="9">
        <v>447</v>
      </c>
      <c r="X687" s="9" t="s">
        <v>29</v>
      </c>
      <c r="AF687">
        <v>731</v>
      </c>
      <c r="AG687" t="s">
        <v>29</v>
      </c>
      <c r="AH687">
        <v>18000</v>
      </c>
      <c r="AI687" s="7">
        <v>46022</v>
      </c>
    </row>
    <row r="688" spans="1:35">
      <c r="A688">
        <v>753</v>
      </c>
      <c r="B688" t="str">
        <f t="shared" si="168"/>
        <v>USD</v>
      </c>
      <c r="C688">
        <f t="shared" si="169"/>
        <v>3648.9400000000005</v>
      </c>
      <c r="D688">
        <f t="shared" si="160"/>
        <v>3138.0884000000005</v>
      </c>
      <c r="E688">
        <f t="shared" si="161"/>
        <v>3648.9400000000005</v>
      </c>
      <c r="F688">
        <v>9702.5400000000009</v>
      </c>
      <c r="G688">
        <f t="shared" si="162"/>
        <v>8344.1844000000001</v>
      </c>
      <c r="H688">
        <f t="shared" si="163"/>
        <v>9702.5400000000009</v>
      </c>
      <c r="I688">
        <f t="shared" si="170"/>
        <v>0</v>
      </c>
      <c r="J688">
        <f t="shared" si="164"/>
        <v>0</v>
      </c>
      <c r="K688" s="7">
        <f t="shared" si="171"/>
        <v>45956</v>
      </c>
      <c r="L688" s="7">
        <f t="shared" si="165"/>
        <v>45926</v>
      </c>
      <c r="M688">
        <f t="shared" si="166"/>
        <v>9</v>
      </c>
      <c r="N688">
        <f t="shared" si="167"/>
        <v>2025</v>
      </c>
      <c r="Q688" s="22">
        <v>1030</v>
      </c>
      <c r="R688" s="22">
        <v>619.35</v>
      </c>
      <c r="S688" s="22" t="str">
        <f t="shared" si="172"/>
        <v>CHF</v>
      </c>
      <c r="T688" s="22">
        <f t="shared" si="173"/>
        <v>774.1875</v>
      </c>
      <c r="U688" s="28">
        <v>400</v>
      </c>
      <c r="W688" s="9">
        <v>447</v>
      </c>
      <c r="X688" s="9" t="s">
        <v>29</v>
      </c>
      <c r="AF688">
        <v>732</v>
      </c>
      <c r="AG688" t="s">
        <v>29</v>
      </c>
      <c r="AH688">
        <v>2563.04</v>
      </c>
      <c r="AI688" s="7">
        <v>45995</v>
      </c>
    </row>
    <row r="689" spans="1:35">
      <c r="A689">
        <v>754</v>
      </c>
      <c r="B689" t="str">
        <f t="shared" si="168"/>
        <v>USD</v>
      </c>
      <c r="C689">
        <f t="shared" si="169"/>
        <v>350</v>
      </c>
      <c r="D689">
        <f t="shared" si="160"/>
        <v>301</v>
      </c>
      <c r="E689">
        <f t="shared" si="161"/>
        <v>350</v>
      </c>
      <c r="F689">
        <v>78626</v>
      </c>
      <c r="G689">
        <f t="shared" si="162"/>
        <v>67618.36</v>
      </c>
      <c r="H689">
        <f t="shared" si="163"/>
        <v>78626</v>
      </c>
      <c r="I689">
        <f t="shared" si="170"/>
        <v>0</v>
      </c>
      <c r="J689">
        <f t="shared" si="164"/>
        <v>0</v>
      </c>
      <c r="K689" s="7">
        <f t="shared" si="171"/>
        <v>46005</v>
      </c>
      <c r="L689" s="7">
        <f t="shared" si="165"/>
        <v>45975</v>
      </c>
      <c r="M689">
        <f t="shared" si="166"/>
        <v>11</v>
      </c>
      <c r="N689">
        <f t="shared" si="167"/>
        <v>2025</v>
      </c>
      <c r="Q689" s="22">
        <v>1033</v>
      </c>
      <c r="R689" s="22">
        <v>3000.27</v>
      </c>
      <c r="S689" s="22" t="str">
        <f t="shared" si="172"/>
        <v>USD</v>
      </c>
      <c r="T689" s="22">
        <f t="shared" si="173"/>
        <v>3000.27</v>
      </c>
      <c r="U689" s="28">
        <v>400</v>
      </c>
      <c r="W689" s="9">
        <v>447</v>
      </c>
      <c r="X689" s="9" t="s">
        <v>29</v>
      </c>
      <c r="AF689">
        <v>733</v>
      </c>
      <c r="AG689" t="s">
        <v>29</v>
      </c>
      <c r="AH689">
        <v>113590.32</v>
      </c>
      <c r="AI689" s="7">
        <v>46062</v>
      </c>
    </row>
    <row r="690" spans="1:35">
      <c r="A690">
        <v>755</v>
      </c>
      <c r="B690" t="str">
        <f t="shared" si="168"/>
        <v>USD</v>
      </c>
      <c r="C690">
        <f t="shared" si="169"/>
        <v>27200.159999999996</v>
      </c>
      <c r="D690">
        <f t="shared" si="160"/>
        <v>23392.137599999998</v>
      </c>
      <c r="E690">
        <f t="shared" si="161"/>
        <v>27200.159999999996</v>
      </c>
      <c r="F690">
        <v>31647.17</v>
      </c>
      <c r="G690">
        <f t="shared" si="162"/>
        <v>27216.566199999997</v>
      </c>
      <c r="H690">
        <f t="shared" si="163"/>
        <v>31647.17</v>
      </c>
      <c r="I690">
        <f t="shared" si="170"/>
        <v>-1.8189894035458565E-12</v>
      </c>
      <c r="J690">
        <f t="shared" si="164"/>
        <v>-1.8189894035458565E-12</v>
      </c>
      <c r="K690" s="7">
        <f t="shared" si="171"/>
        <v>45968</v>
      </c>
      <c r="L690" s="7">
        <f t="shared" si="165"/>
        <v>45938</v>
      </c>
      <c r="M690">
        <f t="shared" si="166"/>
        <v>10</v>
      </c>
      <c r="N690">
        <f t="shared" si="167"/>
        <v>2025</v>
      </c>
      <c r="Q690" s="22">
        <v>1036</v>
      </c>
      <c r="R690" s="22">
        <v>621.29999999999995</v>
      </c>
      <c r="S690" s="22" t="str">
        <f t="shared" si="172"/>
        <v>USD</v>
      </c>
      <c r="T690" s="22">
        <f t="shared" si="173"/>
        <v>621.29999999999995</v>
      </c>
      <c r="U690" s="28">
        <v>400</v>
      </c>
      <c r="W690" s="9">
        <v>447</v>
      </c>
      <c r="X690" s="9" t="s">
        <v>29</v>
      </c>
      <c r="AF690">
        <v>734</v>
      </c>
      <c r="AG690" t="s">
        <v>29</v>
      </c>
      <c r="AH690">
        <v>9616.31</v>
      </c>
      <c r="AI690" s="7">
        <v>45940</v>
      </c>
    </row>
    <row r="691" spans="1:35">
      <c r="A691">
        <v>756</v>
      </c>
      <c r="B691" t="str">
        <f t="shared" si="168"/>
        <v>USD</v>
      </c>
      <c r="C691">
        <f t="shared" si="169"/>
        <v>33091</v>
      </c>
      <c r="D691">
        <f t="shared" si="160"/>
        <v>28458.26</v>
      </c>
      <c r="E691">
        <f t="shared" si="161"/>
        <v>33091</v>
      </c>
      <c r="F691">
        <v>33091</v>
      </c>
      <c r="G691">
        <f t="shared" si="162"/>
        <v>28458.26</v>
      </c>
      <c r="H691">
        <f t="shared" si="163"/>
        <v>33091</v>
      </c>
      <c r="I691">
        <f t="shared" si="170"/>
        <v>0</v>
      </c>
      <c r="J691">
        <f t="shared" si="164"/>
        <v>0</v>
      </c>
      <c r="K691" s="7">
        <f t="shared" si="171"/>
        <v>45947</v>
      </c>
      <c r="L691" s="7">
        <f t="shared" si="165"/>
        <v>45917</v>
      </c>
      <c r="M691">
        <f t="shared" si="166"/>
        <v>9</v>
      </c>
      <c r="N691">
        <f t="shared" si="167"/>
        <v>2025</v>
      </c>
      <c r="Q691" s="22">
        <v>1037</v>
      </c>
      <c r="R691" s="22">
        <v>5589</v>
      </c>
      <c r="S691" s="22" t="str">
        <f t="shared" si="172"/>
        <v>USD</v>
      </c>
      <c r="T691" s="22">
        <f t="shared" si="173"/>
        <v>5589</v>
      </c>
      <c r="U691" s="28">
        <v>400</v>
      </c>
      <c r="W691" s="9">
        <v>448</v>
      </c>
      <c r="X691" s="9" t="s">
        <v>29</v>
      </c>
      <c r="AF691">
        <v>735</v>
      </c>
      <c r="AG691" t="s">
        <v>29</v>
      </c>
      <c r="AH691">
        <v>81074.8</v>
      </c>
      <c r="AI691" s="7">
        <v>45951</v>
      </c>
    </row>
    <row r="692" spans="1:35">
      <c r="A692">
        <v>757</v>
      </c>
      <c r="B692" t="str">
        <f t="shared" si="168"/>
        <v>USD</v>
      </c>
      <c r="C692">
        <f t="shared" si="169"/>
        <v>0</v>
      </c>
      <c r="D692">
        <f t="shared" si="160"/>
        <v>0</v>
      </c>
      <c r="E692">
        <f t="shared" si="161"/>
        <v>0</v>
      </c>
      <c r="F692">
        <v>1067.6400000000001</v>
      </c>
      <c r="G692">
        <f t="shared" si="162"/>
        <v>918.17040000000009</v>
      </c>
      <c r="H692">
        <f t="shared" si="163"/>
        <v>1067.6400000000001</v>
      </c>
      <c r="I692">
        <f t="shared" si="170"/>
        <v>0</v>
      </c>
      <c r="J692">
        <f t="shared" si="164"/>
        <v>0</v>
      </c>
      <c r="K692" s="7">
        <f t="shared" si="171"/>
        <v>45911</v>
      </c>
      <c r="L692" s="7">
        <f t="shared" si="165"/>
        <v>45881</v>
      </c>
      <c r="M692">
        <f t="shared" si="166"/>
        <v>8</v>
      </c>
      <c r="N692">
        <f t="shared" si="167"/>
        <v>2025</v>
      </c>
      <c r="Q692" s="22">
        <v>1039</v>
      </c>
      <c r="R692" s="22">
        <v>19008</v>
      </c>
      <c r="S692" s="22" t="str">
        <f t="shared" si="172"/>
        <v>USD</v>
      </c>
      <c r="T692" s="22">
        <f t="shared" si="173"/>
        <v>19008</v>
      </c>
      <c r="U692" s="28">
        <v>400</v>
      </c>
      <c r="W692" s="9">
        <v>448</v>
      </c>
      <c r="X692" s="9" t="s">
        <v>29</v>
      </c>
      <c r="AF692">
        <v>736</v>
      </c>
      <c r="AG692" t="s">
        <v>29</v>
      </c>
      <c r="AH692">
        <v>13900</v>
      </c>
      <c r="AI692" s="7">
        <v>46184</v>
      </c>
    </row>
    <row r="693" spans="1:35">
      <c r="A693">
        <v>758</v>
      </c>
      <c r="B693" t="str">
        <f t="shared" si="168"/>
        <v>EUR</v>
      </c>
      <c r="C693">
        <f t="shared" si="169"/>
        <v>0</v>
      </c>
      <c r="D693">
        <f t="shared" si="160"/>
        <v>0</v>
      </c>
      <c r="E693">
        <f t="shared" si="161"/>
        <v>0</v>
      </c>
      <c r="F693">
        <v>1002.1</v>
      </c>
      <c r="G693">
        <f t="shared" si="162"/>
        <v>1002.1</v>
      </c>
      <c r="H693">
        <f t="shared" si="163"/>
        <v>1162.4359999999999</v>
      </c>
      <c r="I693">
        <f t="shared" si="170"/>
        <v>0</v>
      </c>
      <c r="J693">
        <f t="shared" si="164"/>
        <v>0</v>
      </c>
      <c r="K693" s="7">
        <f t="shared" si="171"/>
        <v>45899</v>
      </c>
      <c r="L693" s="7">
        <f t="shared" si="165"/>
        <v>45869</v>
      </c>
      <c r="M693">
        <f t="shared" si="166"/>
        <v>7</v>
      </c>
      <c r="N693">
        <f t="shared" si="167"/>
        <v>2025</v>
      </c>
      <c r="Q693" s="22">
        <v>1045</v>
      </c>
      <c r="R693" s="22">
        <v>2065</v>
      </c>
      <c r="S693" s="22" t="str">
        <f t="shared" si="172"/>
        <v>USD</v>
      </c>
      <c r="T693" s="22">
        <f t="shared" si="173"/>
        <v>2065</v>
      </c>
      <c r="U693" s="28">
        <v>400</v>
      </c>
      <c r="W693" s="9">
        <v>448</v>
      </c>
      <c r="X693" s="9" t="s">
        <v>29</v>
      </c>
      <c r="AF693">
        <v>737</v>
      </c>
      <c r="AG693" t="s">
        <v>27</v>
      </c>
      <c r="AH693">
        <v>5070</v>
      </c>
      <c r="AI693" s="7">
        <v>45893</v>
      </c>
    </row>
    <row r="694" spans="1:35">
      <c r="A694">
        <v>759</v>
      </c>
      <c r="B694" t="str">
        <f t="shared" si="168"/>
        <v>USD</v>
      </c>
      <c r="C694">
        <f t="shared" si="169"/>
        <v>66948.31</v>
      </c>
      <c r="D694">
        <f t="shared" si="160"/>
        <v>57575.546599999994</v>
      </c>
      <c r="E694">
        <f t="shared" si="161"/>
        <v>66948.31</v>
      </c>
      <c r="F694">
        <v>66948.31</v>
      </c>
      <c r="G694">
        <f t="shared" si="162"/>
        <v>57575.546599999994</v>
      </c>
      <c r="H694">
        <f t="shared" si="163"/>
        <v>66948.31</v>
      </c>
      <c r="I694">
        <f t="shared" si="170"/>
        <v>0</v>
      </c>
      <c r="J694">
        <f t="shared" si="164"/>
        <v>0</v>
      </c>
      <c r="K694" s="7">
        <f t="shared" si="171"/>
        <v>45894</v>
      </c>
      <c r="L694" s="7">
        <f t="shared" si="165"/>
        <v>45864</v>
      </c>
      <c r="M694">
        <f t="shared" si="166"/>
        <v>7</v>
      </c>
      <c r="N694">
        <f t="shared" si="167"/>
        <v>2025</v>
      </c>
      <c r="Q694" s="22">
        <v>1055</v>
      </c>
      <c r="R694" s="22">
        <v>447.48</v>
      </c>
      <c r="S694" s="22" t="str">
        <f t="shared" si="172"/>
        <v>USD</v>
      </c>
      <c r="T694" s="22">
        <f t="shared" si="173"/>
        <v>447.48</v>
      </c>
      <c r="U694" s="28">
        <v>400</v>
      </c>
      <c r="W694" s="9">
        <v>448</v>
      </c>
      <c r="X694" s="9" t="s">
        <v>29</v>
      </c>
      <c r="AF694">
        <v>738</v>
      </c>
      <c r="AG694" t="s">
        <v>27</v>
      </c>
      <c r="AH694">
        <v>2253.0500000000002</v>
      </c>
      <c r="AI694" s="7">
        <v>45848</v>
      </c>
    </row>
    <row r="695" spans="1:35">
      <c r="A695">
        <v>760</v>
      </c>
      <c r="B695" t="str">
        <f t="shared" si="168"/>
        <v>USD</v>
      </c>
      <c r="C695">
        <f t="shared" si="169"/>
        <v>33200</v>
      </c>
      <c r="D695">
        <f t="shared" si="160"/>
        <v>28552</v>
      </c>
      <c r="E695">
        <f t="shared" si="161"/>
        <v>33200</v>
      </c>
      <c r="F695">
        <v>33200</v>
      </c>
      <c r="G695">
        <f t="shared" si="162"/>
        <v>28552</v>
      </c>
      <c r="H695">
        <f t="shared" si="163"/>
        <v>33200</v>
      </c>
      <c r="I695">
        <f t="shared" si="170"/>
        <v>0</v>
      </c>
      <c r="J695">
        <f t="shared" si="164"/>
        <v>0</v>
      </c>
      <c r="K695" s="7">
        <f t="shared" si="171"/>
        <v>45941</v>
      </c>
      <c r="L695" s="7">
        <f t="shared" si="165"/>
        <v>45911</v>
      </c>
      <c r="M695">
        <f t="shared" si="166"/>
        <v>9</v>
      </c>
      <c r="N695">
        <f t="shared" si="167"/>
        <v>2025</v>
      </c>
      <c r="Q695" s="22">
        <v>1058</v>
      </c>
      <c r="R695" s="22">
        <v>7156.5</v>
      </c>
      <c r="S695" s="22" t="str">
        <f t="shared" si="172"/>
        <v>USD</v>
      </c>
      <c r="T695" s="22">
        <f t="shared" si="173"/>
        <v>7156.5</v>
      </c>
      <c r="U695" s="28">
        <v>400</v>
      </c>
      <c r="W695" s="9">
        <v>448</v>
      </c>
      <c r="X695" s="9" t="s">
        <v>29</v>
      </c>
      <c r="AF695">
        <v>739</v>
      </c>
      <c r="AG695" t="s">
        <v>27</v>
      </c>
      <c r="AH695">
        <v>9199.69</v>
      </c>
      <c r="AI695" s="7">
        <v>46030</v>
      </c>
    </row>
    <row r="696" spans="1:35">
      <c r="A696">
        <v>761</v>
      </c>
      <c r="B696" t="str">
        <f t="shared" si="168"/>
        <v>USD</v>
      </c>
      <c r="C696">
        <f t="shared" si="169"/>
        <v>138044.25</v>
      </c>
      <c r="D696">
        <f t="shared" si="160"/>
        <v>118718.05499999999</v>
      </c>
      <c r="E696">
        <f t="shared" si="161"/>
        <v>138044.25</v>
      </c>
      <c r="F696">
        <v>161501.70000000001</v>
      </c>
      <c r="G696">
        <f t="shared" si="162"/>
        <v>138891.462</v>
      </c>
      <c r="H696">
        <f t="shared" si="163"/>
        <v>161501.70000000001</v>
      </c>
      <c r="I696">
        <f t="shared" si="170"/>
        <v>-1.0913936421275139E-11</v>
      </c>
      <c r="J696">
        <f t="shared" si="164"/>
        <v>-1.0913936421275139E-11</v>
      </c>
      <c r="K696" s="7">
        <f t="shared" si="171"/>
        <v>45997</v>
      </c>
      <c r="L696" s="7">
        <f t="shared" si="165"/>
        <v>45967</v>
      </c>
      <c r="M696">
        <f t="shared" si="166"/>
        <v>11</v>
      </c>
      <c r="N696">
        <f t="shared" si="167"/>
        <v>2025</v>
      </c>
      <c r="Q696" s="22">
        <v>1059</v>
      </c>
      <c r="R696" s="22">
        <v>873</v>
      </c>
      <c r="S696" s="22" t="str">
        <f t="shared" si="172"/>
        <v>GBP</v>
      </c>
      <c r="T696" s="22">
        <f t="shared" si="173"/>
        <v>1169.8200000000002</v>
      </c>
      <c r="U696" s="28">
        <v>400</v>
      </c>
      <c r="W696" s="9">
        <v>448</v>
      </c>
      <c r="X696" s="9" t="s">
        <v>29</v>
      </c>
      <c r="AF696">
        <v>740</v>
      </c>
      <c r="AG696" t="s">
        <v>29</v>
      </c>
      <c r="AH696">
        <v>20705.8</v>
      </c>
      <c r="AI696" s="7">
        <v>45846</v>
      </c>
    </row>
    <row r="697" spans="1:35">
      <c r="A697">
        <v>762</v>
      </c>
      <c r="B697" t="str">
        <f t="shared" si="168"/>
        <v>USD</v>
      </c>
      <c r="C697">
        <f t="shared" si="169"/>
        <v>85590.5</v>
      </c>
      <c r="D697">
        <f t="shared" si="160"/>
        <v>73607.83</v>
      </c>
      <c r="E697">
        <f t="shared" si="161"/>
        <v>85590.5</v>
      </c>
      <c r="F697">
        <v>85590.5</v>
      </c>
      <c r="G697">
        <f t="shared" si="162"/>
        <v>73607.83</v>
      </c>
      <c r="H697">
        <f t="shared" si="163"/>
        <v>85590.5</v>
      </c>
      <c r="I697">
        <f t="shared" si="170"/>
        <v>0</v>
      </c>
      <c r="J697">
        <f t="shared" si="164"/>
        <v>0</v>
      </c>
      <c r="K697" s="7">
        <f t="shared" si="171"/>
        <v>45973</v>
      </c>
      <c r="L697" s="7">
        <f t="shared" si="165"/>
        <v>45943</v>
      </c>
      <c r="M697">
        <f t="shared" si="166"/>
        <v>10</v>
      </c>
      <c r="N697">
        <f t="shared" si="167"/>
        <v>2025</v>
      </c>
      <c r="Q697" s="22">
        <v>1060</v>
      </c>
      <c r="R697" s="22">
        <v>3800</v>
      </c>
      <c r="S697" s="22" t="str">
        <f t="shared" si="172"/>
        <v>EUR</v>
      </c>
      <c r="T697" s="22">
        <f t="shared" si="173"/>
        <v>4408</v>
      </c>
      <c r="U697" s="28">
        <v>400</v>
      </c>
      <c r="W697" s="9">
        <v>448</v>
      </c>
      <c r="X697" s="9" t="s">
        <v>29</v>
      </c>
      <c r="AF697">
        <v>741</v>
      </c>
      <c r="AG697" t="s">
        <v>30</v>
      </c>
      <c r="AH697">
        <v>24500</v>
      </c>
      <c r="AI697" s="7">
        <v>46063</v>
      </c>
    </row>
    <row r="698" spans="1:35">
      <c r="A698">
        <v>763</v>
      </c>
      <c r="B698" t="str">
        <f t="shared" si="168"/>
        <v>EUR</v>
      </c>
      <c r="C698">
        <f t="shared" si="169"/>
        <v>6892.52</v>
      </c>
      <c r="D698">
        <f t="shared" si="160"/>
        <v>6892.52</v>
      </c>
      <c r="E698">
        <f t="shared" si="161"/>
        <v>7995.3231999999998</v>
      </c>
      <c r="F698">
        <v>6892.52</v>
      </c>
      <c r="G698">
        <f t="shared" si="162"/>
        <v>6892.52</v>
      </c>
      <c r="H698">
        <f t="shared" si="163"/>
        <v>7995.3231999999998</v>
      </c>
      <c r="I698">
        <f t="shared" si="170"/>
        <v>0</v>
      </c>
      <c r="J698">
        <f t="shared" si="164"/>
        <v>0</v>
      </c>
      <c r="K698" s="7">
        <f t="shared" si="171"/>
        <v>45996</v>
      </c>
      <c r="L698" s="7">
        <f t="shared" si="165"/>
        <v>45966</v>
      </c>
      <c r="M698">
        <f t="shared" si="166"/>
        <v>11</v>
      </c>
      <c r="N698">
        <f t="shared" si="167"/>
        <v>2025</v>
      </c>
      <c r="Q698" s="22">
        <v>1061</v>
      </c>
      <c r="R698" s="22">
        <v>9817</v>
      </c>
      <c r="S698" s="22" t="str">
        <f t="shared" si="172"/>
        <v>EUR</v>
      </c>
      <c r="T698" s="22">
        <f t="shared" si="173"/>
        <v>11387.72</v>
      </c>
      <c r="U698" s="28">
        <v>400</v>
      </c>
      <c r="W698" s="9">
        <v>448</v>
      </c>
      <c r="X698" s="9" t="s">
        <v>29</v>
      </c>
      <c r="AF698">
        <v>742</v>
      </c>
      <c r="AG698" t="s">
        <v>27</v>
      </c>
      <c r="AH698">
        <v>15206.6</v>
      </c>
      <c r="AI698" s="7">
        <v>45933</v>
      </c>
    </row>
    <row r="699" spans="1:35">
      <c r="A699">
        <v>764</v>
      </c>
      <c r="B699" t="str">
        <f t="shared" si="168"/>
        <v>USD</v>
      </c>
      <c r="C699">
        <f t="shared" si="169"/>
        <v>13014.88</v>
      </c>
      <c r="D699">
        <f t="shared" si="160"/>
        <v>11192.796799999998</v>
      </c>
      <c r="E699">
        <f t="shared" si="161"/>
        <v>13014.88</v>
      </c>
      <c r="F699">
        <v>15818</v>
      </c>
      <c r="G699">
        <f t="shared" si="162"/>
        <v>13603.48</v>
      </c>
      <c r="H699">
        <f t="shared" si="163"/>
        <v>15818</v>
      </c>
      <c r="I699">
        <f t="shared" si="170"/>
        <v>-2803.1200000000008</v>
      </c>
      <c r="J699">
        <f t="shared" si="164"/>
        <v>-2803.1200000000008</v>
      </c>
      <c r="K699" s="7">
        <f t="shared" si="171"/>
        <v>46137</v>
      </c>
      <c r="L699" s="7">
        <f t="shared" si="165"/>
        <v>46107</v>
      </c>
      <c r="M699">
        <f t="shared" si="166"/>
        <v>3</v>
      </c>
      <c r="N699">
        <f t="shared" si="167"/>
        <v>2026</v>
      </c>
      <c r="Q699" s="22">
        <v>1062</v>
      </c>
      <c r="R699" s="22">
        <v>74200</v>
      </c>
      <c r="S699" s="22" t="str">
        <f t="shared" si="172"/>
        <v>EUR</v>
      </c>
      <c r="T699" s="22">
        <f t="shared" si="173"/>
        <v>86072</v>
      </c>
      <c r="U699" s="28">
        <v>400</v>
      </c>
      <c r="W699" s="9">
        <v>451</v>
      </c>
      <c r="X699" s="9" t="s">
        <v>29</v>
      </c>
      <c r="AF699">
        <v>743</v>
      </c>
      <c r="AG699" t="s">
        <v>29</v>
      </c>
      <c r="AH699">
        <v>47401.39</v>
      </c>
      <c r="AI699" s="7">
        <v>45972</v>
      </c>
    </row>
    <row r="700" spans="1:35">
      <c r="A700">
        <v>765</v>
      </c>
      <c r="B700" t="str">
        <f t="shared" si="168"/>
        <v>USD</v>
      </c>
      <c r="C700">
        <f t="shared" si="169"/>
        <v>0</v>
      </c>
      <c r="D700">
        <f t="shared" si="160"/>
        <v>0</v>
      </c>
      <c r="E700">
        <f t="shared" si="161"/>
        <v>0</v>
      </c>
      <c r="F700">
        <v>418305.1</v>
      </c>
      <c r="G700">
        <f t="shared" si="162"/>
        <v>359742.386</v>
      </c>
      <c r="H700">
        <f t="shared" si="163"/>
        <v>418305.1</v>
      </c>
      <c r="I700">
        <f t="shared" si="170"/>
        <v>0</v>
      </c>
      <c r="J700">
        <f t="shared" si="164"/>
        <v>0</v>
      </c>
      <c r="K700" s="7">
        <f t="shared" si="171"/>
        <v>45999</v>
      </c>
      <c r="L700" s="7">
        <f t="shared" si="165"/>
        <v>45969</v>
      </c>
      <c r="M700">
        <f t="shared" si="166"/>
        <v>11</v>
      </c>
      <c r="N700">
        <f t="shared" si="167"/>
        <v>2025</v>
      </c>
      <c r="Q700" s="22">
        <v>1063</v>
      </c>
      <c r="R700" s="22">
        <v>1845.54</v>
      </c>
      <c r="S700" s="22" t="str">
        <f t="shared" si="172"/>
        <v>USD</v>
      </c>
      <c r="T700" s="22">
        <f t="shared" si="173"/>
        <v>1845.54</v>
      </c>
      <c r="U700" s="28">
        <v>400</v>
      </c>
      <c r="W700" s="9">
        <v>451</v>
      </c>
      <c r="X700" s="9" t="s">
        <v>29</v>
      </c>
      <c r="AF700">
        <v>744</v>
      </c>
      <c r="AG700" t="s">
        <v>29</v>
      </c>
      <c r="AH700">
        <v>22168.98</v>
      </c>
      <c r="AI700" s="7">
        <v>45966</v>
      </c>
    </row>
    <row r="701" spans="1:35">
      <c r="A701">
        <v>766</v>
      </c>
      <c r="B701" t="str">
        <f t="shared" si="168"/>
        <v>USD</v>
      </c>
      <c r="C701">
        <f t="shared" si="169"/>
        <v>0</v>
      </c>
      <c r="D701">
        <f t="shared" si="160"/>
        <v>0</v>
      </c>
      <c r="E701">
        <f t="shared" si="161"/>
        <v>0</v>
      </c>
      <c r="F701">
        <v>17247.439999999999</v>
      </c>
      <c r="G701">
        <f t="shared" si="162"/>
        <v>14832.798399999998</v>
      </c>
      <c r="H701">
        <f t="shared" si="163"/>
        <v>17247.439999999999</v>
      </c>
      <c r="I701">
        <f t="shared" si="170"/>
        <v>0</v>
      </c>
      <c r="J701">
        <f t="shared" si="164"/>
        <v>0</v>
      </c>
      <c r="K701" s="7">
        <f t="shared" si="171"/>
        <v>45944</v>
      </c>
      <c r="L701" s="7">
        <f t="shared" si="165"/>
        <v>45914</v>
      </c>
      <c r="M701">
        <f t="shared" si="166"/>
        <v>9</v>
      </c>
      <c r="N701">
        <f t="shared" si="167"/>
        <v>2025</v>
      </c>
      <c r="Q701" s="22">
        <v>1065</v>
      </c>
      <c r="R701" s="22">
        <v>3014.1</v>
      </c>
      <c r="S701" s="22" t="str">
        <f t="shared" si="172"/>
        <v>USD</v>
      </c>
      <c r="T701" s="22">
        <f t="shared" si="173"/>
        <v>3014.1</v>
      </c>
      <c r="U701" s="28">
        <v>400</v>
      </c>
      <c r="W701" s="9">
        <v>454</v>
      </c>
      <c r="X701" s="9" t="s">
        <v>29</v>
      </c>
      <c r="AF701">
        <v>745</v>
      </c>
      <c r="AG701" t="s">
        <v>29</v>
      </c>
      <c r="AH701">
        <v>11714.05</v>
      </c>
      <c r="AI701" s="7">
        <v>45967</v>
      </c>
    </row>
    <row r="702" spans="1:35">
      <c r="A702">
        <v>767</v>
      </c>
      <c r="B702" t="str">
        <f t="shared" si="168"/>
        <v>USD</v>
      </c>
      <c r="C702">
        <f t="shared" si="169"/>
        <v>0</v>
      </c>
      <c r="D702">
        <f t="shared" si="160"/>
        <v>0</v>
      </c>
      <c r="E702">
        <f t="shared" si="161"/>
        <v>0</v>
      </c>
      <c r="F702">
        <v>65660.42</v>
      </c>
      <c r="G702">
        <f t="shared" si="162"/>
        <v>56467.961199999998</v>
      </c>
      <c r="H702">
        <f t="shared" si="163"/>
        <v>65660.42</v>
      </c>
      <c r="I702">
        <f t="shared" si="170"/>
        <v>0</v>
      </c>
      <c r="J702">
        <f t="shared" si="164"/>
        <v>0</v>
      </c>
      <c r="K702" s="7">
        <f t="shared" si="171"/>
        <v>45953</v>
      </c>
      <c r="L702" s="7">
        <f t="shared" si="165"/>
        <v>45923</v>
      </c>
      <c r="M702">
        <f t="shared" si="166"/>
        <v>9</v>
      </c>
      <c r="N702">
        <f t="shared" si="167"/>
        <v>2025</v>
      </c>
      <c r="Q702" s="22">
        <v>1067</v>
      </c>
      <c r="R702" s="22">
        <v>8760</v>
      </c>
      <c r="S702" s="22" t="str">
        <f t="shared" si="172"/>
        <v>USD</v>
      </c>
      <c r="T702" s="22">
        <f t="shared" si="173"/>
        <v>8760</v>
      </c>
      <c r="U702" s="28">
        <v>400</v>
      </c>
      <c r="W702" s="9">
        <v>454</v>
      </c>
      <c r="X702" s="9" t="s">
        <v>29</v>
      </c>
      <c r="AF702">
        <v>746</v>
      </c>
      <c r="AG702" t="s">
        <v>29</v>
      </c>
      <c r="AH702">
        <v>12861.26</v>
      </c>
      <c r="AI702" s="7">
        <v>46106</v>
      </c>
    </row>
    <row r="703" spans="1:35">
      <c r="A703">
        <v>769</v>
      </c>
      <c r="B703" t="str">
        <f t="shared" si="168"/>
        <v>EUR</v>
      </c>
      <c r="C703">
        <f t="shared" si="169"/>
        <v>0</v>
      </c>
      <c r="D703">
        <f t="shared" si="160"/>
        <v>0</v>
      </c>
      <c r="E703">
        <f t="shared" si="161"/>
        <v>0</v>
      </c>
      <c r="F703">
        <v>1823</v>
      </c>
      <c r="G703">
        <f t="shared" si="162"/>
        <v>1823</v>
      </c>
      <c r="H703">
        <f t="shared" si="163"/>
        <v>2114.6799999999998</v>
      </c>
      <c r="I703">
        <f t="shared" si="170"/>
        <v>0</v>
      </c>
      <c r="J703">
        <f t="shared" si="164"/>
        <v>0</v>
      </c>
      <c r="K703" s="7">
        <f t="shared" si="171"/>
        <v>45941</v>
      </c>
      <c r="L703" s="7">
        <f t="shared" si="165"/>
        <v>45911</v>
      </c>
      <c r="M703">
        <f t="shared" si="166"/>
        <v>9</v>
      </c>
      <c r="N703">
        <f t="shared" si="167"/>
        <v>2025</v>
      </c>
      <c r="Q703" s="22">
        <v>1068</v>
      </c>
      <c r="R703" s="22">
        <v>857.32</v>
      </c>
      <c r="S703" s="22" t="str">
        <f t="shared" si="172"/>
        <v>EUR</v>
      </c>
      <c r="T703" s="22">
        <f t="shared" si="173"/>
        <v>994.49119999999994</v>
      </c>
      <c r="U703" s="28">
        <v>400</v>
      </c>
      <c r="W703" s="9">
        <v>455</v>
      </c>
      <c r="X703" s="9" t="s">
        <v>29</v>
      </c>
      <c r="AF703">
        <v>747</v>
      </c>
      <c r="AG703" t="s">
        <v>27</v>
      </c>
      <c r="AH703">
        <v>10745</v>
      </c>
      <c r="AI703" s="7">
        <v>46074</v>
      </c>
    </row>
    <row r="704" spans="1:35">
      <c r="A704">
        <v>770</v>
      </c>
      <c r="B704" t="str">
        <f t="shared" si="168"/>
        <v>EUR</v>
      </c>
      <c r="C704">
        <f t="shared" si="169"/>
        <v>0</v>
      </c>
      <c r="D704">
        <f t="shared" si="160"/>
        <v>0</v>
      </c>
      <c r="E704">
        <f t="shared" si="161"/>
        <v>0</v>
      </c>
      <c r="F704">
        <v>5943.6</v>
      </c>
      <c r="G704">
        <f t="shared" si="162"/>
        <v>5943.6</v>
      </c>
      <c r="H704">
        <f t="shared" si="163"/>
        <v>6894.576</v>
      </c>
      <c r="I704">
        <f t="shared" si="170"/>
        <v>0</v>
      </c>
      <c r="J704">
        <f t="shared" si="164"/>
        <v>0</v>
      </c>
      <c r="K704" s="7">
        <f t="shared" si="171"/>
        <v>45983</v>
      </c>
      <c r="L704" s="7">
        <f t="shared" si="165"/>
        <v>45953</v>
      </c>
      <c r="M704">
        <f t="shared" si="166"/>
        <v>10</v>
      </c>
      <c r="N704">
        <f t="shared" si="167"/>
        <v>2025</v>
      </c>
      <c r="Q704" s="22">
        <v>1069</v>
      </c>
      <c r="R704" s="22">
        <v>1897</v>
      </c>
      <c r="S704" s="22" t="str">
        <f t="shared" si="172"/>
        <v>USD</v>
      </c>
      <c r="T704" s="22">
        <f t="shared" si="173"/>
        <v>1897</v>
      </c>
      <c r="U704" s="28">
        <v>400</v>
      </c>
      <c r="W704" s="9">
        <v>456</v>
      </c>
      <c r="X704" s="9" t="s">
        <v>29</v>
      </c>
      <c r="AF704">
        <v>748</v>
      </c>
      <c r="AG704" t="s">
        <v>29</v>
      </c>
      <c r="AH704">
        <v>63360</v>
      </c>
      <c r="AI704" s="7">
        <v>45958</v>
      </c>
    </row>
    <row r="705" spans="1:35">
      <c r="A705">
        <v>772</v>
      </c>
      <c r="B705" t="str">
        <f t="shared" si="168"/>
        <v>USD</v>
      </c>
      <c r="C705">
        <f t="shared" si="169"/>
        <v>12782</v>
      </c>
      <c r="D705">
        <f t="shared" ref="D705:D768" si="174">C705*_xlfn.XLOOKUP(B705,AM:AM,AN:AN)</f>
        <v>10992.52</v>
      </c>
      <c r="E705">
        <f t="shared" ref="E705:E768" si="175">C705*_xlfn.XLOOKUP(B705,AM:AM,AO:AO)</f>
        <v>12782</v>
      </c>
      <c r="F705">
        <v>16410</v>
      </c>
      <c r="G705">
        <f t="shared" ref="G705:G768" si="176">F705*_xlfn.XLOOKUP(B705,AM:AM,AN:AN)</f>
        <v>14112.6</v>
      </c>
      <c r="H705">
        <f t="shared" ref="H705:H768" si="177">F705*_xlfn.XLOOKUP(B705,AM:AM,AO:AO)</f>
        <v>16410</v>
      </c>
      <c r="I705">
        <f t="shared" si="170"/>
        <v>-3628</v>
      </c>
      <c r="J705">
        <f t="shared" ref="J705:J768" si="178">I705*_xlfn.XLOOKUP(B705,AM:AM,AO:AO)</f>
        <v>-3628</v>
      </c>
      <c r="K705" s="7">
        <f t="shared" si="171"/>
        <v>46017</v>
      </c>
      <c r="L705" s="7">
        <f t="shared" ref="L705:L768" si="179">K705-30</f>
        <v>45987</v>
      </c>
      <c r="M705">
        <f t="shared" ref="M705:M768" si="180">MONTH(L705)</f>
        <v>11</v>
      </c>
      <c r="N705">
        <f t="shared" ref="N705:N768" si="181">YEAR(L705)</f>
        <v>2025</v>
      </c>
      <c r="Q705" s="22">
        <v>1071</v>
      </c>
      <c r="R705" s="22">
        <v>788.74</v>
      </c>
      <c r="S705" s="22" t="str">
        <f t="shared" si="172"/>
        <v>USD</v>
      </c>
      <c r="T705" s="22">
        <f t="shared" si="173"/>
        <v>788.74</v>
      </c>
      <c r="U705" s="28">
        <v>400</v>
      </c>
      <c r="W705" s="9">
        <v>456</v>
      </c>
      <c r="X705" s="9" t="s">
        <v>29</v>
      </c>
      <c r="AF705">
        <v>749</v>
      </c>
      <c r="AG705" t="s">
        <v>29</v>
      </c>
      <c r="AH705">
        <v>13873.49</v>
      </c>
      <c r="AI705" s="7">
        <v>45934</v>
      </c>
    </row>
    <row r="706" spans="1:35">
      <c r="A706">
        <v>774</v>
      </c>
      <c r="B706" t="str">
        <f t="shared" si="168"/>
        <v>JPY</v>
      </c>
      <c r="C706">
        <f t="shared" si="169"/>
        <v>0</v>
      </c>
      <c r="D706">
        <f t="shared" si="174"/>
        <v>0</v>
      </c>
      <c r="E706">
        <f t="shared" si="175"/>
        <v>0</v>
      </c>
      <c r="F706">
        <v>959220</v>
      </c>
      <c r="G706">
        <f t="shared" si="176"/>
        <v>5275.71</v>
      </c>
      <c r="H706">
        <f t="shared" si="177"/>
        <v>6139.0080000000007</v>
      </c>
      <c r="I706">
        <f t="shared" si="170"/>
        <v>0</v>
      </c>
      <c r="J706">
        <f t="shared" si="178"/>
        <v>0</v>
      </c>
      <c r="K706" s="7">
        <f t="shared" si="171"/>
        <v>46014</v>
      </c>
      <c r="L706" s="7">
        <f t="shared" si="179"/>
        <v>45984</v>
      </c>
      <c r="M706">
        <f t="shared" si="180"/>
        <v>11</v>
      </c>
      <c r="N706">
        <f t="shared" si="181"/>
        <v>2025</v>
      </c>
      <c r="Q706" s="22">
        <v>1072</v>
      </c>
      <c r="R706" s="22">
        <v>708.8</v>
      </c>
      <c r="S706" s="22" t="str">
        <f t="shared" si="172"/>
        <v>USD</v>
      </c>
      <c r="T706" s="22">
        <f t="shared" si="173"/>
        <v>708.8</v>
      </c>
      <c r="U706" s="28">
        <v>400</v>
      </c>
      <c r="W706" s="9">
        <v>457</v>
      </c>
      <c r="X706" s="9" t="s">
        <v>29</v>
      </c>
      <c r="AF706">
        <v>750</v>
      </c>
      <c r="AG706" t="s">
        <v>29</v>
      </c>
      <c r="AH706">
        <v>59139</v>
      </c>
      <c r="AI706" s="7">
        <v>45960</v>
      </c>
    </row>
    <row r="707" spans="1:35">
      <c r="A707">
        <v>775</v>
      </c>
      <c r="B707" t="str">
        <f t="shared" ref="B707:B770" si="182">_xlfn.XLOOKUP(A707,AF:AF,AG:AG)</f>
        <v>JPY</v>
      </c>
      <c r="C707">
        <f t="shared" ref="C707:C770" si="183">_xlfn.XLOOKUP(A707,AF:AF,AH:AH)-_xlfn.XLOOKUP(A707,Q:Q,R:R,"0")</f>
        <v>0</v>
      </c>
      <c r="D707">
        <f t="shared" si="174"/>
        <v>0</v>
      </c>
      <c r="E707">
        <f t="shared" si="175"/>
        <v>0</v>
      </c>
      <c r="F707">
        <v>3689941</v>
      </c>
      <c r="G707">
        <f t="shared" si="176"/>
        <v>20294.675499999998</v>
      </c>
      <c r="H707">
        <f t="shared" si="177"/>
        <v>23615.6224</v>
      </c>
      <c r="I707">
        <f t="shared" ref="I707:I770" si="184">C707-F707+_xlfn.XLOOKUP(A707,Q:Q,R:R,"0")-_xlfn.XLOOKUP(A707,Z:Z,AA:AA,"0")</f>
        <v>0</v>
      </c>
      <c r="J707">
        <f t="shared" si="178"/>
        <v>0</v>
      </c>
      <c r="K707" s="7">
        <f t="shared" ref="K707:K770" si="185">_xlfn.XLOOKUP(A707,AF:AF,AI:AI)</f>
        <v>46015</v>
      </c>
      <c r="L707" s="7">
        <f t="shared" si="179"/>
        <v>45985</v>
      </c>
      <c r="M707">
        <f t="shared" si="180"/>
        <v>11</v>
      </c>
      <c r="N707">
        <f t="shared" si="181"/>
        <v>2025</v>
      </c>
      <c r="Q707" s="22">
        <v>1073</v>
      </c>
      <c r="R707" s="22">
        <v>3553.22</v>
      </c>
      <c r="S707" s="22" t="str">
        <f t="shared" ref="S707:S770" si="186">_xlfn.XLOOKUP(Q707,W:W,X:X)</f>
        <v>USD</v>
      </c>
      <c r="T707" s="22">
        <f t="shared" si="173"/>
        <v>3553.22</v>
      </c>
      <c r="U707" s="28">
        <v>400</v>
      </c>
      <c r="W707" s="9">
        <v>458</v>
      </c>
      <c r="X707" s="9" t="s">
        <v>29</v>
      </c>
      <c r="AF707">
        <v>751</v>
      </c>
      <c r="AG707" t="s">
        <v>27</v>
      </c>
      <c r="AH707">
        <v>27327</v>
      </c>
      <c r="AI707" s="7">
        <v>45980</v>
      </c>
    </row>
    <row r="708" spans="1:35">
      <c r="A708">
        <v>776</v>
      </c>
      <c r="B708" t="str">
        <f t="shared" si="182"/>
        <v>JPY</v>
      </c>
      <c r="C708">
        <f t="shared" si="183"/>
        <v>0</v>
      </c>
      <c r="D708">
        <f t="shared" si="174"/>
        <v>0</v>
      </c>
      <c r="E708">
        <f t="shared" si="175"/>
        <v>0</v>
      </c>
      <c r="F708">
        <v>24401740</v>
      </c>
      <c r="G708">
        <f t="shared" si="176"/>
        <v>134209.56999999998</v>
      </c>
      <c r="H708">
        <f t="shared" si="177"/>
        <v>156171.136</v>
      </c>
      <c r="I708">
        <f t="shared" si="184"/>
        <v>0</v>
      </c>
      <c r="J708">
        <f t="shared" si="178"/>
        <v>0</v>
      </c>
      <c r="K708" s="7">
        <f t="shared" si="185"/>
        <v>46015</v>
      </c>
      <c r="L708" s="7">
        <f t="shared" si="179"/>
        <v>45985</v>
      </c>
      <c r="M708">
        <f t="shared" si="180"/>
        <v>11</v>
      </c>
      <c r="N708">
        <f t="shared" si="181"/>
        <v>2025</v>
      </c>
      <c r="Q708" s="22">
        <v>1078</v>
      </c>
      <c r="R708" s="22">
        <v>479.12</v>
      </c>
      <c r="S708" s="22" t="str">
        <f t="shared" si="186"/>
        <v>EUR</v>
      </c>
      <c r="T708" s="22">
        <f t="shared" si="173"/>
        <v>555.77919999999995</v>
      </c>
      <c r="U708" s="28">
        <v>400</v>
      </c>
      <c r="W708" s="9">
        <v>459</v>
      </c>
      <c r="X708" s="9" t="s">
        <v>29</v>
      </c>
      <c r="AF708">
        <v>752</v>
      </c>
      <c r="AG708" t="s">
        <v>28</v>
      </c>
      <c r="AH708">
        <v>60434.3</v>
      </c>
      <c r="AI708" s="7">
        <v>45952</v>
      </c>
    </row>
    <row r="709" spans="1:35">
      <c r="A709">
        <v>777</v>
      </c>
      <c r="B709" t="str">
        <f t="shared" si="182"/>
        <v>EUR</v>
      </c>
      <c r="C709">
        <f t="shared" si="183"/>
        <v>224728</v>
      </c>
      <c r="D709">
        <f t="shared" si="174"/>
        <v>224728</v>
      </c>
      <c r="E709">
        <f t="shared" si="175"/>
        <v>260684.47999999998</v>
      </c>
      <c r="F709">
        <v>224728</v>
      </c>
      <c r="G709">
        <f t="shared" si="176"/>
        <v>224728</v>
      </c>
      <c r="H709">
        <f t="shared" si="177"/>
        <v>260684.47999999998</v>
      </c>
      <c r="I709">
        <f t="shared" si="184"/>
        <v>0</v>
      </c>
      <c r="J709">
        <f t="shared" si="178"/>
        <v>0</v>
      </c>
      <c r="K709" s="7">
        <f t="shared" si="185"/>
        <v>45966</v>
      </c>
      <c r="L709" s="7">
        <f t="shared" si="179"/>
        <v>45936</v>
      </c>
      <c r="M709">
        <f t="shared" si="180"/>
        <v>10</v>
      </c>
      <c r="N709">
        <f t="shared" si="181"/>
        <v>2025</v>
      </c>
      <c r="Q709" s="22">
        <v>1080</v>
      </c>
      <c r="R709" s="22">
        <v>5917.79</v>
      </c>
      <c r="S709" s="22" t="str">
        <f t="shared" si="186"/>
        <v>USD</v>
      </c>
      <c r="T709" s="22">
        <f t="shared" si="173"/>
        <v>5917.79</v>
      </c>
      <c r="U709" s="28">
        <v>400</v>
      </c>
      <c r="W709" s="9">
        <v>460</v>
      </c>
      <c r="X709" s="9" t="s">
        <v>29</v>
      </c>
      <c r="AF709">
        <v>753</v>
      </c>
      <c r="AG709" t="s">
        <v>29</v>
      </c>
      <c r="AH709">
        <v>9702.5400000000009</v>
      </c>
      <c r="AI709" s="7">
        <v>45956</v>
      </c>
    </row>
    <row r="710" spans="1:35">
      <c r="A710">
        <v>778</v>
      </c>
      <c r="B710" t="str">
        <f t="shared" si="182"/>
        <v>USD</v>
      </c>
      <c r="C710">
        <f t="shared" si="183"/>
        <v>70</v>
      </c>
      <c r="D710">
        <f t="shared" si="174"/>
        <v>60.199999999999996</v>
      </c>
      <c r="E710">
        <f t="shared" si="175"/>
        <v>70</v>
      </c>
      <c r="F710">
        <v>5460.56</v>
      </c>
      <c r="G710">
        <f t="shared" si="176"/>
        <v>4696.0816000000004</v>
      </c>
      <c r="H710">
        <f t="shared" si="177"/>
        <v>5460.56</v>
      </c>
      <c r="I710">
        <f t="shared" si="184"/>
        <v>0</v>
      </c>
      <c r="J710">
        <f t="shared" si="178"/>
        <v>0</v>
      </c>
      <c r="K710" s="7">
        <f t="shared" si="185"/>
        <v>46006</v>
      </c>
      <c r="L710" s="7">
        <f t="shared" si="179"/>
        <v>45976</v>
      </c>
      <c r="M710">
        <f t="shared" si="180"/>
        <v>11</v>
      </c>
      <c r="N710">
        <f t="shared" si="181"/>
        <v>2025</v>
      </c>
      <c r="Q710" s="22">
        <v>1081</v>
      </c>
      <c r="R710" s="22">
        <v>4554.75</v>
      </c>
      <c r="S710" s="22" t="str">
        <f t="shared" si="186"/>
        <v>USD</v>
      </c>
      <c r="T710" s="22">
        <f t="shared" si="173"/>
        <v>4554.75</v>
      </c>
      <c r="U710" s="28">
        <v>400</v>
      </c>
      <c r="W710" s="9">
        <v>461</v>
      </c>
      <c r="X710" s="9" t="s">
        <v>28</v>
      </c>
      <c r="AF710">
        <v>754</v>
      </c>
      <c r="AG710" t="s">
        <v>29</v>
      </c>
      <c r="AH710">
        <v>78626</v>
      </c>
      <c r="AI710" s="7">
        <v>46005</v>
      </c>
    </row>
    <row r="711" spans="1:35">
      <c r="A711">
        <v>779</v>
      </c>
      <c r="B711" t="str">
        <f t="shared" si="182"/>
        <v>USD</v>
      </c>
      <c r="C711">
        <f t="shared" si="183"/>
        <v>140.00000000001455</v>
      </c>
      <c r="D711">
        <f t="shared" si="174"/>
        <v>120.40000000001251</v>
      </c>
      <c r="E711">
        <f t="shared" si="175"/>
        <v>140.00000000001455</v>
      </c>
      <c r="F711">
        <v>88656.24</v>
      </c>
      <c r="G711">
        <f t="shared" si="176"/>
        <v>76244.366399999999</v>
      </c>
      <c r="H711">
        <f t="shared" si="177"/>
        <v>88656.24</v>
      </c>
      <c r="I711">
        <f t="shared" si="184"/>
        <v>0</v>
      </c>
      <c r="J711">
        <f t="shared" si="178"/>
        <v>0</v>
      </c>
      <c r="K711" s="7">
        <f t="shared" si="185"/>
        <v>46108</v>
      </c>
      <c r="L711" s="7">
        <f t="shared" si="179"/>
        <v>46078</v>
      </c>
      <c r="M711">
        <f t="shared" si="180"/>
        <v>2</v>
      </c>
      <c r="N711">
        <f t="shared" si="181"/>
        <v>2026</v>
      </c>
      <c r="Q711" s="22">
        <v>1082</v>
      </c>
      <c r="R711" s="22">
        <v>21042.880000000001</v>
      </c>
      <c r="S711" s="22" t="str">
        <f t="shared" si="186"/>
        <v>USD</v>
      </c>
      <c r="T711" s="22">
        <f t="shared" si="173"/>
        <v>21042.880000000001</v>
      </c>
      <c r="U711" s="28">
        <v>400</v>
      </c>
      <c r="W711" s="9">
        <v>461</v>
      </c>
      <c r="X711" s="9" t="s">
        <v>28</v>
      </c>
      <c r="AF711">
        <v>755</v>
      </c>
      <c r="AG711" t="s">
        <v>29</v>
      </c>
      <c r="AH711">
        <v>31647.17</v>
      </c>
      <c r="AI711" s="7">
        <v>45968</v>
      </c>
    </row>
    <row r="712" spans="1:35">
      <c r="A712">
        <v>780</v>
      </c>
      <c r="B712" t="str">
        <f t="shared" si="182"/>
        <v>USD</v>
      </c>
      <c r="C712">
        <f t="shared" si="183"/>
        <v>0</v>
      </c>
      <c r="D712">
        <f t="shared" si="174"/>
        <v>0</v>
      </c>
      <c r="E712">
        <f t="shared" si="175"/>
        <v>0</v>
      </c>
      <c r="F712">
        <v>7927.78</v>
      </c>
      <c r="G712">
        <f t="shared" si="176"/>
        <v>6817.8908000000001</v>
      </c>
      <c r="H712">
        <f t="shared" si="177"/>
        <v>7927.78</v>
      </c>
      <c r="I712">
        <f t="shared" si="184"/>
        <v>0</v>
      </c>
      <c r="J712">
        <f t="shared" si="178"/>
        <v>0</v>
      </c>
      <c r="K712" s="7">
        <f t="shared" si="185"/>
        <v>45973</v>
      </c>
      <c r="L712" s="7">
        <f t="shared" si="179"/>
        <v>45943</v>
      </c>
      <c r="M712">
        <f t="shared" si="180"/>
        <v>10</v>
      </c>
      <c r="N712">
        <f t="shared" si="181"/>
        <v>2025</v>
      </c>
      <c r="Q712" s="22">
        <v>1083</v>
      </c>
      <c r="R712" s="22">
        <v>11627</v>
      </c>
      <c r="S712" s="22" t="str">
        <f t="shared" si="186"/>
        <v>USD</v>
      </c>
      <c r="T712" s="22">
        <f t="shared" si="173"/>
        <v>11627</v>
      </c>
      <c r="U712" s="28">
        <v>400</v>
      </c>
      <c r="W712" s="9">
        <v>462</v>
      </c>
      <c r="X712" s="9" t="s">
        <v>29</v>
      </c>
      <c r="AF712">
        <v>756</v>
      </c>
      <c r="AG712" t="s">
        <v>29</v>
      </c>
      <c r="AH712">
        <v>33091</v>
      </c>
      <c r="AI712" s="7">
        <v>45947</v>
      </c>
    </row>
    <row r="713" spans="1:35">
      <c r="A713">
        <v>781</v>
      </c>
      <c r="B713" t="str">
        <f t="shared" si="182"/>
        <v>USD</v>
      </c>
      <c r="C713">
        <f t="shared" si="183"/>
        <v>0</v>
      </c>
      <c r="D713">
        <f t="shared" si="174"/>
        <v>0</v>
      </c>
      <c r="E713">
        <f t="shared" si="175"/>
        <v>0</v>
      </c>
      <c r="F713">
        <v>8424</v>
      </c>
      <c r="G713">
        <f t="shared" si="176"/>
        <v>7244.64</v>
      </c>
      <c r="H713">
        <f t="shared" si="177"/>
        <v>8424</v>
      </c>
      <c r="I713">
        <f t="shared" si="184"/>
        <v>0</v>
      </c>
      <c r="J713">
        <f t="shared" si="178"/>
        <v>0</v>
      </c>
      <c r="K713" s="7">
        <f t="shared" si="185"/>
        <v>45925</v>
      </c>
      <c r="L713" s="7">
        <f t="shared" si="179"/>
        <v>45895</v>
      </c>
      <c r="M713">
        <f t="shared" si="180"/>
        <v>8</v>
      </c>
      <c r="N713">
        <f t="shared" si="181"/>
        <v>2025</v>
      </c>
      <c r="Q713" s="22">
        <v>1084</v>
      </c>
      <c r="R713" s="22">
        <v>4655.67</v>
      </c>
      <c r="S713" s="22" t="str">
        <f t="shared" si="186"/>
        <v>USD</v>
      </c>
      <c r="T713" s="22">
        <f t="shared" si="173"/>
        <v>4655.67</v>
      </c>
      <c r="U713" s="28">
        <v>400</v>
      </c>
      <c r="W713" s="9">
        <v>462</v>
      </c>
      <c r="X713" s="9" t="s">
        <v>29</v>
      </c>
      <c r="AF713">
        <v>757</v>
      </c>
      <c r="AG713" t="s">
        <v>29</v>
      </c>
      <c r="AH713">
        <v>1067.6400000000001</v>
      </c>
      <c r="AI713" s="7">
        <v>45911</v>
      </c>
    </row>
    <row r="714" spans="1:35">
      <c r="A714">
        <v>782</v>
      </c>
      <c r="B714" t="str">
        <f t="shared" si="182"/>
        <v>USD</v>
      </c>
      <c r="C714">
        <f t="shared" si="183"/>
        <v>666.20999999999913</v>
      </c>
      <c r="D714">
        <f t="shared" si="174"/>
        <v>572.94059999999922</v>
      </c>
      <c r="E714">
        <f t="shared" si="175"/>
        <v>666.20999999999913</v>
      </c>
      <c r="F714">
        <v>36643.24</v>
      </c>
      <c r="G714">
        <f t="shared" si="176"/>
        <v>31513.186399999999</v>
      </c>
      <c r="H714">
        <f t="shared" si="177"/>
        <v>36643.24</v>
      </c>
      <c r="I714">
        <f t="shared" si="184"/>
        <v>0</v>
      </c>
      <c r="J714">
        <f t="shared" si="178"/>
        <v>0</v>
      </c>
      <c r="K714" s="7">
        <f t="shared" si="185"/>
        <v>46015</v>
      </c>
      <c r="L714" s="7">
        <f t="shared" si="179"/>
        <v>45985</v>
      </c>
      <c r="M714">
        <f t="shared" si="180"/>
        <v>11</v>
      </c>
      <c r="N714">
        <f t="shared" si="181"/>
        <v>2025</v>
      </c>
      <c r="Q714" s="22">
        <v>1091</v>
      </c>
      <c r="R714" s="22">
        <v>59189</v>
      </c>
      <c r="S714" s="22" t="str">
        <f t="shared" si="186"/>
        <v>USD</v>
      </c>
      <c r="T714" s="22">
        <f t="shared" si="173"/>
        <v>59189</v>
      </c>
      <c r="U714" s="28">
        <v>400</v>
      </c>
      <c r="W714" s="9">
        <v>462</v>
      </c>
      <c r="X714" s="9" t="s">
        <v>29</v>
      </c>
      <c r="AF714">
        <v>758</v>
      </c>
      <c r="AG714" t="s">
        <v>27</v>
      </c>
      <c r="AH714">
        <v>1002.1</v>
      </c>
      <c r="AI714" s="7">
        <v>45899</v>
      </c>
    </row>
    <row r="715" spans="1:35">
      <c r="A715">
        <v>783</v>
      </c>
      <c r="B715" t="str">
        <f t="shared" si="182"/>
        <v>GBP</v>
      </c>
      <c r="C715">
        <f t="shared" si="183"/>
        <v>0</v>
      </c>
      <c r="D715">
        <f t="shared" si="174"/>
        <v>0</v>
      </c>
      <c r="E715">
        <f t="shared" si="175"/>
        <v>0</v>
      </c>
      <c r="F715">
        <v>3925</v>
      </c>
      <c r="G715">
        <f t="shared" si="176"/>
        <v>4513.75</v>
      </c>
      <c r="H715">
        <f t="shared" si="177"/>
        <v>5259.5</v>
      </c>
      <c r="I715">
        <f t="shared" si="184"/>
        <v>0</v>
      </c>
      <c r="J715">
        <f t="shared" si="178"/>
        <v>0</v>
      </c>
      <c r="K715" s="7">
        <f t="shared" si="185"/>
        <v>45968</v>
      </c>
      <c r="L715" s="7">
        <f t="shared" si="179"/>
        <v>45938</v>
      </c>
      <c r="M715">
        <f t="shared" si="180"/>
        <v>10</v>
      </c>
      <c r="N715">
        <f t="shared" si="181"/>
        <v>2025</v>
      </c>
      <c r="Q715" s="22">
        <v>1095</v>
      </c>
      <c r="R715" s="22">
        <v>37192</v>
      </c>
      <c r="S715" s="22" t="str">
        <f t="shared" si="186"/>
        <v>USD</v>
      </c>
      <c r="T715" s="22">
        <f t="shared" si="173"/>
        <v>37192</v>
      </c>
      <c r="U715" s="28">
        <v>400</v>
      </c>
      <c r="W715" s="9">
        <v>462</v>
      </c>
      <c r="X715" s="9" t="s">
        <v>29</v>
      </c>
      <c r="AF715">
        <v>759</v>
      </c>
      <c r="AG715" t="s">
        <v>29</v>
      </c>
      <c r="AH715">
        <v>66948.31</v>
      </c>
      <c r="AI715" s="7">
        <v>45894</v>
      </c>
    </row>
    <row r="716" spans="1:35">
      <c r="A716">
        <v>784</v>
      </c>
      <c r="B716" t="str">
        <f t="shared" si="182"/>
        <v>EUR</v>
      </c>
      <c r="C716">
        <f t="shared" si="183"/>
        <v>70</v>
      </c>
      <c r="D716">
        <f t="shared" si="174"/>
        <v>70</v>
      </c>
      <c r="E716">
        <f t="shared" si="175"/>
        <v>81.199999999999989</v>
      </c>
      <c r="F716">
        <v>1483.59</v>
      </c>
      <c r="G716">
        <f t="shared" si="176"/>
        <v>1483.59</v>
      </c>
      <c r="H716">
        <f t="shared" si="177"/>
        <v>1720.9643999999998</v>
      </c>
      <c r="I716">
        <f t="shared" si="184"/>
        <v>0</v>
      </c>
      <c r="J716">
        <f t="shared" si="178"/>
        <v>0</v>
      </c>
      <c r="K716" s="7">
        <f t="shared" si="185"/>
        <v>45953</v>
      </c>
      <c r="L716" s="7">
        <f t="shared" si="179"/>
        <v>45923</v>
      </c>
      <c r="M716">
        <f t="shared" si="180"/>
        <v>9</v>
      </c>
      <c r="N716">
        <f t="shared" si="181"/>
        <v>2025</v>
      </c>
      <c r="Q716" s="22">
        <v>1096</v>
      </c>
      <c r="R716" s="22">
        <v>75616.02</v>
      </c>
      <c r="S716" s="22" t="str">
        <f t="shared" si="186"/>
        <v>MXN</v>
      </c>
      <c r="T716" s="22">
        <f t="shared" si="173"/>
        <v>4234.49712</v>
      </c>
      <c r="U716" s="28">
        <v>400</v>
      </c>
      <c r="W716" s="9">
        <v>462</v>
      </c>
      <c r="X716" s="9" t="s">
        <v>29</v>
      </c>
      <c r="AF716">
        <v>760</v>
      </c>
      <c r="AG716" t="s">
        <v>29</v>
      </c>
      <c r="AH716">
        <v>33200</v>
      </c>
      <c r="AI716" s="7">
        <v>45941</v>
      </c>
    </row>
    <row r="717" spans="1:35">
      <c r="A717">
        <v>785</v>
      </c>
      <c r="B717" t="str">
        <f t="shared" si="182"/>
        <v>USD</v>
      </c>
      <c r="C717">
        <f t="shared" si="183"/>
        <v>21730</v>
      </c>
      <c r="D717">
        <f t="shared" si="174"/>
        <v>18687.8</v>
      </c>
      <c r="E717">
        <f t="shared" si="175"/>
        <v>21730</v>
      </c>
      <c r="F717">
        <v>21730</v>
      </c>
      <c r="G717">
        <f t="shared" si="176"/>
        <v>18687.8</v>
      </c>
      <c r="H717">
        <f t="shared" si="177"/>
        <v>21730</v>
      </c>
      <c r="I717">
        <f t="shared" si="184"/>
        <v>0</v>
      </c>
      <c r="J717">
        <f t="shared" si="178"/>
        <v>0</v>
      </c>
      <c r="K717" s="7">
        <f t="shared" si="185"/>
        <v>45947</v>
      </c>
      <c r="L717" s="7">
        <f t="shared" si="179"/>
        <v>45917</v>
      </c>
      <c r="M717">
        <f t="shared" si="180"/>
        <v>9</v>
      </c>
      <c r="N717">
        <f t="shared" si="181"/>
        <v>2025</v>
      </c>
      <c r="Q717" s="22">
        <v>1100</v>
      </c>
      <c r="R717" s="22">
        <v>51816</v>
      </c>
      <c r="S717" s="22" t="str">
        <f t="shared" si="186"/>
        <v>MXN</v>
      </c>
      <c r="T717" s="22">
        <f t="shared" si="173"/>
        <v>2901.6959999999999</v>
      </c>
      <c r="U717" s="28">
        <v>400</v>
      </c>
      <c r="W717" s="9">
        <v>462</v>
      </c>
      <c r="X717" s="9" t="s">
        <v>29</v>
      </c>
      <c r="AF717">
        <v>761</v>
      </c>
      <c r="AG717" t="s">
        <v>29</v>
      </c>
      <c r="AH717">
        <v>161501.70000000001</v>
      </c>
      <c r="AI717" s="7">
        <v>45997</v>
      </c>
    </row>
    <row r="718" spans="1:35">
      <c r="A718">
        <v>786</v>
      </c>
      <c r="B718" t="str">
        <f t="shared" si="182"/>
        <v>EUR</v>
      </c>
      <c r="C718">
        <f t="shared" si="183"/>
        <v>59242.29</v>
      </c>
      <c r="D718">
        <f t="shared" si="174"/>
        <v>59242.29</v>
      </c>
      <c r="E718">
        <f t="shared" si="175"/>
        <v>68721.056400000001</v>
      </c>
      <c r="F718">
        <v>59242.29</v>
      </c>
      <c r="G718">
        <f t="shared" si="176"/>
        <v>59242.29</v>
      </c>
      <c r="H718">
        <f t="shared" si="177"/>
        <v>68721.056400000001</v>
      </c>
      <c r="I718">
        <f t="shared" si="184"/>
        <v>0</v>
      </c>
      <c r="J718">
        <f t="shared" si="178"/>
        <v>0</v>
      </c>
      <c r="K718" s="7">
        <f t="shared" si="185"/>
        <v>45982</v>
      </c>
      <c r="L718" s="7">
        <f t="shared" si="179"/>
        <v>45952</v>
      </c>
      <c r="M718">
        <f t="shared" si="180"/>
        <v>10</v>
      </c>
      <c r="N718">
        <f t="shared" si="181"/>
        <v>2025</v>
      </c>
      <c r="Q718" s="22">
        <v>1102</v>
      </c>
      <c r="R718" s="22">
        <v>12974</v>
      </c>
      <c r="S718" s="22" t="str">
        <f t="shared" si="186"/>
        <v>EUR</v>
      </c>
      <c r="T718" s="22">
        <f t="shared" si="173"/>
        <v>15049.839999999998</v>
      </c>
      <c r="U718" s="28">
        <v>400</v>
      </c>
      <c r="W718" s="9">
        <v>462</v>
      </c>
      <c r="X718" s="9" t="s">
        <v>29</v>
      </c>
      <c r="AF718">
        <v>762</v>
      </c>
      <c r="AG718" t="s">
        <v>29</v>
      </c>
      <c r="AH718">
        <v>85590.5</v>
      </c>
      <c r="AI718" s="7">
        <v>45973</v>
      </c>
    </row>
    <row r="719" spans="1:35">
      <c r="A719">
        <v>787</v>
      </c>
      <c r="B719" t="str">
        <f t="shared" si="182"/>
        <v>USD</v>
      </c>
      <c r="C719">
        <f t="shared" si="183"/>
        <v>0</v>
      </c>
      <c r="D719">
        <f t="shared" si="174"/>
        <v>0</v>
      </c>
      <c r="E719">
        <f t="shared" si="175"/>
        <v>0</v>
      </c>
      <c r="F719">
        <v>9224.8799999999992</v>
      </c>
      <c r="G719">
        <f t="shared" si="176"/>
        <v>7933.3967999999995</v>
      </c>
      <c r="H719">
        <f t="shared" si="177"/>
        <v>9224.8799999999992</v>
      </c>
      <c r="I719">
        <f t="shared" si="184"/>
        <v>1.8189894035458565E-12</v>
      </c>
      <c r="J719">
        <f t="shared" si="178"/>
        <v>1.8189894035458565E-12</v>
      </c>
      <c r="K719" s="7">
        <f t="shared" si="185"/>
        <v>45964</v>
      </c>
      <c r="L719" s="7">
        <f t="shared" si="179"/>
        <v>45934</v>
      </c>
      <c r="M719">
        <f t="shared" si="180"/>
        <v>10</v>
      </c>
      <c r="N719">
        <f t="shared" si="181"/>
        <v>2025</v>
      </c>
      <c r="Q719" s="22">
        <v>1103</v>
      </c>
      <c r="R719" s="22">
        <v>22627.95</v>
      </c>
      <c r="S719" s="22" t="str">
        <f t="shared" si="186"/>
        <v>MXN</v>
      </c>
      <c r="T719" s="22">
        <f t="shared" si="173"/>
        <v>1267.1652000000001</v>
      </c>
      <c r="U719" s="28">
        <v>400</v>
      </c>
      <c r="W719" s="9">
        <v>462</v>
      </c>
      <c r="X719" s="9" t="s">
        <v>29</v>
      </c>
      <c r="AF719">
        <v>763</v>
      </c>
      <c r="AG719" t="s">
        <v>27</v>
      </c>
      <c r="AH719">
        <v>6892.52</v>
      </c>
      <c r="AI719" s="7">
        <v>45996</v>
      </c>
    </row>
    <row r="720" spans="1:35">
      <c r="A720">
        <v>788</v>
      </c>
      <c r="B720" t="str">
        <f t="shared" si="182"/>
        <v>USD</v>
      </c>
      <c r="C720">
        <f t="shared" si="183"/>
        <v>1750</v>
      </c>
      <c r="D720">
        <f t="shared" si="174"/>
        <v>1505</v>
      </c>
      <c r="E720">
        <f t="shared" si="175"/>
        <v>1750</v>
      </c>
      <c r="F720">
        <v>1750</v>
      </c>
      <c r="G720">
        <f t="shared" si="176"/>
        <v>1505</v>
      </c>
      <c r="H720">
        <f t="shared" si="177"/>
        <v>1750</v>
      </c>
      <c r="I720">
        <f t="shared" si="184"/>
        <v>0</v>
      </c>
      <c r="J720">
        <f t="shared" si="178"/>
        <v>0</v>
      </c>
      <c r="K720" s="7">
        <f t="shared" si="185"/>
        <v>45976</v>
      </c>
      <c r="L720" s="7">
        <f t="shared" si="179"/>
        <v>45946</v>
      </c>
      <c r="M720">
        <f t="shared" si="180"/>
        <v>10</v>
      </c>
      <c r="N720">
        <f t="shared" si="181"/>
        <v>2025</v>
      </c>
      <c r="Q720" s="22">
        <v>1104</v>
      </c>
      <c r="R720" s="22">
        <v>5038.09</v>
      </c>
      <c r="S720" s="22" t="str">
        <f t="shared" si="186"/>
        <v>EUR</v>
      </c>
      <c r="T720" s="22">
        <f t="shared" si="173"/>
        <v>5844.1844000000001</v>
      </c>
      <c r="U720" s="28">
        <v>400</v>
      </c>
      <c r="W720" s="9">
        <v>463</v>
      </c>
      <c r="X720" s="9" t="s">
        <v>28</v>
      </c>
      <c r="AF720">
        <v>764</v>
      </c>
      <c r="AG720" t="s">
        <v>29</v>
      </c>
      <c r="AH720">
        <v>13014.88</v>
      </c>
      <c r="AI720" s="7">
        <v>46137</v>
      </c>
    </row>
    <row r="721" spans="1:35">
      <c r="A721">
        <v>789</v>
      </c>
      <c r="B721" t="str">
        <f t="shared" si="182"/>
        <v>EUR</v>
      </c>
      <c r="C721">
        <f t="shared" si="183"/>
        <v>55998</v>
      </c>
      <c r="D721">
        <f t="shared" si="174"/>
        <v>55998</v>
      </c>
      <c r="E721">
        <f t="shared" si="175"/>
        <v>64957.679999999993</v>
      </c>
      <c r="F721">
        <v>63017.78</v>
      </c>
      <c r="G721">
        <f t="shared" si="176"/>
        <v>63017.78</v>
      </c>
      <c r="H721">
        <f t="shared" si="177"/>
        <v>73100.624799999991</v>
      </c>
      <c r="I721">
        <f t="shared" si="184"/>
        <v>9.0949470177292824E-13</v>
      </c>
      <c r="J721">
        <f t="shared" si="178"/>
        <v>1.0550138540565967E-12</v>
      </c>
      <c r="K721" s="7">
        <f t="shared" si="185"/>
        <v>46116</v>
      </c>
      <c r="L721" s="7">
        <f t="shared" si="179"/>
        <v>46086</v>
      </c>
      <c r="M721">
        <f t="shared" si="180"/>
        <v>3</v>
      </c>
      <c r="N721">
        <f t="shared" si="181"/>
        <v>2026</v>
      </c>
      <c r="Q721" s="22">
        <v>1105</v>
      </c>
      <c r="R721" s="22">
        <v>675388</v>
      </c>
      <c r="S721" s="22" t="str">
        <f t="shared" si="186"/>
        <v>MXN</v>
      </c>
      <c r="T721" s="22">
        <f t="shared" si="173"/>
        <v>37821.728000000003</v>
      </c>
      <c r="U721" s="28">
        <v>400</v>
      </c>
      <c r="W721" s="9">
        <v>464</v>
      </c>
      <c r="X721" s="9" t="s">
        <v>29</v>
      </c>
      <c r="AF721">
        <v>765</v>
      </c>
      <c r="AG721" t="s">
        <v>29</v>
      </c>
      <c r="AH721">
        <v>418305.1</v>
      </c>
      <c r="AI721" s="7">
        <v>45999</v>
      </c>
    </row>
    <row r="722" spans="1:35">
      <c r="A722">
        <v>790</v>
      </c>
      <c r="B722" t="str">
        <f t="shared" si="182"/>
        <v>USD</v>
      </c>
      <c r="C722">
        <f t="shared" si="183"/>
        <v>11436.21</v>
      </c>
      <c r="D722">
        <f t="shared" si="174"/>
        <v>9835.1405999999988</v>
      </c>
      <c r="E722">
        <f t="shared" si="175"/>
        <v>11436.21</v>
      </c>
      <c r="F722">
        <v>16376.31</v>
      </c>
      <c r="G722">
        <f t="shared" si="176"/>
        <v>14083.6266</v>
      </c>
      <c r="H722">
        <f t="shared" si="177"/>
        <v>16376.31</v>
      </c>
      <c r="I722">
        <f t="shared" si="184"/>
        <v>0</v>
      </c>
      <c r="J722">
        <f t="shared" si="178"/>
        <v>0</v>
      </c>
      <c r="K722" s="7">
        <f t="shared" si="185"/>
        <v>46013</v>
      </c>
      <c r="L722" s="7">
        <f t="shared" si="179"/>
        <v>45983</v>
      </c>
      <c r="M722">
        <f t="shared" si="180"/>
        <v>11</v>
      </c>
      <c r="N722">
        <f t="shared" si="181"/>
        <v>2025</v>
      </c>
      <c r="Q722" s="22">
        <v>1109</v>
      </c>
      <c r="R722" s="22">
        <v>4147.5</v>
      </c>
      <c r="S722" s="22" t="str">
        <f t="shared" si="186"/>
        <v>USD</v>
      </c>
      <c r="T722" s="22">
        <f t="shared" ref="T722:T785" si="187">R722*_xlfn.XLOOKUP(S722,AM:AM,AO:AO)</f>
        <v>4147.5</v>
      </c>
      <c r="U722" s="28">
        <v>400</v>
      </c>
      <c r="W722" s="9">
        <v>465</v>
      </c>
      <c r="X722" s="9" t="s">
        <v>27</v>
      </c>
      <c r="AF722">
        <v>766</v>
      </c>
      <c r="AG722" t="s">
        <v>29</v>
      </c>
      <c r="AH722">
        <v>17247.439999999999</v>
      </c>
      <c r="AI722" s="7">
        <v>45944</v>
      </c>
    </row>
    <row r="723" spans="1:35">
      <c r="A723">
        <v>791</v>
      </c>
      <c r="B723" t="str">
        <f t="shared" si="182"/>
        <v>EUR</v>
      </c>
      <c r="C723">
        <f t="shared" si="183"/>
        <v>60</v>
      </c>
      <c r="D723">
        <f t="shared" si="174"/>
        <v>60</v>
      </c>
      <c r="E723">
        <f t="shared" si="175"/>
        <v>69.599999999999994</v>
      </c>
      <c r="F723">
        <v>2042.83</v>
      </c>
      <c r="G723">
        <f t="shared" si="176"/>
        <v>2042.83</v>
      </c>
      <c r="H723">
        <f t="shared" si="177"/>
        <v>2369.6827999999996</v>
      </c>
      <c r="I723">
        <f t="shared" si="184"/>
        <v>-0.10999999999989996</v>
      </c>
      <c r="J723">
        <f t="shared" si="178"/>
        <v>-0.12759999999988395</v>
      </c>
      <c r="K723" s="7">
        <f t="shared" si="185"/>
        <v>45957</v>
      </c>
      <c r="L723" s="7">
        <f t="shared" si="179"/>
        <v>45927</v>
      </c>
      <c r="M723">
        <f t="shared" si="180"/>
        <v>9</v>
      </c>
      <c r="N723">
        <f t="shared" si="181"/>
        <v>2025</v>
      </c>
      <c r="Q723" s="22">
        <v>1110</v>
      </c>
      <c r="R723" s="22">
        <v>76516</v>
      </c>
      <c r="S723" s="22" t="str">
        <f t="shared" si="186"/>
        <v>USD</v>
      </c>
      <c r="T723" s="22">
        <f t="shared" si="187"/>
        <v>76516</v>
      </c>
      <c r="U723" s="28">
        <v>400</v>
      </c>
      <c r="W723" s="9">
        <v>465</v>
      </c>
      <c r="X723" s="9" t="s">
        <v>27</v>
      </c>
      <c r="AF723">
        <v>767</v>
      </c>
      <c r="AG723" t="s">
        <v>29</v>
      </c>
      <c r="AH723">
        <v>65660.42</v>
      </c>
      <c r="AI723" s="7">
        <v>45953</v>
      </c>
    </row>
    <row r="724" spans="1:35">
      <c r="A724">
        <v>792</v>
      </c>
      <c r="B724" t="str">
        <f t="shared" si="182"/>
        <v>GBP</v>
      </c>
      <c r="C724">
        <f t="shared" si="183"/>
        <v>0</v>
      </c>
      <c r="D724">
        <f t="shared" si="174"/>
        <v>0</v>
      </c>
      <c r="E724">
        <f t="shared" si="175"/>
        <v>0</v>
      </c>
      <c r="F724">
        <v>930</v>
      </c>
      <c r="G724">
        <f t="shared" si="176"/>
        <v>1069.5</v>
      </c>
      <c r="H724">
        <f t="shared" si="177"/>
        <v>1246.2</v>
      </c>
      <c r="I724">
        <f t="shared" si="184"/>
        <v>0</v>
      </c>
      <c r="J724">
        <f t="shared" si="178"/>
        <v>0</v>
      </c>
      <c r="K724" s="7">
        <f t="shared" si="185"/>
        <v>45952</v>
      </c>
      <c r="L724" s="7">
        <f t="shared" si="179"/>
        <v>45922</v>
      </c>
      <c r="M724">
        <f t="shared" si="180"/>
        <v>9</v>
      </c>
      <c r="N724">
        <f t="shared" si="181"/>
        <v>2025</v>
      </c>
      <c r="Q724" s="22">
        <v>1111</v>
      </c>
      <c r="R724" s="22">
        <v>75072</v>
      </c>
      <c r="S724" s="22" t="str">
        <f t="shared" si="186"/>
        <v>MXN</v>
      </c>
      <c r="T724" s="22">
        <f t="shared" si="187"/>
        <v>4204.0320000000002</v>
      </c>
      <c r="U724" s="28">
        <v>400</v>
      </c>
      <c r="W724" s="9">
        <v>467</v>
      </c>
      <c r="X724" s="9" t="s">
        <v>28</v>
      </c>
      <c r="AF724">
        <v>769</v>
      </c>
      <c r="AG724" t="s">
        <v>27</v>
      </c>
      <c r="AH724">
        <v>1823</v>
      </c>
      <c r="AI724" s="7">
        <v>45941</v>
      </c>
    </row>
    <row r="725" spans="1:35">
      <c r="A725">
        <v>793</v>
      </c>
      <c r="B725" t="str">
        <f t="shared" si="182"/>
        <v>EUR</v>
      </c>
      <c r="C725">
        <f t="shared" si="183"/>
        <v>0</v>
      </c>
      <c r="D725">
        <f t="shared" si="174"/>
        <v>0</v>
      </c>
      <c r="E725">
        <f t="shared" si="175"/>
        <v>0</v>
      </c>
      <c r="F725">
        <v>4474</v>
      </c>
      <c r="G725">
        <f t="shared" si="176"/>
        <v>4474</v>
      </c>
      <c r="H725">
        <f t="shared" si="177"/>
        <v>5189.8399999999992</v>
      </c>
      <c r="I725">
        <f t="shared" si="184"/>
        <v>0</v>
      </c>
      <c r="J725">
        <f t="shared" si="178"/>
        <v>0</v>
      </c>
      <c r="K725" s="7">
        <f t="shared" si="185"/>
        <v>46140</v>
      </c>
      <c r="L725" s="7">
        <f t="shared" si="179"/>
        <v>46110</v>
      </c>
      <c r="M725">
        <f t="shared" si="180"/>
        <v>3</v>
      </c>
      <c r="N725">
        <f t="shared" si="181"/>
        <v>2026</v>
      </c>
      <c r="Q725" s="22"/>
      <c r="R725" s="22"/>
      <c r="S725" s="22">
        <f t="shared" si="186"/>
        <v>0</v>
      </c>
      <c r="T725" s="22" t="e">
        <f t="shared" si="187"/>
        <v>#N/A</v>
      </c>
      <c r="U725" s="28">
        <v>400</v>
      </c>
      <c r="W725" s="9">
        <v>468</v>
      </c>
      <c r="X725" s="9" t="s">
        <v>29</v>
      </c>
      <c r="AF725">
        <v>770</v>
      </c>
      <c r="AG725" t="s">
        <v>27</v>
      </c>
      <c r="AH725">
        <v>5943.6</v>
      </c>
      <c r="AI725" s="7">
        <v>45983</v>
      </c>
    </row>
    <row r="726" spans="1:35">
      <c r="A726">
        <v>794</v>
      </c>
      <c r="B726" t="str">
        <f t="shared" si="182"/>
        <v>USD</v>
      </c>
      <c r="C726">
        <f t="shared" si="183"/>
        <v>17199.310000000001</v>
      </c>
      <c r="D726">
        <f t="shared" si="174"/>
        <v>14791.4066</v>
      </c>
      <c r="E726">
        <f t="shared" si="175"/>
        <v>17199.310000000001</v>
      </c>
      <c r="F726">
        <v>17199.310000000001</v>
      </c>
      <c r="G726">
        <f t="shared" si="176"/>
        <v>14791.4066</v>
      </c>
      <c r="H726">
        <f t="shared" si="177"/>
        <v>17199.310000000001</v>
      </c>
      <c r="I726">
        <f t="shared" si="184"/>
        <v>0</v>
      </c>
      <c r="J726">
        <f t="shared" si="178"/>
        <v>0</v>
      </c>
      <c r="K726" s="7">
        <f t="shared" si="185"/>
        <v>46027</v>
      </c>
      <c r="L726" s="7">
        <f t="shared" si="179"/>
        <v>45997</v>
      </c>
      <c r="M726">
        <f t="shared" si="180"/>
        <v>12</v>
      </c>
      <c r="N726">
        <f t="shared" si="181"/>
        <v>2025</v>
      </c>
      <c r="Q726" s="22"/>
      <c r="R726" s="22"/>
      <c r="S726" s="22">
        <f t="shared" si="186"/>
        <v>0</v>
      </c>
      <c r="T726" s="22" t="e">
        <f t="shared" si="187"/>
        <v>#N/A</v>
      </c>
      <c r="U726" s="28">
        <v>400</v>
      </c>
      <c r="W726" s="9">
        <v>468</v>
      </c>
      <c r="X726" s="9" t="s">
        <v>29</v>
      </c>
      <c r="AF726">
        <v>772</v>
      </c>
      <c r="AG726" t="s">
        <v>29</v>
      </c>
      <c r="AH726">
        <v>12782</v>
      </c>
      <c r="AI726" s="7">
        <v>46017</v>
      </c>
    </row>
    <row r="727" spans="1:35">
      <c r="A727">
        <v>795</v>
      </c>
      <c r="B727" t="str">
        <f t="shared" si="182"/>
        <v>USD</v>
      </c>
      <c r="C727">
        <f t="shared" si="183"/>
        <v>0</v>
      </c>
      <c r="D727">
        <f t="shared" si="174"/>
        <v>0</v>
      </c>
      <c r="E727">
        <f t="shared" si="175"/>
        <v>0</v>
      </c>
      <c r="F727">
        <v>11980.26</v>
      </c>
      <c r="G727">
        <f t="shared" si="176"/>
        <v>10303.0236</v>
      </c>
      <c r="H727">
        <f t="shared" si="177"/>
        <v>11980.26</v>
      </c>
      <c r="I727">
        <f t="shared" si="184"/>
        <v>0</v>
      </c>
      <c r="J727">
        <f t="shared" si="178"/>
        <v>0</v>
      </c>
      <c r="K727" s="7">
        <f t="shared" si="185"/>
        <v>45958</v>
      </c>
      <c r="L727" s="7">
        <f t="shared" si="179"/>
        <v>45928</v>
      </c>
      <c r="M727">
        <f t="shared" si="180"/>
        <v>9</v>
      </c>
      <c r="N727">
        <f t="shared" si="181"/>
        <v>2025</v>
      </c>
      <c r="Q727" s="22"/>
      <c r="R727" s="22"/>
      <c r="S727" s="22">
        <f t="shared" si="186"/>
        <v>0</v>
      </c>
      <c r="T727" s="22" t="e">
        <f t="shared" si="187"/>
        <v>#N/A</v>
      </c>
      <c r="U727" s="28">
        <v>400</v>
      </c>
      <c r="W727" s="9">
        <v>468</v>
      </c>
      <c r="X727" s="9" t="s">
        <v>29</v>
      </c>
      <c r="AF727">
        <v>773</v>
      </c>
      <c r="AG727" t="s">
        <v>27</v>
      </c>
      <c r="AH727">
        <v>14646</v>
      </c>
      <c r="AI727" s="7">
        <v>45931</v>
      </c>
    </row>
    <row r="728" spans="1:35">
      <c r="A728">
        <v>796</v>
      </c>
      <c r="B728" t="str">
        <f t="shared" si="182"/>
        <v>EUR</v>
      </c>
      <c r="C728">
        <f t="shared" si="183"/>
        <v>40526</v>
      </c>
      <c r="D728">
        <f t="shared" si="174"/>
        <v>40526</v>
      </c>
      <c r="E728">
        <f t="shared" si="175"/>
        <v>47010.159999999996</v>
      </c>
      <c r="F728">
        <v>12283.13</v>
      </c>
      <c r="G728">
        <f t="shared" si="176"/>
        <v>12283.13</v>
      </c>
      <c r="H728">
        <f t="shared" si="177"/>
        <v>14248.430799999998</v>
      </c>
      <c r="I728">
        <f t="shared" si="184"/>
        <v>28242.870000000003</v>
      </c>
      <c r="J728">
        <f t="shared" si="178"/>
        <v>32761.729200000002</v>
      </c>
      <c r="K728" s="7">
        <f t="shared" si="185"/>
        <v>46441</v>
      </c>
      <c r="L728" s="7">
        <f t="shared" si="179"/>
        <v>46411</v>
      </c>
      <c r="M728">
        <f t="shared" si="180"/>
        <v>1</v>
      </c>
      <c r="N728">
        <f t="shared" si="181"/>
        <v>2027</v>
      </c>
      <c r="Q728" s="22"/>
      <c r="R728" s="22"/>
      <c r="S728" s="22">
        <f t="shared" si="186"/>
        <v>0</v>
      </c>
      <c r="T728" s="22" t="e">
        <f t="shared" si="187"/>
        <v>#N/A</v>
      </c>
      <c r="U728" s="28">
        <v>400</v>
      </c>
      <c r="W728" s="9">
        <v>468</v>
      </c>
      <c r="X728" s="9" t="s">
        <v>29</v>
      </c>
      <c r="AF728">
        <v>774</v>
      </c>
      <c r="AG728" t="s">
        <v>33</v>
      </c>
      <c r="AH728">
        <v>959220</v>
      </c>
      <c r="AI728" s="7">
        <v>46014</v>
      </c>
    </row>
    <row r="729" spans="1:35">
      <c r="A729">
        <v>797</v>
      </c>
      <c r="B729" t="str">
        <f t="shared" si="182"/>
        <v>USD</v>
      </c>
      <c r="C729">
        <f t="shared" si="183"/>
        <v>0</v>
      </c>
      <c r="D729">
        <f t="shared" si="174"/>
        <v>0</v>
      </c>
      <c r="E729">
        <f t="shared" si="175"/>
        <v>0</v>
      </c>
      <c r="F729">
        <v>2383.44</v>
      </c>
      <c r="G729">
        <f t="shared" si="176"/>
        <v>2049.7584000000002</v>
      </c>
      <c r="H729">
        <f t="shared" si="177"/>
        <v>2383.44</v>
      </c>
      <c r="I729">
        <f t="shared" si="184"/>
        <v>0</v>
      </c>
      <c r="J729">
        <f t="shared" si="178"/>
        <v>0</v>
      </c>
      <c r="K729" s="7">
        <f t="shared" si="185"/>
        <v>45972</v>
      </c>
      <c r="L729" s="7">
        <f t="shared" si="179"/>
        <v>45942</v>
      </c>
      <c r="M729">
        <f t="shared" si="180"/>
        <v>10</v>
      </c>
      <c r="N729">
        <f t="shared" si="181"/>
        <v>2025</v>
      </c>
      <c r="Q729" s="22"/>
      <c r="R729" s="22"/>
      <c r="S729" s="22">
        <f t="shared" si="186"/>
        <v>0</v>
      </c>
      <c r="T729" s="22" t="e">
        <f t="shared" si="187"/>
        <v>#N/A</v>
      </c>
      <c r="U729" s="28">
        <v>400</v>
      </c>
      <c r="W729" s="9">
        <v>469</v>
      </c>
      <c r="X729" s="9" t="s">
        <v>29</v>
      </c>
      <c r="AF729">
        <v>775</v>
      </c>
      <c r="AG729" t="s">
        <v>33</v>
      </c>
      <c r="AH729">
        <v>3689941</v>
      </c>
      <c r="AI729" s="7">
        <v>46015</v>
      </c>
    </row>
    <row r="730" spans="1:35">
      <c r="A730">
        <v>798</v>
      </c>
      <c r="B730" t="str">
        <f t="shared" si="182"/>
        <v>USD</v>
      </c>
      <c r="C730">
        <f t="shared" si="183"/>
        <v>0</v>
      </c>
      <c r="D730">
        <f t="shared" si="174"/>
        <v>0</v>
      </c>
      <c r="E730">
        <f t="shared" si="175"/>
        <v>0</v>
      </c>
      <c r="F730">
        <v>5300</v>
      </c>
      <c r="G730">
        <f t="shared" si="176"/>
        <v>4558</v>
      </c>
      <c r="H730">
        <f t="shared" si="177"/>
        <v>5300</v>
      </c>
      <c r="I730">
        <f t="shared" si="184"/>
        <v>0</v>
      </c>
      <c r="J730">
        <f t="shared" si="178"/>
        <v>0</v>
      </c>
      <c r="K730" s="7">
        <f t="shared" si="185"/>
        <v>45994</v>
      </c>
      <c r="L730" s="7">
        <f t="shared" si="179"/>
        <v>45964</v>
      </c>
      <c r="M730">
        <f t="shared" si="180"/>
        <v>11</v>
      </c>
      <c r="N730">
        <f t="shared" si="181"/>
        <v>2025</v>
      </c>
      <c r="Q730" s="22"/>
      <c r="R730" s="22"/>
      <c r="S730" s="22">
        <f t="shared" si="186"/>
        <v>0</v>
      </c>
      <c r="T730" s="22" t="e">
        <f t="shared" si="187"/>
        <v>#N/A</v>
      </c>
      <c r="U730" s="28">
        <v>400</v>
      </c>
      <c r="W730" s="9">
        <v>470</v>
      </c>
      <c r="X730" s="9" t="s">
        <v>29</v>
      </c>
      <c r="AF730">
        <v>776</v>
      </c>
      <c r="AG730" t="s">
        <v>33</v>
      </c>
      <c r="AH730">
        <v>24401740</v>
      </c>
      <c r="AI730" s="7">
        <v>46015</v>
      </c>
    </row>
    <row r="731" spans="1:35">
      <c r="A731">
        <v>799</v>
      </c>
      <c r="B731" t="str">
        <f t="shared" si="182"/>
        <v>JPY</v>
      </c>
      <c r="C731">
        <f t="shared" si="183"/>
        <v>0</v>
      </c>
      <c r="D731">
        <f t="shared" si="174"/>
        <v>0</v>
      </c>
      <c r="E731">
        <f t="shared" si="175"/>
        <v>0</v>
      </c>
      <c r="F731">
        <v>2233369</v>
      </c>
      <c r="G731">
        <f t="shared" si="176"/>
        <v>12283.529499999999</v>
      </c>
      <c r="H731">
        <f t="shared" si="177"/>
        <v>14293.561600000001</v>
      </c>
      <c r="I731">
        <f t="shared" si="184"/>
        <v>0</v>
      </c>
      <c r="J731">
        <f t="shared" si="178"/>
        <v>0</v>
      </c>
      <c r="K731" s="7">
        <f t="shared" si="185"/>
        <v>46018</v>
      </c>
      <c r="L731" s="7">
        <f t="shared" si="179"/>
        <v>45988</v>
      </c>
      <c r="M731">
        <f t="shared" si="180"/>
        <v>11</v>
      </c>
      <c r="N731">
        <f t="shared" si="181"/>
        <v>2025</v>
      </c>
      <c r="Q731" s="22"/>
      <c r="R731" s="22"/>
      <c r="S731" s="22">
        <f t="shared" si="186"/>
        <v>0</v>
      </c>
      <c r="T731" s="22" t="e">
        <f t="shared" si="187"/>
        <v>#N/A</v>
      </c>
      <c r="U731" s="28">
        <v>400</v>
      </c>
      <c r="W731" s="9">
        <v>470</v>
      </c>
      <c r="X731" s="9" t="s">
        <v>29</v>
      </c>
      <c r="AF731">
        <v>777</v>
      </c>
      <c r="AG731" t="s">
        <v>27</v>
      </c>
      <c r="AH731">
        <v>224728</v>
      </c>
      <c r="AI731" s="7">
        <v>45966</v>
      </c>
    </row>
    <row r="732" spans="1:35">
      <c r="A732">
        <v>800</v>
      </c>
      <c r="B732" t="str">
        <f t="shared" si="182"/>
        <v>USD</v>
      </c>
      <c r="C732">
        <f t="shared" si="183"/>
        <v>20909.900000000001</v>
      </c>
      <c r="D732">
        <f t="shared" si="174"/>
        <v>17982.513999999999</v>
      </c>
      <c r="E732">
        <f t="shared" si="175"/>
        <v>20909.900000000001</v>
      </c>
      <c r="F732">
        <v>21430.04</v>
      </c>
      <c r="G732">
        <f t="shared" si="176"/>
        <v>18429.8344</v>
      </c>
      <c r="H732">
        <f t="shared" si="177"/>
        <v>21430.04</v>
      </c>
      <c r="I732">
        <f t="shared" si="184"/>
        <v>-520.13999999999942</v>
      </c>
      <c r="J732">
        <f t="shared" si="178"/>
        <v>-520.13999999999942</v>
      </c>
      <c r="K732" s="7">
        <f t="shared" si="185"/>
        <v>45967</v>
      </c>
      <c r="L732" s="7">
        <f t="shared" si="179"/>
        <v>45937</v>
      </c>
      <c r="M732">
        <f t="shared" si="180"/>
        <v>10</v>
      </c>
      <c r="N732">
        <f t="shared" si="181"/>
        <v>2025</v>
      </c>
      <c r="Q732" s="22"/>
      <c r="R732" s="22"/>
      <c r="S732" s="22">
        <f t="shared" si="186"/>
        <v>0</v>
      </c>
      <c r="T732" s="22" t="e">
        <f t="shared" si="187"/>
        <v>#N/A</v>
      </c>
      <c r="U732" s="28">
        <v>400</v>
      </c>
      <c r="W732" s="9">
        <v>470</v>
      </c>
      <c r="X732" s="9" t="s">
        <v>29</v>
      </c>
      <c r="AF732">
        <v>778</v>
      </c>
      <c r="AG732" t="s">
        <v>29</v>
      </c>
      <c r="AH732">
        <v>5460.56</v>
      </c>
      <c r="AI732" s="7">
        <v>46006</v>
      </c>
    </row>
    <row r="733" spans="1:35">
      <c r="A733">
        <v>802</v>
      </c>
      <c r="B733" t="str">
        <f t="shared" si="182"/>
        <v>USD</v>
      </c>
      <c r="C733">
        <f t="shared" si="183"/>
        <v>0</v>
      </c>
      <c r="D733">
        <f t="shared" si="174"/>
        <v>0</v>
      </c>
      <c r="E733">
        <f t="shared" si="175"/>
        <v>0</v>
      </c>
      <c r="F733">
        <v>858.4</v>
      </c>
      <c r="G733">
        <f t="shared" si="176"/>
        <v>738.22399999999993</v>
      </c>
      <c r="H733">
        <f t="shared" si="177"/>
        <v>858.4</v>
      </c>
      <c r="I733">
        <f t="shared" si="184"/>
        <v>0</v>
      </c>
      <c r="J733">
        <f t="shared" si="178"/>
        <v>0</v>
      </c>
      <c r="K733" s="7">
        <f t="shared" si="185"/>
        <v>45954</v>
      </c>
      <c r="L733" s="7">
        <f t="shared" si="179"/>
        <v>45924</v>
      </c>
      <c r="M733">
        <f t="shared" si="180"/>
        <v>9</v>
      </c>
      <c r="N733">
        <f t="shared" si="181"/>
        <v>2025</v>
      </c>
      <c r="Q733" s="22"/>
      <c r="R733" s="22"/>
      <c r="S733" s="22">
        <f t="shared" si="186"/>
        <v>0</v>
      </c>
      <c r="T733" s="22" t="e">
        <f t="shared" si="187"/>
        <v>#N/A</v>
      </c>
      <c r="U733" s="28">
        <v>400</v>
      </c>
      <c r="W733" s="9">
        <v>470</v>
      </c>
      <c r="X733" s="9" t="s">
        <v>29</v>
      </c>
      <c r="AF733">
        <v>779</v>
      </c>
      <c r="AG733" t="s">
        <v>29</v>
      </c>
      <c r="AH733">
        <v>88656.24</v>
      </c>
      <c r="AI733" s="7">
        <v>46108</v>
      </c>
    </row>
    <row r="734" spans="1:35">
      <c r="A734">
        <v>803</v>
      </c>
      <c r="B734" t="str">
        <f t="shared" si="182"/>
        <v>MXN</v>
      </c>
      <c r="C734">
        <f t="shared" si="183"/>
        <v>0</v>
      </c>
      <c r="D734">
        <f t="shared" si="174"/>
        <v>0</v>
      </c>
      <c r="E734">
        <f t="shared" si="175"/>
        <v>0</v>
      </c>
      <c r="F734">
        <v>10075</v>
      </c>
      <c r="G734">
        <f t="shared" si="176"/>
        <v>483.6</v>
      </c>
      <c r="H734">
        <f t="shared" si="177"/>
        <v>564.20000000000005</v>
      </c>
      <c r="I734">
        <f t="shared" si="184"/>
        <v>0</v>
      </c>
      <c r="J734">
        <f t="shared" si="178"/>
        <v>0</v>
      </c>
      <c r="K734" s="7">
        <f t="shared" si="185"/>
        <v>45955</v>
      </c>
      <c r="L734" s="7">
        <f t="shared" si="179"/>
        <v>45925</v>
      </c>
      <c r="M734">
        <f t="shared" si="180"/>
        <v>9</v>
      </c>
      <c r="N734">
        <f t="shared" si="181"/>
        <v>2025</v>
      </c>
      <c r="Q734" s="22"/>
      <c r="R734" s="22"/>
      <c r="S734" s="22">
        <f t="shared" si="186"/>
        <v>0</v>
      </c>
      <c r="T734" s="22" t="e">
        <f t="shared" si="187"/>
        <v>#N/A</v>
      </c>
      <c r="U734" s="28">
        <v>400</v>
      </c>
      <c r="W734" s="9">
        <v>471</v>
      </c>
      <c r="X734" s="9" t="s">
        <v>29</v>
      </c>
      <c r="AF734">
        <v>780</v>
      </c>
      <c r="AG734" t="s">
        <v>29</v>
      </c>
      <c r="AH734">
        <v>7927.78</v>
      </c>
      <c r="AI734" s="7">
        <v>45973</v>
      </c>
    </row>
    <row r="735" spans="1:35">
      <c r="A735">
        <v>804</v>
      </c>
      <c r="B735" t="str">
        <f t="shared" si="182"/>
        <v>USD</v>
      </c>
      <c r="C735">
        <f t="shared" si="183"/>
        <v>2095.48</v>
      </c>
      <c r="D735">
        <f t="shared" si="174"/>
        <v>1802.1127999999999</v>
      </c>
      <c r="E735">
        <f t="shared" si="175"/>
        <v>2095.48</v>
      </c>
      <c r="F735">
        <v>2095.48</v>
      </c>
      <c r="G735">
        <f t="shared" si="176"/>
        <v>1802.1127999999999</v>
      </c>
      <c r="H735">
        <f t="shared" si="177"/>
        <v>2095.48</v>
      </c>
      <c r="I735">
        <f t="shared" si="184"/>
        <v>0</v>
      </c>
      <c r="J735">
        <f t="shared" si="178"/>
        <v>0</v>
      </c>
      <c r="K735" s="7">
        <f t="shared" si="185"/>
        <v>45967</v>
      </c>
      <c r="L735" s="7">
        <f t="shared" si="179"/>
        <v>45937</v>
      </c>
      <c r="M735">
        <f t="shared" si="180"/>
        <v>10</v>
      </c>
      <c r="N735">
        <f t="shared" si="181"/>
        <v>2025</v>
      </c>
      <c r="Q735" s="22"/>
      <c r="R735" s="22"/>
      <c r="S735" s="22">
        <f t="shared" si="186"/>
        <v>0</v>
      </c>
      <c r="T735" s="22" t="e">
        <f t="shared" si="187"/>
        <v>#N/A</v>
      </c>
      <c r="U735" s="28">
        <v>400</v>
      </c>
      <c r="W735" s="9">
        <v>471</v>
      </c>
      <c r="X735" s="9" t="s">
        <v>29</v>
      </c>
      <c r="AF735">
        <v>781</v>
      </c>
      <c r="AG735" t="s">
        <v>29</v>
      </c>
      <c r="AH735">
        <v>8424</v>
      </c>
      <c r="AI735" s="7">
        <v>45925</v>
      </c>
    </row>
    <row r="736" spans="1:35">
      <c r="A736">
        <v>805</v>
      </c>
      <c r="B736" t="str">
        <f t="shared" si="182"/>
        <v>USD</v>
      </c>
      <c r="C736">
        <f t="shared" si="183"/>
        <v>0</v>
      </c>
      <c r="D736">
        <f t="shared" si="174"/>
        <v>0</v>
      </c>
      <c r="E736">
        <f t="shared" si="175"/>
        <v>0</v>
      </c>
      <c r="F736">
        <v>1238.3</v>
      </c>
      <c r="G736">
        <f t="shared" si="176"/>
        <v>1064.9379999999999</v>
      </c>
      <c r="H736">
        <f t="shared" si="177"/>
        <v>1238.3</v>
      </c>
      <c r="I736">
        <f t="shared" si="184"/>
        <v>0</v>
      </c>
      <c r="J736">
        <f t="shared" si="178"/>
        <v>0</v>
      </c>
      <c r="K736" s="7">
        <f t="shared" si="185"/>
        <v>45926</v>
      </c>
      <c r="L736" s="7">
        <f t="shared" si="179"/>
        <v>45896</v>
      </c>
      <c r="M736">
        <f t="shared" si="180"/>
        <v>8</v>
      </c>
      <c r="N736">
        <f t="shared" si="181"/>
        <v>2025</v>
      </c>
      <c r="Q736" s="22"/>
      <c r="R736" s="22"/>
      <c r="S736" s="22">
        <f t="shared" si="186"/>
        <v>0</v>
      </c>
      <c r="T736" s="22" t="e">
        <f t="shared" si="187"/>
        <v>#N/A</v>
      </c>
      <c r="U736" s="28">
        <v>400</v>
      </c>
      <c r="W736" s="9">
        <v>471</v>
      </c>
      <c r="X736" s="9" t="s">
        <v>29</v>
      </c>
      <c r="AF736">
        <v>782</v>
      </c>
      <c r="AG736" t="s">
        <v>29</v>
      </c>
      <c r="AH736">
        <v>36643.24</v>
      </c>
      <c r="AI736" s="7">
        <v>46015</v>
      </c>
    </row>
    <row r="737" spans="1:35">
      <c r="A737">
        <v>806</v>
      </c>
      <c r="B737" t="str">
        <f t="shared" si="182"/>
        <v>USD</v>
      </c>
      <c r="C737">
        <f t="shared" si="183"/>
        <v>0</v>
      </c>
      <c r="D737">
        <f t="shared" si="174"/>
        <v>0</v>
      </c>
      <c r="E737">
        <f t="shared" si="175"/>
        <v>0</v>
      </c>
      <c r="F737">
        <v>14262</v>
      </c>
      <c r="G737">
        <f t="shared" si="176"/>
        <v>12265.32</v>
      </c>
      <c r="H737">
        <f t="shared" si="177"/>
        <v>14262</v>
      </c>
      <c r="I737">
        <f t="shared" si="184"/>
        <v>0</v>
      </c>
      <c r="J737">
        <f t="shared" si="178"/>
        <v>0</v>
      </c>
      <c r="K737" s="7">
        <f t="shared" si="185"/>
        <v>45973</v>
      </c>
      <c r="L737" s="7">
        <f t="shared" si="179"/>
        <v>45943</v>
      </c>
      <c r="M737">
        <f t="shared" si="180"/>
        <v>10</v>
      </c>
      <c r="N737">
        <f t="shared" si="181"/>
        <v>2025</v>
      </c>
      <c r="Q737" s="22"/>
      <c r="R737" s="22"/>
      <c r="S737" s="22">
        <f t="shared" si="186"/>
        <v>0</v>
      </c>
      <c r="T737" s="22" t="e">
        <f t="shared" si="187"/>
        <v>#N/A</v>
      </c>
      <c r="U737" s="28">
        <v>400</v>
      </c>
      <c r="W737" s="9">
        <v>471</v>
      </c>
      <c r="X737" s="9" t="s">
        <v>29</v>
      </c>
      <c r="AF737">
        <v>783</v>
      </c>
      <c r="AG737" t="s">
        <v>31</v>
      </c>
      <c r="AH737">
        <v>3925</v>
      </c>
      <c r="AI737" s="7">
        <v>45968</v>
      </c>
    </row>
    <row r="738" spans="1:35">
      <c r="A738">
        <v>807</v>
      </c>
      <c r="B738" t="str">
        <f t="shared" si="182"/>
        <v>USD</v>
      </c>
      <c r="C738">
        <f t="shared" si="183"/>
        <v>146203.39000000001</v>
      </c>
      <c r="D738">
        <f t="shared" si="174"/>
        <v>125734.91540000001</v>
      </c>
      <c r="E738">
        <f t="shared" si="175"/>
        <v>146203.39000000001</v>
      </c>
      <c r="F738">
        <v>144912</v>
      </c>
      <c r="G738">
        <f t="shared" si="176"/>
        <v>124624.31999999999</v>
      </c>
      <c r="H738">
        <f t="shared" si="177"/>
        <v>144912</v>
      </c>
      <c r="I738">
        <f t="shared" si="184"/>
        <v>1291.390000000014</v>
      </c>
      <c r="J738">
        <f t="shared" si="178"/>
        <v>1291.390000000014</v>
      </c>
      <c r="K738" s="7">
        <f t="shared" si="185"/>
        <v>46005</v>
      </c>
      <c r="L738" s="7">
        <f t="shared" si="179"/>
        <v>45975</v>
      </c>
      <c r="M738">
        <f t="shared" si="180"/>
        <v>11</v>
      </c>
      <c r="N738">
        <f t="shared" si="181"/>
        <v>2025</v>
      </c>
      <c r="Q738" s="22"/>
      <c r="R738" s="22"/>
      <c r="S738" s="22">
        <f t="shared" si="186"/>
        <v>0</v>
      </c>
      <c r="T738" s="22" t="e">
        <f t="shared" si="187"/>
        <v>#N/A</v>
      </c>
      <c r="U738" s="28">
        <v>400</v>
      </c>
      <c r="W738" s="9">
        <v>472</v>
      </c>
      <c r="X738" s="9" t="s">
        <v>29</v>
      </c>
      <c r="AF738">
        <v>784</v>
      </c>
      <c r="AG738" t="s">
        <v>27</v>
      </c>
      <c r="AH738">
        <v>1483.59</v>
      </c>
      <c r="AI738" s="7">
        <v>45953</v>
      </c>
    </row>
    <row r="739" spans="1:35">
      <c r="A739">
        <v>808</v>
      </c>
      <c r="B739" t="str">
        <f t="shared" si="182"/>
        <v>EUR</v>
      </c>
      <c r="C739">
        <f t="shared" si="183"/>
        <v>37860.379999999997</v>
      </c>
      <c r="D739">
        <f t="shared" si="174"/>
        <v>37860.379999999997</v>
      </c>
      <c r="E739">
        <f t="shared" si="175"/>
        <v>43918.040799999995</v>
      </c>
      <c r="F739">
        <v>37860.379999999997</v>
      </c>
      <c r="G739">
        <f t="shared" si="176"/>
        <v>37860.379999999997</v>
      </c>
      <c r="H739">
        <f t="shared" si="177"/>
        <v>43918.040799999995</v>
      </c>
      <c r="I739">
        <f t="shared" si="184"/>
        <v>0</v>
      </c>
      <c r="J739">
        <f t="shared" si="178"/>
        <v>0</v>
      </c>
      <c r="K739" s="7">
        <f t="shared" si="185"/>
        <v>46008</v>
      </c>
      <c r="L739" s="7">
        <f t="shared" si="179"/>
        <v>45978</v>
      </c>
      <c r="M739">
        <f t="shared" si="180"/>
        <v>11</v>
      </c>
      <c r="N739">
        <f t="shared" si="181"/>
        <v>2025</v>
      </c>
      <c r="Q739" s="22"/>
      <c r="R739" s="22"/>
      <c r="S739" s="22">
        <f t="shared" si="186"/>
        <v>0</v>
      </c>
      <c r="T739" s="22" t="e">
        <f t="shared" si="187"/>
        <v>#N/A</v>
      </c>
      <c r="U739" s="28">
        <v>400</v>
      </c>
      <c r="W739" s="9">
        <v>472</v>
      </c>
      <c r="X739" s="9" t="s">
        <v>29</v>
      </c>
      <c r="AF739">
        <v>785</v>
      </c>
      <c r="AG739" t="s">
        <v>29</v>
      </c>
      <c r="AH739">
        <v>21730</v>
      </c>
      <c r="AI739" s="7">
        <v>45947</v>
      </c>
    </row>
    <row r="740" spans="1:35">
      <c r="A740">
        <v>809</v>
      </c>
      <c r="B740" t="str">
        <f t="shared" si="182"/>
        <v>MXN</v>
      </c>
      <c r="C740">
        <f t="shared" si="183"/>
        <v>174469</v>
      </c>
      <c r="D740">
        <f t="shared" si="174"/>
        <v>8374.5120000000006</v>
      </c>
      <c r="E740">
        <f t="shared" si="175"/>
        <v>9770.264000000001</v>
      </c>
      <c r="F740">
        <v>174469</v>
      </c>
      <c r="G740">
        <f t="shared" si="176"/>
        <v>8374.5120000000006</v>
      </c>
      <c r="H740">
        <f t="shared" si="177"/>
        <v>9770.264000000001</v>
      </c>
      <c r="I740">
        <f t="shared" si="184"/>
        <v>0</v>
      </c>
      <c r="J740">
        <f t="shared" si="178"/>
        <v>0</v>
      </c>
      <c r="K740" s="7">
        <f t="shared" si="185"/>
        <v>46065</v>
      </c>
      <c r="L740" s="7">
        <f t="shared" si="179"/>
        <v>46035</v>
      </c>
      <c r="M740">
        <f t="shared" si="180"/>
        <v>1</v>
      </c>
      <c r="N740">
        <f t="shared" si="181"/>
        <v>2026</v>
      </c>
      <c r="Q740" s="22"/>
      <c r="R740" s="22"/>
      <c r="S740" s="22">
        <f t="shared" si="186"/>
        <v>0</v>
      </c>
      <c r="T740" s="22" t="e">
        <f t="shared" si="187"/>
        <v>#N/A</v>
      </c>
      <c r="U740" s="28">
        <v>400</v>
      </c>
      <c r="W740" s="9">
        <v>473</v>
      </c>
      <c r="X740" s="9" t="s">
        <v>27</v>
      </c>
      <c r="AF740">
        <v>786</v>
      </c>
      <c r="AG740" t="s">
        <v>27</v>
      </c>
      <c r="AH740">
        <v>59242.29</v>
      </c>
      <c r="AI740" s="7">
        <v>45982</v>
      </c>
    </row>
    <row r="741" spans="1:35">
      <c r="A741">
        <v>810</v>
      </c>
      <c r="B741" t="str">
        <f t="shared" si="182"/>
        <v>USD</v>
      </c>
      <c r="C741">
        <f t="shared" si="183"/>
        <v>4646</v>
      </c>
      <c r="D741">
        <f t="shared" si="174"/>
        <v>3995.56</v>
      </c>
      <c r="E741">
        <f t="shared" si="175"/>
        <v>4646</v>
      </c>
      <c r="F741">
        <v>4646</v>
      </c>
      <c r="G741">
        <f t="shared" si="176"/>
        <v>3995.56</v>
      </c>
      <c r="H741">
        <f t="shared" si="177"/>
        <v>4646</v>
      </c>
      <c r="I741">
        <f t="shared" si="184"/>
        <v>0</v>
      </c>
      <c r="J741">
        <f t="shared" si="178"/>
        <v>0</v>
      </c>
      <c r="K741" s="7">
        <f t="shared" si="185"/>
        <v>46060</v>
      </c>
      <c r="L741" s="7">
        <f t="shared" si="179"/>
        <v>46030</v>
      </c>
      <c r="M741">
        <f t="shared" si="180"/>
        <v>1</v>
      </c>
      <c r="N741">
        <f t="shared" si="181"/>
        <v>2026</v>
      </c>
      <c r="Q741" s="22"/>
      <c r="R741" s="22"/>
      <c r="S741" s="22">
        <f t="shared" si="186"/>
        <v>0</v>
      </c>
      <c r="T741" s="22" t="e">
        <f t="shared" si="187"/>
        <v>#N/A</v>
      </c>
      <c r="U741" s="28">
        <v>400</v>
      </c>
      <c r="W741" s="9">
        <v>474</v>
      </c>
      <c r="X741" s="9" t="s">
        <v>29</v>
      </c>
      <c r="AF741">
        <v>787</v>
      </c>
      <c r="AG741" t="s">
        <v>29</v>
      </c>
      <c r="AH741">
        <v>9224.8799999999992</v>
      </c>
      <c r="AI741" s="7">
        <v>45964</v>
      </c>
    </row>
    <row r="742" spans="1:35">
      <c r="A742">
        <v>811</v>
      </c>
      <c r="B742" t="str">
        <f t="shared" si="182"/>
        <v>USD</v>
      </c>
      <c r="C742">
        <f t="shared" si="183"/>
        <v>4209.75</v>
      </c>
      <c r="D742">
        <f t="shared" si="174"/>
        <v>3620.3849999999998</v>
      </c>
      <c r="E742">
        <f t="shared" si="175"/>
        <v>4209.75</v>
      </c>
      <c r="F742">
        <v>7278.52</v>
      </c>
      <c r="G742">
        <f t="shared" si="176"/>
        <v>6259.5272000000004</v>
      </c>
      <c r="H742">
        <f t="shared" si="177"/>
        <v>7278.52</v>
      </c>
      <c r="I742">
        <f t="shared" si="184"/>
        <v>-64.25</v>
      </c>
      <c r="J742">
        <f t="shared" si="178"/>
        <v>-64.25</v>
      </c>
      <c r="K742" s="7">
        <f t="shared" si="185"/>
        <v>45975</v>
      </c>
      <c r="L742" s="7">
        <f t="shared" si="179"/>
        <v>45945</v>
      </c>
      <c r="M742">
        <f t="shared" si="180"/>
        <v>10</v>
      </c>
      <c r="N742">
        <f t="shared" si="181"/>
        <v>2025</v>
      </c>
      <c r="Q742" s="22"/>
      <c r="R742" s="22"/>
      <c r="S742" s="22">
        <f t="shared" si="186"/>
        <v>0</v>
      </c>
      <c r="T742" s="22" t="e">
        <f t="shared" si="187"/>
        <v>#N/A</v>
      </c>
      <c r="U742" s="28">
        <v>400</v>
      </c>
      <c r="W742" s="9">
        <v>478</v>
      </c>
      <c r="X742" s="9" t="s">
        <v>29</v>
      </c>
      <c r="AF742">
        <v>788</v>
      </c>
      <c r="AG742" t="s">
        <v>29</v>
      </c>
      <c r="AH742">
        <v>1750</v>
      </c>
      <c r="AI742" s="7">
        <v>45976</v>
      </c>
    </row>
    <row r="743" spans="1:35">
      <c r="A743">
        <v>812</v>
      </c>
      <c r="B743" t="str">
        <f t="shared" si="182"/>
        <v>USD</v>
      </c>
      <c r="C743">
        <f t="shared" si="183"/>
        <v>31825</v>
      </c>
      <c r="D743">
        <f t="shared" si="174"/>
        <v>27369.5</v>
      </c>
      <c r="E743">
        <f t="shared" si="175"/>
        <v>31825</v>
      </c>
      <c r="F743">
        <v>31825</v>
      </c>
      <c r="G743">
        <f t="shared" si="176"/>
        <v>27369.5</v>
      </c>
      <c r="H743">
        <f t="shared" si="177"/>
        <v>31825</v>
      </c>
      <c r="I743">
        <f t="shared" si="184"/>
        <v>0</v>
      </c>
      <c r="J743">
        <f t="shared" si="178"/>
        <v>0</v>
      </c>
      <c r="K743" s="7">
        <f t="shared" si="185"/>
        <v>45994</v>
      </c>
      <c r="L743" s="7">
        <f t="shared" si="179"/>
        <v>45964</v>
      </c>
      <c r="M743">
        <f t="shared" si="180"/>
        <v>11</v>
      </c>
      <c r="N743">
        <f t="shared" si="181"/>
        <v>2025</v>
      </c>
      <c r="Q743" s="22"/>
      <c r="R743" s="22"/>
      <c r="S743" s="22">
        <f t="shared" si="186"/>
        <v>0</v>
      </c>
      <c r="T743" s="22" t="e">
        <f t="shared" si="187"/>
        <v>#N/A</v>
      </c>
      <c r="U743" s="28">
        <v>400</v>
      </c>
      <c r="W743" s="9">
        <v>479</v>
      </c>
      <c r="X743" s="9" t="s">
        <v>29</v>
      </c>
      <c r="AF743">
        <v>789</v>
      </c>
      <c r="AG743" t="s">
        <v>27</v>
      </c>
      <c r="AH743">
        <v>63017.78</v>
      </c>
      <c r="AI743" s="7">
        <v>46116</v>
      </c>
    </row>
    <row r="744" spans="1:35">
      <c r="A744">
        <v>813</v>
      </c>
      <c r="B744" t="str">
        <f t="shared" si="182"/>
        <v>EUR</v>
      </c>
      <c r="C744">
        <f t="shared" si="183"/>
        <v>90178.33</v>
      </c>
      <c r="D744">
        <f t="shared" si="174"/>
        <v>90178.33</v>
      </c>
      <c r="E744">
        <f t="shared" si="175"/>
        <v>104606.86279999999</v>
      </c>
      <c r="F744">
        <v>90178.33</v>
      </c>
      <c r="G744">
        <f t="shared" si="176"/>
        <v>90178.33</v>
      </c>
      <c r="H744">
        <f t="shared" si="177"/>
        <v>104606.86279999999</v>
      </c>
      <c r="I744">
        <f t="shared" si="184"/>
        <v>0</v>
      </c>
      <c r="J744">
        <f t="shared" si="178"/>
        <v>0</v>
      </c>
      <c r="K744" s="7">
        <f t="shared" si="185"/>
        <v>46005</v>
      </c>
      <c r="L744" s="7">
        <f t="shared" si="179"/>
        <v>45975</v>
      </c>
      <c r="M744">
        <f t="shared" si="180"/>
        <v>11</v>
      </c>
      <c r="N744">
        <f t="shared" si="181"/>
        <v>2025</v>
      </c>
      <c r="Q744" s="22"/>
      <c r="R744" s="22"/>
      <c r="S744" s="22">
        <f t="shared" si="186"/>
        <v>0</v>
      </c>
      <c r="T744" s="22" t="e">
        <f t="shared" si="187"/>
        <v>#N/A</v>
      </c>
      <c r="U744" s="28">
        <v>400</v>
      </c>
      <c r="W744" s="9">
        <v>480</v>
      </c>
      <c r="X744" s="9" t="s">
        <v>29</v>
      </c>
      <c r="AF744">
        <v>790</v>
      </c>
      <c r="AG744" t="s">
        <v>29</v>
      </c>
      <c r="AH744">
        <v>16376.31</v>
      </c>
      <c r="AI744" s="7">
        <v>46013</v>
      </c>
    </row>
    <row r="745" spans="1:35">
      <c r="A745">
        <v>814</v>
      </c>
      <c r="B745" t="str">
        <f t="shared" si="182"/>
        <v>EUR</v>
      </c>
      <c r="C745">
        <f t="shared" si="183"/>
        <v>11644.64</v>
      </c>
      <c r="D745">
        <f t="shared" si="174"/>
        <v>11644.64</v>
      </c>
      <c r="E745">
        <f t="shared" si="175"/>
        <v>13507.782399999998</v>
      </c>
      <c r="F745">
        <v>3479</v>
      </c>
      <c r="G745">
        <f t="shared" si="176"/>
        <v>3479</v>
      </c>
      <c r="H745">
        <f t="shared" si="177"/>
        <v>4035.64</v>
      </c>
      <c r="I745">
        <f t="shared" si="184"/>
        <v>8165.6399999999994</v>
      </c>
      <c r="J745">
        <f t="shared" si="178"/>
        <v>9472.1423999999988</v>
      </c>
      <c r="K745" s="7">
        <f t="shared" si="185"/>
        <v>46140</v>
      </c>
      <c r="L745" s="7">
        <f t="shared" si="179"/>
        <v>46110</v>
      </c>
      <c r="M745">
        <f t="shared" si="180"/>
        <v>3</v>
      </c>
      <c r="N745">
        <f t="shared" si="181"/>
        <v>2026</v>
      </c>
      <c r="Q745" s="22"/>
      <c r="R745" s="22"/>
      <c r="S745" s="22">
        <f t="shared" si="186"/>
        <v>0</v>
      </c>
      <c r="T745" s="22" t="e">
        <f t="shared" si="187"/>
        <v>#N/A</v>
      </c>
      <c r="U745" s="28">
        <v>400</v>
      </c>
      <c r="W745" s="9">
        <v>481</v>
      </c>
      <c r="X745" s="9" t="s">
        <v>29</v>
      </c>
      <c r="AF745">
        <v>791</v>
      </c>
      <c r="AG745" t="s">
        <v>27</v>
      </c>
      <c r="AH745">
        <v>2042.72</v>
      </c>
      <c r="AI745" s="7">
        <v>45957</v>
      </c>
    </row>
    <row r="746" spans="1:35">
      <c r="A746">
        <v>815</v>
      </c>
      <c r="B746" t="str">
        <f t="shared" si="182"/>
        <v>MXN</v>
      </c>
      <c r="C746">
        <f t="shared" si="183"/>
        <v>253098.2</v>
      </c>
      <c r="D746">
        <f t="shared" si="174"/>
        <v>12148.713600000001</v>
      </c>
      <c r="E746">
        <f t="shared" si="175"/>
        <v>14173.4992</v>
      </c>
      <c r="F746">
        <v>253098.2</v>
      </c>
      <c r="G746">
        <f t="shared" si="176"/>
        <v>12148.713600000001</v>
      </c>
      <c r="H746">
        <f t="shared" si="177"/>
        <v>14173.4992</v>
      </c>
      <c r="I746">
        <f t="shared" si="184"/>
        <v>0</v>
      </c>
      <c r="J746">
        <f t="shared" si="178"/>
        <v>0</v>
      </c>
      <c r="K746" s="7">
        <f t="shared" si="185"/>
        <v>46007</v>
      </c>
      <c r="L746" s="7">
        <f t="shared" si="179"/>
        <v>45977</v>
      </c>
      <c r="M746">
        <f t="shared" si="180"/>
        <v>11</v>
      </c>
      <c r="N746">
        <f t="shared" si="181"/>
        <v>2025</v>
      </c>
      <c r="Q746" s="22"/>
      <c r="R746" s="22"/>
      <c r="S746" s="22">
        <f t="shared" si="186"/>
        <v>0</v>
      </c>
      <c r="T746" s="22" t="e">
        <f t="shared" si="187"/>
        <v>#N/A</v>
      </c>
      <c r="U746" s="28">
        <v>400</v>
      </c>
      <c r="W746" s="9">
        <v>482</v>
      </c>
      <c r="X746" s="9" t="s">
        <v>27</v>
      </c>
      <c r="AF746">
        <v>792</v>
      </c>
      <c r="AG746" t="s">
        <v>31</v>
      </c>
      <c r="AH746">
        <v>930</v>
      </c>
      <c r="AI746" s="7">
        <v>45952</v>
      </c>
    </row>
    <row r="747" spans="1:35">
      <c r="A747">
        <v>817</v>
      </c>
      <c r="B747" t="str">
        <f t="shared" si="182"/>
        <v>USD</v>
      </c>
      <c r="C747">
        <f t="shared" si="183"/>
        <v>871.27</v>
      </c>
      <c r="D747">
        <f t="shared" si="174"/>
        <v>749.29219999999998</v>
      </c>
      <c r="E747">
        <f t="shared" si="175"/>
        <v>871.27</v>
      </c>
      <c r="F747">
        <v>871.27</v>
      </c>
      <c r="G747">
        <f t="shared" si="176"/>
        <v>749.29219999999998</v>
      </c>
      <c r="H747">
        <f t="shared" si="177"/>
        <v>871.27</v>
      </c>
      <c r="I747">
        <f t="shared" si="184"/>
        <v>0</v>
      </c>
      <c r="J747">
        <f t="shared" si="178"/>
        <v>0</v>
      </c>
      <c r="K747" s="7">
        <f t="shared" si="185"/>
        <v>45987</v>
      </c>
      <c r="L747" s="7">
        <f t="shared" si="179"/>
        <v>45957</v>
      </c>
      <c r="M747">
        <f t="shared" si="180"/>
        <v>10</v>
      </c>
      <c r="N747">
        <f t="shared" si="181"/>
        <v>2025</v>
      </c>
      <c r="Q747" s="22"/>
      <c r="R747" s="22"/>
      <c r="S747" s="22">
        <f t="shared" si="186"/>
        <v>0</v>
      </c>
      <c r="T747" s="22" t="e">
        <f t="shared" si="187"/>
        <v>#N/A</v>
      </c>
      <c r="U747" s="28">
        <v>400</v>
      </c>
      <c r="W747" s="9">
        <v>482</v>
      </c>
      <c r="X747" s="9" t="s">
        <v>27</v>
      </c>
      <c r="AF747">
        <v>793</v>
      </c>
      <c r="AG747" t="s">
        <v>27</v>
      </c>
      <c r="AH747">
        <v>4474</v>
      </c>
      <c r="AI747" s="7">
        <v>46140</v>
      </c>
    </row>
    <row r="748" spans="1:35">
      <c r="A748">
        <v>818</v>
      </c>
      <c r="B748" t="str">
        <f t="shared" si="182"/>
        <v>USD</v>
      </c>
      <c r="C748">
        <f t="shared" si="183"/>
        <v>18497</v>
      </c>
      <c r="D748">
        <f t="shared" si="174"/>
        <v>15907.42</v>
      </c>
      <c r="E748">
        <f t="shared" si="175"/>
        <v>18497</v>
      </c>
      <c r="F748">
        <v>18497</v>
      </c>
      <c r="G748">
        <f t="shared" si="176"/>
        <v>15907.42</v>
      </c>
      <c r="H748">
        <f t="shared" si="177"/>
        <v>18497</v>
      </c>
      <c r="I748">
        <f t="shared" si="184"/>
        <v>0</v>
      </c>
      <c r="J748">
        <f t="shared" si="178"/>
        <v>0</v>
      </c>
      <c r="K748" s="7">
        <f t="shared" si="185"/>
        <v>45973</v>
      </c>
      <c r="L748" s="7">
        <f t="shared" si="179"/>
        <v>45943</v>
      </c>
      <c r="M748">
        <f t="shared" si="180"/>
        <v>10</v>
      </c>
      <c r="N748">
        <f t="shared" si="181"/>
        <v>2025</v>
      </c>
      <c r="Q748" s="22"/>
      <c r="R748" s="22"/>
      <c r="S748" s="22">
        <f t="shared" si="186"/>
        <v>0</v>
      </c>
      <c r="T748" s="22" t="e">
        <f t="shared" si="187"/>
        <v>#N/A</v>
      </c>
      <c r="U748" s="28">
        <v>400</v>
      </c>
      <c r="W748" s="9">
        <v>482</v>
      </c>
      <c r="X748" s="9" t="s">
        <v>27</v>
      </c>
      <c r="AF748">
        <v>794</v>
      </c>
      <c r="AG748" t="s">
        <v>29</v>
      </c>
      <c r="AH748">
        <v>17199.310000000001</v>
      </c>
      <c r="AI748" s="7">
        <v>46027</v>
      </c>
    </row>
    <row r="749" spans="1:35">
      <c r="A749">
        <v>819</v>
      </c>
      <c r="B749" t="str">
        <f t="shared" si="182"/>
        <v>USD</v>
      </c>
      <c r="C749">
        <f t="shared" si="183"/>
        <v>540.35999999999967</v>
      </c>
      <c r="D749">
        <f t="shared" si="174"/>
        <v>464.70959999999974</v>
      </c>
      <c r="E749">
        <f t="shared" si="175"/>
        <v>540.35999999999967</v>
      </c>
      <c r="F749">
        <v>2840.61</v>
      </c>
      <c r="G749">
        <f t="shared" si="176"/>
        <v>2442.9246000000003</v>
      </c>
      <c r="H749">
        <f t="shared" si="177"/>
        <v>2840.61</v>
      </c>
      <c r="I749">
        <f t="shared" si="184"/>
        <v>470.35999999999967</v>
      </c>
      <c r="J749">
        <f t="shared" si="178"/>
        <v>470.35999999999967</v>
      </c>
      <c r="K749" s="7">
        <f t="shared" si="185"/>
        <v>45970</v>
      </c>
      <c r="L749" s="7">
        <f t="shared" si="179"/>
        <v>45940</v>
      </c>
      <c r="M749">
        <f t="shared" si="180"/>
        <v>10</v>
      </c>
      <c r="N749">
        <f t="shared" si="181"/>
        <v>2025</v>
      </c>
      <c r="Q749" s="22"/>
      <c r="R749" s="22"/>
      <c r="S749" s="22">
        <f t="shared" si="186"/>
        <v>0</v>
      </c>
      <c r="T749" s="22" t="e">
        <f t="shared" si="187"/>
        <v>#N/A</v>
      </c>
      <c r="U749" s="28">
        <v>400</v>
      </c>
      <c r="W749" s="9">
        <v>483</v>
      </c>
      <c r="X749" s="9" t="s">
        <v>32</v>
      </c>
      <c r="AF749">
        <v>795</v>
      </c>
      <c r="AG749" t="s">
        <v>29</v>
      </c>
      <c r="AH749">
        <v>11980.26</v>
      </c>
      <c r="AI749" s="7">
        <v>45958</v>
      </c>
    </row>
    <row r="750" spans="1:35">
      <c r="A750">
        <v>820</v>
      </c>
      <c r="B750" t="str">
        <f t="shared" si="182"/>
        <v>MXN</v>
      </c>
      <c r="C750">
        <f t="shared" si="183"/>
        <v>5044</v>
      </c>
      <c r="D750">
        <f t="shared" si="174"/>
        <v>242.11199999999999</v>
      </c>
      <c r="E750">
        <f t="shared" si="175"/>
        <v>282.464</v>
      </c>
      <c r="F750">
        <v>22963</v>
      </c>
      <c r="G750">
        <f t="shared" si="176"/>
        <v>1102.2239999999999</v>
      </c>
      <c r="H750">
        <f t="shared" si="177"/>
        <v>1285.9280000000001</v>
      </c>
      <c r="I750">
        <f t="shared" si="184"/>
        <v>0</v>
      </c>
      <c r="J750">
        <f t="shared" si="178"/>
        <v>0</v>
      </c>
      <c r="K750" s="7">
        <f t="shared" si="185"/>
        <v>46001</v>
      </c>
      <c r="L750" s="7">
        <f t="shared" si="179"/>
        <v>45971</v>
      </c>
      <c r="M750">
        <f t="shared" si="180"/>
        <v>11</v>
      </c>
      <c r="N750">
        <f t="shared" si="181"/>
        <v>2025</v>
      </c>
      <c r="Q750" s="22"/>
      <c r="R750" s="22"/>
      <c r="S750" s="22">
        <f t="shared" si="186"/>
        <v>0</v>
      </c>
      <c r="T750" s="22" t="e">
        <f t="shared" si="187"/>
        <v>#N/A</v>
      </c>
      <c r="U750" s="28">
        <v>400</v>
      </c>
      <c r="W750" s="9">
        <v>484</v>
      </c>
      <c r="X750" s="9" t="s">
        <v>29</v>
      </c>
      <c r="AF750">
        <v>796</v>
      </c>
      <c r="AG750" t="s">
        <v>27</v>
      </c>
      <c r="AH750">
        <v>40526</v>
      </c>
      <c r="AI750" s="7">
        <v>46441</v>
      </c>
    </row>
    <row r="751" spans="1:35">
      <c r="A751">
        <v>821</v>
      </c>
      <c r="B751" t="str">
        <f t="shared" si="182"/>
        <v>EUR</v>
      </c>
      <c r="C751">
        <f t="shared" si="183"/>
        <v>1260</v>
      </c>
      <c r="D751">
        <f t="shared" si="174"/>
        <v>1260</v>
      </c>
      <c r="E751">
        <f t="shared" si="175"/>
        <v>1461.6</v>
      </c>
      <c r="F751">
        <v>1702</v>
      </c>
      <c r="G751">
        <f t="shared" si="176"/>
        <v>1702</v>
      </c>
      <c r="H751">
        <f t="shared" si="177"/>
        <v>1974.32</v>
      </c>
      <c r="I751">
        <f t="shared" si="184"/>
        <v>0</v>
      </c>
      <c r="J751">
        <f t="shared" si="178"/>
        <v>0</v>
      </c>
      <c r="K751" s="7">
        <f t="shared" si="185"/>
        <v>45972</v>
      </c>
      <c r="L751" s="7">
        <f t="shared" si="179"/>
        <v>45942</v>
      </c>
      <c r="M751">
        <f t="shared" si="180"/>
        <v>10</v>
      </c>
      <c r="N751">
        <f t="shared" si="181"/>
        <v>2025</v>
      </c>
      <c r="Q751" s="22"/>
      <c r="R751" s="22"/>
      <c r="S751" s="22">
        <f t="shared" si="186"/>
        <v>0</v>
      </c>
      <c r="T751" s="22" t="e">
        <f t="shared" si="187"/>
        <v>#N/A</v>
      </c>
      <c r="U751" s="28">
        <v>400</v>
      </c>
      <c r="W751" s="9">
        <v>484</v>
      </c>
      <c r="X751" s="9" t="s">
        <v>29</v>
      </c>
      <c r="AF751">
        <v>797</v>
      </c>
      <c r="AG751" t="s">
        <v>29</v>
      </c>
      <c r="AH751">
        <v>2383.44</v>
      </c>
      <c r="AI751" s="7">
        <v>45972</v>
      </c>
    </row>
    <row r="752" spans="1:35">
      <c r="A752">
        <v>822</v>
      </c>
      <c r="B752" t="str">
        <f t="shared" si="182"/>
        <v>USD</v>
      </c>
      <c r="C752">
        <f t="shared" si="183"/>
        <v>10649.6</v>
      </c>
      <c r="D752">
        <f t="shared" si="174"/>
        <v>9158.6560000000009</v>
      </c>
      <c r="E752">
        <f t="shared" si="175"/>
        <v>10649.6</v>
      </c>
      <c r="F752">
        <v>10649.6</v>
      </c>
      <c r="G752">
        <f t="shared" si="176"/>
        <v>9158.6560000000009</v>
      </c>
      <c r="H752">
        <f t="shared" si="177"/>
        <v>10649.6</v>
      </c>
      <c r="I752">
        <f t="shared" si="184"/>
        <v>0</v>
      </c>
      <c r="J752">
        <f t="shared" si="178"/>
        <v>0</v>
      </c>
      <c r="K752" s="7">
        <f t="shared" si="185"/>
        <v>45973</v>
      </c>
      <c r="L752" s="7">
        <f t="shared" si="179"/>
        <v>45943</v>
      </c>
      <c r="M752">
        <f t="shared" si="180"/>
        <v>10</v>
      </c>
      <c r="N752">
        <f t="shared" si="181"/>
        <v>2025</v>
      </c>
      <c r="Q752" s="22"/>
      <c r="R752" s="22"/>
      <c r="S752" s="22">
        <f t="shared" si="186"/>
        <v>0</v>
      </c>
      <c r="T752" s="22" t="e">
        <f t="shared" si="187"/>
        <v>#N/A</v>
      </c>
      <c r="U752" s="28">
        <v>400</v>
      </c>
      <c r="W752" s="9">
        <v>484</v>
      </c>
      <c r="X752" s="9" t="s">
        <v>29</v>
      </c>
      <c r="AF752">
        <v>798</v>
      </c>
      <c r="AG752" t="s">
        <v>29</v>
      </c>
      <c r="AH752">
        <v>5300</v>
      </c>
      <c r="AI752" s="7">
        <v>45994</v>
      </c>
    </row>
    <row r="753" spans="1:35">
      <c r="A753">
        <v>823</v>
      </c>
      <c r="B753" t="str">
        <f t="shared" si="182"/>
        <v>GBP</v>
      </c>
      <c r="C753">
        <f t="shared" si="183"/>
        <v>42367.85</v>
      </c>
      <c r="D753">
        <f t="shared" si="174"/>
        <v>48723.027499999997</v>
      </c>
      <c r="E753">
        <f t="shared" si="175"/>
        <v>56772.919000000002</v>
      </c>
      <c r="F753">
        <v>42367.58</v>
      </c>
      <c r="G753">
        <f t="shared" si="176"/>
        <v>48722.716999999997</v>
      </c>
      <c r="H753">
        <f t="shared" si="177"/>
        <v>56772.557200000003</v>
      </c>
      <c r="I753">
        <f t="shared" si="184"/>
        <v>0.26999999999679858</v>
      </c>
      <c r="J753">
        <f t="shared" si="178"/>
        <v>0.36179999999571011</v>
      </c>
      <c r="K753" s="7">
        <f t="shared" si="185"/>
        <v>46210</v>
      </c>
      <c r="L753" s="7">
        <f t="shared" si="179"/>
        <v>46180</v>
      </c>
      <c r="M753">
        <f t="shared" si="180"/>
        <v>6</v>
      </c>
      <c r="N753">
        <f t="shared" si="181"/>
        <v>2026</v>
      </c>
      <c r="Q753" s="22"/>
      <c r="R753" s="22"/>
      <c r="S753" s="22">
        <f t="shared" si="186"/>
        <v>0</v>
      </c>
      <c r="T753" s="22" t="e">
        <f t="shared" si="187"/>
        <v>#N/A</v>
      </c>
      <c r="U753" s="28">
        <v>400</v>
      </c>
      <c r="W753" s="9">
        <v>486</v>
      </c>
      <c r="X753" s="9" t="s">
        <v>27</v>
      </c>
      <c r="AF753">
        <v>799</v>
      </c>
      <c r="AG753" t="s">
        <v>33</v>
      </c>
      <c r="AH753">
        <v>2233369</v>
      </c>
      <c r="AI753" s="7">
        <v>46018</v>
      </c>
    </row>
    <row r="754" spans="1:35">
      <c r="A754">
        <v>824</v>
      </c>
      <c r="B754" t="str">
        <f t="shared" si="182"/>
        <v>MXN</v>
      </c>
      <c r="C754">
        <f t="shared" si="183"/>
        <v>3298.75</v>
      </c>
      <c r="D754">
        <f t="shared" si="174"/>
        <v>158.34</v>
      </c>
      <c r="E754">
        <f t="shared" si="175"/>
        <v>184.73</v>
      </c>
      <c r="F754">
        <v>110875.75</v>
      </c>
      <c r="G754">
        <f t="shared" si="176"/>
        <v>5322.0360000000001</v>
      </c>
      <c r="H754">
        <f t="shared" si="177"/>
        <v>6209.0420000000004</v>
      </c>
      <c r="I754">
        <f t="shared" si="184"/>
        <v>0</v>
      </c>
      <c r="J754">
        <f t="shared" si="178"/>
        <v>0</v>
      </c>
      <c r="K754" s="7">
        <f t="shared" si="185"/>
        <v>45981</v>
      </c>
      <c r="L754" s="7">
        <f t="shared" si="179"/>
        <v>45951</v>
      </c>
      <c r="M754">
        <f t="shared" si="180"/>
        <v>10</v>
      </c>
      <c r="N754">
        <f t="shared" si="181"/>
        <v>2025</v>
      </c>
      <c r="Q754" s="22"/>
      <c r="R754" s="22"/>
      <c r="S754" s="22">
        <f t="shared" si="186"/>
        <v>0</v>
      </c>
      <c r="T754" s="22" t="e">
        <f t="shared" si="187"/>
        <v>#N/A</v>
      </c>
      <c r="U754" s="28">
        <v>400</v>
      </c>
      <c r="W754" s="9">
        <v>486</v>
      </c>
      <c r="X754" s="9" t="s">
        <v>27</v>
      </c>
      <c r="AF754">
        <v>800</v>
      </c>
      <c r="AG754" t="s">
        <v>29</v>
      </c>
      <c r="AH754">
        <v>20909.900000000001</v>
      </c>
      <c r="AI754" s="7">
        <v>45967</v>
      </c>
    </row>
    <row r="755" spans="1:35">
      <c r="A755">
        <v>826</v>
      </c>
      <c r="B755" t="str">
        <f t="shared" si="182"/>
        <v>EUR</v>
      </c>
      <c r="C755">
        <f t="shared" si="183"/>
        <v>10010</v>
      </c>
      <c r="D755">
        <f t="shared" si="174"/>
        <v>10010</v>
      </c>
      <c r="E755">
        <f t="shared" si="175"/>
        <v>11611.599999999999</v>
      </c>
      <c r="F755">
        <v>9814.7999999999993</v>
      </c>
      <c r="G755">
        <f t="shared" si="176"/>
        <v>9814.7999999999993</v>
      </c>
      <c r="H755">
        <f t="shared" si="177"/>
        <v>11385.167999999998</v>
      </c>
      <c r="I755">
        <f t="shared" si="184"/>
        <v>195.20000000000073</v>
      </c>
      <c r="J755">
        <f t="shared" si="178"/>
        <v>226.43200000000084</v>
      </c>
      <c r="K755" s="7">
        <f t="shared" si="185"/>
        <v>46091</v>
      </c>
      <c r="L755" s="7">
        <f t="shared" si="179"/>
        <v>46061</v>
      </c>
      <c r="M755">
        <f t="shared" si="180"/>
        <v>2</v>
      </c>
      <c r="N755">
        <f t="shared" si="181"/>
        <v>2026</v>
      </c>
      <c r="Q755" s="22"/>
      <c r="R755" s="22"/>
      <c r="S755" s="22">
        <f t="shared" si="186"/>
        <v>0</v>
      </c>
      <c r="T755" s="22" t="e">
        <f t="shared" si="187"/>
        <v>#N/A</v>
      </c>
      <c r="U755" s="28">
        <v>400</v>
      </c>
      <c r="W755" s="9">
        <v>486</v>
      </c>
      <c r="X755" s="9" t="s">
        <v>27</v>
      </c>
      <c r="AF755">
        <v>802</v>
      </c>
      <c r="AG755" t="s">
        <v>29</v>
      </c>
      <c r="AH755">
        <v>858.4</v>
      </c>
      <c r="AI755" s="7">
        <v>45954</v>
      </c>
    </row>
    <row r="756" spans="1:35">
      <c r="A756">
        <v>827</v>
      </c>
      <c r="B756" t="str">
        <f t="shared" si="182"/>
        <v>USD</v>
      </c>
      <c r="C756">
        <f t="shared" si="183"/>
        <v>7090.71</v>
      </c>
      <c r="D756">
        <f t="shared" si="174"/>
        <v>6098.0105999999996</v>
      </c>
      <c r="E756">
        <f t="shared" si="175"/>
        <v>7090.71</v>
      </c>
      <c r="F756">
        <v>7090.71</v>
      </c>
      <c r="G756">
        <f t="shared" si="176"/>
        <v>6098.0105999999996</v>
      </c>
      <c r="H756">
        <f t="shared" si="177"/>
        <v>7090.71</v>
      </c>
      <c r="I756">
        <f t="shared" si="184"/>
        <v>0</v>
      </c>
      <c r="J756">
        <f t="shared" si="178"/>
        <v>0</v>
      </c>
      <c r="K756" s="7">
        <f t="shared" si="185"/>
        <v>45969</v>
      </c>
      <c r="L756" s="7">
        <f t="shared" si="179"/>
        <v>45939</v>
      </c>
      <c r="M756">
        <f t="shared" si="180"/>
        <v>10</v>
      </c>
      <c r="N756">
        <f t="shared" si="181"/>
        <v>2025</v>
      </c>
      <c r="Q756" s="22"/>
      <c r="R756" s="22"/>
      <c r="S756" s="22">
        <f t="shared" si="186"/>
        <v>0</v>
      </c>
      <c r="T756" s="22" t="e">
        <f t="shared" si="187"/>
        <v>#N/A</v>
      </c>
      <c r="U756" s="28">
        <v>400</v>
      </c>
      <c r="W756" s="9">
        <v>486</v>
      </c>
      <c r="X756" s="9" t="s">
        <v>27</v>
      </c>
      <c r="AF756">
        <v>803</v>
      </c>
      <c r="AG756" t="s">
        <v>28</v>
      </c>
      <c r="AH756">
        <v>10075</v>
      </c>
      <c r="AI756" s="7">
        <v>45955</v>
      </c>
    </row>
    <row r="757" spans="1:35">
      <c r="A757">
        <v>828</v>
      </c>
      <c r="B757" t="str">
        <f t="shared" si="182"/>
        <v>MXN</v>
      </c>
      <c r="C757">
        <f t="shared" si="183"/>
        <v>0</v>
      </c>
      <c r="D757">
        <f t="shared" si="174"/>
        <v>0</v>
      </c>
      <c r="E757">
        <f t="shared" si="175"/>
        <v>0</v>
      </c>
      <c r="F757">
        <v>124392</v>
      </c>
      <c r="G757">
        <f t="shared" si="176"/>
        <v>5970.8159999999998</v>
      </c>
      <c r="H757">
        <f t="shared" si="177"/>
        <v>6965.9520000000002</v>
      </c>
      <c r="I757">
        <f t="shared" si="184"/>
        <v>0</v>
      </c>
      <c r="J757">
        <f t="shared" si="178"/>
        <v>0</v>
      </c>
      <c r="K757" s="7">
        <f t="shared" si="185"/>
        <v>46011</v>
      </c>
      <c r="L757" s="7">
        <f t="shared" si="179"/>
        <v>45981</v>
      </c>
      <c r="M757">
        <f t="shared" si="180"/>
        <v>11</v>
      </c>
      <c r="N757">
        <f t="shared" si="181"/>
        <v>2025</v>
      </c>
      <c r="Q757" s="22"/>
      <c r="R757" s="22"/>
      <c r="S757" s="22">
        <f t="shared" si="186"/>
        <v>0</v>
      </c>
      <c r="T757" s="22" t="e">
        <f t="shared" si="187"/>
        <v>#N/A</v>
      </c>
      <c r="U757" s="28">
        <v>400</v>
      </c>
      <c r="W757" s="9">
        <v>486</v>
      </c>
      <c r="X757" s="9" t="s">
        <v>27</v>
      </c>
      <c r="AF757">
        <v>804</v>
      </c>
      <c r="AG757" t="s">
        <v>29</v>
      </c>
      <c r="AH757">
        <v>2095.48</v>
      </c>
      <c r="AI757" s="7">
        <v>45967</v>
      </c>
    </row>
    <row r="758" spans="1:35">
      <c r="A758">
        <v>829</v>
      </c>
      <c r="B758" t="str">
        <f t="shared" si="182"/>
        <v>USD</v>
      </c>
      <c r="C758">
        <f t="shared" si="183"/>
        <v>0</v>
      </c>
      <c r="D758">
        <f t="shared" si="174"/>
        <v>0</v>
      </c>
      <c r="E758">
        <f t="shared" si="175"/>
        <v>0</v>
      </c>
      <c r="F758">
        <v>6388.26</v>
      </c>
      <c r="G758">
        <f t="shared" si="176"/>
        <v>5493.9036000000006</v>
      </c>
      <c r="H758">
        <f t="shared" si="177"/>
        <v>6388.26</v>
      </c>
      <c r="I758">
        <f t="shared" si="184"/>
        <v>0</v>
      </c>
      <c r="J758">
        <f t="shared" si="178"/>
        <v>0</v>
      </c>
      <c r="K758" s="7">
        <f t="shared" si="185"/>
        <v>45954</v>
      </c>
      <c r="L758" s="7">
        <f t="shared" si="179"/>
        <v>45924</v>
      </c>
      <c r="M758">
        <f t="shared" si="180"/>
        <v>9</v>
      </c>
      <c r="N758">
        <f t="shared" si="181"/>
        <v>2025</v>
      </c>
      <c r="Q758" s="22"/>
      <c r="R758" s="22"/>
      <c r="S758" s="22">
        <f t="shared" si="186"/>
        <v>0</v>
      </c>
      <c r="T758" s="22" t="e">
        <f t="shared" si="187"/>
        <v>#N/A</v>
      </c>
      <c r="U758" s="28">
        <v>400</v>
      </c>
      <c r="W758" s="9">
        <v>486</v>
      </c>
      <c r="X758" s="9" t="s">
        <v>27</v>
      </c>
      <c r="AF758">
        <v>805</v>
      </c>
      <c r="AG758" t="s">
        <v>29</v>
      </c>
      <c r="AH758">
        <v>1238.3</v>
      </c>
      <c r="AI758" s="7">
        <v>45926</v>
      </c>
    </row>
    <row r="759" spans="1:35">
      <c r="A759">
        <v>830</v>
      </c>
      <c r="B759" t="str">
        <f t="shared" si="182"/>
        <v>USD</v>
      </c>
      <c r="C759">
        <f t="shared" si="183"/>
        <v>94845</v>
      </c>
      <c r="D759">
        <f t="shared" si="174"/>
        <v>81566.7</v>
      </c>
      <c r="E759">
        <f t="shared" si="175"/>
        <v>94845</v>
      </c>
      <c r="F759">
        <v>117747</v>
      </c>
      <c r="G759">
        <f t="shared" si="176"/>
        <v>101262.42</v>
      </c>
      <c r="H759">
        <f t="shared" si="177"/>
        <v>117747</v>
      </c>
      <c r="I759">
        <f t="shared" si="184"/>
        <v>0</v>
      </c>
      <c r="J759">
        <f t="shared" si="178"/>
        <v>0</v>
      </c>
      <c r="K759" s="7">
        <f t="shared" si="185"/>
        <v>46015</v>
      </c>
      <c r="L759" s="7">
        <f t="shared" si="179"/>
        <v>45985</v>
      </c>
      <c r="M759">
        <f t="shared" si="180"/>
        <v>11</v>
      </c>
      <c r="N759">
        <f t="shared" si="181"/>
        <v>2025</v>
      </c>
      <c r="Q759" s="22"/>
      <c r="R759" s="22"/>
      <c r="S759" s="22">
        <f t="shared" si="186"/>
        <v>0</v>
      </c>
      <c r="T759" s="22" t="e">
        <f t="shared" si="187"/>
        <v>#N/A</v>
      </c>
      <c r="U759" s="28">
        <v>400</v>
      </c>
      <c r="W759" s="9">
        <v>487</v>
      </c>
      <c r="X759" s="9" t="s">
        <v>29</v>
      </c>
      <c r="AF759">
        <v>806</v>
      </c>
      <c r="AG759" t="s">
        <v>29</v>
      </c>
      <c r="AH759">
        <v>14262</v>
      </c>
      <c r="AI759" s="7">
        <v>45973</v>
      </c>
    </row>
    <row r="760" spans="1:35">
      <c r="A760">
        <v>831</v>
      </c>
      <c r="B760" t="str">
        <f t="shared" si="182"/>
        <v>USD</v>
      </c>
      <c r="C760">
        <f t="shared" si="183"/>
        <v>3162.11</v>
      </c>
      <c r="D760">
        <f t="shared" si="174"/>
        <v>2719.4146000000001</v>
      </c>
      <c r="E760">
        <f t="shared" si="175"/>
        <v>3162.11</v>
      </c>
      <c r="F760">
        <v>3162.11</v>
      </c>
      <c r="G760">
        <f t="shared" si="176"/>
        <v>2719.4146000000001</v>
      </c>
      <c r="H760">
        <f t="shared" si="177"/>
        <v>3162.11</v>
      </c>
      <c r="I760">
        <f t="shared" si="184"/>
        <v>0</v>
      </c>
      <c r="J760">
        <f t="shared" si="178"/>
        <v>0</v>
      </c>
      <c r="K760" s="7">
        <f t="shared" si="185"/>
        <v>46010</v>
      </c>
      <c r="L760" s="7">
        <f t="shared" si="179"/>
        <v>45980</v>
      </c>
      <c r="M760">
        <f t="shared" si="180"/>
        <v>11</v>
      </c>
      <c r="N760">
        <f t="shared" si="181"/>
        <v>2025</v>
      </c>
      <c r="Q760" s="22"/>
      <c r="R760" s="22"/>
      <c r="S760" s="22">
        <f t="shared" si="186"/>
        <v>0</v>
      </c>
      <c r="T760" s="22" t="e">
        <f t="shared" si="187"/>
        <v>#N/A</v>
      </c>
      <c r="U760" s="28">
        <v>400</v>
      </c>
      <c r="W760" s="9">
        <v>487</v>
      </c>
      <c r="X760" s="9" t="s">
        <v>29</v>
      </c>
      <c r="AF760">
        <v>807</v>
      </c>
      <c r="AG760" t="s">
        <v>29</v>
      </c>
      <c r="AH760">
        <v>146203.39000000001</v>
      </c>
      <c r="AI760" s="7">
        <v>46005</v>
      </c>
    </row>
    <row r="761" spans="1:35">
      <c r="A761">
        <v>832</v>
      </c>
      <c r="B761" t="str">
        <f t="shared" si="182"/>
        <v>USD</v>
      </c>
      <c r="C761">
        <f t="shared" si="183"/>
        <v>52873</v>
      </c>
      <c r="D761">
        <f t="shared" si="174"/>
        <v>45470.78</v>
      </c>
      <c r="E761">
        <f t="shared" si="175"/>
        <v>52873</v>
      </c>
      <c r="F761">
        <v>52873</v>
      </c>
      <c r="G761">
        <f t="shared" si="176"/>
        <v>45470.78</v>
      </c>
      <c r="H761">
        <f t="shared" si="177"/>
        <v>52873</v>
      </c>
      <c r="I761">
        <f t="shared" si="184"/>
        <v>0</v>
      </c>
      <c r="J761">
        <f t="shared" si="178"/>
        <v>0</v>
      </c>
      <c r="K761" s="7">
        <f t="shared" si="185"/>
        <v>46008</v>
      </c>
      <c r="L761" s="7">
        <f t="shared" si="179"/>
        <v>45978</v>
      </c>
      <c r="M761">
        <f t="shared" si="180"/>
        <v>11</v>
      </c>
      <c r="N761">
        <f t="shared" si="181"/>
        <v>2025</v>
      </c>
      <c r="Q761" s="22"/>
      <c r="R761" s="22"/>
      <c r="S761" s="22">
        <f t="shared" si="186"/>
        <v>0</v>
      </c>
      <c r="T761" s="22" t="e">
        <f t="shared" si="187"/>
        <v>#N/A</v>
      </c>
      <c r="U761" s="28">
        <v>400</v>
      </c>
      <c r="W761" s="9">
        <v>487</v>
      </c>
      <c r="X761" s="9" t="s">
        <v>29</v>
      </c>
      <c r="AF761">
        <v>808</v>
      </c>
      <c r="AG761" t="s">
        <v>27</v>
      </c>
      <c r="AH761">
        <v>37860.379999999997</v>
      </c>
      <c r="AI761" s="7">
        <v>46008</v>
      </c>
    </row>
    <row r="762" spans="1:35">
      <c r="A762">
        <v>833</v>
      </c>
      <c r="B762" t="str">
        <f t="shared" si="182"/>
        <v>USD</v>
      </c>
      <c r="C762">
        <f t="shared" si="183"/>
        <v>9930</v>
      </c>
      <c r="D762">
        <f t="shared" si="174"/>
        <v>8539.7999999999993</v>
      </c>
      <c r="E762">
        <f t="shared" si="175"/>
        <v>9930</v>
      </c>
      <c r="F762">
        <v>9930</v>
      </c>
      <c r="G762">
        <f t="shared" si="176"/>
        <v>8539.7999999999993</v>
      </c>
      <c r="H762">
        <f t="shared" si="177"/>
        <v>9930</v>
      </c>
      <c r="I762">
        <f t="shared" si="184"/>
        <v>0</v>
      </c>
      <c r="J762">
        <f t="shared" si="178"/>
        <v>0</v>
      </c>
      <c r="K762" s="7">
        <f t="shared" si="185"/>
        <v>45983</v>
      </c>
      <c r="L762" s="7">
        <f t="shared" si="179"/>
        <v>45953</v>
      </c>
      <c r="M762">
        <f t="shared" si="180"/>
        <v>10</v>
      </c>
      <c r="N762">
        <f t="shared" si="181"/>
        <v>2025</v>
      </c>
      <c r="Q762" s="22"/>
      <c r="R762" s="22"/>
      <c r="S762" s="22">
        <f t="shared" si="186"/>
        <v>0</v>
      </c>
      <c r="T762" s="22" t="e">
        <f t="shared" si="187"/>
        <v>#N/A</v>
      </c>
      <c r="U762" s="28">
        <v>400</v>
      </c>
      <c r="W762" s="9">
        <v>489</v>
      </c>
      <c r="X762" s="9" t="s">
        <v>29</v>
      </c>
      <c r="AF762">
        <v>809</v>
      </c>
      <c r="AG762" t="s">
        <v>28</v>
      </c>
      <c r="AH762">
        <v>174469</v>
      </c>
      <c r="AI762" s="7">
        <v>46065</v>
      </c>
    </row>
    <row r="763" spans="1:35">
      <c r="A763">
        <v>834</v>
      </c>
      <c r="B763" t="str">
        <f t="shared" si="182"/>
        <v>USD</v>
      </c>
      <c r="C763">
        <f t="shared" si="183"/>
        <v>90543.79</v>
      </c>
      <c r="D763">
        <f t="shared" si="174"/>
        <v>77867.65939999999</v>
      </c>
      <c r="E763">
        <f t="shared" si="175"/>
        <v>90543.79</v>
      </c>
      <c r="F763">
        <v>90543.79</v>
      </c>
      <c r="G763">
        <f t="shared" si="176"/>
        <v>77867.65939999999</v>
      </c>
      <c r="H763">
        <f t="shared" si="177"/>
        <v>90543.79</v>
      </c>
      <c r="I763">
        <f t="shared" si="184"/>
        <v>0</v>
      </c>
      <c r="J763">
        <f t="shared" si="178"/>
        <v>0</v>
      </c>
      <c r="K763" s="7">
        <f t="shared" si="185"/>
        <v>46008</v>
      </c>
      <c r="L763" s="7">
        <f t="shared" si="179"/>
        <v>45978</v>
      </c>
      <c r="M763">
        <f t="shared" si="180"/>
        <v>11</v>
      </c>
      <c r="N763">
        <f t="shared" si="181"/>
        <v>2025</v>
      </c>
      <c r="Q763" s="22"/>
      <c r="R763" s="22"/>
      <c r="S763" s="22">
        <f t="shared" si="186"/>
        <v>0</v>
      </c>
      <c r="T763" s="22" t="e">
        <f t="shared" si="187"/>
        <v>#N/A</v>
      </c>
      <c r="U763" s="28">
        <v>400</v>
      </c>
      <c r="W763" s="9">
        <v>489</v>
      </c>
      <c r="X763" s="9" t="s">
        <v>29</v>
      </c>
      <c r="AF763">
        <v>810</v>
      </c>
      <c r="AG763" t="s">
        <v>29</v>
      </c>
      <c r="AH763">
        <v>4646</v>
      </c>
      <c r="AI763" s="7">
        <v>46060</v>
      </c>
    </row>
    <row r="764" spans="1:35">
      <c r="A764">
        <v>835</v>
      </c>
      <c r="B764" t="str">
        <f t="shared" si="182"/>
        <v>USD</v>
      </c>
      <c r="C764">
        <f t="shared" si="183"/>
        <v>67975.100000000006</v>
      </c>
      <c r="D764">
        <f t="shared" si="174"/>
        <v>58458.586000000003</v>
      </c>
      <c r="E764">
        <f t="shared" si="175"/>
        <v>67975.100000000006</v>
      </c>
      <c r="F764">
        <v>12008</v>
      </c>
      <c r="G764">
        <f t="shared" si="176"/>
        <v>10326.879999999999</v>
      </c>
      <c r="H764">
        <f t="shared" si="177"/>
        <v>12008</v>
      </c>
      <c r="I764">
        <f t="shared" si="184"/>
        <v>55967.100000000006</v>
      </c>
      <c r="J764">
        <f t="shared" si="178"/>
        <v>55967.100000000006</v>
      </c>
      <c r="K764" s="7">
        <f t="shared" si="185"/>
        <v>46130</v>
      </c>
      <c r="L764" s="7">
        <f t="shared" si="179"/>
        <v>46100</v>
      </c>
      <c r="M764">
        <f t="shared" si="180"/>
        <v>3</v>
      </c>
      <c r="N764">
        <f t="shared" si="181"/>
        <v>2026</v>
      </c>
      <c r="Q764" s="22"/>
      <c r="R764" s="22"/>
      <c r="S764" s="22">
        <f t="shared" si="186"/>
        <v>0</v>
      </c>
      <c r="T764" s="22" t="e">
        <f t="shared" si="187"/>
        <v>#N/A</v>
      </c>
      <c r="U764" s="28">
        <v>400</v>
      </c>
      <c r="W764" s="9">
        <v>489</v>
      </c>
      <c r="X764" s="9" t="s">
        <v>29</v>
      </c>
      <c r="AF764">
        <v>811</v>
      </c>
      <c r="AG764" t="s">
        <v>29</v>
      </c>
      <c r="AH764">
        <v>7214.27</v>
      </c>
      <c r="AI764" s="7">
        <v>45975</v>
      </c>
    </row>
    <row r="765" spans="1:35">
      <c r="A765">
        <v>836</v>
      </c>
      <c r="B765" t="str">
        <f t="shared" si="182"/>
        <v>USD</v>
      </c>
      <c r="C765">
        <f t="shared" si="183"/>
        <v>100</v>
      </c>
      <c r="D765">
        <f t="shared" si="174"/>
        <v>86</v>
      </c>
      <c r="E765">
        <f t="shared" si="175"/>
        <v>100</v>
      </c>
      <c r="F765">
        <v>27115.5</v>
      </c>
      <c r="G765">
        <f t="shared" si="176"/>
        <v>23319.329999999998</v>
      </c>
      <c r="H765">
        <f t="shared" si="177"/>
        <v>27115.5</v>
      </c>
      <c r="I765">
        <f t="shared" si="184"/>
        <v>0</v>
      </c>
      <c r="J765">
        <f t="shared" si="178"/>
        <v>0</v>
      </c>
      <c r="K765" s="7">
        <f t="shared" si="185"/>
        <v>45995</v>
      </c>
      <c r="L765" s="7">
        <f t="shared" si="179"/>
        <v>45965</v>
      </c>
      <c r="M765">
        <f t="shared" si="180"/>
        <v>11</v>
      </c>
      <c r="N765">
        <f t="shared" si="181"/>
        <v>2025</v>
      </c>
      <c r="Q765" s="22"/>
      <c r="R765" s="22"/>
      <c r="S765" s="22">
        <f t="shared" si="186"/>
        <v>0</v>
      </c>
      <c r="T765" s="22" t="e">
        <f t="shared" si="187"/>
        <v>#N/A</v>
      </c>
      <c r="U765" s="28">
        <v>400</v>
      </c>
      <c r="W765" s="9">
        <v>489</v>
      </c>
      <c r="X765" s="9" t="s">
        <v>29</v>
      </c>
      <c r="AF765">
        <v>812</v>
      </c>
      <c r="AG765" t="s">
        <v>29</v>
      </c>
      <c r="AH765">
        <v>31825</v>
      </c>
      <c r="AI765" s="7">
        <v>45994</v>
      </c>
    </row>
    <row r="766" spans="1:35">
      <c r="A766">
        <v>837</v>
      </c>
      <c r="B766" t="str">
        <f t="shared" si="182"/>
        <v>USD</v>
      </c>
      <c r="C766">
        <f t="shared" si="183"/>
        <v>716</v>
      </c>
      <c r="D766">
        <f t="shared" si="174"/>
        <v>615.76</v>
      </c>
      <c r="E766">
        <f t="shared" si="175"/>
        <v>716</v>
      </c>
      <c r="F766">
        <v>5821.37</v>
      </c>
      <c r="G766">
        <f t="shared" si="176"/>
        <v>5006.3782000000001</v>
      </c>
      <c r="H766">
        <f t="shared" si="177"/>
        <v>5821.37</v>
      </c>
      <c r="I766">
        <f t="shared" si="184"/>
        <v>716</v>
      </c>
      <c r="J766">
        <f t="shared" si="178"/>
        <v>716</v>
      </c>
      <c r="K766" s="7">
        <f t="shared" si="185"/>
        <v>46033</v>
      </c>
      <c r="L766" s="7">
        <f t="shared" si="179"/>
        <v>46003</v>
      </c>
      <c r="M766">
        <f t="shared" si="180"/>
        <v>12</v>
      </c>
      <c r="N766">
        <f t="shared" si="181"/>
        <v>2025</v>
      </c>
      <c r="Q766" s="22"/>
      <c r="R766" s="22"/>
      <c r="S766" s="22">
        <f t="shared" si="186"/>
        <v>0</v>
      </c>
      <c r="T766" s="22" t="e">
        <f t="shared" si="187"/>
        <v>#N/A</v>
      </c>
      <c r="U766" s="28">
        <v>400</v>
      </c>
      <c r="W766" s="9">
        <v>489</v>
      </c>
      <c r="X766" s="9" t="s">
        <v>29</v>
      </c>
      <c r="AF766">
        <v>813</v>
      </c>
      <c r="AG766" t="s">
        <v>27</v>
      </c>
      <c r="AH766">
        <v>90178.33</v>
      </c>
      <c r="AI766" s="7">
        <v>46005</v>
      </c>
    </row>
    <row r="767" spans="1:35">
      <c r="A767">
        <v>838</v>
      </c>
      <c r="B767" t="str">
        <f t="shared" si="182"/>
        <v>USD</v>
      </c>
      <c r="C767">
        <f t="shared" si="183"/>
        <v>34361</v>
      </c>
      <c r="D767">
        <f t="shared" si="174"/>
        <v>29550.46</v>
      </c>
      <c r="E767">
        <f t="shared" si="175"/>
        <v>34361</v>
      </c>
      <c r="F767">
        <v>35820.6</v>
      </c>
      <c r="G767">
        <f t="shared" si="176"/>
        <v>30805.715999999997</v>
      </c>
      <c r="H767">
        <f t="shared" si="177"/>
        <v>35820.6</v>
      </c>
      <c r="I767">
        <f t="shared" si="184"/>
        <v>1359.1500000000015</v>
      </c>
      <c r="J767">
        <f t="shared" si="178"/>
        <v>1359.1500000000015</v>
      </c>
      <c r="K767" s="7">
        <f t="shared" si="185"/>
        <v>46104</v>
      </c>
      <c r="L767" s="7">
        <f t="shared" si="179"/>
        <v>46074</v>
      </c>
      <c r="M767">
        <f t="shared" si="180"/>
        <v>2</v>
      </c>
      <c r="N767">
        <f t="shared" si="181"/>
        <v>2026</v>
      </c>
      <c r="Q767" s="22"/>
      <c r="R767" s="22"/>
      <c r="S767" s="22">
        <f t="shared" si="186"/>
        <v>0</v>
      </c>
      <c r="T767" s="22" t="e">
        <f t="shared" si="187"/>
        <v>#N/A</v>
      </c>
      <c r="U767" s="28">
        <v>400</v>
      </c>
      <c r="W767" s="9">
        <v>489</v>
      </c>
      <c r="X767" s="9" t="s">
        <v>29</v>
      </c>
      <c r="AF767">
        <v>814</v>
      </c>
      <c r="AG767" t="s">
        <v>27</v>
      </c>
      <c r="AH767">
        <v>11644.64</v>
      </c>
      <c r="AI767" s="7">
        <v>46140</v>
      </c>
    </row>
    <row r="768" spans="1:35">
      <c r="A768">
        <v>839</v>
      </c>
      <c r="B768" t="str">
        <f t="shared" si="182"/>
        <v>MXN</v>
      </c>
      <c r="C768">
        <f t="shared" si="183"/>
        <v>664.30000000000291</v>
      </c>
      <c r="D768">
        <f t="shared" si="174"/>
        <v>31.88640000000014</v>
      </c>
      <c r="E768">
        <f t="shared" si="175"/>
        <v>37.200800000000164</v>
      </c>
      <c r="F768">
        <v>41196.300000000003</v>
      </c>
      <c r="G768">
        <f t="shared" si="176"/>
        <v>1977.4224000000002</v>
      </c>
      <c r="H768">
        <f t="shared" si="177"/>
        <v>2306.9928</v>
      </c>
      <c r="I768">
        <f t="shared" si="184"/>
        <v>0</v>
      </c>
      <c r="J768">
        <f t="shared" si="178"/>
        <v>0</v>
      </c>
      <c r="K768" s="7">
        <f t="shared" si="185"/>
        <v>46009</v>
      </c>
      <c r="L768" s="7">
        <f t="shared" si="179"/>
        <v>45979</v>
      </c>
      <c r="M768">
        <f t="shared" si="180"/>
        <v>11</v>
      </c>
      <c r="N768">
        <f t="shared" si="181"/>
        <v>2025</v>
      </c>
      <c r="Q768" s="22"/>
      <c r="R768" s="22"/>
      <c r="S768" s="22">
        <f t="shared" si="186"/>
        <v>0</v>
      </c>
      <c r="T768" s="22" t="e">
        <f t="shared" si="187"/>
        <v>#N/A</v>
      </c>
      <c r="U768" s="28">
        <v>400</v>
      </c>
      <c r="W768" s="9">
        <v>489</v>
      </c>
      <c r="X768" s="9" t="s">
        <v>29</v>
      </c>
      <c r="AF768">
        <v>815</v>
      </c>
      <c r="AG768" t="s">
        <v>28</v>
      </c>
      <c r="AH768">
        <v>253098.2</v>
      </c>
      <c r="AI768" s="7">
        <v>46007</v>
      </c>
    </row>
    <row r="769" spans="1:35">
      <c r="A769">
        <v>840</v>
      </c>
      <c r="B769" t="str">
        <f t="shared" si="182"/>
        <v>USD</v>
      </c>
      <c r="C769">
        <f t="shared" si="183"/>
        <v>0</v>
      </c>
      <c r="D769">
        <f t="shared" ref="D769:D832" si="188">C769*_xlfn.XLOOKUP(B769,AM:AM,AN:AN)</f>
        <v>0</v>
      </c>
      <c r="E769">
        <f t="shared" ref="E769:E832" si="189">C769*_xlfn.XLOOKUP(B769,AM:AM,AO:AO)</f>
        <v>0</v>
      </c>
      <c r="F769">
        <v>6083.58</v>
      </c>
      <c r="G769">
        <f t="shared" ref="G769:G832" si="190">F769*_xlfn.XLOOKUP(B769,AM:AM,AN:AN)</f>
        <v>5231.8787999999995</v>
      </c>
      <c r="H769">
        <f t="shared" ref="H769:H832" si="191">F769*_xlfn.XLOOKUP(B769,AM:AM,AO:AO)</f>
        <v>6083.58</v>
      </c>
      <c r="I769">
        <f t="shared" si="184"/>
        <v>0</v>
      </c>
      <c r="J769">
        <f t="shared" ref="J769:J832" si="192">I769*_xlfn.XLOOKUP(B769,AM:AM,AO:AO)</f>
        <v>0</v>
      </c>
      <c r="K769" s="7">
        <f t="shared" si="185"/>
        <v>45980</v>
      </c>
      <c r="L769" s="7">
        <f t="shared" ref="L769:L832" si="193">K769-30</f>
        <v>45950</v>
      </c>
      <c r="M769">
        <f t="shared" ref="M769:M832" si="194">MONTH(L769)</f>
        <v>10</v>
      </c>
      <c r="N769">
        <f t="shared" ref="N769:N832" si="195">YEAR(L769)</f>
        <v>2025</v>
      </c>
      <c r="Q769" s="22"/>
      <c r="R769" s="22"/>
      <c r="S769" s="22">
        <f t="shared" si="186"/>
        <v>0</v>
      </c>
      <c r="T769" s="22" t="e">
        <f t="shared" si="187"/>
        <v>#N/A</v>
      </c>
      <c r="U769" s="28">
        <v>400</v>
      </c>
      <c r="W769" s="9">
        <v>489</v>
      </c>
      <c r="X769" s="9" t="s">
        <v>29</v>
      </c>
      <c r="AF769">
        <v>817</v>
      </c>
      <c r="AG769" t="s">
        <v>29</v>
      </c>
      <c r="AH769">
        <v>871.27</v>
      </c>
      <c r="AI769" s="7">
        <v>45987</v>
      </c>
    </row>
    <row r="770" spans="1:35">
      <c r="A770">
        <v>841</v>
      </c>
      <c r="B770" t="str">
        <f t="shared" si="182"/>
        <v>USD</v>
      </c>
      <c r="C770">
        <f t="shared" si="183"/>
        <v>24588</v>
      </c>
      <c r="D770">
        <f t="shared" si="188"/>
        <v>21145.68</v>
      </c>
      <c r="E770">
        <f t="shared" si="189"/>
        <v>24588</v>
      </c>
      <c r="F770">
        <v>56571.9</v>
      </c>
      <c r="G770">
        <f t="shared" si="190"/>
        <v>48651.834000000003</v>
      </c>
      <c r="H770">
        <f t="shared" si="191"/>
        <v>56571.9</v>
      </c>
      <c r="I770">
        <f t="shared" si="184"/>
        <v>0</v>
      </c>
      <c r="J770">
        <f t="shared" si="192"/>
        <v>0</v>
      </c>
      <c r="K770" s="7">
        <f t="shared" si="185"/>
        <v>46017</v>
      </c>
      <c r="L770" s="7">
        <f t="shared" si="193"/>
        <v>45987</v>
      </c>
      <c r="M770">
        <f t="shared" si="194"/>
        <v>11</v>
      </c>
      <c r="N770">
        <f t="shared" si="195"/>
        <v>2025</v>
      </c>
      <c r="Q770" s="22"/>
      <c r="R770" s="22"/>
      <c r="S770" s="22">
        <f t="shared" si="186"/>
        <v>0</v>
      </c>
      <c r="T770" s="22" t="e">
        <f t="shared" si="187"/>
        <v>#N/A</v>
      </c>
      <c r="U770" s="28">
        <v>400</v>
      </c>
      <c r="W770" s="9">
        <v>489</v>
      </c>
      <c r="X770" s="9" t="s">
        <v>29</v>
      </c>
      <c r="AF770">
        <v>818</v>
      </c>
      <c r="AG770" t="s">
        <v>29</v>
      </c>
      <c r="AH770">
        <v>18497</v>
      </c>
      <c r="AI770" s="7">
        <v>45973</v>
      </c>
    </row>
    <row r="771" spans="1:35">
      <c r="A771">
        <v>842</v>
      </c>
      <c r="B771" t="str">
        <f t="shared" ref="B771:B834" si="196">_xlfn.XLOOKUP(A771,AF:AF,AG:AG)</f>
        <v>USD</v>
      </c>
      <c r="C771">
        <f t="shared" ref="C771:C834" si="197">_xlfn.XLOOKUP(A771,AF:AF,AH:AH)-_xlfn.XLOOKUP(A771,Q:Q,R:R,"0")</f>
        <v>0</v>
      </c>
      <c r="D771">
        <f t="shared" si="188"/>
        <v>0</v>
      </c>
      <c r="E771">
        <f t="shared" si="189"/>
        <v>0</v>
      </c>
      <c r="F771">
        <v>1210.2</v>
      </c>
      <c r="G771">
        <f t="shared" si="190"/>
        <v>1040.7719999999999</v>
      </c>
      <c r="H771">
        <f t="shared" si="191"/>
        <v>1210.2</v>
      </c>
      <c r="I771">
        <f t="shared" ref="I771:I834" si="198">C771-F771+_xlfn.XLOOKUP(A771,Q:Q,R:R,"0")-_xlfn.XLOOKUP(A771,Z:Z,AA:AA,"0")</f>
        <v>0</v>
      </c>
      <c r="J771">
        <f t="shared" si="192"/>
        <v>0</v>
      </c>
      <c r="K771" s="7">
        <f t="shared" ref="K771:K834" si="199">_xlfn.XLOOKUP(A771,AF:AF,AI:AI)</f>
        <v>46066</v>
      </c>
      <c r="L771" s="7">
        <f t="shared" si="193"/>
        <v>46036</v>
      </c>
      <c r="M771">
        <f t="shared" si="194"/>
        <v>1</v>
      </c>
      <c r="N771">
        <f t="shared" si="195"/>
        <v>2026</v>
      </c>
      <c r="Q771" s="22"/>
      <c r="R771" s="22"/>
      <c r="S771" s="22">
        <f t="shared" ref="S771:S834" si="200">_xlfn.XLOOKUP(Q771,W:W,X:X)</f>
        <v>0</v>
      </c>
      <c r="T771" s="22" t="e">
        <f t="shared" si="187"/>
        <v>#N/A</v>
      </c>
      <c r="U771" s="28">
        <v>400</v>
      </c>
      <c r="W771" s="9">
        <v>490</v>
      </c>
      <c r="X771" s="9" t="s">
        <v>29</v>
      </c>
      <c r="AF771">
        <v>819</v>
      </c>
      <c r="AG771" t="s">
        <v>29</v>
      </c>
      <c r="AH771">
        <v>3310.97</v>
      </c>
      <c r="AI771" s="7">
        <v>45970</v>
      </c>
    </row>
    <row r="772" spans="1:35">
      <c r="A772">
        <v>843</v>
      </c>
      <c r="B772" t="str">
        <f t="shared" si="196"/>
        <v>USD</v>
      </c>
      <c r="C772">
        <f t="shared" si="197"/>
        <v>35</v>
      </c>
      <c r="D772">
        <f t="shared" si="188"/>
        <v>30.099999999999998</v>
      </c>
      <c r="E772">
        <f t="shared" si="189"/>
        <v>35</v>
      </c>
      <c r="F772">
        <v>5230.99</v>
      </c>
      <c r="G772">
        <f t="shared" si="190"/>
        <v>4498.6513999999997</v>
      </c>
      <c r="H772">
        <f t="shared" si="191"/>
        <v>5230.99</v>
      </c>
      <c r="I772">
        <f t="shared" si="198"/>
        <v>0</v>
      </c>
      <c r="J772">
        <f t="shared" si="192"/>
        <v>0</v>
      </c>
      <c r="K772" s="7">
        <f t="shared" si="199"/>
        <v>45963</v>
      </c>
      <c r="L772" s="7">
        <f t="shared" si="193"/>
        <v>45933</v>
      </c>
      <c r="M772">
        <f t="shared" si="194"/>
        <v>10</v>
      </c>
      <c r="N772">
        <f t="shared" si="195"/>
        <v>2025</v>
      </c>
      <c r="Q772" s="22"/>
      <c r="R772" s="22"/>
      <c r="S772" s="22">
        <f t="shared" si="200"/>
        <v>0</v>
      </c>
      <c r="T772" s="22" t="e">
        <f t="shared" si="187"/>
        <v>#N/A</v>
      </c>
      <c r="U772" s="28">
        <v>400</v>
      </c>
      <c r="W772" s="9">
        <v>491</v>
      </c>
      <c r="X772" s="9" t="s">
        <v>29</v>
      </c>
      <c r="AF772">
        <v>820</v>
      </c>
      <c r="AG772" t="s">
        <v>28</v>
      </c>
      <c r="AH772">
        <v>22963</v>
      </c>
      <c r="AI772" s="7">
        <v>46001</v>
      </c>
    </row>
    <row r="773" spans="1:35">
      <c r="A773">
        <v>844</v>
      </c>
      <c r="B773" t="str">
        <f t="shared" si="196"/>
        <v>EUR</v>
      </c>
      <c r="C773">
        <f t="shared" si="197"/>
        <v>0</v>
      </c>
      <c r="D773">
        <f t="shared" si="188"/>
        <v>0</v>
      </c>
      <c r="E773">
        <f t="shared" si="189"/>
        <v>0</v>
      </c>
      <c r="F773">
        <v>12165.93</v>
      </c>
      <c r="G773">
        <f t="shared" si="190"/>
        <v>12165.93</v>
      </c>
      <c r="H773">
        <f t="shared" si="191"/>
        <v>14112.478799999999</v>
      </c>
      <c r="I773">
        <f t="shared" si="198"/>
        <v>0</v>
      </c>
      <c r="J773">
        <f t="shared" si="192"/>
        <v>0</v>
      </c>
      <c r="K773" s="7">
        <f t="shared" si="199"/>
        <v>46016</v>
      </c>
      <c r="L773" s="7">
        <f t="shared" si="193"/>
        <v>45986</v>
      </c>
      <c r="M773">
        <f t="shared" si="194"/>
        <v>11</v>
      </c>
      <c r="N773">
        <f t="shared" si="195"/>
        <v>2025</v>
      </c>
      <c r="Q773" s="22"/>
      <c r="R773" s="22"/>
      <c r="S773" s="22">
        <f t="shared" si="200"/>
        <v>0</v>
      </c>
      <c r="T773" s="22" t="e">
        <f t="shared" si="187"/>
        <v>#N/A</v>
      </c>
      <c r="U773" s="28">
        <v>400</v>
      </c>
      <c r="W773" s="9">
        <v>492</v>
      </c>
      <c r="X773" s="9" t="s">
        <v>28</v>
      </c>
      <c r="AF773">
        <v>821</v>
      </c>
      <c r="AG773" t="s">
        <v>27</v>
      </c>
      <c r="AH773">
        <v>1702</v>
      </c>
      <c r="AI773" s="7">
        <v>45972</v>
      </c>
    </row>
    <row r="774" spans="1:35">
      <c r="A774">
        <v>845</v>
      </c>
      <c r="B774" t="str">
        <f t="shared" si="196"/>
        <v>USD</v>
      </c>
      <c r="C774">
        <f t="shared" si="197"/>
        <v>5731.09</v>
      </c>
      <c r="D774">
        <f t="shared" si="188"/>
        <v>4928.7374</v>
      </c>
      <c r="E774">
        <f t="shared" si="189"/>
        <v>5731.09</v>
      </c>
      <c r="F774">
        <v>7000.04</v>
      </c>
      <c r="G774">
        <f t="shared" si="190"/>
        <v>6020.0343999999996</v>
      </c>
      <c r="H774">
        <f t="shared" si="191"/>
        <v>7000.04</v>
      </c>
      <c r="I774">
        <f t="shared" si="198"/>
        <v>1685.0500000000002</v>
      </c>
      <c r="J774">
        <f t="shared" si="192"/>
        <v>1685.0500000000002</v>
      </c>
      <c r="K774" s="7">
        <f t="shared" si="199"/>
        <v>46114</v>
      </c>
      <c r="L774" s="7">
        <f t="shared" si="193"/>
        <v>46084</v>
      </c>
      <c r="M774">
        <f t="shared" si="194"/>
        <v>3</v>
      </c>
      <c r="N774">
        <f t="shared" si="195"/>
        <v>2026</v>
      </c>
      <c r="Q774" s="22"/>
      <c r="R774" s="22"/>
      <c r="S774" s="22">
        <f t="shared" si="200"/>
        <v>0</v>
      </c>
      <c r="T774" s="22" t="e">
        <f t="shared" si="187"/>
        <v>#N/A</v>
      </c>
      <c r="U774" s="28">
        <v>400</v>
      </c>
      <c r="W774" s="9">
        <v>493</v>
      </c>
      <c r="X774" s="9" t="s">
        <v>29</v>
      </c>
      <c r="AF774">
        <v>822</v>
      </c>
      <c r="AG774" t="s">
        <v>29</v>
      </c>
      <c r="AH774">
        <v>10649.6</v>
      </c>
      <c r="AI774" s="7">
        <v>45973</v>
      </c>
    </row>
    <row r="775" spans="1:35">
      <c r="A775">
        <v>846</v>
      </c>
      <c r="B775" t="str">
        <f t="shared" si="196"/>
        <v>USD</v>
      </c>
      <c r="C775">
        <f t="shared" si="197"/>
        <v>112620.2</v>
      </c>
      <c r="D775">
        <f t="shared" si="188"/>
        <v>96853.372000000003</v>
      </c>
      <c r="E775">
        <f t="shared" si="189"/>
        <v>112620.2</v>
      </c>
      <c r="F775">
        <v>46645.2</v>
      </c>
      <c r="G775">
        <f t="shared" si="190"/>
        <v>40114.871999999996</v>
      </c>
      <c r="H775">
        <f t="shared" si="191"/>
        <v>46645.2</v>
      </c>
      <c r="I775">
        <f t="shared" si="198"/>
        <v>65975</v>
      </c>
      <c r="J775">
        <f t="shared" si="192"/>
        <v>65975</v>
      </c>
      <c r="K775" s="7">
        <f t="shared" si="199"/>
        <v>46108</v>
      </c>
      <c r="L775" s="7">
        <f t="shared" si="193"/>
        <v>46078</v>
      </c>
      <c r="M775">
        <f t="shared" si="194"/>
        <v>2</v>
      </c>
      <c r="N775">
        <f t="shared" si="195"/>
        <v>2026</v>
      </c>
      <c r="Q775" s="22"/>
      <c r="R775" s="22"/>
      <c r="S775" s="22">
        <f t="shared" si="200"/>
        <v>0</v>
      </c>
      <c r="T775" s="22" t="e">
        <f t="shared" si="187"/>
        <v>#N/A</v>
      </c>
      <c r="U775" s="28">
        <v>400</v>
      </c>
      <c r="W775" s="9">
        <v>495</v>
      </c>
      <c r="X775" s="9" t="s">
        <v>29</v>
      </c>
      <c r="AF775">
        <v>823</v>
      </c>
      <c r="AG775" t="s">
        <v>31</v>
      </c>
      <c r="AH775">
        <v>42367.85</v>
      </c>
      <c r="AI775" s="7">
        <v>46210</v>
      </c>
    </row>
    <row r="776" spans="1:35">
      <c r="A776">
        <v>847</v>
      </c>
      <c r="B776" t="str">
        <f t="shared" si="196"/>
        <v>USD</v>
      </c>
      <c r="C776">
        <f t="shared" si="197"/>
        <v>150</v>
      </c>
      <c r="D776">
        <f t="shared" si="188"/>
        <v>129</v>
      </c>
      <c r="E776">
        <f t="shared" si="189"/>
        <v>150</v>
      </c>
      <c r="F776">
        <v>1300.47</v>
      </c>
      <c r="G776">
        <f t="shared" si="190"/>
        <v>1118.4041999999999</v>
      </c>
      <c r="H776">
        <f t="shared" si="191"/>
        <v>1300.47</v>
      </c>
      <c r="I776">
        <f t="shared" si="198"/>
        <v>0</v>
      </c>
      <c r="J776">
        <f t="shared" si="192"/>
        <v>0</v>
      </c>
      <c r="K776" s="7">
        <f t="shared" si="199"/>
        <v>45982</v>
      </c>
      <c r="L776" s="7">
        <f t="shared" si="193"/>
        <v>45952</v>
      </c>
      <c r="M776">
        <f t="shared" si="194"/>
        <v>10</v>
      </c>
      <c r="N776">
        <f t="shared" si="195"/>
        <v>2025</v>
      </c>
      <c r="Q776" s="22"/>
      <c r="R776" s="22"/>
      <c r="S776" s="22">
        <f t="shared" si="200"/>
        <v>0</v>
      </c>
      <c r="T776" s="22" t="e">
        <f t="shared" si="187"/>
        <v>#N/A</v>
      </c>
      <c r="U776" s="28">
        <v>400</v>
      </c>
      <c r="W776" s="9">
        <v>496</v>
      </c>
      <c r="X776" s="9" t="s">
        <v>29</v>
      </c>
      <c r="AF776">
        <v>824</v>
      </c>
      <c r="AG776" t="s">
        <v>28</v>
      </c>
      <c r="AH776">
        <v>110875.75</v>
      </c>
      <c r="AI776" s="7">
        <v>45981</v>
      </c>
    </row>
    <row r="777" spans="1:35">
      <c r="A777">
        <v>848</v>
      </c>
      <c r="B777" t="str">
        <f t="shared" si="196"/>
        <v>USD</v>
      </c>
      <c r="C777">
        <f t="shared" si="197"/>
        <v>40191.429999999993</v>
      </c>
      <c r="D777">
        <f t="shared" si="188"/>
        <v>34564.629799999995</v>
      </c>
      <c r="E777">
        <f t="shared" si="189"/>
        <v>40191.429999999993</v>
      </c>
      <c r="F777">
        <v>89815.56</v>
      </c>
      <c r="G777">
        <f t="shared" si="190"/>
        <v>77241.381599999993</v>
      </c>
      <c r="H777">
        <f t="shared" si="191"/>
        <v>89815.56</v>
      </c>
      <c r="I777">
        <f t="shared" si="198"/>
        <v>-1176.1699999999983</v>
      </c>
      <c r="J777">
        <f t="shared" si="192"/>
        <v>-1176.1699999999983</v>
      </c>
      <c r="K777" s="7">
        <f t="shared" si="199"/>
        <v>46009</v>
      </c>
      <c r="L777" s="7">
        <f t="shared" si="193"/>
        <v>45979</v>
      </c>
      <c r="M777">
        <f t="shared" si="194"/>
        <v>11</v>
      </c>
      <c r="N777">
        <f t="shared" si="195"/>
        <v>2025</v>
      </c>
      <c r="Q777" s="22"/>
      <c r="R777" s="22"/>
      <c r="S777" s="22">
        <f t="shared" si="200"/>
        <v>0</v>
      </c>
      <c r="T777" s="22" t="e">
        <f t="shared" si="187"/>
        <v>#N/A</v>
      </c>
      <c r="U777" s="28">
        <v>400</v>
      </c>
      <c r="W777" s="9">
        <v>497</v>
      </c>
      <c r="X777" s="9" t="s">
        <v>28</v>
      </c>
      <c r="AF777">
        <v>825</v>
      </c>
      <c r="AG777" t="s">
        <v>28</v>
      </c>
      <c r="AH777">
        <v>10000</v>
      </c>
      <c r="AI777" s="7">
        <v>46164</v>
      </c>
    </row>
    <row r="778" spans="1:35">
      <c r="A778">
        <v>849</v>
      </c>
      <c r="B778" t="str">
        <f t="shared" si="196"/>
        <v>USD</v>
      </c>
      <c r="C778">
        <f t="shared" si="197"/>
        <v>1840</v>
      </c>
      <c r="D778">
        <f t="shared" si="188"/>
        <v>1582.3999999999999</v>
      </c>
      <c r="E778">
        <f t="shared" si="189"/>
        <v>1840</v>
      </c>
      <c r="F778">
        <v>4046.02</v>
      </c>
      <c r="G778">
        <f t="shared" si="190"/>
        <v>3479.5771999999997</v>
      </c>
      <c r="H778">
        <f t="shared" si="191"/>
        <v>4046.02</v>
      </c>
      <c r="I778">
        <f t="shared" si="198"/>
        <v>0</v>
      </c>
      <c r="J778">
        <f t="shared" si="192"/>
        <v>0</v>
      </c>
      <c r="K778" s="7">
        <f t="shared" si="199"/>
        <v>46013</v>
      </c>
      <c r="L778" s="7">
        <f t="shared" si="193"/>
        <v>45983</v>
      </c>
      <c r="M778">
        <f t="shared" si="194"/>
        <v>11</v>
      </c>
      <c r="N778">
        <f t="shared" si="195"/>
        <v>2025</v>
      </c>
      <c r="Q778" s="22"/>
      <c r="R778" s="22"/>
      <c r="S778" s="22">
        <f t="shared" si="200"/>
        <v>0</v>
      </c>
      <c r="T778" s="22" t="e">
        <f t="shared" si="187"/>
        <v>#N/A</v>
      </c>
      <c r="U778" s="28">
        <v>400</v>
      </c>
      <c r="W778" s="9">
        <v>498</v>
      </c>
      <c r="X778" s="9" t="s">
        <v>32</v>
      </c>
      <c r="AF778">
        <v>826</v>
      </c>
      <c r="AG778" t="s">
        <v>27</v>
      </c>
      <c r="AH778">
        <v>10010</v>
      </c>
      <c r="AI778" s="7">
        <v>46091</v>
      </c>
    </row>
    <row r="779" spans="1:35">
      <c r="A779">
        <v>850</v>
      </c>
      <c r="B779" t="str">
        <f t="shared" si="196"/>
        <v>USD</v>
      </c>
      <c r="C779">
        <f t="shared" si="197"/>
        <v>140629.22</v>
      </c>
      <c r="D779">
        <f t="shared" si="188"/>
        <v>120941.1292</v>
      </c>
      <c r="E779">
        <f t="shared" si="189"/>
        <v>140629.22</v>
      </c>
      <c r="F779">
        <v>179899.82</v>
      </c>
      <c r="G779">
        <f t="shared" si="190"/>
        <v>154713.84520000001</v>
      </c>
      <c r="H779">
        <f t="shared" si="191"/>
        <v>179899.82</v>
      </c>
      <c r="I779">
        <f t="shared" si="198"/>
        <v>-7.2759576141834259E-12</v>
      </c>
      <c r="J779">
        <f t="shared" si="192"/>
        <v>-7.2759576141834259E-12</v>
      </c>
      <c r="K779" s="7">
        <f t="shared" si="199"/>
        <v>46016</v>
      </c>
      <c r="L779" s="7">
        <f t="shared" si="193"/>
        <v>45986</v>
      </c>
      <c r="M779">
        <f t="shared" si="194"/>
        <v>11</v>
      </c>
      <c r="N779">
        <f t="shared" si="195"/>
        <v>2025</v>
      </c>
      <c r="Q779" s="22"/>
      <c r="R779" s="22"/>
      <c r="S779" s="22">
        <f t="shared" si="200"/>
        <v>0</v>
      </c>
      <c r="T779" s="22" t="e">
        <f t="shared" si="187"/>
        <v>#N/A</v>
      </c>
      <c r="U779" s="28">
        <v>400</v>
      </c>
      <c r="W779" s="9">
        <v>498</v>
      </c>
      <c r="X779" s="9" t="s">
        <v>32</v>
      </c>
      <c r="AF779">
        <v>827</v>
      </c>
      <c r="AG779" t="s">
        <v>29</v>
      </c>
      <c r="AH779">
        <v>7090.71</v>
      </c>
      <c r="AI779" s="7">
        <v>45969</v>
      </c>
    </row>
    <row r="780" spans="1:35">
      <c r="A780">
        <v>851</v>
      </c>
      <c r="B780" t="str">
        <f t="shared" si="196"/>
        <v>USD</v>
      </c>
      <c r="C780">
        <f t="shared" si="197"/>
        <v>430</v>
      </c>
      <c r="D780">
        <f t="shared" si="188"/>
        <v>369.8</v>
      </c>
      <c r="E780">
        <f t="shared" si="189"/>
        <v>430</v>
      </c>
      <c r="F780">
        <v>430</v>
      </c>
      <c r="G780">
        <f t="shared" si="190"/>
        <v>369.8</v>
      </c>
      <c r="H780">
        <f t="shared" si="191"/>
        <v>430</v>
      </c>
      <c r="I780">
        <f t="shared" si="198"/>
        <v>0</v>
      </c>
      <c r="J780">
        <f t="shared" si="192"/>
        <v>0</v>
      </c>
      <c r="K780" s="7">
        <f t="shared" si="199"/>
        <v>45987</v>
      </c>
      <c r="L780" s="7">
        <f t="shared" si="193"/>
        <v>45957</v>
      </c>
      <c r="M780">
        <f t="shared" si="194"/>
        <v>10</v>
      </c>
      <c r="N780">
        <f t="shared" si="195"/>
        <v>2025</v>
      </c>
      <c r="Q780" s="22"/>
      <c r="R780" s="22"/>
      <c r="S780" s="22">
        <f t="shared" si="200"/>
        <v>0</v>
      </c>
      <c r="T780" s="22" t="e">
        <f t="shared" si="187"/>
        <v>#N/A</v>
      </c>
      <c r="U780" s="28">
        <v>400</v>
      </c>
      <c r="W780" s="9">
        <v>499</v>
      </c>
      <c r="X780" s="9" t="s">
        <v>29</v>
      </c>
      <c r="AF780">
        <v>828</v>
      </c>
      <c r="AG780" t="s">
        <v>28</v>
      </c>
      <c r="AH780">
        <v>124392</v>
      </c>
      <c r="AI780" s="7">
        <v>46011</v>
      </c>
    </row>
    <row r="781" spans="1:35">
      <c r="A781">
        <v>855</v>
      </c>
      <c r="B781" t="str">
        <f t="shared" si="196"/>
        <v>USD</v>
      </c>
      <c r="C781">
        <f t="shared" si="197"/>
        <v>14330.62</v>
      </c>
      <c r="D781">
        <f t="shared" si="188"/>
        <v>12324.333200000001</v>
      </c>
      <c r="E781">
        <f t="shared" si="189"/>
        <v>14330.62</v>
      </c>
      <c r="F781">
        <v>1197</v>
      </c>
      <c r="G781">
        <f t="shared" si="190"/>
        <v>1029.42</v>
      </c>
      <c r="H781">
        <f t="shared" si="191"/>
        <v>1197</v>
      </c>
      <c r="I781">
        <f t="shared" si="198"/>
        <v>13133.62</v>
      </c>
      <c r="J781">
        <f t="shared" si="192"/>
        <v>13133.62</v>
      </c>
      <c r="K781" s="7">
        <f t="shared" si="199"/>
        <v>46260</v>
      </c>
      <c r="L781" s="7">
        <f t="shared" si="193"/>
        <v>46230</v>
      </c>
      <c r="M781">
        <f t="shared" si="194"/>
        <v>7</v>
      </c>
      <c r="N781">
        <f t="shared" si="195"/>
        <v>2026</v>
      </c>
      <c r="Q781" s="22"/>
      <c r="R781" s="22"/>
      <c r="S781" s="22">
        <f t="shared" si="200"/>
        <v>0</v>
      </c>
      <c r="T781" s="22" t="e">
        <f t="shared" si="187"/>
        <v>#N/A</v>
      </c>
      <c r="U781" s="28">
        <v>400</v>
      </c>
      <c r="W781" s="9">
        <v>499</v>
      </c>
      <c r="X781" s="9" t="s">
        <v>29</v>
      </c>
      <c r="AF781">
        <v>829</v>
      </c>
      <c r="AG781" t="s">
        <v>29</v>
      </c>
      <c r="AH781">
        <v>6388.26</v>
      </c>
      <c r="AI781" s="7">
        <v>45954</v>
      </c>
    </row>
    <row r="782" spans="1:35">
      <c r="A782">
        <v>856</v>
      </c>
      <c r="B782" t="str">
        <f t="shared" si="196"/>
        <v>EUR</v>
      </c>
      <c r="C782">
        <f t="shared" si="197"/>
        <v>0</v>
      </c>
      <c r="D782">
        <f t="shared" si="188"/>
        <v>0</v>
      </c>
      <c r="E782">
        <f t="shared" si="189"/>
        <v>0</v>
      </c>
      <c r="F782">
        <v>8775</v>
      </c>
      <c r="G782">
        <f t="shared" si="190"/>
        <v>8775</v>
      </c>
      <c r="H782">
        <f t="shared" si="191"/>
        <v>10179</v>
      </c>
      <c r="I782">
        <f t="shared" si="198"/>
        <v>0</v>
      </c>
      <c r="J782">
        <f t="shared" si="192"/>
        <v>0</v>
      </c>
      <c r="K782" s="7">
        <f t="shared" si="199"/>
        <v>45982</v>
      </c>
      <c r="L782" s="7">
        <f t="shared" si="193"/>
        <v>45952</v>
      </c>
      <c r="M782">
        <f t="shared" si="194"/>
        <v>10</v>
      </c>
      <c r="N782">
        <f t="shared" si="195"/>
        <v>2025</v>
      </c>
      <c r="Q782" s="22"/>
      <c r="R782" s="22"/>
      <c r="S782" s="22">
        <f t="shared" si="200"/>
        <v>0</v>
      </c>
      <c r="T782" s="22" t="e">
        <f t="shared" si="187"/>
        <v>#N/A</v>
      </c>
      <c r="U782" s="28">
        <v>400</v>
      </c>
      <c r="W782" s="9">
        <v>499</v>
      </c>
      <c r="X782" s="9" t="s">
        <v>29</v>
      </c>
      <c r="AF782">
        <v>830</v>
      </c>
      <c r="AG782" t="s">
        <v>29</v>
      </c>
      <c r="AH782">
        <v>117747</v>
      </c>
      <c r="AI782" s="7">
        <v>46015</v>
      </c>
    </row>
    <row r="783" spans="1:35">
      <c r="A783">
        <v>857</v>
      </c>
      <c r="B783" t="str">
        <f t="shared" si="196"/>
        <v>EUR</v>
      </c>
      <c r="C783">
        <f t="shared" si="197"/>
        <v>0</v>
      </c>
      <c r="D783">
        <f t="shared" si="188"/>
        <v>0</v>
      </c>
      <c r="E783">
        <f t="shared" si="189"/>
        <v>0</v>
      </c>
      <c r="F783">
        <v>9081</v>
      </c>
      <c r="G783">
        <f t="shared" si="190"/>
        <v>9081</v>
      </c>
      <c r="H783">
        <f t="shared" si="191"/>
        <v>10533.96</v>
      </c>
      <c r="I783">
        <f t="shared" si="198"/>
        <v>0</v>
      </c>
      <c r="J783">
        <f t="shared" si="192"/>
        <v>0</v>
      </c>
      <c r="K783" s="7">
        <f t="shared" si="199"/>
        <v>45984</v>
      </c>
      <c r="L783" s="7">
        <f t="shared" si="193"/>
        <v>45954</v>
      </c>
      <c r="M783">
        <f t="shared" si="194"/>
        <v>10</v>
      </c>
      <c r="N783">
        <f t="shared" si="195"/>
        <v>2025</v>
      </c>
      <c r="Q783" s="22"/>
      <c r="R783" s="22"/>
      <c r="S783" s="22">
        <f t="shared" si="200"/>
        <v>0</v>
      </c>
      <c r="T783" s="22" t="e">
        <f t="shared" si="187"/>
        <v>#N/A</v>
      </c>
      <c r="U783" s="28">
        <v>400</v>
      </c>
      <c r="W783" s="9">
        <v>499</v>
      </c>
      <c r="X783" s="9" t="s">
        <v>29</v>
      </c>
      <c r="AF783">
        <v>831</v>
      </c>
      <c r="AG783" t="s">
        <v>29</v>
      </c>
      <c r="AH783">
        <v>3162.11</v>
      </c>
      <c r="AI783" s="7">
        <v>46010</v>
      </c>
    </row>
    <row r="784" spans="1:35">
      <c r="A784">
        <v>858</v>
      </c>
      <c r="B784" t="str">
        <f t="shared" si="196"/>
        <v>USD</v>
      </c>
      <c r="C784">
        <f t="shared" si="197"/>
        <v>0</v>
      </c>
      <c r="D784">
        <f t="shared" si="188"/>
        <v>0</v>
      </c>
      <c r="E784">
        <f t="shared" si="189"/>
        <v>0</v>
      </c>
      <c r="F784">
        <v>6523.9</v>
      </c>
      <c r="G784">
        <f t="shared" si="190"/>
        <v>5610.5539999999992</v>
      </c>
      <c r="H784">
        <f t="shared" si="191"/>
        <v>6523.9</v>
      </c>
      <c r="I784">
        <f t="shared" si="198"/>
        <v>0</v>
      </c>
      <c r="J784">
        <f t="shared" si="192"/>
        <v>0</v>
      </c>
      <c r="K784" s="7">
        <f t="shared" si="199"/>
        <v>45975</v>
      </c>
      <c r="L784" s="7">
        <f t="shared" si="193"/>
        <v>45945</v>
      </c>
      <c r="M784">
        <f t="shared" si="194"/>
        <v>10</v>
      </c>
      <c r="N784">
        <f t="shared" si="195"/>
        <v>2025</v>
      </c>
      <c r="Q784" s="22"/>
      <c r="R784" s="22"/>
      <c r="S784" s="22">
        <f t="shared" si="200"/>
        <v>0</v>
      </c>
      <c r="T784" s="22" t="e">
        <f t="shared" si="187"/>
        <v>#N/A</v>
      </c>
      <c r="U784" s="28">
        <v>400</v>
      </c>
      <c r="W784" s="9">
        <v>499</v>
      </c>
      <c r="X784" s="9" t="s">
        <v>29</v>
      </c>
      <c r="AF784">
        <v>832</v>
      </c>
      <c r="AG784" t="s">
        <v>29</v>
      </c>
      <c r="AH784">
        <v>52873</v>
      </c>
      <c r="AI784" s="7">
        <v>46008</v>
      </c>
    </row>
    <row r="785" spans="1:35">
      <c r="A785">
        <v>859</v>
      </c>
      <c r="B785" t="str">
        <f t="shared" si="196"/>
        <v>USD</v>
      </c>
      <c r="C785">
        <f t="shared" si="197"/>
        <v>36400</v>
      </c>
      <c r="D785">
        <f t="shared" si="188"/>
        <v>31304</v>
      </c>
      <c r="E785">
        <f t="shared" si="189"/>
        <v>36400</v>
      </c>
      <c r="F785">
        <v>36400</v>
      </c>
      <c r="G785">
        <f t="shared" si="190"/>
        <v>31304</v>
      </c>
      <c r="H785">
        <f t="shared" si="191"/>
        <v>36400</v>
      </c>
      <c r="I785">
        <f t="shared" si="198"/>
        <v>36400</v>
      </c>
      <c r="J785">
        <f t="shared" si="192"/>
        <v>36400</v>
      </c>
      <c r="K785" s="7">
        <f t="shared" si="199"/>
        <v>46351</v>
      </c>
      <c r="L785" s="7">
        <f t="shared" si="193"/>
        <v>46321</v>
      </c>
      <c r="M785">
        <f t="shared" si="194"/>
        <v>10</v>
      </c>
      <c r="N785">
        <f t="shared" si="195"/>
        <v>2026</v>
      </c>
      <c r="Q785" s="22"/>
      <c r="R785" s="22"/>
      <c r="S785" s="22">
        <f t="shared" si="200"/>
        <v>0</v>
      </c>
      <c r="T785" s="22" t="e">
        <f t="shared" si="187"/>
        <v>#N/A</v>
      </c>
      <c r="U785" s="28">
        <v>400</v>
      </c>
      <c r="W785" s="9">
        <v>499</v>
      </c>
      <c r="X785" s="9" t="s">
        <v>29</v>
      </c>
      <c r="AF785">
        <v>833</v>
      </c>
      <c r="AG785" t="s">
        <v>29</v>
      </c>
      <c r="AH785">
        <v>9930</v>
      </c>
      <c r="AI785" s="7">
        <v>45983</v>
      </c>
    </row>
    <row r="786" spans="1:35">
      <c r="A786">
        <v>860</v>
      </c>
      <c r="B786" t="str">
        <f t="shared" si="196"/>
        <v>GBP</v>
      </c>
      <c r="C786">
        <f t="shared" si="197"/>
        <v>0</v>
      </c>
      <c r="D786">
        <f t="shared" si="188"/>
        <v>0</v>
      </c>
      <c r="E786">
        <f t="shared" si="189"/>
        <v>0</v>
      </c>
      <c r="F786">
        <v>10493</v>
      </c>
      <c r="G786">
        <f t="shared" si="190"/>
        <v>12066.949999999999</v>
      </c>
      <c r="H786">
        <f t="shared" si="191"/>
        <v>14060.62</v>
      </c>
      <c r="I786">
        <f t="shared" si="198"/>
        <v>0</v>
      </c>
      <c r="J786">
        <f t="shared" si="192"/>
        <v>0</v>
      </c>
      <c r="K786" s="7">
        <f t="shared" si="199"/>
        <v>46003</v>
      </c>
      <c r="L786" s="7">
        <f t="shared" si="193"/>
        <v>45973</v>
      </c>
      <c r="M786">
        <f t="shared" si="194"/>
        <v>11</v>
      </c>
      <c r="N786">
        <f t="shared" si="195"/>
        <v>2025</v>
      </c>
      <c r="Q786" s="22"/>
      <c r="R786" s="22"/>
      <c r="S786" s="22">
        <f t="shared" si="200"/>
        <v>0</v>
      </c>
      <c r="T786" s="22" t="e">
        <f t="shared" ref="T786:T849" si="201">R786*_xlfn.XLOOKUP(S786,AM:AM,AO:AO)</f>
        <v>#N/A</v>
      </c>
      <c r="U786" s="28">
        <v>400</v>
      </c>
      <c r="W786" s="9">
        <v>499</v>
      </c>
      <c r="X786" s="9" t="s">
        <v>29</v>
      </c>
      <c r="AF786">
        <v>834</v>
      </c>
      <c r="AG786" t="s">
        <v>29</v>
      </c>
      <c r="AH786">
        <v>90543.79</v>
      </c>
      <c r="AI786" s="7">
        <v>46008</v>
      </c>
    </row>
    <row r="787" spans="1:35">
      <c r="A787">
        <v>861</v>
      </c>
      <c r="B787" t="str">
        <f t="shared" si="196"/>
        <v>EUR</v>
      </c>
      <c r="C787">
        <f t="shared" si="197"/>
        <v>0</v>
      </c>
      <c r="D787">
        <f t="shared" si="188"/>
        <v>0</v>
      </c>
      <c r="E787">
        <f t="shared" si="189"/>
        <v>0</v>
      </c>
      <c r="F787">
        <v>275.92</v>
      </c>
      <c r="G787">
        <f t="shared" si="190"/>
        <v>275.92</v>
      </c>
      <c r="H787">
        <f t="shared" si="191"/>
        <v>320.06720000000001</v>
      </c>
      <c r="I787">
        <f t="shared" si="198"/>
        <v>0</v>
      </c>
      <c r="J787">
        <f t="shared" si="192"/>
        <v>0</v>
      </c>
      <c r="K787" s="7">
        <f t="shared" si="199"/>
        <v>45930</v>
      </c>
      <c r="L787" s="7">
        <f t="shared" si="193"/>
        <v>45900</v>
      </c>
      <c r="M787">
        <f t="shared" si="194"/>
        <v>8</v>
      </c>
      <c r="N787">
        <f t="shared" si="195"/>
        <v>2025</v>
      </c>
      <c r="Q787" s="22"/>
      <c r="R787" s="22"/>
      <c r="S787" s="22">
        <f t="shared" si="200"/>
        <v>0</v>
      </c>
      <c r="T787" s="22" t="e">
        <f t="shared" si="201"/>
        <v>#N/A</v>
      </c>
      <c r="U787" s="28">
        <v>400</v>
      </c>
      <c r="W787" s="9">
        <v>500</v>
      </c>
      <c r="X787" s="9" t="s">
        <v>27</v>
      </c>
      <c r="AF787">
        <v>835</v>
      </c>
      <c r="AG787" t="s">
        <v>29</v>
      </c>
      <c r="AH787">
        <v>67975.100000000006</v>
      </c>
      <c r="AI787" s="7">
        <v>46130</v>
      </c>
    </row>
    <row r="788" spans="1:35">
      <c r="A788">
        <v>862</v>
      </c>
      <c r="B788" t="str">
        <f t="shared" si="196"/>
        <v>USD</v>
      </c>
      <c r="C788">
        <f t="shared" si="197"/>
        <v>0</v>
      </c>
      <c r="D788">
        <f t="shared" si="188"/>
        <v>0</v>
      </c>
      <c r="E788">
        <f t="shared" si="189"/>
        <v>0</v>
      </c>
      <c r="F788">
        <v>263.72000000000003</v>
      </c>
      <c r="G788">
        <f t="shared" si="190"/>
        <v>226.79920000000001</v>
      </c>
      <c r="H788">
        <f t="shared" si="191"/>
        <v>263.72000000000003</v>
      </c>
      <c r="I788">
        <f t="shared" si="198"/>
        <v>0</v>
      </c>
      <c r="J788">
        <f t="shared" si="192"/>
        <v>0</v>
      </c>
      <c r="K788" s="7">
        <f t="shared" si="199"/>
        <v>46008</v>
      </c>
      <c r="L788" s="7">
        <f t="shared" si="193"/>
        <v>45978</v>
      </c>
      <c r="M788">
        <f t="shared" si="194"/>
        <v>11</v>
      </c>
      <c r="N788">
        <f t="shared" si="195"/>
        <v>2025</v>
      </c>
      <c r="Q788" s="22"/>
      <c r="R788" s="22"/>
      <c r="S788" s="22">
        <f t="shared" si="200"/>
        <v>0</v>
      </c>
      <c r="T788" s="22" t="e">
        <f t="shared" si="201"/>
        <v>#N/A</v>
      </c>
      <c r="U788" s="28">
        <v>400</v>
      </c>
      <c r="W788" s="9">
        <v>500</v>
      </c>
      <c r="X788" s="9" t="s">
        <v>27</v>
      </c>
      <c r="AF788">
        <v>836</v>
      </c>
      <c r="AG788" t="s">
        <v>29</v>
      </c>
      <c r="AH788">
        <v>27115.5</v>
      </c>
      <c r="AI788" s="7">
        <v>45995</v>
      </c>
    </row>
    <row r="789" spans="1:35">
      <c r="A789">
        <v>863</v>
      </c>
      <c r="B789" t="str">
        <f t="shared" si="196"/>
        <v>EUR</v>
      </c>
      <c r="C789">
        <f t="shared" si="197"/>
        <v>14492.61</v>
      </c>
      <c r="D789">
        <f t="shared" si="188"/>
        <v>14492.61</v>
      </c>
      <c r="E789">
        <f t="shared" si="189"/>
        <v>16811.427599999999</v>
      </c>
      <c r="F789">
        <v>14492.61</v>
      </c>
      <c r="G789">
        <f t="shared" si="190"/>
        <v>14492.61</v>
      </c>
      <c r="H789">
        <f t="shared" si="191"/>
        <v>16811.427599999999</v>
      </c>
      <c r="I789">
        <f t="shared" si="198"/>
        <v>0</v>
      </c>
      <c r="J789">
        <f t="shared" si="192"/>
        <v>0</v>
      </c>
      <c r="K789" s="7">
        <f t="shared" si="199"/>
        <v>46020</v>
      </c>
      <c r="L789" s="7">
        <f t="shared" si="193"/>
        <v>45990</v>
      </c>
      <c r="M789">
        <f t="shared" si="194"/>
        <v>11</v>
      </c>
      <c r="N789">
        <f t="shared" si="195"/>
        <v>2025</v>
      </c>
      <c r="Q789" s="22"/>
      <c r="R789" s="22"/>
      <c r="S789" s="22">
        <f t="shared" si="200"/>
        <v>0</v>
      </c>
      <c r="T789" s="22" t="e">
        <f t="shared" si="201"/>
        <v>#N/A</v>
      </c>
      <c r="U789" s="28">
        <v>400</v>
      </c>
      <c r="W789" s="9">
        <v>500</v>
      </c>
      <c r="X789" s="9" t="s">
        <v>27</v>
      </c>
      <c r="AF789">
        <v>837</v>
      </c>
      <c r="AG789" t="s">
        <v>29</v>
      </c>
      <c r="AH789">
        <v>6537.37</v>
      </c>
      <c r="AI789" s="7">
        <v>46033</v>
      </c>
    </row>
    <row r="790" spans="1:35">
      <c r="A790">
        <v>864</v>
      </c>
      <c r="B790" t="str">
        <f t="shared" si="196"/>
        <v>USD</v>
      </c>
      <c r="C790">
        <f t="shared" si="197"/>
        <v>0</v>
      </c>
      <c r="D790">
        <f t="shared" si="188"/>
        <v>0</v>
      </c>
      <c r="E790">
        <f t="shared" si="189"/>
        <v>0</v>
      </c>
      <c r="F790">
        <v>287.76</v>
      </c>
      <c r="G790">
        <f t="shared" si="190"/>
        <v>247.47359999999998</v>
      </c>
      <c r="H790">
        <f t="shared" si="191"/>
        <v>287.76</v>
      </c>
      <c r="I790">
        <f t="shared" si="198"/>
        <v>0</v>
      </c>
      <c r="J790">
        <f t="shared" si="192"/>
        <v>0</v>
      </c>
      <c r="K790" s="7">
        <f t="shared" si="199"/>
        <v>46006</v>
      </c>
      <c r="L790" s="7">
        <f t="shared" si="193"/>
        <v>45976</v>
      </c>
      <c r="M790">
        <f t="shared" si="194"/>
        <v>11</v>
      </c>
      <c r="N790">
        <f t="shared" si="195"/>
        <v>2025</v>
      </c>
      <c r="Q790" s="22"/>
      <c r="R790" s="22"/>
      <c r="S790" s="22">
        <f t="shared" si="200"/>
        <v>0</v>
      </c>
      <c r="T790" s="22" t="e">
        <f t="shared" si="201"/>
        <v>#N/A</v>
      </c>
      <c r="U790" s="28">
        <v>400</v>
      </c>
      <c r="W790" s="9">
        <v>500</v>
      </c>
      <c r="X790" s="9" t="s">
        <v>27</v>
      </c>
      <c r="AF790">
        <v>838</v>
      </c>
      <c r="AG790" t="s">
        <v>29</v>
      </c>
      <c r="AH790">
        <v>37179.75</v>
      </c>
      <c r="AI790" s="7">
        <v>46104</v>
      </c>
    </row>
    <row r="791" spans="1:35">
      <c r="A791">
        <v>866</v>
      </c>
      <c r="B791" t="str">
        <f t="shared" si="196"/>
        <v>MXN</v>
      </c>
      <c r="C791">
        <f t="shared" si="197"/>
        <v>83104</v>
      </c>
      <c r="D791">
        <f t="shared" si="188"/>
        <v>3988.9920000000002</v>
      </c>
      <c r="E791">
        <f t="shared" si="189"/>
        <v>4653.8240000000005</v>
      </c>
      <c r="F791">
        <v>8000</v>
      </c>
      <c r="G791">
        <f t="shared" si="190"/>
        <v>384</v>
      </c>
      <c r="H791">
        <f t="shared" si="191"/>
        <v>448</v>
      </c>
      <c r="I791">
        <f t="shared" si="198"/>
        <v>75104</v>
      </c>
      <c r="J791">
        <f t="shared" si="192"/>
        <v>4205.8240000000005</v>
      </c>
      <c r="K791" s="7">
        <f t="shared" si="199"/>
        <v>46328</v>
      </c>
      <c r="L791" s="7">
        <f t="shared" si="193"/>
        <v>46298</v>
      </c>
      <c r="M791">
        <f t="shared" si="194"/>
        <v>10</v>
      </c>
      <c r="N791">
        <f t="shared" si="195"/>
        <v>2026</v>
      </c>
      <c r="Q791" s="22"/>
      <c r="R791" s="22"/>
      <c r="S791" s="22">
        <f t="shared" si="200"/>
        <v>0</v>
      </c>
      <c r="T791" s="22" t="e">
        <f t="shared" si="201"/>
        <v>#N/A</v>
      </c>
      <c r="U791" s="28">
        <v>400</v>
      </c>
      <c r="W791" s="9">
        <v>500</v>
      </c>
      <c r="X791" s="9" t="s">
        <v>27</v>
      </c>
      <c r="AF791">
        <v>839</v>
      </c>
      <c r="AG791" t="s">
        <v>28</v>
      </c>
      <c r="AH791">
        <v>41196.300000000003</v>
      </c>
      <c r="AI791" s="7">
        <v>46009</v>
      </c>
    </row>
    <row r="792" spans="1:35">
      <c r="A792">
        <v>867</v>
      </c>
      <c r="B792" t="str">
        <f t="shared" si="196"/>
        <v>EUR</v>
      </c>
      <c r="C792">
        <f t="shared" si="197"/>
        <v>16067.26</v>
      </c>
      <c r="D792">
        <f t="shared" si="188"/>
        <v>16067.26</v>
      </c>
      <c r="E792">
        <f t="shared" si="189"/>
        <v>18638.0216</v>
      </c>
      <c r="F792">
        <v>8597.7999999999993</v>
      </c>
      <c r="G792">
        <f t="shared" si="190"/>
        <v>8597.7999999999993</v>
      </c>
      <c r="H792">
        <f t="shared" si="191"/>
        <v>9973.4479999999985</v>
      </c>
      <c r="I792">
        <f t="shared" si="198"/>
        <v>7469.4600000000009</v>
      </c>
      <c r="J792">
        <f t="shared" si="192"/>
        <v>8664.5735999999997</v>
      </c>
      <c r="K792" s="7">
        <f t="shared" si="199"/>
        <v>46169</v>
      </c>
      <c r="L792" s="7">
        <f t="shared" si="193"/>
        <v>46139</v>
      </c>
      <c r="M792">
        <f t="shared" si="194"/>
        <v>4</v>
      </c>
      <c r="N792">
        <f t="shared" si="195"/>
        <v>2026</v>
      </c>
      <c r="Q792" s="22"/>
      <c r="R792" s="22"/>
      <c r="S792" s="22">
        <f t="shared" si="200"/>
        <v>0</v>
      </c>
      <c r="T792" s="22" t="e">
        <f t="shared" si="201"/>
        <v>#N/A</v>
      </c>
      <c r="U792" s="28">
        <v>400</v>
      </c>
      <c r="W792" s="9">
        <v>500</v>
      </c>
      <c r="X792" s="9" t="s">
        <v>27</v>
      </c>
      <c r="AF792">
        <v>840</v>
      </c>
      <c r="AG792" t="s">
        <v>29</v>
      </c>
      <c r="AH792">
        <v>6083.58</v>
      </c>
      <c r="AI792" s="7">
        <v>45980</v>
      </c>
    </row>
    <row r="793" spans="1:35">
      <c r="A793">
        <v>868</v>
      </c>
      <c r="B793" t="str">
        <f t="shared" si="196"/>
        <v>USD</v>
      </c>
      <c r="C793">
        <f t="shared" si="197"/>
        <v>7904.33</v>
      </c>
      <c r="D793">
        <f t="shared" si="188"/>
        <v>6797.7237999999998</v>
      </c>
      <c r="E793">
        <f t="shared" si="189"/>
        <v>7904.33</v>
      </c>
      <c r="F793">
        <v>7904.33</v>
      </c>
      <c r="G793">
        <f t="shared" si="190"/>
        <v>6797.7237999999998</v>
      </c>
      <c r="H793">
        <f t="shared" si="191"/>
        <v>7904.33</v>
      </c>
      <c r="I793">
        <f t="shared" si="198"/>
        <v>0</v>
      </c>
      <c r="J793">
        <f t="shared" si="192"/>
        <v>0</v>
      </c>
      <c r="K793" s="7">
        <f t="shared" si="199"/>
        <v>46017</v>
      </c>
      <c r="L793" s="7">
        <f t="shared" si="193"/>
        <v>45987</v>
      </c>
      <c r="M793">
        <f t="shared" si="194"/>
        <v>11</v>
      </c>
      <c r="N793">
        <f t="shared" si="195"/>
        <v>2025</v>
      </c>
      <c r="Q793" s="22"/>
      <c r="R793" s="22"/>
      <c r="S793" s="22">
        <f t="shared" si="200"/>
        <v>0</v>
      </c>
      <c r="T793" s="22" t="e">
        <f t="shared" si="201"/>
        <v>#N/A</v>
      </c>
      <c r="U793" s="28">
        <v>400</v>
      </c>
      <c r="W793" s="9">
        <v>500</v>
      </c>
      <c r="X793" s="9" t="s">
        <v>27</v>
      </c>
      <c r="AF793">
        <v>841</v>
      </c>
      <c r="AG793" t="s">
        <v>29</v>
      </c>
      <c r="AH793">
        <v>56571.9</v>
      </c>
      <c r="AI793" s="7">
        <v>46017</v>
      </c>
    </row>
    <row r="794" spans="1:35">
      <c r="A794">
        <v>870</v>
      </c>
      <c r="B794" t="str">
        <f t="shared" si="196"/>
        <v>USD</v>
      </c>
      <c r="C794">
        <f t="shared" si="197"/>
        <v>19002</v>
      </c>
      <c r="D794">
        <f t="shared" si="188"/>
        <v>16341.72</v>
      </c>
      <c r="E794">
        <f t="shared" si="189"/>
        <v>19002</v>
      </c>
      <c r="F794">
        <v>8336</v>
      </c>
      <c r="G794">
        <f t="shared" si="190"/>
        <v>7168.96</v>
      </c>
      <c r="H794">
        <f t="shared" si="191"/>
        <v>8336</v>
      </c>
      <c r="I794">
        <f t="shared" si="198"/>
        <v>10666</v>
      </c>
      <c r="J794">
        <f t="shared" si="192"/>
        <v>10666</v>
      </c>
      <c r="K794" s="7">
        <f t="shared" si="199"/>
        <v>46138</v>
      </c>
      <c r="L794" s="7">
        <f t="shared" si="193"/>
        <v>46108</v>
      </c>
      <c r="M794">
        <f t="shared" si="194"/>
        <v>3</v>
      </c>
      <c r="N794">
        <f t="shared" si="195"/>
        <v>2026</v>
      </c>
      <c r="Q794" s="22"/>
      <c r="R794" s="22"/>
      <c r="S794" s="22">
        <f t="shared" si="200"/>
        <v>0</v>
      </c>
      <c r="T794" s="22" t="e">
        <f t="shared" si="201"/>
        <v>#N/A</v>
      </c>
      <c r="U794" s="28">
        <v>400</v>
      </c>
      <c r="W794" s="9">
        <v>501</v>
      </c>
      <c r="X794" s="9" t="s">
        <v>29</v>
      </c>
      <c r="AF794">
        <v>842</v>
      </c>
      <c r="AG794" t="s">
        <v>29</v>
      </c>
      <c r="AH794">
        <v>1210.2</v>
      </c>
      <c r="AI794" s="7">
        <v>46066</v>
      </c>
    </row>
    <row r="795" spans="1:35">
      <c r="A795">
        <v>871</v>
      </c>
      <c r="B795" t="str">
        <f t="shared" si="196"/>
        <v>MXN</v>
      </c>
      <c r="C795">
        <f t="shared" si="197"/>
        <v>104592</v>
      </c>
      <c r="D795">
        <f t="shared" si="188"/>
        <v>5020.4160000000002</v>
      </c>
      <c r="E795">
        <f t="shared" si="189"/>
        <v>5857.152</v>
      </c>
      <c r="F795">
        <v>104592</v>
      </c>
      <c r="G795">
        <f t="shared" si="190"/>
        <v>5020.4160000000002</v>
      </c>
      <c r="H795">
        <f t="shared" si="191"/>
        <v>5857.152</v>
      </c>
      <c r="I795">
        <f t="shared" si="198"/>
        <v>0</v>
      </c>
      <c r="J795">
        <f t="shared" si="192"/>
        <v>0</v>
      </c>
      <c r="K795" s="7">
        <f t="shared" si="199"/>
        <v>45993</v>
      </c>
      <c r="L795" s="7">
        <f t="shared" si="193"/>
        <v>45963</v>
      </c>
      <c r="M795">
        <f t="shared" si="194"/>
        <v>11</v>
      </c>
      <c r="N795">
        <f t="shared" si="195"/>
        <v>2025</v>
      </c>
      <c r="Q795" s="22"/>
      <c r="R795" s="22"/>
      <c r="S795" s="22">
        <f t="shared" si="200"/>
        <v>0</v>
      </c>
      <c r="T795" s="22" t="e">
        <f t="shared" si="201"/>
        <v>#N/A</v>
      </c>
      <c r="U795" s="28">
        <v>400</v>
      </c>
      <c r="W795" s="9">
        <v>503</v>
      </c>
      <c r="X795" s="9" t="s">
        <v>29</v>
      </c>
      <c r="AF795">
        <v>843</v>
      </c>
      <c r="AG795" t="s">
        <v>29</v>
      </c>
      <c r="AH795">
        <v>5230.99</v>
      </c>
      <c r="AI795" s="7">
        <v>45963</v>
      </c>
    </row>
    <row r="796" spans="1:35">
      <c r="A796">
        <v>872</v>
      </c>
      <c r="B796" t="str">
        <f t="shared" si="196"/>
        <v>MXN</v>
      </c>
      <c r="C796">
        <f t="shared" si="197"/>
        <v>41552</v>
      </c>
      <c r="D796">
        <f t="shared" si="188"/>
        <v>1994.4960000000001</v>
      </c>
      <c r="E796">
        <f t="shared" si="189"/>
        <v>2326.9120000000003</v>
      </c>
      <c r="F796">
        <v>10000</v>
      </c>
      <c r="G796">
        <f t="shared" si="190"/>
        <v>480</v>
      </c>
      <c r="H796">
        <f t="shared" si="191"/>
        <v>560</v>
      </c>
      <c r="I796">
        <f t="shared" si="198"/>
        <v>31552</v>
      </c>
      <c r="J796">
        <f t="shared" si="192"/>
        <v>1766.912</v>
      </c>
      <c r="K796" s="7">
        <f t="shared" si="199"/>
        <v>46328</v>
      </c>
      <c r="L796" s="7">
        <f t="shared" si="193"/>
        <v>46298</v>
      </c>
      <c r="M796">
        <f t="shared" si="194"/>
        <v>10</v>
      </c>
      <c r="N796">
        <f t="shared" si="195"/>
        <v>2026</v>
      </c>
      <c r="Q796" s="22"/>
      <c r="R796" s="22"/>
      <c r="S796" s="22">
        <f t="shared" si="200"/>
        <v>0</v>
      </c>
      <c r="T796" s="22" t="e">
        <f t="shared" si="201"/>
        <v>#N/A</v>
      </c>
      <c r="U796" s="28">
        <v>400</v>
      </c>
      <c r="W796" s="9">
        <v>503</v>
      </c>
      <c r="X796" s="9" t="s">
        <v>29</v>
      </c>
      <c r="AF796">
        <v>844</v>
      </c>
      <c r="AG796" t="s">
        <v>27</v>
      </c>
      <c r="AH796">
        <v>12165.93</v>
      </c>
      <c r="AI796" s="7">
        <v>46016</v>
      </c>
    </row>
    <row r="797" spans="1:35">
      <c r="A797">
        <v>874</v>
      </c>
      <c r="B797" t="str">
        <f t="shared" si="196"/>
        <v>USD</v>
      </c>
      <c r="C797">
        <f t="shared" si="197"/>
        <v>18040</v>
      </c>
      <c r="D797">
        <f t="shared" si="188"/>
        <v>15514.4</v>
      </c>
      <c r="E797">
        <f t="shared" si="189"/>
        <v>18040</v>
      </c>
      <c r="F797">
        <v>5412</v>
      </c>
      <c r="G797">
        <f t="shared" si="190"/>
        <v>4654.32</v>
      </c>
      <c r="H797">
        <f t="shared" si="191"/>
        <v>5412</v>
      </c>
      <c r="I797">
        <f t="shared" si="198"/>
        <v>12628</v>
      </c>
      <c r="J797">
        <f t="shared" si="192"/>
        <v>12628</v>
      </c>
      <c r="K797" s="7">
        <f t="shared" si="199"/>
        <v>46230</v>
      </c>
      <c r="L797" s="7">
        <f t="shared" si="193"/>
        <v>46200</v>
      </c>
      <c r="M797">
        <f t="shared" si="194"/>
        <v>6</v>
      </c>
      <c r="N797">
        <f t="shared" si="195"/>
        <v>2026</v>
      </c>
      <c r="Q797" s="22"/>
      <c r="R797" s="22"/>
      <c r="S797" s="22">
        <f t="shared" si="200"/>
        <v>0</v>
      </c>
      <c r="T797" s="22" t="e">
        <f t="shared" si="201"/>
        <v>#N/A</v>
      </c>
      <c r="U797" s="28">
        <v>400</v>
      </c>
      <c r="W797" s="9">
        <v>503</v>
      </c>
      <c r="X797" s="9" t="s">
        <v>29</v>
      </c>
      <c r="AF797">
        <v>845</v>
      </c>
      <c r="AG797" t="s">
        <v>29</v>
      </c>
      <c r="AH797">
        <v>8685.09</v>
      </c>
      <c r="AI797" s="7">
        <v>46114</v>
      </c>
    </row>
    <row r="798" spans="1:35">
      <c r="A798">
        <v>875</v>
      </c>
      <c r="B798" t="str">
        <f t="shared" si="196"/>
        <v>USD</v>
      </c>
      <c r="C798">
        <f t="shared" si="197"/>
        <v>2717.76</v>
      </c>
      <c r="D798">
        <f t="shared" si="188"/>
        <v>2337.2736</v>
      </c>
      <c r="E798">
        <f t="shared" si="189"/>
        <v>2717.76</v>
      </c>
      <c r="F798">
        <v>3899.58</v>
      </c>
      <c r="G798">
        <f t="shared" si="190"/>
        <v>3353.6387999999997</v>
      </c>
      <c r="H798">
        <f t="shared" si="191"/>
        <v>3899.58</v>
      </c>
      <c r="I798">
        <f t="shared" si="198"/>
        <v>2717.76</v>
      </c>
      <c r="J798">
        <f t="shared" si="192"/>
        <v>2717.76</v>
      </c>
      <c r="K798" s="7">
        <f t="shared" si="199"/>
        <v>46025</v>
      </c>
      <c r="L798" s="7">
        <f t="shared" si="193"/>
        <v>45995</v>
      </c>
      <c r="M798">
        <f t="shared" si="194"/>
        <v>12</v>
      </c>
      <c r="N798">
        <f t="shared" si="195"/>
        <v>2025</v>
      </c>
      <c r="Q798" s="22"/>
      <c r="R798" s="22"/>
      <c r="S798" s="22">
        <f t="shared" si="200"/>
        <v>0</v>
      </c>
      <c r="T798" s="22" t="e">
        <f t="shared" si="201"/>
        <v>#N/A</v>
      </c>
      <c r="U798" s="28">
        <v>400</v>
      </c>
      <c r="W798" s="9">
        <v>505</v>
      </c>
      <c r="X798" s="9" t="s">
        <v>27</v>
      </c>
      <c r="AF798">
        <v>846</v>
      </c>
      <c r="AG798" t="s">
        <v>29</v>
      </c>
      <c r="AH798">
        <v>112620.2</v>
      </c>
      <c r="AI798" s="7">
        <v>46108</v>
      </c>
    </row>
    <row r="799" spans="1:35">
      <c r="A799">
        <v>876</v>
      </c>
      <c r="B799" t="str">
        <f t="shared" si="196"/>
        <v>USD</v>
      </c>
      <c r="C799">
        <f t="shared" si="197"/>
        <v>0</v>
      </c>
      <c r="D799">
        <f t="shared" si="188"/>
        <v>0</v>
      </c>
      <c r="E799">
        <f t="shared" si="189"/>
        <v>0</v>
      </c>
      <c r="F799">
        <v>508.64</v>
      </c>
      <c r="G799">
        <f t="shared" si="190"/>
        <v>437.43039999999996</v>
      </c>
      <c r="H799">
        <f t="shared" si="191"/>
        <v>508.64</v>
      </c>
      <c r="I799">
        <f t="shared" si="198"/>
        <v>0</v>
      </c>
      <c r="J799">
        <f t="shared" si="192"/>
        <v>0</v>
      </c>
      <c r="K799" s="7">
        <f t="shared" si="199"/>
        <v>45807</v>
      </c>
      <c r="L799" s="7">
        <f t="shared" si="193"/>
        <v>45777</v>
      </c>
      <c r="M799">
        <f t="shared" si="194"/>
        <v>4</v>
      </c>
      <c r="N799">
        <f t="shared" si="195"/>
        <v>2025</v>
      </c>
      <c r="Q799" s="22"/>
      <c r="R799" s="22"/>
      <c r="S799" s="22">
        <f t="shared" si="200"/>
        <v>0</v>
      </c>
      <c r="T799" s="22" t="e">
        <f t="shared" si="201"/>
        <v>#N/A</v>
      </c>
      <c r="U799" s="28">
        <v>400</v>
      </c>
      <c r="W799" s="9">
        <v>505</v>
      </c>
      <c r="X799" s="9" t="s">
        <v>27</v>
      </c>
      <c r="AF799">
        <v>847</v>
      </c>
      <c r="AG799" t="s">
        <v>29</v>
      </c>
      <c r="AH799">
        <v>1300.47</v>
      </c>
      <c r="AI799" s="7">
        <v>45982</v>
      </c>
    </row>
    <row r="800" spans="1:35">
      <c r="A800">
        <v>877</v>
      </c>
      <c r="B800" t="str">
        <f t="shared" si="196"/>
        <v>USD</v>
      </c>
      <c r="C800">
        <f t="shared" si="197"/>
        <v>0</v>
      </c>
      <c r="D800">
        <f t="shared" si="188"/>
        <v>0</v>
      </c>
      <c r="E800">
        <f t="shared" si="189"/>
        <v>0</v>
      </c>
      <c r="F800">
        <v>10000</v>
      </c>
      <c r="G800">
        <f t="shared" si="190"/>
        <v>8600</v>
      </c>
      <c r="H800">
        <f t="shared" si="191"/>
        <v>10000</v>
      </c>
      <c r="I800">
        <f t="shared" si="198"/>
        <v>0</v>
      </c>
      <c r="J800">
        <f t="shared" si="192"/>
        <v>0</v>
      </c>
      <c r="K800" s="7">
        <f t="shared" si="199"/>
        <v>45978</v>
      </c>
      <c r="L800" s="7">
        <f t="shared" si="193"/>
        <v>45948</v>
      </c>
      <c r="M800">
        <f t="shared" si="194"/>
        <v>10</v>
      </c>
      <c r="N800">
        <f t="shared" si="195"/>
        <v>2025</v>
      </c>
      <c r="Q800" s="22"/>
      <c r="R800" s="22"/>
      <c r="S800" s="22">
        <f t="shared" si="200"/>
        <v>0</v>
      </c>
      <c r="T800" s="22" t="e">
        <f t="shared" si="201"/>
        <v>#N/A</v>
      </c>
      <c r="U800" s="28">
        <v>400</v>
      </c>
      <c r="W800" s="9">
        <v>505</v>
      </c>
      <c r="X800" s="9" t="s">
        <v>27</v>
      </c>
      <c r="AF800">
        <v>848</v>
      </c>
      <c r="AG800" t="s">
        <v>29</v>
      </c>
      <c r="AH800">
        <v>88639.39</v>
      </c>
      <c r="AI800" s="7">
        <v>46009</v>
      </c>
    </row>
    <row r="801" spans="1:35">
      <c r="A801">
        <v>878</v>
      </c>
      <c r="B801" t="str">
        <f t="shared" si="196"/>
        <v>EUR</v>
      </c>
      <c r="C801">
        <f t="shared" si="197"/>
        <v>1100</v>
      </c>
      <c r="D801">
        <f t="shared" si="188"/>
        <v>1100</v>
      </c>
      <c r="E801">
        <f t="shared" si="189"/>
        <v>1276</v>
      </c>
      <c r="F801">
        <v>1100</v>
      </c>
      <c r="G801">
        <f t="shared" si="190"/>
        <v>1100</v>
      </c>
      <c r="H801">
        <f t="shared" si="191"/>
        <v>1276</v>
      </c>
      <c r="I801">
        <f t="shared" si="198"/>
        <v>0</v>
      </c>
      <c r="J801">
        <f t="shared" si="192"/>
        <v>0</v>
      </c>
      <c r="K801" s="7">
        <f t="shared" si="199"/>
        <v>45995</v>
      </c>
      <c r="L801" s="7">
        <f t="shared" si="193"/>
        <v>45965</v>
      </c>
      <c r="M801">
        <f t="shared" si="194"/>
        <v>11</v>
      </c>
      <c r="N801">
        <f t="shared" si="195"/>
        <v>2025</v>
      </c>
      <c r="Q801" s="22"/>
      <c r="R801" s="22"/>
      <c r="S801" s="22">
        <f t="shared" si="200"/>
        <v>0</v>
      </c>
      <c r="T801" s="22" t="e">
        <f t="shared" si="201"/>
        <v>#N/A</v>
      </c>
      <c r="U801" s="28">
        <v>400</v>
      </c>
      <c r="W801" s="9">
        <v>506</v>
      </c>
      <c r="X801" s="9" t="s">
        <v>29</v>
      </c>
      <c r="AF801">
        <v>849</v>
      </c>
      <c r="AG801" t="s">
        <v>29</v>
      </c>
      <c r="AH801">
        <v>4046.02</v>
      </c>
      <c r="AI801" s="7">
        <v>46013</v>
      </c>
    </row>
    <row r="802" spans="1:35">
      <c r="A802">
        <v>879</v>
      </c>
      <c r="B802" t="str">
        <f t="shared" si="196"/>
        <v>USD</v>
      </c>
      <c r="C802">
        <f t="shared" si="197"/>
        <v>0</v>
      </c>
      <c r="D802">
        <f t="shared" si="188"/>
        <v>0</v>
      </c>
      <c r="E802">
        <f t="shared" si="189"/>
        <v>0</v>
      </c>
      <c r="F802">
        <v>5281.02</v>
      </c>
      <c r="G802">
        <f t="shared" si="190"/>
        <v>4541.6772000000001</v>
      </c>
      <c r="H802">
        <f t="shared" si="191"/>
        <v>5281.02</v>
      </c>
      <c r="I802">
        <f t="shared" si="198"/>
        <v>0</v>
      </c>
      <c r="J802">
        <f t="shared" si="192"/>
        <v>0</v>
      </c>
      <c r="K802" s="7">
        <f t="shared" si="199"/>
        <v>45950</v>
      </c>
      <c r="L802" s="7">
        <f t="shared" si="193"/>
        <v>45920</v>
      </c>
      <c r="M802">
        <f t="shared" si="194"/>
        <v>9</v>
      </c>
      <c r="N802">
        <f t="shared" si="195"/>
        <v>2025</v>
      </c>
      <c r="Q802" s="22"/>
      <c r="R802" s="22"/>
      <c r="S802" s="22">
        <f t="shared" si="200"/>
        <v>0</v>
      </c>
      <c r="T802" s="22" t="e">
        <f t="shared" si="201"/>
        <v>#N/A</v>
      </c>
      <c r="U802" s="28">
        <v>400</v>
      </c>
      <c r="W802" s="9">
        <v>506</v>
      </c>
      <c r="X802" s="9" t="s">
        <v>29</v>
      </c>
      <c r="AF802">
        <v>850</v>
      </c>
      <c r="AG802" t="s">
        <v>29</v>
      </c>
      <c r="AH802">
        <v>179899.82</v>
      </c>
      <c r="AI802" s="7">
        <v>46016</v>
      </c>
    </row>
    <row r="803" spans="1:35">
      <c r="A803">
        <v>880</v>
      </c>
      <c r="B803" t="str">
        <f t="shared" si="196"/>
        <v>USD</v>
      </c>
      <c r="C803">
        <f t="shared" si="197"/>
        <v>0</v>
      </c>
      <c r="D803">
        <f t="shared" si="188"/>
        <v>0</v>
      </c>
      <c r="E803">
        <f t="shared" si="189"/>
        <v>0</v>
      </c>
      <c r="F803">
        <v>7141.22</v>
      </c>
      <c r="G803">
        <f t="shared" si="190"/>
        <v>6141.4492</v>
      </c>
      <c r="H803">
        <f t="shared" si="191"/>
        <v>7141.22</v>
      </c>
      <c r="I803">
        <f t="shared" si="198"/>
        <v>0</v>
      </c>
      <c r="J803">
        <f t="shared" si="192"/>
        <v>0</v>
      </c>
      <c r="K803" s="7">
        <f t="shared" si="199"/>
        <v>45955</v>
      </c>
      <c r="L803" s="7">
        <f t="shared" si="193"/>
        <v>45925</v>
      </c>
      <c r="M803">
        <f t="shared" si="194"/>
        <v>9</v>
      </c>
      <c r="N803">
        <f t="shared" si="195"/>
        <v>2025</v>
      </c>
      <c r="Q803" s="22"/>
      <c r="R803" s="22"/>
      <c r="S803" s="22">
        <f t="shared" si="200"/>
        <v>0</v>
      </c>
      <c r="T803" s="22" t="e">
        <f t="shared" si="201"/>
        <v>#N/A</v>
      </c>
      <c r="U803" s="28">
        <v>400</v>
      </c>
      <c r="W803" s="9">
        <v>506</v>
      </c>
      <c r="X803" s="9" t="s">
        <v>29</v>
      </c>
      <c r="AF803">
        <v>851</v>
      </c>
      <c r="AG803" t="s">
        <v>29</v>
      </c>
      <c r="AH803">
        <v>430</v>
      </c>
      <c r="AI803" s="7">
        <v>45987</v>
      </c>
    </row>
    <row r="804" spans="1:35">
      <c r="A804">
        <v>882</v>
      </c>
      <c r="B804" t="str">
        <f t="shared" si="196"/>
        <v>JPY</v>
      </c>
      <c r="C804">
        <f t="shared" si="197"/>
        <v>0</v>
      </c>
      <c r="D804">
        <f t="shared" si="188"/>
        <v>0</v>
      </c>
      <c r="E804">
        <f t="shared" si="189"/>
        <v>0</v>
      </c>
      <c r="F804">
        <v>427120</v>
      </c>
      <c r="G804">
        <f t="shared" si="190"/>
        <v>2349.16</v>
      </c>
      <c r="H804">
        <f t="shared" si="191"/>
        <v>2733.5680000000002</v>
      </c>
      <c r="I804">
        <f t="shared" si="198"/>
        <v>0</v>
      </c>
      <c r="J804">
        <f t="shared" si="192"/>
        <v>0</v>
      </c>
      <c r="K804" s="7">
        <f t="shared" si="199"/>
        <v>46032</v>
      </c>
      <c r="L804" s="7">
        <f t="shared" si="193"/>
        <v>46002</v>
      </c>
      <c r="M804">
        <f t="shared" si="194"/>
        <v>12</v>
      </c>
      <c r="N804">
        <f t="shared" si="195"/>
        <v>2025</v>
      </c>
      <c r="Q804" s="22"/>
      <c r="R804" s="22"/>
      <c r="S804" s="22">
        <f t="shared" si="200"/>
        <v>0</v>
      </c>
      <c r="T804" s="22" t="e">
        <f t="shared" si="201"/>
        <v>#N/A</v>
      </c>
      <c r="U804" s="28">
        <v>400</v>
      </c>
      <c r="W804" s="9">
        <v>506</v>
      </c>
      <c r="X804" s="9" t="s">
        <v>29</v>
      </c>
      <c r="AF804">
        <v>852</v>
      </c>
      <c r="AG804" t="s">
        <v>29</v>
      </c>
      <c r="AH804">
        <v>11149.92</v>
      </c>
      <c r="AI804" s="7">
        <v>46116</v>
      </c>
    </row>
    <row r="805" spans="1:35">
      <c r="A805">
        <v>884</v>
      </c>
      <c r="B805" t="str">
        <f t="shared" si="196"/>
        <v>USD</v>
      </c>
      <c r="C805">
        <f t="shared" si="197"/>
        <v>0</v>
      </c>
      <c r="D805">
        <f t="shared" si="188"/>
        <v>0</v>
      </c>
      <c r="E805">
        <f t="shared" si="189"/>
        <v>0</v>
      </c>
      <c r="F805">
        <v>759.07</v>
      </c>
      <c r="G805">
        <f t="shared" si="190"/>
        <v>652.80020000000002</v>
      </c>
      <c r="H805">
        <f t="shared" si="191"/>
        <v>759.07</v>
      </c>
      <c r="I805">
        <f t="shared" si="198"/>
        <v>0</v>
      </c>
      <c r="J805">
        <f t="shared" si="192"/>
        <v>0</v>
      </c>
      <c r="K805" s="7">
        <f t="shared" si="199"/>
        <v>45941</v>
      </c>
      <c r="L805" s="7">
        <f t="shared" si="193"/>
        <v>45911</v>
      </c>
      <c r="M805">
        <f t="shared" si="194"/>
        <v>9</v>
      </c>
      <c r="N805">
        <f t="shared" si="195"/>
        <v>2025</v>
      </c>
      <c r="Q805" s="22"/>
      <c r="R805" s="22"/>
      <c r="S805" s="22">
        <f t="shared" si="200"/>
        <v>0</v>
      </c>
      <c r="T805" s="22" t="e">
        <f t="shared" si="201"/>
        <v>#N/A</v>
      </c>
      <c r="U805" s="28">
        <v>400</v>
      </c>
      <c r="W805" s="9">
        <v>507</v>
      </c>
      <c r="X805" s="9" t="s">
        <v>29</v>
      </c>
      <c r="AF805">
        <v>855</v>
      </c>
      <c r="AG805" t="s">
        <v>29</v>
      </c>
      <c r="AH805">
        <v>14330.62</v>
      </c>
      <c r="AI805" s="7">
        <v>46260</v>
      </c>
    </row>
    <row r="806" spans="1:35">
      <c r="A806">
        <v>886</v>
      </c>
      <c r="B806" t="str">
        <f t="shared" si="196"/>
        <v>USD</v>
      </c>
      <c r="C806">
        <f t="shared" si="197"/>
        <v>335788</v>
      </c>
      <c r="D806">
        <f t="shared" si="188"/>
        <v>288777.68</v>
      </c>
      <c r="E806">
        <f t="shared" si="189"/>
        <v>335788</v>
      </c>
      <c r="F806">
        <v>220000</v>
      </c>
      <c r="G806">
        <f t="shared" si="190"/>
        <v>189200</v>
      </c>
      <c r="H806">
        <f t="shared" si="191"/>
        <v>220000</v>
      </c>
      <c r="I806">
        <f t="shared" si="198"/>
        <v>115788</v>
      </c>
      <c r="J806">
        <f t="shared" si="192"/>
        <v>115788</v>
      </c>
      <c r="K806" s="7">
        <f t="shared" si="199"/>
        <v>46226</v>
      </c>
      <c r="L806" s="7">
        <f t="shared" si="193"/>
        <v>46196</v>
      </c>
      <c r="M806">
        <f t="shared" si="194"/>
        <v>6</v>
      </c>
      <c r="N806">
        <f t="shared" si="195"/>
        <v>2026</v>
      </c>
      <c r="Q806" s="22"/>
      <c r="R806" s="22"/>
      <c r="S806" s="22">
        <f t="shared" si="200"/>
        <v>0</v>
      </c>
      <c r="T806" s="22" t="e">
        <f t="shared" si="201"/>
        <v>#N/A</v>
      </c>
      <c r="U806" s="28">
        <v>400</v>
      </c>
      <c r="W806" s="9">
        <v>507</v>
      </c>
      <c r="X806" s="9" t="s">
        <v>29</v>
      </c>
      <c r="AF806">
        <v>856</v>
      </c>
      <c r="AG806" t="s">
        <v>27</v>
      </c>
      <c r="AH806">
        <v>8775</v>
      </c>
      <c r="AI806" s="7">
        <v>45982</v>
      </c>
    </row>
    <row r="807" spans="1:35">
      <c r="A807">
        <v>887</v>
      </c>
      <c r="B807" t="str">
        <f t="shared" si="196"/>
        <v>MXN</v>
      </c>
      <c r="C807">
        <f t="shared" si="197"/>
        <v>425999.96</v>
      </c>
      <c r="D807">
        <f t="shared" si="188"/>
        <v>20447.998080000001</v>
      </c>
      <c r="E807">
        <f t="shared" si="189"/>
        <v>23855.997760000002</v>
      </c>
      <c r="F807">
        <v>426000</v>
      </c>
      <c r="G807">
        <f t="shared" si="190"/>
        <v>20448</v>
      </c>
      <c r="H807">
        <f t="shared" si="191"/>
        <v>23856</v>
      </c>
      <c r="I807">
        <f t="shared" si="198"/>
        <v>-3.9999999979045242E-2</v>
      </c>
      <c r="J807">
        <f t="shared" si="192"/>
        <v>-2.2399999988265335E-3</v>
      </c>
      <c r="K807" s="7">
        <f t="shared" si="199"/>
        <v>46096</v>
      </c>
      <c r="L807" s="7">
        <f t="shared" si="193"/>
        <v>46066</v>
      </c>
      <c r="M807">
        <f t="shared" si="194"/>
        <v>2</v>
      </c>
      <c r="N807">
        <f t="shared" si="195"/>
        <v>2026</v>
      </c>
      <c r="Q807" s="22"/>
      <c r="R807" s="22"/>
      <c r="S807" s="22">
        <f t="shared" si="200"/>
        <v>0</v>
      </c>
      <c r="T807" s="22" t="e">
        <f t="shared" si="201"/>
        <v>#N/A</v>
      </c>
      <c r="U807" s="28">
        <v>400</v>
      </c>
      <c r="W807" s="9">
        <v>507</v>
      </c>
      <c r="X807" s="9" t="s">
        <v>29</v>
      </c>
      <c r="AF807">
        <v>857</v>
      </c>
      <c r="AG807" t="s">
        <v>27</v>
      </c>
      <c r="AH807">
        <v>9081</v>
      </c>
      <c r="AI807" s="7">
        <v>45984</v>
      </c>
    </row>
    <row r="808" spans="1:35">
      <c r="A808">
        <v>889</v>
      </c>
      <c r="B808" t="str">
        <f t="shared" si="196"/>
        <v>USD</v>
      </c>
      <c r="C808">
        <f t="shared" si="197"/>
        <v>13350.88</v>
      </c>
      <c r="D808">
        <f t="shared" si="188"/>
        <v>11481.756799999999</v>
      </c>
      <c r="E808">
        <f t="shared" si="189"/>
        <v>13350.88</v>
      </c>
      <c r="F808">
        <v>7800</v>
      </c>
      <c r="G808">
        <f t="shared" si="190"/>
        <v>6708</v>
      </c>
      <c r="H808">
        <f t="shared" si="191"/>
        <v>7800</v>
      </c>
      <c r="I808">
        <f t="shared" si="198"/>
        <v>5550.8799999999992</v>
      </c>
      <c r="J808">
        <f t="shared" si="192"/>
        <v>5550.8799999999992</v>
      </c>
      <c r="K808" s="7">
        <f t="shared" si="199"/>
        <v>46013</v>
      </c>
      <c r="L808" s="7">
        <f t="shared" si="193"/>
        <v>45983</v>
      </c>
      <c r="M808">
        <f t="shared" si="194"/>
        <v>11</v>
      </c>
      <c r="N808">
        <f t="shared" si="195"/>
        <v>2025</v>
      </c>
      <c r="Q808" s="22"/>
      <c r="R808" s="22"/>
      <c r="S808" s="22">
        <f t="shared" si="200"/>
        <v>0</v>
      </c>
      <c r="T808" s="22" t="e">
        <f t="shared" si="201"/>
        <v>#N/A</v>
      </c>
      <c r="U808" s="28">
        <v>400</v>
      </c>
      <c r="W808" s="9">
        <v>507</v>
      </c>
      <c r="X808" s="9" t="s">
        <v>29</v>
      </c>
      <c r="AF808">
        <v>858</v>
      </c>
      <c r="AG808" t="s">
        <v>29</v>
      </c>
      <c r="AH808">
        <v>6523.9</v>
      </c>
      <c r="AI808" s="7">
        <v>45975</v>
      </c>
    </row>
    <row r="809" spans="1:35">
      <c r="A809">
        <v>890</v>
      </c>
      <c r="B809" t="str">
        <f t="shared" si="196"/>
        <v>MXN</v>
      </c>
      <c r="C809">
        <f t="shared" si="197"/>
        <v>40428</v>
      </c>
      <c r="D809">
        <f t="shared" si="188"/>
        <v>1940.5440000000001</v>
      </c>
      <c r="E809">
        <f t="shared" si="189"/>
        <v>2263.9679999999998</v>
      </c>
      <c r="F809">
        <v>40900</v>
      </c>
      <c r="G809">
        <f t="shared" si="190"/>
        <v>1963.2</v>
      </c>
      <c r="H809">
        <f t="shared" si="191"/>
        <v>2290.4</v>
      </c>
      <c r="I809">
        <f t="shared" si="198"/>
        <v>-472</v>
      </c>
      <c r="J809">
        <f t="shared" si="192"/>
        <v>-26.432000000000002</v>
      </c>
      <c r="K809" s="7">
        <f t="shared" si="199"/>
        <v>46017</v>
      </c>
      <c r="L809" s="7">
        <f t="shared" si="193"/>
        <v>45987</v>
      </c>
      <c r="M809">
        <f t="shared" si="194"/>
        <v>11</v>
      </c>
      <c r="N809">
        <f t="shared" si="195"/>
        <v>2025</v>
      </c>
      <c r="Q809" s="22"/>
      <c r="R809" s="22"/>
      <c r="S809" s="22">
        <f t="shared" si="200"/>
        <v>0</v>
      </c>
      <c r="T809" s="22" t="e">
        <f t="shared" si="201"/>
        <v>#N/A</v>
      </c>
      <c r="U809" s="28">
        <v>400</v>
      </c>
      <c r="W809" s="9">
        <v>508</v>
      </c>
      <c r="X809" s="9" t="s">
        <v>32</v>
      </c>
      <c r="AF809">
        <v>859</v>
      </c>
      <c r="AG809" t="s">
        <v>29</v>
      </c>
      <c r="AH809">
        <v>72800</v>
      </c>
      <c r="AI809" s="7">
        <v>46351</v>
      </c>
    </row>
    <row r="810" spans="1:35">
      <c r="A810">
        <v>891</v>
      </c>
      <c r="B810" t="str">
        <f t="shared" si="196"/>
        <v>MXN</v>
      </c>
      <c r="C810">
        <f t="shared" si="197"/>
        <v>0</v>
      </c>
      <c r="D810">
        <f t="shared" si="188"/>
        <v>0</v>
      </c>
      <c r="E810">
        <f t="shared" si="189"/>
        <v>0</v>
      </c>
      <c r="F810">
        <v>5550906</v>
      </c>
      <c r="G810">
        <f t="shared" si="190"/>
        <v>266443.48800000001</v>
      </c>
      <c r="H810">
        <f t="shared" si="191"/>
        <v>310850.73600000003</v>
      </c>
      <c r="I810">
        <f t="shared" si="198"/>
        <v>0</v>
      </c>
      <c r="J810">
        <f t="shared" si="192"/>
        <v>0</v>
      </c>
      <c r="K810" s="7">
        <f t="shared" si="199"/>
        <v>46184</v>
      </c>
      <c r="L810" s="7">
        <f t="shared" si="193"/>
        <v>46154</v>
      </c>
      <c r="M810">
        <f t="shared" si="194"/>
        <v>5</v>
      </c>
      <c r="N810">
        <f t="shared" si="195"/>
        <v>2026</v>
      </c>
      <c r="Q810" s="22"/>
      <c r="R810" s="22"/>
      <c r="S810" s="22">
        <f t="shared" si="200"/>
        <v>0</v>
      </c>
      <c r="T810" s="22" t="e">
        <f t="shared" si="201"/>
        <v>#N/A</v>
      </c>
      <c r="U810" s="28">
        <v>400</v>
      </c>
      <c r="W810" s="9">
        <v>509</v>
      </c>
      <c r="X810" s="9" t="s">
        <v>29</v>
      </c>
      <c r="AF810">
        <v>860</v>
      </c>
      <c r="AG810" t="s">
        <v>31</v>
      </c>
      <c r="AH810">
        <v>10493</v>
      </c>
      <c r="AI810" s="7">
        <v>46003</v>
      </c>
    </row>
    <row r="811" spans="1:35">
      <c r="A811">
        <v>892</v>
      </c>
      <c r="B811" t="str">
        <f t="shared" si="196"/>
        <v>USD</v>
      </c>
      <c r="C811">
        <f t="shared" si="197"/>
        <v>0</v>
      </c>
      <c r="D811">
        <f t="shared" si="188"/>
        <v>0</v>
      </c>
      <c r="E811">
        <f t="shared" si="189"/>
        <v>0</v>
      </c>
      <c r="F811">
        <v>4772.49</v>
      </c>
      <c r="G811">
        <f t="shared" si="190"/>
        <v>4104.3413999999993</v>
      </c>
      <c r="H811">
        <f t="shared" si="191"/>
        <v>4772.49</v>
      </c>
      <c r="I811">
        <f t="shared" si="198"/>
        <v>0</v>
      </c>
      <c r="J811">
        <f t="shared" si="192"/>
        <v>0</v>
      </c>
      <c r="K811" s="7">
        <f t="shared" si="199"/>
        <v>45939</v>
      </c>
      <c r="L811" s="7">
        <f t="shared" si="193"/>
        <v>45909</v>
      </c>
      <c r="M811">
        <f t="shared" si="194"/>
        <v>9</v>
      </c>
      <c r="N811">
        <f t="shared" si="195"/>
        <v>2025</v>
      </c>
      <c r="Q811" s="22"/>
      <c r="R811" s="22"/>
      <c r="S811" s="22">
        <f t="shared" si="200"/>
        <v>0</v>
      </c>
      <c r="T811" s="22" t="e">
        <f t="shared" si="201"/>
        <v>#N/A</v>
      </c>
      <c r="U811" s="28">
        <v>400</v>
      </c>
      <c r="W811" s="9">
        <v>509</v>
      </c>
      <c r="X811" s="9" t="s">
        <v>29</v>
      </c>
      <c r="AF811">
        <v>861</v>
      </c>
      <c r="AG811" t="s">
        <v>27</v>
      </c>
      <c r="AH811">
        <v>275.92</v>
      </c>
      <c r="AI811" s="7">
        <v>45930</v>
      </c>
    </row>
    <row r="812" spans="1:35">
      <c r="A812">
        <v>893</v>
      </c>
      <c r="B812" t="str">
        <f t="shared" si="196"/>
        <v>USD</v>
      </c>
      <c r="C812">
        <f t="shared" si="197"/>
        <v>119275.69</v>
      </c>
      <c r="D812">
        <f t="shared" si="188"/>
        <v>102577.0934</v>
      </c>
      <c r="E812">
        <f t="shared" si="189"/>
        <v>119275.69</v>
      </c>
      <c r="F812">
        <v>117452.01</v>
      </c>
      <c r="G812">
        <f t="shared" si="190"/>
        <v>101008.72859999999</v>
      </c>
      <c r="H812">
        <f t="shared" si="191"/>
        <v>117452.01</v>
      </c>
      <c r="I812">
        <f t="shared" si="198"/>
        <v>7.503331289626658E-12</v>
      </c>
      <c r="J812">
        <f t="shared" si="192"/>
        <v>7.503331289626658E-12</v>
      </c>
      <c r="K812" s="7">
        <f t="shared" si="199"/>
        <v>46010</v>
      </c>
      <c r="L812" s="7">
        <f t="shared" si="193"/>
        <v>45980</v>
      </c>
      <c r="M812">
        <f t="shared" si="194"/>
        <v>11</v>
      </c>
      <c r="N812">
        <f t="shared" si="195"/>
        <v>2025</v>
      </c>
      <c r="Q812" s="22"/>
      <c r="R812" s="22"/>
      <c r="S812" s="22">
        <f t="shared" si="200"/>
        <v>0</v>
      </c>
      <c r="T812" s="22" t="e">
        <f t="shared" si="201"/>
        <v>#N/A</v>
      </c>
      <c r="U812" s="28">
        <v>400</v>
      </c>
      <c r="W812" s="9">
        <v>509</v>
      </c>
      <c r="X812" s="9" t="s">
        <v>29</v>
      </c>
      <c r="AF812">
        <v>862</v>
      </c>
      <c r="AG812" t="s">
        <v>29</v>
      </c>
      <c r="AH812">
        <v>263.72000000000003</v>
      </c>
      <c r="AI812" s="7">
        <v>46008</v>
      </c>
    </row>
    <row r="813" spans="1:35">
      <c r="A813">
        <v>895</v>
      </c>
      <c r="B813" t="str">
        <f t="shared" si="196"/>
        <v>MXN</v>
      </c>
      <c r="C813">
        <f t="shared" si="197"/>
        <v>351300</v>
      </c>
      <c r="D813">
        <f t="shared" si="188"/>
        <v>16862.400000000001</v>
      </c>
      <c r="E813">
        <f t="shared" si="189"/>
        <v>19672.8</v>
      </c>
      <c r="F813">
        <v>351300</v>
      </c>
      <c r="G813">
        <f t="shared" si="190"/>
        <v>16862.400000000001</v>
      </c>
      <c r="H813">
        <f t="shared" si="191"/>
        <v>19672.8</v>
      </c>
      <c r="I813">
        <f t="shared" si="198"/>
        <v>0</v>
      </c>
      <c r="J813">
        <f t="shared" si="192"/>
        <v>0</v>
      </c>
      <c r="K813" s="7">
        <f t="shared" si="199"/>
        <v>46113</v>
      </c>
      <c r="L813" s="7">
        <f t="shared" si="193"/>
        <v>46083</v>
      </c>
      <c r="M813">
        <f t="shared" si="194"/>
        <v>3</v>
      </c>
      <c r="N813">
        <f t="shared" si="195"/>
        <v>2026</v>
      </c>
      <c r="Q813" s="22"/>
      <c r="R813" s="22"/>
      <c r="S813" s="22">
        <f t="shared" si="200"/>
        <v>0</v>
      </c>
      <c r="T813" s="22" t="e">
        <f t="shared" si="201"/>
        <v>#N/A</v>
      </c>
      <c r="U813" s="28">
        <v>400</v>
      </c>
      <c r="W813" s="9">
        <v>509</v>
      </c>
      <c r="X813" s="9" t="s">
        <v>29</v>
      </c>
      <c r="AF813">
        <v>863</v>
      </c>
      <c r="AG813" t="s">
        <v>27</v>
      </c>
      <c r="AH813">
        <v>14492.61</v>
      </c>
      <c r="AI813" s="7">
        <v>46020</v>
      </c>
    </row>
    <row r="814" spans="1:35">
      <c r="A814">
        <v>896</v>
      </c>
      <c r="B814" t="str">
        <f t="shared" si="196"/>
        <v>USD</v>
      </c>
      <c r="C814">
        <f t="shared" si="197"/>
        <v>0</v>
      </c>
      <c r="D814">
        <f t="shared" si="188"/>
        <v>0</v>
      </c>
      <c r="E814">
        <f t="shared" si="189"/>
        <v>0</v>
      </c>
      <c r="F814">
        <v>12935.9</v>
      </c>
      <c r="G814">
        <f t="shared" si="190"/>
        <v>11124.874</v>
      </c>
      <c r="H814">
        <f t="shared" si="191"/>
        <v>12935.9</v>
      </c>
      <c r="I814">
        <f t="shared" si="198"/>
        <v>0</v>
      </c>
      <c r="J814">
        <f t="shared" si="192"/>
        <v>0</v>
      </c>
      <c r="K814" s="7">
        <f t="shared" si="199"/>
        <v>46009</v>
      </c>
      <c r="L814" s="7">
        <f t="shared" si="193"/>
        <v>45979</v>
      </c>
      <c r="M814">
        <f t="shared" si="194"/>
        <v>11</v>
      </c>
      <c r="N814">
        <f t="shared" si="195"/>
        <v>2025</v>
      </c>
      <c r="Q814" s="22"/>
      <c r="R814" s="22"/>
      <c r="S814" s="22">
        <f t="shared" si="200"/>
        <v>0</v>
      </c>
      <c r="T814" s="22" t="e">
        <f t="shared" si="201"/>
        <v>#N/A</v>
      </c>
      <c r="U814" s="28">
        <v>400</v>
      </c>
      <c r="W814" s="9">
        <v>510</v>
      </c>
      <c r="X814" s="9" t="s">
        <v>29</v>
      </c>
      <c r="AF814">
        <v>864</v>
      </c>
      <c r="AG814" t="s">
        <v>29</v>
      </c>
      <c r="AH814">
        <v>287.76</v>
      </c>
      <c r="AI814" s="7">
        <v>46006</v>
      </c>
    </row>
    <row r="815" spans="1:35">
      <c r="A815">
        <v>898</v>
      </c>
      <c r="B815" t="str">
        <f t="shared" si="196"/>
        <v>USD</v>
      </c>
      <c r="C815">
        <f t="shared" si="197"/>
        <v>45938.59</v>
      </c>
      <c r="D815">
        <f t="shared" si="188"/>
        <v>39507.187399999995</v>
      </c>
      <c r="E815">
        <f t="shared" si="189"/>
        <v>45938.59</v>
      </c>
      <c r="F815">
        <v>45938.59</v>
      </c>
      <c r="G815">
        <f t="shared" si="190"/>
        <v>39507.187399999995</v>
      </c>
      <c r="H815">
        <f t="shared" si="191"/>
        <v>45938.59</v>
      </c>
      <c r="I815">
        <f t="shared" si="198"/>
        <v>0</v>
      </c>
      <c r="J815">
        <f t="shared" si="192"/>
        <v>0</v>
      </c>
      <c r="K815" s="7">
        <f t="shared" si="199"/>
        <v>46054</v>
      </c>
      <c r="L815" s="7">
        <f t="shared" si="193"/>
        <v>46024</v>
      </c>
      <c r="M815">
        <f t="shared" si="194"/>
        <v>1</v>
      </c>
      <c r="N815">
        <f t="shared" si="195"/>
        <v>2026</v>
      </c>
      <c r="Q815" s="22"/>
      <c r="R815" s="22"/>
      <c r="S815" s="22">
        <f t="shared" si="200"/>
        <v>0</v>
      </c>
      <c r="T815" s="22" t="e">
        <f t="shared" si="201"/>
        <v>#N/A</v>
      </c>
      <c r="U815" s="28">
        <v>400</v>
      </c>
      <c r="W815" s="9">
        <v>510</v>
      </c>
      <c r="X815" s="9" t="s">
        <v>29</v>
      </c>
      <c r="AF815">
        <v>866</v>
      </c>
      <c r="AG815" t="s">
        <v>28</v>
      </c>
      <c r="AH815">
        <v>83104</v>
      </c>
      <c r="AI815" s="7">
        <v>46328</v>
      </c>
    </row>
    <row r="816" spans="1:35">
      <c r="A816">
        <v>899</v>
      </c>
      <c r="B816" t="str">
        <f t="shared" si="196"/>
        <v>USD</v>
      </c>
      <c r="C816">
        <f t="shared" si="197"/>
        <v>55133.5</v>
      </c>
      <c r="D816">
        <f t="shared" si="188"/>
        <v>47414.81</v>
      </c>
      <c r="E816">
        <f t="shared" si="189"/>
        <v>55133.5</v>
      </c>
      <c r="F816">
        <v>653.5</v>
      </c>
      <c r="G816">
        <f t="shared" si="190"/>
        <v>562.01</v>
      </c>
      <c r="H816">
        <f t="shared" si="191"/>
        <v>653.5</v>
      </c>
      <c r="I816">
        <f t="shared" si="198"/>
        <v>55133.5</v>
      </c>
      <c r="J816">
        <f t="shared" si="192"/>
        <v>55133.5</v>
      </c>
      <c r="K816" s="7">
        <f t="shared" si="199"/>
        <v>46006</v>
      </c>
      <c r="L816" s="7">
        <f t="shared" si="193"/>
        <v>45976</v>
      </c>
      <c r="M816">
        <f t="shared" si="194"/>
        <v>11</v>
      </c>
      <c r="N816">
        <f t="shared" si="195"/>
        <v>2025</v>
      </c>
      <c r="Q816" s="22"/>
      <c r="R816" s="22"/>
      <c r="S816" s="22">
        <f t="shared" si="200"/>
        <v>0</v>
      </c>
      <c r="T816" s="22" t="e">
        <f t="shared" si="201"/>
        <v>#N/A</v>
      </c>
      <c r="U816" s="28">
        <v>400</v>
      </c>
      <c r="W816" s="9">
        <v>510</v>
      </c>
      <c r="X816" s="9" t="s">
        <v>29</v>
      </c>
      <c r="AF816">
        <v>867</v>
      </c>
      <c r="AG816" t="s">
        <v>27</v>
      </c>
      <c r="AH816">
        <v>16067.26</v>
      </c>
      <c r="AI816" s="7">
        <v>46169</v>
      </c>
    </row>
    <row r="817" spans="1:35">
      <c r="A817">
        <v>900</v>
      </c>
      <c r="B817" t="str">
        <f t="shared" si="196"/>
        <v>MXN</v>
      </c>
      <c r="C817">
        <f t="shared" si="197"/>
        <v>13767.72</v>
      </c>
      <c r="D817">
        <f t="shared" si="188"/>
        <v>660.85055999999997</v>
      </c>
      <c r="E817">
        <f t="shared" si="189"/>
        <v>770.99231999999995</v>
      </c>
      <c r="F817">
        <v>14458</v>
      </c>
      <c r="G817">
        <f t="shared" si="190"/>
        <v>693.98400000000004</v>
      </c>
      <c r="H817">
        <f t="shared" si="191"/>
        <v>809.64800000000002</v>
      </c>
      <c r="I817">
        <f t="shared" si="198"/>
        <v>-690.28000000000065</v>
      </c>
      <c r="J817">
        <f t="shared" si="192"/>
        <v>-38.655680000000039</v>
      </c>
      <c r="K817" s="7">
        <f t="shared" si="199"/>
        <v>46000</v>
      </c>
      <c r="L817" s="7">
        <f t="shared" si="193"/>
        <v>45970</v>
      </c>
      <c r="M817">
        <f t="shared" si="194"/>
        <v>11</v>
      </c>
      <c r="N817">
        <f t="shared" si="195"/>
        <v>2025</v>
      </c>
      <c r="Q817" s="22"/>
      <c r="R817" s="22"/>
      <c r="S817" s="22">
        <f t="shared" si="200"/>
        <v>0</v>
      </c>
      <c r="T817" s="22" t="e">
        <f t="shared" si="201"/>
        <v>#N/A</v>
      </c>
      <c r="U817" s="28">
        <v>400</v>
      </c>
      <c r="W817" s="9">
        <v>510</v>
      </c>
      <c r="X817" s="9" t="s">
        <v>29</v>
      </c>
      <c r="AF817">
        <v>868</v>
      </c>
      <c r="AG817" t="s">
        <v>29</v>
      </c>
      <c r="AH817">
        <v>7904.33</v>
      </c>
      <c r="AI817" s="7">
        <v>46017</v>
      </c>
    </row>
    <row r="818" spans="1:35">
      <c r="A818">
        <v>901</v>
      </c>
      <c r="B818" t="str">
        <f t="shared" si="196"/>
        <v>EUR</v>
      </c>
      <c r="C818">
        <f t="shared" si="197"/>
        <v>3921.5</v>
      </c>
      <c r="D818">
        <f t="shared" si="188"/>
        <v>3921.5</v>
      </c>
      <c r="E818">
        <f t="shared" si="189"/>
        <v>4548.9399999999996</v>
      </c>
      <c r="F818">
        <v>10351</v>
      </c>
      <c r="G818">
        <f t="shared" si="190"/>
        <v>10351</v>
      </c>
      <c r="H818">
        <f t="shared" si="191"/>
        <v>12007.16</v>
      </c>
      <c r="I818">
        <f t="shared" si="198"/>
        <v>0</v>
      </c>
      <c r="J818">
        <f t="shared" si="192"/>
        <v>0</v>
      </c>
      <c r="K818" s="7">
        <f t="shared" si="199"/>
        <v>46012</v>
      </c>
      <c r="L818" s="7">
        <f t="shared" si="193"/>
        <v>45982</v>
      </c>
      <c r="M818">
        <f t="shared" si="194"/>
        <v>11</v>
      </c>
      <c r="N818">
        <f t="shared" si="195"/>
        <v>2025</v>
      </c>
      <c r="Q818" s="22"/>
      <c r="R818" s="22"/>
      <c r="S818" s="22">
        <f t="shared" si="200"/>
        <v>0</v>
      </c>
      <c r="T818" s="22" t="e">
        <f t="shared" si="201"/>
        <v>#N/A</v>
      </c>
      <c r="U818" s="28">
        <v>400</v>
      </c>
      <c r="W818" s="9">
        <v>510</v>
      </c>
      <c r="X818" s="9" t="s">
        <v>29</v>
      </c>
      <c r="AF818">
        <v>869</v>
      </c>
      <c r="AG818" t="s">
        <v>29</v>
      </c>
      <c r="AH818">
        <v>1335.81</v>
      </c>
      <c r="AI818" s="7">
        <v>45993</v>
      </c>
    </row>
    <row r="819" spans="1:35">
      <c r="A819">
        <v>902</v>
      </c>
      <c r="B819" t="str">
        <f t="shared" si="196"/>
        <v>USD</v>
      </c>
      <c r="C819">
        <f t="shared" si="197"/>
        <v>0</v>
      </c>
      <c r="D819">
        <f t="shared" si="188"/>
        <v>0</v>
      </c>
      <c r="E819">
        <f t="shared" si="189"/>
        <v>0</v>
      </c>
      <c r="F819">
        <v>16350.41</v>
      </c>
      <c r="G819">
        <f t="shared" si="190"/>
        <v>14061.3526</v>
      </c>
      <c r="H819">
        <f t="shared" si="191"/>
        <v>16350.41</v>
      </c>
      <c r="I819">
        <f t="shared" si="198"/>
        <v>0</v>
      </c>
      <c r="J819">
        <f t="shared" si="192"/>
        <v>0</v>
      </c>
      <c r="K819" s="7">
        <f t="shared" si="199"/>
        <v>46120</v>
      </c>
      <c r="L819" s="7">
        <f t="shared" si="193"/>
        <v>46090</v>
      </c>
      <c r="M819">
        <f t="shared" si="194"/>
        <v>3</v>
      </c>
      <c r="N819">
        <f t="shared" si="195"/>
        <v>2026</v>
      </c>
      <c r="Q819" s="22"/>
      <c r="R819" s="22"/>
      <c r="S819" s="22">
        <f t="shared" si="200"/>
        <v>0</v>
      </c>
      <c r="T819" s="22" t="e">
        <f t="shared" si="201"/>
        <v>#N/A</v>
      </c>
      <c r="U819" s="28">
        <v>400</v>
      </c>
      <c r="W819" s="9">
        <v>511</v>
      </c>
      <c r="X819" s="9" t="s">
        <v>30</v>
      </c>
      <c r="AF819">
        <v>870</v>
      </c>
      <c r="AG819" t="s">
        <v>29</v>
      </c>
      <c r="AH819">
        <v>19002</v>
      </c>
      <c r="AI819" s="7">
        <v>46138</v>
      </c>
    </row>
    <row r="820" spans="1:35">
      <c r="A820">
        <v>903</v>
      </c>
      <c r="B820" t="str">
        <f t="shared" si="196"/>
        <v>USD</v>
      </c>
      <c r="C820">
        <f t="shared" si="197"/>
        <v>56995.839999999997</v>
      </c>
      <c r="D820">
        <f t="shared" si="188"/>
        <v>49016.422399999996</v>
      </c>
      <c r="E820">
        <f t="shared" si="189"/>
        <v>56995.839999999997</v>
      </c>
      <c r="F820">
        <v>10833</v>
      </c>
      <c r="G820">
        <f t="shared" si="190"/>
        <v>9316.3799999999992</v>
      </c>
      <c r="H820">
        <f t="shared" si="191"/>
        <v>10833</v>
      </c>
      <c r="I820">
        <f t="shared" si="198"/>
        <v>46162.84</v>
      </c>
      <c r="J820">
        <f t="shared" si="192"/>
        <v>46162.84</v>
      </c>
      <c r="K820" s="7">
        <f t="shared" si="199"/>
        <v>46148</v>
      </c>
      <c r="L820" s="7">
        <f t="shared" si="193"/>
        <v>46118</v>
      </c>
      <c r="M820">
        <f t="shared" si="194"/>
        <v>4</v>
      </c>
      <c r="N820">
        <f t="shared" si="195"/>
        <v>2026</v>
      </c>
      <c r="Q820" s="22"/>
      <c r="R820" s="22"/>
      <c r="S820" s="22">
        <f t="shared" si="200"/>
        <v>0</v>
      </c>
      <c r="T820" s="22" t="e">
        <f t="shared" si="201"/>
        <v>#N/A</v>
      </c>
      <c r="U820" s="28">
        <v>400</v>
      </c>
      <c r="W820" s="9">
        <v>511</v>
      </c>
      <c r="X820" s="9" t="s">
        <v>30</v>
      </c>
      <c r="AF820">
        <v>871</v>
      </c>
      <c r="AG820" t="s">
        <v>28</v>
      </c>
      <c r="AH820">
        <v>104592</v>
      </c>
      <c r="AI820" s="7">
        <v>45993</v>
      </c>
    </row>
    <row r="821" spans="1:35">
      <c r="A821">
        <v>904</v>
      </c>
      <c r="B821" t="str">
        <f t="shared" si="196"/>
        <v>USD</v>
      </c>
      <c r="C821">
        <f t="shared" si="197"/>
        <v>1390</v>
      </c>
      <c r="D821">
        <f t="shared" si="188"/>
        <v>1195.4000000000001</v>
      </c>
      <c r="E821">
        <f t="shared" si="189"/>
        <v>1390</v>
      </c>
      <c r="F821">
        <v>8208</v>
      </c>
      <c r="G821">
        <f t="shared" si="190"/>
        <v>7058.88</v>
      </c>
      <c r="H821">
        <f t="shared" si="191"/>
        <v>8208</v>
      </c>
      <c r="I821">
        <f t="shared" si="198"/>
        <v>0</v>
      </c>
      <c r="J821">
        <f t="shared" si="192"/>
        <v>0</v>
      </c>
      <c r="K821" s="7">
        <f t="shared" si="199"/>
        <v>46019</v>
      </c>
      <c r="L821" s="7">
        <f t="shared" si="193"/>
        <v>45989</v>
      </c>
      <c r="M821">
        <f t="shared" si="194"/>
        <v>11</v>
      </c>
      <c r="N821">
        <f t="shared" si="195"/>
        <v>2025</v>
      </c>
      <c r="Q821" s="22"/>
      <c r="R821" s="22"/>
      <c r="S821" s="22">
        <f t="shared" si="200"/>
        <v>0</v>
      </c>
      <c r="T821" s="22" t="e">
        <f t="shared" si="201"/>
        <v>#N/A</v>
      </c>
      <c r="U821" s="28">
        <v>400</v>
      </c>
      <c r="W821" s="9">
        <v>511</v>
      </c>
      <c r="X821" s="9" t="s">
        <v>30</v>
      </c>
      <c r="AF821">
        <v>872</v>
      </c>
      <c r="AG821" t="s">
        <v>28</v>
      </c>
      <c r="AH821">
        <v>41552</v>
      </c>
      <c r="AI821" s="7">
        <v>46328</v>
      </c>
    </row>
    <row r="822" spans="1:35">
      <c r="A822">
        <v>908</v>
      </c>
      <c r="B822" t="str">
        <f t="shared" si="196"/>
        <v>USD</v>
      </c>
      <c r="C822">
        <f t="shared" si="197"/>
        <v>2242.1600000000008</v>
      </c>
      <c r="D822">
        <f t="shared" si="188"/>
        <v>1928.2576000000006</v>
      </c>
      <c r="E822">
        <f t="shared" si="189"/>
        <v>2242.1600000000008</v>
      </c>
      <c r="F822">
        <v>7585.87</v>
      </c>
      <c r="G822">
        <f t="shared" si="190"/>
        <v>6523.8481999999995</v>
      </c>
      <c r="H822">
        <f t="shared" si="191"/>
        <v>7585.87</v>
      </c>
      <c r="I822">
        <f t="shared" si="198"/>
        <v>1833.3200000000006</v>
      </c>
      <c r="J822">
        <f t="shared" si="192"/>
        <v>1833.3200000000006</v>
      </c>
      <c r="K822" s="7">
        <f t="shared" si="199"/>
        <v>46023</v>
      </c>
      <c r="L822" s="7">
        <f t="shared" si="193"/>
        <v>45993</v>
      </c>
      <c r="M822">
        <f t="shared" si="194"/>
        <v>12</v>
      </c>
      <c r="N822">
        <f t="shared" si="195"/>
        <v>2025</v>
      </c>
      <c r="Q822" s="22"/>
      <c r="R822" s="22"/>
      <c r="S822" s="22">
        <f t="shared" si="200"/>
        <v>0</v>
      </c>
      <c r="T822" s="22" t="e">
        <f t="shared" si="201"/>
        <v>#N/A</v>
      </c>
      <c r="U822" s="28">
        <v>400</v>
      </c>
      <c r="W822" s="9">
        <v>513</v>
      </c>
      <c r="X822" s="9" t="s">
        <v>29</v>
      </c>
      <c r="AF822">
        <v>873</v>
      </c>
      <c r="AG822" t="s">
        <v>29</v>
      </c>
      <c r="AH822">
        <v>4827</v>
      </c>
      <c r="AI822" s="7">
        <v>45957</v>
      </c>
    </row>
    <row r="823" spans="1:35">
      <c r="A823">
        <v>909</v>
      </c>
      <c r="B823" t="str">
        <f t="shared" si="196"/>
        <v>MXN</v>
      </c>
      <c r="C823">
        <f t="shared" si="197"/>
        <v>35</v>
      </c>
      <c r="D823">
        <f t="shared" si="188"/>
        <v>1.68</v>
      </c>
      <c r="E823">
        <f t="shared" si="189"/>
        <v>1.96</v>
      </c>
      <c r="F823">
        <v>32230.400000000001</v>
      </c>
      <c r="G823">
        <f t="shared" si="190"/>
        <v>1547.0592000000001</v>
      </c>
      <c r="H823">
        <f t="shared" si="191"/>
        <v>1804.9024000000002</v>
      </c>
      <c r="I823">
        <f t="shared" si="198"/>
        <v>-603.40000000000146</v>
      </c>
      <c r="J823">
        <f t="shared" si="192"/>
        <v>-33.790400000000083</v>
      </c>
      <c r="K823" s="7">
        <f t="shared" si="199"/>
        <v>46030</v>
      </c>
      <c r="L823" s="7">
        <f t="shared" si="193"/>
        <v>46000</v>
      </c>
      <c r="M823">
        <f t="shared" si="194"/>
        <v>12</v>
      </c>
      <c r="N823">
        <f t="shared" si="195"/>
        <v>2025</v>
      </c>
      <c r="Q823" s="22"/>
      <c r="R823" s="22"/>
      <c r="S823" s="22">
        <f t="shared" si="200"/>
        <v>0</v>
      </c>
      <c r="T823" s="22" t="e">
        <f t="shared" si="201"/>
        <v>#N/A</v>
      </c>
      <c r="U823" s="28">
        <v>400</v>
      </c>
      <c r="W823" s="9">
        <v>513</v>
      </c>
      <c r="X823" s="9" t="s">
        <v>27</v>
      </c>
      <c r="AF823">
        <v>874</v>
      </c>
      <c r="AG823" t="s">
        <v>29</v>
      </c>
      <c r="AH823">
        <v>18040</v>
      </c>
      <c r="AI823" s="7">
        <v>46230</v>
      </c>
    </row>
    <row r="824" spans="1:35">
      <c r="A824">
        <v>910</v>
      </c>
      <c r="B824" t="str">
        <f t="shared" si="196"/>
        <v>USD</v>
      </c>
      <c r="C824">
        <f t="shared" si="197"/>
        <v>0</v>
      </c>
      <c r="D824">
        <f t="shared" si="188"/>
        <v>0</v>
      </c>
      <c r="E824">
        <f t="shared" si="189"/>
        <v>0</v>
      </c>
      <c r="F824">
        <v>767.06</v>
      </c>
      <c r="G824">
        <f t="shared" si="190"/>
        <v>659.6715999999999</v>
      </c>
      <c r="H824">
        <f t="shared" si="191"/>
        <v>767.06</v>
      </c>
      <c r="I824">
        <f t="shared" si="198"/>
        <v>0</v>
      </c>
      <c r="J824">
        <f t="shared" si="192"/>
        <v>0</v>
      </c>
      <c r="K824" s="7">
        <f t="shared" si="199"/>
        <v>46045</v>
      </c>
      <c r="L824" s="7">
        <f t="shared" si="193"/>
        <v>46015</v>
      </c>
      <c r="M824">
        <f t="shared" si="194"/>
        <v>12</v>
      </c>
      <c r="N824">
        <f t="shared" si="195"/>
        <v>2025</v>
      </c>
      <c r="Q824" s="22"/>
      <c r="R824" s="22"/>
      <c r="S824" s="22">
        <f t="shared" si="200"/>
        <v>0</v>
      </c>
      <c r="T824" s="22" t="e">
        <f t="shared" si="201"/>
        <v>#N/A</v>
      </c>
      <c r="U824" s="28">
        <v>400</v>
      </c>
      <c r="W824" s="9">
        <v>513</v>
      </c>
      <c r="X824" s="9" t="s">
        <v>29</v>
      </c>
      <c r="AF824">
        <v>875</v>
      </c>
      <c r="AG824" t="s">
        <v>29</v>
      </c>
      <c r="AH824">
        <v>6617.34</v>
      </c>
      <c r="AI824" s="7">
        <v>46025</v>
      </c>
    </row>
    <row r="825" spans="1:35">
      <c r="A825">
        <v>911</v>
      </c>
      <c r="B825" t="str">
        <f t="shared" si="196"/>
        <v>USD</v>
      </c>
      <c r="C825">
        <f t="shared" si="197"/>
        <v>0</v>
      </c>
      <c r="D825">
        <f t="shared" si="188"/>
        <v>0</v>
      </c>
      <c r="E825">
        <f t="shared" si="189"/>
        <v>0</v>
      </c>
      <c r="F825">
        <v>13252</v>
      </c>
      <c r="G825">
        <f t="shared" si="190"/>
        <v>11396.72</v>
      </c>
      <c r="H825">
        <f t="shared" si="191"/>
        <v>13252</v>
      </c>
      <c r="I825">
        <f t="shared" si="198"/>
        <v>0</v>
      </c>
      <c r="J825">
        <f t="shared" si="192"/>
        <v>0</v>
      </c>
      <c r="K825" s="7">
        <f t="shared" si="199"/>
        <v>45945</v>
      </c>
      <c r="L825" s="7">
        <f t="shared" si="193"/>
        <v>45915</v>
      </c>
      <c r="M825">
        <f t="shared" si="194"/>
        <v>9</v>
      </c>
      <c r="N825">
        <f t="shared" si="195"/>
        <v>2025</v>
      </c>
      <c r="Q825" s="22"/>
      <c r="R825" s="22"/>
      <c r="S825" s="22">
        <f t="shared" si="200"/>
        <v>0</v>
      </c>
      <c r="T825" s="22" t="e">
        <f t="shared" si="201"/>
        <v>#N/A</v>
      </c>
      <c r="U825" s="28">
        <v>400</v>
      </c>
      <c r="W825" s="9">
        <v>513</v>
      </c>
      <c r="X825" s="9" t="s">
        <v>29</v>
      </c>
      <c r="AF825">
        <v>876</v>
      </c>
      <c r="AG825" t="s">
        <v>29</v>
      </c>
      <c r="AH825">
        <v>508.64</v>
      </c>
      <c r="AI825" s="7">
        <v>45807</v>
      </c>
    </row>
    <row r="826" spans="1:35">
      <c r="A826">
        <v>912</v>
      </c>
      <c r="B826" t="str">
        <f t="shared" si="196"/>
        <v>USD</v>
      </c>
      <c r="C826">
        <f t="shared" si="197"/>
        <v>0</v>
      </c>
      <c r="D826">
        <f t="shared" si="188"/>
        <v>0</v>
      </c>
      <c r="E826">
        <f t="shared" si="189"/>
        <v>0</v>
      </c>
      <c r="F826">
        <v>2058</v>
      </c>
      <c r="G826">
        <f t="shared" si="190"/>
        <v>1769.8799999999999</v>
      </c>
      <c r="H826">
        <f t="shared" si="191"/>
        <v>2058</v>
      </c>
      <c r="I826">
        <f t="shared" si="198"/>
        <v>0</v>
      </c>
      <c r="J826">
        <f t="shared" si="192"/>
        <v>0</v>
      </c>
      <c r="K826" s="7">
        <f t="shared" si="199"/>
        <v>45847</v>
      </c>
      <c r="L826" s="7">
        <f t="shared" si="193"/>
        <v>45817</v>
      </c>
      <c r="M826">
        <f t="shared" si="194"/>
        <v>6</v>
      </c>
      <c r="N826">
        <f t="shared" si="195"/>
        <v>2025</v>
      </c>
      <c r="Q826" s="22"/>
      <c r="R826" s="22"/>
      <c r="S826" s="22">
        <f t="shared" si="200"/>
        <v>0</v>
      </c>
      <c r="T826" s="22" t="e">
        <f t="shared" si="201"/>
        <v>#N/A</v>
      </c>
      <c r="U826" s="28">
        <v>400</v>
      </c>
      <c r="W826" s="9">
        <v>514</v>
      </c>
      <c r="X826" s="9" t="s">
        <v>28</v>
      </c>
      <c r="AF826">
        <v>877</v>
      </c>
      <c r="AG826" t="s">
        <v>29</v>
      </c>
      <c r="AH826">
        <v>10000</v>
      </c>
      <c r="AI826" s="7">
        <v>45978</v>
      </c>
    </row>
    <row r="827" spans="1:35">
      <c r="A827">
        <v>913</v>
      </c>
      <c r="B827" t="str">
        <f t="shared" si="196"/>
        <v>MXN</v>
      </c>
      <c r="C827">
        <f t="shared" si="197"/>
        <v>0</v>
      </c>
      <c r="D827">
        <f t="shared" si="188"/>
        <v>0</v>
      </c>
      <c r="E827">
        <f t="shared" si="189"/>
        <v>0</v>
      </c>
      <c r="F827">
        <v>299292.08</v>
      </c>
      <c r="G827">
        <f t="shared" si="190"/>
        <v>14366.019840000001</v>
      </c>
      <c r="H827">
        <f t="shared" si="191"/>
        <v>16760.356480000002</v>
      </c>
      <c r="I827">
        <f t="shared" si="198"/>
        <v>0</v>
      </c>
      <c r="J827">
        <f t="shared" si="192"/>
        <v>0</v>
      </c>
      <c r="K827" s="7">
        <f t="shared" si="199"/>
        <v>46270</v>
      </c>
      <c r="L827" s="7">
        <f t="shared" si="193"/>
        <v>46240</v>
      </c>
      <c r="M827">
        <f t="shared" si="194"/>
        <v>8</v>
      </c>
      <c r="N827">
        <f t="shared" si="195"/>
        <v>2026</v>
      </c>
      <c r="Q827" s="22"/>
      <c r="R827" s="22"/>
      <c r="S827" s="22">
        <f t="shared" si="200"/>
        <v>0</v>
      </c>
      <c r="T827" s="22" t="e">
        <f t="shared" si="201"/>
        <v>#N/A</v>
      </c>
      <c r="U827" s="28">
        <v>400</v>
      </c>
      <c r="W827" s="9">
        <v>515</v>
      </c>
      <c r="X827" s="9" t="s">
        <v>27</v>
      </c>
      <c r="AF827">
        <v>878</v>
      </c>
      <c r="AG827" t="s">
        <v>27</v>
      </c>
      <c r="AH827">
        <v>1100</v>
      </c>
      <c r="AI827" s="7">
        <v>45995</v>
      </c>
    </row>
    <row r="828" spans="1:35">
      <c r="A828">
        <v>914</v>
      </c>
      <c r="B828" t="str">
        <f t="shared" si="196"/>
        <v>USD</v>
      </c>
      <c r="C828">
        <f t="shared" si="197"/>
        <v>70</v>
      </c>
      <c r="D828">
        <f t="shared" si="188"/>
        <v>60.199999999999996</v>
      </c>
      <c r="E828">
        <f t="shared" si="189"/>
        <v>70</v>
      </c>
      <c r="F828">
        <v>7590.6</v>
      </c>
      <c r="G828">
        <f t="shared" si="190"/>
        <v>6527.9160000000002</v>
      </c>
      <c r="H828">
        <f t="shared" si="191"/>
        <v>7590.6</v>
      </c>
      <c r="I828">
        <f t="shared" si="198"/>
        <v>0</v>
      </c>
      <c r="J828">
        <f t="shared" si="192"/>
        <v>0</v>
      </c>
      <c r="K828" s="7">
        <f t="shared" si="199"/>
        <v>46110</v>
      </c>
      <c r="L828" s="7">
        <f t="shared" si="193"/>
        <v>46080</v>
      </c>
      <c r="M828">
        <f t="shared" si="194"/>
        <v>2</v>
      </c>
      <c r="N828">
        <f t="shared" si="195"/>
        <v>2026</v>
      </c>
      <c r="Q828" s="22"/>
      <c r="R828" s="22"/>
      <c r="S828" s="22">
        <f t="shared" si="200"/>
        <v>0</v>
      </c>
      <c r="T828" s="22" t="e">
        <f t="shared" si="201"/>
        <v>#N/A</v>
      </c>
      <c r="U828" s="28">
        <v>400</v>
      </c>
      <c r="W828" s="9">
        <v>516</v>
      </c>
      <c r="X828" s="9" t="s">
        <v>27</v>
      </c>
      <c r="AF828">
        <v>879</v>
      </c>
      <c r="AG828" t="s">
        <v>29</v>
      </c>
      <c r="AH828">
        <v>5281.02</v>
      </c>
      <c r="AI828" s="7">
        <v>45950</v>
      </c>
    </row>
    <row r="829" spans="1:35">
      <c r="A829">
        <v>915</v>
      </c>
      <c r="B829" t="str">
        <f t="shared" si="196"/>
        <v>USD</v>
      </c>
      <c r="C829">
        <f t="shared" si="197"/>
        <v>32419.9</v>
      </c>
      <c r="D829">
        <f t="shared" si="188"/>
        <v>27881.114000000001</v>
      </c>
      <c r="E829">
        <f t="shared" si="189"/>
        <v>32419.9</v>
      </c>
      <c r="F829">
        <v>32419.9</v>
      </c>
      <c r="G829">
        <f t="shared" si="190"/>
        <v>27881.114000000001</v>
      </c>
      <c r="H829">
        <f t="shared" si="191"/>
        <v>32419.9</v>
      </c>
      <c r="I829">
        <f t="shared" si="198"/>
        <v>0</v>
      </c>
      <c r="J829">
        <f t="shared" si="192"/>
        <v>0</v>
      </c>
      <c r="K829" s="7">
        <f t="shared" si="199"/>
        <v>46010</v>
      </c>
      <c r="L829" s="7">
        <f t="shared" si="193"/>
        <v>45980</v>
      </c>
      <c r="M829">
        <f t="shared" si="194"/>
        <v>11</v>
      </c>
      <c r="N829">
        <f t="shared" si="195"/>
        <v>2025</v>
      </c>
      <c r="Q829" s="22"/>
      <c r="R829" s="22"/>
      <c r="S829" s="22">
        <f t="shared" si="200"/>
        <v>0</v>
      </c>
      <c r="T829" s="22" t="e">
        <f t="shared" si="201"/>
        <v>#N/A</v>
      </c>
      <c r="U829" s="28">
        <v>400</v>
      </c>
      <c r="W829" s="9">
        <v>518</v>
      </c>
      <c r="X829" s="9" t="s">
        <v>29</v>
      </c>
      <c r="AF829">
        <v>880</v>
      </c>
      <c r="AG829" t="s">
        <v>29</v>
      </c>
      <c r="AH829">
        <v>7141.22</v>
      </c>
      <c r="AI829" s="7">
        <v>45955</v>
      </c>
    </row>
    <row r="830" spans="1:35">
      <c r="A830">
        <v>916</v>
      </c>
      <c r="B830" t="str">
        <f t="shared" si="196"/>
        <v>USD</v>
      </c>
      <c r="C830">
        <f t="shared" si="197"/>
        <v>21125</v>
      </c>
      <c r="D830">
        <f t="shared" si="188"/>
        <v>18167.5</v>
      </c>
      <c r="E830">
        <f t="shared" si="189"/>
        <v>21125</v>
      </c>
      <c r="F830">
        <v>19900.52</v>
      </c>
      <c r="G830">
        <f t="shared" si="190"/>
        <v>17114.447199999999</v>
      </c>
      <c r="H830">
        <f t="shared" si="191"/>
        <v>19900.52</v>
      </c>
      <c r="I830">
        <f t="shared" si="198"/>
        <v>1224.4799999999996</v>
      </c>
      <c r="J830">
        <f t="shared" si="192"/>
        <v>1224.4799999999996</v>
      </c>
      <c r="K830" s="7">
        <f t="shared" si="199"/>
        <v>46302</v>
      </c>
      <c r="L830" s="7">
        <f t="shared" si="193"/>
        <v>46272</v>
      </c>
      <c r="M830">
        <f t="shared" si="194"/>
        <v>9</v>
      </c>
      <c r="N830">
        <f t="shared" si="195"/>
        <v>2026</v>
      </c>
      <c r="Q830" s="22"/>
      <c r="R830" s="22"/>
      <c r="S830" s="22">
        <f t="shared" si="200"/>
        <v>0</v>
      </c>
      <c r="T830" s="22" t="e">
        <f t="shared" si="201"/>
        <v>#N/A</v>
      </c>
      <c r="U830" s="28">
        <v>400</v>
      </c>
      <c r="W830" s="9">
        <v>519</v>
      </c>
      <c r="X830" s="9" t="s">
        <v>29</v>
      </c>
      <c r="AF830">
        <v>881</v>
      </c>
      <c r="AG830" t="s">
        <v>28</v>
      </c>
      <c r="AH830">
        <v>81600</v>
      </c>
      <c r="AI830" s="7">
        <v>46050</v>
      </c>
    </row>
    <row r="831" spans="1:35">
      <c r="A831">
        <v>917</v>
      </c>
      <c r="B831" t="str">
        <f t="shared" si="196"/>
        <v>EUR</v>
      </c>
      <c r="C831">
        <f t="shared" si="197"/>
        <v>26973.49</v>
      </c>
      <c r="D831">
        <f t="shared" si="188"/>
        <v>26973.49</v>
      </c>
      <c r="E831">
        <f t="shared" si="189"/>
        <v>31289.2484</v>
      </c>
      <c r="F831">
        <v>12435.5</v>
      </c>
      <c r="G831">
        <f t="shared" si="190"/>
        <v>12435.5</v>
      </c>
      <c r="H831">
        <f t="shared" si="191"/>
        <v>14425.179999999998</v>
      </c>
      <c r="I831">
        <f t="shared" si="198"/>
        <v>14537.990000000002</v>
      </c>
      <c r="J831">
        <f t="shared" si="192"/>
        <v>16864.0684</v>
      </c>
      <c r="K831" s="7">
        <f t="shared" si="199"/>
        <v>46111</v>
      </c>
      <c r="L831" s="7">
        <f t="shared" si="193"/>
        <v>46081</v>
      </c>
      <c r="M831">
        <f t="shared" si="194"/>
        <v>2</v>
      </c>
      <c r="N831">
        <f t="shared" si="195"/>
        <v>2026</v>
      </c>
      <c r="Q831" s="22"/>
      <c r="R831" s="22"/>
      <c r="S831" s="22">
        <f t="shared" si="200"/>
        <v>0</v>
      </c>
      <c r="T831" s="22" t="e">
        <f t="shared" si="201"/>
        <v>#N/A</v>
      </c>
      <c r="U831" s="28">
        <v>400</v>
      </c>
      <c r="W831" s="9">
        <v>521</v>
      </c>
      <c r="X831" s="9" t="s">
        <v>28</v>
      </c>
      <c r="AF831">
        <v>882</v>
      </c>
      <c r="AG831" t="s">
        <v>33</v>
      </c>
      <c r="AH831">
        <v>427120</v>
      </c>
      <c r="AI831" s="7">
        <v>46032</v>
      </c>
    </row>
    <row r="832" spans="1:35">
      <c r="A832">
        <v>918</v>
      </c>
      <c r="B832" t="str">
        <f t="shared" si="196"/>
        <v>USD</v>
      </c>
      <c r="C832">
        <f t="shared" si="197"/>
        <v>400</v>
      </c>
      <c r="D832">
        <f t="shared" si="188"/>
        <v>344</v>
      </c>
      <c r="E832">
        <f t="shared" si="189"/>
        <v>400</v>
      </c>
      <c r="F832">
        <v>400</v>
      </c>
      <c r="G832">
        <f t="shared" si="190"/>
        <v>344</v>
      </c>
      <c r="H832">
        <f t="shared" si="191"/>
        <v>400</v>
      </c>
      <c r="I832">
        <f t="shared" si="198"/>
        <v>0</v>
      </c>
      <c r="J832">
        <f t="shared" si="192"/>
        <v>0</v>
      </c>
      <c r="K832" s="7">
        <f t="shared" si="199"/>
        <v>46011</v>
      </c>
      <c r="L832" s="7">
        <f t="shared" si="193"/>
        <v>45981</v>
      </c>
      <c r="M832">
        <f t="shared" si="194"/>
        <v>11</v>
      </c>
      <c r="N832">
        <f t="shared" si="195"/>
        <v>2025</v>
      </c>
      <c r="Q832" s="22"/>
      <c r="R832" s="22"/>
      <c r="S832" s="22">
        <f t="shared" si="200"/>
        <v>0</v>
      </c>
      <c r="T832" s="22" t="e">
        <f t="shared" si="201"/>
        <v>#N/A</v>
      </c>
      <c r="U832" s="28">
        <v>400</v>
      </c>
      <c r="W832" s="9">
        <v>522</v>
      </c>
      <c r="X832" s="9" t="s">
        <v>27</v>
      </c>
      <c r="AF832">
        <v>884</v>
      </c>
      <c r="AG832" t="s">
        <v>29</v>
      </c>
      <c r="AH832">
        <v>759.07</v>
      </c>
      <c r="AI832" s="7">
        <v>45941</v>
      </c>
    </row>
    <row r="833" spans="1:35">
      <c r="A833">
        <v>919</v>
      </c>
      <c r="B833" t="str">
        <f t="shared" si="196"/>
        <v>USD</v>
      </c>
      <c r="C833">
        <f t="shared" si="197"/>
        <v>0</v>
      </c>
      <c r="D833">
        <f t="shared" ref="D833:D896" si="202">C833*_xlfn.XLOOKUP(B833,AM:AM,AN:AN)</f>
        <v>0</v>
      </c>
      <c r="E833">
        <f t="shared" ref="E833:E896" si="203">C833*_xlfn.XLOOKUP(B833,AM:AM,AO:AO)</f>
        <v>0</v>
      </c>
      <c r="F833">
        <v>16765</v>
      </c>
      <c r="G833">
        <f t="shared" ref="G833:G896" si="204">F833*_xlfn.XLOOKUP(B833,AM:AM,AN:AN)</f>
        <v>14417.9</v>
      </c>
      <c r="H833">
        <f t="shared" ref="H833:H896" si="205">F833*_xlfn.XLOOKUP(B833,AM:AM,AO:AO)</f>
        <v>16765</v>
      </c>
      <c r="I833">
        <f t="shared" si="198"/>
        <v>0</v>
      </c>
      <c r="J833">
        <f t="shared" ref="J833:J896" si="206">I833*_xlfn.XLOOKUP(B833,AM:AM,AO:AO)</f>
        <v>0</v>
      </c>
      <c r="K833" s="7">
        <f t="shared" si="199"/>
        <v>46012</v>
      </c>
      <c r="L833" s="7">
        <f t="shared" ref="L833:L896" si="207">K833-30</f>
        <v>45982</v>
      </c>
      <c r="M833">
        <f t="shared" ref="M833:M896" si="208">MONTH(L833)</f>
        <v>11</v>
      </c>
      <c r="N833">
        <f t="shared" ref="N833:N896" si="209">YEAR(L833)</f>
        <v>2025</v>
      </c>
      <c r="Q833" s="22"/>
      <c r="R833" s="22"/>
      <c r="S833" s="22">
        <f t="shared" si="200"/>
        <v>0</v>
      </c>
      <c r="T833" s="22" t="e">
        <f t="shared" si="201"/>
        <v>#N/A</v>
      </c>
      <c r="U833" s="28">
        <v>400</v>
      </c>
      <c r="W833" s="9">
        <v>523</v>
      </c>
      <c r="X833" s="9" t="s">
        <v>27</v>
      </c>
      <c r="AF833">
        <v>886</v>
      </c>
      <c r="AG833" t="s">
        <v>29</v>
      </c>
      <c r="AH833">
        <v>335788</v>
      </c>
      <c r="AI833" s="7">
        <v>46226</v>
      </c>
    </row>
    <row r="834" spans="1:35">
      <c r="A834">
        <v>920</v>
      </c>
      <c r="B834" t="str">
        <f t="shared" si="196"/>
        <v>USD</v>
      </c>
      <c r="C834">
        <f t="shared" si="197"/>
        <v>0</v>
      </c>
      <c r="D834">
        <f t="shared" si="202"/>
        <v>0</v>
      </c>
      <c r="E834">
        <f t="shared" si="203"/>
        <v>0</v>
      </c>
      <c r="F834">
        <v>5067.5200000000004</v>
      </c>
      <c r="G834">
        <f t="shared" si="204"/>
        <v>4358.0672000000004</v>
      </c>
      <c r="H834">
        <f t="shared" si="205"/>
        <v>5067.5200000000004</v>
      </c>
      <c r="I834">
        <f t="shared" si="198"/>
        <v>0</v>
      </c>
      <c r="J834">
        <f t="shared" si="206"/>
        <v>0</v>
      </c>
      <c r="K834" s="7">
        <f t="shared" si="199"/>
        <v>45954</v>
      </c>
      <c r="L834" s="7">
        <f t="shared" si="207"/>
        <v>45924</v>
      </c>
      <c r="M834">
        <f t="shared" si="208"/>
        <v>9</v>
      </c>
      <c r="N834">
        <f t="shared" si="209"/>
        <v>2025</v>
      </c>
      <c r="Q834" s="22"/>
      <c r="R834" s="22"/>
      <c r="S834" s="22">
        <f t="shared" si="200"/>
        <v>0</v>
      </c>
      <c r="T834" s="22" t="e">
        <f t="shared" si="201"/>
        <v>#N/A</v>
      </c>
      <c r="U834" s="28">
        <v>400</v>
      </c>
      <c r="W834" s="9">
        <v>524</v>
      </c>
      <c r="X834" s="9" t="s">
        <v>29</v>
      </c>
      <c r="AF834">
        <v>887</v>
      </c>
      <c r="AG834" t="s">
        <v>28</v>
      </c>
      <c r="AH834">
        <v>425999.96</v>
      </c>
      <c r="AI834" s="7">
        <v>46096</v>
      </c>
    </row>
    <row r="835" spans="1:35">
      <c r="A835">
        <v>921</v>
      </c>
      <c r="B835" t="str">
        <f t="shared" ref="B835:B898" si="210">_xlfn.XLOOKUP(A835,AF:AF,AG:AG)</f>
        <v>USD</v>
      </c>
      <c r="C835">
        <f t="shared" ref="C835:C898" si="211">_xlfn.XLOOKUP(A835,AF:AF,AH:AH)-_xlfn.XLOOKUP(A835,Q:Q,R:R,"0")</f>
        <v>0</v>
      </c>
      <c r="D835">
        <f t="shared" si="202"/>
        <v>0</v>
      </c>
      <c r="E835">
        <f t="shared" si="203"/>
        <v>0</v>
      </c>
      <c r="F835">
        <v>2533.7600000000002</v>
      </c>
      <c r="G835">
        <f t="shared" si="204"/>
        <v>2179.0336000000002</v>
      </c>
      <c r="H835">
        <f t="shared" si="205"/>
        <v>2533.7600000000002</v>
      </c>
      <c r="I835">
        <f t="shared" ref="I835:I898" si="212">C835-F835+_xlfn.XLOOKUP(A835,Q:Q,R:R,"0")-_xlfn.XLOOKUP(A835,Z:Z,AA:AA,"0")</f>
        <v>0</v>
      </c>
      <c r="J835">
        <f t="shared" si="206"/>
        <v>0</v>
      </c>
      <c r="K835" s="7">
        <f t="shared" ref="K835:K898" si="213">_xlfn.XLOOKUP(A835,AF:AF,AI:AI)</f>
        <v>45954</v>
      </c>
      <c r="L835" s="7">
        <f t="shared" si="207"/>
        <v>45924</v>
      </c>
      <c r="M835">
        <f t="shared" si="208"/>
        <v>9</v>
      </c>
      <c r="N835">
        <f t="shared" si="209"/>
        <v>2025</v>
      </c>
      <c r="Q835" s="22"/>
      <c r="R835" s="22"/>
      <c r="S835" s="22">
        <f t="shared" ref="S835:S898" si="214">_xlfn.XLOOKUP(Q835,W:W,X:X)</f>
        <v>0</v>
      </c>
      <c r="T835" s="22" t="e">
        <f t="shared" si="201"/>
        <v>#N/A</v>
      </c>
      <c r="U835" s="28">
        <v>400</v>
      </c>
      <c r="W835" s="9">
        <v>524</v>
      </c>
      <c r="X835" s="9" t="s">
        <v>29</v>
      </c>
      <c r="AF835">
        <v>888</v>
      </c>
      <c r="AG835" t="s">
        <v>28</v>
      </c>
      <c r="AH835">
        <v>24249</v>
      </c>
      <c r="AI835" s="7">
        <v>46013</v>
      </c>
    </row>
    <row r="836" spans="1:35">
      <c r="A836">
        <v>922</v>
      </c>
      <c r="B836" t="str">
        <f t="shared" si="210"/>
        <v>EUR</v>
      </c>
      <c r="C836">
        <f t="shared" si="211"/>
        <v>0</v>
      </c>
      <c r="D836">
        <f t="shared" si="202"/>
        <v>0</v>
      </c>
      <c r="E836">
        <f t="shared" si="203"/>
        <v>0</v>
      </c>
      <c r="F836">
        <v>2403.5</v>
      </c>
      <c r="G836">
        <f t="shared" si="204"/>
        <v>2403.5</v>
      </c>
      <c r="H836">
        <f t="shared" si="205"/>
        <v>2788.06</v>
      </c>
      <c r="I836">
        <f t="shared" si="212"/>
        <v>0</v>
      </c>
      <c r="J836">
        <f t="shared" si="206"/>
        <v>0</v>
      </c>
      <c r="K836" s="7">
        <f t="shared" si="213"/>
        <v>45970</v>
      </c>
      <c r="L836" s="7">
        <f t="shared" si="207"/>
        <v>45940</v>
      </c>
      <c r="M836">
        <f t="shared" si="208"/>
        <v>10</v>
      </c>
      <c r="N836">
        <f t="shared" si="209"/>
        <v>2025</v>
      </c>
      <c r="Q836" s="22"/>
      <c r="R836" s="22"/>
      <c r="S836" s="22">
        <f t="shared" si="214"/>
        <v>0</v>
      </c>
      <c r="T836" s="22" t="e">
        <f t="shared" si="201"/>
        <v>#N/A</v>
      </c>
      <c r="U836" s="28">
        <v>400</v>
      </c>
      <c r="W836" s="9">
        <v>524</v>
      </c>
      <c r="X836" s="9" t="s">
        <v>29</v>
      </c>
      <c r="AF836">
        <v>889</v>
      </c>
      <c r="AG836" t="s">
        <v>29</v>
      </c>
      <c r="AH836">
        <v>13350.88</v>
      </c>
      <c r="AI836" s="7">
        <v>46013</v>
      </c>
    </row>
    <row r="837" spans="1:35">
      <c r="A837">
        <v>923</v>
      </c>
      <c r="B837" t="str">
        <f t="shared" si="210"/>
        <v>EUR</v>
      </c>
      <c r="C837">
        <f t="shared" si="211"/>
        <v>0</v>
      </c>
      <c r="D837">
        <f t="shared" si="202"/>
        <v>0</v>
      </c>
      <c r="E837">
        <f t="shared" si="203"/>
        <v>0</v>
      </c>
      <c r="F837">
        <v>1039.5</v>
      </c>
      <c r="G837">
        <f t="shared" si="204"/>
        <v>1039.5</v>
      </c>
      <c r="H837">
        <f t="shared" si="205"/>
        <v>1205.82</v>
      </c>
      <c r="I837">
        <f t="shared" si="212"/>
        <v>0</v>
      </c>
      <c r="J837">
        <f t="shared" si="206"/>
        <v>0</v>
      </c>
      <c r="K837" s="7">
        <f t="shared" si="213"/>
        <v>45973</v>
      </c>
      <c r="L837" s="7">
        <f t="shared" si="207"/>
        <v>45943</v>
      </c>
      <c r="M837">
        <f t="shared" si="208"/>
        <v>10</v>
      </c>
      <c r="N837">
        <f t="shared" si="209"/>
        <v>2025</v>
      </c>
      <c r="Q837" s="22"/>
      <c r="R837" s="22"/>
      <c r="S837" s="22">
        <f t="shared" si="214"/>
        <v>0</v>
      </c>
      <c r="T837" s="22" t="e">
        <f t="shared" si="201"/>
        <v>#N/A</v>
      </c>
      <c r="U837" s="28">
        <v>400</v>
      </c>
      <c r="W837" s="9">
        <v>525</v>
      </c>
      <c r="X837" s="9" t="s">
        <v>29</v>
      </c>
      <c r="AF837">
        <v>890</v>
      </c>
      <c r="AG837" t="s">
        <v>28</v>
      </c>
      <c r="AH837">
        <v>40428</v>
      </c>
      <c r="AI837" s="7">
        <v>46017</v>
      </c>
    </row>
    <row r="838" spans="1:35">
      <c r="A838">
        <v>924</v>
      </c>
      <c r="B838" t="str">
        <f t="shared" si="210"/>
        <v>USD</v>
      </c>
      <c r="C838">
        <f t="shared" si="211"/>
        <v>62507.67</v>
      </c>
      <c r="D838">
        <f t="shared" si="202"/>
        <v>53756.5962</v>
      </c>
      <c r="E838">
        <f t="shared" si="203"/>
        <v>62507.67</v>
      </c>
      <c r="F838">
        <v>53455</v>
      </c>
      <c r="G838">
        <f t="shared" si="204"/>
        <v>45971.3</v>
      </c>
      <c r="H838">
        <f t="shared" si="205"/>
        <v>53455</v>
      </c>
      <c r="I838">
        <f t="shared" si="212"/>
        <v>9052.6699999999983</v>
      </c>
      <c r="J838">
        <f t="shared" si="206"/>
        <v>9052.6699999999983</v>
      </c>
      <c r="K838" s="7">
        <f t="shared" si="213"/>
        <v>46120</v>
      </c>
      <c r="L838" s="7">
        <f t="shared" si="207"/>
        <v>46090</v>
      </c>
      <c r="M838">
        <f t="shared" si="208"/>
        <v>3</v>
      </c>
      <c r="N838">
        <f t="shared" si="209"/>
        <v>2026</v>
      </c>
      <c r="Q838" s="22"/>
      <c r="R838" s="22"/>
      <c r="S838" s="22">
        <f t="shared" si="214"/>
        <v>0</v>
      </c>
      <c r="T838" s="22" t="e">
        <f t="shared" si="201"/>
        <v>#N/A</v>
      </c>
      <c r="U838" s="28">
        <v>400</v>
      </c>
      <c r="W838" s="9">
        <v>525</v>
      </c>
      <c r="X838" s="9" t="s">
        <v>29</v>
      </c>
      <c r="AF838">
        <v>891</v>
      </c>
      <c r="AG838" t="s">
        <v>28</v>
      </c>
      <c r="AH838">
        <v>5550906</v>
      </c>
      <c r="AI838" s="7">
        <v>46184</v>
      </c>
    </row>
    <row r="839" spans="1:35">
      <c r="A839">
        <v>925</v>
      </c>
      <c r="B839" t="str">
        <f t="shared" si="210"/>
        <v>EUR</v>
      </c>
      <c r="C839">
        <f t="shared" si="211"/>
        <v>0</v>
      </c>
      <c r="D839">
        <f t="shared" si="202"/>
        <v>0</v>
      </c>
      <c r="E839">
        <f t="shared" si="203"/>
        <v>0</v>
      </c>
      <c r="F839">
        <v>136</v>
      </c>
      <c r="G839">
        <f t="shared" si="204"/>
        <v>136</v>
      </c>
      <c r="H839">
        <f t="shared" si="205"/>
        <v>157.76</v>
      </c>
      <c r="I839">
        <f t="shared" si="212"/>
        <v>0</v>
      </c>
      <c r="J839">
        <f t="shared" si="206"/>
        <v>0</v>
      </c>
      <c r="K839" s="7">
        <f t="shared" si="213"/>
        <v>45972</v>
      </c>
      <c r="L839" s="7">
        <f t="shared" si="207"/>
        <v>45942</v>
      </c>
      <c r="M839">
        <f t="shared" si="208"/>
        <v>10</v>
      </c>
      <c r="N839">
        <f t="shared" si="209"/>
        <v>2025</v>
      </c>
      <c r="Q839" s="22"/>
      <c r="R839" s="22"/>
      <c r="S839" s="22">
        <f t="shared" si="214"/>
        <v>0</v>
      </c>
      <c r="T839" s="22" t="e">
        <f t="shared" si="201"/>
        <v>#N/A</v>
      </c>
      <c r="U839" s="28">
        <v>400</v>
      </c>
      <c r="W839" s="9">
        <v>525</v>
      </c>
      <c r="X839" s="9" t="s">
        <v>29</v>
      </c>
      <c r="AF839">
        <v>892</v>
      </c>
      <c r="AG839" t="s">
        <v>29</v>
      </c>
      <c r="AH839">
        <v>4772.49</v>
      </c>
      <c r="AI839" s="7">
        <v>45939</v>
      </c>
    </row>
    <row r="840" spans="1:35">
      <c r="A840">
        <v>927</v>
      </c>
      <c r="B840" t="str">
        <f t="shared" si="210"/>
        <v>USD</v>
      </c>
      <c r="C840">
        <f t="shared" si="211"/>
        <v>3200</v>
      </c>
      <c r="D840">
        <f t="shared" si="202"/>
        <v>2752</v>
      </c>
      <c r="E840">
        <f t="shared" si="203"/>
        <v>3200</v>
      </c>
      <c r="F840">
        <v>3200</v>
      </c>
      <c r="G840">
        <f t="shared" si="204"/>
        <v>2752</v>
      </c>
      <c r="H840">
        <f t="shared" si="205"/>
        <v>3200</v>
      </c>
      <c r="I840">
        <f t="shared" si="212"/>
        <v>0</v>
      </c>
      <c r="J840">
        <f t="shared" si="206"/>
        <v>0</v>
      </c>
      <c r="K840" s="7">
        <f t="shared" si="213"/>
        <v>46012</v>
      </c>
      <c r="L840" s="7">
        <f t="shared" si="207"/>
        <v>45982</v>
      </c>
      <c r="M840">
        <f t="shared" si="208"/>
        <v>11</v>
      </c>
      <c r="N840">
        <f t="shared" si="209"/>
        <v>2025</v>
      </c>
      <c r="Q840" s="22"/>
      <c r="R840" s="22"/>
      <c r="S840" s="22">
        <f t="shared" si="214"/>
        <v>0</v>
      </c>
      <c r="T840" s="22" t="e">
        <f t="shared" si="201"/>
        <v>#N/A</v>
      </c>
      <c r="U840" s="28">
        <v>400</v>
      </c>
      <c r="W840" s="9">
        <v>526</v>
      </c>
      <c r="X840" s="9" t="s">
        <v>29</v>
      </c>
      <c r="AF840">
        <v>893</v>
      </c>
      <c r="AG840" t="s">
        <v>29</v>
      </c>
      <c r="AH840">
        <v>119275.69</v>
      </c>
      <c r="AI840" s="7">
        <v>46010</v>
      </c>
    </row>
    <row r="841" spans="1:35">
      <c r="A841">
        <v>928</v>
      </c>
      <c r="B841" t="str">
        <f t="shared" si="210"/>
        <v>USD</v>
      </c>
      <c r="C841">
        <f t="shared" si="211"/>
        <v>31181</v>
      </c>
      <c r="D841">
        <f t="shared" si="202"/>
        <v>26815.66</v>
      </c>
      <c r="E841">
        <f t="shared" si="203"/>
        <v>31181</v>
      </c>
      <c r="F841">
        <v>10500</v>
      </c>
      <c r="G841">
        <f t="shared" si="204"/>
        <v>9030</v>
      </c>
      <c r="H841">
        <f t="shared" si="205"/>
        <v>10500</v>
      </c>
      <c r="I841">
        <f t="shared" si="212"/>
        <v>20681</v>
      </c>
      <c r="J841">
        <f t="shared" si="206"/>
        <v>20681</v>
      </c>
      <c r="K841" s="7">
        <f t="shared" si="213"/>
        <v>46204</v>
      </c>
      <c r="L841" s="7">
        <f t="shared" si="207"/>
        <v>46174</v>
      </c>
      <c r="M841">
        <f t="shared" si="208"/>
        <v>6</v>
      </c>
      <c r="N841">
        <f t="shared" si="209"/>
        <v>2026</v>
      </c>
      <c r="Q841" s="22"/>
      <c r="R841" s="22"/>
      <c r="S841" s="22">
        <f t="shared" si="214"/>
        <v>0</v>
      </c>
      <c r="T841" s="22" t="e">
        <f t="shared" si="201"/>
        <v>#N/A</v>
      </c>
      <c r="U841" s="28">
        <v>400</v>
      </c>
      <c r="W841" s="9">
        <v>527</v>
      </c>
      <c r="X841" s="9" t="s">
        <v>29</v>
      </c>
      <c r="AF841">
        <v>894</v>
      </c>
      <c r="AG841" t="s">
        <v>28</v>
      </c>
      <c r="AH841">
        <v>6855.53</v>
      </c>
      <c r="AI841" s="7">
        <v>45996</v>
      </c>
    </row>
    <row r="842" spans="1:35">
      <c r="A842">
        <v>929</v>
      </c>
      <c r="B842" t="str">
        <f t="shared" si="210"/>
        <v>EUR</v>
      </c>
      <c r="C842">
        <f t="shared" si="211"/>
        <v>12187.2</v>
      </c>
      <c r="D842">
        <f t="shared" si="202"/>
        <v>12187.2</v>
      </c>
      <c r="E842">
        <f t="shared" si="203"/>
        <v>14137.152</v>
      </c>
      <c r="F842">
        <v>12187.95</v>
      </c>
      <c r="G842">
        <f t="shared" si="204"/>
        <v>12187.95</v>
      </c>
      <c r="H842">
        <f t="shared" si="205"/>
        <v>14138.021999999999</v>
      </c>
      <c r="I842">
        <f t="shared" si="212"/>
        <v>-0.75</v>
      </c>
      <c r="J842">
        <f t="shared" si="206"/>
        <v>-0.86999999999999988</v>
      </c>
      <c r="K842" s="7">
        <f t="shared" si="213"/>
        <v>46066</v>
      </c>
      <c r="L842" s="7">
        <f t="shared" si="207"/>
        <v>46036</v>
      </c>
      <c r="M842">
        <f t="shared" si="208"/>
        <v>1</v>
      </c>
      <c r="N842">
        <f t="shared" si="209"/>
        <v>2026</v>
      </c>
      <c r="Q842" s="22"/>
      <c r="R842" s="22"/>
      <c r="S842" s="22">
        <f t="shared" si="214"/>
        <v>0</v>
      </c>
      <c r="T842" s="22" t="e">
        <f t="shared" si="201"/>
        <v>#N/A</v>
      </c>
      <c r="U842" s="28">
        <v>400</v>
      </c>
      <c r="W842" s="9">
        <v>528</v>
      </c>
      <c r="X842" s="9" t="s">
        <v>29</v>
      </c>
      <c r="AF842">
        <v>895</v>
      </c>
      <c r="AG842" t="s">
        <v>28</v>
      </c>
      <c r="AH842">
        <v>351300</v>
      </c>
      <c r="AI842" s="7">
        <v>46113</v>
      </c>
    </row>
    <row r="843" spans="1:35">
      <c r="A843">
        <v>930</v>
      </c>
      <c r="B843" t="str">
        <f t="shared" si="210"/>
        <v>USD</v>
      </c>
      <c r="C843">
        <f t="shared" si="211"/>
        <v>0</v>
      </c>
      <c r="D843">
        <f t="shared" si="202"/>
        <v>0</v>
      </c>
      <c r="E843">
        <f t="shared" si="203"/>
        <v>0</v>
      </c>
      <c r="F843">
        <v>3485</v>
      </c>
      <c r="G843">
        <f t="shared" si="204"/>
        <v>2997.1</v>
      </c>
      <c r="H843">
        <f t="shared" si="205"/>
        <v>3485</v>
      </c>
      <c r="I843">
        <f t="shared" si="212"/>
        <v>0</v>
      </c>
      <c r="J843">
        <f t="shared" si="206"/>
        <v>0</v>
      </c>
      <c r="K843" s="7">
        <f t="shared" si="213"/>
        <v>45912</v>
      </c>
      <c r="L843" s="7">
        <f t="shared" si="207"/>
        <v>45882</v>
      </c>
      <c r="M843">
        <f t="shared" si="208"/>
        <v>8</v>
      </c>
      <c r="N843">
        <f t="shared" si="209"/>
        <v>2025</v>
      </c>
      <c r="Q843" s="22"/>
      <c r="R843" s="22"/>
      <c r="S843" s="22">
        <f t="shared" si="214"/>
        <v>0</v>
      </c>
      <c r="T843" s="22" t="e">
        <f t="shared" si="201"/>
        <v>#N/A</v>
      </c>
      <c r="U843" s="28">
        <v>400</v>
      </c>
      <c r="W843" s="9">
        <v>529</v>
      </c>
      <c r="X843" s="9" t="s">
        <v>30</v>
      </c>
      <c r="AF843">
        <v>896</v>
      </c>
      <c r="AG843" t="s">
        <v>29</v>
      </c>
      <c r="AH843">
        <v>12935.9</v>
      </c>
      <c r="AI843" s="7">
        <v>46009</v>
      </c>
    </row>
    <row r="844" spans="1:35">
      <c r="A844">
        <v>931</v>
      </c>
      <c r="B844" t="str">
        <f t="shared" si="210"/>
        <v>USD</v>
      </c>
      <c r="C844">
        <f t="shared" si="211"/>
        <v>20200</v>
      </c>
      <c r="D844">
        <f t="shared" si="202"/>
        <v>17372</v>
      </c>
      <c r="E844">
        <f t="shared" si="203"/>
        <v>20200</v>
      </c>
      <c r="F844">
        <v>20200</v>
      </c>
      <c r="G844">
        <f t="shared" si="204"/>
        <v>17372</v>
      </c>
      <c r="H844">
        <f t="shared" si="205"/>
        <v>20200</v>
      </c>
      <c r="I844">
        <f t="shared" si="212"/>
        <v>0</v>
      </c>
      <c r="J844">
        <f t="shared" si="206"/>
        <v>0</v>
      </c>
      <c r="K844" s="7">
        <f t="shared" si="213"/>
        <v>46096</v>
      </c>
      <c r="L844" s="7">
        <f t="shared" si="207"/>
        <v>46066</v>
      </c>
      <c r="M844">
        <f t="shared" si="208"/>
        <v>2</v>
      </c>
      <c r="N844">
        <f t="shared" si="209"/>
        <v>2026</v>
      </c>
      <c r="Q844" s="22"/>
      <c r="R844" s="22"/>
      <c r="S844" s="22">
        <f t="shared" si="214"/>
        <v>0</v>
      </c>
      <c r="T844" s="22" t="e">
        <f t="shared" si="201"/>
        <v>#N/A</v>
      </c>
      <c r="U844" s="28">
        <v>400</v>
      </c>
      <c r="W844" s="9">
        <v>530</v>
      </c>
      <c r="X844" s="9" t="s">
        <v>27</v>
      </c>
      <c r="AF844">
        <v>897</v>
      </c>
      <c r="AG844" t="s">
        <v>29</v>
      </c>
      <c r="AH844">
        <v>21206</v>
      </c>
      <c r="AI844" s="7">
        <v>46006</v>
      </c>
    </row>
    <row r="845" spans="1:35">
      <c r="A845">
        <v>932</v>
      </c>
      <c r="B845" t="str">
        <f t="shared" si="210"/>
        <v>MXN</v>
      </c>
      <c r="C845">
        <f t="shared" si="211"/>
        <v>358904.88</v>
      </c>
      <c r="D845">
        <f t="shared" si="202"/>
        <v>17227.434240000002</v>
      </c>
      <c r="E845">
        <f t="shared" si="203"/>
        <v>20098.673279999999</v>
      </c>
      <c r="F845">
        <v>358904.88</v>
      </c>
      <c r="G845">
        <f t="shared" si="204"/>
        <v>17227.434240000002</v>
      </c>
      <c r="H845">
        <f t="shared" si="205"/>
        <v>20098.673279999999</v>
      </c>
      <c r="I845">
        <f t="shared" si="212"/>
        <v>0</v>
      </c>
      <c r="J845">
        <f t="shared" si="206"/>
        <v>0</v>
      </c>
      <c r="K845" s="7">
        <f t="shared" si="213"/>
        <v>46096</v>
      </c>
      <c r="L845" s="7">
        <f t="shared" si="207"/>
        <v>46066</v>
      </c>
      <c r="M845">
        <f t="shared" si="208"/>
        <v>2</v>
      </c>
      <c r="N845">
        <f t="shared" si="209"/>
        <v>2026</v>
      </c>
      <c r="Q845" s="22"/>
      <c r="R845" s="22"/>
      <c r="S845" s="22">
        <f t="shared" si="214"/>
        <v>0</v>
      </c>
      <c r="T845" s="22" t="e">
        <f t="shared" si="201"/>
        <v>#N/A</v>
      </c>
      <c r="U845" s="28">
        <v>400</v>
      </c>
      <c r="W845" s="9">
        <v>531</v>
      </c>
      <c r="X845" s="9" t="s">
        <v>29</v>
      </c>
      <c r="AF845">
        <v>898</v>
      </c>
      <c r="AG845" t="s">
        <v>29</v>
      </c>
      <c r="AH845">
        <v>45938.59</v>
      </c>
      <c r="AI845" s="7">
        <v>46054</v>
      </c>
    </row>
    <row r="846" spans="1:35">
      <c r="A846">
        <v>933</v>
      </c>
      <c r="B846" t="str">
        <f t="shared" si="210"/>
        <v>USD</v>
      </c>
      <c r="C846">
        <f t="shared" si="211"/>
        <v>2660</v>
      </c>
      <c r="D846">
        <f t="shared" si="202"/>
        <v>2287.6</v>
      </c>
      <c r="E846">
        <f t="shared" si="203"/>
        <v>2660</v>
      </c>
      <c r="F846">
        <v>2660</v>
      </c>
      <c r="G846">
        <f t="shared" si="204"/>
        <v>2287.6</v>
      </c>
      <c r="H846">
        <f t="shared" si="205"/>
        <v>2660</v>
      </c>
      <c r="I846">
        <f t="shared" si="212"/>
        <v>0</v>
      </c>
      <c r="J846">
        <f t="shared" si="206"/>
        <v>0</v>
      </c>
      <c r="K846" s="7">
        <f t="shared" si="213"/>
        <v>46017</v>
      </c>
      <c r="L846" s="7">
        <f t="shared" si="207"/>
        <v>45987</v>
      </c>
      <c r="M846">
        <f t="shared" si="208"/>
        <v>11</v>
      </c>
      <c r="N846">
        <f t="shared" si="209"/>
        <v>2025</v>
      </c>
      <c r="Q846" s="22"/>
      <c r="R846" s="22"/>
      <c r="S846" s="22">
        <f t="shared" si="214"/>
        <v>0</v>
      </c>
      <c r="T846" s="22" t="e">
        <f t="shared" si="201"/>
        <v>#N/A</v>
      </c>
      <c r="U846" s="28">
        <v>400</v>
      </c>
      <c r="W846" s="9">
        <v>531</v>
      </c>
      <c r="X846" s="9" t="s">
        <v>29</v>
      </c>
      <c r="AF846">
        <v>899</v>
      </c>
      <c r="AG846" t="s">
        <v>29</v>
      </c>
      <c r="AH846">
        <v>55787</v>
      </c>
      <c r="AI846" s="7">
        <v>46006</v>
      </c>
    </row>
    <row r="847" spans="1:35">
      <c r="A847">
        <v>934</v>
      </c>
      <c r="B847" t="str">
        <f t="shared" si="210"/>
        <v>USD</v>
      </c>
      <c r="C847">
        <f t="shared" si="211"/>
        <v>3688.57</v>
      </c>
      <c r="D847">
        <f t="shared" si="202"/>
        <v>3172.1702</v>
      </c>
      <c r="E847">
        <f t="shared" si="203"/>
        <v>3688.57</v>
      </c>
      <c r="F847">
        <v>3688.57</v>
      </c>
      <c r="G847">
        <f t="shared" si="204"/>
        <v>3172.1702</v>
      </c>
      <c r="H847">
        <f t="shared" si="205"/>
        <v>3688.57</v>
      </c>
      <c r="I847">
        <f t="shared" si="212"/>
        <v>0</v>
      </c>
      <c r="J847">
        <f t="shared" si="206"/>
        <v>0</v>
      </c>
      <c r="K847" s="7">
        <f t="shared" si="213"/>
        <v>46058</v>
      </c>
      <c r="L847" s="7">
        <f t="shared" si="207"/>
        <v>46028</v>
      </c>
      <c r="M847">
        <f t="shared" si="208"/>
        <v>1</v>
      </c>
      <c r="N847">
        <f t="shared" si="209"/>
        <v>2026</v>
      </c>
      <c r="Q847" s="22"/>
      <c r="R847" s="22"/>
      <c r="S847" s="22">
        <f t="shared" si="214"/>
        <v>0</v>
      </c>
      <c r="T847" s="22" t="e">
        <f t="shared" si="201"/>
        <v>#N/A</v>
      </c>
      <c r="U847" s="28">
        <v>400</v>
      </c>
      <c r="W847" s="9">
        <v>531</v>
      </c>
      <c r="X847" s="9" t="s">
        <v>29</v>
      </c>
      <c r="AF847">
        <v>900</v>
      </c>
      <c r="AG847" t="s">
        <v>28</v>
      </c>
      <c r="AH847">
        <v>13767.72</v>
      </c>
      <c r="AI847" s="7">
        <v>46000</v>
      </c>
    </row>
    <row r="848" spans="1:35">
      <c r="A848">
        <v>936</v>
      </c>
      <c r="B848" t="str">
        <f t="shared" si="210"/>
        <v>EUR</v>
      </c>
      <c r="C848">
        <f t="shared" si="211"/>
        <v>5421</v>
      </c>
      <c r="D848">
        <f t="shared" si="202"/>
        <v>5421</v>
      </c>
      <c r="E848">
        <f t="shared" si="203"/>
        <v>6288.36</v>
      </c>
      <c r="F848">
        <v>5421</v>
      </c>
      <c r="G848">
        <f t="shared" si="204"/>
        <v>5421</v>
      </c>
      <c r="H848">
        <f t="shared" si="205"/>
        <v>6288.36</v>
      </c>
      <c r="I848">
        <f t="shared" si="212"/>
        <v>0</v>
      </c>
      <c r="J848">
        <f t="shared" si="206"/>
        <v>0</v>
      </c>
      <c r="K848" s="7">
        <f t="shared" si="213"/>
        <v>46281</v>
      </c>
      <c r="L848" s="7">
        <f t="shared" si="207"/>
        <v>46251</v>
      </c>
      <c r="M848">
        <f t="shared" si="208"/>
        <v>8</v>
      </c>
      <c r="N848">
        <f t="shared" si="209"/>
        <v>2026</v>
      </c>
      <c r="Q848" s="22"/>
      <c r="R848" s="22"/>
      <c r="S848" s="22">
        <f t="shared" si="214"/>
        <v>0</v>
      </c>
      <c r="T848" s="22" t="e">
        <f t="shared" si="201"/>
        <v>#N/A</v>
      </c>
      <c r="U848" s="28">
        <v>400</v>
      </c>
      <c r="W848" s="9">
        <v>531</v>
      </c>
      <c r="X848" s="9" t="s">
        <v>29</v>
      </c>
      <c r="AF848">
        <v>901</v>
      </c>
      <c r="AG848" t="s">
        <v>27</v>
      </c>
      <c r="AH848">
        <v>10351</v>
      </c>
      <c r="AI848" s="7">
        <v>46012</v>
      </c>
    </row>
    <row r="849" spans="1:35">
      <c r="A849">
        <v>937</v>
      </c>
      <c r="B849" t="str">
        <f t="shared" si="210"/>
        <v>USD</v>
      </c>
      <c r="C849">
        <f t="shared" si="211"/>
        <v>120</v>
      </c>
      <c r="D849">
        <f t="shared" si="202"/>
        <v>103.2</v>
      </c>
      <c r="E849">
        <f t="shared" si="203"/>
        <v>120</v>
      </c>
      <c r="F849">
        <v>15093.21</v>
      </c>
      <c r="G849">
        <f t="shared" si="204"/>
        <v>12980.160599999999</v>
      </c>
      <c r="H849">
        <f t="shared" si="205"/>
        <v>15093.21</v>
      </c>
      <c r="I849">
        <f t="shared" si="212"/>
        <v>0</v>
      </c>
      <c r="J849">
        <f t="shared" si="206"/>
        <v>0</v>
      </c>
      <c r="K849" s="7">
        <f t="shared" si="213"/>
        <v>46072</v>
      </c>
      <c r="L849" s="7">
        <f t="shared" si="207"/>
        <v>46042</v>
      </c>
      <c r="M849">
        <f t="shared" si="208"/>
        <v>1</v>
      </c>
      <c r="N849">
        <f t="shared" si="209"/>
        <v>2026</v>
      </c>
      <c r="Q849" s="22"/>
      <c r="R849" s="22"/>
      <c r="S849" s="22">
        <f t="shared" si="214"/>
        <v>0</v>
      </c>
      <c r="T849" s="22" t="e">
        <f t="shared" si="201"/>
        <v>#N/A</v>
      </c>
      <c r="U849" s="28">
        <v>400</v>
      </c>
      <c r="W849" s="9">
        <v>533</v>
      </c>
      <c r="X849" s="9" t="s">
        <v>29</v>
      </c>
      <c r="AF849">
        <v>902</v>
      </c>
      <c r="AG849" t="s">
        <v>29</v>
      </c>
      <c r="AH849">
        <v>16350.41</v>
      </c>
      <c r="AI849" s="7">
        <v>46120</v>
      </c>
    </row>
    <row r="850" spans="1:35">
      <c r="A850">
        <v>938</v>
      </c>
      <c r="B850" t="str">
        <f t="shared" si="210"/>
        <v>USD</v>
      </c>
      <c r="C850">
        <f t="shared" si="211"/>
        <v>42007.3</v>
      </c>
      <c r="D850">
        <f t="shared" si="202"/>
        <v>36126.277999999998</v>
      </c>
      <c r="E850">
        <f t="shared" si="203"/>
        <v>42007.3</v>
      </c>
      <c r="F850">
        <v>102113.75</v>
      </c>
      <c r="G850">
        <f t="shared" si="204"/>
        <v>87817.824999999997</v>
      </c>
      <c r="H850">
        <f t="shared" si="205"/>
        <v>102113.75</v>
      </c>
      <c r="I850">
        <f t="shared" si="212"/>
        <v>0</v>
      </c>
      <c r="J850">
        <f t="shared" si="206"/>
        <v>0</v>
      </c>
      <c r="K850" s="7">
        <f t="shared" si="213"/>
        <v>46041</v>
      </c>
      <c r="L850" s="7">
        <f t="shared" si="207"/>
        <v>46011</v>
      </c>
      <c r="M850">
        <f t="shared" si="208"/>
        <v>12</v>
      </c>
      <c r="N850">
        <f t="shared" si="209"/>
        <v>2025</v>
      </c>
      <c r="Q850" s="22"/>
      <c r="R850" s="22"/>
      <c r="S850" s="22">
        <f t="shared" si="214"/>
        <v>0</v>
      </c>
      <c r="T850" s="22" t="e">
        <f t="shared" ref="T850:T913" si="215">R850*_xlfn.XLOOKUP(S850,AM:AM,AO:AO)</f>
        <v>#N/A</v>
      </c>
      <c r="U850" s="28">
        <v>400</v>
      </c>
      <c r="W850" s="9">
        <v>533</v>
      </c>
      <c r="X850" s="9" t="s">
        <v>29</v>
      </c>
      <c r="AF850">
        <v>903</v>
      </c>
      <c r="AG850" t="s">
        <v>29</v>
      </c>
      <c r="AH850">
        <v>56995.839999999997</v>
      </c>
      <c r="AI850" s="7">
        <v>46148</v>
      </c>
    </row>
    <row r="851" spans="1:35">
      <c r="A851">
        <v>939</v>
      </c>
      <c r="B851" t="str">
        <f t="shared" si="210"/>
        <v>MXN</v>
      </c>
      <c r="C851">
        <f t="shared" si="211"/>
        <v>348413</v>
      </c>
      <c r="D851">
        <f t="shared" si="202"/>
        <v>16723.824000000001</v>
      </c>
      <c r="E851">
        <f t="shared" si="203"/>
        <v>19511.128000000001</v>
      </c>
      <c r="F851">
        <v>306833.28000000003</v>
      </c>
      <c r="G851">
        <f t="shared" si="204"/>
        <v>14727.997440000001</v>
      </c>
      <c r="H851">
        <f t="shared" si="205"/>
        <v>17182.663680000001</v>
      </c>
      <c r="I851">
        <f t="shared" si="212"/>
        <v>41579.719999999972</v>
      </c>
      <c r="J851">
        <f t="shared" si="206"/>
        <v>2328.4643199999987</v>
      </c>
      <c r="K851" s="7">
        <f t="shared" si="213"/>
        <v>46099</v>
      </c>
      <c r="L851" s="7">
        <f t="shared" si="207"/>
        <v>46069</v>
      </c>
      <c r="M851">
        <f t="shared" si="208"/>
        <v>2</v>
      </c>
      <c r="N851">
        <f t="shared" si="209"/>
        <v>2026</v>
      </c>
      <c r="Q851" s="22"/>
      <c r="R851" s="22"/>
      <c r="S851" s="22">
        <f t="shared" si="214"/>
        <v>0</v>
      </c>
      <c r="T851" s="22" t="e">
        <f t="shared" si="215"/>
        <v>#N/A</v>
      </c>
      <c r="U851" s="28">
        <v>400</v>
      </c>
      <c r="W851" s="9">
        <v>535</v>
      </c>
      <c r="X851" s="9" t="s">
        <v>29</v>
      </c>
      <c r="AF851">
        <v>904</v>
      </c>
      <c r="AG851" t="s">
        <v>29</v>
      </c>
      <c r="AH851">
        <v>8208</v>
      </c>
      <c r="AI851" s="7">
        <v>46019</v>
      </c>
    </row>
    <row r="852" spans="1:35">
      <c r="A852">
        <v>940</v>
      </c>
      <c r="B852" t="str">
        <f t="shared" si="210"/>
        <v>USD</v>
      </c>
      <c r="C852">
        <f t="shared" si="211"/>
        <v>23731.8</v>
      </c>
      <c r="D852">
        <f t="shared" si="202"/>
        <v>20409.347999999998</v>
      </c>
      <c r="E852">
        <f t="shared" si="203"/>
        <v>23731.8</v>
      </c>
      <c r="F852">
        <v>19805.759999999998</v>
      </c>
      <c r="G852">
        <f t="shared" si="204"/>
        <v>17032.953599999997</v>
      </c>
      <c r="H852">
        <f t="shared" si="205"/>
        <v>19805.759999999998</v>
      </c>
      <c r="I852">
        <f t="shared" si="212"/>
        <v>3926.0400000000009</v>
      </c>
      <c r="J852">
        <f t="shared" si="206"/>
        <v>3926.0400000000009</v>
      </c>
      <c r="K852" s="7">
        <f t="shared" si="213"/>
        <v>46096</v>
      </c>
      <c r="L852" s="7">
        <f t="shared" si="207"/>
        <v>46066</v>
      </c>
      <c r="M852">
        <f t="shared" si="208"/>
        <v>2</v>
      </c>
      <c r="N852">
        <f t="shared" si="209"/>
        <v>2026</v>
      </c>
      <c r="Q852" s="22"/>
      <c r="R852" s="22"/>
      <c r="S852" s="22">
        <f t="shared" si="214"/>
        <v>0</v>
      </c>
      <c r="T852" s="22" t="e">
        <f t="shared" si="215"/>
        <v>#N/A</v>
      </c>
      <c r="U852" s="28">
        <v>400</v>
      </c>
      <c r="W852" s="9">
        <v>536</v>
      </c>
      <c r="X852" s="9" t="s">
        <v>29</v>
      </c>
      <c r="AF852">
        <v>905</v>
      </c>
      <c r="AG852" t="s">
        <v>29</v>
      </c>
      <c r="AH852">
        <v>11144</v>
      </c>
      <c r="AI852" s="7">
        <v>46025</v>
      </c>
    </row>
    <row r="853" spans="1:35">
      <c r="A853">
        <v>941</v>
      </c>
      <c r="B853" t="str">
        <f t="shared" si="210"/>
        <v>USD</v>
      </c>
      <c r="C853">
        <f t="shared" si="211"/>
        <v>0</v>
      </c>
      <c r="D853">
        <f t="shared" si="202"/>
        <v>0</v>
      </c>
      <c r="E853">
        <f t="shared" si="203"/>
        <v>0</v>
      </c>
      <c r="F853">
        <v>20200</v>
      </c>
      <c r="G853">
        <f t="shared" si="204"/>
        <v>17372</v>
      </c>
      <c r="H853">
        <f t="shared" si="205"/>
        <v>20200</v>
      </c>
      <c r="I853">
        <f t="shared" si="212"/>
        <v>0</v>
      </c>
      <c r="J853">
        <f t="shared" si="206"/>
        <v>0</v>
      </c>
      <c r="K853" s="7">
        <f t="shared" si="213"/>
        <v>46019</v>
      </c>
      <c r="L853" s="7">
        <f t="shared" si="207"/>
        <v>45989</v>
      </c>
      <c r="M853">
        <f t="shared" si="208"/>
        <v>11</v>
      </c>
      <c r="N853">
        <f t="shared" si="209"/>
        <v>2025</v>
      </c>
      <c r="Q853" s="22"/>
      <c r="R853" s="22"/>
      <c r="S853" s="22">
        <f t="shared" si="214"/>
        <v>0</v>
      </c>
      <c r="T853" s="22" t="e">
        <f t="shared" si="215"/>
        <v>#N/A</v>
      </c>
      <c r="U853" s="28">
        <v>400</v>
      </c>
      <c r="W853" s="9">
        <v>536</v>
      </c>
      <c r="X853" s="9" t="s">
        <v>29</v>
      </c>
      <c r="AF853">
        <v>907</v>
      </c>
      <c r="AG853" t="s">
        <v>28</v>
      </c>
      <c r="AH853">
        <v>23996</v>
      </c>
      <c r="AI853" s="7">
        <v>46128</v>
      </c>
    </row>
    <row r="854" spans="1:35">
      <c r="A854">
        <v>942</v>
      </c>
      <c r="B854" t="str">
        <f t="shared" si="210"/>
        <v>USD</v>
      </c>
      <c r="C854">
        <f t="shared" si="211"/>
        <v>0</v>
      </c>
      <c r="D854">
        <f t="shared" si="202"/>
        <v>0</v>
      </c>
      <c r="E854">
        <f t="shared" si="203"/>
        <v>0</v>
      </c>
      <c r="F854">
        <v>1155.8900000000001</v>
      </c>
      <c r="G854">
        <f t="shared" si="204"/>
        <v>994.06540000000007</v>
      </c>
      <c r="H854">
        <f t="shared" si="205"/>
        <v>1155.8900000000001</v>
      </c>
      <c r="I854">
        <f t="shared" si="212"/>
        <v>0</v>
      </c>
      <c r="J854">
        <f t="shared" si="206"/>
        <v>0</v>
      </c>
      <c r="K854" s="7">
        <f t="shared" si="213"/>
        <v>46011</v>
      </c>
      <c r="L854" s="7">
        <f t="shared" si="207"/>
        <v>45981</v>
      </c>
      <c r="M854">
        <f t="shared" si="208"/>
        <v>11</v>
      </c>
      <c r="N854">
        <f t="shared" si="209"/>
        <v>2025</v>
      </c>
      <c r="Q854" s="22"/>
      <c r="R854" s="22"/>
      <c r="S854" s="22">
        <f t="shared" si="214"/>
        <v>0</v>
      </c>
      <c r="T854" s="22" t="e">
        <f t="shared" si="215"/>
        <v>#N/A</v>
      </c>
      <c r="U854" s="28">
        <v>400</v>
      </c>
      <c r="W854" s="9">
        <v>536</v>
      </c>
      <c r="X854" s="9" t="s">
        <v>29</v>
      </c>
      <c r="AF854">
        <v>908</v>
      </c>
      <c r="AG854" t="s">
        <v>29</v>
      </c>
      <c r="AH854">
        <v>9419.19</v>
      </c>
      <c r="AI854" s="7">
        <v>46023</v>
      </c>
    </row>
    <row r="855" spans="1:35">
      <c r="A855">
        <v>943</v>
      </c>
      <c r="B855" t="str">
        <f t="shared" si="210"/>
        <v>USD</v>
      </c>
      <c r="C855">
        <f t="shared" si="211"/>
        <v>0</v>
      </c>
      <c r="D855">
        <f t="shared" si="202"/>
        <v>0</v>
      </c>
      <c r="E855">
        <f t="shared" si="203"/>
        <v>0</v>
      </c>
      <c r="F855">
        <v>1080</v>
      </c>
      <c r="G855">
        <f t="shared" si="204"/>
        <v>928.8</v>
      </c>
      <c r="H855">
        <f t="shared" si="205"/>
        <v>1080</v>
      </c>
      <c r="I855">
        <f t="shared" si="212"/>
        <v>0</v>
      </c>
      <c r="J855">
        <f t="shared" si="206"/>
        <v>0</v>
      </c>
      <c r="K855" s="7">
        <f t="shared" si="213"/>
        <v>46011</v>
      </c>
      <c r="L855" s="7">
        <f t="shared" si="207"/>
        <v>45981</v>
      </c>
      <c r="M855">
        <f t="shared" si="208"/>
        <v>11</v>
      </c>
      <c r="N855">
        <f t="shared" si="209"/>
        <v>2025</v>
      </c>
      <c r="Q855" s="22"/>
      <c r="R855" s="22"/>
      <c r="S855" s="22">
        <f t="shared" si="214"/>
        <v>0</v>
      </c>
      <c r="T855" s="22" t="e">
        <f t="shared" si="215"/>
        <v>#N/A</v>
      </c>
      <c r="U855" s="28">
        <v>400</v>
      </c>
      <c r="W855" s="9">
        <v>536</v>
      </c>
      <c r="X855" s="9" t="s">
        <v>29</v>
      </c>
      <c r="AF855">
        <v>909</v>
      </c>
      <c r="AG855" t="s">
        <v>28</v>
      </c>
      <c r="AH855">
        <v>31627</v>
      </c>
      <c r="AI855" s="7">
        <v>46030</v>
      </c>
    </row>
    <row r="856" spans="1:35">
      <c r="A856">
        <v>944</v>
      </c>
      <c r="B856" t="str">
        <f t="shared" si="210"/>
        <v>MXN</v>
      </c>
      <c r="C856">
        <f t="shared" si="211"/>
        <v>0</v>
      </c>
      <c r="D856">
        <f t="shared" si="202"/>
        <v>0</v>
      </c>
      <c r="E856">
        <f t="shared" si="203"/>
        <v>0</v>
      </c>
      <c r="F856">
        <v>84200</v>
      </c>
      <c r="G856">
        <f t="shared" si="204"/>
        <v>4041.6</v>
      </c>
      <c r="H856">
        <f t="shared" si="205"/>
        <v>4715.2</v>
      </c>
      <c r="I856">
        <f t="shared" si="212"/>
        <v>0</v>
      </c>
      <c r="J856">
        <f t="shared" si="206"/>
        <v>0</v>
      </c>
      <c r="K856" s="7">
        <f t="shared" si="213"/>
        <v>45974</v>
      </c>
      <c r="L856" s="7">
        <f t="shared" si="207"/>
        <v>45944</v>
      </c>
      <c r="M856">
        <f t="shared" si="208"/>
        <v>10</v>
      </c>
      <c r="N856">
        <f t="shared" si="209"/>
        <v>2025</v>
      </c>
      <c r="Q856" s="22"/>
      <c r="R856" s="22"/>
      <c r="S856" s="22">
        <f t="shared" si="214"/>
        <v>0</v>
      </c>
      <c r="T856" s="22" t="e">
        <f t="shared" si="215"/>
        <v>#N/A</v>
      </c>
      <c r="U856" s="28">
        <v>400</v>
      </c>
      <c r="W856" s="9">
        <v>536</v>
      </c>
      <c r="X856" s="9" t="s">
        <v>29</v>
      </c>
      <c r="AF856">
        <v>910</v>
      </c>
      <c r="AG856" t="s">
        <v>29</v>
      </c>
      <c r="AH856">
        <v>767.06</v>
      </c>
      <c r="AI856" s="7">
        <v>46045</v>
      </c>
    </row>
    <row r="857" spans="1:35">
      <c r="A857">
        <v>945</v>
      </c>
      <c r="B857" t="str">
        <f t="shared" si="210"/>
        <v>GBP</v>
      </c>
      <c r="C857">
        <f t="shared" si="211"/>
        <v>0</v>
      </c>
      <c r="D857">
        <f t="shared" si="202"/>
        <v>0</v>
      </c>
      <c r="E857">
        <f t="shared" si="203"/>
        <v>0</v>
      </c>
      <c r="F857">
        <v>2308</v>
      </c>
      <c r="G857">
        <f t="shared" si="204"/>
        <v>2654.2</v>
      </c>
      <c r="H857">
        <f t="shared" si="205"/>
        <v>3092.7200000000003</v>
      </c>
      <c r="I857">
        <f t="shared" si="212"/>
        <v>0</v>
      </c>
      <c r="J857">
        <f t="shared" si="206"/>
        <v>0</v>
      </c>
      <c r="K857" s="7">
        <f t="shared" si="213"/>
        <v>46009</v>
      </c>
      <c r="L857" s="7">
        <f t="shared" si="207"/>
        <v>45979</v>
      </c>
      <c r="M857">
        <f t="shared" si="208"/>
        <v>11</v>
      </c>
      <c r="N857">
        <f t="shared" si="209"/>
        <v>2025</v>
      </c>
      <c r="Q857" s="22"/>
      <c r="R857" s="22"/>
      <c r="S857" s="22">
        <f t="shared" si="214"/>
        <v>0</v>
      </c>
      <c r="T857" s="22" t="e">
        <f t="shared" si="215"/>
        <v>#N/A</v>
      </c>
      <c r="U857" s="28">
        <v>400</v>
      </c>
      <c r="W857" s="9">
        <v>536</v>
      </c>
      <c r="X857" s="9" t="s">
        <v>29</v>
      </c>
      <c r="AF857">
        <v>911</v>
      </c>
      <c r="AG857" t="s">
        <v>29</v>
      </c>
      <c r="AH857">
        <v>13252</v>
      </c>
      <c r="AI857" s="7">
        <v>45945</v>
      </c>
    </row>
    <row r="858" spans="1:35">
      <c r="A858">
        <v>946</v>
      </c>
      <c r="B858" t="str">
        <f t="shared" si="210"/>
        <v>GBP</v>
      </c>
      <c r="C858">
        <f t="shared" si="211"/>
        <v>0</v>
      </c>
      <c r="D858">
        <f t="shared" si="202"/>
        <v>0</v>
      </c>
      <c r="E858">
        <f t="shared" si="203"/>
        <v>0</v>
      </c>
      <c r="F858">
        <v>2464</v>
      </c>
      <c r="G858">
        <f t="shared" si="204"/>
        <v>2833.6</v>
      </c>
      <c r="H858">
        <f t="shared" si="205"/>
        <v>3301.76</v>
      </c>
      <c r="I858">
        <f t="shared" si="212"/>
        <v>0</v>
      </c>
      <c r="J858">
        <f t="shared" si="206"/>
        <v>0</v>
      </c>
      <c r="K858" s="7">
        <f t="shared" si="213"/>
        <v>46009</v>
      </c>
      <c r="L858" s="7">
        <f t="shared" si="207"/>
        <v>45979</v>
      </c>
      <c r="M858">
        <f t="shared" si="208"/>
        <v>11</v>
      </c>
      <c r="N858">
        <f t="shared" si="209"/>
        <v>2025</v>
      </c>
      <c r="Q858" s="22"/>
      <c r="R858" s="22"/>
      <c r="S858" s="22">
        <f t="shared" si="214"/>
        <v>0</v>
      </c>
      <c r="T858" s="22" t="e">
        <f t="shared" si="215"/>
        <v>#N/A</v>
      </c>
      <c r="U858" s="28">
        <v>400</v>
      </c>
      <c r="W858" s="9">
        <v>536</v>
      </c>
      <c r="X858" s="9" t="s">
        <v>29</v>
      </c>
      <c r="AF858">
        <v>912</v>
      </c>
      <c r="AG858" t="s">
        <v>29</v>
      </c>
      <c r="AH858">
        <v>2058</v>
      </c>
      <c r="AI858" s="7">
        <v>45847</v>
      </c>
    </row>
    <row r="859" spans="1:35">
      <c r="A859">
        <v>947</v>
      </c>
      <c r="B859" t="str">
        <f t="shared" si="210"/>
        <v>USD</v>
      </c>
      <c r="C859">
        <f t="shared" si="211"/>
        <v>0</v>
      </c>
      <c r="D859">
        <f t="shared" si="202"/>
        <v>0</v>
      </c>
      <c r="E859">
        <f t="shared" si="203"/>
        <v>0</v>
      </c>
      <c r="F859">
        <v>142.08000000000001</v>
      </c>
      <c r="G859">
        <f t="shared" si="204"/>
        <v>122.18880000000001</v>
      </c>
      <c r="H859">
        <f t="shared" si="205"/>
        <v>142.08000000000001</v>
      </c>
      <c r="I859">
        <f t="shared" si="212"/>
        <v>0</v>
      </c>
      <c r="J859">
        <f t="shared" si="206"/>
        <v>0</v>
      </c>
      <c r="K859" s="7">
        <f t="shared" si="213"/>
        <v>46018</v>
      </c>
      <c r="L859" s="7">
        <f t="shared" si="207"/>
        <v>45988</v>
      </c>
      <c r="M859">
        <f t="shared" si="208"/>
        <v>11</v>
      </c>
      <c r="N859">
        <f t="shared" si="209"/>
        <v>2025</v>
      </c>
      <c r="Q859" s="22"/>
      <c r="R859" s="22"/>
      <c r="S859" s="22">
        <f t="shared" si="214"/>
        <v>0</v>
      </c>
      <c r="T859" s="22" t="e">
        <f t="shared" si="215"/>
        <v>#N/A</v>
      </c>
      <c r="U859" s="28">
        <v>400</v>
      </c>
      <c r="W859" s="9">
        <v>536</v>
      </c>
      <c r="X859" s="9" t="s">
        <v>29</v>
      </c>
      <c r="AF859">
        <v>913</v>
      </c>
      <c r="AG859" t="s">
        <v>28</v>
      </c>
      <c r="AH859">
        <v>299292.08</v>
      </c>
      <c r="AI859" s="7">
        <v>46270</v>
      </c>
    </row>
    <row r="860" spans="1:35">
      <c r="A860">
        <v>948</v>
      </c>
      <c r="B860" t="str">
        <f t="shared" si="210"/>
        <v>USD</v>
      </c>
      <c r="C860">
        <f t="shared" si="211"/>
        <v>0</v>
      </c>
      <c r="D860">
        <f t="shared" si="202"/>
        <v>0</v>
      </c>
      <c r="E860">
        <f t="shared" si="203"/>
        <v>0</v>
      </c>
      <c r="F860">
        <v>3052</v>
      </c>
      <c r="G860">
        <f t="shared" si="204"/>
        <v>2624.72</v>
      </c>
      <c r="H860">
        <f t="shared" si="205"/>
        <v>3052</v>
      </c>
      <c r="I860">
        <f t="shared" si="212"/>
        <v>0</v>
      </c>
      <c r="J860">
        <f t="shared" si="206"/>
        <v>0</v>
      </c>
      <c r="K860" s="7">
        <f t="shared" si="213"/>
        <v>45946</v>
      </c>
      <c r="L860" s="7">
        <f t="shared" si="207"/>
        <v>45916</v>
      </c>
      <c r="M860">
        <f t="shared" si="208"/>
        <v>9</v>
      </c>
      <c r="N860">
        <f t="shared" si="209"/>
        <v>2025</v>
      </c>
      <c r="Q860" s="22"/>
      <c r="R860" s="22"/>
      <c r="S860" s="22">
        <f t="shared" si="214"/>
        <v>0</v>
      </c>
      <c r="T860" s="22" t="e">
        <f t="shared" si="215"/>
        <v>#N/A</v>
      </c>
      <c r="U860" s="28">
        <v>400</v>
      </c>
      <c r="W860" s="9">
        <v>537</v>
      </c>
      <c r="X860" s="9" t="s">
        <v>27</v>
      </c>
      <c r="AF860">
        <v>914</v>
      </c>
      <c r="AG860" t="s">
        <v>29</v>
      </c>
      <c r="AH860">
        <v>7590.6</v>
      </c>
      <c r="AI860" s="7">
        <v>46110</v>
      </c>
    </row>
    <row r="861" spans="1:35">
      <c r="A861">
        <v>949</v>
      </c>
      <c r="B861" t="str">
        <f t="shared" si="210"/>
        <v>USD</v>
      </c>
      <c r="C861">
        <f t="shared" si="211"/>
        <v>0</v>
      </c>
      <c r="D861">
        <f t="shared" si="202"/>
        <v>0</v>
      </c>
      <c r="E861">
        <f t="shared" si="203"/>
        <v>0</v>
      </c>
      <c r="F861">
        <v>1685.86</v>
      </c>
      <c r="G861">
        <f t="shared" si="204"/>
        <v>1449.8395999999998</v>
      </c>
      <c r="H861">
        <f t="shared" si="205"/>
        <v>1685.86</v>
      </c>
      <c r="I861">
        <f t="shared" si="212"/>
        <v>0</v>
      </c>
      <c r="J861">
        <f t="shared" si="206"/>
        <v>0</v>
      </c>
      <c r="K861" s="7">
        <f t="shared" si="213"/>
        <v>45997</v>
      </c>
      <c r="L861" s="7">
        <f t="shared" si="207"/>
        <v>45967</v>
      </c>
      <c r="M861">
        <f t="shared" si="208"/>
        <v>11</v>
      </c>
      <c r="N861">
        <f t="shared" si="209"/>
        <v>2025</v>
      </c>
      <c r="Q861" s="22"/>
      <c r="R861" s="22"/>
      <c r="S861" s="22">
        <f t="shared" si="214"/>
        <v>0</v>
      </c>
      <c r="T861" s="22" t="e">
        <f t="shared" si="215"/>
        <v>#N/A</v>
      </c>
      <c r="U861" s="28">
        <v>400</v>
      </c>
      <c r="W861" s="9">
        <v>537</v>
      </c>
      <c r="X861" s="9" t="s">
        <v>27</v>
      </c>
      <c r="AF861">
        <v>915</v>
      </c>
      <c r="AG861" t="s">
        <v>29</v>
      </c>
      <c r="AH861">
        <v>32419.9</v>
      </c>
      <c r="AI861" s="7">
        <v>46010</v>
      </c>
    </row>
    <row r="862" spans="1:35">
      <c r="A862">
        <v>950</v>
      </c>
      <c r="B862" t="str">
        <f t="shared" si="210"/>
        <v>USD</v>
      </c>
      <c r="C862">
        <f t="shared" si="211"/>
        <v>70</v>
      </c>
      <c r="D862">
        <f t="shared" si="202"/>
        <v>60.199999999999996</v>
      </c>
      <c r="E862">
        <f t="shared" si="203"/>
        <v>70</v>
      </c>
      <c r="F862">
        <v>652.66</v>
      </c>
      <c r="G862">
        <f t="shared" si="204"/>
        <v>561.2876</v>
      </c>
      <c r="H862">
        <f t="shared" si="205"/>
        <v>652.66</v>
      </c>
      <c r="I862">
        <f t="shared" si="212"/>
        <v>0</v>
      </c>
      <c r="J862">
        <f t="shared" si="206"/>
        <v>0</v>
      </c>
      <c r="K862" s="7">
        <f t="shared" si="213"/>
        <v>46026</v>
      </c>
      <c r="L862" s="7">
        <f t="shared" si="207"/>
        <v>45996</v>
      </c>
      <c r="M862">
        <f t="shared" si="208"/>
        <v>12</v>
      </c>
      <c r="N862">
        <f t="shared" si="209"/>
        <v>2025</v>
      </c>
      <c r="Q862" s="22"/>
      <c r="R862" s="22"/>
      <c r="S862" s="22">
        <f t="shared" si="214"/>
        <v>0</v>
      </c>
      <c r="T862" s="22" t="e">
        <f t="shared" si="215"/>
        <v>#N/A</v>
      </c>
      <c r="U862" s="28">
        <v>400</v>
      </c>
      <c r="W862" s="9">
        <v>539</v>
      </c>
      <c r="X862" s="9" t="s">
        <v>29</v>
      </c>
      <c r="AF862">
        <v>916</v>
      </c>
      <c r="AG862" t="s">
        <v>29</v>
      </c>
      <c r="AH862">
        <v>21125</v>
      </c>
      <c r="AI862" s="7">
        <v>46302</v>
      </c>
    </row>
    <row r="863" spans="1:35">
      <c r="A863">
        <v>951</v>
      </c>
      <c r="B863" t="str">
        <f t="shared" si="210"/>
        <v>MXN</v>
      </c>
      <c r="C863">
        <f t="shared" si="211"/>
        <v>194372.45</v>
      </c>
      <c r="D863">
        <f t="shared" si="202"/>
        <v>9329.8776000000016</v>
      </c>
      <c r="E863">
        <f t="shared" si="203"/>
        <v>10884.8572</v>
      </c>
      <c r="F863">
        <v>194372.45</v>
      </c>
      <c r="G863">
        <f t="shared" si="204"/>
        <v>9329.8776000000016</v>
      </c>
      <c r="H863">
        <f t="shared" si="205"/>
        <v>10884.8572</v>
      </c>
      <c r="I863">
        <f t="shared" si="212"/>
        <v>0</v>
      </c>
      <c r="J863">
        <f t="shared" si="206"/>
        <v>0</v>
      </c>
      <c r="K863" s="7">
        <f t="shared" si="213"/>
        <v>46094</v>
      </c>
      <c r="L863" s="7">
        <f t="shared" si="207"/>
        <v>46064</v>
      </c>
      <c r="M863">
        <f t="shared" si="208"/>
        <v>2</v>
      </c>
      <c r="N863">
        <f t="shared" si="209"/>
        <v>2026</v>
      </c>
      <c r="Q863" s="22"/>
      <c r="R863" s="22"/>
      <c r="S863" s="22">
        <f t="shared" si="214"/>
        <v>0</v>
      </c>
      <c r="T863" s="22" t="e">
        <f t="shared" si="215"/>
        <v>#N/A</v>
      </c>
      <c r="U863" s="28">
        <v>400</v>
      </c>
      <c r="W863" s="9">
        <v>540</v>
      </c>
      <c r="X863" s="9" t="s">
        <v>29</v>
      </c>
      <c r="AF863">
        <v>917</v>
      </c>
      <c r="AG863" t="s">
        <v>27</v>
      </c>
      <c r="AH863">
        <v>26973.49</v>
      </c>
      <c r="AI863" s="7">
        <v>46111</v>
      </c>
    </row>
    <row r="864" spans="1:35">
      <c r="A864">
        <v>952</v>
      </c>
      <c r="B864" t="str">
        <f t="shared" si="210"/>
        <v>USD</v>
      </c>
      <c r="C864">
        <f t="shared" si="211"/>
        <v>4970.34</v>
      </c>
      <c r="D864">
        <f t="shared" si="202"/>
        <v>4274.4924000000001</v>
      </c>
      <c r="E864">
        <f t="shared" si="203"/>
        <v>4970.34</v>
      </c>
      <c r="F864">
        <v>10930.28</v>
      </c>
      <c r="G864">
        <f t="shared" si="204"/>
        <v>9400.0408000000007</v>
      </c>
      <c r="H864">
        <f t="shared" si="205"/>
        <v>10930.28</v>
      </c>
      <c r="I864">
        <f t="shared" si="212"/>
        <v>4165.34</v>
      </c>
      <c r="J864">
        <f t="shared" si="206"/>
        <v>4165.34</v>
      </c>
      <c r="K864" s="7">
        <f t="shared" si="213"/>
        <v>46109</v>
      </c>
      <c r="L864" s="7">
        <f t="shared" si="207"/>
        <v>46079</v>
      </c>
      <c r="M864">
        <f t="shared" si="208"/>
        <v>2</v>
      </c>
      <c r="N864">
        <f t="shared" si="209"/>
        <v>2026</v>
      </c>
      <c r="Q864" s="22"/>
      <c r="R864" s="22"/>
      <c r="S864" s="22">
        <f t="shared" si="214"/>
        <v>0</v>
      </c>
      <c r="T864" s="22" t="e">
        <f t="shared" si="215"/>
        <v>#N/A</v>
      </c>
      <c r="U864" s="28">
        <v>400</v>
      </c>
      <c r="W864" s="9">
        <v>540</v>
      </c>
      <c r="X864" s="9" t="s">
        <v>29</v>
      </c>
      <c r="AF864">
        <v>918</v>
      </c>
      <c r="AG864" t="s">
        <v>29</v>
      </c>
      <c r="AH864">
        <v>400</v>
      </c>
      <c r="AI864" s="7">
        <v>46011</v>
      </c>
    </row>
    <row r="865" spans="1:35">
      <c r="A865">
        <v>953</v>
      </c>
      <c r="B865" t="str">
        <f t="shared" si="210"/>
        <v>USD</v>
      </c>
      <c r="C865">
        <f t="shared" si="211"/>
        <v>0</v>
      </c>
      <c r="D865">
        <f t="shared" si="202"/>
        <v>0</v>
      </c>
      <c r="E865">
        <f t="shared" si="203"/>
        <v>0</v>
      </c>
      <c r="F865">
        <v>10472.799999999999</v>
      </c>
      <c r="G865">
        <f t="shared" si="204"/>
        <v>9006.6079999999984</v>
      </c>
      <c r="H865">
        <f t="shared" si="205"/>
        <v>10472.799999999999</v>
      </c>
      <c r="I865">
        <f t="shared" si="212"/>
        <v>0</v>
      </c>
      <c r="J865">
        <f t="shared" si="206"/>
        <v>0</v>
      </c>
      <c r="K865" s="7">
        <f t="shared" si="213"/>
        <v>46029</v>
      </c>
      <c r="L865" s="7">
        <f t="shared" si="207"/>
        <v>45999</v>
      </c>
      <c r="M865">
        <f t="shared" si="208"/>
        <v>12</v>
      </c>
      <c r="N865">
        <f t="shared" si="209"/>
        <v>2025</v>
      </c>
      <c r="Q865" s="22"/>
      <c r="R865" s="22"/>
      <c r="S865" s="22">
        <f t="shared" si="214"/>
        <v>0</v>
      </c>
      <c r="T865" s="22" t="e">
        <f t="shared" si="215"/>
        <v>#N/A</v>
      </c>
      <c r="U865" s="28">
        <v>400</v>
      </c>
      <c r="W865" s="9">
        <v>540</v>
      </c>
      <c r="X865" s="9" t="s">
        <v>29</v>
      </c>
      <c r="AF865">
        <v>919</v>
      </c>
      <c r="AG865" t="s">
        <v>29</v>
      </c>
      <c r="AH865">
        <v>16765</v>
      </c>
      <c r="AI865" s="7">
        <v>46012</v>
      </c>
    </row>
    <row r="866" spans="1:35">
      <c r="A866">
        <v>954</v>
      </c>
      <c r="B866" t="str">
        <f t="shared" si="210"/>
        <v>USD</v>
      </c>
      <c r="C866">
        <f t="shared" si="211"/>
        <v>2328.56</v>
      </c>
      <c r="D866">
        <f t="shared" si="202"/>
        <v>2002.5616</v>
      </c>
      <c r="E866">
        <f t="shared" si="203"/>
        <v>2328.56</v>
      </c>
      <c r="F866">
        <v>2328.56</v>
      </c>
      <c r="G866">
        <f t="shared" si="204"/>
        <v>2002.5616</v>
      </c>
      <c r="H866">
        <f t="shared" si="205"/>
        <v>2328.56</v>
      </c>
      <c r="I866">
        <f t="shared" si="212"/>
        <v>0</v>
      </c>
      <c r="J866">
        <f t="shared" si="206"/>
        <v>0</v>
      </c>
      <c r="K866" s="7">
        <f t="shared" si="213"/>
        <v>46098</v>
      </c>
      <c r="L866" s="7">
        <f t="shared" si="207"/>
        <v>46068</v>
      </c>
      <c r="M866">
        <f t="shared" si="208"/>
        <v>2</v>
      </c>
      <c r="N866">
        <f t="shared" si="209"/>
        <v>2026</v>
      </c>
      <c r="Q866" s="22"/>
      <c r="R866" s="22"/>
      <c r="S866" s="22">
        <f t="shared" si="214"/>
        <v>0</v>
      </c>
      <c r="T866" s="22" t="e">
        <f t="shared" si="215"/>
        <v>#N/A</v>
      </c>
      <c r="U866" s="28">
        <v>400</v>
      </c>
      <c r="W866" s="9">
        <v>540</v>
      </c>
      <c r="X866" s="9" t="s">
        <v>29</v>
      </c>
      <c r="AF866">
        <v>920</v>
      </c>
      <c r="AG866" t="s">
        <v>29</v>
      </c>
      <c r="AH866">
        <v>5067.5200000000004</v>
      </c>
      <c r="AI866" s="7">
        <v>45954</v>
      </c>
    </row>
    <row r="867" spans="1:35">
      <c r="A867">
        <v>955</v>
      </c>
      <c r="B867" t="str">
        <f t="shared" si="210"/>
        <v>USD</v>
      </c>
      <c r="C867">
        <f t="shared" si="211"/>
        <v>127190</v>
      </c>
      <c r="D867">
        <f t="shared" si="202"/>
        <v>109383.4</v>
      </c>
      <c r="E867">
        <f t="shared" si="203"/>
        <v>127190</v>
      </c>
      <c r="F867">
        <v>38157</v>
      </c>
      <c r="G867">
        <f t="shared" si="204"/>
        <v>32815.019999999997</v>
      </c>
      <c r="H867">
        <f t="shared" si="205"/>
        <v>38157</v>
      </c>
      <c r="I867">
        <f t="shared" si="212"/>
        <v>89033</v>
      </c>
      <c r="J867">
        <f t="shared" si="206"/>
        <v>89033</v>
      </c>
      <c r="K867" s="7">
        <f t="shared" si="213"/>
        <v>46280</v>
      </c>
      <c r="L867" s="7">
        <f t="shared" si="207"/>
        <v>46250</v>
      </c>
      <c r="M867">
        <f t="shared" si="208"/>
        <v>8</v>
      </c>
      <c r="N867">
        <f t="shared" si="209"/>
        <v>2026</v>
      </c>
      <c r="Q867" s="22"/>
      <c r="R867" s="22"/>
      <c r="S867" s="22">
        <f t="shared" si="214"/>
        <v>0</v>
      </c>
      <c r="T867" s="22" t="e">
        <f t="shared" si="215"/>
        <v>#N/A</v>
      </c>
      <c r="U867" s="28">
        <v>400</v>
      </c>
      <c r="W867" s="9">
        <v>540</v>
      </c>
      <c r="X867" s="9" t="s">
        <v>29</v>
      </c>
      <c r="AF867">
        <v>921</v>
      </c>
      <c r="AG867" t="s">
        <v>29</v>
      </c>
      <c r="AH867">
        <v>2533.7600000000002</v>
      </c>
      <c r="AI867" s="7">
        <v>45954</v>
      </c>
    </row>
    <row r="868" spans="1:35">
      <c r="A868">
        <v>956</v>
      </c>
      <c r="B868" t="str">
        <f t="shared" si="210"/>
        <v>USD</v>
      </c>
      <c r="C868">
        <f t="shared" si="211"/>
        <v>0</v>
      </c>
      <c r="D868">
        <f t="shared" si="202"/>
        <v>0</v>
      </c>
      <c r="E868">
        <f t="shared" si="203"/>
        <v>0</v>
      </c>
      <c r="F868">
        <v>63072</v>
      </c>
      <c r="G868">
        <f t="shared" si="204"/>
        <v>54241.919999999998</v>
      </c>
      <c r="H868">
        <f t="shared" si="205"/>
        <v>63072</v>
      </c>
      <c r="I868">
        <f t="shared" si="212"/>
        <v>0</v>
      </c>
      <c r="J868">
        <f t="shared" si="206"/>
        <v>0</v>
      </c>
      <c r="K868" s="7">
        <f t="shared" si="213"/>
        <v>46009</v>
      </c>
      <c r="L868" s="7">
        <f t="shared" si="207"/>
        <v>45979</v>
      </c>
      <c r="M868">
        <f t="shared" si="208"/>
        <v>11</v>
      </c>
      <c r="N868">
        <f t="shared" si="209"/>
        <v>2025</v>
      </c>
      <c r="Q868" s="22"/>
      <c r="R868" s="22"/>
      <c r="S868" s="22">
        <f t="shared" si="214"/>
        <v>0</v>
      </c>
      <c r="T868" s="22" t="e">
        <f t="shared" si="215"/>
        <v>#N/A</v>
      </c>
      <c r="U868" s="28">
        <v>400</v>
      </c>
      <c r="W868" s="9">
        <v>541</v>
      </c>
      <c r="X868" s="9" t="s">
        <v>29</v>
      </c>
      <c r="AF868">
        <v>922</v>
      </c>
      <c r="AG868" t="s">
        <v>27</v>
      </c>
      <c r="AH868">
        <v>2403.5</v>
      </c>
      <c r="AI868" s="7">
        <v>45970</v>
      </c>
    </row>
    <row r="869" spans="1:35">
      <c r="A869">
        <v>957</v>
      </c>
      <c r="B869" t="str">
        <f t="shared" si="210"/>
        <v>USD</v>
      </c>
      <c r="C869">
        <f t="shared" si="211"/>
        <v>3069.9999999999995</v>
      </c>
      <c r="D869">
        <f t="shared" si="202"/>
        <v>2640.1999999999994</v>
      </c>
      <c r="E869">
        <f t="shared" si="203"/>
        <v>3069.9999999999995</v>
      </c>
      <c r="F869">
        <v>2954.36</v>
      </c>
      <c r="G869">
        <f t="shared" si="204"/>
        <v>2540.7496000000001</v>
      </c>
      <c r="H869">
        <f t="shared" si="205"/>
        <v>2954.36</v>
      </c>
      <c r="I869">
        <f t="shared" si="212"/>
        <v>2999.9999999999995</v>
      </c>
      <c r="J869">
        <f t="shared" si="206"/>
        <v>2999.9999999999995</v>
      </c>
      <c r="K869" s="7">
        <f t="shared" si="213"/>
        <v>46045</v>
      </c>
      <c r="L869" s="7">
        <f t="shared" si="207"/>
        <v>46015</v>
      </c>
      <c r="M869">
        <f t="shared" si="208"/>
        <v>12</v>
      </c>
      <c r="N869">
        <f t="shared" si="209"/>
        <v>2025</v>
      </c>
      <c r="Q869" s="22"/>
      <c r="R869" s="22"/>
      <c r="S869" s="22">
        <f t="shared" si="214"/>
        <v>0</v>
      </c>
      <c r="T869" s="22" t="e">
        <f t="shared" si="215"/>
        <v>#N/A</v>
      </c>
      <c r="U869" s="28">
        <v>400</v>
      </c>
      <c r="W869" s="9">
        <v>542</v>
      </c>
      <c r="X869" s="9" t="s">
        <v>29</v>
      </c>
      <c r="AF869">
        <v>923</v>
      </c>
      <c r="AG869" t="s">
        <v>27</v>
      </c>
      <c r="AH869">
        <v>1039.5</v>
      </c>
      <c r="AI869" s="7">
        <v>45973</v>
      </c>
    </row>
    <row r="870" spans="1:35">
      <c r="A870">
        <v>959</v>
      </c>
      <c r="B870" t="str">
        <f t="shared" si="210"/>
        <v>MXN</v>
      </c>
      <c r="C870">
        <f t="shared" si="211"/>
        <v>30999.200000000001</v>
      </c>
      <c r="D870">
        <f t="shared" si="202"/>
        <v>1487.9616000000001</v>
      </c>
      <c r="E870">
        <f t="shared" si="203"/>
        <v>1735.9552000000001</v>
      </c>
      <c r="F870">
        <v>30999.200000000001</v>
      </c>
      <c r="G870">
        <f t="shared" si="204"/>
        <v>1487.9616000000001</v>
      </c>
      <c r="H870">
        <f t="shared" si="205"/>
        <v>1735.9552000000001</v>
      </c>
      <c r="I870">
        <f t="shared" si="212"/>
        <v>0</v>
      </c>
      <c r="J870">
        <f t="shared" si="206"/>
        <v>0</v>
      </c>
      <c r="K870" s="7">
        <f t="shared" si="213"/>
        <v>46029</v>
      </c>
      <c r="L870" s="7">
        <f t="shared" si="207"/>
        <v>45999</v>
      </c>
      <c r="M870">
        <f t="shared" si="208"/>
        <v>12</v>
      </c>
      <c r="N870">
        <f t="shared" si="209"/>
        <v>2025</v>
      </c>
      <c r="Q870" s="22"/>
      <c r="R870" s="22"/>
      <c r="S870" s="22">
        <f t="shared" si="214"/>
        <v>0</v>
      </c>
      <c r="T870" s="22" t="e">
        <f t="shared" si="215"/>
        <v>#N/A</v>
      </c>
      <c r="U870" s="28">
        <v>400</v>
      </c>
      <c r="W870" s="9">
        <v>542</v>
      </c>
      <c r="X870" s="9" t="s">
        <v>29</v>
      </c>
      <c r="AF870">
        <v>924</v>
      </c>
      <c r="AG870" t="s">
        <v>29</v>
      </c>
      <c r="AH870">
        <v>62507.67</v>
      </c>
      <c r="AI870" s="7">
        <v>46120</v>
      </c>
    </row>
    <row r="871" spans="1:35">
      <c r="A871">
        <v>960</v>
      </c>
      <c r="B871" t="str">
        <f t="shared" si="210"/>
        <v>USD</v>
      </c>
      <c r="C871">
        <f t="shared" si="211"/>
        <v>3920</v>
      </c>
      <c r="D871">
        <f t="shared" si="202"/>
        <v>3371.2</v>
      </c>
      <c r="E871">
        <f t="shared" si="203"/>
        <v>3920</v>
      </c>
      <c r="F871">
        <v>3920</v>
      </c>
      <c r="G871">
        <f t="shared" si="204"/>
        <v>3371.2</v>
      </c>
      <c r="H871">
        <f t="shared" si="205"/>
        <v>3920</v>
      </c>
      <c r="I871">
        <f t="shared" si="212"/>
        <v>0</v>
      </c>
      <c r="J871">
        <f t="shared" si="206"/>
        <v>0</v>
      </c>
      <c r="K871" s="7">
        <f t="shared" si="213"/>
        <v>46035</v>
      </c>
      <c r="L871" s="7">
        <f t="shared" si="207"/>
        <v>46005</v>
      </c>
      <c r="M871">
        <f t="shared" si="208"/>
        <v>12</v>
      </c>
      <c r="N871">
        <f t="shared" si="209"/>
        <v>2025</v>
      </c>
      <c r="Q871" s="22"/>
      <c r="R871" s="22"/>
      <c r="S871" s="22">
        <f t="shared" si="214"/>
        <v>0</v>
      </c>
      <c r="T871" s="22" t="e">
        <f t="shared" si="215"/>
        <v>#N/A</v>
      </c>
      <c r="U871" s="28">
        <v>400</v>
      </c>
      <c r="W871" s="9">
        <v>542</v>
      </c>
      <c r="X871" s="9" t="s">
        <v>29</v>
      </c>
      <c r="AF871">
        <v>925</v>
      </c>
      <c r="AG871" t="s">
        <v>27</v>
      </c>
      <c r="AH871">
        <v>136</v>
      </c>
      <c r="AI871" s="7">
        <v>45972</v>
      </c>
    </row>
    <row r="872" spans="1:35">
      <c r="A872">
        <v>961</v>
      </c>
      <c r="B872" t="str">
        <f t="shared" si="210"/>
        <v>USD</v>
      </c>
      <c r="C872">
        <f t="shared" si="211"/>
        <v>70</v>
      </c>
      <c r="D872">
        <f t="shared" si="202"/>
        <v>60.199999999999996</v>
      </c>
      <c r="E872">
        <f t="shared" si="203"/>
        <v>70</v>
      </c>
      <c r="F872">
        <v>13986.6</v>
      </c>
      <c r="G872">
        <f t="shared" si="204"/>
        <v>12028.476000000001</v>
      </c>
      <c r="H872">
        <f t="shared" si="205"/>
        <v>13986.6</v>
      </c>
      <c r="I872">
        <f t="shared" si="212"/>
        <v>0</v>
      </c>
      <c r="J872">
        <f t="shared" si="206"/>
        <v>0</v>
      </c>
      <c r="K872" s="7">
        <f t="shared" si="213"/>
        <v>46279</v>
      </c>
      <c r="L872" s="7">
        <f t="shared" si="207"/>
        <v>46249</v>
      </c>
      <c r="M872">
        <f t="shared" si="208"/>
        <v>8</v>
      </c>
      <c r="N872">
        <f t="shared" si="209"/>
        <v>2026</v>
      </c>
      <c r="Q872" s="22"/>
      <c r="R872" s="22"/>
      <c r="S872" s="22">
        <f t="shared" si="214"/>
        <v>0</v>
      </c>
      <c r="T872" s="22" t="e">
        <f t="shared" si="215"/>
        <v>#N/A</v>
      </c>
      <c r="U872" s="28">
        <v>400</v>
      </c>
      <c r="W872" s="9">
        <v>542</v>
      </c>
      <c r="X872" s="9" t="s">
        <v>29</v>
      </c>
      <c r="AF872">
        <v>926</v>
      </c>
      <c r="AG872" t="s">
        <v>29</v>
      </c>
      <c r="AH872">
        <v>1383.74</v>
      </c>
      <c r="AI872" s="7">
        <v>46005</v>
      </c>
    </row>
    <row r="873" spans="1:35">
      <c r="A873">
        <v>962</v>
      </c>
      <c r="B873" t="str">
        <f t="shared" si="210"/>
        <v>USD</v>
      </c>
      <c r="C873">
        <f t="shared" si="211"/>
        <v>8535</v>
      </c>
      <c r="D873">
        <f t="shared" si="202"/>
        <v>7340.0999999999995</v>
      </c>
      <c r="E873">
        <f t="shared" si="203"/>
        <v>8535</v>
      </c>
      <c r="F873">
        <v>1707</v>
      </c>
      <c r="G873">
        <f t="shared" si="204"/>
        <v>1468.02</v>
      </c>
      <c r="H873">
        <f t="shared" si="205"/>
        <v>1707</v>
      </c>
      <c r="I873">
        <f t="shared" si="212"/>
        <v>8535</v>
      </c>
      <c r="J873">
        <f t="shared" si="206"/>
        <v>8535</v>
      </c>
      <c r="K873" s="7">
        <f t="shared" si="213"/>
        <v>46028</v>
      </c>
      <c r="L873" s="7">
        <f t="shared" si="207"/>
        <v>45998</v>
      </c>
      <c r="M873">
        <f t="shared" si="208"/>
        <v>12</v>
      </c>
      <c r="N873">
        <f t="shared" si="209"/>
        <v>2025</v>
      </c>
      <c r="Q873" s="22"/>
      <c r="R873" s="22"/>
      <c r="S873" s="22">
        <f t="shared" si="214"/>
        <v>0</v>
      </c>
      <c r="T873" s="22" t="e">
        <f t="shared" si="215"/>
        <v>#N/A</v>
      </c>
      <c r="U873" s="28">
        <v>400</v>
      </c>
      <c r="W873" s="9">
        <v>542</v>
      </c>
      <c r="X873" s="9" t="s">
        <v>29</v>
      </c>
      <c r="AF873">
        <v>927</v>
      </c>
      <c r="AG873" t="s">
        <v>29</v>
      </c>
      <c r="AH873">
        <v>3200</v>
      </c>
      <c r="AI873" s="7">
        <v>46012</v>
      </c>
    </row>
    <row r="874" spans="1:35">
      <c r="A874">
        <v>963</v>
      </c>
      <c r="B874" t="str">
        <f t="shared" si="210"/>
        <v>USD</v>
      </c>
      <c r="C874">
        <f t="shared" si="211"/>
        <v>0</v>
      </c>
      <c r="D874">
        <f t="shared" si="202"/>
        <v>0</v>
      </c>
      <c r="E874">
        <f t="shared" si="203"/>
        <v>0</v>
      </c>
      <c r="F874">
        <v>2595</v>
      </c>
      <c r="G874">
        <f t="shared" si="204"/>
        <v>2231.6999999999998</v>
      </c>
      <c r="H874">
        <f t="shared" si="205"/>
        <v>2595</v>
      </c>
      <c r="I874">
        <f t="shared" si="212"/>
        <v>0</v>
      </c>
      <c r="J874">
        <f t="shared" si="206"/>
        <v>0</v>
      </c>
      <c r="K874" s="7">
        <f t="shared" si="213"/>
        <v>46044</v>
      </c>
      <c r="L874" s="7">
        <f t="shared" si="207"/>
        <v>46014</v>
      </c>
      <c r="M874">
        <f t="shared" si="208"/>
        <v>12</v>
      </c>
      <c r="N874">
        <f t="shared" si="209"/>
        <v>2025</v>
      </c>
      <c r="Q874" s="22"/>
      <c r="R874" s="22"/>
      <c r="S874" s="22">
        <f t="shared" si="214"/>
        <v>0</v>
      </c>
      <c r="T874" s="22" t="e">
        <f t="shared" si="215"/>
        <v>#N/A</v>
      </c>
      <c r="U874" s="28">
        <v>400</v>
      </c>
      <c r="W874" s="9">
        <v>545</v>
      </c>
      <c r="X874" s="9" t="s">
        <v>29</v>
      </c>
      <c r="AF874">
        <v>928</v>
      </c>
      <c r="AG874" t="s">
        <v>29</v>
      </c>
      <c r="AH874">
        <v>31181</v>
      </c>
      <c r="AI874" s="7">
        <v>46204</v>
      </c>
    </row>
    <row r="875" spans="1:35">
      <c r="A875">
        <v>964</v>
      </c>
      <c r="B875" t="str">
        <f t="shared" si="210"/>
        <v>USD</v>
      </c>
      <c r="C875">
        <f t="shared" si="211"/>
        <v>147842</v>
      </c>
      <c r="D875">
        <f t="shared" si="202"/>
        <v>127144.12</v>
      </c>
      <c r="E875">
        <f t="shared" si="203"/>
        <v>147842</v>
      </c>
      <c r="F875">
        <v>75618</v>
      </c>
      <c r="G875">
        <f t="shared" si="204"/>
        <v>65031.479999999996</v>
      </c>
      <c r="H875">
        <f t="shared" si="205"/>
        <v>75618</v>
      </c>
      <c r="I875">
        <f t="shared" si="212"/>
        <v>147842</v>
      </c>
      <c r="J875">
        <f t="shared" si="206"/>
        <v>147842</v>
      </c>
      <c r="K875" s="7">
        <f t="shared" si="213"/>
        <v>46179</v>
      </c>
      <c r="L875" s="7">
        <f t="shared" si="207"/>
        <v>46149</v>
      </c>
      <c r="M875">
        <f t="shared" si="208"/>
        <v>5</v>
      </c>
      <c r="N875">
        <f t="shared" si="209"/>
        <v>2026</v>
      </c>
      <c r="Q875" s="22"/>
      <c r="R875" s="22"/>
      <c r="S875" s="22">
        <f t="shared" si="214"/>
        <v>0</v>
      </c>
      <c r="T875" s="22" t="e">
        <f t="shared" si="215"/>
        <v>#N/A</v>
      </c>
      <c r="U875" s="28">
        <v>400</v>
      </c>
      <c r="W875" s="9">
        <v>546</v>
      </c>
      <c r="X875" s="9" t="s">
        <v>28</v>
      </c>
      <c r="AF875">
        <v>929</v>
      </c>
      <c r="AG875" t="s">
        <v>27</v>
      </c>
      <c r="AH875">
        <v>12187.2</v>
      </c>
      <c r="AI875" s="7">
        <v>46066</v>
      </c>
    </row>
    <row r="876" spans="1:35">
      <c r="A876">
        <v>965</v>
      </c>
      <c r="B876" t="str">
        <f t="shared" si="210"/>
        <v>USD</v>
      </c>
      <c r="C876">
        <f t="shared" si="211"/>
        <v>0</v>
      </c>
      <c r="D876">
        <f t="shared" si="202"/>
        <v>0</v>
      </c>
      <c r="E876">
        <f t="shared" si="203"/>
        <v>0</v>
      </c>
      <c r="F876">
        <v>2685</v>
      </c>
      <c r="G876">
        <f t="shared" si="204"/>
        <v>2309.1</v>
      </c>
      <c r="H876">
        <f t="shared" si="205"/>
        <v>2685</v>
      </c>
      <c r="I876">
        <f t="shared" si="212"/>
        <v>0</v>
      </c>
      <c r="J876">
        <f t="shared" si="206"/>
        <v>0</v>
      </c>
      <c r="K876" s="7">
        <f t="shared" si="213"/>
        <v>46008</v>
      </c>
      <c r="L876" s="7">
        <f t="shared" si="207"/>
        <v>45978</v>
      </c>
      <c r="M876">
        <f t="shared" si="208"/>
        <v>11</v>
      </c>
      <c r="N876">
        <f t="shared" si="209"/>
        <v>2025</v>
      </c>
      <c r="Q876" s="22"/>
      <c r="R876" s="22"/>
      <c r="S876" s="22">
        <f t="shared" si="214"/>
        <v>0</v>
      </c>
      <c r="T876" s="22" t="e">
        <f t="shared" si="215"/>
        <v>#N/A</v>
      </c>
      <c r="U876" s="28">
        <v>400</v>
      </c>
      <c r="W876" s="9">
        <v>546</v>
      </c>
      <c r="X876" s="9" t="s">
        <v>28</v>
      </c>
      <c r="AF876">
        <v>930</v>
      </c>
      <c r="AG876" t="s">
        <v>29</v>
      </c>
      <c r="AH876">
        <v>3485</v>
      </c>
      <c r="AI876" s="7">
        <v>45912</v>
      </c>
    </row>
    <row r="877" spans="1:35">
      <c r="A877">
        <v>966</v>
      </c>
      <c r="B877" t="str">
        <f t="shared" si="210"/>
        <v>USD</v>
      </c>
      <c r="C877">
        <f t="shared" si="211"/>
        <v>0</v>
      </c>
      <c r="D877">
        <f t="shared" si="202"/>
        <v>0</v>
      </c>
      <c r="E877">
        <f t="shared" si="203"/>
        <v>0</v>
      </c>
      <c r="F877">
        <v>4363</v>
      </c>
      <c r="G877">
        <f t="shared" si="204"/>
        <v>3752.18</v>
      </c>
      <c r="H877">
        <f t="shared" si="205"/>
        <v>4363</v>
      </c>
      <c r="I877">
        <f t="shared" si="212"/>
        <v>0</v>
      </c>
      <c r="J877">
        <f t="shared" si="206"/>
        <v>0</v>
      </c>
      <c r="K877" s="7">
        <f t="shared" si="213"/>
        <v>45993</v>
      </c>
      <c r="L877" s="7">
        <f t="shared" si="207"/>
        <v>45963</v>
      </c>
      <c r="M877">
        <f t="shared" si="208"/>
        <v>11</v>
      </c>
      <c r="N877">
        <f t="shared" si="209"/>
        <v>2025</v>
      </c>
      <c r="Q877" s="22"/>
      <c r="R877" s="22"/>
      <c r="S877" s="22">
        <f t="shared" si="214"/>
        <v>0</v>
      </c>
      <c r="T877" s="22" t="e">
        <f t="shared" si="215"/>
        <v>#N/A</v>
      </c>
      <c r="U877" s="28">
        <v>400</v>
      </c>
      <c r="W877" s="9">
        <v>547</v>
      </c>
      <c r="X877" s="9" t="s">
        <v>29</v>
      </c>
      <c r="AF877">
        <v>931</v>
      </c>
      <c r="AG877" t="s">
        <v>29</v>
      </c>
      <c r="AH877">
        <v>20200</v>
      </c>
      <c r="AI877" s="7">
        <v>46096</v>
      </c>
    </row>
    <row r="878" spans="1:35">
      <c r="A878">
        <v>968</v>
      </c>
      <c r="B878" t="str">
        <f t="shared" si="210"/>
        <v>USD</v>
      </c>
      <c r="C878">
        <f t="shared" si="211"/>
        <v>26110.07</v>
      </c>
      <c r="D878">
        <f t="shared" si="202"/>
        <v>22454.660199999998</v>
      </c>
      <c r="E878">
        <f t="shared" si="203"/>
        <v>26110.07</v>
      </c>
      <c r="F878">
        <v>41479.339999999997</v>
      </c>
      <c r="G878">
        <f t="shared" si="204"/>
        <v>35672.232399999994</v>
      </c>
      <c r="H878">
        <f t="shared" si="205"/>
        <v>41479.339999999997</v>
      </c>
      <c r="I878">
        <f t="shared" si="212"/>
        <v>17917.450000000004</v>
      </c>
      <c r="J878">
        <f t="shared" si="206"/>
        <v>17917.450000000004</v>
      </c>
      <c r="K878" s="7">
        <f t="shared" si="213"/>
        <v>46279</v>
      </c>
      <c r="L878" s="7">
        <f t="shared" si="207"/>
        <v>46249</v>
      </c>
      <c r="M878">
        <f t="shared" si="208"/>
        <v>8</v>
      </c>
      <c r="N878">
        <f t="shared" si="209"/>
        <v>2026</v>
      </c>
      <c r="Q878" s="22"/>
      <c r="R878" s="22"/>
      <c r="S878" s="22">
        <f t="shared" si="214"/>
        <v>0</v>
      </c>
      <c r="T878" s="22" t="e">
        <f t="shared" si="215"/>
        <v>#N/A</v>
      </c>
      <c r="U878" s="28">
        <v>400</v>
      </c>
      <c r="W878" s="9">
        <v>547</v>
      </c>
      <c r="X878" s="9" t="s">
        <v>29</v>
      </c>
      <c r="AF878">
        <v>932</v>
      </c>
      <c r="AG878" t="s">
        <v>28</v>
      </c>
      <c r="AH878">
        <v>358904.88</v>
      </c>
      <c r="AI878" s="7">
        <v>46096</v>
      </c>
    </row>
    <row r="879" spans="1:35">
      <c r="A879">
        <v>969</v>
      </c>
      <c r="B879" t="str">
        <f t="shared" si="210"/>
        <v>USD</v>
      </c>
      <c r="C879">
        <f t="shared" si="211"/>
        <v>4657.45</v>
      </c>
      <c r="D879">
        <f t="shared" si="202"/>
        <v>4005.4069999999997</v>
      </c>
      <c r="E879">
        <f t="shared" si="203"/>
        <v>4657.45</v>
      </c>
      <c r="F879">
        <v>4723.32</v>
      </c>
      <c r="G879">
        <f t="shared" si="204"/>
        <v>4062.0551999999998</v>
      </c>
      <c r="H879">
        <f t="shared" si="205"/>
        <v>4723.32</v>
      </c>
      <c r="I879">
        <f t="shared" si="212"/>
        <v>-65.869999999999891</v>
      </c>
      <c r="J879">
        <f t="shared" si="206"/>
        <v>-65.869999999999891</v>
      </c>
      <c r="K879" s="7">
        <f t="shared" si="213"/>
        <v>46057</v>
      </c>
      <c r="L879" s="7">
        <f t="shared" si="207"/>
        <v>46027</v>
      </c>
      <c r="M879">
        <f t="shared" si="208"/>
        <v>1</v>
      </c>
      <c r="N879">
        <f t="shared" si="209"/>
        <v>2026</v>
      </c>
      <c r="Q879" s="22"/>
      <c r="R879" s="22"/>
      <c r="S879" s="22">
        <f t="shared" si="214"/>
        <v>0</v>
      </c>
      <c r="T879" s="22" t="e">
        <f t="shared" si="215"/>
        <v>#N/A</v>
      </c>
      <c r="U879" s="28">
        <v>400</v>
      </c>
      <c r="W879" s="9">
        <v>548</v>
      </c>
      <c r="X879" s="9" t="s">
        <v>27</v>
      </c>
      <c r="AF879">
        <v>933</v>
      </c>
      <c r="AG879" t="s">
        <v>29</v>
      </c>
      <c r="AH879">
        <v>2660</v>
      </c>
      <c r="AI879" s="7">
        <v>46017</v>
      </c>
    </row>
    <row r="880" spans="1:35">
      <c r="A880">
        <v>970</v>
      </c>
      <c r="B880" t="str">
        <f t="shared" si="210"/>
        <v>EUR</v>
      </c>
      <c r="C880">
        <f t="shared" si="211"/>
        <v>0</v>
      </c>
      <c r="D880">
        <f t="shared" si="202"/>
        <v>0</v>
      </c>
      <c r="E880">
        <f t="shared" si="203"/>
        <v>0</v>
      </c>
      <c r="F880">
        <v>2320</v>
      </c>
      <c r="G880">
        <f t="shared" si="204"/>
        <v>2320</v>
      </c>
      <c r="H880">
        <f t="shared" si="205"/>
        <v>2691.2</v>
      </c>
      <c r="I880">
        <f t="shared" si="212"/>
        <v>0</v>
      </c>
      <c r="J880">
        <f t="shared" si="206"/>
        <v>0</v>
      </c>
      <c r="K880" s="7">
        <f t="shared" si="213"/>
        <v>46001</v>
      </c>
      <c r="L880" s="7">
        <f t="shared" si="207"/>
        <v>45971</v>
      </c>
      <c r="M880">
        <f t="shared" si="208"/>
        <v>11</v>
      </c>
      <c r="N880">
        <f t="shared" si="209"/>
        <v>2025</v>
      </c>
      <c r="Q880" s="22"/>
      <c r="R880" s="22"/>
      <c r="S880" s="22">
        <f t="shared" si="214"/>
        <v>0</v>
      </c>
      <c r="T880" s="22" t="e">
        <f t="shared" si="215"/>
        <v>#N/A</v>
      </c>
      <c r="U880" s="28">
        <v>400</v>
      </c>
      <c r="W880" s="9">
        <v>548</v>
      </c>
      <c r="X880" s="9" t="s">
        <v>27</v>
      </c>
      <c r="AF880">
        <v>934</v>
      </c>
      <c r="AG880" t="s">
        <v>29</v>
      </c>
      <c r="AH880">
        <v>3688.57</v>
      </c>
      <c r="AI880" s="7">
        <v>46058</v>
      </c>
    </row>
    <row r="881" spans="1:35">
      <c r="A881">
        <v>971</v>
      </c>
      <c r="B881" t="str">
        <f t="shared" si="210"/>
        <v>MXN</v>
      </c>
      <c r="C881">
        <f t="shared" si="211"/>
        <v>0</v>
      </c>
      <c r="D881">
        <f t="shared" si="202"/>
        <v>0</v>
      </c>
      <c r="E881">
        <f t="shared" si="203"/>
        <v>0</v>
      </c>
      <c r="F881">
        <v>90124.479999999996</v>
      </c>
      <c r="G881">
        <f t="shared" si="204"/>
        <v>4325.9750400000003</v>
      </c>
      <c r="H881">
        <f t="shared" si="205"/>
        <v>5046.9708799999999</v>
      </c>
      <c r="I881">
        <f t="shared" si="212"/>
        <v>0</v>
      </c>
      <c r="J881">
        <f t="shared" si="206"/>
        <v>0</v>
      </c>
      <c r="K881" s="7">
        <f t="shared" si="213"/>
        <v>45990</v>
      </c>
      <c r="L881" s="7">
        <f t="shared" si="207"/>
        <v>45960</v>
      </c>
      <c r="M881">
        <f t="shared" si="208"/>
        <v>10</v>
      </c>
      <c r="N881">
        <f t="shared" si="209"/>
        <v>2025</v>
      </c>
      <c r="Q881" s="22"/>
      <c r="R881" s="22"/>
      <c r="S881" s="22">
        <f t="shared" si="214"/>
        <v>0</v>
      </c>
      <c r="T881" s="22" t="e">
        <f t="shared" si="215"/>
        <v>#N/A</v>
      </c>
      <c r="U881" s="28">
        <v>400</v>
      </c>
      <c r="W881" s="9">
        <v>549</v>
      </c>
      <c r="X881" s="9" t="s">
        <v>30</v>
      </c>
      <c r="AF881">
        <v>936</v>
      </c>
      <c r="AG881" t="s">
        <v>27</v>
      </c>
      <c r="AH881">
        <v>5421</v>
      </c>
      <c r="AI881" s="7">
        <v>46281</v>
      </c>
    </row>
    <row r="882" spans="1:35">
      <c r="A882">
        <v>972</v>
      </c>
      <c r="B882" t="str">
        <f t="shared" si="210"/>
        <v>GBP</v>
      </c>
      <c r="C882">
        <f t="shared" si="211"/>
        <v>0</v>
      </c>
      <c r="D882">
        <f t="shared" si="202"/>
        <v>0</v>
      </c>
      <c r="E882">
        <f t="shared" si="203"/>
        <v>0</v>
      </c>
      <c r="F882">
        <v>2040</v>
      </c>
      <c r="G882">
        <f t="shared" si="204"/>
        <v>2346</v>
      </c>
      <c r="H882">
        <f t="shared" si="205"/>
        <v>2733.6000000000004</v>
      </c>
      <c r="I882">
        <f t="shared" si="212"/>
        <v>0</v>
      </c>
      <c r="J882">
        <f t="shared" si="206"/>
        <v>0</v>
      </c>
      <c r="K882" s="7">
        <f t="shared" si="213"/>
        <v>46043</v>
      </c>
      <c r="L882" s="7">
        <f t="shared" si="207"/>
        <v>46013</v>
      </c>
      <c r="M882">
        <f t="shared" si="208"/>
        <v>12</v>
      </c>
      <c r="N882">
        <f t="shared" si="209"/>
        <v>2025</v>
      </c>
      <c r="Q882" s="22"/>
      <c r="R882" s="22"/>
      <c r="S882" s="22">
        <f t="shared" si="214"/>
        <v>0</v>
      </c>
      <c r="T882" s="22" t="e">
        <f t="shared" si="215"/>
        <v>#N/A</v>
      </c>
      <c r="U882" s="28">
        <v>400</v>
      </c>
      <c r="W882" s="9">
        <v>550</v>
      </c>
      <c r="X882" s="9" t="s">
        <v>29</v>
      </c>
      <c r="AF882">
        <v>937</v>
      </c>
      <c r="AG882" t="s">
        <v>29</v>
      </c>
      <c r="AH882">
        <v>15093.21</v>
      </c>
      <c r="AI882" s="7">
        <v>46072</v>
      </c>
    </row>
    <row r="883" spans="1:35">
      <c r="A883">
        <v>974</v>
      </c>
      <c r="B883" t="str">
        <f t="shared" si="210"/>
        <v>EUR</v>
      </c>
      <c r="C883">
        <f t="shared" si="211"/>
        <v>95200</v>
      </c>
      <c r="D883">
        <f t="shared" si="202"/>
        <v>95200</v>
      </c>
      <c r="E883">
        <f t="shared" si="203"/>
        <v>110431.99999999999</v>
      </c>
      <c r="F883">
        <v>52497.61</v>
      </c>
      <c r="G883">
        <f t="shared" si="204"/>
        <v>52497.61</v>
      </c>
      <c r="H883">
        <f t="shared" si="205"/>
        <v>60897.227599999998</v>
      </c>
      <c r="I883">
        <f t="shared" si="212"/>
        <v>42702.39</v>
      </c>
      <c r="J883">
        <f t="shared" si="206"/>
        <v>49534.772399999994</v>
      </c>
      <c r="K883" s="7">
        <f t="shared" si="213"/>
        <v>46221</v>
      </c>
      <c r="L883" s="7">
        <f t="shared" si="207"/>
        <v>46191</v>
      </c>
      <c r="M883">
        <f t="shared" si="208"/>
        <v>6</v>
      </c>
      <c r="N883">
        <f t="shared" si="209"/>
        <v>2026</v>
      </c>
      <c r="Q883" s="22"/>
      <c r="R883" s="22"/>
      <c r="S883" s="22">
        <f t="shared" si="214"/>
        <v>0</v>
      </c>
      <c r="T883" s="22" t="e">
        <f t="shared" si="215"/>
        <v>#N/A</v>
      </c>
      <c r="U883" s="28">
        <v>400</v>
      </c>
      <c r="W883" s="9">
        <v>551</v>
      </c>
      <c r="X883" s="9" t="s">
        <v>28</v>
      </c>
      <c r="AF883">
        <v>938</v>
      </c>
      <c r="AG883" t="s">
        <v>29</v>
      </c>
      <c r="AH883">
        <v>102113.75</v>
      </c>
      <c r="AI883" s="7">
        <v>46041</v>
      </c>
    </row>
    <row r="884" spans="1:35">
      <c r="A884">
        <v>975</v>
      </c>
      <c r="B884" t="str">
        <f t="shared" si="210"/>
        <v>MXN</v>
      </c>
      <c r="C884">
        <f t="shared" si="211"/>
        <v>0</v>
      </c>
      <c r="D884">
        <f t="shared" si="202"/>
        <v>0</v>
      </c>
      <c r="E884">
        <f t="shared" si="203"/>
        <v>0</v>
      </c>
      <c r="F884">
        <v>11920.39</v>
      </c>
      <c r="G884">
        <f t="shared" si="204"/>
        <v>572.17872</v>
      </c>
      <c r="H884">
        <f t="shared" si="205"/>
        <v>667.54183999999998</v>
      </c>
      <c r="I884">
        <f t="shared" si="212"/>
        <v>0</v>
      </c>
      <c r="J884">
        <f t="shared" si="206"/>
        <v>0</v>
      </c>
      <c r="K884" s="7">
        <f t="shared" si="213"/>
        <v>46032</v>
      </c>
      <c r="L884" s="7">
        <f t="shared" si="207"/>
        <v>46002</v>
      </c>
      <c r="M884">
        <f t="shared" si="208"/>
        <v>12</v>
      </c>
      <c r="N884">
        <f t="shared" si="209"/>
        <v>2025</v>
      </c>
      <c r="Q884" s="22"/>
      <c r="R884" s="22"/>
      <c r="S884" s="22">
        <f t="shared" si="214"/>
        <v>0</v>
      </c>
      <c r="T884" s="22" t="e">
        <f t="shared" si="215"/>
        <v>#N/A</v>
      </c>
      <c r="U884" s="28">
        <v>400</v>
      </c>
      <c r="W884" s="9">
        <v>552</v>
      </c>
      <c r="X884" s="9" t="s">
        <v>29</v>
      </c>
      <c r="AF884">
        <v>939</v>
      </c>
      <c r="AG884" t="s">
        <v>28</v>
      </c>
      <c r="AH884">
        <v>348413</v>
      </c>
      <c r="AI884" s="7">
        <v>46099</v>
      </c>
    </row>
    <row r="885" spans="1:35">
      <c r="A885">
        <v>976</v>
      </c>
      <c r="B885" t="str">
        <f t="shared" si="210"/>
        <v>EUR</v>
      </c>
      <c r="C885">
        <f t="shared" si="211"/>
        <v>38202</v>
      </c>
      <c r="D885">
        <f t="shared" si="202"/>
        <v>38202</v>
      </c>
      <c r="E885">
        <f t="shared" si="203"/>
        <v>44314.32</v>
      </c>
      <c r="F885">
        <v>42461.21</v>
      </c>
      <c r="G885">
        <f t="shared" si="204"/>
        <v>42461.21</v>
      </c>
      <c r="H885">
        <f t="shared" si="205"/>
        <v>49255.003599999996</v>
      </c>
      <c r="I885">
        <f t="shared" si="212"/>
        <v>-4259.2099999999991</v>
      </c>
      <c r="J885">
        <f t="shared" si="206"/>
        <v>-4940.6835999999985</v>
      </c>
      <c r="K885" s="7">
        <f t="shared" si="213"/>
        <v>46179</v>
      </c>
      <c r="L885" s="7">
        <f t="shared" si="207"/>
        <v>46149</v>
      </c>
      <c r="M885">
        <f t="shared" si="208"/>
        <v>5</v>
      </c>
      <c r="N885">
        <f t="shared" si="209"/>
        <v>2026</v>
      </c>
      <c r="Q885" s="22"/>
      <c r="R885" s="22"/>
      <c r="S885" s="22">
        <f t="shared" si="214"/>
        <v>0</v>
      </c>
      <c r="T885" s="22" t="e">
        <f t="shared" si="215"/>
        <v>#N/A</v>
      </c>
      <c r="U885" s="28">
        <v>400</v>
      </c>
      <c r="W885" s="9">
        <v>552</v>
      </c>
      <c r="X885" s="9" t="s">
        <v>29</v>
      </c>
      <c r="AF885">
        <v>940</v>
      </c>
      <c r="AG885" t="s">
        <v>29</v>
      </c>
      <c r="AH885">
        <v>23731.8</v>
      </c>
      <c r="AI885" s="7">
        <v>46096</v>
      </c>
    </row>
    <row r="886" spans="1:35">
      <c r="A886">
        <v>978</v>
      </c>
      <c r="B886" t="str">
        <f t="shared" si="210"/>
        <v>MXN</v>
      </c>
      <c r="C886">
        <f t="shared" si="211"/>
        <v>66000</v>
      </c>
      <c r="D886">
        <f t="shared" si="202"/>
        <v>3168</v>
      </c>
      <c r="E886">
        <f t="shared" si="203"/>
        <v>3696</v>
      </c>
      <c r="F886">
        <v>66000</v>
      </c>
      <c r="G886">
        <f t="shared" si="204"/>
        <v>3168</v>
      </c>
      <c r="H886">
        <f t="shared" si="205"/>
        <v>3696</v>
      </c>
      <c r="I886">
        <f t="shared" si="212"/>
        <v>0</v>
      </c>
      <c r="J886">
        <f t="shared" si="206"/>
        <v>0</v>
      </c>
      <c r="K886" s="7">
        <f t="shared" si="213"/>
        <v>46058</v>
      </c>
      <c r="L886" s="7">
        <f t="shared" si="207"/>
        <v>46028</v>
      </c>
      <c r="M886">
        <f t="shared" si="208"/>
        <v>1</v>
      </c>
      <c r="N886">
        <f t="shared" si="209"/>
        <v>2026</v>
      </c>
      <c r="Q886" s="22"/>
      <c r="R886" s="22"/>
      <c r="S886" s="22">
        <f t="shared" si="214"/>
        <v>0</v>
      </c>
      <c r="T886" s="22" t="e">
        <f t="shared" si="215"/>
        <v>#N/A</v>
      </c>
      <c r="U886" s="28">
        <v>400</v>
      </c>
      <c r="W886" s="9">
        <v>552</v>
      </c>
      <c r="X886" s="9" t="s">
        <v>27</v>
      </c>
      <c r="AF886">
        <v>941</v>
      </c>
      <c r="AG886" t="s">
        <v>29</v>
      </c>
      <c r="AH886">
        <v>20200</v>
      </c>
      <c r="AI886" s="7">
        <v>46019</v>
      </c>
    </row>
    <row r="887" spans="1:35">
      <c r="A887">
        <v>979</v>
      </c>
      <c r="B887" t="str">
        <f t="shared" si="210"/>
        <v>USD</v>
      </c>
      <c r="C887">
        <f t="shared" si="211"/>
        <v>0</v>
      </c>
      <c r="D887">
        <f t="shared" si="202"/>
        <v>0</v>
      </c>
      <c r="E887">
        <f t="shared" si="203"/>
        <v>0</v>
      </c>
      <c r="F887">
        <v>2523</v>
      </c>
      <c r="G887">
        <f t="shared" si="204"/>
        <v>2169.7799999999997</v>
      </c>
      <c r="H887">
        <f t="shared" si="205"/>
        <v>2523</v>
      </c>
      <c r="I887">
        <f t="shared" si="212"/>
        <v>0</v>
      </c>
      <c r="J887">
        <f t="shared" si="206"/>
        <v>0</v>
      </c>
      <c r="K887" s="7">
        <f t="shared" si="213"/>
        <v>46000</v>
      </c>
      <c r="L887" s="7">
        <f t="shared" si="207"/>
        <v>45970</v>
      </c>
      <c r="M887">
        <f t="shared" si="208"/>
        <v>11</v>
      </c>
      <c r="N887">
        <f t="shared" si="209"/>
        <v>2025</v>
      </c>
      <c r="Q887" s="22"/>
      <c r="R887" s="22"/>
      <c r="S887" s="22">
        <f t="shared" si="214"/>
        <v>0</v>
      </c>
      <c r="T887" s="22" t="e">
        <f t="shared" si="215"/>
        <v>#N/A</v>
      </c>
      <c r="U887" s="28">
        <v>400</v>
      </c>
      <c r="W887" s="9">
        <v>552</v>
      </c>
      <c r="X887" s="9" t="s">
        <v>29</v>
      </c>
      <c r="AF887">
        <v>942</v>
      </c>
      <c r="AG887" t="s">
        <v>29</v>
      </c>
      <c r="AH887">
        <v>1155.8900000000001</v>
      </c>
      <c r="AI887" s="7">
        <v>46011</v>
      </c>
    </row>
    <row r="888" spans="1:35">
      <c r="A888">
        <v>980</v>
      </c>
      <c r="B888" t="str">
        <f t="shared" si="210"/>
        <v>USD</v>
      </c>
      <c r="C888">
        <f t="shared" si="211"/>
        <v>0</v>
      </c>
      <c r="D888">
        <f t="shared" si="202"/>
        <v>0</v>
      </c>
      <c r="E888">
        <f t="shared" si="203"/>
        <v>0</v>
      </c>
      <c r="F888">
        <v>6766</v>
      </c>
      <c r="G888">
        <f t="shared" si="204"/>
        <v>5818.76</v>
      </c>
      <c r="H888">
        <f t="shared" si="205"/>
        <v>6766</v>
      </c>
      <c r="I888">
        <f t="shared" si="212"/>
        <v>0</v>
      </c>
      <c r="J888">
        <f t="shared" si="206"/>
        <v>0</v>
      </c>
      <c r="K888" s="7">
        <f t="shared" si="213"/>
        <v>46021</v>
      </c>
      <c r="L888" s="7">
        <f t="shared" si="207"/>
        <v>45991</v>
      </c>
      <c r="M888">
        <f t="shared" si="208"/>
        <v>11</v>
      </c>
      <c r="N888">
        <f t="shared" si="209"/>
        <v>2025</v>
      </c>
      <c r="Q888" s="22"/>
      <c r="R888" s="22"/>
      <c r="S888" s="22">
        <f t="shared" si="214"/>
        <v>0</v>
      </c>
      <c r="T888" s="22" t="e">
        <f t="shared" si="215"/>
        <v>#N/A</v>
      </c>
      <c r="U888" s="28">
        <v>400</v>
      </c>
      <c r="W888" s="9">
        <v>553</v>
      </c>
      <c r="X888" s="9" t="s">
        <v>27</v>
      </c>
      <c r="AF888">
        <v>943</v>
      </c>
      <c r="AG888" t="s">
        <v>29</v>
      </c>
      <c r="AH888">
        <v>1080</v>
      </c>
      <c r="AI888" s="7">
        <v>46011</v>
      </c>
    </row>
    <row r="889" spans="1:35">
      <c r="A889">
        <v>982</v>
      </c>
      <c r="B889" t="str">
        <f t="shared" si="210"/>
        <v>USD</v>
      </c>
      <c r="C889">
        <f t="shared" si="211"/>
        <v>2633</v>
      </c>
      <c r="D889">
        <f t="shared" si="202"/>
        <v>2264.38</v>
      </c>
      <c r="E889">
        <f t="shared" si="203"/>
        <v>2633</v>
      </c>
      <c r="F889">
        <v>144</v>
      </c>
      <c r="G889">
        <f t="shared" si="204"/>
        <v>123.84</v>
      </c>
      <c r="H889">
        <f t="shared" si="205"/>
        <v>144</v>
      </c>
      <c r="I889">
        <f t="shared" si="212"/>
        <v>2633</v>
      </c>
      <c r="J889">
        <f t="shared" si="206"/>
        <v>2633</v>
      </c>
      <c r="K889" s="7">
        <f t="shared" si="213"/>
        <v>46055</v>
      </c>
      <c r="L889" s="7">
        <f t="shared" si="207"/>
        <v>46025</v>
      </c>
      <c r="M889">
        <f t="shared" si="208"/>
        <v>1</v>
      </c>
      <c r="N889">
        <f t="shared" si="209"/>
        <v>2026</v>
      </c>
      <c r="Q889" s="22"/>
      <c r="R889" s="22"/>
      <c r="S889" s="22">
        <f t="shared" si="214"/>
        <v>0</v>
      </c>
      <c r="T889" s="22" t="e">
        <f t="shared" si="215"/>
        <v>#N/A</v>
      </c>
      <c r="U889" s="28">
        <v>400</v>
      </c>
      <c r="W889" s="9">
        <v>553</v>
      </c>
      <c r="X889" s="9" t="s">
        <v>27</v>
      </c>
      <c r="AF889">
        <v>944</v>
      </c>
      <c r="AG889" t="s">
        <v>28</v>
      </c>
      <c r="AH889">
        <v>84200</v>
      </c>
      <c r="AI889" s="7">
        <v>45974</v>
      </c>
    </row>
    <row r="890" spans="1:35">
      <c r="A890">
        <v>984</v>
      </c>
      <c r="B890" t="str">
        <f t="shared" si="210"/>
        <v>EUR</v>
      </c>
      <c r="C890">
        <f t="shared" si="211"/>
        <v>3919.9699999999993</v>
      </c>
      <c r="D890">
        <f t="shared" si="202"/>
        <v>3919.9699999999993</v>
      </c>
      <c r="E890">
        <f t="shared" si="203"/>
        <v>4547.1651999999985</v>
      </c>
      <c r="F890">
        <v>6803.72</v>
      </c>
      <c r="G890">
        <f t="shared" si="204"/>
        <v>6803.72</v>
      </c>
      <c r="H890">
        <f t="shared" si="205"/>
        <v>7892.3152</v>
      </c>
      <c r="I890">
        <f t="shared" si="212"/>
        <v>3736.9299999999994</v>
      </c>
      <c r="J890">
        <f t="shared" si="206"/>
        <v>4334.8387999999986</v>
      </c>
      <c r="K890" s="7">
        <f t="shared" si="213"/>
        <v>46124</v>
      </c>
      <c r="L890" s="7">
        <f t="shared" si="207"/>
        <v>46094</v>
      </c>
      <c r="M890">
        <f t="shared" si="208"/>
        <v>3</v>
      </c>
      <c r="N890">
        <f t="shared" si="209"/>
        <v>2026</v>
      </c>
      <c r="Q890" s="22"/>
      <c r="R890" s="22"/>
      <c r="S890" s="22">
        <f t="shared" si="214"/>
        <v>0</v>
      </c>
      <c r="T890" s="22" t="e">
        <f t="shared" si="215"/>
        <v>#N/A</v>
      </c>
      <c r="U890" s="28">
        <v>400</v>
      </c>
      <c r="W890" s="9">
        <v>554</v>
      </c>
      <c r="X890" s="9" t="s">
        <v>29</v>
      </c>
      <c r="AF890">
        <v>945</v>
      </c>
      <c r="AG890" t="s">
        <v>31</v>
      </c>
      <c r="AH890">
        <v>2308</v>
      </c>
      <c r="AI890" s="7">
        <v>46009</v>
      </c>
    </row>
    <row r="891" spans="1:35">
      <c r="A891">
        <v>985</v>
      </c>
      <c r="B891" t="str">
        <f t="shared" si="210"/>
        <v>USD</v>
      </c>
      <c r="C891">
        <f t="shared" si="211"/>
        <v>105</v>
      </c>
      <c r="D891">
        <f t="shared" si="202"/>
        <v>90.3</v>
      </c>
      <c r="E891">
        <f t="shared" si="203"/>
        <v>105</v>
      </c>
      <c r="F891">
        <v>1332.19</v>
      </c>
      <c r="G891">
        <f t="shared" si="204"/>
        <v>1145.6834000000001</v>
      </c>
      <c r="H891">
        <f t="shared" si="205"/>
        <v>1332.19</v>
      </c>
      <c r="I891">
        <f t="shared" si="212"/>
        <v>0</v>
      </c>
      <c r="J891">
        <f t="shared" si="206"/>
        <v>0</v>
      </c>
      <c r="K891" s="7">
        <f t="shared" si="213"/>
        <v>46042</v>
      </c>
      <c r="L891" s="7">
        <f t="shared" si="207"/>
        <v>46012</v>
      </c>
      <c r="M891">
        <f t="shared" si="208"/>
        <v>12</v>
      </c>
      <c r="N891">
        <f t="shared" si="209"/>
        <v>2025</v>
      </c>
      <c r="Q891" s="22"/>
      <c r="R891" s="22"/>
      <c r="S891" s="22">
        <f t="shared" si="214"/>
        <v>0</v>
      </c>
      <c r="T891" s="22" t="e">
        <f t="shared" si="215"/>
        <v>#N/A</v>
      </c>
      <c r="U891" s="28">
        <v>400</v>
      </c>
      <c r="W891" s="9">
        <v>555</v>
      </c>
      <c r="X891" s="9" t="s">
        <v>29</v>
      </c>
      <c r="AF891">
        <v>946</v>
      </c>
      <c r="AG891" t="s">
        <v>31</v>
      </c>
      <c r="AH891">
        <v>2464</v>
      </c>
      <c r="AI891" s="7">
        <v>46009</v>
      </c>
    </row>
    <row r="892" spans="1:35">
      <c r="A892">
        <v>986</v>
      </c>
      <c r="B892" t="str">
        <f t="shared" si="210"/>
        <v>EUR</v>
      </c>
      <c r="C892">
        <f t="shared" si="211"/>
        <v>0</v>
      </c>
      <c r="D892">
        <f t="shared" si="202"/>
        <v>0</v>
      </c>
      <c r="E892">
        <f t="shared" si="203"/>
        <v>0</v>
      </c>
      <c r="F892">
        <v>5224</v>
      </c>
      <c r="G892">
        <f t="shared" si="204"/>
        <v>5224</v>
      </c>
      <c r="H892">
        <f t="shared" si="205"/>
        <v>6059.8399999999992</v>
      </c>
      <c r="I892">
        <f t="shared" si="212"/>
        <v>0</v>
      </c>
      <c r="J892">
        <f t="shared" si="206"/>
        <v>0</v>
      </c>
      <c r="K892" s="7">
        <f t="shared" si="213"/>
        <v>46038</v>
      </c>
      <c r="L892" s="7">
        <f t="shared" si="207"/>
        <v>46008</v>
      </c>
      <c r="M892">
        <f t="shared" si="208"/>
        <v>12</v>
      </c>
      <c r="N892">
        <f t="shared" si="209"/>
        <v>2025</v>
      </c>
      <c r="Q892" s="22"/>
      <c r="R892" s="22"/>
      <c r="S892" s="22">
        <f t="shared" si="214"/>
        <v>0</v>
      </c>
      <c r="T892" s="22" t="e">
        <f t="shared" si="215"/>
        <v>#N/A</v>
      </c>
      <c r="U892" s="28">
        <v>400</v>
      </c>
      <c r="W892" s="9">
        <v>557</v>
      </c>
      <c r="X892" s="9" t="s">
        <v>29</v>
      </c>
      <c r="AF892">
        <v>947</v>
      </c>
      <c r="AG892" t="s">
        <v>29</v>
      </c>
      <c r="AH892">
        <v>142.08000000000001</v>
      </c>
      <c r="AI892" s="7">
        <v>46018</v>
      </c>
    </row>
    <row r="893" spans="1:35">
      <c r="A893">
        <v>987</v>
      </c>
      <c r="B893" t="str">
        <f t="shared" si="210"/>
        <v>USD</v>
      </c>
      <c r="C893">
        <f t="shared" si="211"/>
        <v>0</v>
      </c>
      <c r="D893">
        <f t="shared" si="202"/>
        <v>0</v>
      </c>
      <c r="E893">
        <f t="shared" si="203"/>
        <v>0</v>
      </c>
      <c r="F893">
        <v>5251</v>
      </c>
      <c r="G893">
        <f t="shared" si="204"/>
        <v>4515.8599999999997</v>
      </c>
      <c r="H893">
        <f t="shared" si="205"/>
        <v>5251</v>
      </c>
      <c r="I893">
        <f t="shared" si="212"/>
        <v>0</v>
      </c>
      <c r="J893">
        <f t="shared" si="206"/>
        <v>0</v>
      </c>
      <c r="K893" s="7">
        <f t="shared" si="213"/>
        <v>45904</v>
      </c>
      <c r="L893" s="7">
        <f t="shared" si="207"/>
        <v>45874</v>
      </c>
      <c r="M893">
        <f t="shared" si="208"/>
        <v>8</v>
      </c>
      <c r="N893">
        <f t="shared" si="209"/>
        <v>2025</v>
      </c>
      <c r="Q893" s="22"/>
      <c r="R893" s="22"/>
      <c r="S893" s="22">
        <f t="shared" si="214"/>
        <v>0</v>
      </c>
      <c r="T893" s="22" t="e">
        <f t="shared" si="215"/>
        <v>#N/A</v>
      </c>
      <c r="U893" s="28">
        <v>400</v>
      </c>
      <c r="W893" s="9">
        <v>557</v>
      </c>
      <c r="X893" s="9" t="s">
        <v>29</v>
      </c>
      <c r="AF893">
        <v>948</v>
      </c>
      <c r="AG893" t="s">
        <v>29</v>
      </c>
      <c r="AH893">
        <v>3052</v>
      </c>
      <c r="AI893" s="7">
        <v>45946</v>
      </c>
    </row>
    <row r="894" spans="1:35">
      <c r="A894">
        <v>988</v>
      </c>
      <c r="B894" t="str">
        <f t="shared" si="210"/>
        <v>USD</v>
      </c>
      <c r="C894">
        <f t="shared" si="211"/>
        <v>2423.96</v>
      </c>
      <c r="D894">
        <f t="shared" si="202"/>
        <v>2084.6055999999999</v>
      </c>
      <c r="E894">
        <f t="shared" si="203"/>
        <v>2423.96</v>
      </c>
      <c r="F894">
        <v>3625.22</v>
      </c>
      <c r="G894">
        <f t="shared" si="204"/>
        <v>3117.6891999999998</v>
      </c>
      <c r="H894">
        <f t="shared" si="205"/>
        <v>3625.22</v>
      </c>
      <c r="I894">
        <f t="shared" si="212"/>
        <v>2.2737367544323206E-13</v>
      </c>
      <c r="J894">
        <f t="shared" si="206"/>
        <v>2.2737367544323206E-13</v>
      </c>
      <c r="K894" s="7">
        <f t="shared" si="213"/>
        <v>46040</v>
      </c>
      <c r="L894" s="7">
        <f t="shared" si="207"/>
        <v>46010</v>
      </c>
      <c r="M894">
        <f t="shared" si="208"/>
        <v>12</v>
      </c>
      <c r="N894">
        <f t="shared" si="209"/>
        <v>2025</v>
      </c>
      <c r="Q894" s="22"/>
      <c r="R894" s="22"/>
      <c r="S894" s="22">
        <f t="shared" si="214"/>
        <v>0</v>
      </c>
      <c r="T894" s="22" t="e">
        <f t="shared" si="215"/>
        <v>#N/A</v>
      </c>
      <c r="U894" s="28">
        <v>400</v>
      </c>
      <c r="W894" s="9">
        <v>557</v>
      </c>
      <c r="X894" s="9" t="s">
        <v>29</v>
      </c>
      <c r="AF894">
        <v>949</v>
      </c>
      <c r="AG894" t="s">
        <v>29</v>
      </c>
      <c r="AH894">
        <v>1685.86</v>
      </c>
      <c r="AI894" s="7">
        <v>45997</v>
      </c>
    </row>
    <row r="895" spans="1:35">
      <c r="A895">
        <v>989</v>
      </c>
      <c r="B895" t="str">
        <f t="shared" si="210"/>
        <v>USD</v>
      </c>
      <c r="C895">
        <f t="shared" si="211"/>
        <v>7025.53</v>
      </c>
      <c r="D895">
        <f t="shared" si="202"/>
        <v>6041.9557999999997</v>
      </c>
      <c r="E895">
        <f t="shared" si="203"/>
        <v>7025.53</v>
      </c>
      <c r="F895">
        <v>7025.53</v>
      </c>
      <c r="G895">
        <f t="shared" si="204"/>
        <v>6041.9557999999997</v>
      </c>
      <c r="H895">
        <f t="shared" si="205"/>
        <v>7025.53</v>
      </c>
      <c r="I895">
        <f t="shared" si="212"/>
        <v>0</v>
      </c>
      <c r="J895">
        <f t="shared" si="206"/>
        <v>0</v>
      </c>
      <c r="K895" s="7">
        <f t="shared" si="213"/>
        <v>46050</v>
      </c>
      <c r="L895" s="7">
        <f t="shared" si="207"/>
        <v>46020</v>
      </c>
      <c r="M895">
        <f t="shared" si="208"/>
        <v>12</v>
      </c>
      <c r="N895">
        <f t="shared" si="209"/>
        <v>2025</v>
      </c>
      <c r="Q895" s="22"/>
      <c r="R895" s="22"/>
      <c r="S895" s="22">
        <f t="shared" si="214"/>
        <v>0</v>
      </c>
      <c r="T895" s="22" t="e">
        <f t="shared" si="215"/>
        <v>#N/A</v>
      </c>
      <c r="U895" s="28">
        <v>400</v>
      </c>
      <c r="W895" s="9">
        <v>558</v>
      </c>
      <c r="X895" s="9" t="s">
        <v>29</v>
      </c>
      <c r="AF895">
        <v>950</v>
      </c>
      <c r="AG895" t="s">
        <v>29</v>
      </c>
      <c r="AH895">
        <v>652.66</v>
      </c>
      <c r="AI895" s="7">
        <v>46026</v>
      </c>
    </row>
    <row r="896" spans="1:35">
      <c r="A896">
        <v>990</v>
      </c>
      <c r="B896" t="str">
        <f t="shared" si="210"/>
        <v>MXN</v>
      </c>
      <c r="C896">
        <f t="shared" si="211"/>
        <v>96922.5</v>
      </c>
      <c r="D896">
        <f t="shared" si="202"/>
        <v>4652.28</v>
      </c>
      <c r="E896">
        <f t="shared" si="203"/>
        <v>5427.66</v>
      </c>
      <c r="F896">
        <v>96922</v>
      </c>
      <c r="G896">
        <f t="shared" si="204"/>
        <v>4652.2560000000003</v>
      </c>
      <c r="H896">
        <f t="shared" si="205"/>
        <v>5427.6320000000005</v>
      </c>
      <c r="I896">
        <f t="shared" si="212"/>
        <v>0.5</v>
      </c>
      <c r="J896">
        <f t="shared" si="206"/>
        <v>2.8000000000000001E-2</v>
      </c>
      <c r="K896" s="7">
        <f t="shared" si="213"/>
        <v>46052</v>
      </c>
      <c r="L896" s="7">
        <f t="shared" si="207"/>
        <v>46022</v>
      </c>
      <c r="M896">
        <f t="shared" si="208"/>
        <v>12</v>
      </c>
      <c r="N896">
        <f t="shared" si="209"/>
        <v>2025</v>
      </c>
      <c r="Q896" s="22"/>
      <c r="R896" s="22"/>
      <c r="S896" s="22">
        <f t="shared" si="214"/>
        <v>0</v>
      </c>
      <c r="T896" s="22" t="e">
        <f t="shared" si="215"/>
        <v>#N/A</v>
      </c>
      <c r="U896" s="28">
        <v>400</v>
      </c>
      <c r="W896" s="9">
        <v>558</v>
      </c>
      <c r="X896" s="9" t="s">
        <v>29</v>
      </c>
      <c r="AF896">
        <v>951</v>
      </c>
      <c r="AG896" t="s">
        <v>28</v>
      </c>
      <c r="AH896">
        <v>194372.45</v>
      </c>
      <c r="AI896" s="7">
        <v>46094</v>
      </c>
    </row>
    <row r="897" spans="1:35">
      <c r="A897">
        <v>991</v>
      </c>
      <c r="B897" t="str">
        <f t="shared" si="210"/>
        <v>USD</v>
      </c>
      <c r="C897">
        <f t="shared" si="211"/>
        <v>140</v>
      </c>
      <c r="D897">
        <f t="shared" ref="D897:D960" si="216">C897*_xlfn.XLOOKUP(B897,AM:AM,AN:AN)</f>
        <v>120.39999999999999</v>
      </c>
      <c r="E897">
        <f t="shared" ref="E897:E960" si="217">C897*_xlfn.XLOOKUP(B897,AM:AM,AO:AO)</f>
        <v>140</v>
      </c>
      <c r="F897">
        <v>14038.8</v>
      </c>
      <c r="G897">
        <f t="shared" ref="G897:G960" si="218">F897*_xlfn.XLOOKUP(B897,AM:AM,AN:AN)</f>
        <v>12073.367999999999</v>
      </c>
      <c r="H897">
        <f t="shared" ref="H897:H960" si="219">F897*_xlfn.XLOOKUP(B897,AM:AM,AO:AO)</f>
        <v>14038.8</v>
      </c>
      <c r="I897">
        <f t="shared" si="212"/>
        <v>0</v>
      </c>
      <c r="J897">
        <f t="shared" ref="J897:J960" si="220">I897*_xlfn.XLOOKUP(B897,AM:AM,AO:AO)</f>
        <v>0</v>
      </c>
      <c r="K897" s="7">
        <f t="shared" si="213"/>
        <v>46279</v>
      </c>
      <c r="L897" s="7">
        <f t="shared" ref="L897:L960" si="221">K897-30</f>
        <v>46249</v>
      </c>
      <c r="M897">
        <f t="shared" ref="M897:M960" si="222">MONTH(L897)</f>
        <v>8</v>
      </c>
      <c r="N897">
        <f t="shared" ref="N897:N960" si="223">YEAR(L897)</f>
        <v>2026</v>
      </c>
      <c r="Q897" s="22"/>
      <c r="R897" s="22"/>
      <c r="S897" s="22">
        <f t="shared" si="214"/>
        <v>0</v>
      </c>
      <c r="T897" s="22" t="e">
        <f t="shared" si="215"/>
        <v>#N/A</v>
      </c>
      <c r="U897" s="28">
        <v>400</v>
      </c>
      <c r="W897" s="9">
        <v>558</v>
      </c>
      <c r="X897" s="9" t="s">
        <v>29</v>
      </c>
      <c r="AF897">
        <v>952</v>
      </c>
      <c r="AG897" t="s">
        <v>29</v>
      </c>
      <c r="AH897">
        <v>15095.62</v>
      </c>
      <c r="AI897" s="7">
        <v>46109</v>
      </c>
    </row>
    <row r="898" spans="1:35">
      <c r="A898">
        <v>993</v>
      </c>
      <c r="B898" t="str">
        <f t="shared" si="210"/>
        <v>USD</v>
      </c>
      <c r="C898">
        <f t="shared" si="211"/>
        <v>220</v>
      </c>
      <c r="D898">
        <f t="shared" si="216"/>
        <v>189.2</v>
      </c>
      <c r="E898">
        <f t="shared" si="217"/>
        <v>220</v>
      </c>
      <c r="F898">
        <v>6793.9</v>
      </c>
      <c r="G898">
        <f t="shared" si="218"/>
        <v>5842.7539999999999</v>
      </c>
      <c r="H898">
        <f t="shared" si="219"/>
        <v>6793.9</v>
      </c>
      <c r="I898">
        <f t="shared" si="212"/>
        <v>0</v>
      </c>
      <c r="J898">
        <f t="shared" si="220"/>
        <v>0</v>
      </c>
      <c r="K898" s="7">
        <f t="shared" si="213"/>
        <v>46176</v>
      </c>
      <c r="L898" s="7">
        <f t="shared" si="221"/>
        <v>46146</v>
      </c>
      <c r="M898">
        <f t="shared" si="222"/>
        <v>5</v>
      </c>
      <c r="N898">
        <f t="shared" si="223"/>
        <v>2026</v>
      </c>
      <c r="Q898" s="22"/>
      <c r="R898" s="22"/>
      <c r="S898" s="22">
        <f t="shared" si="214"/>
        <v>0</v>
      </c>
      <c r="T898" s="22" t="e">
        <f t="shared" si="215"/>
        <v>#N/A</v>
      </c>
      <c r="U898" s="28">
        <v>400</v>
      </c>
      <c r="W898" s="9">
        <v>558</v>
      </c>
      <c r="X898" s="9" t="s">
        <v>29</v>
      </c>
      <c r="AF898">
        <v>953</v>
      </c>
      <c r="AG898" t="s">
        <v>29</v>
      </c>
      <c r="AH898">
        <v>10472.799999999999</v>
      </c>
      <c r="AI898" s="7">
        <v>46029</v>
      </c>
    </row>
    <row r="899" spans="1:35">
      <c r="A899">
        <v>994</v>
      </c>
      <c r="B899" t="str">
        <f t="shared" ref="B899:B962" si="224">_xlfn.XLOOKUP(A899,AF:AF,AG:AG)</f>
        <v>MXN</v>
      </c>
      <c r="C899">
        <f t="shared" ref="C899:C962" si="225">_xlfn.XLOOKUP(A899,AF:AF,AH:AH)-_xlfn.XLOOKUP(A899,Q:Q,R:R,"0")</f>
        <v>271228.55</v>
      </c>
      <c r="D899">
        <f t="shared" si="216"/>
        <v>13018.9704</v>
      </c>
      <c r="E899">
        <f t="shared" si="217"/>
        <v>15188.7988</v>
      </c>
      <c r="F899">
        <v>275647.68</v>
      </c>
      <c r="G899">
        <f t="shared" si="218"/>
        <v>13231.08864</v>
      </c>
      <c r="H899">
        <f t="shared" si="219"/>
        <v>15436.27008</v>
      </c>
      <c r="I899">
        <f t="shared" ref="I899:I962" si="226">C899-F899+_xlfn.XLOOKUP(A899,Q:Q,R:R,"0")-_xlfn.XLOOKUP(A899,Z:Z,AA:AA,"0")</f>
        <v>-4419.1300000000047</v>
      </c>
      <c r="J899">
        <f t="shared" si="220"/>
        <v>-247.47128000000026</v>
      </c>
      <c r="K899" s="7">
        <f t="shared" ref="K899:K962" si="227">_xlfn.XLOOKUP(A899,AF:AF,AI:AI)</f>
        <v>46175</v>
      </c>
      <c r="L899" s="7">
        <f t="shared" si="221"/>
        <v>46145</v>
      </c>
      <c r="M899">
        <f t="shared" si="222"/>
        <v>5</v>
      </c>
      <c r="N899">
        <f t="shared" si="223"/>
        <v>2026</v>
      </c>
      <c r="Q899" s="22"/>
      <c r="R899" s="22"/>
      <c r="S899" s="22">
        <f t="shared" ref="S899:S962" si="228">_xlfn.XLOOKUP(Q899,W:W,X:X)</f>
        <v>0</v>
      </c>
      <c r="T899" s="22" t="e">
        <f t="shared" si="215"/>
        <v>#N/A</v>
      </c>
      <c r="U899" s="28">
        <v>400</v>
      </c>
      <c r="W899" s="9">
        <v>559</v>
      </c>
      <c r="X899" s="9" t="s">
        <v>29</v>
      </c>
      <c r="AF899">
        <v>954</v>
      </c>
      <c r="AG899" t="s">
        <v>29</v>
      </c>
      <c r="AH899">
        <v>2328.56</v>
      </c>
      <c r="AI899" s="7">
        <v>46098</v>
      </c>
    </row>
    <row r="900" spans="1:35">
      <c r="A900">
        <v>995</v>
      </c>
      <c r="B900" t="str">
        <f t="shared" si="224"/>
        <v>USD</v>
      </c>
      <c r="C900">
        <f t="shared" si="225"/>
        <v>78927</v>
      </c>
      <c r="D900">
        <f t="shared" si="216"/>
        <v>67877.22</v>
      </c>
      <c r="E900">
        <f t="shared" si="217"/>
        <v>78927</v>
      </c>
      <c r="F900">
        <v>7597.04</v>
      </c>
      <c r="G900">
        <f t="shared" si="218"/>
        <v>6533.4543999999996</v>
      </c>
      <c r="H900">
        <f t="shared" si="219"/>
        <v>7597.04</v>
      </c>
      <c r="I900">
        <f t="shared" si="226"/>
        <v>71329.960000000006</v>
      </c>
      <c r="J900">
        <f t="shared" si="220"/>
        <v>71329.960000000006</v>
      </c>
      <c r="K900" s="7">
        <f t="shared" si="227"/>
        <v>46111</v>
      </c>
      <c r="L900" s="7">
        <f t="shared" si="221"/>
        <v>46081</v>
      </c>
      <c r="M900">
        <f t="shared" si="222"/>
        <v>2</v>
      </c>
      <c r="N900">
        <f t="shared" si="223"/>
        <v>2026</v>
      </c>
      <c r="Q900" s="22"/>
      <c r="R900" s="22"/>
      <c r="S900" s="22">
        <f t="shared" si="228"/>
        <v>0</v>
      </c>
      <c r="T900" s="22" t="e">
        <f t="shared" si="215"/>
        <v>#N/A</v>
      </c>
      <c r="U900" s="28">
        <v>400</v>
      </c>
      <c r="W900" s="9">
        <v>560</v>
      </c>
      <c r="X900" s="9" t="s">
        <v>32</v>
      </c>
      <c r="AF900">
        <v>955</v>
      </c>
      <c r="AG900" t="s">
        <v>29</v>
      </c>
      <c r="AH900">
        <v>127190</v>
      </c>
      <c r="AI900" s="7">
        <v>46280</v>
      </c>
    </row>
    <row r="901" spans="1:35">
      <c r="A901">
        <v>996</v>
      </c>
      <c r="B901" t="str">
        <f t="shared" si="224"/>
        <v>USD</v>
      </c>
      <c r="C901">
        <f t="shared" si="225"/>
        <v>4532.0600000000004</v>
      </c>
      <c r="D901">
        <f t="shared" si="216"/>
        <v>3897.5716000000002</v>
      </c>
      <c r="E901">
        <f t="shared" si="217"/>
        <v>4532.0600000000004</v>
      </c>
      <c r="F901">
        <v>5616</v>
      </c>
      <c r="G901">
        <f t="shared" si="218"/>
        <v>4829.76</v>
      </c>
      <c r="H901">
        <f t="shared" si="219"/>
        <v>5616</v>
      </c>
      <c r="I901">
        <f t="shared" si="226"/>
        <v>-1083.9399999999996</v>
      </c>
      <c r="J901">
        <f t="shared" si="220"/>
        <v>-1083.9399999999996</v>
      </c>
      <c r="K901" s="7">
        <f t="shared" si="227"/>
        <v>46079</v>
      </c>
      <c r="L901" s="7">
        <f t="shared" si="221"/>
        <v>46049</v>
      </c>
      <c r="M901">
        <f t="shared" si="222"/>
        <v>1</v>
      </c>
      <c r="N901">
        <f t="shared" si="223"/>
        <v>2026</v>
      </c>
      <c r="Q901" s="22"/>
      <c r="R901" s="22"/>
      <c r="S901" s="22">
        <f t="shared" si="228"/>
        <v>0</v>
      </c>
      <c r="T901" s="22" t="e">
        <f t="shared" si="215"/>
        <v>#N/A</v>
      </c>
      <c r="U901" s="28">
        <v>400</v>
      </c>
      <c r="W901" s="9">
        <v>561</v>
      </c>
      <c r="X901" s="9" t="s">
        <v>28</v>
      </c>
      <c r="AF901">
        <v>956</v>
      </c>
      <c r="AG901" t="s">
        <v>29</v>
      </c>
      <c r="AH901">
        <v>63072</v>
      </c>
      <c r="AI901" s="7">
        <v>46009</v>
      </c>
    </row>
    <row r="902" spans="1:35">
      <c r="A902">
        <v>997</v>
      </c>
      <c r="B902" t="str">
        <f t="shared" si="224"/>
        <v>USD</v>
      </c>
      <c r="C902">
        <f t="shared" si="225"/>
        <v>0</v>
      </c>
      <c r="D902">
        <f t="shared" si="216"/>
        <v>0</v>
      </c>
      <c r="E902">
        <f t="shared" si="217"/>
        <v>0</v>
      </c>
      <c r="F902">
        <v>8610</v>
      </c>
      <c r="G902">
        <f t="shared" si="218"/>
        <v>7404.5999999999995</v>
      </c>
      <c r="H902">
        <f t="shared" si="219"/>
        <v>8610</v>
      </c>
      <c r="I902">
        <f t="shared" si="226"/>
        <v>0</v>
      </c>
      <c r="J902">
        <f t="shared" si="220"/>
        <v>0</v>
      </c>
      <c r="K902" s="7">
        <f t="shared" si="227"/>
        <v>46079</v>
      </c>
      <c r="L902" s="7">
        <f t="shared" si="221"/>
        <v>46049</v>
      </c>
      <c r="M902">
        <f t="shared" si="222"/>
        <v>1</v>
      </c>
      <c r="N902">
        <f t="shared" si="223"/>
        <v>2026</v>
      </c>
      <c r="Q902" s="22"/>
      <c r="R902" s="22"/>
      <c r="S902" s="22">
        <f t="shared" si="228"/>
        <v>0</v>
      </c>
      <c r="T902" s="22" t="e">
        <f t="shared" si="215"/>
        <v>#N/A</v>
      </c>
      <c r="U902" s="28">
        <v>400</v>
      </c>
      <c r="W902" s="9">
        <v>561</v>
      </c>
      <c r="X902" s="9" t="s">
        <v>28</v>
      </c>
      <c r="AF902">
        <v>957</v>
      </c>
      <c r="AG902" t="s">
        <v>29</v>
      </c>
      <c r="AH902">
        <v>5954.36</v>
      </c>
      <c r="AI902" s="7">
        <v>46045</v>
      </c>
    </row>
    <row r="903" spans="1:35">
      <c r="A903">
        <v>998</v>
      </c>
      <c r="B903" t="str">
        <f t="shared" si="224"/>
        <v>USD</v>
      </c>
      <c r="C903">
        <f t="shared" si="225"/>
        <v>0</v>
      </c>
      <c r="D903">
        <f t="shared" si="216"/>
        <v>0</v>
      </c>
      <c r="E903">
        <f t="shared" si="217"/>
        <v>0</v>
      </c>
      <c r="F903">
        <v>494.88</v>
      </c>
      <c r="G903">
        <f t="shared" si="218"/>
        <v>425.59679999999997</v>
      </c>
      <c r="H903">
        <f t="shared" si="219"/>
        <v>494.88</v>
      </c>
      <c r="I903">
        <f t="shared" si="226"/>
        <v>0</v>
      </c>
      <c r="J903">
        <f t="shared" si="220"/>
        <v>0</v>
      </c>
      <c r="K903" s="7">
        <f t="shared" si="227"/>
        <v>45979</v>
      </c>
      <c r="L903" s="7">
        <f t="shared" si="221"/>
        <v>45949</v>
      </c>
      <c r="M903">
        <f t="shared" si="222"/>
        <v>10</v>
      </c>
      <c r="N903">
        <f t="shared" si="223"/>
        <v>2025</v>
      </c>
      <c r="Q903" s="22"/>
      <c r="R903" s="22"/>
      <c r="S903" s="22">
        <f t="shared" si="228"/>
        <v>0</v>
      </c>
      <c r="T903" s="22" t="e">
        <f t="shared" si="215"/>
        <v>#N/A</v>
      </c>
      <c r="U903" s="28">
        <v>400</v>
      </c>
      <c r="W903" s="9">
        <v>561</v>
      </c>
      <c r="X903" s="9" t="s">
        <v>28</v>
      </c>
      <c r="AF903">
        <v>959</v>
      </c>
      <c r="AG903" t="s">
        <v>28</v>
      </c>
      <c r="AH903">
        <v>30999.200000000001</v>
      </c>
      <c r="AI903" s="7">
        <v>46029</v>
      </c>
    </row>
    <row r="904" spans="1:35">
      <c r="A904">
        <v>1000</v>
      </c>
      <c r="B904" t="str">
        <f t="shared" si="224"/>
        <v>USD</v>
      </c>
      <c r="C904">
        <f t="shared" si="225"/>
        <v>0</v>
      </c>
      <c r="D904">
        <f t="shared" si="216"/>
        <v>0</v>
      </c>
      <c r="E904">
        <f t="shared" si="217"/>
        <v>0</v>
      </c>
      <c r="F904">
        <v>7147.49</v>
      </c>
      <c r="G904">
        <f t="shared" si="218"/>
        <v>6146.8413999999993</v>
      </c>
      <c r="H904">
        <f t="shared" si="219"/>
        <v>7147.49</v>
      </c>
      <c r="I904">
        <f t="shared" si="226"/>
        <v>0</v>
      </c>
      <c r="J904">
        <f t="shared" si="220"/>
        <v>0</v>
      </c>
      <c r="K904" s="7">
        <f t="shared" si="227"/>
        <v>46120</v>
      </c>
      <c r="L904" s="7">
        <f t="shared" si="221"/>
        <v>46090</v>
      </c>
      <c r="M904">
        <f t="shared" si="222"/>
        <v>3</v>
      </c>
      <c r="N904">
        <f t="shared" si="223"/>
        <v>2026</v>
      </c>
      <c r="Q904" s="22"/>
      <c r="R904" s="22"/>
      <c r="S904" s="22">
        <f t="shared" si="228"/>
        <v>0</v>
      </c>
      <c r="T904" s="22" t="e">
        <f t="shared" si="215"/>
        <v>#N/A</v>
      </c>
      <c r="U904" s="28">
        <v>400</v>
      </c>
      <c r="W904" s="9">
        <v>561</v>
      </c>
      <c r="X904" s="9" t="s">
        <v>28</v>
      </c>
      <c r="AF904">
        <v>960</v>
      </c>
      <c r="AG904" t="s">
        <v>29</v>
      </c>
      <c r="AH904">
        <v>3920</v>
      </c>
      <c r="AI904" s="7">
        <v>46035</v>
      </c>
    </row>
    <row r="905" spans="1:35">
      <c r="A905">
        <v>1002</v>
      </c>
      <c r="B905" t="str">
        <f t="shared" si="224"/>
        <v>MXN</v>
      </c>
      <c r="C905">
        <f t="shared" si="225"/>
        <v>72750</v>
      </c>
      <c r="D905">
        <f t="shared" si="216"/>
        <v>3492</v>
      </c>
      <c r="E905">
        <f t="shared" si="217"/>
        <v>4074</v>
      </c>
      <c r="F905">
        <v>191228</v>
      </c>
      <c r="G905">
        <f t="shared" si="218"/>
        <v>9178.9439999999995</v>
      </c>
      <c r="H905">
        <f t="shared" si="219"/>
        <v>10708.768</v>
      </c>
      <c r="I905">
        <f t="shared" si="226"/>
        <v>-118478</v>
      </c>
      <c r="J905">
        <f t="shared" si="220"/>
        <v>-6634.768</v>
      </c>
      <c r="K905" s="7">
        <f t="shared" si="227"/>
        <v>46071</v>
      </c>
      <c r="L905" s="7">
        <f t="shared" si="221"/>
        <v>46041</v>
      </c>
      <c r="M905">
        <f t="shared" si="222"/>
        <v>1</v>
      </c>
      <c r="N905">
        <f t="shared" si="223"/>
        <v>2026</v>
      </c>
      <c r="Q905" s="22"/>
      <c r="R905" s="22"/>
      <c r="S905" s="22">
        <f t="shared" si="228"/>
        <v>0</v>
      </c>
      <c r="T905" s="22" t="e">
        <f t="shared" si="215"/>
        <v>#N/A</v>
      </c>
      <c r="U905" s="28">
        <v>400</v>
      </c>
      <c r="W905" s="9">
        <v>561</v>
      </c>
      <c r="X905" s="9" t="s">
        <v>28</v>
      </c>
      <c r="AF905">
        <v>961</v>
      </c>
      <c r="AG905" t="s">
        <v>29</v>
      </c>
      <c r="AH905">
        <v>13986.6</v>
      </c>
      <c r="AI905" s="7">
        <v>46279</v>
      </c>
    </row>
    <row r="906" spans="1:35">
      <c r="A906">
        <v>1004</v>
      </c>
      <c r="B906" t="str">
        <f t="shared" si="224"/>
        <v>MXN</v>
      </c>
      <c r="C906">
        <f t="shared" si="225"/>
        <v>16050</v>
      </c>
      <c r="D906">
        <f t="shared" si="216"/>
        <v>770.4</v>
      </c>
      <c r="E906">
        <f t="shared" si="217"/>
        <v>898.80000000000007</v>
      </c>
      <c r="F906">
        <v>16050</v>
      </c>
      <c r="G906">
        <f t="shared" si="218"/>
        <v>770.4</v>
      </c>
      <c r="H906">
        <f t="shared" si="219"/>
        <v>898.80000000000007</v>
      </c>
      <c r="I906">
        <f t="shared" si="226"/>
        <v>0</v>
      </c>
      <c r="J906">
        <f t="shared" si="220"/>
        <v>0</v>
      </c>
      <c r="K906" s="7">
        <f t="shared" si="227"/>
        <v>46058</v>
      </c>
      <c r="L906" s="7">
        <f t="shared" si="221"/>
        <v>46028</v>
      </c>
      <c r="M906">
        <f t="shared" si="222"/>
        <v>1</v>
      </c>
      <c r="N906">
        <f t="shared" si="223"/>
        <v>2026</v>
      </c>
      <c r="Q906" s="22"/>
      <c r="R906" s="22"/>
      <c r="S906" s="22">
        <f t="shared" si="228"/>
        <v>0</v>
      </c>
      <c r="T906" s="22" t="e">
        <f t="shared" si="215"/>
        <v>#N/A</v>
      </c>
      <c r="U906" s="28">
        <v>400</v>
      </c>
      <c r="W906" s="9">
        <v>562</v>
      </c>
      <c r="X906" s="9" t="s">
        <v>29</v>
      </c>
      <c r="AF906">
        <v>962</v>
      </c>
      <c r="AG906" t="s">
        <v>29</v>
      </c>
      <c r="AH906">
        <v>10242</v>
      </c>
      <c r="AI906" s="7">
        <v>46028</v>
      </c>
    </row>
    <row r="907" spans="1:35">
      <c r="A907">
        <v>1005</v>
      </c>
      <c r="B907" t="str">
        <f t="shared" si="224"/>
        <v>EUR</v>
      </c>
      <c r="C907">
        <f t="shared" si="225"/>
        <v>0</v>
      </c>
      <c r="D907">
        <f t="shared" si="216"/>
        <v>0</v>
      </c>
      <c r="E907">
        <f t="shared" si="217"/>
        <v>0</v>
      </c>
      <c r="F907">
        <v>20006.439999999999</v>
      </c>
      <c r="G907">
        <f t="shared" si="218"/>
        <v>20006.439999999999</v>
      </c>
      <c r="H907">
        <f t="shared" si="219"/>
        <v>23207.470399999998</v>
      </c>
      <c r="I907">
        <f t="shared" si="226"/>
        <v>0</v>
      </c>
      <c r="J907">
        <f t="shared" si="220"/>
        <v>0</v>
      </c>
      <c r="K907" s="7">
        <f t="shared" si="227"/>
        <v>46139</v>
      </c>
      <c r="L907" s="7">
        <f t="shared" si="221"/>
        <v>46109</v>
      </c>
      <c r="M907">
        <f t="shared" si="222"/>
        <v>3</v>
      </c>
      <c r="N907">
        <f t="shared" si="223"/>
        <v>2026</v>
      </c>
      <c r="Q907" s="22"/>
      <c r="R907" s="22"/>
      <c r="S907" s="22">
        <f t="shared" si="228"/>
        <v>0</v>
      </c>
      <c r="T907" s="22" t="e">
        <f t="shared" si="215"/>
        <v>#N/A</v>
      </c>
      <c r="U907" s="28">
        <v>400</v>
      </c>
      <c r="W907" s="9">
        <v>562</v>
      </c>
      <c r="X907" s="9" t="s">
        <v>29</v>
      </c>
      <c r="AF907">
        <v>963</v>
      </c>
      <c r="AG907" t="s">
        <v>29</v>
      </c>
      <c r="AH907">
        <v>2595</v>
      </c>
      <c r="AI907" s="7">
        <v>46044</v>
      </c>
    </row>
    <row r="908" spans="1:35">
      <c r="A908">
        <v>1006</v>
      </c>
      <c r="B908" t="str">
        <f t="shared" si="224"/>
        <v>USD</v>
      </c>
      <c r="C908">
        <f t="shared" si="225"/>
        <v>0</v>
      </c>
      <c r="D908">
        <f t="shared" si="216"/>
        <v>0</v>
      </c>
      <c r="E908">
        <f t="shared" si="217"/>
        <v>0</v>
      </c>
      <c r="F908">
        <v>12022.15</v>
      </c>
      <c r="G908">
        <f t="shared" si="218"/>
        <v>10339.048999999999</v>
      </c>
      <c r="H908">
        <f t="shared" si="219"/>
        <v>12022.15</v>
      </c>
      <c r="I908">
        <f t="shared" si="226"/>
        <v>0</v>
      </c>
      <c r="J908">
        <f t="shared" si="220"/>
        <v>0</v>
      </c>
      <c r="K908" s="7">
        <f t="shared" si="227"/>
        <v>46019</v>
      </c>
      <c r="L908" s="7">
        <f t="shared" si="221"/>
        <v>45989</v>
      </c>
      <c r="M908">
        <f t="shared" si="222"/>
        <v>11</v>
      </c>
      <c r="N908">
        <f t="shared" si="223"/>
        <v>2025</v>
      </c>
      <c r="Q908" s="22"/>
      <c r="R908" s="22"/>
      <c r="S908" s="22">
        <f t="shared" si="228"/>
        <v>0</v>
      </c>
      <c r="T908" s="22" t="e">
        <f t="shared" si="215"/>
        <v>#N/A</v>
      </c>
      <c r="U908" s="28">
        <v>400</v>
      </c>
      <c r="W908" s="9">
        <v>563</v>
      </c>
      <c r="X908" s="9" t="s">
        <v>29</v>
      </c>
      <c r="AF908">
        <v>964</v>
      </c>
      <c r="AG908" t="s">
        <v>29</v>
      </c>
      <c r="AH908">
        <v>223460</v>
      </c>
      <c r="AI908" s="7">
        <v>46179</v>
      </c>
    </row>
    <row r="909" spans="1:35">
      <c r="A909">
        <v>1007</v>
      </c>
      <c r="B909" t="str">
        <f t="shared" si="224"/>
        <v>USD</v>
      </c>
      <c r="C909">
        <f t="shared" si="225"/>
        <v>0</v>
      </c>
      <c r="D909">
        <f t="shared" si="216"/>
        <v>0</v>
      </c>
      <c r="E909">
        <f t="shared" si="217"/>
        <v>0</v>
      </c>
      <c r="F909">
        <v>219</v>
      </c>
      <c r="G909">
        <f t="shared" si="218"/>
        <v>188.34</v>
      </c>
      <c r="H909">
        <f t="shared" si="219"/>
        <v>219</v>
      </c>
      <c r="I909">
        <f t="shared" si="226"/>
        <v>0</v>
      </c>
      <c r="J909">
        <f t="shared" si="220"/>
        <v>0</v>
      </c>
      <c r="K909" s="7">
        <f t="shared" si="227"/>
        <v>45992</v>
      </c>
      <c r="L909" s="7">
        <f t="shared" si="221"/>
        <v>45962</v>
      </c>
      <c r="M909">
        <f t="shared" si="222"/>
        <v>11</v>
      </c>
      <c r="N909">
        <f t="shared" si="223"/>
        <v>2025</v>
      </c>
      <c r="Q909" s="22"/>
      <c r="R909" s="22"/>
      <c r="S909" s="22">
        <f t="shared" si="228"/>
        <v>0</v>
      </c>
      <c r="T909" s="22" t="e">
        <f t="shared" si="215"/>
        <v>#N/A</v>
      </c>
      <c r="U909" s="28">
        <v>400</v>
      </c>
      <c r="W909" s="9">
        <v>563</v>
      </c>
      <c r="X909" s="9" t="s">
        <v>29</v>
      </c>
      <c r="AF909">
        <v>965</v>
      </c>
      <c r="AG909" t="s">
        <v>29</v>
      </c>
      <c r="AH909">
        <v>2685</v>
      </c>
      <c r="AI909" s="7">
        <v>46008</v>
      </c>
    </row>
    <row r="910" spans="1:35">
      <c r="A910">
        <v>1008</v>
      </c>
      <c r="B910" t="str">
        <f t="shared" si="224"/>
        <v>USD</v>
      </c>
      <c r="C910">
        <f t="shared" si="225"/>
        <v>0</v>
      </c>
      <c r="D910">
        <f t="shared" si="216"/>
        <v>0</v>
      </c>
      <c r="E910">
        <f t="shared" si="217"/>
        <v>0</v>
      </c>
      <c r="F910">
        <v>219</v>
      </c>
      <c r="G910">
        <f t="shared" si="218"/>
        <v>188.34</v>
      </c>
      <c r="H910">
        <f t="shared" si="219"/>
        <v>219</v>
      </c>
      <c r="I910">
        <f t="shared" si="226"/>
        <v>0</v>
      </c>
      <c r="J910">
        <f t="shared" si="220"/>
        <v>0</v>
      </c>
      <c r="K910" s="7">
        <f t="shared" si="227"/>
        <v>45992</v>
      </c>
      <c r="L910" s="7">
        <f t="shared" si="221"/>
        <v>45962</v>
      </c>
      <c r="M910">
        <f t="shared" si="222"/>
        <v>11</v>
      </c>
      <c r="N910">
        <f t="shared" si="223"/>
        <v>2025</v>
      </c>
      <c r="Q910" s="22"/>
      <c r="R910" s="22"/>
      <c r="S910" s="22">
        <f t="shared" si="228"/>
        <v>0</v>
      </c>
      <c r="T910" s="22" t="e">
        <f t="shared" si="215"/>
        <v>#N/A</v>
      </c>
      <c r="U910" s="28">
        <v>400</v>
      </c>
      <c r="W910" s="9">
        <v>563</v>
      </c>
      <c r="X910" s="9" t="s">
        <v>29</v>
      </c>
      <c r="AF910">
        <v>966</v>
      </c>
      <c r="AG910" t="s">
        <v>29</v>
      </c>
      <c r="AH910">
        <v>4363</v>
      </c>
      <c r="AI910" s="7">
        <v>45993</v>
      </c>
    </row>
    <row r="911" spans="1:35">
      <c r="A911">
        <v>1009</v>
      </c>
      <c r="B911" t="str">
        <f t="shared" si="224"/>
        <v>MXN</v>
      </c>
      <c r="C911">
        <f t="shared" si="225"/>
        <v>0</v>
      </c>
      <c r="D911">
        <f t="shared" si="216"/>
        <v>0</v>
      </c>
      <c r="E911">
        <f t="shared" si="217"/>
        <v>0</v>
      </c>
      <c r="F911">
        <v>76952</v>
      </c>
      <c r="G911">
        <f t="shared" si="218"/>
        <v>3693.6959999999999</v>
      </c>
      <c r="H911">
        <f t="shared" si="219"/>
        <v>4309.3119999999999</v>
      </c>
      <c r="I911">
        <f t="shared" si="226"/>
        <v>0</v>
      </c>
      <c r="J911">
        <f t="shared" si="220"/>
        <v>0</v>
      </c>
      <c r="K911" s="7">
        <f t="shared" si="227"/>
        <v>46134</v>
      </c>
      <c r="L911" s="7">
        <f t="shared" si="221"/>
        <v>46104</v>
      </c>
      <c r="M911">
        <f t="shared" si="222"/>
        <v>3</v>
      </c>
      <c r="N911">
        <f t="shared" si="223"/>
        <v>2026</v>
      </c>
      <c r="Q911" s="22"/>
      <c r="R911" s="22"/>
      <c r="S911" s="22">
        <f t="shared" si="228"/>
        <v>0</v>
      </c>
      <c r="T911" s="22" t="e">
        <f t="shared" si="215"/>
        <v>#N/A</v>
      </c>
      <c r="U911" s="28">
        <v>400</v>
      </c>
      <c r="W911" s="9">
        <v>564</v>
      </c>
      <c r="X911" s="9" t="s">
        <v>29</v>
      </c>
      <c r="AF911">
        <v>968</v>
      </c>
      <c r="AG911" t="s">
        <v>29</v>
      </c>
      <c r="AH911">
        <v>59396.79</v>
      </c>
      <c r="AI911" s="7">
        <v>46279</v>
      </c>
    </row>
    <row r="912" spans="1:35">
      <c r="A912">
        <v>1010</v>
      </c>
      <c r="B912" t="str">
        <f t="shared" si="224"/>
        <v>USD</v>
      </c>
      <c r="C912">
        <f t="shared" si="225"/>
        <v>0</v>
      </c>
      <c r="D912">
        <f t="shared" si="216"/>
        <v>0</v>
      </c>
      <c r="E912">
        <f t="shared" si="217"/>
        <v>0</v>
      </c>
      <c r="F912">
        <v>9639</v>
      </c>
      <c r="G912">
        <f t="shared" si="218"/>
        <v>8289.5399999999991</v>
      </c>
      <c r="H912">
        <f t="shared" si="219"/>
        <v>9639</v>
      </c>
      <c r="I912">
        <f t="shared" si="226"/>
        <v>0</v>
      </c>
      <c r="J912">
        <f t="shared" si="220"/>
        <v>0</v>
      </c>
      <c r="K912" s="7">
        <f t="shared" si="227"/>
        <v>46025</v>
      </c>
      <c r="L912" s="7">
        <f t="shared" si="221"/>
        <v>45995</v>
      </c>
      <c r="M912">
        <f t="shared" si="222"/>
        <v>12</v>
      </c>
      <c r="N912">
        <f t="shared" si="223"/>
        <v>2025</v>
      </c>
      <c r="Q912" s="22"/>
      <c r="R912" s="22"/>
      <c r="S912" s="22">
        <f t="shared" si="228"/>
        <v>0</v>
      </c>
      <c r="T912" s="22" t="e">
        <f t="shared" si="215"/>
        <v>#N/A</v>
      </c>
      <c r="U912" s="28">
        <v>400</v>
      </c>
      <c r="W912" s="9">
        <v>564</v>
      </c>
      <c r="X912" s="9" t="s">
        <v>29</v>
      </c>
      <c r="AF912">
        <v>969</v>
      </c>
      <c r="AG912" t="s">
        <v>29</v>
      </c>
      <c r="AH912">
        <v>4657.45</v>
      </c>
      <c r="AI912" s="7">
        <v>46057</v>
      </c>
    </row>
    <row r="913" spans="1:35">
      <c r="A913">
        <v>1011</v>
      </c>
      <c r="B913" t="str">
        <f t="shared" si="224"/>
        <v>MXN</v>
      </c>
      <c r="C913">
        <f t="shared" si="225"/>
        <v>100903.8</v>
      </c>
      <c r="D913">
        <f t="shared" si="216"/>
        <v>4843.3824000000004</v>
      </c>
      <c r="E913">
        <f t="shared" si="217"/>
        <v>5650.6127999999999</v>
      </c>
      <c r="F913">
        <v>320820.5</v>
      </c>
      <c r="G913">
        <f t="shared" si="218"/>
        <v>15399.384</v>
      </c>
      <c r="H913">
        <f t="shared" si="219"/>
        <v>17965.948</v>
      </c>
      <c r="I913">
        <f t="shared" si="226"/>
        <v>-219916.7</v>
      </c>
      <c r="J913">
        <f t="shared" si="220"/>
        <v>-12315.335200000001</v>
      </c>
      <c r="K913" s="7">
        <f t="shared" si="227"/>
        <v>46109</v>
      </c>
      <c r="L913" s="7">
        <f t="shared" si="221"/>
        <v>46079</v>
      </c>
      <c r="M913">
        <f t="shared" si="222"/>
        <v>2</v>
      </c>
      <c r="N913">
        <f t="shared" si="223"/>
        <v>2026</v>
      </c>
      <c r="Q913" s="22"/>
      <c r="R913" s="22"/>
      <c r="S913" s="22">
        <f t="shared" si="228"/>
        <v>0</v>
      </c>
      <c r="T913" s="22" t="e">
        <f t="shared" si="215"/>
        <v>#N/A</v>
      </c>
      <c r="U913" s="28">
        <v>400</v>
      </c>
      <c r="W913" s="9">
        <v>566</v>
      </c>
      <c r="X913" s="9" t="s">
        <v>28</v>
      </c>
      <c r="AF913">
        <v>970</v>
      </c>
      <c r="AG913" t="s">
        <v>27</v>
      </c>
      <c r="AH913">
        <v>2320</v>
      </c>
      <c r="AI913" s="7">
        <v>46001</v>
      </c>
    </row>
    <row r="914" spans="1:35">
      <c r="A914">
        <v>1012</v>
      </c>
      <c r="B914" t="str">
        <f t="shared" si="224"/>
        <v>MXN</v>
      </c>
      <c r="C914">
        <f t="shared" si="225"/>
        <v>219990</v>
      </c>
      <c r="D914">
        <f t="shared" si="216"/>
        <v>10559.52</v>
      </c>
      <c r="E914">
        <f t="shared" si="217"/>
        <v>12319.44</v>
      </c>
      <c r="F914">
        <v>219990</v>
      </c>
      <c r="G914">
        <f t="shared" si="218"/>
        <v>10559.52</v>
      </c>
      <c r="H914">
        <f t="shared" si="219"/>
        <v>12319.44</v>
      </c>
      <c r="I914">
        <f t="shared" si="226"/>
        <v>0</v>
      </c>
      <c r="J914">
        <f t="shared" si="220"/>
        <v>0</v>
      </c>
      <c r="K914" s="7">
        <f t="shared" si="227"/>
        <v>46053</v>
      </c>
      <c r="L914" s="7">
        <f t="shared" si="221"/>
        <v>46023</v>
      </c>
      <c r="M914">
        <f t="shared" si="222"/>
        <v>1</v>
      </c>
      <c r="N914">
        <f t="shared" si="223"/>
        <v>2026</v>
      </c>
      <c r="Q914" s="22"/>
      <c r="R914" s="22"/>
      <c r="S914" s="22">
        <f t="shared" si="228"/>
        <v>0</v>
      </c>
      <c r="T914" s="22" t="e">
        <f t="shared" ref="T914:T977" si="229">R914*_xlfn.XLOOKUP(S914,AM:AM,AO:AO)</f>
        <v>#N/A</v>
      </c>
      <c r="U914" s="28">
        <v>400</v>
      </c>
      <c r="W914" s="9">
        <v>567</v>
      </c>
      <c r="X914" s="9" t="s">
        <v>29</v>
      </c>
      <c r="AF914">
        <v>971</v>
      </c>
      <c r="AG914" t="s">
        <v>28</v>
      </c>
      <c r="AH914">
        <v>90124.479999999996</v>
      </c>
      <c r="AI914" s="7">
        <v>45990</v>
      </c>
    </row>
    <row r="915" spans="1:35">
      <c r="A915">
        <v>1014</v>
      </c>
      <c r="B915" t="str">
        <f t="shared" si="224"/>
        <v>USD</v>
      </c>
      <c r="C915">
        <f t="shared" si="225"/>
        <v>0</v>
      </c>
      <c r="D915">
        <f t="shared" si="216"/>
        <v>0</v>
      </c>
      <c r="E915">
        <f t="shared" si="217"/>
        <v>0</v>
      </c>
      <c r="F915">
        <v>3300.7</v>
      </c>
      <c r="G915">
        <f t="shared" si="218"/>
        <v>2838.6019999999999</v>
      </c>
      <c r="H915">
        <f t="shared" si="219"/>
        <v>3300.7</v>
      </c>
      <c r="I915">
        <f t="shared" si="226"/>
        <v>0</v>
      </c>
      <c r="J915">
        <f t="shared" si="220"/>
        <v>0</v>
      </c>
      <c r="K915" s="7">
        <f t="shared" si="227"/>
        <v>45699</v>
      </c>
      <c r="L915" s="7">
        <f t="shared" si="221"/>
        <v>45669</v>
      </c>
      <c r="M915">
        <f t="shared" si="222"/>
        <v>1</v>
      </c>
      <c r="N915">
        <f t="shared" si="223"/>
        <v>2025</v>
      </c>
      <c r="Q915" s="22"/>
      <c r="R915" s="22"/>
      <c r="S915" s="22">
        <f t="shared" si="228"/>
        <v>0</v>
      </c>
      <c r="T915" s="22" t="e">
        <f t="shared" si="229"/>
        <v>#N/A</v>
      </c>
      <c r="U915" s="28">
        <v>400</v>
      </c>
      <c r="W915" s="9">
        <v>568</v>
      </c>
      <c r="X915" s="9" t="s">
        <v>32</v>
      </c>
      <c r="AF915">
        <v>972</v>
      </c>
      <c r="AG915" t="s">
        <v>31</v>
      </c>
      <c r="AH915">
        <v>2040</v>
      </c>
      <c r="AI915" s="7">
        <v>46043</v>
      </c>
    </row>
    <row r="916" spans="1:35">
      <c r="A916">
        <v>1016</v>
      </c>
      <c r="B916" t="str">
        <f t="shared" si="224"/>
        <v>USD</v>
      </c>
      <c r="C916">
        <f t="shared" si="225"/>
        <v>0</v>
      </c>
      <c r="D916">
        <f t="shared" si="216"/>
        <v>0</v>
      </c>
      <c r="E916">
        <f t="shared" si="217"/>
        <v>0</v>
      </c>
      <c r="F916">
        <v>2644</v>
      </c>
      <c r="G916">
        <f t="shared" si="218"/>
        <v>2273.84</v>
      </c>
      <c r="H916">
        <f t="shared" si="219"/>
        <v>2644</v>
      </c>
      <c r="I916">
        <f t="shared" si="226"/>
        <v>0</v>
      </c>
      <c r="J916">
        <f t="shared" si="220"/>
        <v>0</v>
      </c>
      <c r="K916" s="7">
        <f t="shared" si="227"/>
        <v>45964</v>
      </c>
      <c r="L916" s="7">
        <f t="shared" si="221"/>
        <v>45934</v>
      </c>
      <c r="M916">
        <f t="shared" si="222"/>
        <v>10</v>
      </c>
      <c r="N916">
        <f t="shared" si="223"/>
        <v>2025</v>
      </c>
      <c r="Q916" s="22"/>
      <c r="R916" s="22"/>
      <c r="S916" s="22">
        <f t="shared" si="228"/>
        <v>0</v>
      </c>
      <c r="T916" s="22" t="e">
        <f t="shared" si="229"/>
        <v>#N/A</v>
      </c>
      <c r="U916" s="28">
        <v>400</v>
      </c>
      <c r="W916" s="9">
        <v>570</v>
      </c>
      <c r="X916" s="9" t="s">
        <v>31</v>
      </c>
      <c r="AF916">
        <v>973</v>
      </c>
      <c r="AG916" t="s">
        <v>27</v>
      </c>
      <c r="AH916">
        <v>2422.38</v>
      </c>
      <c r="AI916" s="7">
        <v>46040</v>
      </c>
    </row>
    <row r="917" spans="1:35">
      <c r="A917">
        <v>1017</v>
      </c>
      <c r="B917" t="str">
        <f t="shared" si="224"/>
        <v>EUR</v>
      </c>
      <c r="C917">
        <f t="shared" si="225"/>
        <v>0</v>
      </c>
      <c r="D917">
        <f t="shared" si="216"/>
        <v>0</v>
      </c>
      <c r="E917">
        <f t="shared" si="217"/>
        <v>0</v>
      </c>
      <c r="F917">
        <v>1386.99</v>
      </c>
      <c r="G917">
        <f t="shared" si="218"/>
        <v>1386.99</v>
      </c>
      <c r="H917">
        <f t="shared" si="219"/>
        <v>1608.9083999999998</v>
      </c>
      <c r="I917">
        <f t="shared" si="226"/>
        <v>0</v>
      </c>
      <c r="J917">
        <f t="shared" si="220"/>
        <v>0</v>
      </c>
      <c r="K917" s="7">
        <f t="shared" si="227"/>
        <v>46061</v>
      </c>
      <c r="L917" s="7">
        <f t="shared" si="221"/>
        <v>46031</v>
      </c>
      <c r="M917">
        <f t="shared" si="222"/>
        <v>1</v>
      </c>
      <c r="N917">
        <f t="shared" si="223"/>
        <v>2026</v>
      </c>
      <c r="Q917" s="22"/>
      <c r="R917" s="22"/>
      <c r="S917" s="22">
        <f t="shared" si="228"/>
        <v>0</v>
      </c>
      <c r="T917" s="22" t="e">
        <f t="shared" si="229"/>
        <v>#N/A</v>
      </c>
      <c r="U917" s="28">
        <v>400</v>
      </c>
      <c r="W917" s="9">
        <v>571</v>
      </c>
      <c r="X917" s="9" t="s">
        <v>28</v>
      </c>
      <c r="AF917">
        <v>974</v>
      </c>
      <c r="AG917" t="s">
        <v>27</v>
      </c>
      <c r="AH917">
        <v>95200</v>
      </c>
      <c r="AI917" s="7">
        <v>46221</v>
      </c>
    </row>
    <row r="918" spans="1:35">
      <c r="A918">
        <v>1018</v>
      </c>
      <c r="B918" t="str">
        <f t="shared" si="224"/>
        <v>USD</v>
      </c>
      <c r="C918">
        <f t="shared" si="225"/>
        <v>0</v>
      </c>
      <c r="D918">
        <f t="shared" si="216"/>
        <v>0</v>
      </c>
      <c r="E918">
        <f t="shared" si="217"/>
        <v>0</v>
      </c>
      <c r="F918">
        <v>5312</v>
      </c>
      <c r="G918">
        <f t="shared" si="218"/>
        <v>4568.32</v>
      </c>
      <c r="H918">
        <f t="shared" si="219"/>
        <v>5312</v>
      </c>
      <c r="I918">
        <f t="shared" si="226"/>
        <v>0</v>
      </c>
      <c r="J918">
        <f t="shared" si="220"/>
        <v>0</v>
      </c>
      <c r="K918" s="7">
        <f t="shared" si="227"/>
        <v>46051</v>
      </c>
      <c r="L918" s="7">
        <f t="shared" si="221"/>
        <v>46021</v>
      </c>
      <c r="M918">
        <f t="shared" si="222"/>
        <v>12</v>
      </c>
      <c r="N918">
        <f t="shared" si="223"/>
        <v>2025</v>
      </c>
      <c r="Q918" s="22"/>
      <c r="R918" s="22"/>
      <c r="S918" s="22">
        <f t="shared" si="228"/>
        <v>0</v>
      </c>
      <c r="T918" s="22" t="e">
        <f t="shared" si="229"/>
        <v>#N/A</v>
      </c>
      <c r="U918" s="28">
        <v>400</v>
      </c>
      <c r="W918" s="9">
        <v>572</v>
      </c>
      <c r="X918" s="9" t="s">
        <v>29</v>
      </c>
      <c r="AF918">
        <v>975</v>
      </c>
      <c r="AG918" t="s">
        <v>28</v>
      </c>
      <c r="AH918">
        <v>11920.39</v>
      </c>
      <c r="AI918" s="7">
        <v>46032</v>
      </c>
    </row>
    <row r="919" spans="1:35">
      <c r="A919">
        <v>1019</v>
      </c>
      <c r="B919" t="str">
        <f t="shared" si="224"/>
        <v>USD</v>
      </c>
      <c r="C919">
        <f t="shared" si="225"/>
        <v>74493</v>
      </c>
      <c r="D919">
        <f t="shared" si="216"/>
        <v>64063.979999999996</v>
      </c>
      <c r="E919">
        <f t="shared" si="217"/>
        <v>74493</v>
      </c>
      <c r="F919">
        <v>42352.76</v>
      </c>
      <c r="G919">
        <f t="shared" si="218"/>
        <v>36423.373599999999</v>
      </c>
      <c r="H919">
        <f t="shared" si="219"/>
        <v>42352.76</v>
      </c>
      <c r="I919">
        <f t="shared" si="226"/>
        <v>32140.239999999998</v>
      </c>
      <c r="J919">
        <f t="shared" si="220"/>
        <v>32140.239999999998</v>
      </c>
      <c r="K919" s="7">
        <f t="shared" si="227"/>
        <v>46290</v>
      </c>
      <c r="L919" s="7">
        <f t="shared" si="221"/>
        <v>46260</v>
      </c>
      <c r="M919">
        <f t="shared" si="222"/>
        <v>8</v>
      </c>
      <c r="N919">
        <f t="shared" si="223"/>
        <v>2026</v>
      </c>
      <c r="Q919" s="22"/>
      <c r="R919" s="22"/>
      <c r="S919" s="22">
        <f t="shared" si="228"/>
        <v>0</v>
      </c>
      <c r="T919" s="22" t="e">
        <f t="shared" si="229"/>
        <v>#N/A</v>
      </c>
      <c r="U919" s="28">
        <v>400</v>
      </c>
      <c r="W919" s="9">
        <v>573</v>
      </c>
      <c r="X919" s="9" t="s">
        <v>29</v>
      </c>
      <c r="AF919">
        <v>976</v>
      </c>
      <c r="AG919" t="s">
        <v>27</v>
      </c>
      <c r="AH919">
        <v>38202</v>
      </c>
      <c r="AI919" s="7">
        <v>46179</v>
      </c>
    </row>
    <row r="920" spans="1:35">
      <c r="A920">
        <v>1020</v>
      </c>
      <c r="B920" t="str">
        <f t="shared" si="224"/>
        <v>USD</v>
      </c>
      <c r="C920">
        <f t="shared" si="225"/>
        <v>381</v>
      </c>
      <c r="D920">
        <f t="shared" si="216"/>
        <v>327.65999999999997</v>
      </c>
      <c r="E920">
        <f t="shared" si="217"/>
        <v>381</v>
      </c>
      <c r="F920">
        <v>57195.37</v>
      </c>
      <c r="G920">
        <f t="shared" si="218"/>
        <v>49188.018199999999</v>
      </c>
      <c r="H920">
        <f t="shared" si="219"/>
        <v>57195.37</v>
      </c>
      <c r="I920">
        <f t="shared" si="226"/>
        <v>35</v>
      </c>
      <c r="J920">
        <f t="shared" si="220"/>
        <v>35</v>
      </c>
      <c r="K920" s="7">
        <f t="shared" si="227"/>
        <v>45798</v>
      </c>
      <c r="L920" s="7">
        <f t="shared" si="221"/>
        <v>45768</v>
      </c>
      <c r="M920">
        <f t="shared" si="222"/>
        <v>4</v>
      </c>
      <c r="N920">
        <f t="shared" si="223"/>
        <v>2025</v>
      </c>
      <c r="Q920" s="22"/>
      <c r="R920" s="22"/>
      <c r="S920" s="22">
        <f t="shared" si="228"/>
        <v>0</v>
      </c>
      <c r="T920" s="22" t="e">
        <f t="shared" si="229"/>
        <v>#N/A</v>
      </c>
      <c r="U920" s="28">
        <v>400</v>
      </c>
      <c r="W920" s="9">
        <v>575</v>
      </c>
      <c r="X920" s="9" t="s">
        <v>29</v>
      </c>
      <c r="AF920">
        <v>978</v>
      </c>
      <c r="AG920" t="s">
        <v>28</v>
      </c>
      <c r="AH920">
        <v>66000</v>
      </c>
      <c r="AI920" s="7">
        <v>46058</v>
      </c>
    </row>
    <row r="921" spans="1:35">
      <c r="A921">
        <v>1022</v>
      </c>
      <c r="B921" t="str">
        <f t="shared" si="224"/>
        <v>USD</v>
      </c>
      <c r="C921">
        <f t="shared" si="225"/>
        <v>10000</v>
      </c>
      <c r="D921">
        <f t="shared" si="216"/>
        <v>8600</v>
      </c>
      <c r="E921">
        <f t="shared" si="217"/>
        <v>10000</v>
      </c>
      <c r="F921">
        <v>4502.09</v>
      </c>
      <c r="G921">
        <f t="shared" si="218"/>
        <v>3871.7973999999999</v>
      </c>
      <c r="H921">
        <f t="shared" si="219"/>
        <v>4502.09</v>
      </c>
      <c r="I921">
        <f t="shared" si="226"/>
        <v>5497.91</v>
      </c>
      <c r="J921">
        <f t="shared" si="220"/>
        <v>5497.91</v>
      </c>
      <c r="K921" s="7">
        <f t="shared" si="227"/>
        <v>46148</v>
      </c>
      <c r="L921" s="7">
        <f t="shared" si="221"/>
        <v>46118</v>
      </c>
      <c r="M921">
        <f t="shared" si="222"/>
        <v>4</v>
      </c>
      <c r="N921">
        <f t="shared" si="223"/>
        <v>2026</v>
      </c>
      <c r="Q921" s="22"/>
      <c r="R921" s="22"/>
      <c r="S921" s="22">
        <f t="shared" si="228"/>
        <v>0</v>
      </c>
      <c r="T921" s="22" t="e">
        <f t="shared" si="229"/>
        <v>#N/A</v>
      </c>
      <c r="U921" s="28">
        <v>400</v>
      </c>
      <c r="W921" s="9">
        <v>575</v>
      </c>
      <c r="X921" s="9" t="s">
        <v>29</v>
      </c>
      <c r="AF921">
        <v>979</v>
      </c>
      <c r="AG921" t="s">
        <v>29</v>
      </c>
      <c r="AH921">
        <v>2523</v>
      </c>
      <c r="AI921" s="7">
        <v>46000</v>
      </c>
    </row>
    <row r="922" spans="1:35">
      <c r="A922">
        <v>1023</v>
      </c>
      <c r="B922" t="str">
        <f t="shared" si="224"/>
        <v>USD</v>
      </c>
      <c r="C922">
        <f t="shared" si="225"/>
        <v>6168</v>
      </c>
      <c r="D922">
        <f t="shared" si="216"/>
        <v>5304.48</v>
      </c>
      <c r="E922">
        <f t="shared" si="217"/>
        <v>6168</v>
      </c>
      <c r="F922">
        <v>6168</v>
      </c>
      <c r="G922">
        <f t="shared" si="218"/>
        <v>5304.48</v>
      </c>
      <c r="H922">
        <f t="shared" si="219"/>
        <v>6168</v>
      </c>
      <c r="I922">
        <f t="shared" si="226"/>
        <v>0</v>
      </c>
      <c r="J922">
        <f t="shared" si="220"/>
        <v>0</v>
      </c>
      <c r="K922" s="7">
        <f t="shared" si="227"/>
        <v>46045</v>
      </c>
      <c r="L922" s="7">
        <f t="shared" si="221"/>
        <v>46015</v>
      </c>
      <c r="M922">
        <f t="shared" si="222"/>
        <v>12</v>
      </c>
      <c r="N922">
        <f t="shared" si="223"/>
        <v>2025</v>
      </c>
      <c r="Q922" s="22"/>
      <c r="R922" s="22"/>
      <c r="S922" s="22">
        <f t="shared" si="228"/>
        <v>0</v>
      </c>
      <c r="T922" s="22" t="e">
        <f t="shared" si="229"/>
        <v>#N/A</v>
      </c>
      <c r="U922" s="28">
        <v>400</v>
      </c>
      <c r="W922" s="9">
        <v>575</v>
      </c>
      <c r="X922" s="9" t="s">
        <v>29</v>
      </c>
      <c r="AF922">
        <v>980</v>
      </c>
      <c r="AG922" t="s">
        <v>29</v>
      </c>
      <c r="AH922">
        <v>6766</v>
      </c>
      <c r="AI922" s="7">
        <v>46021</v>
      </c>
    </row>
    <row r="923" spans="1:35">
      <c r="A923">
        <v>1024</v>
      </c>
      <c r="B923" t="str">
        <f t="shared" si="224"/>
        <v>USD</v>
      </c>
      <c r="C923">
        <f t="shared" si="225"/>
        <v>0</v>
      </c>
      <c r="D923">
        <f t="shared" si="216"/>
        <v>0</v>
      </c>
      <c r="E923">
        <f t="shared" si="217"/>
        <v>0</v>
      </c>
      <c r="F923">
        <v>12996</v>
      </c>
      <c r="G923">
        <f t="shared" si="218"/>
        <v>11176.56</v>
      </c>
      <c r="H923">
        <f t="shared" si="219"/>
        <v>12996</v>
      </c>
      <c r="I923">
        <f t="shared" si="226"/>
        <v>0</v>
      </c>
      <c r="J923">
        <f t="shared" si="220"/>
        <v>0</v>
      </c>
      <c r="K923" s="7">
        <f t="shared" si="227"/>
        <v>46080</v>
      </c>
      <c r="L923" s="7">
        <f t="shared" si="221"/>
        <v>46050</v>
      </c>
      <c r="M923">
        <f t="shared" si="222"/>
        <v>1</v>
      </c>
      <c r="N923">
        <f t="shared" si="223"/>
        <v>2026</v>
      </c>
      <c r="Q923" s="22"/>
      <c r="R923" s="22"/>
      <c r="S923" s="22">
        <f t="shared" si="228"/>
        <v>0</v>
      </c>
      <c r="T923" s="22" t="e">
        <f t="shared" si="229"/>
        <v>#N/A</v>
      </c>
      <c r="U923" s="28">
        <v>400</v>
      </c>
      <c r="W923" s="9">
        <v>576</v>
      </c>
      <c r="X923" s="9" t="s">
        <v>29</v>
      </c>
      <c r="AF923">
        <v>982</v>
      </c>
      <c r="AG923" t="s">
        <v>29</v>
      </c>
      <c r="AH923">
        <v>2777</v>
      </c>
      <c r="AI923" s="7">
        <v>46055</v>
      </c>
    </row>
    <row r="924" spans="1:35">
      <c r="A924">
        <v>1029</v>
      </c>
      <c r="B924" t="str">
        <f t="shared" si="224"/>
        <v>EUR</v>
      </c>
      <c r="C924">
        <f t="shared" si="225"/>
        <v>7097</v>
      </c>
      <c r="D924">
        <f t="shared" si="216"/>
        <v>7097</v>
      </c>
      <c r="E924">
        <f t="shared" si="217"/>
        <v>8232.5199999999986</v>
      </c>
      <c r="F924">
        <v>7097.41</v>
      </c>
      <c r="G924">
        <f t="shared" si="218"/>
        <v>7097.41</v>
      </c>
      <c r="H924">
        <f t="shared" si="219"/>
        <v>8232.9955999999984</v>
      </c>
      <c r="I924">
        <f t="shared" si="226"/>
        <v>-0.40999999999985448</v>
      </c>
      <c r="J924">
        <f t="shared" si="220"/>
        <v>-0.47559999999983116</v>
      </c>
      <c r="K924" s="7">
        <f t="shared" si="227"/>
        <v>46102</v>
      </c>
      <c r="L924" s="7">
        <f t="shared" si="221"/>
        <v>46072</v>
      </c>
      <c r="M924">
        <f t="shared" si="222"/>
        <v>2</v>
      </c>
      <c r="N924">
        <f t="shared" si="223"/>
        <v>2026</v>
      </c>
      <c r="Q924" s="22"/>
      <c r="R924" s="22"/>
      <c r="S924" s="22">
        <f t="shared" si="228"/>
        <v>0</v>
      </c>
      <c r="T924" s="22" t="e">
        <f t="shared" si="229"/>
        <v>#N/A</v>
      </c>
      <c r="U924" s="28">
        <v>400</v>
      </c>
      <c r="W924" s="9">
        <v>576</v>
      </c>
      <c r="X924" s="9" t="s">
        <v>29</v>
      </c>
      <c r="AF924">
        <v>983</v>
      </c>
      <c r="AG924" t="s">
        <v>28</v>
      </c>
      <c r="AH924">
        <v>35</v>
      </c>
      <c r="AI924" s="7">
        <v>46052</v>
      </c>
    </row>
    <row r="925" spans="1:35">
      <c r="A925">
        <v>1030</v>
      </c>
      <c r="B925" t="str">
        <f t="shared" si="224"/>
        <v>EUR</v>
      </c>
      <c r="C925">
        <f t="shared" si="225"/>
        <v>1085.6999999999998</v>
      </c>
      <c r="D925">
        <f t="shared" si="216"/>
        <v>1085.6999999999998</v>
      </c>
      <c r="E925">
        <f t="shared" si="217"/>
        <v>1259.4119999999998</v>
      </c>
      <c r="F925">
        <v>1705.05</v>
      </c>
      <c r="G925">
        <f t="shared" si="218"/>
        <v>1705.05</v>
      </c>
      <c r="H925">
        <f t="shared" si="219"/>
        <v>1977.8579999999997</v>
      </c>
      <c r="I925">
        <f t="shared" si="226"/>
        <v>-1.1368683772161603E-13</v>
      </c>
      <c r="J925">
        <f t="shared" si="220"/>
        <v>-1.3187673175707459E-13</v>
      </c>
      <c r="K925" s="7">
        <f t="shared" si="227"/>
        <v>46054</v>
      </c>
      <c r="L925" s="7">
        <f t="shared" si="221"/>
        <v>46024</v>
      </c>
      <c r="M925">
        <f t="shared" si="222"/>
        <v>1</v>
      </c>
      <c r="N925">
        <f t="shared" si="223"/>
        <v>2026</v>
      </c>
      <c r="Q925" s="22"/>
      <c r="R925" s="22"/>
      <c r="S925" s="22">
        <f t="shared" si="228"/>
        <v>0</v>
      </c>
      <c r="T925" s="22" t="e">
        <f t="shared" si="229"/>
        <v>#N/A</v>
      </c>
      <c r="U925" s="28">
        <v>400</v>
      </c>
      <c r="W925" s="9">
        <v>576</v>
      </c>
      <c r="X925" s="9" t="s">
        <v>31</v>
      </c>
      <c r="AF925">
        <v>984</v>
      </c>
      <c r="AG925" t="s">
        <v>27</v>
      </c>
      <c r="AH925">
        <v>10540.65</v>
      </c>
      <c r="AI925" s="7">
        <v>46124</v>
      </c>
    </row>
    <row r="926" spans="1:35">
      <c r="A926">
        <v>1031</v>
      </c>
      <c r="B926" t="str">
        <f t="shared" si="224"/>
        <v>EUR</v>
      </c>
      <c r="C926">
        <f t="shared" si="225"/>
        <v>43069.88</v>
      </c>
      <c r="D926">
        <f t="shared" si="216"/>
        <v>43069.88</v>
      </c>
      <c r="E926">
        <f t="shared" si="217"/>
        <v>49961.060799999992</v>
      </c>
      <c r="F926">
        <v>19979.72</v>
      </c>
      <c r="G926">
        <f t="shared" si="218"/>
        <v>19979.72</v>
      </c>
      <c r="H926">
        <f t="shared" si="219"/>
        <v>23176.475200000001</v>
      </c>
      <c r="I926">
        <f t="shared" si="226"/>
        <v>23090.159999999996</v>
      </c>
      <c r="J926">
        <f t="shared" si="220"/>
        <v>26784.585599999995</v>
      </c>
      <c r="K926" s="7">
        <f t="shared" si="227"/>
        <v>46108</v>
      </c>
      <c r="L926" s="7">
        <f t="shared" si="221"/>
        <v>46078</v>
      </c>
      <c r="M926">
        <f t="shared" si="222"/>
        <v>2</v>
      </c>
      <c r="N926">
        <f t="shared" si="223"/>
        <v>2026</v>
      </c>
      <c r="Q926" s="22"/>
      <c r="R926" s="22"/>
      <c r="S926" s="22">
        <f t="shared" si="228"/>
        <v>0</v>
      </c>
      <c r="T926" s="22" t="e">
        <f t="shared" si="229"/>
        <v>#N/A</v>
      </c>
      <c r="U926" s="28">
        <v>400</v>
      </c>
      <c r="W926" s="9">
        <v>576</v>
      </c>
      <c r="X926" s="9" t="s">
        <v>31</v>
      </c>
      <c r="AF926">
        <v>985</v>
      </c>
      <c r="AG926" t="s">
        <v>29</v>
      </c>
      <c r="AH926">
        <v>1332.19</v>
      </c>
      <c r="AI926" s="7">
        <v>46042</v>
      </c>
    </row>
    <row r="927" spans="1:35">
      <c r="A927">
        <v>1032</v>
      </c>
      <c r="B927" t="str">
        <f t="shared" si="224"/>
        <v>EUR</v>
      </c>
      <c r="C927">
        <f t="shared" si="225"/>
        <v>11340</v>
      </c>
      <c r="D927">
        <f t="shared" si="216"/>
        <v>11340</v>
      </c>
      <c r="E927">
        <f t="shared" si="217"/>
        <v>13154.4</v>
      </c>
      <c r="F927">
        <v>5817.5</v>
      </c>
      <c r="G927">
        <f t="shared" si="218"/>
        <v>5817.5</v>
      </c>
      <c r="H927">
        <f t="shared" si="219"/>
        <v>6748.2999999999993</v>
      </c>
      <c r="I927">
        <f t="shared" si="226"/>
        <v>5522.5</v>
      </c>
      <c r="J927">
        <f t="shared" si="220"/>
        <v>6406.0999999999995</v>
      </c>
      <c r="K927" s="7">
        <f t="shared" si="227"/>
        <v>46187</v>
      </c>
      <c r="L927" s="7">
        <f t="shared" si="221"/>
        <v>46157</v>
      </c>
      <c r="M927">
        <f t="shared" si="222"/>
        <v>5</v>
      </c>
      <c r="N927">
        <f t="shared" si="223"/>
        <v>2026</v>
      </c>
      <c r="Q927" s="22"/>
      <c r="R927" s="22"/>
      <c r="S927" s="22">
        <f t="shared" si="228"/>
        <v>0</v>
      </c>
      <c r="T927" s="22" t="e">
        <f t="shared" si="229"/>
        <v>#N/A</v>
      </c>
      <c r="U927" s="28">
        <v>400</v>
      </c>
      <c r="W927" s="9">
        <v>576</v>
      </c>
      <c r="X927" s="9" t="s">
        <v>31</v>
      </c>
      <c r="AF927">
        <v>986</v>
      </c>
      <c r="AG927" t="s">
        <v>27</v>
      </c>
      <c r="AH927">
        <v>5224</v>
      </c>
      <c r="AI927" s="7">
        <v>46038</v>
      </c>
    </row>
    <row r="928" spans="1:35">
      <c r="A928">
        <v>1033</v>
      </c>
      <c r="B928" t="str">
        <f t="shared" si="224"/>
        <v>USD</v>
      </c>
      <c r="C928">
        <f t="shared" si="225"/>
        <v>0</v>
      </c>
      <c r="D928">
        <f t="shared" si="216"/>
        <v>0</v>
      </c>
      <c r="E928">
        <f t="shared" si="217"/>
        <v>0</v>
      </c>
      <c r="F928">
        <v>3000.27</v>
      </c>
      <c r="G928">
        <f t="shared" si="218"/>
        <v>2580.2321999999999</v>
      </c>
      <c r="H928">
        <f t="shared" si="219"/>
        <v>3000.27</v>
      </c>
      <c r="I928">
        <f t="shared" si="226"/>
        <v>0</v>
      </c>
      <c r="J928">
        <f t="shared" si="220"/>
        <v>0</v>
      </c>
      <c r="K928" s="7">
        <f t="shared" si="227"/>
        <v>46059</v>
      </c>
      <c r="L928" s="7">
        <f t="shared" si="221"/>
        <v>46029</v>
      </c>
      <c r="M928">
        <f t="shared" si="222"/>
        <v>1</v>
      </c>
      <c r="N928">
        <f t="shared" si="223"/>
        <v>2026</v>
      </c>
      <c r="Q928" s="22"/>
      <c r="R928" s="22"/>
      <c r="S928" s="22">
        <f t="shared" si="228"/>
        <v>0</v>
      </c>
      <c r="T928" s="22" t="e">
        <f t="shared" si="229"/>
        <v>#N/A</v>
      </c>
      <c r="U928" s="28">
        <v>400</v>
      </c>
      <c r="W928" s="9">
        <v>577</v>
      </c>
      <c r="X928" s="9" t="s">
        <v>29</v>
      </c>
      <c r="AF928">
        <v>987</v>
      </c>
      <c r="AG928" t="s">
        <v>29</v>
      </c>
      <c r="AH928">
        <v>5251</v>
      </c>
      <c r="AI928" s="7">
        <v>45904</v>
      </c>
    </row>
    <row r="929" spans="1:35">
      <c r="A929">
        <v>1036</v>
      </c>
      <c r="B929" t="str">
        <f t="shared" si="224"/>
        <v>USD</v>
      </c>
      <c r="C929">
        <f t="shared" si="225"/>
        <v>0</v>
      </c>
      <c r="D929">
        <f t="shared" si="216"/>
        <v>0</v>
      </c>
      <c r="E929">
        <f t="shared" si="217"/>
        <v>0</v>
      </c>
      <c r="F929">
        <v>621.29999999999995</v>
      </c>
      <c r="G929">
        <f t="shared" si="218"/>
        <v>534.31799999999998</v>
      </c>
      <c r="H929">
        <f t="shared" si="219"/>
        <v>621.29999999999995</v>
      </c>
      <c r="I929">
        <f t="shared" si="226"/>
        <v>0</v>
      </c>
      <c r="J929">
        <f t="shared" si="220"/>
        <v>0</v>
      </c>
      <c r="K929" s="7">
        <f t="shared" si="227"/>
        <v>46075</v>
      </c>
      <c r="L929" s="7">
        <f t="shared" si="221"/>
        <v>46045</v>
      </c>
      <c r="M929">
        <f t="shared" si="222"/>
        <v>1</v>
      </c>
      <c r="N929">
        <f t="shared" si="223"/>
        <v>2026</v>
      </c>
      <c r="Q929" s="22"/>
      <c r="R929" s="22"/>
      <c r="S929" s="22">
        <f t="shared" si="228"/>
        <v>0</v>
      </c>
      <c r="T929" s="22" t="e">
        <f t="shared" si="229"/>
        <v>#N/A</v>
      </c>
      <c r="U929" s="28">
        <v>400</v>
      </c>
      <c r="W929" s="9">
        <v>577</v>
      </c>
      <c r="X929" s="9" t="s">
        <v>29</v>
      </c>
      <c r="AF929">
        <v>988</v>
      </c>
      <c r="AG929" t="s">
        <v>29</v>
      </c>
      <c r="AH929">
        <v>3625.22</v>
      </c>
      <c r="AI929" s="7">
        <v>46040</v>
      </c>
    </row>
    <row r="930" spans="1:35">
      <c r="A930">
        <v>1037</v>
      </c>
      <c r="B930" t="str">
        <f t="shared" si="224"/>
        <v>USD</v>
      </c>
      <c r="C930">
        <f t="shared" si="225"/>
        <v>0</v>
      </c>
      <c r="D930">
        <f t="shared" si="216"/>
        <v>0</v>
      </c>
      <c r="E930">
        <f t="shared" si="217"/>
        <v>0</v>
      </c>
      <c r="F930">
        <v>5589</v>
      </c>
      <c r="G930">
        <f t="shared" si="218"/>
        <v>4806.54</v>
      </c>
      <c r="H930">
        <f t="shared" si="219"/>
        <v>5589</v>
      </c>
      <c r="I930">
        <f t="shared" si="226"/>
        <v>0</v>
      </c>
      <c r="J930">
        <f t="shared" si="220"/>
        <v>0</v>
      </c>
      <c r="K930" s="7">
        <f t="shared" si="227"/>
        <v>46018</v>
      </c>
      <c r="L930" s="7">
        <f t="shared" si="221"/>
        <v>45988</v>
      </c>
      <c r="M930">
        <f t="shared" si="222"/>
        <v>11</v>
      </c>
      <c r="N930">
        <f t="shared" si="223"/>
        <v>2025</v>
      </c>
      <c r="Q930" s="22"/>
      <c r="R930" s="22"/>
      <c r="S930" s="22">
        <f t="shared" si="228"/>
        <v>0</v>
      </c>
      <c r="T930" s="22" t="e">
        <f t="shared" si="229"/>
        <v>#N/A</v>
      </c>
      <c r="U930" s="28">
        <v>400</v>
      </c>
      <c r="W930" s="9">
        <v>577</v>
      </c>
      <c r="X930" s="9" t="s">
        <v>29</v>
      </c>
      <c r="AF930">
        <v>989</v>
      </c>
      <c r="AG930" t="s">
        <v>29</v>
      </c>
      <c r="AH930">
        <v>7025.53</v>
      </c>
      <c r="AI930" s="7">
        <v>46050</v>
      </c>
    </row>
    <row r="931" spans="1:35">
      <c r="A931">
        <v>1038</v>
      </c>
      <c r="B931" t="str">
        <f t="shared" si="224"/>
        <v>EUR</v>
      </c>
      <c r="C931">
        <f t="shared" si="225"/>
        <v>5010.96</v>
      </c>
      <c r="D931">
        <f t="shared" si="216"/>
        <v>5010.96</v>
      </c>
      <c r="E931">
        <f t="shared" si="217"/>
        <v>5812.7136</v>
      </c>
      <c r="F931">
        <v>5153</v>
      </c>
      <c r="G931">
        <f t="shared" si="218"/>
        <v>5153</v>
      </c>
      <c r="H931">
        <f t="shared" si="219"/>
        <v>5977.48</v>
      </c>
      <c r="I931">
        <f t="shared" si="226"/>
        <v>-142.03999999999996</v>
      </c>
      <c r="J931">
        <f t="shared" si="220"/>
        <v>-164.76639999999995</v>
      </c>
      <c r="K931" s="7">
        <f t="shared" si="227"/>
        <v>46061</v>
      </c>
      <c r="L931" s="7">
        <f t="shared" si="221"/>
        <v>46031</v>
      </c>
      <c r="M931">
        <f t="shared" si="222"/>
        <v>1</v>
      </c>
      <c r="N931">
        <f t="shared" si="223"/>
        <v>2026</v>
      </c>
      <c r="Q931" s="22"/>
      <c r="R931" s="22"/>
      <c r="S931" s="22">
        <f t="shared" si="228"/>
        <v>0</v>
      </c>
      <c r="T931" s="22" t="e">
        <f t="shared" si="229"/>
        <v>#N/A</v>
      </c>
      <c r="U931" s="28">
        <v>400</v>
      </c>
      <c r="W931" s="9">
        <v>577</v>
      </c>
      <c r="X931" s="9" t="s">
        <v>29</v>
      </c>
      <c r="AF931">
        <v>990</v>
      </c>
      <c r="AG931" t="s">
        <v>28</v>
      </c>
      <c r="AH931">
        <v>96922.5</v>
      </c>
      <c r="AI931" s="7">
        <v>46052</v>
      </c>
    </row>
    <row r="932" spans="1:35">
      <c r="A932">
        <v>1039</v>
      </c>
      <c r="B932" t="str">
        <f t="shared" si="224"/>
        <v>USD</v>
      </c>
      <c r="C932">
        <f t="shared" si="225"/>
        <v>0</v>
      </c>
      <c r="D932">
        <f t="shared" si="216"/>
        <v>0</v>
      </c>
      <c r="E932">
        <f t="shared" si="217"/>
        <v>0</v>
      </c>
      <c r="F932">
        <v>19288</v>
      </c>
      <c r="G932">
        <f t="shared" si="218"/>
        <v>16587.68</v>
      </c>
      <c r="H932">
        <f t="shared" si="219"/>
        <v>19288</v>
      </c>
      <c r="I932">
        <f t="shared" si="226"/>
        <v>-280</v>
      </c>
      <c r="J932">
        <f t="shared" si="220"/>
        <v>-280</v>
      </c>
      <c r="K932" s="7">
        <f t="shared" si="227"/>
        <v>46106</v>
      </c>
      <c r="L932" s="7">
        <f t="shared" si="221"/>
        <v>46076</v>
      </c>
      <c r="M932">
        <f t="shared" si="222"/>
        <v>2</v>
      </c>
      <c r="N932">
        <f t="shared" si="223"/>
        <v>2026</v>
      </c>
      <c r="Q932" s="22"/>
      <c r="R932" s="22"/>
      <c r="S932" s="22">
        <f t="shared" si="228"/>
        <v>0</v>
      </c>
      <c r="T932" s="22" t="e">
        <f t="shared" si="229"/>
        <v>#N/A</v>
      </c>
      <c r="U932" s="28">
        <v>400</v>
      </c>
      <c r="W932" s="9">
        <v>577</v>
      </c>
      <c r="X932" s="9" t="s">
        <v>29</v>
      </c>
      <c r="AF932">
        <v>991</v>
      </c>
      <c r="AG932" t="s">
        <v>29</v>
      </c>
      <c r="AH932">
        <v>14038.8</v>
      </c>
      <c r="AI932" s="7">
        <v>46279</v>
      </c>
    </row>
    <row r="933" spans="1:35">
      <c r="A933">
        <v>1041</v>
      </c>
      <c r="B933" t="str">
        <f t="shared" si="224"/>
        <v>MXN</v>
      </c>
      <c r="C933">
        <f t="shared" si="225"/>
        <v>8150</v>
      </c>
      <c r="D933">
        <f t="shared" si="216"/>
        <v>391.2</v>
      </c>
      <c r="E933">
        <f t="shared" si="217"/>
        <v>456.40000000000003</v>
      </c>
      <c r="F933">
        <v>8150</v>
      </c>
      <c r="G933">
        <f t="shared" si="218"/>
        <v>391.2</v>
      </c>
      <c r="H933">
        <f t="shared" si="219"/>
        <v>456.40000000000003</v>
      </c>
      <c r="I933">
        <f t="shared" si="226"/>
        <v>0</v>
      </c>
      <c r="J933">
        <f t="shared" si="220"/>
        <v>0</v>
      </c>
      <c r="K933" s="7">
        <f t="shared" si="227"/>
        <v>46053</v>
      </c>
      <c r="L933" s="7">
        <f t="shared" si="221"/>
        <v>46023</v>
      </c>
      <c r="M933">
        <f t="shared" si="222"/>
        <v>1</v>
      </c>
      <c r="N933">
        <f t="shared" si="223"/>
        <v>2026</v>
      </c>
      <c r="Q933" s="22"/>
      <c r="R933" s="22"/>
      <c r="S933" s="22">
        <f t="shared" si="228"/>
        <v>0</v>
      </c>
      <c r="T933" s="22" t="e">
        <f t="shared" si="229"/>
        <v>#N/A</v>
      </c>
      <c r="U933" s="28">
        <v>400</v>
      </c>
      <c r="W933" s="9">
        <v>577</v>
      </c>
      <c r="X933" s="9" t="s">
        <v>29</v>
      </c>
      <c r="AF933">
        <v>992</v>
      </c>
      <c r="AG933" t="s">
        <v>29</v>
      </c>
      <c r="AH933">
        <v>967.5</v>
      </c>
      <c r="AI933" s="7">
        <v>46037</v>
      </c>
    </row>
    <row r="934" spans="1:35">
      <c r="A934">
        <v>1042</v>
      </c>
      <c r="B934" t="str">
        <f t="shared" si="224"/>
        <v>EUR</v>
      </c>
      <c r="C934">
        <f t="shared" si="225"/>
        <v>9283.8700000000008</v>
      </c>
      <c r="D934">
        <f t="shared" si="216"/>
        <v>9283.8700000000008</v>
      </c>
      <c r="E934">
        <f t="shared" si="217"/>
        <v>10769.289200000001</v>
      </c>
      <c r="F934">
        <v>2785.16</v>
      </c>
      <c r="G934">
        <f t="shared" si="218"/>
        <v>2785.16</v>
      </c>
      <c r="H934">
        <f t="shared" si="219"/>
        <v>3230.7855999999997</v>
      </c>
      <c r="I934">
        <f t="shared" si="226"/>
        <v>6498.7100000000009</v>
      </c>
      <c r="J934">
        <f t="shared" si="220"/>
        <v>7538.5036000000009</v>
      </c>
      <c r="K934" s="7">
        <f t="shared" si="227"/>
        <v>46207</v>
      </c>
      <c r="L934" s="7">
        <f t="shared" si="221"/>
        <v>46177</v>
      </c>
      <c r="M934">
        <f t="shared" si="222"/>
        <v>6</v>
      </c>
      <c r="N934">
        <f t="shared" si="223"/>
        <v>2026</v>
      </c>
      <c r="Q934" s="22"/>
      <c r="R934" s="22"/>
      <c r="S934" s="22">
        <f t="shared" si="228"/>
        <v>0</v>
      </c>
      <c r="T934" s="22" t="e">
        <f t="shared" si="229"/>
        <v>#N/A</v>
      </c>
      <c r="U934" s="28">
        <v>400</v>
      </c>
      <c r="W934" s="9">
        <v>577</v>
      </c>
      <c r="X934" s="9" t="s">
        <v>29</v>
      </c>
      <c r="AF934">
        <v>993</v>
      </c>
      <c r="AG934" t="s">
        <v>29</v>
      </c>
      <c r="AH934">
        <v>6793.9</v>
      </c>
      <c r="AI934" s="7">
        <v>46176</v>
      </c>
    </row>
    <row r="935" spans="1:35">
      <c r="A935">
        <v>1043</v>
      </c>
      <c r="B935" t="str">
        <f t="shared" si="224"/>
        <v>USD</v>
      </c>
      <c r="C935">
        <f t="shared" si="225"/>
        <v>32887.39</v>
      </c>
      <c r="D935">
        <f t="shared" si="216"/>
        <v>28283.1554</v>
      </c>
      <c r="E935">
        <f t="shared" si="217"/>
        <v>32887.39</v>
      </c>
      <c r="F935">
        <v>30033.59</v>
      </c>
      <c r="G935">
        <f t="shared" si="218"/>
        <v>25828.8874</v>
      </c>
      <c r="H935">
        <f t="shared" si="219"/>
        <v>30033.59</v>
      </c>
      <c r="I935">
        <f t="shared" si="226"/>
        <v>2853.7999999999993</v>
      </c>
      <c r="J935">
        <f t="shared" si="220"/>
        <v>2853.7999999999993</v>
      </c>
      <c r="K935" s="7">
        <f t="shared" si="227"/>
        <v>46290</v>
      </c>
      <c r="L935" s="7">
        <f t="shared" si="221"/>
        <v>46260</v>
      </c>
      <c r="M935">
        <f t="shared" si="222"/>
        <v>8</v>
      </c>
      <c r="N935">
        <f t="shared" si="223"/>
        <v>2026</v>
      </c>
      <c r="Q935" s="22"/>
      <c r="R935" s="22"/>
      <c r="S935" s="22">
        <f t="shared" si="228"/>
        <v>0</v>
      </c>
      <c r="T935" s="22" t="e">
        <f t="shared" si="229"/>
        <v>#N/A</v>
      </c>
      <c r="U935" s="28">
        <v>400</v>
      </c>
      <c r="W935" s="9">
        <v>578</v>
      </c>
      <c r="X935" s="9" t="s">
        <v>29</v>
      </c>
      <c r="AF935">
        <v>994</v>
      </c>
      <c r="AG935" t="s">
        <v>28</v>
      </c>
      <c r="AH935">
        <v>271228.55</v>
      </c>
      <c r="AI935" s="7">
        <v>46175</v>
      </c>
    </row>
    <row r="936" spans="1:35">
      <c r="A936">
        <v>1044</v>
      </c>
      <c r="B936" t="str">
        <f t="shared" si="224"/>
        <v>EUR</v>
      </c>
      <c r="C936">
        <f t="shared" si="225"/>
        <v>27830</v>
      </c>
      <c r="D936">
        <f t="shared" si="216"/>
        <v>27830</v>
      </c>
      <c r="E936">
        <f t="shared" si="217"/>
        <v>32282.799999999999</v>
      </c>
      <c r="F936">
        <v>27830</v>
      </c>
      <c r="G936">
        <f t="shared" si="218"/>
        <v>27830</v>
      </c>
      <c r="H936">
        <f t="shared" si="219"/>
        <v>32282.799999999999</v>
      </c>
      <c r="I936">
        <f t="shared" si="226"/>
        <v>0</v>
      </c>
      <c r="J936">
        <f t="shared" si="220"/>
        <v>0</v>
      </c>
      <c r="K936" s="7">
        <f t="shared" si="227"/>
        <v>46074</v>
      </c>
      <c r="L936" s="7">
        <f t="shared" si="221"/>
        <v>46044</v>
      </c>
      <c r="M936">
        <f t="shared" si="222"/>
        <v>1</v>
      </c>
      <c r="N936">
        <f t="shared" si="223"/>
        <v>2026</v>
      </c>
      <c r="Q936" s="22"/>
      <c r="R936" s="22"/>
      <c r="S936" s="22">
        <f t="shared" si="228"/>
        <v>0</v>
      </c>
      <c r="T936" s="22" t="e">
        <f t="shared" si="229"/>
        <v>#N/A</v>
      </c>
      <c r="U936" s="28">
        <v>400</v>
      </c>
      <c r="W936" s="9">
        <v>579</v>
      </c>
      <c r="X936" s="9" t="s">
        <v>29</v>
      </c>
      <c r="AF936">
        <v>995</v>
      </c>
      <c r="AG936" t="s">
        <v>29</v>
      </c>
      <c r="AH936">
        <v>78927</v>
      </c>
      <c r="AI936" s="7">
        <v>46111</v>
      </c>
    </row>
    <row r="937" spans="1:35">
      <c r="A937">
        <v>1045</v>
      </c>
      <c r="B937" t="str">
        <f t="shared" si="224"/>
        <v>USD</v>
      </c>
      <c r="C937">
        <f t="shared" si="225"/>
        <v>0</v>
      </c>
      <c r="D937">
        <f t="shared" si="216"/>
        <v>0</v>
      </c>
      <c r="E937">
        <f t="shared" si="217"/>
        <v>0</v>
      </c>
      <c r="F937">
        <v>2065</v>
      </c>
      <c r="G937">
        <f t="shared" si="218"/>
        <v>1775.8999999999999</v>
      </c>
      <c r="H937">
        <f t="shared" si="219"/>
        <v>2065</v>
      </c>
      <c r="I937">
        <f t="shared" si="226"/>
        <v>0</v>
      </c>
      <c r="J937">
        <f t="shared" si="220"/>
        <v>0</v>
      </c>
      <c r="K937" s="7">
        <f t="shared" si="227"/>
        <v>46011</v>
      </c>
      <c r="L937" s="7">
        <f t="shared" si="221"/>
        <v>45981</v>
      </c>
      <c r="M937">
        <f t="shared" si="222"/>
        <v>11</v>
      </c>
      <c r="N937">
        <f t="shared" si="223"/>
        <v>2025</v>
      </c>
      <c r="Q937" s="22"/>
      <c r="R937" s="22"/>
      <c r="S937" s="22">
        <f t="shared" si="228"/>
        <v>0</v>
      </c>
      <c r="T937" s="22" t="e">
        <f t="shared" si="229"/>
        <v>#N/A</v>
      </c>
      <c r="U937" s="28">
        <v>400</v>
      </c>
      <c r="W937" s="9">
        <v>579</v>
      </c>
      <c r="X937" s="9" t="s">
        <v>29</v>
      </c>
      <c r="AF937">
        <v>996</v>
      </c>
      <c r="AG937" t="s">
        <v>29</v>
      </c>
      <c r="AH937">
        <v>4532.0600000000004</v>
      </c>
      <c r="AI937" s="7">
        <v>46079</v>
      </c>
    </row>
    <row r="938" spans="1:35">
      <c r="A938">
        <v>1046</v>
      </c>
      <c r="B938" t="str">
        <f t="shared" si="224"/>
        <v>USD</v>
      </c>
      <c r="C938">
        <f t="shared" si="225"/>
        <v>290000</v>
      </c>
      <c r="D938">
        <f t="shared" si="216"/>
        <v>249400</v>
      </c>
      <c r="E938">
        <f t="shared" si="217"/>
        <v>290000</v>
      </c>
      <c r="F938">
        <v>26292</v>
      </c>
      <c r="G938">
        <f t="shared" si="218"/>
        <v>22611.119999999999</v>
      </c>
      <c r="H938">
        <f t="shared" si="219"/>
        <v>26292</v>
      </c>
      <c r="I938">
        <f t="shared" si="226"/>
        <v>263708</v>
      </c>
      <c r="J938">
        <f t="shared" si="220"/>
        <v>263708</v>
      </c>
      <c r="K938" s="7">
        <f t="shared" si="227"/>
        <v>46151</v>
      </c>
      <c r="L938" s="7">
        <f t="shared" si="221"/>
        <v>46121</v>
      </c>
      <c r="M938">
        <f t="shared" si="222"/>
        <v>4</v>
      </c>
      <c r="N938">
        <f t="shared" si="223"/>
        <v>2026</v>
      </c>
      <c r="Q938" s="22"/>
      <c r="R938" s="22"/>
      <c r="S938" s="22">
        <f t="shared" si="228"/>
        <v>0</v>
      </c>
      <c r="T938" s="22" t="e">
        <f t="shared" si="229"/>
        <v>#N/A</v>
      </c>
      <c r="U938" s="28">
        <v>400</v>
      </c>
      <c r="W938" s="9">
        <v>579</v>
      </c>
      <c r="X938" s="9" t="s">
        <v>29</v>
      </c>
      <c r="AF938">
        <v>997</v>
      </c>
      <c r="AG938" t="s">
        <v>29</v>
      </c>
      <c r="AH938">
        <v>8610</v>
      </c>
      <c r="AI938" s="7">
        <v>46079</v>
      </c>
    </row>
    <row r="939" spans="1:35">
      <c r="A939">
        <v>1047</v>
      </c>
      <c r="B939" t="str">
        <f t="shared" si="224"/>
        <v>USD</v>
      </c>
      <c r="C939">
        <f t="shared" si="225"/>
        <v>18830.240000000002</v>
      </c>
      <c r="D939">
        <f t="shared" si="216"/>
        <v>16194.006400000002</v>
      </c>
      <c r="E939">
        <f t="shared" si="217"/>
        <v>18830.240000000002</v>
      </c>
      <c r="F939">
        <v>18830.240000000002</v>
      </c>
      <c r="G939">
        <f t="shared" si="218"/>
        <v>16194.006400000002</v>
      </c>
      <c r="H939">
        <f t="shared" si="219"/>
        <v>18830.240000000002</v>
      </c>
      <c r="I939">
        <f t="shared" si="226"/>
        <v>0</v>
      </c>
      <c r="J939">
        <f t="shared" si="220"/>
        <v>0</v>
      </c>
      <c r="K939" s="7">
        <f t="shared" si="227"/>
        <v>46088</v>
      </c>
      <c r="L939" s="7">
        <f t="shared" si="221"/>
        <v>46058</v>
      </c>
      <c r="M939">
        <f t="shared" si="222"/>
        <v>2</v>
      </c>
      <c r="N939">
        <f t="shared" si="223"/>
        <v>2026</v>
      </c>
      <c r="Q939" s="22"/>
      <c r="R939" s="22"/>
      <c r="S939" s="22">
        <f t="shared" si="228"/>
        <v>0</v>
      </c>
      <c r="T939" s="22" t="e">
        <f t="shared" si="229"/>
        <v>#N/A</v>
      </c>
      <c r="U939" s="28">
        <v>400</v>
      </c>
      <c r="W939" s="9">
        <v>580</v>
      </c>
      <c r="X939" s="9" t="s">
        <v>29</v>
      </c>
      <c r="AF939">
        <v>998</v>
      </c>
      <c r="AG939" t="s">
        <v>29</v>
      </c>
      <c r="AH939">
        <v>494.88</v>
      </c>
      <c r="AI939" s="7">
        <v>45979</v>
      </c>
    </row>
    <row r="940" spans="1:35">
      <c r="A940">
        <v>1048</v>
      </c>
      <c r="B940" t="str">
        <f t="shared" si="224"/>
        <v>MXN</v>
      </c>
      <c r="C940">
        <f t="shared" si="225"/>
        <v>79800</v>
      </c>
      <c r="D940">
        <f t="shared" si="216"/>
        <v>3830.4</v>
      </c>
      <c r="E940">
        <f t="shared" si="217"/>
        <v>4468.8</v>
      </c>
      <c r="F940">
        <v>30000</v>
      </c>
      <c r="G940">
        <f t="shared" si="218"/>
        <v>1440</v>
      </c>
      <c r="H940">
        <f t="shared" si="219"/>
        <v>1680</v>
      </c>
      <c r="I940">
        <f t="shared" si="226"/>
        <v>49800</v>
      </c>
      <c r="J940">
        <f t="shared" si="220"/>
        <v>2788.8</v>
      </c>
      <c r="K940" s="7">
        <f t="shared" si="227"/>
        <v>46328</v>
      </c>
      <c r="L940" s="7">
        <f t="shared" si="221"/>
        <v>46298</v>
      </c>
      <c r="M940">
        <f t="shared" si="222"/>
        <v>10</v>
      </c>
      <c r="N940">
        <f t="shared" si="223"/>
        <v>2026</v>
      </c>
      <c r="Q940" s="22"/>
      <c r="R940" s="22"/>
      <c r="S940" s="22">
        <f t="shared" si="228"/>
        <v>0</v>
      </c>
      <c r="T940" s="22" t="e">
        <f t="shared" si="229"/>
        <v>#N/A</v>
      </c>
      <c r="U940" s="28">
        <v>400</v>
      </c>
      <c r="W940" s="9">
        <v>580</v>
      </c>
      <c r="X940" s="9" t="s">
        <v>29</v>
      </c>
      <c r="AF940">
        <v>999</v>
      </c>
      <c r="AG940" t="s">
        <v>29</v>
      </c>
      <c r="AH940">
        <v>1436</v>
      </c>
      <c r="AI940" s="7">
        <v>46050</v>
      </c>
    </row>
    <row r="941" spans="1:35">
      <c r="A941">
        <v>1050</v>
      </c>
      <c r="B941" t="str">
        <f t="shared" si="224"/>
        <v>EUR</v>
      </c>
      <c r="C941">
        <f t="shared" si="225"/>
        <v>4684</v>
      </c>
      <c r="D941">
        <f t="shared" si="216"/>
        <v>4684</v>
      </c>
      <c r="E941">
        <f t="shared" si="217"/>
        <v>5433.44</v>
      </c>
      <c r="F941">
        <v>4684</v>
      </c>
      <c r="G941">
        <f t="shared" si="218"/>
        <v>4684</v>
      </c>
      <c r="H941">
        <f t="shared" si="219"/>
        <v>5433.44</v>
      </c>
      <c r="I941">
        <f t="shared" si="226"/>
        <v>0</v>
      </c>
      <c r="J941">
        <f t="shared" si="220"/>
        <v>0</v>
      </c>
      <c r="K941" s="7">
        <f t="shared" si="227"/>
        <v>46186</v>
      </c>
      <c r="L941" s="7">
        <f t="shared" si="221"/>
        <v>46156</v>
      </c>
      <c r="M941">
        <f t="shared" si="222"/>
        <v>5</v>
      </c>
      <c r="N941">
        <f t="shared" si="223"/>
        <v>2026</v>
      </c>
      <c r="Q941" s="22"/>
      <c r="R941" s="22"/>
      <c r="S941" s="22">
        <f t="shared" si="228"/>
        <v>0</v>
      </c>
      <c r="T941" s="22" t="e">
        <f t="shared" si="229"/>
        <v>#N/A</v>
      </c>
      <c r="U941" s="28">
        <v>400</v>
      </c>
      <c r="W941" s="9">
        <v>581</v>
      </c>
      <c r="X941" s="9" t="s">
        <v>29</v>
      </c>
      <c r="AF941">
        <v>1000</v>
      </c>
      <c r="AG941" t="s">
        <v>29</v>
      </c>
      <c r="AH941">
        <v>7147.49</v>
      </c>
      <c r="AI941" s="7">
        <v>46120</v>
      </c>
    </row>
    <row r="942" spans="1:35">
      <c r="A942">
        <v>1051</v>
      </c>
      <c r="B942" t="str">
        <f t="shared" si="224"/>
        <v>EUR</v>
      </c>
      <c r="C942">
        <f t="shared" si="225"/>
        <v>3300</v>
      </c>
      <c r="D942">
        <f t="shared" si="216"/>
        <v>3300</v>
      </c>
      <c r="E942">
        <f t="shared" si="217"/>
        <v>3827.9999999999995</v>
      </c>
      <c r="F942">
        <v>3300</v>
      </c>
      <c r="G942">
        <f t="shared" si="218"/>
        <v>3300</v>
      </c>
      <c r="H942">
        <f t="shared" si="219"/>
        <v>3827.9999999999995</v>
      </c>
      <c r="I942">
        <f t="shared" si="226"/>
        <v>0</v>
      </c>
      <c r="J942">
        <f t="shared" si="220"/>
        <v>0</v>
      </c>
      <c r="K942" s="7">
        <f t="shared" si="227"/>
        <v>46226</v>
      </c>
      <c r="L942" s="7">
        <f t="shared" si="221"/>
        <v>46196</v>
      </c>
      <c r="M942">
        <f t="shared" si="222"/>
        <v>6</v>
      </c>
      <c r="N942">
        <f t="shared" si="223"/>
        <v>2026</v>
      </c>
      <c r="Q942" s="22"/>
      <c r="R942" s="22"/>
      <c r="S942" s="22">
        <f t="shared" si="228"/>
        <v>0</v>
      </c>
      <c r="T942" s="22" t="e">
        <f t="shared" si="229"/>
        <v>#N/A</v>
      </c>
      <c r="U942" s="28">
        <v>400</v>
      </c>
      <c r="W942" s="9">
        <v>583</v>
      </c>
      <c r="X942" s="9" t="s">
        <v>27</v>
      </c>
      <c r="AF942">
        <v>1001</v>
      </c>
      <c r="AG942" t="s">
        <v>29</v>
      </c>
      <c r="AH942">
        <v>3372.84</v>
      </c>
      <c r="AI942" s="7">
        <v>46199</v>
      </c>
    </row>
    <row r="943" spans="1:35">
      <c r="A943">
        <v>1052</v>
      </c>
      <c r="B943" t="str">
        <f t="shared" si="224"/>
        <v>USD</v>
      </c>
      <c r="C943">
        <f t="shared" si="225"/>
        <v>62000</v>
      </c>
      <c r="D943">
        <f t="shared" si="216"/>
        <v>53320</v>
      </c>
      <c r="E943">
        <f t="shared" si="217"/>
        <v>62000</v>
      </c>
      <c r="F943">
        <v>6450</v>
      </c>
      <c r="G943">
        <f t="shared" si="218"/>
        <v>5547</v>
      </c>
      <c r="H943">
        <f t="shared" si="219"/>
        <v>6450</v>
      </c>
      <c r="I943">
        <f t="shared" si="226"/>
        <v>55550</v>
      </c>
      <c r="J943">
        <f t="shared" si="220"/>
        <v>55550</v>
      </c>
      <c r="K943" s="7">
        <f t="shared" si="227"/>
        <v>46563</v>
      </c>
      <c r="L943" s="7">
        <f t="shared" si="221"/>
        <v>46533</v>
      </c>
      <c r="M943">
        <f t="shared" si="222"/>
        <v>5</v>
      </c>
      <c r="N943">
        <f t="shared" si="223"/>
        <v>2027</v>
      </c>
      <c r="Q943" s="22"/>
      <c r="R943" s="22"/>
      <c r="S943" s="22">
        <f t="shared" si="228"/>
        <v>0</v>
      </c>
      <c r="T943" s="22" t="e">
        <f t="shared" si="229"/>
        <v>#N/A</v>
      </c>
      <c r="U943" s="28">
        <v>400</v>
      </c>
      <c r="W943" s="9">
        <v>585</v>
      </c>
      <c r="X943" s="9" t="s">
        <v>28</v>
      </c>
      <c r="AF943">
        <v>1002</v>
      </c>
      <c r="AG943" t="s">
        <v>28</v>
      </c>
      <c r="AH943">
        <v>72750</v>
      </c>
      <c r="AI943" s="7">
        <v>46071</v>
      </c>
    </row>
    <row r="944" spans="1:35">
      <c r="A944">
        <v>1054</v>
      </c>
      <c r="B944" t="str">
        <f t="shared" si="224"/>
        <v>USD</v>
      </c>
      <c r="C944">
        <f t="shared" si="225"/>
        <v>6039.26</v>
      </c>
      <c r="D944">
        <f t="shared" si="216"/>
        <v>5193.7636000000002</v>
      </c>
      <c r="E944">
        <f t="shared" si="217"/>
        <v>6039.26</v>
      </c>
      <c r="F944">
        <v>15000</v>
      </c>
      <c r="G944">
        <f t="shared" si="218"/>
        <v>12900</v>
      </c>
      <c r="H944">
        <f t="shared" si="219"/>
        <v>15000</v>
      </c>
      <c r="I944">
        <f t="shared" si="226"/>
        <v>-8960.74</v>
      </c>
      <c r="J944">
        <f t="shared" si="220"/>
        <v>-8960.74</v>
      </c>
      <c r="K944" s="7">
        <f t="shared" si="227"/>
        <v>46085</v>
      </c>
      <c r="L944" s="7">
        <f t="shared" si="221"/>
        <v>46055</v>
      </c>
      <c r="M944">
        <f t="shared" si="222"/>
        <v>2</v>
      </c>
      <c r="N944">
        <f t="shared" si="223"/>
        <v>2026</v>
      </c>
      <c r="Q944" s="22"/>
      <c r="R944" s="22"/>
      <c r="S944" s="22">
        <f t="shared" si="228"/>
        <v>0</v>
      </c>
      <c r="T944" s="22" t="e">
        <f t="shared" si="229"/>
        <v>#N/A</v>
      </c>
      <c r="U944" s="28">
        <v>400</v>
      </c>
      <c r="W944" s="9">
        <v>585</v>
      </c>
      <c r="X944" s="9" t="s">
        <v>28</v>
      </c>
      <c r="AF944">
        <v>1003</v>
      </c>
      <c r="AG944" t="s">
        <v>29</v>
      </c>
      <c r="AH944">
        <v>305.62</v>
      </c>
      <c r="AI944" s="7">
        <v>46074</v>
      </c>
    </row>
    <row r="945" spans="1:35">
      <c r="A945">
        <v>1055</v>
      </c>
      <c r="B945" t="str">
        <f t="shared" si="224"/>
        <v>USD</v>
      </c>
      <c r="C945">
        <f t="shared" si="225"/>
        <v>0</v>
      </c>
      <c r="D945">
        <f t="shared" si="216"/>
        <v>0</v>
      </c>
      <c r="E945">
        <f t="shared" si="217"/>
        <v>0</v>
      </c>
      <c r="F945">
        <v>447.48</v>
      </c>
      <c r="G945">
        <f t="shared" si="218"/>
        <v>384.83280000000002</v>
      </c>
      <c r="H945">
        <f t="shared" si="219"/>
        <v>447.48</v>
      </c>
      <c r="I945">
        <f t="shared" si="226"/>
        <v>0</v>
      </c>
      <c r="J945">
        <f t="shared" si="220"/>
        <v>0</v>
      </c>
      <c r="K945" s="7">
        <f t="shared" si="227"/>
        <v>46058</v>
      </c>
      <c r="L945" s="7">
        <f t="shared" si="221"/>
        <v>46028</v>
      </c>
      <c r="M945">
        <f t="shared" si="222"/>
        <v>1</v>
      </c>
      <c r="N945">
        <f t="shared" si="223"/>
        <v>2026</v>
      </c>
      <c r="Q945" s="22"/>
      <c r="R945" s="22"/>
      <c r="S945" s="22">
        <f t="shared" si="228"/>
        <v>0</v>
      </c>
      <c r="T945" s="22" t="e">
        <f t="shared" si="229"/>
        <v>#N/A</v>
      </c>
      <c r="U945" s="28">
        <v>400</v>
      </c>
      <c r="W945" s="9">
        <v>585</v>
      </c>
      <c r="X945" s="9" t="s">
        <v>28</v>
      </c>
      <c r="AF945">
        <v>1004</v>
      </c>
      <c r="AG945" t="s">
        <v>28</v>
      </c>
      <c r="AH945">
        <v>16050</v>
      </c>
      <c r="AI945" s="7">
        <v>46058</v>
      </c>
    </row>
    <row r="946" spans="1:35">
      <c r="A946">
        <v>1058</v>
      </c>
      <c r="B946" t="str">
        <f t="shared" si="224"/>
        <v>USD</v>
      </c>
      <c r="C946">
        <f t="shared" si="225"/>
        <v>0</v>
      </c>
      <c r="D946">
        <f t="shared" si="216"/>
        <v>0</v>
      </c>
      <c r="E946">
        <f t="shared" si="217"/>
        <v>0</v>
      </c>
      <c r="F946">
        <v>7156.5</v>
      </c>
      <c r="G946">
        <f t="shared" si="218"/>
        <v>6154.59</v>
      </c>
      <c r="H946">
        <f t="shared" si="219"/>
        <v>7156.5</v>
      </c>
      <c r="I946">
        <f t="shared" si="226"/>
        <v>0</v>
      </c>
      <c r="J946">
        <f t="shared" si="220"/>
        <v>0</v>
      </c>
      <c r="K946" s="7">
        <f t="shared" si="227"/>
        <v>46108</v>
      </c>
      <c r="L946" s="7">
        <f t="shared" si="221"/>
        <v>46078</v>
      </c>
      <c r="M946">
        <f t="shared" si="222"/>
        <v>2</v>
      </c>
      <c r="N946">
        <f t="shared" si="223"/>
        <v>2026</v>
      </c>
      <c r="Q946" s="22"/>
      <c r="R946" s="22"/>
      <c r="S946" s="22">
        <f t="shared" si="228"/>
        <v>0</v>
      </c>
      <c r="T946" s="22" t="e">
        <f t="shared" si="229"/>
        <v>#N/A</v>
      </c>
      <c r="U946" s="28">
        <v>400</v>
      </c>
      <c r="W946" s="9">
        <v>585</v>
      </c>
      <c r="X946" s="9" t="s">
        <v>28</v>
      </c>
      <c r="AF946">
        <v>1005</v>
      </c>
      <c r="AG946" t="s">
        <v>27</v>
      </c>
      <c r="AH946">
        <v>20006.439999999999</v>
      </c>
      <c r="AI946" s="7">
        <v>46139</v>
      </c>
    </row>
    <row r="947" spans="1:35">
      <c r="A947">
        <v>1059</v>
      </c>
      <c r="B947" t="str">
        <f t="shared" si="224"/>
        <v>GBP</v>
      </c>
      <c r="C947">
        <f t="shared" si="225"/>
        <v>0</v>
      </c>
      <c r="D947">
        <f t="shared" si="216"/>
        <v>0</v>
      </c>
      <c r="E947">
        <f t="shared" si="217"/>
        <v>0</v>
      </c>
      <c r="F947">
        <v>873</v>
      </c>
      <c r="G947">
        <f t="shared" si="218"/>
        <v>1003.9499999999999</v>
      </c>
      <c r="H947">
        <f t="shared" si="219"/>
        <v>1169.8200000000002</v>
      </c>
      <c r="I947">
        <f t="shared" si="226"/>
        <v>0</v>
      </c>
      <c r="J947">
        <f t="shared" si="220"/>
        <v>0</v>
      </c>
      <c r="K947" s="7">
        <f t="shared" si="227"/>
        <v>46095</v>
      </c>
      <c r="L947" s="7">
        <f t="shared" si="221"/>
        <v>46065</v>
      </c>
      <c r="M947">
        <f t="shared" si="222"/>
        <v>2</v>
      </c>
      <c r="N947">
        <f t="shared" si="223"/>
        <v>2026</v>
      </c>
      <c r="Q947" s="22"/>
      <c r="R947" s="22"/>
      <c r="S947" s="22">
        <f t="shared" si="228"/>
        <v>0</v>
      </c>
      <c r="T947" s="22" t="e">
        <f t="shared" si="229"/>
        <v>#N/A</v>
      </c>
      <c r="U947" s="28">
        <v>400</v>
      </c>
      <c r="W947" s="9">
        <v>587</v>
      </c>
      <c r="X947" s="9" t="s">
        <v>29</v>
      </c>
      <c r="AF947">
        <v>1006</v>
      </c>
      <c r="AG947" t="s">
        <v>29</v>
      </c>
      <c r="AH947">
        <v>12022.15</v>
      </c>
      <c r="AI947" s="7">
        <v>46019</v>
      </c>
    </row>
    <row r="948" spans="1:35">
      <c r="A948">
        <v>1060</v>
      </c>
      <c r="B948" t="str">
        <f t="shared" si="224"/>
        <v>EUR</v>
      </c>
      <c r="C948">
        <f t="shared" si="225"/>
        <v>0</v>
      </c>
      <c r="D948">
        <f t="shared" si="216"/>
        <v>0</v>
      </c>
      <c r="E948">
        <f t="shared" si="217"/>
        <v>0</v>
      </c>
      <c r="F948">
        <v>3800</v>
      </c>
      <c r="G948">
        <f t="shared" si="218"/>
        <v>3800</v>
      </c>
      <c r="H948">
        <f t="shared" si="219"/>
        <v>4408</v>
      </c>
      <c r="I948">
        <f t="shared" si="226"/>
        <v>0</v>
      </c>
      <c r="J948">
        <f t="shared" si="220"/>
        <v>0</v>
      </c>
      <c r="K948" s="7">
        <f t="shared" si="227"/>
        <v>46101</v>
      </c>
      <c r="L948" s="7">
        <f t="shared" si="221"/>
        <v>46071</v>
      </c>
      <c r="M948">
        <f t="shared" si="222"/>
        <v>2</v>
      </c>
      <c r="N948">
        <f t="shared" si="223"/>
        <v>2026</v>
      </c>
      <c r="Q948" s="22"/>
      <c r="R948" s="22"/>
      <c r="S948" s="22">
        <f t="shared" si="228"/>
        <v>0</v>
      </c>
      <c r="T948" s="22" t="e">
        <f t="shared" si="229"/>
        <v>#N/A</v>
      </c>
      <c r="U948" s="28">
        <v>400</v>
      </c>
      <c r="W948" s="9">
        <v>588</v>
      </c>
      <c r="X948" s="9" t="s">
        <v>27</v>
      </c>
      <c r="AF948">
        <v>1007</v>
      </c>
      <c r="AG948" t="s">
        <v>29</v>
      </c>
      <c r="AH948">
        <v>219</v>
      </c>
      <c r="AI948" s="7">
        <v>45992</v>
      </c>
    </row>
    <row r="949" spans="1:35">
      <c r="A949">
        <v>1061</v>
      </c>
      <c r="B949" t="str">
        <f t="shared" si="224"/>
        <v>EUR</v>
      </c>
      <c r="C949">
        <f t="shared" si="225"/>
        <v>1200</v>
      </c>
      <c r="D949">
        <f t="shared" si="216"/>
        <v>1200</v>
      </c>
      <c r="E949">
        <f t="shared" si="217"/>
        <v>1392</v>
      </c>
      <c r="F949">
        <v>11017</v>
      </c>
      <c r="G949">
        <f t="shared" si="218"/>
        <v>11017</v>
      </c>
      <c r="H949">
        <f t="shared" si="219"/>
        <v>12779.72</v>
      </c>
      <c r="I949">
        <f t="shared" si="226"/>
        <v>0</v>
      </c>
      <c r="J949">
        <f t="shared" si="220"/>
        <v>0</v>
      </c>
      <c r="K949" s="7">
        <f t="shared" si="227"/>
        <v>46084</v>
      </c>
      <c r="L949" s="7">
        <f t="shared" si="221"/>
        <v>46054</v>
      </c>
      <c r="M949">
        <f t="shared" si="222"/>
        <v>2</v>
      </c>
      <c r="N949">
        <f t="shared" si="223"/>
        <v>2026</v>
      </c>
      <c r="Q949" s="22"/>
      <c r="R949" s="22"/>
      <c r="S949" s="22">
        <f t="shared" si="228"/>
        <v>0</v>
      </c>
      <c r="T949" s="22" t="e">
        <f t="shared" si="229"/>
        <v>#N/A</v>
      </c>
      <c r="U949" s="28">
        <v>400</v>
      </c>
      <c r="W949" s="9">
        <v>588</v>
      </c>
      <c r="X949" s="9" t="s">
        <v>27</v>
      </c>
      <c r="AF949">
        <v>1008</v>
      </c>
      <c r="AG949" t="s">
        <v>29</v>
      </c>
      <c r="AH949">
        <v>219</v>
      </c>
      <c r="AI949" s="7">
        <v>45992</v>
      </c>
    </row>
    <row r="950" spans="1:35">
      <c r="A950">
        <v>1062</v>
      </c>
      <c r="B950" t="str">
        <f t="shared" si="224"/>
        <v>EUR</v>
      </c>
      <c r="C950">
        <f t="shared" si="225"/>
        <v>4800</v>
      </c>
      <c r="D950">
        <f t="shared" si="216"/>
        <v>4800</v>
      </c>
      <c r="E950">
        <f t="shared" si="217"/>
        <v>5568</v>
      </c>
      <c r="F950">
        <v>79000</v>
      </c>
      <c r="G950">
        <f t="shared" si="218"/>
        <v>79000</v>
      </c>
      <c r="H950">
        <f t="shared" si="219"/>
        <v>91640</v>
      </c>
      <c r="I950">
        <f t="shared" si="226"/>
        <v>0</v>
      </c>
      <c r="J950">
        <f t="shared" si="220"/>
        <v>0</v>
      </c>
      <c r="K950" s="7">
        <f t="shared" si="227"/>
        <v>46382</v>
      </c>
      <c r="L950" s="7">
        <f t="shared" si="221"/>
        <v>46352</v>
      </c>
      <c r="M950">
        <f t="shared" si="222"/>
        <v>11</v>
      </c>
      <c r="N950">
        <f t="shared" si="223"/>
        <v>2026</v>
      </c>
      <c r="Q950" s="22"/>
      <c r="R950" s="22"/>
      <c r="S950" s="22">
        <f t="shared" si="228"/>
        <v>0</v>
      </c>
      <c r="T950" s="22" t="e">
        <f t="shared" si="229"/>
        <v>#N/A</v>
      </c>
      <c r="U950" s="28">
        <v>400</v>
      </c>
      <c r="W950" s="9">
        <v>588</v>
      </c>
      <c r="X950" s="9" t="s">
        <v>27</v>
      </c>
      <c r="AF950">
        <v>1009</v>
      </c>
      <c r="AG950" t="s">
        <v>28</v>
      </c>
      <c r="AH950">
        <v>76952</v>
      </c>
      <c r="AI950" s="7">
        <v>46134</v>
      </c>
    </row>
    <row r="951" spans="1:35">
      <c r="A951">
        <v>1063</v>
      </c>
      <c r="B951" t="str">
        <f t="shared" si="224"/>
        <v>USD</v>
      </c>
      <c r="C951">
        <f t="shared" si="225"/>
        <v>0</v>
      </c>
      <c r="D951">
        <f t="shared" si="216"/>
        <v>0</v>
      </c>
      <c r="E951">
        <f t="shared" si="217"/>
        <v>0</v>
      </c>
      <c r="F951">
        <v>1845.54</v>
      </c>
      <c r="G951">
        <f t="shared" si="218"/>
        <v>1587.1643999999999</v>
      </c>
      <c r="H951">
        <f t="shared" si="219"/>
        <v>1845.54</v>
      </c>
      <c r="I951">
        <f t="shared" si="226"/>
        <v>0</v>
      </c>
      <c r="J951">
        <f t="shared" si="220"/>
        <v>0</v>
      </c>
      <c r="K951" s="7">
        <f t="shared" si="227"/>
        <v>46063</v>
      </c>
      <c r="L951" s="7">
        <f t="shared" si="221"/>
        <v>46033</v>
      </c>
      <c r="M951">
        <f t="shared" si="222"/>
        <v>1</v>
      </c>
      <c r="N951">
        <f t="shared" si="223"/>
        <v>2026</v>
      </c>
      <c r="Q951" s="22"/>
      <c r="R951" s="22"/>
      <c r="S951" s="22">
        <f t="shared" si="228"/>
        <v>0</v>
      </c>
      <c r="T951" s="22" t="e">
        <f t="shared" si="229"/>
        <v>#N/A</v>
      </c>
      <c r="U951" s="28">
        <v>400</v>
      </c>
      <c r="W951" s="9">
        <v>589</v>
      </c>
      <c r="X951" s="9" t="s">
        <v>32</v>
      </c>
      <c r="AF951">
        <v>1010</v>
      </c>
      <c r="AG951" t="s">
        <v>29</v>
      </c>
      <c r="AH951">
        <v>9639</v>
      </c>
      <c r="AI951" s="7">
        <v>46025</v>
      </c>
    </row>
    <row r="952" spans="1:35">
      <c r="A952">
        <v>1064</v>
      </c>
      <c r="B952" t="str">
        <f t="shared" si="224"/>
        <v>EUR</v>
      </c>
      <c r="C952">
        <f t="shared" si="225"/>
        <v>31000</v>
      </c>
      <c r="D952">
        <f t="shared" si="216"/>
        <v>31000</v>
      </c>
      <c r="E952">
        <f t="shared" si="217"/>
        <v>35960</v>
      </c>
      <c r="F952">
        <v>13716.99</v>
      </c>
      <c r="G952">
        <f t="shared" si="218"/>
        <v>13716.99</v>
      </c>
      <c r="H952">
        <f t="shared" si="219"/>
        <v>15911.7084</v>
      </c>
      <c r="I952">
        <f t="shared" si="226"/>
        <v>17283.010000000002</v>
      </c>
      <c r="J952">
        <f t="shared" si="220"/>
        <v>20048.2916</v>
      </c>
      <c r="K952" s="7">
        <f t="shared" si="227"/>
        <v>46228</v>
      </c>
      <c r="L952" s="7">
        <f t="shared" si="221"/>
        <v>46198</v>
      </c>
      <c r="M952">
        <f t="shared" si="222"/>
        <v>6</v>
      </c>
      <c r="N952">
        <f t="shared" si="223"/>
        <v>2026</v>
      </c>
      <c r="Q952" s="22"/>
      <c r="R952" s="22"/>
      <c r="S952" s="22">
        <f t="shared" si="228"/>
        <v>0</v>
      </c>
      <c r="T952" s="22" t="e">
        <f t="shared" si="229"/>
        <v>#N/A</v>
      </c>
      <c r="U952" s="28">
        <v>400</v>
      </c>
      <c r="W952" s="9">
        <v>590</v>
      </c>
      <c r="X952" s="9" t="s">
        <v>29</v>
      </c>
      <c r="AF952">
        <v>1011</v>
      </c>
      <c r="AG952" t="s">
        <v>28</v>
      </c>
      <c r="AH952">
        <v>100903.8</v>
      </c>
      <c r="AI952" s="7">
        <v>46109</v>
      </c>
    </row>
    <row r="953" spans="1:35">
      <c r="A953">
        <v>1065</v>
      </c>
      <c r="B953" t="str">
        <f t="shared" si="224"/>
        <v>USD</v>
      </c>
      <c r="C953">
        <f t="shared" si="225"/>
        <v>0</v>
      </c>
      <c r="D953">
        <f t="shared" si="216"/>
        <v>0</v>
      </c>
      <c r="E953">
        <f t="shared" si="217"/>
        <v>0</v>
      </c>
      <c r="F953">
        <v>3014.1</v>
      </c>
      <c r="G953">
        <f t="shared" si="218"/>
        <v>2592.1259999999997</v>
      </c>
      <c r="H953">
        <f t="shared" si="219"/>
        <v>3014.1</v>
      </c>
      <c r="I953">
        <f t="shared" si="226"/>
        <v>0</v>
      </c>
      <c r="J953">
        <f t="shared" si="220"/>
        <v>0</v>
      </c>
      <c r="K953" s="7">
        <f t="shared" si="227"/>
        <v>45861</v>
      </c>
      <c r="L953" s="7">
        <f t="shared" si="221"/>
        <v>45831</v>
      </c>
      <c r="M953">
        <f t="shared" si="222"/>
        <v>6</v>
      </c>
      <c r="N953">
        <f t="shared" si="223"/>
        <v>2025</v>
      </c>
      <c r="Q953" s="22"/>
      <c r="R953" s="22"/>
      <c r="S953" s="22">
        <f t="shared" si="228"/>
        <v>0</v>
      </c>
      <c r="T953" s="22" t="e">
        <f t="shared" si="229"/>
        <v>#N/A</v>
      </c>
      <c r="U953" s="28">
        <v>400</v>
      </c>
      <c r="W953" s="9">
        <v>591</v>
      </c>
      <c r="X953" s="9" t="s">
        <v>29</v>
      </c>
      <c r="AF953">
        <v>1012</v>
      </c>
      <c r="AG953" t="s">
        <v>28</v>
      </c>
      <c r="AH953">
        <v>219990</v>
      </c>
      <c r="AI953" s="7">
        <v>46053</v>
      </c>
    </row>
    <row r="954" spans="1:35">
      <c r="A954">
        <v>1067</v>
      </c>
      <c r="B954" t="str">
        <f t="shared" si="224"/>
        <v>USD</v>
      </c>
      <c r="C954">
        <f t="shared" si="225"/>
        <v>0</v>
      </c>
      <c r="D954">
        <f t="shared" si="216"/>
        <v>0</v>
      </c>
      <c r="E954">
        <f t="shared" si="217"/>
        <v>0</v>
      </c>
      <c r="F954">
        <v>8760</v>
      </c>
      <c r="G954">
        <f t="shared" si="218"/>
        <v>7533.5999999999995</v>
      </c>
      <c r="H954">
        <f t="shared" si="219"/>
        <v>8760</v>
      </c>
      <c r="I954">
        <f t="shared" si="226"/>
        <v>0</v>
      </c>
      <c r="J954">
        <f t="shared" si="220"/>
        <v>0</v>
      </c>
      <c r="K954" s="7">
        <f t="shared" si="227"/>
        <v>46059</v>
      </c>
      <c r="L954" s="7">
        <f t="shared" si="221"/>
        <v>46029</v>
      </c>
      <c r="M954">
        <f t="shared" si="222"/>
        <v>1</v>
      </c>
      <c r="N954">
        <f t="shared" si="223"/>
        <v>2026</v>
      </c>
      <c r="Q954" s="22"/>
      <c r="R954" s="22"/>
      <c r="S954" s="22">
        <f t="shared" si="228"/>
        <v>0</v>
      </c>
      <c r="T954" s="22" t="e">
        <f t="shared" si="229"/>
        <v>#N/A</v>
      </c>
      <c r="U954" s="28">
        <v>400</v>
      </c>
      <c r="W954" s="9">
        <v>592</v>
      </c>
      <c r="X954" s="9" t="s">
        <v>29</v>
      </c>
      <c r="AF954">
        <v>1014</v>
      </c>
      <c r="AG954" t="s">
        <v>29</v>
      </c>
      <c r="AH954">
        <v>3300.7</v>
      </c>
      <c r="AI954" s="7">
        <v>45699</v>
      </c>
    </row>
    <row r="955" spans="1:35">
      <c r="A955">
        <v>1068</v>
      </c>
      <c r="B955" t="str">
        <f t="shared" si="224"/>
        <v>EUR</v>
      </c>
      <c r="C955">
        <f t="shared" si="225"/>
        <v>7323.9900000000007</v>
      </c>
      <c r="D955">
        <f t="shared" si="216"/>
        <v>7323.9900000000007</v>
      </c>
      <c r="E955">
        <f t="shared" si="217"/>
        <v>8495.8284000000003</v>
      </c>
      <c r="F955">
        <v>916.67</v>
      </c>
      <c r="G955">
        <f t="shared" si="218"/>
        <v>916.67</v>
      </c>
      <c r="H955">
        <f t="shared" si="219"/>
        <v>1063.3371999999999</v>
      </c>
      <c r="I955">
        <f t="shared" si="226"/>
        <v>7264.64</v>
      </c>
      <c r="J955">
        <f t="shared" si="220"/>
        <v>8426.982399999999</v>
      </c>
      <c r="K955" s="7">
        <f t="shared" si="227"/>
        <v>46202</v>
      </c>
      <c r="L955" s="7">
        <f t="shared" si="221"/>
        <v>46172</v>
      </c>
      <c r="M955">
        <f t="shared" si="222"/>
        <v>5</v>
      </c>
      <c r="N955">
        <f t="shared" si="223"/>
        <v>2026</v>
      </c>
      <c r="Q955" s="22"/>
      <c r="R955" s="22"/>
      <c r="S955" s="22">
        <f t="shared" si="228"/>
        <v>0</v>
      </c>
      <c r="T955" s="22" t="e">
        <f t="shared" si="229"/>
        <v>#N/A</v>
      </c>
      <c r="U955" s="28">
        <v>400</v>
      </c>
      <c r="W955" s="9">
        <v>593</v>
      </c>
      <c r="X955" s="9" t="s">
        <v>29</v>
      </c>
      <c r="AF955">
        <v>1015</v>
      </c>
      <c r="AG955" t="s">
        <v>29</v>
      </c>
      <c r="AH955">
        <v>55900</v>
      </c>
      <c r="AI955" s="7">
        <v>46117</v>
      </c>
    </row>
    <row r="956" spans="1:35">
      <c r="A956">
        <v>1069</v>
      </c>
      <c r="B956" t="str">
        <f t="shared" si="224"/>
        <v>USD</v>
      </c>
      <c r="C956">
        <f t="shared" si="225"/>
        <v>21425.200000000001</v>
      </c>
      <c r="D956">
        <f t="shared" si="216"/>
        <v>18425.671999999999</v>
      </c>
      <c r="E956">
        <f t="shared" si="217"/>
        <v>21425.200000000001</v>
      </c>
      <c r="F956">
        <v>11891.29</v>
      </c>
      <c r="G956">
        <f t="shared" si="218"/>
        <v>10226.509400000001</v>
      </c>
      <c r="H956">
        <f t="shared" si="219"/>
        <v>11891.29</v>
      </c>
      <c r="I956">
        <f t="shared" si="226"/>
        <v>11430.91</v>
      </c>
      <c r="J956">
        <f t="shared" si="220"/>
        <v>11430.91</v>
      </c>
      <c r="K956" s="7">
        <f t="shared" si="227"/>
        <v>46139</v>
      </c>
      <c r="L956" s="7">
        <f t="shared" si="221"/>
        <v>46109</v>
      </c>
      <c r="M956">
        <f t="shared" si="222"/>
        <v>3</v>
      </c>
      <c r="N956">
        <f t="shared" si="223"/>
        <v>2026</v>
      </c>
      <c r="Q956" s="22"/>
      <c r="R956" s="22"/>
      <c r="S956" s="22">
        <f t="shared" si="228"/>
        <v>0</v>
      </c>
      <c r="T956" s="22" t="e">
        <f t="shared" si="229"/>
        <v>#N/A</v>
      </c>
      <c r="U956" s="28">
        <v>400</v>
      </c>
      <c r="W956" s="9">
        <v>594</v>
      </c>
      <c r="X956" s="9" t="s">
        <v>32</v>
      </c>
      <c r="AF956">
        <v>1016</v>
      </c>
      <c r="AG956" t="s">
        <v>29</v>
      </c>
      <c r="AH956">
        <v>2644</v>
      </c>
      <c r="AI956" s="7">
        <v>45964</v>
      </c>
    </row>
    <row r="957" spans="1:35">
      <c r="A957">
        <v>1070</v>
      </c>
      <c r="B957" t="str">
        <f t="shared" si="224"/>
        <v>USD</v>
      </c>
      <c r="C957">
        <f t="shared" si="225"/>
        <v>11511</v>
      </c>
      <c r="D957">
        <f t="shared" si="216"/>
        <v>9899.4599999999991</v>
      </c>
      <c r="E957">
        <f t="shared" si="217"/>
        <v>11511</v>
      </c>
      <c r="F957">
        <v>11511</v>
      </c>
      <c r="G957">
        <f t="shared" si="218"/>
        <v>9899.4599999999991</v>
      </c>
      <c r="H957">
        <f t="shared" si="219"/>
        <v>11511</v>
      </c>
      <c r="I957">
        <f t="shared" si="226"/>
        <v>0</v>
      </c>
      <c r="J957">
        <f t="shared" si="220"/>
        <v>0</v>
      </c>
      <c r="K957" s="7">
        <f t="shared" si="227"/>
        <v>46096</v>
      </c>
      <c r="L957" s="7">
        <f t="shared" si="221"/>
        <v>46066</v>
      </c>
      <c r="M957">
        <f t="shared" si="222"/>
        <v>2</v>
      </c>
      <c r="N957">
        <f t="shared" si="223"/>
        <v>2026</v>
      </c>
      <c r="Q957" s="22"/>
      <c r="R957" s="22"/>
      <c r="S957" s="22">
        <f t="shared" si="228"/>
        <v>0</v>
      </c>
      <c r="T957" s="22" t="e">
        <f t="shared" si="229"/>
        <v>#N/A</v>
      </c>
      <c r="U957" s="28">
        <v>400</v>
      </c>
      <c r="W957" s="9">
        <v>594</v>
      </c>
      <c r="X957" s="9" t="s">
        <v>31</v>
      </c>
      <c r="AF957">
        <v>1017</v>
      </c>
      <c r="AG957" t="s">
        <v>27</v>
      </c>
      <c r="AH957">
        <v>1386.99</v>
      </c>
      <c r="AI957" s="7">
        <v>46061</v>
      </c>
    </row>
    <row r="958" spans="1:35">
      <c r="A958">
        <v>1071</v>
      </c>
      <c r="B958" t="str">
        <f t="shared" si="224"/>
        <v>USD</v>
      </c>
      <c r="C958">
        <f t="shared" si="225"/>
        <v>0</v>
      </c>
      <c r="D958">
        <f t="shared" si="216"/>
        <v>0</v>
      </c>
      <c r="E958">
        <f t="shared" si="217"/>
        <v>0</v>
      </c>
      <c r="F958">
        <v>788.74</v>
      </c>
      <c r="G958">
        <f t="shared" si="218"/>
        <v>678.31640000000004</v>
      </c>
      <c r="H958">
        <f t="shared" si="219"/>
        <v>788.74</v>
      </c>
      <c r="I958">
        <f t="shared" si="226"/>
        <v>0</v>
      </c>
      <c r="J958">
        <f t="shared" si="220"/>
        <v>0</v>
      </c>
      <c r="K958" s="7">
        <f t="shared" si="227"/>
        <v>46058</v>
      </c>
      <c r="L958" s="7">
        <f t="shared" si="221"/>
        <v>46028</v>
      </c>
      <c r="M958">
        <f t="shared" si="222"/>
        <v>1</v>
      </c>
      <c r="N958">
        <f t="shared" si="223"/>
        <v>2026</v>
      </c>
      <c r="Q958" s="22"/>
      <c r="R958" s="22"/>
      <c r="S958" s="22">
        <f t="shared" si="228"/>
        <v>0</v>
      </c>
      <c r="T958" s="22" t="e">
        <f t="shared" si="229"/>
        <v>#N/A</v>
      </c>
      <c r="U958" s="28">
        <v>400</v>
      </c>
      <c r="W958" s="9">
        <v>597</v>
      </c>
      <c r="X958" s="9" t="s">
        <v>29</v>
      </c>
      <c r="AF958">
        <v>1018</v>
      </c>
      <c r="AG958" t="s">
        <v>29</v>
      </c>
      <c r="AH958">
        <v>5312</v>
      </c>
      <c r="AI958" s="7">
        <v>46051</v>
      </c>
    </row>
    <row r="959" spans="1:35">
      <c r="A959">
        <v>1072</v>
      </c>
      <c r="B959" t="str">
        <f t="shared" si="224"/>
        <v>USD</v>
      </c>
      <c r="C959">
        <f t="shared" si="225"/>
        <v>0</v>
      </c>
      <c r="D959">
        <f t="shared" si="216"/>
        <v>0</v>
      </c>
      <c r="E959">
        <f t="shared" si="217"/>
        <v>0</v>
      </c>
      <c r="F959">
        <v>708.8</v>
      </c>
      <c r="G959">
        <f t="shared" si="218"/>
        <v>609.56799999999998</v>
      </c>
      <c r="H959">
        <f t="shared" si="219"/>
        <v>708.8</v>
      </c>
      <c r="I959">
        <f t="shared" si="226"/>
        <v>0</v>
      </c>
      <c r="J959">
        <f t="shared" si="220"/>
        <v>0</v>
      </c>
      <c r="K959" s="7">
        <f t="shared" si="227"/>
        <v>46016</v>
      </c>
      <c r="L959" s="7">
        <f t="shared" si="221"/>
        <v>45986</v>
      </c>
      <c r="M959">
        <f t="shared" si="222"/>
        <v>11</v>
      </c>
      <c r="N959">
        <f t="shared" si="223"/>
        <v>2025</v>
      </c>
      <c r="Q959" s="22"/>
      <c r="R959" s="22"/>
      <c r="S959" s="22">
        <f t="shared" si="228"/>
        <v>0</v>
      </c>
      <c r="T959" s="22" t="e">
        <f t="shared" si="229"/>
        <v>#N/A</v>
      </c>
      <c r="U959" s="28">
        <v>400</v>
      </c>
      <c r="W959" s="9">
        <v>597</v>
      </c>
      <c r="X959" s="9" t="s">
        <v>29</v>
      </c>
      <c r="AF959">
        <v>1019</v>
      </c>
      <c r="AG959" t="s">
        <v>29</v>
      </c>
      <c r="AH959">
        <v>74493</v>
      </c>
      <c r="AI959" s="7">
        <v>46290</v>
      </c>
    </row>
    <row r="960" spans="1:35">
      <c r="A960">
        <v>1073</v>
      </c>
      <c r="B960" t="str">
        <f t="shared" si="224"/>
        <v>USD</v>
      </c>
      <c r="C960">
        <f t="shared" si="225"/>
        <v>635.87000000000035</v>
      </c>
      <c r="D960">
        <f t="shared" si="216"/>
        <v>546.84820000000025</v>
      </c>
      <c r="E960">
        <f t="shared" si="217"/>
        <v>635.87000000000035</v>
      </c>
      <c r="F960">
        <v>3693.22</v>
      </c>
      <c r="G960">
        <f t="shared" si="218"/>
        <v>3176.1691999999998</v>
      </c>
      <c r="H960">
        <f t="shared" si="219"/>
        <v>3693.22</v>
      </c>
      <c r="I960">
        <f t="shared" si="226"/>
        <v>495.87000000000035</v>
      </c>
      <c r="J960">
        <f t="shared" si="220"/>
        <v>495.87000000000035</v>
      </c>
      <c r="K960" s="7">
        <f t="shared" si="227"/>
        <v>46062</v>
      </c>
      <c r="L960" s="7">
        <f t="shared" si="221"/>
        <v>46032</v>
      </c>
      <c r="M960">
        <f t="shared" si="222"/>
        <v>1</v>
      </c>
      <c r="N960">
        <f t="shared" si="223"/>
        <v>2026</v>
      </c>
      <c r="Q960" s="22"/>
      <c r="R960" s="22"/>
      <c r="S960" s="22">
        <f t="shared" si="228"/>
        <v>0</v>
      </c>
      <c r="T960" s="22" t="e">
        <f t="shared" si="229"/>
        <v>#N/A</v>
      </c>
      <c r="U960" s="28">
        <v>400</v>
      </c>
      <c r="W960" s="9">
        <v>597</v>
      </c>
      <c r="X960" s="9" t="s">
        <v>29</v>
      </c>
      <c r="AF960">
        <v>1020</v>
      </c>
      <c r="AG960" t="s">
        <v>29</v>
      </c>
      <c r="AH960">
        <v>57230.37</v>
      </c>
      <c r="AI960" s="7">
        <v>45798</v>
      </c>
    </row>
    <row r="961" spans="1:35">
      <c r="A961">
        <v>1074</v>
      </c>
      <c r="B961" t="str">
        <f t="shared" si="224"/>
        <v>MXN</v>
      </c>
      <c r="C961">
        <f t="shared" si="225"/>
        <v>14395</v>
      </c>
      <c r="D961">
        <f t="shared" ref="D961:D1024" si="230">C961*_xlfn.XLOOKUP(B961,AM:AM,AN:AN)</f>
        <v>690.96</v>
      </c>
      <c r="E961">
        <f t="shared" ref="E961:E1024" si="231">C961*_xlfn.XLOOKUP(B961,AM:AM,AO:AO)</f>
        <v>806.12</v>
      </c>
      <c r="F961">
        <v>14395</v>
      </c>
      <c r="G961">
        <f t="shared" ref="G961:G1024" si="232">F961*_xlfn.XLOOKUP(B961,AM:AM,AN:AN)</f>
        <v>690.96</v>
      </c>
      <c r="H961">
        <f t="shared" ref="H961:H1024" si="233">F961*_xlfn.XLOOKUP(B961,AM:AM,AO:AO)</f>
        <v>806.12</v>
      </c>
      <c r="I961">
        <f t="shared" si="226"/>
        <v>0</v>
      </c>
      <c r="J961">
        <f t="shared" ref="J961:J1024" si="234">I961*_xlfn.XLOOKUP(B961,AM:AM,AO:AO)</f>
        <v>0</v>
      </c>
      <c r="K961" s="7">
        <f t="shared" si="227"/>
        <v>46061</v>
      </c>
      <c r="L961" s="7">
        <f t="shared" ref="L961:L1024" si="235">K961-30</f>
        <v>46031</v>
      </c>
      <c r="M961">
        <f t="shared" ref="M961:M1024" si="236">MONTH(L961)</f>
        <v>1</v>
      </c>
      <c r="N961">
        <f t="shared" ref="N961:N1024" si="237">YEAR(L961)</f>
        <v>2026</v>
      </c>
      <c r="Q961" s="22"/>
      <c r="R961" s="22"/>
      <c r="S961" s="22">
        <f t="shared" si="228"/>
        <v>0</v>
      </c>
      <c r="T961" s="22" t="e">
        <f t="shared" si="229"/>
        <v>#N/A</v>
      </c>
      <c r="U961" s="28">
        <v>400</v>
      </c>
      <c r="W961" s="9">
        <v>597</v>
      </c>
      <c r="X961" s="9" t="s">
        <v>29</v>
      </c>
      <c r="AF961">
        <v>1022</v>
      </c>
      <c r="AG961" t="s">
        <v>29</v>
      </c>
      <c r="AH961">
        <v>10000</v>
      </c>
      <c r="AI961" s="7">
        <v>46148</v>
      </c>
    </row>
    <row r="962" spans="1:35">
      <c r="A962">
        <v>1075</v>
      </c>
      <c r="B962" t="str">
        <f t="shared" si="224"/>
        <v>EUR</v>
      </c>
      <c r="C962">
        <f t="shared" si="225"/>
        <v>4114</v>
      </c>
      <c r="D962">
        <f t="shared" si="230"/>
        <v>4114</v>
      </c>
      <c r="E962">
        <f t="shared" si="231"/>
        <v>4772.24</v>
      </c>
      <c r="F962">
        <v>4000.91</v>
      </c>
      <c r="G962">
        <f t="shared" si="232"/>
        <v>4000.91</v>
      </c>
      <c r="H962">
        <f t="shared" si="233"/>
        <v>4641.0555999999997</v>
      </c>
      <c r="I962">
        <f t="shared" si="226"/>
        <v>113.09000000000015</v>
      </c>
      <c r="J962">
        <f t="shared" si="234"/>
        <v>131.18440000000015</v>
      </c>
      <c r="K962" s="7">
        <f t="shared" si="227"/>
        <v>46077</v>
      </c>
      <c r="L962" s="7">
        <f t="shared" si="235"/>
        <v>46047</v>
      </c>
      <c r="M962">
        <f t="shared" si="236"/>
        <v>1</v>
      </c>
      <c r="N962">
        <f t="shared" si="237"/>
        <v>2026</v>
      </c>
      <c r="Q962" s="22"/>
      <c r="R962" s="22"/>
      <c r="S962" s="22">
        <f t="shared" si="228"/>
        <v>0</v>
      </c>
      <c r="T962" s="22" t="e">
        <f t="shared" si="229"/>
        <v>#N/A</v>
      </c>
      <c r="U962" s="28">
        <v>400</v>
      </c>
      <c r="W962" s="9">
        <v>598</v>
      </c>
      <c r="X962" s="9" t="s">
        <v>27</v>
      </c>
      <c r="AF962">
        <v>1023</v>
      </c>
      <c r="AG962" t="s">
        <v>29</v>
      </c>
      <c r="AH962">
        <v>6168</v>
      </c>
      <c r="AI962" s="7">
        <v>46045</v>
      </c>
    </row>
    <row r="963" spans="1:35">
      <c r="A963">
        <v>1076</v>
      </c>
      <c r="B963" t="str">
        <f t="shared" ref="B963:B992" si="238">_xlfn.XLOOKUP(A963,AF:AF,AG:AG)</f>
        <v>USD</v>
      </c>
      <c r="C963">
        <f t="shared" ref="C963:C992" si="239">_xlfn.XLOOKUP(A963,AF:AF,AH:AH)-_xlfn.XLOOKUP(A963,Q:Q,R:R,"0")</f>
        <v>22574.13</v>
      </c>
      <c r="D963">
        <f t="shared" si="230"/>
        <v>19413.751800000002</v>
      </c>
      <c r="E963">
        <f t="shared" si="231"/>
        <v>22574.13</v>
      </c>
      <c r="F963">
        <v>24332</v>
      </c>
      <c r="G963">
        <f t="shared" si="232"/>
        <v>20925.52</v>
      </c>
      <c r="H963">
        <f t="shared" si="233"/>
        <v>24332</v>
      </c>
      <c r="I963">
        <f t="shared" ref="I963:I989" si="240">C963-F963+_xlfn.XLOOKUP(A963,Q:Q,R:R,"0")-_xlfn.XLOOKUP(A963,Z:Z,AA:AA,"0")</f>
        <v>-1757.869999999999</v>
      </c>
      <c r="J963">
        <f t="shared" si="234"/>
        <v>-1757.869999999999</v>
      </c>
      <c r="K963" s="7">
        <f t="shared" ref="K963:K992" si="241">_xlfn.XLOOKUP(A963,AF:AF,AI:AI)</f>
        <v>46101</v>
      </c>
      <c r="L963" s="7">
        <f t="shared" si="235"/>
        <v>46071</v>
      </c>
      <c r="M963">
        <f t="shared" si="236"/>
        <v>2</v>
      </c>
      <c r="N963">
        <f t="shared" si="237"/>
        <v>2026</v>
      </c>
      <c r="Q963" s="22"/>
      <c r="R963" s="22"/>
      <c r="S963" s="22">
        <f t="shared" ref="S963:S1026" si="242">_xlfn.XLOOKUP(Q963,W:W,X:X)</f>
        <v>0</v>
      </c>
      <c r="T963" s="22" t="e">
        <f t="shared" si="229"/>
        <v>#N/A</v>
      </c>
      <c r="U963" s="28">
        <v>400</v>
      </c>
      <c r="W963" s="9">
        <v>600</v>
      </c>
      <c r="X963" s="9" t="s">
        <v>29</v>
      </c>
      <c r="AF963">
        <v>1024</v>
      </c>
      <c r="AG963" t="s">
        <v>29</v>
      </c>
      <c r="AH963">
        <v>12996</v>
      </c>
      <c r="AI963" s="7">
        <v>46080</v>
      </c>
    </row>
    <row r="964" spans="1:35">
      <c r="A964">
        <v>1077</v>
      </c>
      <c r="B964" t="str">
        <f t="shared" si="238"/>
        <v>EUR</v>
      </c>
      <c r="C964">
        <f t="shared" si="239"/>
        <v>10118.69</v>
      </c>
      <c r="D964">
        <f t="shared" si="230"/>
        <v>10118.69</v>
      </c>
      <c r="E964">
        <f t="shared" si="231"/>
        <v>11737.680399999999</v>
      </c>
      <c r="F964">
        <v>10118.69</v>
      </c>
      <c r="G964">
        <f t="shared" si="232"/>
        <v>10118.69</v>
      </c>
      <c r="H964">
        <f t="shared" si="233"/>
        <v>11737.680399999999</v>
      </c>
      <c r="I964">
        <f t="shared" si="240"/>
        <v>0</v>
      </c>
      <c r="J964">
        <f t="shared" si="234"/>
        <v>0</v>
      </c>
      <c r="K964" s="7">
        <f t="shared" si="241"/>
        <v>46108</v>
      </c>
      <c r="L964" s="7">
        <f t="shared" si="235"/>
        <v>46078</v>
      </c>
      <c r="M964">
        <f t="shared" si="236"/>
        <v>2</v>
      </c>
      <c r="N964">
        <f t="shared" si="237"/>
        <v>2026</v>
      </c>
      <c r="Q964" s="22"/>
      <c r="R964" s="22"/>
      <c r="S964" s="22">
        <f t="shared" si="242"/>
        <v>0</v>
      </c>
      <c r="T964" s="22" t="e">
        <f t="shared" si="229"/>
        <v>#N/A</v>
      </c>
      <c r="U964" s="28">
        <v>400</v>
      </c>
      <c r="W964" s="9">
        <v>600</v>
      </c>
      <c r="X964" s="9" t="s">
        <v>29</v>
      </c>
      <c r="AF964">
        <v>1025</v>
      </c>
      <c r="AG964" t="s">
        <v>29</v>
      </c>
      <c r="AH964">
        <v>12743.96</v>
      </c>
      <c r="AI964" s="7">
        <v>46143</v>
      </c>
    </row>
    <row r="965" spans="1:35">
      <c r="A965">
        <v>1078</v>
      </c>
      <c r="B965" t="str">
        <f t="shared" si="238"/>
        <v>EUR</v>
      </c>
      <c r="C965">
        <f t="shared" si="239"/>
        <v>5366.86</v>
      </c>
      <c r="D965">
        <f t="shared" si="230"/>
        <v>5366.86</v>
      </c>
      <c r="E965">
        <f t="shared" si="231"/>
        <v>6225.5575999999992</v>
      </c>
      <c r="F965">
        <v>585.95000000000005</v>
      </c>
      <c r="G965">
        <f t="shared" si="232"/>
        <v>585.95000000000005</v>
      </c>
      <c r="H965">
        <f t="shared" si="233"/>
        <v>679.702</v>
      </c>
      <c r="I965">
        <f t="shared" si="240"/>
        <v>5260.03</v>
      </c>
      <c r="J965">
        <f t="shared" si="234"/>
        <v>6101.6347999999989</v>
      </c>
      <c r="K965" s="7">
        <f t="shared" si="241"/>
        <v>46202</v>
      </c>
      <c r="L965" s="7">
        <f t="shared" si="235"/>
        <v>46172</v>
      </c>
      <c r="M965">
        <f t="shared" si="236"/>
        <v>5</v>
      </c>
      <c r="N965">
        <f t="shared" si="237"/>
        <v>2026</v>
      </c>
      <c r="Q965" s="22"/>
      <c r="R965" s="22"/>
      <c r="S965" s="22">
        <f t="shared" si="242"/>
        <v>0</v>
      </c>
      <c r="T965" s="22" t="e">
        <f t="shared" si="229"/>
        <v>#N/A</v>
      </c>
      <c r="U965" s="28">
        <v>400</v>
      </c>
      <c r="W965" s="9">
        <v>601</v>
      </c>
      <c r="X965" s="9" t="s">
        <v>30</v>
      </c>
      <c r="AF965">
        <v>1026</v>
      </c>
      <c r="AG965" t="s">
        <v>29</v>
      </c>
      <c r="AH965">
        <v>4783.5600000000004</v>
      </c>
      <c r="AI965" s="7">
        <v>46167</v>
      </c>
    </row>
    <row r="966" spans="1:35">
      <c r="A966">
        <v>1079</v>
      </c>
      <c r="B966" t="str">
        <f t="shared" si="238"/>
        <v>MXN</v>
      </c>
      <c r="C966">
        <f t="shared" si="239"/>
        <v>15426.5</v>
      </c>
      <c r="D966">
        <f t="shared" si="230"/>
        <v>740.47199999999998</v>
      </c>
      <c r="E966">
        <f t="shared" si="231"/>
        <v>863.88400000000001</v>
      </c>
      <c r="F966">
        <v>15487.5</v>
      </c>
      <c r="G966">
        <f t="shared" si="232"/>
        <v>743.4</v>
      </c>
      <c r="H966">
        <f t="shared" si="233"/>
        <v>867.30000000000007</v>
      </c>
      <c r="I966">
        <f t="shared" si="240"/>
        <v>-61</v>
      </c>
      <c r="J966">
        <f t="shared" si="234"/>
        <v>-3.4159999999999999</v>
      </c>
      <c r="K966" s="7">
        <f t="shared" si="241"/>
        <v>46058</v>
      </c>
      <c r="L966" s="7">
        <f t="shared" si="235"/>
        <v>46028</v>
      </c>
      <c r="M966">
        <f t="shared" si="236"/>
        <v>1</v>
      </c>
      <c r="N966">
        <f t="shared" si="237"/>
        <v>2026</v>
      </c>
      <c r="Q966" s="22"/>
      <c r="R966" s="22"/>
      <c r="S966" s="22">
        <f t="shared" si="242"/>
        <v>0</v>
      </c>
      <c r="T966" s="22" t="e">
        <f t="shared" si="229"/>
        <v>#N/A</v>
      </c>
      <c r="U966" s="28">
        <v>400</v>
      </c>
      <c r="W966" s="9">
        <v>602</v>
      </c>
      <c r="X966" s="9" t="s">
        <v>27</v>
      </c>
      <c r="AF966">
        <v>1027</v>
      </c>
      <c r="AG966" t="s">
        <v>27</v>
      </c>
      <c r="AH966">
        <v>2219.84</v>
      </c>
      <c r="AI966" s="7">
        <v>46250</v>
      </c>
    </row>
    <row r="967" spans="1:35">
      <c r="A967">
        <v>1080</v>
      </c>
      <c r="B967" t="str">
        <f t="shared" si="238"/>
        <v>USD</v>
      </c>
      <c r="C967">
        <f t="shared" si="239"/>
        <v>1291.0500000000002</v>
      </c>
      <c r="D967">
        <f t="shared" si="230"/>
        <v>1110.3030000000001</v>
      </c>
      <c r="E967">
        <f t="shared" si="231"/>
        <v>1291.0500000000002</v>
      </c>
      <c r="F967">
        <v>6057.79</v>
      </c>
      <c r="G967">
        <f t="shared" si="232"/>
        <v>5209.6993999999995</v>
      </c>
      <c r="H967">
        <f t="shared" si="233"/>
        <v>6057.79</v>
      </c>
      <c r="I967">
        <f t="shared" si="240"/>
        <v>1151.0500000000002</v>
      </c>
      <c r="J967">
        <f t="shared" si="234"/>
        <v>1151.0500000000002</v>
      </c>
      <c r="K967" s="7">
        <f t="shared" si="241"/>
        <v>46169</v>
      </c>
      <c r="L967" s="7">
        <f t="shared" si="235"/>
        <v>46139</v>
      </c>
      <c r="M967">
        <f t="shared" si="236"/>
        <v>4</v>
      </c>
      <c r="N967">
        <f t="shared" si="237"/>
        <v>2026</v>
      </c>
      <c r="Q967" s="22"/>
      <c r="R967" s="22"/>
      <c r="S967" s="22">
        <f t="shared" si="242"/>
        <v>0</v>
      </c>
      <c r="T967" s="22" t="e">
        <f t="shared" si="229"/>
        <v>#N/A</v>
      </c>
      <c r="U967" s="28">
        <v>400</v>
      </c>
      <c r="W967" s="9">
        <v>603</v>
      </c>
      <c r="X967" s="9" t="s">
        <v>29</v>
      </c>
      <c r="AF967">
        <v>1029</v>
      </c>
      <c r="AG967" t="s">
        <v>27</v>
      </c>
      <c r="AH967">
        <v>7097</v>
      </c>
      <c r="AI967" s="7">
        <v>46102</v>
      </c>
    </row>
    <row r="968" spans="1:35">
      <c r="A968">
        <v>1081</v>
      </c>
      <c r="B968" t="str">
        <f t="shared" si="238"/>
        <v>USD</v>
      </c>
      <c r="C968">
        <f t="shared" si="239"/>
        <v>0</v>
      </c>
      <c r="D968">
        <f t="shared" si="230"/>
        <v>0</v>
      </c>
      <c r="E968">
        <f t="shared" si="231"/>
        <v>0</v>
      </c>
      <c r="F968">
        <v>4554.75</v>
      </c>
      <c r="G968">
        <f t="shared" si="232"/>
        <v>3917.085</v>
      </c>
      <c r="H968">
        <f t="shared" si="233"/>
        <v>4554.75</v>
      </c>
      <c r="I968">
        <f t="shared" si="240"/>
        <v>0</v>
      </c>
      <c r="J968">
        <f t="shared" si="234"/>
        <v>0</v>
      </c>
      <c r="K968" s="7">
        <f t="shared" si="241"/>
        <v>46240</v>
      </c>
      <c r="L968" s="7">
        <f t="shared" si="235"/>
        <v>46210</v>
      </c>
      <c r="M968">
        <f t="shared" si="236"/>
        <v>7</v>
      </c>
      <c r="N968">
        <f t="shared" si="237"/>
        <v>2026</v>
      </c>
      <c r="Q968" s="22"/>
      <c r="R968" s="22"/>
      <c r="S968" s="22">
        <f t="shared" si="242"/>
        <v>0</v>
      </c>
      <c r="T968" s="22" t="e">
        <f t="shared" si="229"/>
        <v>#N/A</v>
      </c>
      <c r="U968" s="28">
        <v>400</v>
      </c>
      <c r="W968" s="9">
        <v>604</v>
      </c>
      <c r="X968" s="9" t="s">
        <v>27</v>
      </c>
      <c r="AF968">
        <v>1030</v>
      </c>
      <c r="AG968" t="s">
        <v>27</v>
      </c>
      <c r="AH968">
        <v>1705.05</v>
      </c>
      <c r="AI968" s="7">
        <v>46054</v>
      </c>
    </row>
    <row r="969" spans="1:35">
      <c r="A969">
        <v>1082</v>
      </c>
      <c r="B969" t="str">
        <f t="shared" si="238"/>
        <v>USD</v>
      </c>
      <c r="C969">
        <f t="shared" si="239"/>
        <v>0</v>
      </c>
      <c r="D969">
        <f t="shared" si="230"/>
        <v>0</v>
      </c>
      <c r="E969">
        <f t="shared" si="231"/>
        <v>0</v>
      </c>
      <c r="F969">
        <v>21042.880000000001</v>
      </c>
      <c r="G969">
        <f t="shared" si="232"/>
        <v>18096.876800000002</v>
      </c>
      <c r="H969">
        <f t="shared" si="233"/>
        <v>21042.880000000001</v>
      </c>
      <c r="I969">
        <f t="shared" si="240"/>
        <v>0</v>
      </c>
      <c r="J969">
        <f t="shared" si="234"/>
        <v>0</v>
      </c>
      <c r="K969" s="7">
        <f t="shared" si="241"/>
        <v>46021</v>
      </c>
      <c r="L969" s="7">
        <f t="shared" si="235"/>
        <v>45991</v>
      </c>
      <c r="M969">
        <f t="shared" si="236"/>
        <v>11</v>
      </c>
      <c r="N969">
        <f t="shared" si="237"/>
        <v>2025</v>
      </c>
      <c r="Q969" s="22"/>
      <c r="R969" s="22"/>
      <c r="S969" s="22">
        <f t="shared" si="242"/>
        <v>0</v>
      </c>
      <c r="T969" s="22" t="e">
        <f t="shared" si="229"/>
        <v>#N/A</v>
      </c>
      <c r="U969" s="28">
        <v>400</v>
      </c>
      <c r="W969" s="9">
        <v>604</v>
      </c>
      <c r="X969" s="9" t="s">
        <v>27</v>
      </c>
      <c r="AF969">
        <v>1031</v>
      </c>
      <c r="AG969" t="s">
        <v>27</v>
      </c>
      <c r="AH969">
        <v>43069.88</v>
      </c>
      <c r="AI969" s="7">
        <v>46108</v>
      </c>
    </row>
    <row r="970" spans="1:35">
      <c r="A970">
        <v>1083</v>
      </c>
      <c r="B970" t="str">
        <f t="shared" si="238"/>
        <v>USD</v>
      </c>
      <c r="C970">
        <f t="shared" si="239"/>
        <v>0</v>
      </c>
      <c r="D970">
        <f t="shared" si="230"/>
        <v>0</v>
      </c>
      <c r="E970">
        <f t="shared" si="231"/>
        <v>0</v>
      </c>
      <c r="F970">
        <v>11627</v>
      </c>
      <c r="G970">
        <f t="shared" si="232"/>
        <v>9999.2199999999993</v>
      </c>
      <c r="H970">
        <f t="shared" si="233"/>
        <v>11627</v>
      </c>
      <c r="I970">
        <f t="shared" si="240"/>
        <v>0</v>
      </c>
      <c r="J970">
        <f t="shared" si="234"/>
        <v>0</v>
      </c>
      <c r="K970" s="7">
        <f t="shared" si="241"/>
        <v>46066</v>
      </c>
      <c r="L970" s="7">
        <f t="shared" si="235"/>
        <v>46036</v>
      </c>
      <c r="M970">
        <f t="shared" si="236"/>
        <v>1</v>
      </c>
      <c r="N970">
        <f t="shared" si="237"/>
        <v>2026</v>
      </c>
      <c r="Q970" s="22"/>
      <c r="R970" s="22"/>
      <c r="S970" s="22">
        <f t="shared" si="242"/>
        <v>0</v>
      </c>
      <c r="T970" s="22" t="e">
        <f t="shared" si="229"/>
        <v>#N/A</v>
      </c>
      <c r="U970" s="28">
        <v>400</v>
      </c>
      <c r="W970" s="9">
        <v>605</v>
      </c>
      <c r="X970" s="9" t="s">
        <v>29</v>
      </c>
      <c r="AF970">
        <v>1032</v>
      </c>
      <c r="AG970" t="s">
        <v>27</v>
      </c>
      <c r="AH970">
        <v>11340</v>
      </c>
      <c r="AI970" s="7">
        <v>46187</v>
      </c>
    </row>
    <row r="971" spans="1:35">
      <c r="A971">
        <v>1084</v>
      </c>
      <c r="B971" t="str">
        <f t="shared" si="238"/>
        <v>USD</v>
      </c>
      <c r="C971">
        <f t="shared" si="239"/>
        <v>0</v>
      </c>
      <c r="D971">
        <f t="shared" si="230"/>
        <v>0</v>
      </c>
      <c r="E971">
        <f t="shared" si="231"/>
        <v>0</v>
      </c>
      <c r="F971">
        <v>4655.67</v>
      </c>
      <c r="G971">
        <f t="shared" si="232"/>
        <v>4003.8762000000002</v>
      </c>
      <c r="H971">
        <f t="shared" si="233"/>
        <v>4655.67</v>
      </c>
      <c r="I971">
        <f t="shared" si="240"/>
        <v>0</v>
      </c>
      <c r="J971">
        <f t="shared" si="234"/>
        <v>0</v>
      </c>
      <c r="K971" s="7">
        <f t="shared" si="241"/>
        <v>46029</v>
      </c>
      <c r="L971" s="7">
        <f t="shared" si="235"/>
        <v>45999</v>
      </c>
      <c r="M971">
        <f t="shared" si="236"/>
        <v>12</v>
      </c>
      <c r="N971">
        <f t="shared" si="237"/>
        <v>2025</v>
      </c>
      <c r="Q971" s="22"/>
      <c r="R971" s="22"/>
      <c r="S971" s="22">
        <f t="shared" si="242"/>
        <v>0</v>
      </c>
      <c r="T971" s="22" t="e">
        <f t="shared" si="229"/>
        <v>#N/A</v>
      </c>
      <c r="U971" s="28">
        <v>400</v>
      </c>
      <c r="W971" s="9">
        <v>607</v>
      </c>
      <c r="X971" s="9" t="s">
        <v>27</v>
      </c>
      <c r="AF971">
        <v>1033</v>
      </c>
      <c r="AG971" t="s">
        <v>29</v>
      </c>
      <c r="AH971">
        <v>3000.27</v>
      </c>
      <c r="AI971" s="7">
        <v>46059</v>
      </c>
    </row>
    <row r="972" spans="1:35">
      <c r="A972">
        <v>1088</v>
      </c>
      <c r="B972" t="str">
        <f t="shared" si="238"/>
        <v>MXN</v>
      </c>
      <c r="C972">
        <f t="shared" si="239"/>
        <v>1534152.43</v>
      </c>
      <c r="D972">
        <f t="shared" si="230"/>
        <v>73639.316640000005</v>
      </c>
      <c r="E972">
        <f t="shared" si="231"/>
        <v>85912.536080000005</v>
      </c>
      <c r="F972">
        <v>1565760</v>
      </c>
      <c r="G972">
        <f t="shared" si="232"/>
        <v>75156.479999999996</v>
      </c>
      <c r="H972">
        <f t="shared" si="233"/>
        <v>87682.559999999998</v>
      </c>
      <c r="I972">
        <f t="shared" si="240"/>
        <v>-31607.570000000065</v>
      </c>
      <c r="J972">
        <f t="shared" si="234"/>
        <v>-1770.0239200000037</v>
      </c>
      <c r="K972" s="7">
        <f t="shared" si="241"/>
        <v>46159</v>
      </c>
      <c r="L972" s="7">
        <f t="shared" si="235"/>
        <v>46129</v>
      </c>
      <c r="M972">
        <f t="shared" si="236"/>
        <v>4</v>
      </c>
      <c r="N972">
        <f t="shared" si="237"/>
        <v>2026</v>
      </c>
      <c r="Q972" s="22"/>
      <c r="R972" s="22"/>
      <c r="S972" s="22">
        <f t="shared" si="242"/>
        <v>0</v>
      </c>
      <c r="T972" s="22" t="e">
        <f t="shared" si="229"/>
        <v>#N/A</v>
      </c>
      <c r="U972" s="28">
        <v>400</v>
      </c>
      <c r="W972" s="9">
        <v>608</v>
      </c>
      <c r="X972" s="9" t="s">
        <v>27</v>
      </c>
      <c r="AF972">
        <v>1034</v>
      </c>
      <c r="AG972" t="s">
        <v>29</v>
      </c>
      <c r="AH972">
        <v>10217.24</v>
      </c>
      <c r="AI972" s="7">
        <v>46291</v>
      </c>
    </row>
    <row r="973" spans="1:35">
      <c r="A973">
        <v>1090</v>
      </c>
      <c r="B973" t="str">
        <f t="shared" si="238"/>
        <v>USD</v>
      </c>
      <c r="C973">
        <f t="shared" si="239"/>
        <v>7045</v>
      </c>
      <c r="D973">
        <f t="shared" si="230"/>
        <v>6058.7</v>
      </c>
      <c r="E973">
        <f t="shared" si="231"/>
        <v>7045</v>
      </c>
      <c r="F973">
        <v>12041.28</v>
      </c>
      <c r="G973">
        <f t="shared" si="232"/>
        <v>10355.5008</v>
      </c>
      <c r="H973">
        <f t="shared" si="233"/>
        <v>12041.28</v>
      </c>
      <c r="I973">
        <f t="shared" si="240"/>
        <v>-4996.2800000000007</v>
      </c>
      <c r="J973">
        <f t="shared" si="234"/>
        <v>-4996.2800000000007</v>
      </c>
      <c r="K973" s="7">
        <f t="shared" si="241"/>
        <v>46108</v>
      </c>
      <c r="L973" s="7">
        <f t="shared" si="235"/>
        <v>46078</v>
      </c>
      <c r="M973">
        <f t="shared" si="236"/>
        <v>2</v>
      </c>
      <c r="N973">
        <f t="shared" si="237"/>
        <v>2026</v>
      </c>
      <c r="Q973" s="22"/>
      <c r="R973" s="22"/>
      <c r="S973" s="22">
        <f t="shared" si="242"/>
        <v>0</v>
      </c>
      <c r="T973" s="22" t="e">
        <f t="shared" si="229"/>
        <v>#N/A</v>
      </c>
      <c r="U973" s="28">
        <v>400</v>
      </c>
      <c r="W973" s="9">
        <v>609</v>
      </c>
      <c r="X973" s="9" t="s">
        <v>29</v>
      </c>
      <c r="AF973">
        <v>1036</v>
      </c>
      <c r="AG973" t="s">
        <v>29</v>
      </c>
      <c r="AH973">
        <v>621.29999999999995</v>
      </c>
      <c r="AI973" s="7">
        <v>46075</v>
      </c>
    </row>
    <row r="974" spans="1:35">
      <c r="A974">
        <v>1091</v>
      </c>
      <c r="B974" t="str">
        <f t="shared" si="238"/>
        <v>USD</v>
      </c>
      <c r="C974">
        <f t="shared" si="239"/>
        <v>0</v>
      </c>
      <c r="D974">
        <f t="shared" si="230"/>
        <v>0</v>
      </c>
      <c r="E974">
        <f t="shared" si="231"/>
        <v>0</v>
      </c>
      <c r="F974">
        <v>59189</v>
      </c>
      <c r="G974">
        <f t="shared" si="232"/>
        <v>50902.54</v>
      </c>
      <c r="H974">
        <f t="shared" si="233"/>
        <v>59189</v>
      </c>
      <c r="I974">
        <f t="shared" si="240"/>
        <v>0</v>
      </c>
      <c r="J974">
        <f t="shared" si="234"/>
        <v>0</v>
      </c>
      <c r="K974" s="7">
        <f t="shared" si="241"/>
        <v>46101</v>
      </c>
      <c r="L974" s="7">
        <f t="shared" si="235"/>
        <v>46071</v>
      </c>
      <c r="M974">
        <f t="shared" si="236"/>
        <v>2</v>
      </c>
      <c r="N974">
        <f t="shared" si="237"/>
        <v>2026</v>
      </c>
      <c r="Q974" s="22"/>
      <c r="R974" s="22"/>
      <c r="S974" s="22">
        <f t="shared" si="242"/>
        <v>0</v>
      </c>
      <c r="T974" s="22" t="e">
        <f t="shared" si="229"/>
        <v>#N/A</v>
      </c>
      <c r="U974" s="28">
        <v>400</v>
      </c>
      <c r="W974" s="9">
        <v>609</v>
      </c>
      <c r="X974" s="9" t="s">
        <v>29</v>
      </c>
      <c r="AF974">
        <v>1037</v>
      </c>
      <c r="AG974" t="s">
        <v>29</v>
      </c>
      <c r="AH974">
        <v>5589</v>
      </c>
      <c r="AI974" s="7">
        <v>46018</v>
      </c>
    </row>
    <row r="975" spans="1:35">
      <c r="A975">
        <v>1092</v>
      </c>
      <c r="B975" t="str">
        <f t="shared" si="238"/>
        <v>USD</v>
      </c>
      <c r="C975">
        <f t="shared" si="239"/>
        <v>24133.08</v>
      </c>
      <c r="D975">
        <f t="shared" si="230"/>
        <v>20754.448800000002</v>
      </c>
      <c r="E975">
        <f t="shared" si="231"/>
        <v>24133.08</v>
      </c>
      <c r="F975">
        <v>24133.08</v>
      </c>
      <c r="G975">
        <f t="shared" si="232"/>
        <v>20754.448800000002</v>
      </c>
      <c r="H975">
        <f t="shared" si="233"/>
        <v>24133.08</v>
      </c>
      <c r="I975">
        <f t="shared" si="240"/>
        <v>0</v>
      </c>
      <c r="J975">
        <f t="shared" si="234"/>
        <v>0</v>
      </c>
      <c r="K975" s="7">
        <f t="shared" si="241"/>
        <v>46082</v>
      </c>
      <c r="L975" s="7">
        <f t="shared" si="235"/>
        <v>46052</v>
      </c>
      <c r="M975">
        <f t="shared" si="236"/>
        <v>1</v>
      </c>
      <c r="N975">
        <f t="shared" si="237"/>
        <v>2026</v>
      </c>
      <c r="Q975" s="22"/>
      <c r="R975" s="22"/>
      <c r="S975" s="22">
        <f t="shared" si="242"/>
        <v>0</v>
      </c>
      <c r="T975" s="22" t="e">
        <f t="shared" si="229"/>
        <v>#N/A</v>
      </c>
      <c r="U975" s="28">
        <v>400</v>
      </c>
      <c r="W975" s="9">
        <v>609</v>
      </c>
      <c r="X975" s="9" t="s">
        <v>29</v>
      </c>
      <c r="AF975">
        <v>1038</v>
      </c>
      <c r="AG975" t="s">
        <v>27</v>
      </c>
      <c r="AH975">
        <v>5010.96</v>
      </c>
      <c r="AI975" s="7">
        <v>46061</v>
      </c>
    </row>
    <row r="976" spans="1:35">
      <c r="A976">
        <v>1093</v>
      </c>
      <c r="B976" t="str">
        <f t="shared" si="238"/>
        <v>EUR</v>
      </c>
      <c r="C976">
        <f t="shared" si="239"/>
        <v>21135.64</v>
      </c>
      <c r="D976">
        <f t="shared" si="230"/>
        <v>21135.64</v>
      </c>
      <c r="E976">
        <f t="shared" si="231"/>
        <v>24517.342399999998</v>
      </c>
      <c r="F976">
        <v>13000</v>
      </c>
      <c r="G976">
        <f t="shared" si="232"/>
        <v>13000</v>
      </c>
      <c r="H976">
        <f t="shared" si="233"/>
        <v>15079.999999999998</v>
      </c>
      <c r="I976">
        <f t="shared" si="240"/>
        <v>8135.6399999999994</v>
      </c>
      <c r="J976">
        <f t="shared" si="234"/>
        <v>9437.3423999999995</v>
      </c>
      <c r="K976" s="7">
        <f t="shared" si="241"/>
        <v>46328</v>
      </c>
      <c r="L976" s="7">
        <f t="shared" si="235"/>
        <v>46298</v>
      </c>
      <c r="M976">
        <f t="shared" si="236"/>
        <v>10</v>
      </c>
      <c r="N976">
        <f t="shared" si="237"/>
        <v>2026</v>
      </c>
      <c r="Q976" s="22"/>
      <c r="R976" s="22"/>
      <c r="S976" s="22">
        <f t="shared" si="242"/>
        <v>0</v>
      </c>
      <c r="T976" s="22" t="e">
        <f t="shared" si="229"/>
        <v>#N/A</v>
      </c>
      <c r="U976" s="28">
        <v>400</v>
      </c>
      <c r="W976" s="9">
        <v>610</v>
      </c>
      <c r="X976" s="9" t="s">
        <v>29</v>
      </c>
      <c r="AF976">
        <v>1039</v>
      </c>
      <c r="AG976" t="s">
        <v>29</v>
      </c>
      <c r="AH976">
        <v>19008</v>
      </c>
      <c r="AI976" s="7">
        <v>46106</v>
      </c>
    </row>
    <row r="977" spans="1:35">
      <c r="A977">
        <v>1095</v>
      </c>
      <c r="B977" t="str">
        <f t="shared" si="238"/>
        <v>USD</v>
      </c>
      <c r="C977">
        <f t="shared" si="239"/>
        <v>15444</v>
      </c>
      <c r="D977">
        <f t="shared" si="230"/>
        <v>13281.84</v>
      </c>
      <c r="E977">
        <f t="shared" si="231"/>
        <v>15444</v>
      </c>
      <c r="F977">
        <v>52636</v>
      </c>
      <c r="G977">
        <f t="shared" si="232"/>
        <v>45266.96</v>
      </c>
      <c r="H977">
        <f t="shared" si="233"/>
        <v>52636</v>
      </c>
      <c r="I977">
        <f t="shared" si="240"/>
        <v>0</v>
      </c>
      <c r="J977">
        <f t="shared" si="234"/>
        <v>0</v>
      </c>
      <c r="K977" s="7">
        <f t="shared" si="241"/>
        <v>46113</v>
      </c>
      <c r="L977" s="7">
        <f t="shared" si="235"/>
        <v>46083</v>
      </c>
      <c r="M977">
        <f t="shared" si="236"/>
        <v>3</v>
      </c>
      <c r="N977">
        <f t="shared" si="237"/>
        <v>2026</v>
      </c>
      <c r="Q977" s="22"/>
      <c r="R977" s="22"/>
      <c r="S977" s="22">
        <f t="shared" si="242"/>
        <v>0</v>
      </c>
      <c r="T977" s="22" t="e">
        <f t="shared" si="229"/>
        <v>#N/A</v>
      </c>
      <c r="U977" s="28">
        <v>400</v>
      </c>
      <c r="W977" s="9">
        <v>610</v>
      </c>
      <c r="X977" s="9" t="s">
        <v>29</v>
      </c>
      <c r="AF977">
        <v>1040</v>
      </c>
      <c r="AG977" t="s">
        <v>29</v>
      </c>
      <c r="AH977">
        <v>1024</v>
      </c>
      <c r="AI977" s="7">
        <v>45969</v>
      </c>
    </row>
    <row r="978" spans="1:35">
      <c r="A978">
        <v>1096</v>
      </c>
      <c r="B978" t="str">
        <f t="shared" si="238"/>
        <v>MXN</v>
      </c>
      <c r="C978">
        <f t="shared" si="239"/>
        <v>2440.1999999999971</v>
      </c>
      <c r="D978">
        <f t="shared" si="230"/>
        <v>117.12959999999987</v>
      </c>
      <c r="E978">
        <f t="shared" si="231"/>
        <v>136.65119999999985</v>
      </c>
      <c r="F978">
        <v>78056.22</v>
      </c>
      <c r="G978">
        <f t="shared" si="232"/>
        <v>3746.6985600000003</v>
      </c>
      <c r="H978">
        <f t="shared" si="233"/>
        <v>4371.1483200000002</v>
      </c>
      <c r="I978">
        <f t="shared" si="240"/>
        <v>0</v>
      </c>
      <c r="J978">
        <f t="shared" si="234"/>
        <v>0</v>
      </c>
      <c r="K978" s="7">
        <f t="shared" si="241"/>
        <v>46142</v>
      </c>
      <c r="L978" s="7">
        <f t="shared" si="235"/>
        <v>46112</v>
      </c>
      <c r="M978">
        <f t="shared" si="236"/>
        <v>3</v>
      </c>
      <c r="N978">
        <f t="shared" si="237"/>
        <v>2026</v>
      </c>
      <c r="Q978" s="22"/>
      <c r="R978" s="22"/>
      <c r="S978" s="22">
        <f t="shared" si="242"/>
        <v>0</v>
      </c>
      <c r="T978" s="22" t="e">
        <f t="shared" ref="T978:T1041" si="243">R978*_xlfn.XLOOKUP(S978,AM:AM,AO:AO)</f>
        <v>#N/A</v>
      </c>
      <c r="U978" s="28">
        <v>400</v>
      </c>
      <c r="W978" s="9">
        <v>610</v>
      </c>
      <c r="X978" s="9" t="s">
        <v>29</v>
      </c>
      <c r="AF978">
        <v>1041</v>
      </c>
      <c r="AG978" t="s">
        <v>28</v>
      </c>
      <c r="AH978">
        <v>8150</v>
      </c>
      <c r="AI978" s="7">
        <v>46053</v>
      </c>
    </row>
    <row r="979" spans="1:35">
      <c r="A979">
        <v>1097</v>
      </c>
      <c r="B979" t="str">
        <f t="shared" si="238"/>
        <v>EUR</v>
      </c>
      <c r="C979">
        <f t="shared" si="239"/>
        <v>3000</v>
      </c>
      <c r="D979">
        <f t="shared" si="230"/>
        <v>3000</v>
      </c>
      <c r="E979">
        <f t="shared" si="231"/>
        <v>3479.9999999999995</v>
      </c>
      <c r="F979">
        <v>1985.71</v>
      </c>
      <c r="G979">
        <f t="shared" si="232"/>
        <v>1985.71</v>
      </c>
      <c r="H979">
        <f t="shared" si="233"/>
        <v>2303.4236000000001</v>
      </c>
      <c r="I979">
        <f t="shared" si="240"/>
        <v>1014.29</v>
      </c>
      <c r="J979">
        <f t="shared" si="234"/>
        <v>1176.5763999999999</v>
      </c>
      <c r="K979" s="7">
        <f t="shared" si="241"/>
        <v>46073</v>
      </c>
      <c r="L979" s="7">
        <f t="shared" si="235"/>
        <v>46043</v>
      </c>
      <c r="M979">
        <f t="shared" si="236"/>
        <v>1</v>
      </c>
      <c r="N979">
        <f t="shared" si="237"/>
        <v>2026</v>
      </c>
      <c r="Q979" s="22"/>
      <c r="R979" s="22"/>
      <c r="S979" s="22">
        <f t="shared" si="242"/>
        <v>0</v>
      </c>
      <c r="T979" s="22" t="e">
        <f t="shared" si="243"/>
        <v>#N/A</v>
      </c>
      <c r="U979" s="28">
        <v>400</v>
      </c>
      <c r="W979" s="9">
        <v>610</v>
      </c>
      <c r="X979" s="9" t="s">
        <v>29</v>
      </c>
      <c r="AF979">
        <v>1042</v>
      </c>
      <c r="AG979" t="s">
        <v>27</v>
      </c>
      <c r="AH979">
        <v>9283.8700000000008</v>
      </c>
      <c r="AI979" s="7">
        <v>46207</v>
      </c>
    </row>
    <row r="980" spans="1:35">
      <c r="A980">
        <v>1098</v>
      </c>
      <c r="B980" t="str">
        <f t="shared" si="238"/>
        <v>USD</v>
      </c>
      <c r="C980">
        <f t="shared" si="239"/>
        <v>94000</v>
      </c>
      <c r="D980">
        <f t="shared" si="230"/>
        <v>80840</v>
      </c>
      <c r="E980">
        <f t="shared" si="231"/>
        <v>94000</v>
      </c>
      <c r="F980">
        <v>20000</v>
      </c>
      <c r="G980">
        <f t="shared" si="232"/>
        <v>17200</v>
      </c>
      <c r="H980">
        <f t="shared" si="233"/>
        <v>20000</v>
      </c>
      <c r="I980">
        <f t="shared" si="240"/>
        <v>74000</v>
      </c>
      <c r="J980">
        <f t="shared" si="234"/>
        <v>74000</v>
      </c>
      <c r="K980" s="7">
        <f t="shared" si="241"/>
        <v>46143</v>
      </c>
      <c r="L980" s="7">
        <f t="shared" si="235"/>
        <v>46113</v>
      </c>
      <c r="M980">
        <f t="shared" si="236"/>
        <v>4</v>
      </c>
      <c r="N980">
        <f t="shared" si="237"/>
        <v>2026</v>
      </c>
      <c r="Q980" s="22"/>
      <c r="R980" s="22"/>
      <c r="S980" s="22">
        <f t="shared" si="242"/>
        <v>0</v>
      </c>
      <c r="T980" s="22" t="e">
        <f t="shared" si="243"/>
        <v>#N/A</v>
      </c>
      <c r="U980" s="28">
        <v>400</v>
      </c>
      <c r="W980" s="9">
        <v>613</v>
      </c>
      <c r="X980" s="9" t="s">
        <v>29</v>
      </c>
      <c r="AF980">
        <v>1043</v>
      </c>
      <c r="AG980" t="s">
        <v>29</v>
      </c>
      <c r="AH980">
        <v>32887.39</v>
      </c>
      <c r="AI980" s="7">
        <v>46290</v>
      </c>
    </row>
    <row r="981" spans="1:35">
      <c r="A981">
        <v>1100</v>
      </c>
      <c r="B981" t="str">
        <f t="shared" si="238"/>
        <v>MXN</v>
      </c>
      <c r="C981">
        <f t="shared" si="239"/>
        <v>1834.3499999999985</v>
      </c>
      <c r="D981">
        <f t="shared" si="230"/>
        <v>88.048799999999929</v>
      </c>
      <c r="E981">
        <f t="shared" si="231"/>
        <v>102.72359999999992</v>
      </c>
      <c r="F981">
        <v>53650.35</v>
      </c>
      <c r="G981">
        <f t="shared" si="232"/>
        <v>2575.2168000000001</v>
      </c>
      <c r="H981">
        <f t="shared" si="233"/>
        <v>3004.4196000000002</v>
      </c>
      <c r="I981">
        <f t="shared" si="240"/>
        <v>0</v>
      </c>
      <c r="J981">
        <f t="shared" si="234"/>
        <v>0</v>
      </c>
      <c r="K981" s="7">
        <f t="shared" si="241"/>
        <v>46100</v>
      </c>
      <c r="L981" s="7">
        <f t="shared" si="235"/>
        <v>46070</v>
      </c>
      <c r="M981">
        <f t="shared" si="236"/>
        <v>2</v>
      </c>
      <c r="N981">
        <f t="shared" si="237"/>
        <v>2026</v>
      </c>
      <c r="Q981" s="22"/>
      <c r="R981" s="22"/>
      <c r="S981" s="22">
        <f t="shared" si="242"/>
        <v>0</v>
      </c>
      <c r="T981" s="22" t="e">
        <f t="shared" si="243"/>
        <v>#N/A</v>
      </c>
      <c r="U981" s="28">
        <v>400</v>
      </c>
      <c r="W981" s="9">
        <v>615</v>
      </c>
      <c r="X981" s="9" t="s">
        <v>27</v>
      </c>
      <c r="AF981">
        <v>1044</v>
      </c>
      <c r="AG981" t="s">
        <v>27</v>
      </c>
      <c r="AH981">
        <v>27830</v>
      </c>
      <c r="AI981" s="7">
        <v>46074</v>
      </c>
    </row>
    <row r="982" spans="1:35">
      <c r="A982">
        <v>1102</v>
      </c>
      <c r="B982" t="str">
        <f t="shared" si="238"/>
        <v>EUR</v>
      </c>
      <c r="C982">
        <f t="shared" si="239"/>
        <v>0</v>
      </c>
      <c r="D982">
        <f t="shared" si="230"/>
        <v>0</v>
      </c>
      <c r="E982">
        <f t="shared" si="231"/>
        <v>0</v>
      </c>
      <c r="F982">
        <v>12974</v>
      </c>
      <c r="G982">
        <f t="shared" si="232"/>
        <v>12974</v>
      </c>
      <c r="H982">
        <f t="shared" si="233"/>
        <v>15049.839999999998</v>
      </c>
      <c r="I982">
        <f t="shared" si="240"/>
        <v>0</v>
      </c>
      <c r="J982">
        <f t="shared" si="234"/>
        <v>0</v>
      </c>
      <c r="K982" s="7">
        <f t="shared" si="241"/>
        <v>46351</v>
      </c>
      <c r="L982" s="7">
        <f t="shared" si="235"/>
        <v>46321</v>
      </c>
      <c r="M982">
        <f t="shared" si="236"/>
        <v>10</v>
      </c>
      <c r="N982">
        <f t="shared" si="237"/>
        <v>2026</v>
      </c>
      <c r="Q982" s="22"/>
      <c r="R982" s="22"/>
      <c r="S982" s="22">
        <f t="shared" si="242"/>
        <v>0</v>
      </c>
      <c r="T982" s="22" t="e">
        <f t="shared" si="243"/>
        <v>#N/A</v>
      </c>
      <c r="U982" s="28">
        <v>400</v>
      </c>
      <c r="W982" s="9">
        <v>616</v>
      </c>
      <c r="X982" s="9" t="s">
        <v>30</v>
      </c>
      <c r="AF982">
        <v>1045</v>
      </c>
      <c r="AG982" t="s">
        <v>29</v>
      </c>
      <c r="AH982">
        <v>2065</v>
      </c>
      <c r="AI982" s="7">
        <v>46011</v>
      </c>
    </row>
    <row r="983" spans="1:35">
      <c r="A983">
        <v>1103</v>
      </c>
      <c r="B983" t="str">
        <f t="shared" si="238"/>
        <v>EUR</v>
      </c>
      <c r="C983">
        <f t="shared" si="239"/>
        <v>46039.91</v>
      </c>
      <c r="D983">
        <f t="shared" si="230"/>
        <v>46039.91</v>
      </c>
      <c r="E983">
        <f t="shared" si="231"/>
        <v>53406.295599999998</v>
      </c>
      <c r="F983">
        <v>45407.23</v>
      </c>
      <c r="G983">
        <f t="shared" si="232"/>
        <v>45407.23</v>
      </c>
      <c r="H983">
        <f t="shared" si="233"/>
        <v>52672.3868</v>
      </c>
      <c r="I983">
        <f t="shared" si="240"/>
        <v>23260.63</v>
      </c>
      <c r="J983">
        <f t="shared" si="234"/>
        <v>26982.3308</v>
      </c>
      <c r="K983" s="7">
        <f t="shared" si="241"/>
        <v>46106</v>
      </c>
      <c r="L983" s="7">
        <f t="shared" si="235"/>
        <v>46076</v>
      </c>
      <c r="M983">
        <f t="shared" si="236"/>
        <v>2</v>
      </c>
      <c r="N983">
        <f t="shared" si="237"/>
        <v>2026</v>
      </c>
      <c r="Q983" s="22"/>
      <c r="R983" s="22"/>
      <c r="S983" s="22">
        <f t="shared" si="242"/>
        <v>0</v>
      </c>
      <c r="T983" s="22" t="e">
        <f t="shared" si="243"/>
        <v>#N/A</v>
      </c>
      <c r="U983" s="28">
        <v>400</v>
      </c>
      <c r="W983" s="9">
        <v>616</v>
      </c>
      <c r="X983" s="9" t="s">
        <v>30</v>
      </c>
      <c r="AF983">
        <v>1046</v>
      </c>
      <c r="AG983" t="s">
        <v>29</v>
      </c>
      <c r="AH983">
        <v>290000</v>
      </c>
      <c r="AI983" s="7">
        <v>46151</v>
      </c>
    </row>
    <row r="984" spans="1:35">
      <c r="A984">
        <v>1104</v>
      </c>
      <c r="B984" t="str">
        <f t="shared" si="238"/>
        <v>EUR</v>
      </c>
      <c r="C984">
        <f t="shared" si="239"/>
        <v>0</v>
      </c>
      <c r="D984">
        <f t="shared" si="230"/>
        <v>0</v>
      </c>
      <c r="E984">
        <f t="shared" si="231"/>
        <v>0</v>
      </c>
      <c r="F984">
        <v>5038.09</v>
      </c>
      <c r="G984">
        <f t="shared" si="232"/>
        <v>5038.09</v>
      </c>
      <c r="H984">
        <f t="shared" si="233"/>
        <v>5844.1844000000001</v>
      </c>
      <c r="I984">
        <f t="shared" si="240"/>
        <v>0</v>
      </c>
      <c r="J984">
        <f t="shared" si="234"/>
        <v>0</v>
      </c>
      <c r="K984" s="7">
        <f t="shared" si="241"/>
        <v>46024</v>
      </c>
      <c r="L984" s="7">
        <f t="shared" si="235"/>
        <v>45994</v>
      </c>
      <c r="M984">
        <f t="shared" si="236"/>
        <v>12</v>
      </c>
      <c r="N984">
        <f t="shared" si="237"/>
        <v>2025</v>
      </c>
      <c r="Q984" s="22"/>
      <c r="R984" s="22"/>
      <c r="S984" s="22">
        <f t="shared" si="242"/>
        <v>0</v>
      </c>
      <c r="T984" s="22" t="e">
        <f t="shared" si="243"/>
        <v>#N/A</v>
      </c>
      <c r="U984" s="28">
        <v>400</v>
      </c>
      <c r="W984" s="9">
        <v>617</v>
      </c>
      <c r="X984" s="9" t="s">
        <v>29</v>
      </c>
      <c r="AF984">
        <v>1047</v>
      </c>
      <c r="AG984" t="s">
        <v>29</v>
      </c>
      <c r="AH984">
        <v>18830.240000000002</v>
      </c>
      <c r="AI984" s="7">
        <v>46088</v>
      </c>
    </row>
    <row r="985" spans="1:35">
      <c r="A985">
        <v>1105</v>
      </c>
      <c r="B985" t="str">
        <f t="shared" si="238"/>
        <v>MXN</v>
      </c>
      <c r="C985">
        <f t="shared" si="239"/>
        <v>3045</v>
      </c>
      <c r="D985">
        <f t="shared" si="230"/>
        <v>146.16</v>
      </c>
      <c r="E985">
        <f t="shared" si="231"/>
        <v>170.52</v>
      </c>
      <c r="F985">
        <v>678433</v>
      </c>
      <c r="G985">
        <f t="shared" si="232"/>
        <v>32564.784</v>
      </c>
      <c r="H985">
        <f t="shared" si="233"/>
        <v>37992.248</v>
      </c>
      <c r="I985">
        <f t="shared" si="240"/>
        <v>0</v>
      </c>
      <c r="J985">
        <f t="shared" si="234"/>
        <v>0</v>
      </c>
      <c r="K985" s="7">
        <f t="shared" si="241"/>
        <v>46109</v>
      </c>
      <c r="L985" s="7">
        <f t="shared" si="235"/>
        <v>46079</v>
      </c>
      <c r="M985">
        <f t="shared" si="236"/>
        <v>2</v>
      </c>
      <c r="N985">
        <f t="shared" si="237"/>
        <v>2026</v>
      </c>
      <c r="Q985" s="22"/>
      <c r="R985" s="22"/>
      <c r="S985" s="22">
        <f t="shared" si="242"/>
        <v>0</v>
      </c>
      <c r="T985" s="22" t="e">
        <f t="shared" si="243"/>
        <v>#N/A</v>
      </c>
      <c r="U985" s="28">
        <v>400</v>
      </c>
      <c r="W985" s="9">
        <v>617</v>
      </c>
      <c r="X985" s="9" t="s">
        <v>29</v>
      </c>
      <c r="AF985">
        <v>1048</v>
      </c>
      <c r="AG985" t="s">
        <v>28</v>
      </c>
      <c r="AH985">
        <v>79800</v>
      </c>
      <c r="AI985" s="7">
        <v>46328</v>
      </c>
    </row>
    <row r="986" spans="1:35">
      <c r="A986">
        <v>1107</v>
      </c>
      <c r="B986" t="str">
        <f t="shared" si="238"/>
        <v>EUR</v>
      </c>
      <c r="C986">
        <f t="shared" si="239"/>
        <v>4980.5200000000004</v>
      </c>
      <c r="D986">
        <f t="shared" si="230"/>
        <v>4980.5200000000004</v>
      </c>
      <c r="E986">
        <f t="shared" si="231"/>
        <v>5777.4031999999997</v>
      </c>
      <c r="F986">
        <v>915</v>
      </c>
      <c r="G986">
        <f t="shared" si="232"/>
        <v>915</v>
      </c>
      <c r="H986">
        <f t="shared" si="233"/>
        <v>1061.3999999999999</v>
      </c>
      <c r="I986">
        <f t="shared" si="240"/>
        <v>4065.5200000000004</v>
      </c>
      <c r="J986">
        <f t="shared" si="234"/>
        <v>4716.0032000000001</v>
      </c>
      <c r="K986" s="7">
        <f t="shared" si="241"/>
        <v>46099</v>
      </c>
      <c r="L986" s="7">
        <f t="shared" si="235"/>
        <v>46069</v>
      </c>
      <c r="M986">
        <f t="shared" si="236"/>
        <v>2</v>
      </c>
      <c r="N986">
        <f t="shared" si="237"/>
        <v>2026</v>
      </c>
      <c r="Q986" s="22"/>
      <c r="R986" s="22"/>
      <c r="S986" s="22">
        <f t="shared" si="242"/>
        <v>0</v>
      </c>
      <c r="T986" s="22" t="e">
        <f t="shared" si="243"/>
        <v>#N/A</v>
      </c>
      <c r="U986" s="28">
        <v>400</v>
      </c>
      <c r="W986" s="9">
        <v>618</v>
      </c>
      <c r="X986" s="9" t="s">
        <v>27</v>
      </c>
      <c r="AF986">
        <v>1049</v>
      </c>
      <c r="AG986" t="s">
        <v>29</v>
      </c>
      <c r="AH986">
        <v>1582.47</v>
      </c>
      <c r="AI986" s="7">
        <v>46079</v>
      </c>
    </row>
    <row r="987" spans="1:35">
      <c r="A987">
        <v>1109</v>
      </c>
      <c r="B987" t="str">
        <f t="shared" si="238"/>
        <v>USD</v>
      </c>
      <c r="C987">
        <f t="shared" si="239"/>
        <v>0</v>
      </c>
      <c r="D987">
        <f t="shared" si="230"/>
        <v>0</v>
      </c>
      <c r="E987">
        <f t="shared" si="231"/>
        <v>0</v>
      </c>
      <c r="F987">
        <v>4147.5</v>
      </c>
      <c r="G987">
        <f t="shared" si="232"/>
        <v>3566.85</v>
      </c>
      <c r="H987">
        <f t="shared" si="233"/>
        <v>4147.5</v>
      </c>
      <c r="I987">
        <f t="shared" si="240"/>
        <v>0</v>
      </c>
      <c r="J987">
        <f t="shared" si="234"/>
        <v>0</v>
      </c>
      <c r="K987" s="7">
        <f t="shared" si="241"/>
        <v>46129</v>
      </c>
      <c r="L987" s="7">
        <f t="shared" si="235"/>
        <v>46099</v>
      </c>
      <c r="M987">
        <f t="shared" si="236"/>
        <v>3</v>
      </c>
      <c r="N987">
        <f t="shared" si="237"/>
        <v>2026</v>
      </c>
      <c r="Q987" s="22"/>
      <c r="R987" s="22"/>
      <c r="S987" s="22">
        <f t="shared" si="242"/>
        <v>0</v>
      </c>
      <c r="T987" s="22" t="e">
        <f t="shared" si="243"/>
        <v>#N/A</v>
      </c>
      <c r="U987" s="28">
        <v>400</v>
      </c>
      <c r="W987" s="9">
        <v>622</v>
      </c>
      <c r="X987" s="9" t="s">
        <v>27</v>
      </c>
      <c r="AF987">
        <v>1050</v>
      </c>
      <c r="AG987" t="s">
        <v>27</v>
      </c>
      <c r="AH987">
        <v>4684</v>
      </c>
      <c r="AI987" s="7">
        <v>46186</v>
      </c>
    </row>
    <row r="988" spans="1:35">
      <c r="A988">
        <v>1110</v>
      </c>
      <c r="B988" t="str">
        <f t="shared" si="238"/>
        <v>USD</v>
      </c>
      <c r="C988">
        <f t="shared" si="239"/>
        <v>0</v>
      </c>
      <c r="D988">
        <f t="shared" si="230"/>
        <v>0</v>
      </c>
      <c r="E988">
        <f t="shared" si="231"/>
        <v>0</v>
      </c>
      <c r="F988">
        <v>76516</v>
      </c>
      <c r="G988">
        <f t="shared" si="232"/>
        <v>65803.759999999995</v>
      </c>
      <c r="H988">
        <f t="shared" si="233"/>
        <v>76516</v>
      </c>
      <c r="I988">
        <f t="shared" si="240"/>
        <v>0</v>
      </c>
      <c r="J988">
        <f t="shared" si="234"/>
        <v>0</v>
      </c>
      <c r="K988" s="7">
        <f t="shared" si="241"/>
        <v>46210</v>
      </c>
      <c r="L988" s="7">
        <f t="shared" si="235"/>
        <v>46180</v>
      </c>
      <c r="M988">
        <f t="shared" si="236"/>
        <v>6</v>
      </c>
      <c r="N988">
        <f t="shared" si="237"/>
        <v>2026</v>
      </c>
      <c r="Q988" s="22"/>
      <c r="R988" s="22"/>
      <c r="S988" s="22">
        <f t="shared" si="242"/>
        <v>0</v>
      </c>
      <c r="T988" s="22" t="e">
        <f t="shared" si="243"/>
        <v>#N/A</v>
      </c>
      <c r="U988" s="28">
        <v>400</v>
      </c>
      <c r="W988" s="9">
        <v>624</v>
      </c>
      <c r="X988" s="9" t="s">
        <v>29</v>
      </c>
      <c r="AF988">
        <v>1051</v>
      </c>
      <c r="AG988" t="s">
        <v>27</v>
      </c>
      <c r="AH988">
        <v>3300</v>
      </c>
      <c r="AI988" s="7">
        <v>46226</v>
      </c>
    </row>
    <row r="989" spans="1:35">
      <c r="A989">
        <v>1111</v>
      </c>
      <c r="B989" t="str">
        <f t="shared" si="238"/>
        <v>MXN</v>
      </c>
      <c r="C989">
        <f t="shared" si="239"/>
        <v>0</v>
      </c>
      <c r="D989">
        <f t="shared" si="230"/>
        <v>0</v>
      </c>
      <c r="E989">
        <f t="shared" si="231"/>
        <v>0</v>
      </c>
      <c r="F989">
        <v>75072</v>
      </c>
      <c r="G989">
        <f t="shared" si="232"/>
        <v>3603.4560000000001</v>
      </c>
      <c r="H989">
        <f t="shared" si="233"/>
        <v>4204.0320000000002</v>
      </c>
      <c r="I989">
        <f t="shared" si="240"/>
        <v>0</v>
      </c>
      <c r="J989">
        <f t="shared" si="234"/>
        <v>0</v>
      </c>
      <c r="K989" s="7">
        <f t="shared" si="241"/>
        <v>45974</v>
      </c>
      <c r="L989" s="7">
        <f t="shared" si="235"/>
        <v>45944</v>
      </c>
      <c r="M989">
        <f t="shared" si="236"/>
        <v>10</v>
      </c>
      <c r="N989">
        <f t="shared" si="237"/>
        <v>2025</v>
      </c>
      <c r="Q989" s="22"/>
      <c r="R989" s="22"/>
      <c r="S989" s="22">
        <f t="shared" si="242"/>
        <v>0</v>
      </c>
      <c r="T989" s="22" t="e">
        <f t="shared" si="243"/>
        <v>#N/A</v>
      </c>
      <c r="U989" s="28">
        <v>400</v>
      </c>
      <c r="W989" s="9">
        <v>624</v>
      </c>
      <c r="X989" s="9" t="s">
        <v>29</v>
      </c>
      <c r="AF989">
        <v>1052</v>
      </c>
      <c r="AG989" t="s">
        <v>29</v>
      </c>
      <c r="AH989">
        <v>62000</v>
      </c>
      <c r="AI989" s="7">
        <v>46563</v>
      </c>
    </row>
    <row r="990" spans="1:35">
      <c r="K990" s="7"/>
      <c r="L990" s="7"/>
      <c r="Q990" s="22"/>
      <c r="R990" s="22"/>
      <c r="S990" s="22">
        <f t="shared" si="242"/>
        <v>0</v>
      </c>
      <c r="T990" s="22" t="e">
        <f t="shared" si="243"/>
        <v>#N/A</v>
      </c>
      <c r="U990" s="28">
        <v>400</v>
      </c>
      <c r="W990" s="9">
        <v>625</v>
      </c>
      <c r="X990" s="9" t="s">
        <v>33</v>
      </c>
      <c r="AF990">
        <v>1053</v>
      </c>
      <c r="AG990" t="s">
        <v>29</v>
      </c>
      <c r="AH990">
        <v>100</v>
      </c>
      <c r="AI990" s="7">
        <v>46137</v>
      </c>
    </row>
    <row r="991" spans="1:35">
      <c r="K991" s="7"/>
      <c r="L991" s="7"/>
      <c r="Q991" s="22"/>
      <c r="R991" s="22"/>
      <c r="S991" s="22">
        <f t="shared" si="242"/>
        <v>0</v>
      </c>
      <c r="T991" s="22" t="e">
        <f t="shared" si="243"/>
        <v>#N/A</v>
      </c>
      <c r="U991" s="28">
        <v>400</v>
      </c>
      <c r="W991" s="9">
        <v>626</v>
      </c>
      <c r="X991" s="9" t="s">
        <v>33</v>
      </c>
      <c r="AF991">
        <v>1054</v>
      </c>
      <c r="AG991" t="s">
        <v>29</v>
      </c>
      <c r="AH991">
        <v>6039.26</v>
      </c>
      <c r="AI991" s="7">
        <v>46085</v>
      </c>
    </row>
    <row r="992" spans="1:35">
      <c r="K992" s="7"/>
      <c r="L992" s="7"/>
      <c r="Q992" s="22"/>
      <c r="R992" s="22"/>
      <c r="S992" s="22">
        <f t="shared" si="242"/>
        <v>0</v>
      </c>
      <c r="T992" s="22" t="e">
        <f t="shared" si="243"/>
        <v>#N/A</v>
      </c>
      <c r="U992" s="28">
        <v>400</v>
      </c>
      <c r="W992" s="9">
        <v>626</v>
      </c>
      <c r="X992" s="9" t="s">
        <v>33</v>
      </c>
      <c r="AF992">
        <v>1055</v>
      </c>
      <c r="AG992" t="s">
        <v>29</v>
      </c>
      <c r="AH992">
        <v>447.48</v>
      </c>
      <c r="AI992" s="7">
        <v>46058</v>
      </c>
    </row>
    <row r="993" spans="11:35">
      <c r="K993" s="7"/>
      <c r="L993" s="7"/>
      <c r="Q993" s="22"/>
      <c r="R993" s="22"/>
      <c r="S993" s="22">
        <f t="shared" si="242"/>
        <v>0</v>
      </c>
      <c r="T993" s="22" t="e">
        <f t="shared" si="243"/>
        <v>#N/A</v>
      </c>
      <c r="U993" s="28">
        <v>400</v>
      </c>
      <c r="W993" s="9">
        <v>627</v>
      </c>
      <c r="X993" s="9" t="s">
        <v>32</v>
      </c>
      <c r="AF993">
        <v>1056</v>
      </c>
      <c r="AG993" t="s">
        <v>29</v>
      </c>
      <c r="AH993">
        <v>652.4</v>
      </c>
      <c r="AI993" s="7">
        <v>46169</v>
      </c>
    </row>
    <row r="994" spans="11:35">
      <c r="K994" s="7"/>
      <c r="L994" s="7"/>
      <c r="Q994" s="22"/>
      <c r="R994" s="22"/>
      <c r="S994" s="22">
        <f t="shared" si="242"/>
        <v>0</v>
      </c>
      <c r="T994" s="22" t="e">
        <f t="shared" si="243"/>
        <v>#N/A</v>
      </c>
      <c r="U994" s="28">
        <v>400</v>
      </c>
      <c r="W994" s="9">
        <v>628</v>
      </c>
      <c r="X994" s="9" t="s">
        <v>29</v>
      </c>
      <c r="AF994">
        <v>1058</v>
      </c>
      <c r="AG994" t="s">
        <v>29</v>
      </c>
      <c r="AH994">
        <v>7156.5</v>
      </c>
      <c r="AI994" s="7">
        <v>46108</v>
      </c>
    </row>
    <row r="995" spans="11:35">
      <c r="K995" s="7"/>
      <c r="L995" s="7"/>
      <c r="Q995" s="22"/>
      <c r="R995" s="22"/>
      <c r="S995" s="22">
        <f t="shared" si="242"/>
        <v>0</v>
      </c>
      <c r="T995" s="22" t="e">
        <f t="shared" si="243"/>
        <v>#N/A</v>
      </c>
      <c r="U995" s="28">
        <v>400</v>
      </c>
      <c r="W995" s="9">
        <v>628</v>
      </c>
      <c r="X995" s="9" t="s">
        <v>29</v>
      </c>
      <c r="AF995">
        <v>1059</v>
      </c>
      <c r="AG995" t="s">
        <v>31</v>
      </c>
      <c r="AH995">
        <v>873</v>
      </c>
      <c r="AI995" s="7">
        <v>46095</v>
      </c>
    </row>
    <row r="996" spans="11:35">
      <c r="K996" s="7"/>
      <c r="L996" s="7"/>
      <c r="Q996" s="22"/>
      <c r="R996" s="22"/>
      <c r="S996" s="22">
        <f t="shared" si="242"/>
        <v>0</v>
      </c>
      <c r="T996" s="22" t="e">
        <f t="shared" si="243"/>
        <v>#N/A</v>
      </c>
      <c r="U996" s="28">
        <v>400</v>
      </c>
      <c r="W996" s="9">
        <v>629</v>
      </c>
      <c r="X996" s="9" t="s">
        <v>29</v>
      </c>
      <c r="AF996">
        <v>1060</v>
      </c>
      <c r="AG996" t="s">
        <v>27</v>
      </c>
      <c r="AH996">
        <v>3800</v>
      </c>
      <c r="AI996" s="7">
        <v>46101</v>
      </c>
    </row>
    <row r="997" spans="11:35">
      <c r="K997" s="7"/>
      <c r="L997" s="7"/>
      <c r="Q997" s="22"/>
      <c r="R997" s="22"/>
      <c r="S997" s="22">
        <f t="shared" si="242"/>
        <v>0</v>
      </c>
      <c r="T997" s="22" t="e">
        <f t="shared" si="243"/>
        <v>#N/A</v>
      </c>
      <c r="U997" s="28">
        <v>400</v>
      </c>
      <c r="W997" s="9">
        <v>629</v>
      </c>
      <c r="X997" s="9" t="s">
        <v>29</v>
      </c>
      <c r="AF997">
        <v>1061</v>
      </c>
      <c r="AG997" t="s">
        <v>27</v>
      </c>
      <c r="AH997">
        <v>11017</v>
      </c>
      <c r="AI997" s="7">
        <v>46084</v>
      </c>
    </row>
    <row r="998" spans="11:35">
      <c r="K998" s="7"/>
      <c r="L998" s="7"/>
      <c r="Q998" s="22"/>
      <c r="R998" s="22"/>
      <c r="S998" s="22">
        <f t="shared" si="242"/>
        <v>0</v>
      </c>
      <c r="T998" s="22" t="e">
        <f t="shared" si="243"/>
        <v>#N/A</v>
      </c>
      <c r="U998" s="28">
        <v>400</v>
      </c>
      <c r="W998" s="9">
        <v>629</v>
      </c>
      <c r="X998" s="9" t="s">
        <v>29</v>
      </c>
      <c r="AF998">
        <v>1062</v>
      </c>
      <c r="AG998" t="s">
        <v>27</v>
      </c>
      <c r="AH998">
        <v>79000</v>
      </c>
      <c r="AI998" s="7">
        <v>46382</v>
      </c>
    </row>
    <row r="999" spans="11:35">
      <c r="K999" s="7"/>
      <c r="L999" s="7"/>
      <c r="Q999" s="22"/>
      <c r="R999" s="22"/>
      <c r="S999" s="22">
        <f t="shared" si="242"/>
        <v>0</v>
      </c>
      <c r="T999" s="22" t="e">
        <f t="shared" si="243"/>
        <v>#N/A</v>
      </c>
      <c r="U999" s="28">
        <v>400</v>
      </c>
      <c r="W999" s="9">
        <v>629</v>
      </c>
      <c r="X999" s="9" t="s">
        <v>29</v>
      </c>
      <c r="AF999">
        <v>1063</v>
      </c>
      <c r="AG999" t="s">
        <v>29</v>
      </c>
      <c r="AH999">
        <v>1845.54</v>
      </c>
      <c r="AI999" s="7">
        <v>46063</v>
      </c>
    </row>
    <row r="1000" spans="11:35">
      <c r="K1000" s="7"/>
      <c r="L1000" s="7"/>
      <c r="Q1000" s="22"/>
      <c r="R1000" s="22"/>
      <c r="S1000" s="22">
        <f t="shared" si="242"/>
        <v>0</v>
      </c>
      <c r="T1000" s="22" t="e">
        <f t="shared" si="243"/>
        <v>#N/A</v>
      </c>
      <c r="U1000" s="28">
        <v>400</v>
      </c>
      <c r="W1000" s="9">
        <v>629</v>
      </c>
      <c r="X1000" s="9" t="s">
        <v>29</v>
      </c>
      <c r="AF1000">
        <v>1064</v>
      </c>
      <c r="AG1000" t="s">
        <v>27</v>
      </c>
      <c r="AH1000">
        <v>31000</v>
      </c>
      <c r="AI1000" s="7">
        <v>46228</v>
      </c>
    </row>
    <row r="1001" spans="11:35">
      <c r="K1001" s="7"/>
      <c r="L1001" s="7"/>
      <c r="Q1001" s="22"/>
      <c r="R1001" s="22"/>
      <c r="S1001" s="22">
        <f t="shared" si="242"/>
        <v>0</v>
      </c>
      <c r="T1001" s="22" t="e">
        <f t="shared" si="243"/>
        <v>#N/A</v>
      </c>
      <c r="U1001" s="28">
        <v>400</v>
      </c>
      <c r="W1001" s="9">
        <v>629</v>
      </c>
      <c r="X1001" s="9" t="s">
        <v>29</v>
      </c>
      <c r="AF1001">
        <v>1065</v>
      </c>
      <c r="AG1001" t="s">
        <v>29</v>
      </c>
      <c r="AH1001">
        <v>3014.1</v>
      </c>
      <c r="AI1001" s="7">
        <v>45861</v>
      </c>
    </row>
    <row r="1002" spans="11:35">
      <c r="K1002" s="7"/>
      <c r="L1002" s="7"/>
      <c r="Q1002" s="22"/>
      <c r="R1002" s="22"/>
      <c r="S1002" s="22">
        <f t="shared" si="242"/>
        <v>0</v>
      </c>
      <c r="T1002" s="22" t="e">
        <f t="shared" si="243"/>
        <v>#N/A</v>
      </c>
      <c r="U1002" s="28">
        <v>400</v>
      </c>
      <c r="W1002" s="9">
        <v>629</v>
      </c>
      <c r="X1002" s="9" t="s">
        <v>29</v>
      </c>
      <c r="AF1002">
        <v>1066</v>
      </c>
      <c r="AG1002" t="s">
        <v>29</v>
      </c>
      <c r="AH1002">
        <v>12023.35</v>
      </c>
      <c r="AI1002" s="7">
        <v>46189</v>
      </c>
    </row>
    <row r="1003" spans="11:35">
      <c r="K1003" s="7"/>
      <c r="L1003" s="7"/>
      <c r="Q1003" s="22"/>
      <c r="R1003" s="22"/>
      <c r="S1003" s="22">
        <f t="shared" si="242"/>
        <v>0</v>
      </c>
      <c r="T1003" s="22" t="e">
        <f t="shared" si="243"/>
        <v>#N/A</v>
      </c>
      <c r="U1003" s="28">
        <v>400</v>
      </c>
      <c r="W1003" s="9">
        <v>629</v>
      </c>
      <c r="X1003" s="9" t="s">
        <v>29</v>
      </c>
      <c r="AF1003">
        <v>1067</v>
      </c>
      <c r="AG1003" t="s">
        <v>29</v>
      </c>
      <c r="AH1003">
        <v>8760</v>
      </c>
      <c r="AI1003" s="20">
        <v>46059</v>
      </c>
    </row>
    <row r="1004" spans="11:35">
      <c r="K1004" s="7"/>
      <c r="L1004" s="7"/>
      <c r="Q1004" s="22"/>
      <c r="R1004" s="22"/>
      <c r="S1004" s="22">
        <f t="shared" si="242"/>
        <v>0</v>
      </c>
      <c r="T1004" s="22" t="e">
        <f t="shared" si="243"/>
        <v>#N/A</v>
      </c>
      <c r="U1004" s="28">
        <v>400</v>
      </c>
      <c r="W1004" s="9">
        <v>629</v>
      </c>
      <c r="X1004" s="9" t="s">
        <v>29</v>
      </c>
      <c r="AF1004">
        <v>1068</v>
      </c>
      <c r="AG1004" t="s">
        <v>27</v>
      </c>
      <c r="AH1004">
        <v>8181.31</v>
      </c>
      <c r="AI1004" s="20">
        <v>46202</v>
      </c>
    </row>
    <row r="1005" spans="11:35">
      <c r="K1005" s="7"/>
      <c r="L1005" s="7"/>
      <c r="Q1005" s="22"/>
      <c r="R1005" s="22"/>
      <c r="S1005" s="22">
        <f t="shared" si="242"/>
        <v>0</v>
      </c>
      <c r="T1005" s="22" t="e">
        <f t="shared" si="243"/>
        <v>#N/A</v>
      </c>
      <c r="U1005" s="28">
        <v>400</v>
      </c>
      <c r="W1005" s="9">
        <v>629</v>
      </c>
      <c r="X1005" s="9" t="s">
        <v>29</v>
      </c>
      <c r="AF1005">
        <v>1069</v>
      </c>
      <c r="AG1005" t="s">
        <v>29</v>
      </c>
      <c r="AH1005">
        <v>23322.2</v>
      </c>
      <c r="AI1005" s="20">
        <v>46139</v>
      </c>
    </row>
    <row r="1006" spans="11:35">
      <c r="K1006" s="7"/>
      <c r="L1006" s="7"/>
      <c r="Q1006" s="22"/>
      <c r="R1006" s="22"/>
      <c r="S1006" s="22">
        <f t="shared" si="242"/>
        <v>0</v>
      </c>
      <c r="T1006" s="22" t="e">
        <f t="shared" si="243"/>
        <v>#N/A</v>
      </c>
      <c r="U1006" s="28">
        <v>400</v>
      </c>
      <c r="W1006" s="9">
        <v>629</v>
      </c>
      <c r="X1006" s="9" t="s">
        <v>29</v>
      </c>
      <c r="AF1006">
        <v>1070</v>
      </c>
      <c r="AG1006" t="s">
        <v>29</v>
      </c>
      <c r="AH1006">
        <v>11511</v>
      </c>
      <c r="AI1006" s="20">
        <v>46096</v>
      </c>
    </row>
    <row r="1007" spans="11:35">
      <c r="K1007" s="7"/>
      <c r="L1007" s="7"/>
      <c r="Q1007" s="22"/>
      <c r="R1007" s="22"/>
      <c r="S1007" s="22">
        <f t="shared" si="242"/>
        <v>0</v>
      </c>
      <c r="T1007" s="22" t="e">
        <f t="shared" si="243"/>
        <v>#N/A</v>
      </c>
      <c r="U1007" s="28">
        <v>400</v>
      </c>
      <c r="W1007" s="9">
        <v>629</v>
      </c>
      <c r="X1007" s="9" t="s">
        <v>29</v>
      </c>
      <c r="AF1007">
        <v>1071</v>
      </c>
      <c r="AG1007" t="s">
        <v>29</v>
      </c>
      <c r="AH1007">
        <v>788.74</v>
      </c>
      <c r="AI1007" s="20">
        <v>46058</v>
      </c>
    </row>
    <row r="1008" spans="11:35">
      <c r="K1008" s="7"/>
      <c r="L1008" s="7"/>
      <c r="Q1008" s="22"/>
      <c r="R1008" s="22"/>
      <c r="S1008" s="22">
        <f t="shared" si="242"/>
        <v>0</v>
      </c>
      <c r="T1008" s="22" t="e">
        <f t="shared" si="243"/>
        <v>#N/A</v>
      </c>
      <c r="U1008" s="28">
        <v>400</v>
      </c>
      <c r="W1008" s="9">
        <v>630</v>
      </c>
      <c r="X1008" s="9" t="s">
        <v>29</v>
      </c>
      <c r="AF1008">
        <v>1072</v>
      </c>
      <c r="AG1008" t="s">
        <v>29</v>
      </c>
      <c r="AH1008">
        <v>708.8</v>
      </c>
      <c r="AI1008" s="20">
        <v>46016</v>
      </c>
    </row>
    <row r="1009" spans="11:35">
      <c r="K1009" s="7"/>
      <c r="L1009" s="7"/>
      <c r="Q1009" s="22"/>
      <c r="R1009" s="22"/>
      <c r="S1009" s="22">
        <f t="shared" si="242"/>
        <v>0</v>
      </c>
      <c r="T1009" s="22" t="e">
        <f t="shared" si="243"/>
        <v>#N/A</v>
      </c>
      <c r="U1009" s="28">
        <v>400</v>
      </c>
      <c r="W1009" s="9">
        <v>633</v>
      </c>
      <c r="X1009" s="9" t="s">
        <v>27</v>
      </c>
      <c r="AF1009">
        <v>1073</v>
      </c>
      <c r="AG1009" t="s">
        <v>29</v>
      </c>
      <c r="AH1009">
        <v>4189.09</v>
      </c>
      <c r="AI1009" s="20">
        <v>46062</v>
      </c>
    </row>
    <row r="1010" spans="11:35">
      <c r="K1010" s="7"/>
      <c r="L1010" s="7"/>
      <c r="Q1010" s="22"/>
      <c r="R1010" s="22"/>
      <c r="S1010" s="22">
        <f t="shared" si="242"/>
        <v>0</v>
      </c>
      <c r="T1010" s="22" t="e">
        <f t="shared" si="243"/>
        <v>#N/A</v>
      </c>
      <c r="U1010" s="28">
        <v>400</v>
      </c>
      <c r="W1010" s="9">
        <v>634</v>
      </c>
      <c r="X1010" s="9" t="s">
        <v>27</v>
      </c>
      <c r="AF1010">
        <v>1074</v>
      </c>
      <c r="AG1010" t="s">
        <v>28</v>
      </c>
      <c r="AH1010">
        <v>14395</v>
      </c>
      <c r="AI1010" s="20">
        <v>46061</v>
      </c>
    </row>
    <row r="1011" spans="11:35">
      <c r="K1011" s="7"/>
      <c r="L1011" s="7"/>
      <c r="Q1011" s="22"/>
      <c r="R1011" s="22"/>
      <c r="S1011" s="22">
        <f t="shared" si="242"/>
        <v>0</v>
      </c>
      <c r="T1011" s="22" t="e">
        <f t="shared" si="243"/>
        <v>#N/A</v>
      </c>
      <c r="U1011" s="28">
        <v>400</v>
      </c>
      <c r="W1011" s="9">
        <v>635</v>
      </c>
      <c r="X1011" s="9" t="s">
        <v>32</v>
      </c>
      <c r="AF1011">
        <v>1075</v>
      </c>
      <c r="AG1011" t="s">
        <v>27</v>
      </c>
      <c r="AH1011">
        <v>4114</v>
      </c>
      <c r="AI1011" s="20">
        <v>46077</v>
      </c>
    </row>
    <row r="1012" spans="11:35">
      <c r="K1012" s="7"/>
      <c r="L1012" s="7"/>
      <c r="Q1012" s="22"/>
      <c r="R1012" s="22"/>
      <c r="S1012" s="22">
        <f t="shared" si="242"/>
        <v>0</v>
      </c>
      <c r="T1012" s="22" t="e">
        <f t="shared" si="243"/>
        <v>#N/A</v>
      </c>
      <c r="U1012" s="28">
        <v>400</v>
      </c>
      <c r="W1012" s="9">
        <v>636</v>
      </c>
      <c r="X1012" s="9" t="s">
        <v>27</v>
      </c>
      <c r="AF1012">
        <v>1076</v>
      </c>
      <c r="AG1012" t="s">
        <v>29</v>
      </c>
      <c r="AH1012">
        <v>22574.13</v>
      </c>
      <c r="AI1012" s="20">
        <v>46101</v>
      </c>
    </row>
    <row r="1013" spans="11:35">
      <c r="K1013" s="7"/>
      <c r="L1013" s="7"/>
      <c r="Q1013" s="22"/>
      <c r="R1013" s="22"/>
      <c r="S1013" s="22">
        <f t="shared" si="242"/>
        <v>0</v>
      </c>
      <c r="T1013" s="22" t="e">
        <f t="shared" si="243"/>
        <v>#N/A</v>
      </c>
      <c r="U1013" s="28">
        <v>400</v>
      </c>
      <c r="W1013" s="9">
        <v>637</v>
      </c>
      <c r="X1013" s="9" t="s">
        <v>27</v>
      </c>
      <c r="AF1013">
        <v>1077</v>
      </c>
      <c r="AG1013" t="s">
        <v>27</v>
      </c>
      <c r="AH1013">
        <v>10118.69</v>
      </c>
      <c r="AI1013" s="20">
        <v>46108</v>
      </c>
    </row>
    <row r="1014" spans="11:35">
      <c r="K1014" s="7"/>
      <c r="L1014" s="7"/>
      <c r="Q1014" s="22"/>
      <c r="R1014" s="22"/>
      <c r="S1014" s="22">
        <f t="shared" si="242"/>
        <v>0</v>
      </c>
      <c r="T1014" s="22" t="e">
        <f t="shared" si="243"/>
        <v>#N/A</v>
      </c>
      <c r="U1014" s="28">
        <v>400</v>
      </c>
      <c r="W1014" s="9">
        <v>638</v>
      </c>
      <c r="X1014" s="9" t="s">
        <v>27</v>
      </c>
      <c r="AF1014">
        <v>1078</v>
      </c>
      <c r="AG1014" t="s">
        <v>27</v>
      </c>
      <c r="AH1014">
        <v>5845.98</v>
      </c>
      <c r="AI1014" s="20">
        <v>46202</v>
      </c>
    </row>
    <row r="1015" spans="11:35">
      <c r="K1015" s="7"/>
      <c r="L1015" s="7"/>
      <c r="Q1015" s="22"/>
      <c r="R1015" s="22"/>
      <c r="S1015" s="22">
        <f t="shared" si="242"/>
        <v>0</v>
      </c>
      <c r="T1015" s="22" t="e">
        <f t="shared" si="243"/>
        <v>#N/A</v>
      </c>
      <c r="U1015" s="28">
        <v>400</v>
      </c>
      <c r="W1015" s="9">
        <v>640</v>
      </c>
      <c r="X1015" s="9" t="s">
        <v>27</v>
      </c>
      <c r="AF1015">
        <v>1079</v>
      </c>
      <c r="AG1015" t="s">
        <v>28</v>
      </c>
      <c r="AH1015">
        <v>15426.5</v>
      </c>
      <c r="AI1015" s="20">
        <v>46058</v>
      </c>
    </row>
    <row r="1016" spans="11:35">
      <c r="K1016" s="7"/>
      <c r="L1016" s="7"/>
      <c r="Q1016" s="22"/>
      <c r="R1016" s="22"/>
      <c r="S1016" s="22">
        <f t="shared" si="242"/>
        <v>0</v>
      </c>
      <c r="T1016" s="22" t="e">
        <f t="shared" si="243"/>
        <v>#N/A</v>
      </c>
      <c r="U1016" s="28">
        <v>400</v>
      </c>
      <c r="W1016" s="9">
        <v>642</v>
      </c>
      <c r="X1016" s="9" t="s">
        <v>27</v>
      </c>
      <c r="AF1016">
        <v>1080</v>
      </c>
      <c r="AG1016" t="s">
        <v>29</v>
      </c>
      <c r="AH1016">
        <v>7208.84</v>
      </c>
      <c r="AI1016" s="20">
        <v>46169</v>
      </c>
    </row>
    <row r="1017" spans="11:35">
      <c r="K1017" s="7"/>
      <c r="L1017" s="7"/>
      <c r="Q1017" s="22"/>
      <c r="R1017" s="22"/>
      <c r="S1017" s="22">
        <f t="shared" si="242"/>
        <v>0</v>
      </c>
      <c r="T1017" s="22" t="e">
        <f t="shared" si="243"/>
        <v>#N/A</v>
      </c>
      <c r="U1017" s="28">
        <v>400</v>
      </c>
      <c r="W1017" s="9">
        <v>643</v>
      </c>
      <c r="X1017" s="9" t="s">
        <v>33</v>
      </c>
      <c r="AF1017">
        <v>1081</v>
      </c>
      <c r="AG1017" t="s">
        <v>29</v>
      </c>
      <c r="AH1017">
        <v>4554.75</v>
      </c>
      <c r="AI1017" s="20">
        <v>46240</v>
      </c>
    </row>
    <row r="1018" spans="11:35">
      <c r="K1018" s="7"/>
      <c r="L1018" s="7"/>
      <c r="Q1018" s="22"/>
      <c r="R1018" s="22"/>
      <c r="S1018" s="22">
        <f t="shared" si="242"/>
        <v>0</v>
      </c>
      <c r="T1018" s="22" t="e">
        <f t="shared" si="243"/>
        <v>#N/A</v>
      </c>
      <c r="U1018" s="28">
        <v>400</v>
      </c>
      <c r="W1018" s="9">
        <v>644</v>
      </c>
      <c r="X1018" s="9" t="s">
        <v>29</v>
      </c>
      <c r="AF1018">
        <v>1082</v>
      </c>
      <c r="AG1018" t="s">
        <v>29</v>
      </c>
      <c r="AH1018">
        <v>21042.880000000001</v>
      </c>
      <c r="AI1018" s="20">
        <v>46021</v>
      </c>
    </row>
    <row r="1019" spans="11:35">
      <c r="K1019" s="7"/>
      <c r="L1019" s="7"/>
      <c r="Q1019" s="22"/>
      <c r="R1019" s="22"/>
      <c r="S1019" s="22">
        <f t="shared" si="242"/>
        <v>0</v>
      </c>
      <c r="T1019" s="22" t="e">
        <f t="shared" si="243"/>
        <v>#N/A</v>
      </c>
      <c r="U1019" s="28">
        <v>400</v>
      </c>
      <c r="W1019" s="9">
        <v>645</v>
      </c>
      <c r="X1019" s="9" t="s">
        <v>29</v>
      </c>
      <c r="AF1019">
        <v>1083</v>
      </c>
      <c r="AG1019" t="s">
        <v>29</v>
      </c>
      <c r="AH1019">
        <v>11627</v>
      </c>
      <c r="AI1019" s="20">
        <v>46066</v>
      </c>
    </row>
    <row r="1020" spans="11:35">
      <c r="K1020" s="7"/>
      <c r="L1020" s="7"/>
      <c r="Q1020" s="22"/>
      <c r="R1020" s="22"/>
      <c r="S1020" s="22">
        <f t="shared" si="242"/>
        <v>0</v>
      </c>
      <c r="T1020" s="22" t="e">
        <f t="shared" si="243"/>
        <v>#N/A</v>
      </c>
      <c r="U1020" s="28">
        <v>400</v>
      </c>
      <c r="W1020" s="9">
        <v>646</v>
      </c>
      <c r="X1020" s="9" t="s">
        <v>29</v>
      </c>
      <c r="AF1020">
        <v>1084</v>
      </c>
      <c r="AG1020" t="s">
        <v>29</v>
      </c>
      <c r="AH1020">
        <v>4655.67</v>
      </c>
      <c r="AI1020" s="20">
        <v>46029</v>
      </c>
    </row>
    <row r="1021" spans="11:35">
      <c r="K1021" s="7"/>
      <c r="L1021" s="7"/>
      <c r="Q1021" s="22"/>
      <c r="R1021" s="22"/>
      <c r="S1021" s="22">
        <f t="shared" si="242"/>
        <v>0</v>
      </c>
      <c r="T1021" s="22" t="e">
        <f t="shared" si="243"/>
        <v>#N/A</v>
      </c>
      <c r="U1021" s="28">
        <v>400</v>
      </c>
      <c r="W1021" s="9">
        <v>647</v>
      </c>
      <c r="X1021" s="9" t="s">
        <v>29</v>
      </c>
      <c r="AF1021">
        <v>1086</v>
      </c>
      <c r="AG1021" t="s">
        <v>29</v>
      </c>
      <c r="AH1021">
        <v>2967.56</v>
      </c>
      <c r="AI1021" s="20">
        <v>46118</v>
      </c>
    </row>
    <row r="1022" spans="11:35">
      <c r="K1022" s="7"/>
      <c r="L1022" s="7"/>
      <c r="Q1022" s="22"/>
      <c r="R1022" s="22"/>
      <c r="S1022" s="22">
        <f t="shared" si="242"/>
        <v>0</v>
      </c>
      <c r="T1022" s="22" t="e">
        <f t="shared" si="243"/>
        <v>#N/A</v>
      </c>
      <c r="U1022" s="28">
        <v>400</v>
      </c>
      <c r="W1022" s="9">
        <v>648</v>
      </c>
      <c r="X1022" s="9" t="s">
        <v>33</v>
      </c>
      <c r="AF1022">
        <v>1087</v>
      </c>
      <c r="AG1022" t="s">
        <v>29</v>
      </c>
      <c r="AH1022">
        <v>1227</v>
      </c>
      <c r="AI1022" s="20">
        <v>46024</v>
      </c>
    </row>
    <row r="1023" spans="11:35">
      <c r="K1023" s="7"/>
      <c r="L1023" s="7"/>
      <c r="Q1023" s="22"/>
      <c r="R1023" s="22"/>
      <c r="S1023" s="22">
        <f t="shared" si="242"/>
        <v>0</v>
      </c>
      <c r="T1023" s="22" t="e">
        <f t="shared" si="243"/>
        <v>#N/A</v>
      </c>
      <c r="U1023" s="28">
        <v>400</v>
      </c>
      <c r="W1023" s="9">
        <v>648</v>
      </c>
      <c r="X1023" s="9" t="s">
        <v>33</v>
      </c>
      <c r="AF1023">
        <v>1088</v>
      </c>
      <c r="AG1023" t="s">
        <v>28</v>
      </c>
      <c r="AH1023">
        <v>1534152.43</v>
      </c>
      <c r="AI1023" s="20">
        <v>46159</v>
      </c>
    </row>
    <row r="1024" spans="11:35">
      <c r="K1024" s="7"/>
      <c r="L1024" s="7"/>
      <c r="Q1024" s="22"/>
      <c r="R1024" s="22"/>
      <c r="S1024" s="22">
        <f t="shared" si="242"/>
        <v>0</v>
      </c>
      <c r="T1024" s="22" t="e">
        <f t="shared" si="243"/>
        <v>#N/A</v>
      </c>
      <c r="U1024" s="28">
        <v>400</v>
      </c>
      <c r="W1024" s="9">
        <v>648</v>
      </c>
      <c r="X1024" s="9" t="s">
        <v>33</v>
      </c>
      <c r="AF1024">
        <v>1089</v>
      </c>
      <c r="AG1024" t="s">
        <v>29</v>
      </c>
      <c r="AH1024">
        <v>7446.71</v>
      </c>
      <c r="AI1024" s="20">
        <v>46344</v>
      </c>
    </row>
    <row r="1025" spans="11:35">
      <c r="K1025" s="7"/>
      <c r="L1025" s="7"/>
      <c r="Q1025" s="22"/>
      <c r="R1025" s="22"/>
      <c r="S1025" s="22">
        <f t="shared" si="242"/>
        <v>0</v>
      </c>
      <c r="T1025" s="22" t="e">
        <f t="shared" si="243"/>
        <v>#N/A</v>
      </c>
      <c r="U1025" s="28">
        <v>400</v>
      </c>
      <c r="W1025" s="9">
        <v>648</v>
      </c>
      <c r="X1025" s="9" t="s">
        <v>33</v>
      </c>
      <c r="AF1025">
        <v>1090</v>
      </c>
      <c r="AG1025" t="s">
        <v>29</v>
      </c>
      <c r="AH1025">
        <v>7045</v>
      </c>
      <c r="AI1025" s="20">
        <v>46108</v>
      </c>
    </row>
    <row r="1026" spans="11:35">
      <c r="K1026" s="7"/>
      <c r="L1026" s="7"/>
      <c r="Q1026" s="22"/>
      <c r="R1026" s="22"/>
      <c r="S1026" s="22">
        <f t="shared" si="242"/>
        <v>0</v>
      </c>
      <c r="T1026" s="22" t="e">
        <f t="shared" si="243"/>
        <v>#N/A</v>
      </c>
      <c r="U1026" s="28">
        <v>400</v>
      </c>
      <c r="W1026" s="9">
        <v>648</v>
      </c>
      <c r="X1026" s="9" t="s">
        <v>33</v>
      </c>
      <c r="AF1026">
        <v>1091</v>
      </c>
      <c r="AG1026" t="s">
        <v>29</v>
      </c>
      <c r="AH1026">
        <v>59189</v>
      </c>
      <c r="AI1026" s="20">
        <v>46101</v>
      </c>
    </row>
    <row r="1027" spans="11:35">
      <c r="K1027" s="7"/>
      <c r="L1027" s="7"/>
      <c r="Q1027" s="22"/>
      <c r="R1027" s="22"/>
      <c r="S1027" s="22">
        <f t="shared" ref="S1027:S1090" si="244">_xlfn.XLOOKUP(Q1027,W:W,X:X)</f>
        <v>0</v>
      </c>
      <c r="T1027" s="22" t="e">
        <f t="shared" si="243"/>
        <v>#N/A</v>
      </c>
      <c r="U1027" s="28">
        <v>400</v>
      </c>
      <c r="W1027" s="9">
        <v>649</v>
      </c>
      <c r="X1027" s="9" t="s">
        <v>29</v>
      </c>
      <c r="AF1027">
        <v>1092</v>
      </c>
      <c r="AG1027" t="s">
        <v>29</v>
      </c>
      <c r="AH1027">
        <v>24133.08</v>
      </c>
      <c r="AI1027" s="20">
        <v>46082</v>
      </c>
    </row>
    <row r="1028" spans="11:35">
      <c r="K1028" s="7"/>
      <c r="L1028" s="7"/>
      <c r="Q1028" s="22"/>
      <c r="R1028" s="22"/>
      <c r="S1028" s="22">
        <f t="shared" si="244"/>
        <v>0</v>
      </c>
      <c r="T1028" s="22" t="e">
        <f t="shared" si="243"/>
        <v>#N/A</v>
      </c>
      <c r="U1028" s="28">
        <v>400</v>
      </c>
      <c r="W1028" s="9">
        <v>649</v>
      </c>
      <c r="X1028" s="9" t="s">
        <v>29</v>
      </c>
      <c r="AF1028">
        <v>1093</v>
      </c>
      <c r="AG1028" t="s">
        <v>27</v>
      </c>
      <c r="AH1028">
        <v>21135.64</v>
      </c>
      <c r="AI1028" s="20">
        <v>46328</v>
      </c>
    </row>
    <row r="1029" spans="11:35">
      <c r="K1029" s="7"/>
      <c r="L1029" s="7"/>
      <c r="Q1029" s="22"/>
      <c r="R1029" s="22"/>
      <c r="S1029" s="22">
        <f t="shared" si="244"/>
        <v>0</v>
      </c>
      <c r="T1029" s="22" t="e">
        <f t="shared" si="243"/>
        <v>#N/A</v>
      </c>
      <c r="U1029" s="28">
        <v>400</v>
      </c>
      <c r="W1029" s="9">
        <v>649</v>
      </c>
      <c r="X1029" s="9" t="s">
        <v>29</v>
      </c>
      <c r="AF1029">
        <v>1094</v>
      </c>
      <c r="AG1029" t="s">
        <v>29</v>
      </c>
      <c r="AH1029">
        <v>21544.6</v>
      </c>
      <c r="AI1029" s="20">
        <v>46072</v>
      </c>
    </row>
    <row r="1030" spans="11:35">
      <c r="K1030" s="7"/>
      <c r="L1030" s="7"/>
      <c r="Q1030" s="22"/>
      <c r="R1030" s="22"/>
      <c r="S1030" s="22">
        <f t="shared" si="244"/>
        <v>0</v>
      </c>
      <c r="T1030" s="22" t="e">
        <f t="shared" si="243"/>
        <v>#N/A</v>
      </c>
      <c r="U1030" s="28">
        <v>400</v>
      </c>
      <c r="W1030" s="9">
        <v>649</v>
      </c>
      <c r="X1030" s="9" t="s">
        <v>29</v>
      </c>
      <c r="AF1030">
        <v>1095</v>
      </c>
      <c r="AG1030" t="s">
        <v>29</v>
      </c>
      <c r="AH1030">
        <v>52636</v>
      </c>
      <c r="AI1030" s="20">
        <v>46113</v>
      </c>
    </row>
    <row r="1031" spans="11:35">
      <c r="K1031" s="7"/>
      <c r="L1031" s="7"/>
      <c r="Q1031" s="22"/>
      <c r="R1031" s="22"/>
      <c r="S1031" s="22">
        <f t="shared" si="244"/>
        <v>0</v>
      </c>
      <c r="T1031" s="22" t="e">
        <f t="shared" si="243"/>
        <v>#N/A</v>
      </c>
      <c r="U1031" s="28">
        <v>400</v>
      </c>
      <c r="W1031" s="9">
        <v>649</v>
      </c>
      <c r="X1031" s="9" t="s">
        <v>29</v>
      </c>
      <c r="AF1031">
        <v>1096</v>
      </c>
      <c r="AG1031" t="s">
        <v>28</v>
      </c>
      <c r="AH1031">
        <v>78056.22</v>
      </c>
      <c r="AI1031" s="20">
        <v>46142</v>
      </c>
    </row>
    <row r="1032" spans="11:35">
      <c r="K1032" s="7"/>
      <c r="L1032" s="7"/>
      <c r="Q1032" s="22"/>
      <c r="R1032" s="22"/>
      <c r="S1032" s="22">
        <f t="shared" si="244"/>
        <v>0</v>
      </c>
      <c r="T1032" s="22" t="e">
        <f t="shared" si="243"/>
        <v>#N/A</v>
      </c>
      <c r="U1032" s="28">
        <v>400</v>
      </c>
      <c r="W1032" s="9">
        <v>649</v>
      </c>
      <c r="X1032" s="9" t="s">
        <v>29</v>
      </c>
      <c r="AF1032">
        <v>1097</v>
      </c>
      <c r="AG1032" t="s">
        <v>27</v>
      </c>
      <c r="AH1032">
        <v>3000</v>
      </c>
      <c r="AI1032" s="20">
        <v>46073</v>
      </c>
    </row>
    <row r="1033" spans="11:35">
      <c r="K1033" s="7"/>
      <c r="L1033" s="7"/>
      <c r="Q1033" s="22"/>
      <c r="R1033" s="22"/>
      <c r="S1033" s="22">
        <f t="shared" si="244"/>
        <v>0</v>
      </c>
      <c r="T1033" s="22" t="e">
        <f t="shared" si="243"/>
        <v>#N/A</v>
      </c>
      <c r="U1033" s="28">
        <v>400</v>
      </c>
      <c r="W1033" s="9">
        <v>649</v>
      </c>
      <c r="X1033" s="9" t="s">
        <v>29</v>
      </c>
      <c r="AF1033">
        <v>1098</v>
      </c>
      <c r="AG1033" t="s">
        <v>29</v>
      </c>
      <c r="AH1033">
        <v>94000</v>
      </c>
      <c r="AI1033" s="20">
        <v>46143</v>
      </c>
    </row>
    <row r="1034" spans="11:35">
      <c r="K1034" s="7"/>
      <c r="L1034" s="7"/>
      <c r="Q1034" s="22"/>
      <c r="R1034" s="22"/>
      <c r="S1034" s="22">
        <f t="shared" si="244"/>
        <v>0</v>
      </c>
      <c r="T1034" s="22" t="e">
        <f t="shared" si="243"/>
        <v>#N/A</v>
      </c>
      <c r="U1034" s="28">
        <v>400</v>
      </c>
      <c r="W1034" s="9">
        <v>649</v>
      </c>
      <c r="X1034" s="9" t="s">
        <v>29</v>
      </c>
      <c r="AF1034">
        <v>1099</v>
      </c>
      <c r="AG1034" t="s">
        <v>29</v>
      </c>
      <c r="AH1034">
        <v>0</v>
      </c>
      <c r="AI1034" s="20">
        <v>46329</v>
      </c>
    </row>
    <row r="1035" spans="11:35">
      <c r="K1035" s="7"/>
      <c r="L1035" s="7"/>
      <c r="Q1035" s="22"/>
      <c r="R1035" s="22"/>
      <c r="S1035" s="22">
        <f t="shared" si="244"/>
        <v>0</v>
      </c>
      <c r="T1035" s="22" t="e">
        <f t="shared" si="243"/>
        <v>#N/A</v>
      </c>
      <c r="U1035" s="28">
        <v>400</v>
      </c>
      <c r="W1035" s="9">
        <v>650</v>
      </c>
      <c r="X1035" s="9" t="s">
        <v>27</v>
      </c>
      <c r="AF1035">
        <v>1100</v>
      </c>
      <c r="AG1035" t="s">
        <v>28</v>
      </c>
      <c r="AH1035">
        <v>53650.35</v>
      </c>
      <c r="AI1035" s="20">
        <v>46100</v>
      </c>
    </row>
    <row r="1036" spans="11:35">
      <c r="K1036" s="7"/>
      <c r="L1036" s="7"/>
      <c r="Q1036" s="22"/>
      <c r="R1036" s="22"/>
      <c r="S1036" s="22">
        <f t="shared" si="244"/>
        <v>0</v>
      </c>
      <c r="T1036" s="22" t="e">
        <f t="shared" si="243"/>
        <v>#N/A</v>
      </c>
      <c r="U1036" s="28">
        <v>400</v>
      </c>
      <c r="W1036" s="9">
        <v>651</v>
      </c>
      <c r="X1036" s="9" t="s">
        <v>29</v>
      </c>
      <c r="AF1036">
        <v>1101</v>
      </c>
      <c r="AG1036" t="s">
        <v>29</v>
      </c>
      <c r="AH1036">
        <v>1977</v>
      </c>
      <c r="AI1036" s="20">
        <v>46145</v>
      </c>
    </row>
    <row r="1037" spans="11:35">
      <c r="K1037" s="7"/>
      <c r="L1037" s="7"/>
      <c r="Q1037" s="22"/>
      <c r="R1037" s="22"/>
      <c r="S1037" s="22">
        <f t="shared" si="244"/>
        <v>0</v>
      </c>
      <c r="T1037" s="22" t="e">
        <f t="shared" si="243"/>
        <v>#N/A</v>
      </c>
      <c r="U1037" s="28">
        <v>400</v>
      </c>
      <c r="W1037" s="9">
        <v>652</v>
      </c>
      <c r="X1037" s="9" t="s">
        <v>27</v>
      </c>
      <c r="AF1037">
        <v>1102</v>
      </c>
      <c r="AG1037" t="s">
        <v>27</v>
      </c>
      <c r="AH1037">
        <v>12974</v>
      </c>
      <c r="AI1037" s="20">
        <v>46351</v>
      </c>
    </row>
    <row r="1038" spans="11:35">
      <c r="K1038" s="7"/>
      <c r="L1038" s="7"/>
      <c r="Q1038" s="22"/>
      <c r="R1038" s="22"/>
      <c r="S1038" s="22">
        <f t="shared" si="244"/>
        <v>0</v>
      </c>
      <c r="T1038" s="22" t="e">
        <f t="shared" si="243"/>
        <v>#N/A</v>
      </c>
      <c r="U1038" s="28">
        <v>400</v>
      </c>
      <c r="W1038" s="9">
        <v>653</v>
      </c>
      <c r="X1038" s="9" t="s">
        <v>29</v>
      </c>
      <c r="AF1038">
        <v>1103</v>
      </c>
      <c r="AG1038" t="s">
        <v>27</v>
      </c>
      <c r="AH1038">
        <v>68667.86</v>
      </c>
      <c r="AI1038" s="20">
        <v>46106</v>
      </c>
    </row>
    <row r="1039" spans="11:35">
      <c r="K1039" s="7"/>
      <c r="L1039" s="7"/>
      <c r="Q1039" s="22"/>
      <c r="R1039" s="22"/>
      <c r="S1039" s="22">
        <f t="shared" si="244"/>
        <v>0</v>
      </c>
      <c r="T1039" s="22" t="e">
        <f t="shared" si="243"/>
        <v>#N/A</v>
      </c>
      <c r="U1039" s="28">
        <v>400</v>
      </c>
      <c r="W1039" s="9">
        <v>654</v>
      </c>
      <c r="X1039" s="9" t="s">
        <v>29</v>
      </c>
      <c r="AF1039">
        <v>1104</v>
      </c>
      <c r="AG1039" t="s">
        <v>27</v>
      </c>
      <c r="AH1039">
        <v>5038.09</v>
      </c>
      <c r="AI1039" s="20">
        <v>46024</v>
      </c>
    </row>
    <row r="1040" spans="11:35">
      <c r="K1040" s="7"/>
      <c r="L1040" s="7"/>
      <c r="Q1040" s="22"/>
      <c r="R1040" s="22"/>
      <c r="S1040" s="22">
        <f t="shared" si="244"/>
        <v>0</v>
      </c>
      <c r="T1040" s="22" t="e">
        <f t="shared" si="243"/>
        <v>#N/A</v>
      </c>
      <c r="U1040" s="28">
        <v>400</v>
      </c>
      <c r="W1040" s="9">
        <v>655</v>
      </c>
      <c r="X1040" s="9" t="s">
        <v>29</v>
      </c>
      <c r="AF1040">
        <v>1105</v>
      </c>
      <c r="AG1040" t="s">
        <v>28</v>
      </c>
      <c r="AH1040">
        <v>678433</v>
      </c>
      <c r="AI1040" s="20">
        <v>46109</v>
      </c>
    </row>
    <row r="1041" spans="11:35">
      <c r="K1041" s="7"/>
      <c r="L1041" s="7"/>
      <c r="Q1041" s="22"/>
      <c r="R1041" s="22"/>
      <c r="S1041" s="22">
        <f t="shared" si="244"/>
        <v>0</v>
      </c>
      <c r="T1041" s="22" t="e">
        <f t="shared" si="243"/>
        <v>#N/A</v>
      </c>
      <c r="U1041" s="28">
        <v>400</v>
      </c>
      <c r="W1041" s="9">
        <v>655</v>
      </c>
      <c r="X1041" s="9" t="s">
        <v>29</v>
      </c>
      <c r="AF1041">
        <v>1106</v>
      </c>
      <c r="AG1041" t="s">
        <v>29</v>
      </c>
      <c r="AH1041">
        <v>2643.58</v>
      </c>
      <c r="AI1041" s="20">
        <v>46120</v>
      </c>
    </row>
    <row r="1042" spans="11:35">
      <c r="K1042" s="7"/>
      <c r="L1042" s="7"/>
      <c r="Q1042" s="22"/>
      <c r="R1042" s="22"/>
      <c r="S1042" s="22">
        <f t="shared" si="244"/>
        <v>0</v>
      </c>
      <c r="T1042" s="22" t="e">
        <f t="shared" ref="T1042:T1105" si="245">R1042*_xlfn.XLOOKUP(S1042,AM:AM,AO:AO)</f>
        <v>#N/A</v>
      </c>
      <c r="U1042" s="28">
        <v>400</v>
      </c>
      <c r="W1042" s="9">
        <v>656</v>
      </c>
      <c r="X1042" s="9" t="s">
        <v>29</v>
      </c>
      <c r="AF1042">
        <v>1107</v>
      </c>
      <c r="AG1042" t="s">
        <v>27</v>
      </c>
      <c r="AH1042">
        <v>4980.5200000000004</v>
      </c>
      <c r="AI1042" s="20">
        <v>46099</v>
      </c>
    </row>
    <row r="1043" spans="11:35">
      <c r="K1043" s="7"/>
      <c r="L1043" s="7"/>
      <c r="Q1043" s="22"/>
      <c r="R1043" s="22"/>
      <c r="S1043" s="22">
        <f t="shared" si="244"/>
        <v>0</v>
      </c>
      <c r="T1043" s="22" t="e">
        <f t="shared" si="245"/>
        <v>#N/A</v>
      </c>
      <c r="U1043" s="28">
        <v>400</v>
      </c>
      <c r="W1043" s="9">
        <v>657</v>
      </c>
      <c r="X1043" s="9" t="s">
        <v>29</v>
      </c>
      <c r="AF1043">
        <v>1108</v>
      </c>
      <c r="AG1043" t="s">
        <v>29</v>
      </c>
      <c r="AH1043">
        <v>26701.62</v>
      </c>
      <c r="AI1043" s="20">
        <v>46103</v>
      </c>
    </row>
    <row r="1044" spans="11:35">
      <c r="K1044" s="7"/>
      <c r="L1044" s="7"/>
      <c r="Q1044" s="22"/>
      <c r="R1044" s="22"/>
      <c r="S1044" s="22">
        <f t="shared" si="244"/>
        <v>0</v>
      </c>
      <c r="T1044" s="22" t="e">
        <f t="shared" si="245"/>
        <v>#N/A</v>
      </c>
      <c r="U1044" s="28">
        <v>400</v>
      </c>
      <c r="W1044" s="9">
        <v>658</v>
      </c>
      <c r="X1044" s="9" t="s">
        <v>29</v>
      </c>
      <c r="AF1044">
        <v>1109</v>
      </c>
      <c r="AG1044" t="s">
        <v>29</v>
      </c>
      <c r="AH1044">
        <v>4147.5</v>
      </c>
      <c r="AI1044" s="20">
        <v>46129</v>
      </c>
    </row>
    <row r="1045" spans="11:35">
      <c r="K1045" s="7"/>
      <c r="L1045" s="7"/>
      <c r="Q1045" s="22"/>
      <c r="R1045" s="22"/>
      <c r="S1045" s="22">
        <f t="shared" si="244"/>
        <v>0</v>
      </c>
      <c r="T1045" s="22" t="e">
        <f t="shared" si="245"/>
        <v>#N/A</v>
      </c>
      <c r="U1045" s="28">
        <v>400</v>
      </c>
      <c r="W1045" s="9">
        <v>658</v>
      </c>
      <c r="X1045" s="9" t="s">
        <v>28</v>
      </c>
      <c r="AF1045">
        <v>1110</v>
      </c>
      <c r="AG1045" t="s">
        <v>29</v>
      </c>
      <c r="AH1045">
        <v>76516</v>
      </c>
      <c r="AI1045" s="20">
        <v>46210</v>
      </c>
    </row>
    <row r="1046" spans="11:35">
      <c r="K1046" s="7"/>
      <c r="L1046" s="7"/>
      <c r="Q1046" s="22"/>
      <c r="R1046" s="22"/>
      <c r="S1046" s="22">
        <f t="shared" si="244"/>
        <v>0</v>
      </c>
      <c r="T1046" s="22" t="e">
        <f t="shared" si="245"/>
        <v>#N/A</v>
      </c>
      <c r="U1046" s="28">
        <v>400</v>
      </c>
      <c r="W1046" s="9">
        <v>658</v>
      </c>
      <c r="X1046" s="9" t="s">
        <v>29</v>
      </c>
      <c r="AF1046">
        <v>1111</v>
      </c>
      <c r="AG1046" t="s">
        <v>28</v>
      </c>
      <c r="AH1046">
        <v>75072</v>
      </c>
      <c r="AI1046" s="20">
        <v>45974</v>
      </c>
    </row>
    <row r="1047" spans="11:35">
      <c r="K1047" s="7"/>
      <c r="L1047" s="7"/>
      <c r="Q1047" s="22"/>
      <c r="R1047" s="22"/>
      <c r="S1047" s="22">
        <f t="shared" si="244"/>
        <v>0</v>
      </c>
      <c r="T1047" s="22" t="e">
        <f t="shared" si="245"/>
        <v>#N/A</v>
      </c>
      <c r="U1047" s="28">
        <v>400</v>
      </c>
      <c r="W1047" s="9">
        <v>658</v>
      </c>
      <c r="X1047" s="9" t="s">
        <v>29</v>
      </c>
      <c r="AF1047">
        <v>1112</v>
      </c>
      <c r="AG1047" t="s">
        <v>29</v>
      </c>
      <c r="AH1047">
        <v>0</v>
      </c>
      <c r="AI1047" s="20">
        <v>46280</v>
      </c>
    </row>
    <row r="1048" spans="11:35">
      <c r="K1048" s="7"/>
      <c r="L1048" s="7"/>
      <c r="Q1048" s="22"/>
      <c r="R1048" s="22"/>
      <c r="S1048" s="22">
        <f t="shared" si="244"/>
        <v>0</v>
      </c>
      <c r="T1048" s="22" t="e">
        <f t="shared" si="245"/>
        <v>#N/A</v>
      </c>
      <c r="U1048" s="28">
        <v>400</v>
      </c>
      <c r="W1048" s="9">
        <v>658</v>
      </c>
      <c r="X1048" s="9" t="s">
        <v>29</v>
      </c>
      <c r="AF1048">
        <v>1113</v>
      </c>
      <c r="AG1048" t="s">
        <v>27</v>
      </c>
      <c r="AH1048">
        <v>30000</v>
      </c>
      <c r="AI1048" s="20">
        <v>46228</v>
      </c>
    </row>
    <row r="1049" spans="11:35">
      <c r="K1049" s="7"/>
      <c r="L1049" s="7"/>
      <c r="Q1049" s="22"/>
      <c r="R1049" s="22"/>
      <c r="S1049" s="22">
        <f t="shared" si="244"/>
        <v>0</v>
      </c>
      <c r="T1049" s="22" t="e">
        <f t="shared" si="245"/>
        <v>#N/A</v>
      </c>
      <c r="U1049" s="28">
        <v>400</v>
      </c>
      <c r="W1049" s="9">
        <v>658</v>
      </c>
      <c r="X1049" s="9" t="s">
        <v>29</v>
      </c>
      <c r="AF1049">
        <v>1114</v>
      </c>
      <c r="AG1049" t="s">
        <v>28</v>
      </c>
      <c r="AH1049">
        <v>18903</v>
      </c>
      <c r="AI1049" s="20">
        <v>46093</v>
      </c>
    </row>
    <row r="1050" spans="11:35">
      <c r="K1050" s="7"/>
      <c r="L1050" s="7"/>
      <c r="Q1050" s="22"/>
      <c r="R1050" s="22"/>
      <c r="S1050" s="22">
        <f t="shared" si="244"/>
        <v>0</v>
      </c>
      <c r="T1050" s="22" t="e">
        <f t="shared" si="245"/>
        <v>#N/A</v>
      </c>
      <c r="U1050" s="28">
        <v>400</v>
      </c>
      <c r="W1050" s="9">
        <v>660</v>
      </c>
      <c r="X1050" s="9" t="s">
        <v>29</v>
      </c>
      <c r="AF1050">
        <v>1115</v>
      </c>
      <c r="AG1050" t="s">
        <v>29</v>
      </c>
      <c r="AH1050">
        <v>82280</v>
      </c>
      <c r="AI1050" s="20">
        <v>46265</v>
      </c>
    </row>
    <row r="1051" spans="11:35">
      <c r="K1051" s="7"/>
      <c r="L1051" s="7"/>
      <c r="Q1051" s="22"/>
      <c r="R1051" s="22"/>
      <c r="S1051" s="22">
        <f t="shared" si="244"/>
        <v>0</v>
      </c>
      <c r="T1051" s="22" t="e">
        <f t="shared" si="245"/>
        <v>#N/A</v>
      </c>
      <c r="U1051" s="28">
        <v>400</v>
      </c>
      <c r="W1051" s="9">
        <v>661</v>
      </c>
      <c r="X1051" s="9" t="s">
        <v>28</v>
      </c>
      <c r="AF1051">
        <v>1117</v>
      </c>
      <c r="AG1051" t="s">
        <v>29</v>
      </c>
      <c r="AH1051">
        <v>58632</v>
      </c>
      <c r="AI1051" s="20">
        <v>46082</v>
      </c>
    </row>
    <row r="1052" spans="11:35">
      <c r="K1052" s="7"/>
      <c r="L1052" s="7"/>
      <c r="Q1052" s="22"/>
      <c r="R1052" s="22"/>
      <c r="S1052" s="22">
        <f t="shared" si="244"/>
        <v>0</v>
      </c>
      <c r="T1052" s="22" t="e">
        <f t="shared" si="245"/>
        <v>#N/A</v>
      </c>
      <c r="U1052" s="28">
        <v>400</v>
      </c>
      <c r="W1052" s="9">
        <v>662</v>
      </c>
      <c r="X1052" s="9" t="s">
        <v>28</v>
      </c>
      <c r="AF1052">
        <v>1118</v>
      </c>
      <c r="AG1052" t="s">
        <v>29</v>
      </c>
      <c r="AH1052">
        <v>14301.39</v>
      </c>
      <c r="AI1052" s="20">
        <v>46082</v>
      </c>
    </row>
    <row r="1053" spans="11:35">
      <c r="K1053" s="7"/>
      <c r="L1053" s="7"/>
      <c r="Q1053" s="22"/>
      <c r="R1053" s="22"/>
      <c r="S1053" s="22">
        <f t="shared" si="244"/>
        <v>0</v>
      </c>
      <c r="T1053" s="22" t="e">
        <f t="shared" si="245"/>
        <v>#N/A</v>
      </c>
      <c r="U1053" s="28">
        <v>400</v>
      </c>
      <c r="W1053" s="9">
        <v>664</v>
      </c>
      <c r="X1053" s="9" t="s">
        <v>29</v>
      </c>
      <c r="AF1053">
        <v>1119</v>
      </c>
      <c r="AG1053" t="s">
        <v>29</v>
      </c>
      <c r="AH1053">
        <v>41600</v>
      </c>
      <c r="AI1053" s="20">
        <v>46158</v>
      </c>
    </row>
    <row r="1054" spans="11:35">
      <c r="K1054" s="7"/>
      <c r="L1054" s="7"/>
      <c r="Q1054" s="22"/>
      <c r="R1054" s="22"/>
      <c r="S1054" s="22">
        <f t="shared" si="244"/>
        <v>0</v>
      </c>
      <c r="T1054" s="22" t="e">
        <f t="shared" si="245"/>
        <v>#N/A</v>
      </c>
      <c r="U1054" s="28">
        <v>400</v>
      </c>
      <c r="W1054" s="9">
        <v>665</v>
      </c>
      <c r="X1054" s="9" t="s">
        <v>29</v>
      </c>
      <c r="AF1054">
        <v>1120</v>
      </c>
      <c r="AG1054" t="s">
        <v>29</v>
      </c>
      <c r="AH1054">
        <v>52400</v>
      </c>
      <c r="AI1054" s="20">
        <v>46169</v>
      </c>
    </row>
    <row r="1055" spans="11:35">
      <c r="K1055" s="7"/>
      <c r="L1055" s="7"/>
      <c r="Q1055" s="22"/>
      <c r="R1055" s="22"/>
      <c r="S1055" s="22">
        <f t="shared" si="244"/>
        <v>0</v>
      </c>
      <c r="T1055" s="22" t="e">
        <f t="shared" si="245"/>
        <v>#N/A</v>
      </c>
      <c r="U1055" s="28">
        <v>400</v>
      </c>
      <c r="W1055" s="9">
        <v>665</v>
      </c>
      <c r="X1055" s="9" t="s">
        <v>29</v>
      </c>
      <c r="AF1055">
        <v>1121</v>
      </c>
      <c r="AG1055" t="s">
        <v>29</v>
      </c>
      <c r="AH1055">
        <v>4702.07</v>
      </c>
      <c r="AI1055" s="20">
        <v>46098</v>
      </c>
    </row>
    <row r="1056" spans="11:35">
      <c r="K1056" s="7"/>
      <c r="L1056" s="7"/>
      <c r="Q1056" s="22"/>
      <c r="R1056" s="22"/>
      <c r="S1056" s="22">
        <f t="shared" si="244"/>
        <v>0</v>
      </c>
      <c r="T1056" s="22" t="e">
        <f t="shared" si="245"/>
        <v>#N/A</v>
      </c>
      <c r="U1056" s="28">
        <v>400</v>
      </c>
      <c r="W1056" s="9">
        <v>667</v>
      </c>
      <c r="X1056" s="9" t="s">
        <v>29</v>
      </c>
      <c r="AF1056">
        <v>1122</v>
      </c>
      <c r="AG1056" t="s">
        <v>27</v>
      </c>
      <c r="AH1056">
        <v>83567.91</v>
      </c>
      <c r="AI1056" s="20">
        <v>46082</v>
      </c>
    </row>
    <row r="1057" spans="11:35">
      <c r="K1057" s="7"/>
      <c r="L1057" s="7"/>
      <c r="Q1057" s="22"/>
      <c r="R1057" s="22"/>
      <c r="S1057" s="22">
        <f t="shared" si="244"/>
        <v>0</v>
      </c>
      <c r="T1057" s="22" t="e">
        <f t="shared" si="245"/>
        <v>#N/A</v>
      </c>
      <c r="U1057" s="28">
        <v>400</v>
      </c>
      <c r="W1057" s="9">
        <v>668</v>
      </c>
      <c r="X1057" s="9" t="s">
        <v>27</v>
      </c>
      <c r="AF1057">
        <v>1123</v>
      </c>
      <c r="AG1057" t="s">
        <v>29</v>
      </c>
      <c r="AH1057">
        <v>227.64</v>
      </c>
      <c r="AI1057" s="20">
        <v>46080</v>
      </c>
    </row>
    <row r="1058" spans="11:35">
      <c r="K1058" s="7"/>
      <c r="L1058" s="7"/>
      <c r="Q1058" s="22"/>
      <c r="R1058" s="22"/>
      <c r="S1058" s="22">
        <f t="shared" si="244"/>
        <v>0</v>
      </c>
      <c r="T1058" s="22" t="e">
        <f t="shared" si="245"/>
        <v>#N/A</v>
      </c>
      <c r="U1058" s="28">
        <v>400</v>
      </c>
      <c r="W1058" s="9">
        <v>669</v>
      </c>
      <c r="X1058" s="9" t="s">
        <v>29</v>
      </c>
      <c r="AF1058">
        <v>1124</v>
      </c>
      <c r="AG1058" t="s">
        <v>29</v>
      </c>
      <c r="AH1058">
        <v>7716</v>
      </c>
      <c r="AI1058" s="20">
        <v>46076</v>
      </c>
    </row>
    <row r="1059" spans="11:35">
      <c r="K1059" s="7"/>
      <c r="L1059" s="7"/>
      <c r="Q1059" s="22"/>
      <c r="R1059" s="22"/>
      <c r="S1059" s="22">
        <f t="shared" si="244"/>
        <v>0</v>
      </c>
      <c r="T1059" s="22" t="e">
        <f t="shared" si="245"/>
        <v>#N/A</v>
      </c>
      <c r="U1059" s="28">
        <v>400</v>
      </c>
      <c r="W1059" s="9">
        <v>670</v>
      </c>
      <c r="X1059" s="9" t="s">
        <v>29</v>
      </c>
      <c r="AF1059">
        <v>1125</v>
      </c>
      <c r="AG1059" t="s">
        <v>29</v>
      </c>
      <c r="AH1059">
        <v>8235</v>
      </c>
      <c r="AI1059" s="20">
        <v>46138</v>
      </c>
    </row>
    <row r="1060" spans="11:35">
      <c r="K1060" s="7"/>
      <c r="L1060" s="7"/>
      <c r="Q1060" s="22"/>
      <c r="R1060" s="22"/>
      <c r="S1060" s="22">
        <f t="shared" si="244"/>
        <v>0</v>
      </c>
      <c r="T1060" s="22" t="e">
        <f t="shared" si="245"/>
        <v>#N/A</v>
      </c>
      <c r="U1060" s="28">
        <v>400</v>
      </c>
      <c r="W1060" s="9">
        <v>671</v>
      </c>
      <c r="X1060" s="9" t="s">
        <v>29</v>
      </c>
      <c r="AF1060">
        <v>1126</v>
      </c>
      <c r="AG1060" t="s">
        <v>27</v>
      </c>
      <c r="AH1060">
        <v>2571.25</v>
      </c>
      <c r="AI1060" s="20">
        <v>46077</v>
      </c>
    </row>
    <row r="1061" spans="11:35">
      <c r="K1061" s="7"/>
      <c r="L1061" s="7"/>
      <c r="Q1061" s="22"/>
      <c r="R1061" s="22"/>
      <c r="S1061" s="22">
        <f t="shared" si="244"/>
        <v>0</v>
      </c>
      <c r="T1061" s="22" t="e">
        <f t="shared" si="245"/>
        <v>#N/A</v>
      </c>
      <c r="U1061" s="28">
        <v>400</v>
      </c>
      <c r="W1061" s="9">
        <v>672</v>
      </c>
      <c r="X1061" s="9" t="s">
        <v>27</v>
      </c>
      <c r="AF1061">
        <v>1127</v>
      </c>
      <c r="AG1061" t="s">
        <v>29</v>
      </c>
      <c r="AH1061">
        <v>0</v>
      </c>
      <c r="AI1061" s="20">
        <v>46092</v>
      </c>
    </row>
    <row r="1062" spans="11:35">
      <c r="Q1062" s="22"/>
      <c r="R1062" s="22"/>
      <c r="S1062" s="22">
        <f t="shared" si="244"/>
        <v>0</v>
      </c>
      <c r="T1062" s="22" t="e">
        <f t="shared" si="245"/>
        <v>#N/A</v>
      </c>
      <c r="U1062" s="28">
        <v>400</v>
      </c>
      <c r="W1062" s="9">
        <v>672</v>
      </c>
      <c r="X1062" s="9" t="s">
        <v>27</v>
      </c>
    </row>
    <row r="1063" spans="11:35">
      <c r="Q1063" s="22"/>
      <c r="R1063" s="22"/>
      <c r="S1063" s="22">
        <f t="shared" si="244"/>
        <v>0</v>
      </c>
      <c r="T1063" s="22" t="e">
        <f t="shared" si="245"/>
        <v>#N/A</v>
      </c>
      <c r="U1063" s="28">
        <v>400</v>
      </c>
      <c r="W1063" s="9">
        <v>672</v>
      </c>
      <c r="X1063" s="9" t="s">
        <v>27</v>
      </c>
    </row>
    <row r="1064" spans="11:35">
      <c r="Q1064" s="22"/>
      <c r="R1064" s="22"/>
      <c r="S1064" s="22">
        <f t="shared" si="244"/>
        <v>0</v>
      </c>
      <c r="T1064" s="22" t="e">
        <f t="shared" si="245"/>
        <v>#N/A</v>
      </c>
      <c r="U1064" s="28">
        <v>400</v>
      </c>
      <c r="W1064" s="9">
        <v>672</v>
      </c>
      <c r="X1064" s="9" t="s">
        <v>27</v>
      </c>
    </row>
    <row r="1065" spans="11:35">
      <c r="Q1065" s="22"/>
      <c r="R1065" s="22"/>
      <c r="S1065" s="22">
        <f t="shared" si="244"/>
        <v>0</v>
      </c>
      <c r="T1065" s="22" t="e">
        <f t="shared" si="245"/>
        <v>#N/A</v>
      </c>
      <c r="U1065" s="28">
        <v>400</v>
      </c>
      <c r="W1065" s="9">
        <v>672</v>
      </c>
      <c r="X1065" s="9" t="s">
        <v>27</v>
      </c>
    </row>
    <row r="1066" spans="11:35">
      <c r="Q1066" s="22"/>
      <c r="R1066" s="22"/>
      <c r="S1066" s="22">
        <f t="shared" si="244"/>
        <v>0</v>
      </c>
      <c r="T1066" s="22" t="e">
        <f t="shared" si="245"/>
        <v>#N/A</v>
      </c>
      <c r="U1066" s="28">
        <v>400</v>
      </c>
      <c r="W1066" s="9">
        <v>672</v>
      </c>
      <c r="X1066" s="9" t="s">
        <v>27</v>
      </c>
    </row>
    <row r="1067" spans="11:35">
      <c r="Q1067" s="22"/>
      <c r="R1067" s="22"/>
      <c r="S1067" s="22">
        <f t="shared" si="244"/>
        <v>0</v>
      </c>
      <c r="T1067" s="22" t="e">
        <f t="shared" si="245"/>
        <v>#N/A</v>
      </c>
      <c r="U1067" s="28">
        <v>400</v>
      </c>
      <c r="W1067" s="9">
        <v>672</v>
      </c>
      <c r="X1067" s="9" t="s">
        <v>27</v>
      </c>
    </row>
    <row r="1068" spans="11:35">
      <c r="Q1068" s="22"/>
      <c r="R1068" s="22"/>
      <c r="S1068" s="22">
        <f t="shared" si="244"/>
        <v>0</v>
      </c>
      <c r="T1068" s="22" t="e">
        <f t="shared" si="245"/>
        <v>#N/A</v>
      </c>
      <c r="U1068" s="28">
        <v>400</v>
      </c>
      <c r="W1068" s="9">
        <v>672</v>
      </c>
      <c r="X1068" s="9" t="s">
        <v>27</v>
      </c>
    </row>
    <row r="1069" spans="11:35">
      <c r="Q1069" s="22"/>
      <c r="R1069" s="22"/>
      <c r="S1069" s="22">
        <f t="shared" si="244"/>
        <v>0</v>
      </c>
      <c r="T1069" s="22" t="e">
        <f t="shared" si="245"/>
        <v>#N/A</v>
      </c>
      <c r="U1069" s="28">
        <v>400</v>
      </c>
      <c r="W1069" s="9">
        <v>672</v>
      </c>
      <c r="X1069" s="9" t="s">
        <v>27</v>
      </c>
    </row>
    <row r="1070" spans="11:35">
      <c r="Q1070" s="22"/>
      <c r="R1070" s="22"/>
      <c r="S1070" s="22">
        <f t="shared" si="244"/>
        <v>0</v>
      </c>
      <c r="T1070" s="22" t="e">
        <f t="shared" si="245"/>
        <v>#N/A</v>
      </c>
      <c r="U1070" s="28">
        <v>400</v>
      </c>
      <c r="W1070" s="9">
        <v>672</v>
      </c>
      <c r="X1070" s="9" t="s">
        <v>27</v>
      </c>
    </row>
    <row r="1071" spans="11:35">
      <c r="Q1071" s="22"/>
      <c r="R1071" s="22"/>
      <c r="S1071" s="22">
        <f t="shared" si="244"/>
        <v>0</v>
      </c>
      <c r="T1071" s="22" t="e">
        <f t="shared" si="245"/>
        <v>#N/A</v>
      </c>
      <c r="U1071" s="28">
        <v>400</v>
      </c>
      <c r="W1071" s="9">
        <v>673</v>
      </c>
      <c r="X1071" s="9" t="s">
        <v>29</v>
      </c>
    </row>
    <row r="1072" spans="11:35">
      <c r="Q1072" s="22"/>
      <c r="R1072" s="22"/>
      <c r="S1072" s="22">
        <f t="shared" si="244"/>
        <v>0</v>
      </c>
      <c r="T1072" s="22" t="e">
        <f t="shared" si="245"/>
        <v>#N/A</v>
      </c>
      <c r="U1072" s="28">
        <v>400</v>
      </c>
      <c r="W1072" s="9">
        <v>674</v>
      </c>
      <c r="X1072" s="9" t="s">
        <v>29</v>
      </c>
    </row>
    <row r="1073" spans="17:24">
      <c r="Q1073" s="22"/>
      <c r="R1073" s="22"/>
      <c r="S1073" s="22">
        <f t="shared" si="244"/>
        <v>0</v>
      </c>
      <c r="T1073" s="22" t="e">
        <f t="shared" si="245"/>
        <v>#N/A</v>
      </c>
      <c r="U1073" s="28">
        <v>400</v>
      </c>
      <c r="W1073" s="9">
        <v>674</v>
      </c>
      <c r="X1073" s="9" t="s">
        <v>29</v>
      </c>
    </row>
    <row r="1074" spans="17:24">
      <c r="Q1074" s="22"/>
      <c r="R1074" s="22"/>
      <c r="S1074" s="22">
        <f t="shared" si="244"/>
        <v>0</v>
      </c>
      <c r="T1074" s="22" t="e">
        <f t="shared" si="245"/>
        <v>#N/A</v>
      </c>
      <c r="U1074" s="28">
        <v>400</v>
      </c>
      <c r="W1074" s="9">
        <v>675</v>
      </c>
      <c r="X1074" s="9" t="s">
        <v>29</v>
      </c>
    </row>
    <row r="1075" spans="17:24">
      <c r="Q1075" s="22"/>
      <c r="R1075" s="22"/>
      <c r="S1075" s="22">
        <f t="shared" si="244"/>
        <v>0</v>
      </c>
      <c r="T1075" s="22" t="e">
        <f t="shared" si="245"/>
        <v>#N/A</v>
      </c>
      <c r="U1075" s="28">
        <v>400</v>
      </c>
      <c r="W1075" s="9">
        <v>675</v>
      </c>
      <c r="X1075" s="9" t="s">
        <v>29</v>
      </c>
    </row>
    <row r="1076" spans="17:24">
      <c r="Q1076" s="22"/>
      <c r="R1076" s="22"/>
      <c r="S1076" s="22">
        <f t="shared" si="244"/>
        <v>0</v>
      </c>
      <c r="T1076" s="22" t="e">
        <f t="shared" si="245"/>
        <v>#N/A</v>
      </c>
      <c r="U1076" s="28">
        <v>400</v>
      </c>
      <c r="W1076" s="9">
        <v>676</v>
      </c>
      <c r="X1076" s="9" t="s">
        <v>27</v>
      </c>
    </row>
    <row r="1077" spans="17:24">
      <c r="Q1077" s="22"/>
      <c r="R1077" s="22"/>
      <c r="S1077" s="22">
        <f t="shared" si="244"/>
        <v>0</v>
      </c>
      <c r="T1077" s="22" t="e">
        <f t="shared" si="245"/>
        <v>#N/A</v>
      </c>
      <c r="U1077" s="28">
        <v>400</v>
      </c>
      <c r="W1077" s="9">
        <v>676</v>
      </c>
      <c r="X1077" s="9" t="s">
        <v>27</v>
      </c>
    </row>
    <row r="1078" spans="17:24">
      <c r="Q1078" s="22"/>
      <c r="R1078" s="22"/>
      <c r="S1078" s="22">
        <f t="shared" si="244"/>
        <v>0</v>
      </c>
      <c r="T1078" s="22" t="e">
        <f t="shared" si="245"/>
        <v>#N/A</v>
      </c>
      <c r="U1078" s="28">
        <v>400</v>
      </c>
      <c r="W1078" s="9">
        <v>676</v>
      </c>
      <c r="X1078" s="9" t="s">
        <v>27</v>
      </c>
    </row>
    <row r="1079" spans="17:24">
      <c r="Q1079" s="22"/>
      <c r="R1079" s="22"/>
      <c r="S1079" s="22">
        <f t="shared" si="244"/>
        <v>0</v>
      </c>
      <c r="T1079" s="22" t="e">
        <f t="shared" si="245"/>
        <v>#N/A</v>
      </c>
      <c r="U1079" s="28">
        <v>400</v>
      </c>
      <c r="W1079" s="9">
        <v>678</v>
      </c>
      <c r="X1079" s="9" t="s">
        <v>29</v>
      </c>
    </row>
    <row r="1080" spans="17:24">
      <c r="Q1080" s="22"/>
      <c r="R1080" s="22"/>
      <c r="S1080" s="22">
        <f t="shared" si="244"/>
        <v>0</v>
      </c>
      <c r="T1080" s="22" t="e">
        <f t="shared" si="245"/>
        <v>#N/A</v>
      </c>
      <c r="U1080" s="28">
        <v>400</v>
      </c>
      <c r="W1080" s="9">
        <v>679</v>
      </c>
      <c r="X1080" s="9" t="s">
        <v>29</v>
      </c>
    </row>
    <row r="1081" spans="17:24">
      <c r="Q1081" s="22"/>
      <c r="R1081" s="22"/>
      <c r="S1081" s="22">
        <f t="shared" si="244"/>
        <v>0</v>
      </c>
      <c r="T1081" s="22" t="e">
        <f t="shared" si="245"/>
        <v>#N/A</v>
      </c>
      <c r="U1081" s="28">
        <v>400</v>
      </c>
      <c r="W1081" s="9">
        <v>680</v>
      </c>
      <c r="X1081" s="9" t="s">
        <v>29</v>
      </c>
    </row>
    <row r="1082" spans="17:24">
      <c r="Q1082" s="22"/>
      <c r="R1082" s="22"/>
      <c r="S1082" s="22">
        <f t="shared" si="244"/>
        <v>0</v>
      </c>
      <c r="T1082" s="22" t="e">
        <f t="shared" si="245"/>
        <v>#N/A</v>
      </c>
      <c r="U1082" s="28">
        <v>400</v>
      </c>
      <c r="W1082" s="9">
        <v>680</v>
      </c>
      <c r="X1082" s="9" t="s">
        <v>29</v>
      </c>
    </row>
    <row r="1083" spans="17:24">
      <c r="Q1083" s="22"/>
      <c r="R1083" s="22"/>
      <c r="S1083" s="22">
        <f t="shared" si="244"/>
        <v>0</v>
      </c>
      <c r="T1083" s="22" t="e">
        <f t="shared" si="245"/>
        <v>#N/A</v>
      </c>
      <c r="U1083" s="28">
        <v>400</v>
      </c>
      <c r="W1083" s="9">
        <v>680</v>
      </c>
      <c r="X1083" s="9" t="s">
        <v>29</v>
      </c>
    </row>
    <row r="1084" spans="17:24">
      <c r="Q1084" s="22"/>
      <c r="R1084" s="22"/>
      <c r="S1084" s="22">
        <f t="shared" si="244"/>
        <v>0</v>
      </c>
      <c r="T1084" s="22" t="e">
        <f t="shared" si="245"/>
        <v>#N/A</v>
      </c>
      <c r="U1084" s="28">
        <v>400</v>
      </c>
      <c r="W1084" s="9">
        <v>680</v>
      </c>
      <c r="X1084" s="9" t="s">
        <v>29</v>
      </c>
    </row>
    <row r="1085" spans="17:24">
      <c r="Q1085" s="22"/>
      <c r="R1085" s="22"/>
      <c r="S1085" s="22">
        <f t="shared" si="244"/>
        <v>0</v>
      </c>
      <c r="T1085" s="22" t="e">
        <f t="shared" si="245"/>
        <v>#N/A</v>
      </c>
      <c r="U1085" s="28">
        <v>400</v>
      </c>
      <c r="W1085" s="9">
        <v>680</v>
      </c>
      <c r="X1085" s="9" t="s">
        <v>29</v>
      </c>
    </row>
    <row r="1086" spans="17:24">
      <c r="Q1086" s="22"/>
      <c r="R1086" s="22"/>
      <c r="S1086" s="22">
        <f t="shared" si="244"/>
        <v>0</v>
      </c>
      <c r="T1086" s="22" t="e">
        <f t="shared" si="245"/>
        <v>#N/A</v>
      </c>
      <c r="U1086" s="28">
        <v>400</v>
      </c>
      <c r="W1086" s="9">
        <v>680</v>
      </c>
      <c r="X1086" s="9" t="s">
        <v>29</v>
      </c>
    </row>
    <row r="1087" spans="17:24">
      <c r="Q1087" s="22"/>
      <c r="R1087" s="22"/>
      <c r="S1087" s="22">
        <f t="shared" si="244"/>
        <v>0</v>
      </c>
      <c r="T1087" s="22" t="e">
        <f t="shared" si="245"/>
        <v>#N/A</v>
      </c>
      <c r="U1087" s="28">
        <v>400</v>
      </c>
      <c r="W1087" s="9">
        <v>680</v>
      </c>
      <c r="X1087" s="9" t="s">
        <v>29</v>
      </c>
    </row>
    <row r="1088" spans="17:24">
      <c r="Q1088" s="22"/>
      <c r="R1088" s="22"/>
      <c r="S1088" s="22">
        <f t="shared" si="244"/>
        <v>0</v>
      </c>
      <c r="T1088" s="22" t="e">
        <f t="shared" si="245"/>
        <v>#N/A</v>
      </c>
      <c r="U1088" s="28">
        <v>400</v>
      </c>
      <c r="W1088" s="9">
        <v>683</v>
      </c>
      <c r="X1088" s="9" t="s">
        <v>32</v>
      </c>
    </row>
    <row r="1089" spans="17:24">
      <c r="Q1089" s="22"/>
      <c r="R1089" s="22"/>
      <c r="S1089" s="22">
        <f t="shared" si="244"/>
        <v>0</v>
      </c>
      <c r="T1089" s="22" t="e">
        <f t="shared" si="245"/>
        <v>#N/A</v>
      </c>
      <c r="U1089" s="28">
        <v>400</v>
      </c>
      <c r="W1089" s="9">
        <v>684</v>
      </c>
      <c r="X1089" s="9" t="s">
        <v>29</v>
      </c>
    </row>
    <row r="1090" spans="17:24">
      <c r="Q1090" s="22"/>
      <c r="R1090" s="22"/>
      <c r="S1090" s="22">
        <f t="shared" si="244"/>
        <v>0</v>
      </c>
      <c r="T1090" s="22" t="e">
        <f t="shared" si="245"/>
        <v>#N/A</v>
      </c>
      <c r="U1090" s="28">
        <v>400</v>
      </c>
      <c r="W1090" s="9">
        <v>686</v>
      </c>
      <c r="X1090" s="9" t="s">
        <v>27</v>
      </c>
    </row>
    <row r="1091" spans="17:24">
      <c r="Q1091" s="22"/>
      <c r="R1091" s="22"/>
      <c r="S1091" s="22">
        <f t="shared" ref="S1091:S1154" si="246">_xlfn.XLOOKUP(Q1091,W:W,X:X)</f>
        <v>0</v>
      </c>
      <c r="T1091" s="22" t="e">
        <f t="shared" si="245"/>
        <v>#N/A</v>
      </c>
      <c r="U1091" s="28">
        <v>400</v>
      </c>
      <c r="W1091" s="9">
        <v>686</v>
      </c>
      <c r="X1091" s="9" t="s">
        <v>27</v>
      </c>
    </row>
    <row r="1092" spans="17:24">
      <c r="Q1092" s="22"/>
      <c r="R1092" s="22"/>
      <c r="S1092" s="22">
        <f t="shared" si="246"/>
        <v>0</v>
      </c>
      <c r="T1092" s="22" t="e">
        <f t="shared" si="245"/>
        <v>#N/A</v>
      </c>
      <c r="U1092" s="28">
        <v>400</v>
      </c>
      <c r="W1092" s="9">
        <v>686</v>
      </c>
      <c r="X1092" s="9" t="s">
        <v>27</v>
      </c>
    </row>
    <row r="1093" spans="17:24">
      <c r="Q1093" s="22"/>
      <c r="R1093" s="22"/>
      <c r="S1093" s="22">
        <f t="shared" si="246"/>
        <v>0</v>
      </c>
      <c r="T1093" s="22" t="e">
        <f t="shared" si="245"/>
        <v>#N/A</v>
      </c>
      <c r="U1093" s="28">
        <v>400</v>
      </c>
      <c r="W1093" s="9">
        <v>686</v>
      </c>
      <c r="X1093" s="9" t="s">
        <v>27</v>
      </c>
    </row>
    <row r="1094" spans="17:24">
      <c r="Q1094" s="22"/>
      <c r="R1094" s="22"/>
      <c r="S1094" s="22">
        <f t="shared" si="246"/>
        <v>0</v>
      </c>
      <c r="T1094" s="22" t="e">
        <f t="shared" si="245"/>
        <v>#N/A</v>
      </c>
      <c r="U1094" s="28">
        <v>400</v>
      </c>
      <c r="W1094" s="9">
        <v>687</v>
      </c>
      <c r="X1094" s="9" t="s">
        <v>29</v>
      </c>
    </row>
    <row r="1095" spans="17:24">
      <c r="Q1095" s="22"/>
      <c r="R1095" s="22"/>
      <c r="S1095" s="22">
        <f t="shared" si="246"/>
        <v>0</v>
      </c>
      <c r="T1095" s="22" t="e">
        <f t="shared" si="245"/>
        <v>#N/A</v>
      </c>
      <c r="U1095" s="28">
        <v>400</v>
      </c>
      <c r="W1095" s="9">
        <v>687</v>
      </c>
      <c r="X1095" s="9" t="s">
        <v>29</v>
      </c>
    </row>
    <row r="1096" spans="17:24">
      <c r="Q1096" s="22"/>
      <c r="R1096" s="22"/>
      <c r="S1096" s="22">
        <f t="shared" si="246"/>
        <v>0</v>
      </c>
      <c r="T1096" s="22" t="e">
        <f t="shared" si="245"/>
        <v>#N/A</v>
      </c>
      <c r="U1096" s="28">
        <v>400</v>
      </c>
      <c r="W1096" s="9">
        <v>691</v>
      </c>
      <c r="X1096" s="9" t="s">
        <v>29</v>
      </c>
    </row>
    <row r="1097" spans="17:24">
      <c r="Q1097" s="22"/>
      <c r="R1097" s="22"/>
      <c r="S1097" s="22">
        <f t="shared" si="246"/>
        <v>0</v>
      </c>
      <c r="T1097" s="22" t="e">
        <f t="shared" si="245"/>
        <v>#N/A</v>
      </c>
      <c r="U1097" s="28">
        <v>400</v>
      </c>
      <c r="W1097" s="9">
        <v>691</v>
      </c>
      <c r="X1097" s="9" t="s">
        <v>29</v>
      </c>
    </row>
    <row r="1098" spans="17:24">
      <c r="Q1098" s="22"/>
      <c r="R1098" s="22"/>
      <c r="S1098" s="22">
        <f t="shared" si="246"/>
        <v>0</v>
      </c>
      <c r="T1098" s="22" t="e">
        <f t="shared" si="245"/>
        <v>#N/A</v>
      </c>
      <c r="U1098" s="28">
        <v>400</v>
      </c>
      <c r="W1098" s="9">
        <v>692</v>
      </c>
      <c r="X1098" s="9" t="s">
        <v>29</v>
      </c>
    </row>
    <row r="1099" spans="17:24">
      <c r="Q1099" s="22"/>
      <c r="R1099" s="22"/>
      <c r="S1099" s="22">
        <f t="shared" si="246"/>
        <v>0</v>
      </c>
      <c r="T1099" s="22" t="e">
        <f t="shared" si="245"/>
        <v>#N/A</v>
      </c>
      <c r="U1099" s="28">
        <v>400</v>
      </c>
      <c r="W1099" s="9">
        <v>693</v>
      </c>
      <c r="X1099" s="9" t="s">
        <v>27</v>
      </c>
    </row>
    <row r="1100" spans="17:24">
      <c r="Q1100" s="22"/>
      <c r="R1100" s="22"/>
      <c r="S1100" s="22">
        <f t="shared" si="246"/>
        <v>0</v>
      </c>
      <c r="T1100" s="22" t="e">
        <f t="shared" si="245"/>
        <v>#N/A</v>
      </c>
      <c r="U1100" s="28">
        <v>400</v>
      </c>
      <c r="W1100" s="9">
        <v>694</v>
      </c>
      <c r="X1100" s="9" t="s">
        <v>27</v>
      </c>
    </row>
    <row r="1101" spans="17:24">
      <c r="Q1101" s="22"/>
      <c r="R1101" s="22"/>
      <c r="S1101" s="22">
        <f t="shared" si="246"/>
        <v>0</v>
      </c>
      <c r="T1101" s="22" t="e">
        <f t="shared" si="245"/>
        <v>#N/A</v>
      </c>
      <c r="U1101" s="28">
        <v>400</v>
      </c>
      <c r="W1101" s="9">
        <v>694</v>
      </c>
      <c r="X1101" s="9" t="s">
        <v>27</v>
      </c>
    </row>
    <row r="1102" spans="17:24">
      <c r="Q1102" s="22"/>
      <c r="R1102" s="22"/>
      <c r="S1102" s="22">
        <f t="shared" si="246"/>
        <v>0</v>
      </c>
      <c r="T1102" s="22" t="e">
        <f t="shared" si="245"/>
        <v>#N/A</v>
      </c>
      <c r="U1102" s="28">
        <v>400</v>
      </c>
      <c r="W1102" s="9">
        <v>694</v>
      </c>
      <c r="X1102" s="9" t="s">
        <v>27</v>
      </c>
    </row>
    <row r="1103" spans="17:24">
      <c r="Q1103" s="22"/>
      <c r="R1103" s="22"/>
      <c r="S1103" s="22">
        <f t="shared" si="246"/>
        <v>0</v>
      </c>
      <c r="T1103" s="22" t="e">
        <f t="shared" si="245"/>
        <v>#N/A</v>
      </c>
      <c r="U1103" s="28">
        <v>400</v>
      </c>
      <c r="W1103" s="9">
        <v>695</v>
      </c>
      <c r="X1103" s="9" t="s">
        <v>29</v>
      </c>
    </row>
    <row r="1104" spans="17:24">
      <c r="Q1104" s="22"/>
      <c r="R1104" s="22"/>
      <c r="S1104" s="22">
        <f t="shared" si="246"/>
        <v>0</v>
      </c>
      <c r="T1104" s="22" t="e">
        <f t="shared" si="245"/>
        <v>#N/A</v>
      </c>
      <c r="U1104" s="28">
        <v>400</v>
      </c>
      <c r="W1104" s="9">
        <v>695</v>
      </c>
      <c r="X1104" s="9" t="s">
        <v>29</v>
      </c>
    </row>
    <row r="1105" spans="17:24">
      <c r="Q1105" s="22"/>
      <c r="R1105" s="22"/>
      <c r="S1105" s="22">
        <f t="shared" si="246"/>
        <v>0</v>
      </c>
      <c r="T1105" s="22" t="e">
        <f t="shared" si="245"/>
        <v>#N/A</v>
      </c>
      <c r="U1105" s="28">
        <v>400</v>
      </c>
      <c r="W1105" s="9">
        <v>695</v>
      </c>
      <c r="X1105" s="9" t="s">
        <v>29</v>
      </c>
    </row>
    <row r="1106" spans="17:24">
      <c r="Q1106" s="22"/>
      <c r="R1106" s="22"/>
      <c r="S1106" s="22">
        <f t="shared" si="246"/>
        <v>0</v>
      </c>
      <c r="T1106" s="22" t="e">
        <f t="shared" ref="T1106:T1169" si="247">R1106*_xlfn.XLOOKUP(S1106,AM:AM,AO:AO)</f>
        <v>#N/A</v>
      </c>
      <c r="U1106" s="28">
        <v>400</v>
      </c>
      <c r="W1106" s="9">
        <v>695</v>
      </c>
      <c r="X1106" s="9" t="s">
        <v>29</v>
      </c>
    </row>
    <row r="1107" spans="17:24">
      <c r="Q1107" s="22"/>
      <c r="R1107" s="22"/>
      <c r="S1107" s="22">
        <f t="shared" si="246"/>
        <v>0</v>
      </c>
      <c r="T1107" s="22" t="e">
        <f t="shared" si="247"/>
        <v>#N/A</v>
      </c>
      <c r="U1107" s="28">
        <v>400</v>
      </c>
      <c r="W1107" s="9">
        <v>696</v>
      </c>
      <c r="X1107" s="9" t="s">
        <v>29</v>
      </c>
    </row>
    <row r="1108" spans="17:24">
      <c r="Q1108" s="22"/>
      <c r="R1108" s="22"/>
      <c r="S1108" s="22">
        <f t="shared" si="246"/>
        <v>0</v>
      </c>
      <c r="T1108" s="22" t="e">
        <f t="shared" si="247"/>
        <v>#N/A</v>
      </c>
      <c r="U1108" s="28">
        <v>400</v>
      </c>
      <c r="W1108" s="9">
        <v>696</v>
      </c>
      <c r="X1108" s="9" t="s">
        <v>29</v>
      </c>
    </row>
    <row r="1109" spans="17:24">
      <c r="Q1109" s="22"/>
      <c r="R1109" s="22"/>
      <c r="S1109" s="22">
        <f t="shared" si="246"/>
        <v>0</v>
      </c>
      <c r="T1109" s="22" t="e">
        <f t="shared" si="247"/>
        <v>#N/A</v>
      </c>
      <c r="U1109" s="28">
        <v>400</v>
      </c>
      <c r="W1109" s="9">
        <v>696</v>
      </c>
      <c r="X1109" s="9" t="s">
        <v>29</v>
      </c>
    </row>
    <row r="1110" spans="17:24">
      <c r="Q1110" s="22"/>
      <c r="R1110" s="22"/>
      <c r="S1110" s="22">
        <f t="shared" si="246"/>
        <v>0</v>
      </c>
      <c r="T1110" s="22" t="e">
        <f t="shared" si="247"/>
        <v>#N/A</v>
      </c>
      <c r="U1110" s="28">
        <v>400</v>
      </c>
      <c r="W1110" s="9">
        <v>696</v>
      </c>
      <c r="X1110" s="9" t="s">
        <v>29</v>
      </c>
    </row>
    <row r="1111" spans="17:24">
      <c r="Q1111" s="22"/>
      <c r="R1111" s="22"/>
      <c r="S1111" s="22">
        <f t="shared" si="246"/>
        <v>0</v>
      </c>
      <c r="T1111" s="22" t="e">
        <f t="shared" si="247"/>
        <v>#N/A</v>
      </c>
      <c r="U1111" s="28">
        <v>400</v>
      </c>
      <c r="W1111" s="9">
        <v>697</v>
      </c>
      <c r="X1111" s="9" t="s">
        <v>29</v>
      </c>
    </row>
    <row r="1112" spans="17:24">
      <c r="Q1112" s="22"/>
      <c r="R1112" s="22"/>
      <c r="S1112" s="22">
        <f t="shared" si="246"/>
        <v>0</v>
      </c>
      <c r="T1112" s="22" t="e">
        <f t="shared" si="247"/>
        <v>#N/A</v>
      </c>
      <c r="U1112" s="28">
        <v>400</v>
      </c>
      <c r="W1112" s="9">
        <v>699</v>
      </c>
      <c r="X1112" s="9" t="s">
        <v>29</v>
      </c>
    </row>
    <row r="1113" spans="17:24">
      <c r="Q1113" s="22"/>
      <c r="R1113" s="22"/>
      <c r="S1113" s="22">
        <f t="shared" si="246"/>
        <v>0</v>
      </c>
      <c r="T1113" s="22" t="e">
        <f t="shared" si="247"/>
        <v>#N/A</v>
      </c>
      <c r="U1113" s="28">
        <v>400</v>
      </c>
      <c r="W1113" s="9">
        <v>699</v>
      </c>
      <c r="X1113" s="9" t="s">
        <v>29</v>
      </c>
    </row>
    <row r="1114" spans="17:24">
      <c r="Q1114" s="22"/>
      <c r="R1114" s="22"/>
      <c r="S1114" s="22">
        <f t="shared" si="246"/>
        <v>0</v>
      </c>
      <c r="T1114" s="22" t="e">
        <f t="shared" si="247"/>
        <v>#N/A</v>
      </c>
      <c r="U1114" s="28">
        <v>400</v>
      </c>
      <c r="W1114" s="9">
        <v>700</v>
      </c>
      <c r="X1114" s="9" t="s">
        <v>29</v>
      </c>
    </row>
    <row r="1115" spans="17:24">
      <c r="Q1115" s="22"/>
      <c r="R1115" s="22"/>
      <c r="S1115" s="22">
        <f t="shared" si="246"/>
        <v>0</v>
      </c>
      <c r="T1115" s="22" t="e">
        <f t="shared" si="247"/>
        <v>#N/A</v>
      </c>
      <c r="U1115" s="28">
        <v>400</v>
      </c>
      <c r="W1115" s="9">
        <v>701</v>
      </c>
      <c r="X1115" s="9" t="s">
        <v>29</v>
      </c>
    </row>
    <row r="1116" spans="17:24">
      <c r="Q1116" s="22"/>
      <c r="R1116" s="22"/>
      <c r="S1116" s="22">
        <f t="shared" si="246"/>
        <v>0</v>
      </c>
      <c r="T1116" s="22" t="e">
        <f t="shared" si="247"/>
        <v>#N/A</v>
      </c>
      <c r="U1116" s="28">
        <v>400</v>
      </c>
      <c r="W1116" s="9">
        <v>702</v>
      </c>
      <c r="X1116" s="9" t="s">
        <v>29</v>
      </c>
    </row>
    <row r="1117" spans="17:24">
      <c r="Q1117" s="22"/>
      <c r="R1117" s="22"/>
      <c r="S1117" s="22">
        <f t="shared" si="246"/>
        <v>0</v>
      </c>
      <c r="T1117" s="22" t="e">
        <f t="shared" si="247"/>
        <v>#N/A</v>
      </c>
      <c r="U1117" s="28">
        <v>400</v>
      </c>
      <c r="W1117" s="9">
        <v>704</v>
      </c>
      <c r="X1117" s="9" t="s">
        <v>29</v>
      </c>
    </row>
    <row r="1118" spans="17:24">
      <c r="Q1118" s="22"/>
      <c r="R1118" s="22"/>
      <c r="S1118" s="22">
        <f t="shared" si="246"/>
        <v>0</v>
      </c>
      <c r="T1118" s="22" t="e">
        <f t="shared" si="247"/>
        <v>#N/A</v>
      </c>
      <c r="U1118" s="28">
        <v>400</v>
      </c>
      <c r="W1118" s="9">
        <v>704</v>
      </c>
      <c r="X1118" s="9" t="s">
        <v>29</v>
      </c>
    </row>
    <row r="1119" spans="17:24">
      <c r="Q1119" s="22"/>
      <c r="R1119" s="22"/>
      <c r="S1119" s="22">
        <f t="shared" si="246"/>
        <v>0</v>
      </c>
      <c r="T1119" s="22" t="e">
        <f t="shared" si="247"/>
        <v>#N/A</v>
      </c>
      <c r="U1119" s="28">
        <v>400</v>
      </c>
      <c r="W1119" s="9">
        <v>704</v>
      </c>
      <c r="X1119" s="9" t="s">
        <v>29</v>
      </c>
    </row>
    <row r="1120" spans="17:24">
      <c r="Q1120" s="22"/>
      <c r="R1120" s="22"/>
      <c r="S1120" s="22">
        <f t="shared" si="246"/>
        <v>0</v>
      </c>
      <c r="T1120" s="22" t="e">
        <f t="shared" si="247"/>
        <v>#N/A</v>
      </c>
      <c r="U1120" s="28">
        <v>400</v>
      </c>
      <c r="W1120" s="9">
        <v>706</v>
      </c>
      <c r="X1120" s="9" t="s">
        <v>29</v>
      </c>
    </row>
    <row r="1121" spans="17:24">
      <c r="Q1121" s="22"/>
      <c r="R1121" s="22"/>
      <c r="S1121" s="22">
        <f t="shared" si="246"/>
        <v>0</v>
      </c>
      <c r="T1121" s="22" t="e">
        <f t="shared" si="247"/>
        <v>#N/A</v>
      </c>
      <c r="U1121" s="28">
        <v>400</v>
      </c>
      <c r="W1121" s="9">
        <v>707</v>
      </c>
      <c r="X1121" s="9" t="s">
        <v>29</v>
      </c>
    </row>
    <row r="1122" spans="17:24">
      <c r="Q1122" s="22"/>
      <c r="R1122" s="22"/>
      <c r="S1122" s="22">
        <f t="shared" si="246"/>
        <v>0</v>
      </c>
      <c r="T1122" s="22" t="e">
        <f t="shared" si="247"/>
        <v>#N/A</v>
      </c>
      <c r="U1122" s="28">
        <v>400</v>
      </c>
      <c r="W1122" s="9">
        <v>707</v>
      </c>
      <c r="X1122" s="9" t="s">
        <v>29</v>
      </c>
    </row>
    <row r="1123" spans="17:24">
      <c r="Q1123" s="22"/>
      <c r="R1123" s="22"/>
      <c r="S1123" s="22">
        <f t="shared" si="246"/>
        <v>0</v>
      </c>
      <c r="T1123" s="22" t="e">
        <f t="shared" si="247"/>
        <v>#N/A</v>
      </c>
      <c r="U1123" s="28">
        <v>400</v>
      </c>
      <c r="W1123" s="9">
        <v>707</v>
      </c>
      <c r="X1123" s="9" t="s">
        <v>29</v>
      </c>
    </row>
    <row r="1124" spans="17:24">
      <c r="Q1124" s="22"/>
      <c r="R1124" s="22"/>
      <c r="S1124" s="22">
        <f t="shared" si="246"/>
        <v>0</v>
      </c>
      <c r="T1124" s="22" t="e">
        <f t="shared" si="247"/>
        <v>#N/A</v>
      </c>
      <c r="U1124" s="28">
        <v>400</v>
      </c>
      <c r="W1124" s="9">
        <v>707</v>
      </c>
      <c r="X1124" s="9" t="s">
        <v>29</v>
      </c>
    </row>
    <row r="1125" spans="17:24">
      <c r="Q1125" s="22"/>
      <c r="R1125" s="22"/>
      <c r="S1125" s="22">
        <f t="shared" si="246"/>
        <v>0</v>
      </c>
      <c r="T1125" s="22" t="e">
        <f t="shared" si="247"/>
        <v>#N/A</v>
      </c>
      <c r="U1125" s="28">
        <v>400</v>
      </c>
      <c r="W1125" s="9">
        <v>709</v>
      </c>
      <c r="X1125" s="9" t="s">
        <v>30</v>
      </c>
    </row>
    <row r="1126" spans="17:24">
      <c r="Q1126" s="22"/>
      <c r="R1126" s="22"/>
      <c r="S1126" s="22">
        <f t="shared" si="246"/>
        <v>0</v>
      </c>
      <c r="T1126" s="22" t="e">
        <f t="shared" si="247"/>
        <v>#N/A</v>
      </c>
      <c r="U1126" s="28">
        <v>400</v>
      </c>
      <c r="W1126" s="9">
        <v>710</v>
      </c>
      <c r="X1126" s="9" t="s">
        <v>27</v>
      </c>
    </row>
    <row r="1127" spans="17:24">
      <c r="Q1127" s="22"/>
      <c r="R1127" s="22"/>
      <c r="S1127" s="22">
        <f t="shared" si="246"/>
        <v>0</v>
      </c>
      <c r="T1127" s="22" t="e">
        <f t="shared" si="247"/>
        <v>#N/A</v>
      </c>
      <c r="U1127" s="28">
        <v>400</v>
      </c>
      <c r="W1127" s="9">
        <v>710</v>
      </c>
      <c r="X1127" s="9" t="s">
        <v>27</v>
      </c>
    </row>
    <row r="1128" spans="17:24">
      <c r="Q1128" s="22"/>
      <c r="R1128" s="22"/>
      <c r="S1128" s="22">
        <f t="shared" si="246"/>
        <v>0</v>
      </c>
      <c r="T1128" s="22" t="e">
        <f t="shared" si="247"/>
        <v>#N/A</v>
      </c>
      <c r="U1128" s="28">
        <v>400</v>
      </c>
      <c r="W1128" s="9">
        <v>710</v>
      </c>
      <c r="X1128" s="9" t="s">
        <v>27</v>
      </c>
    </row>
    <row r="1129" spans="17:24">
      <c r="Q1129" s="22"/>
      <c r="R1129" s="22"/>
      <c r="S1129" s="22">
        <f t="shared" si="246"/>
        <v>0</v>
      </c>
      <c r="T1129" s="22" t="e">
        <f t="shared" si="247"/>
        <v>#N/A</v>
      </c>
      <c r="U1129" s="28">
        <v>400</v>
      </c>
      <c r="W1129" s="9">
        <v>711</v>
      </c>
      <c r="X1129" s="9" t="s">
        <v>29</v>
      </c>
    </row>
    <row r="1130" spans="17:24">
      <c r="Q1130" s="22"/>
      <c r="R1130" s="22"/>
      <c r="S1130" s="22">
        <f t="shared" si="246"/>
        <v>0</v>
      </c>
      <c r="T1130" s="22" t="e">
        <f t="shared" si="247"/>
        <v>#N/A</v>
      </c>
      <c r="U1130" s="28">
        <v>400</v>
      </c>
      <c r="W1130" s="9">
        <v>711</v>
      </c>
      <c r="X1130" s="9" t="s">
        <v>27</v>
      </c>
    </row>
    <row r="1131" spans="17:24">
      <c r="Q1131" s="22"/>
      <c r="R1131" s="22"/>
      <c r="S1131" s="22">
        <f t="shared" si="246"/>
        <v>0</v>
      </c>
      <c r="T1131" s="22" t="e">
        <f t="shared" si="247"/>
        <v>#N/A</v>
      </c>
      <c r="U1131" s="28">
        <v>400</v>
      </c>
      <c r="W1131" s="9">
        <v>712</v>
      </c>
      <c r="X1131" s="9" t="s">
        <v>27</v>
      </c>
    </row>
    <row r="1132" spans="17:24">
      <c r="Q1132" s="22"/>
      <c r="R1132" s="22"/>
      <c r="S1132" s="22">
        <f t="shared" si="246"/>
        <v>0</v>
      </c>
      <c r="T1132" s="22" t="e">
        <f t="shared" si="247"/>
        <v>#N/A</v>
      </c>
      <c r="U1132" s="28">
        <v>400</v>
      </c>
      <c r="W1132" s="9">
        <v>714</v>
      </c>
      <c r="X1132" s="9" t="s">
        <v>29</v>
      </c>
    </row>
    <row r="1133" spans="17:24">
      <c r="Q1133" s="22"/>
      <c r="R1133" s="22"/>
      <c r="S1133" s="22">
        <f t="shared" si="246"/>
        <v>0</v>
      </c>
      <c r="T1133" s="22" t="e">
        <f t="shared" si="247"/>
        <v>#N/A</v>
      </c>
      <c r="U1133" s="28">
        <v>400</v>
      </c>
      <c r="W1133" s="9">
        <v>715</v>
      </c>
      <c r="X1133" s="9" t="s">
        <v>28</v>
      </c>
    </row>
    <row r="1134" spans="17:24">
      <c r="Q1134" s="22"/>
      <c r="R1134" s="22"/>
      <c r="S1134" s="22">
        <f t="shared" si="246"/>
        <v>0</v>
      </c>
      <c r="T1134" s="22" t="e">
        <f t="shared" si="247"/>
        <v>#N/A</v>
      </c>
      <c r="U1134" s="28">
        <v>400</v>
      </c>
      <c r="W1134" s="9">
        <v>716</v>
      </c>
      <c r="X1134" s="9" t="s">
        <v>29</v>
      </c>
    </row>
    <row r="1135" spans="17:24">
      <c r="Q1135" s="22"/>
      <c r="R1135" s="22"/>
      <c r="S1135" s="22">
        <f t="shared" si="246"/>
        <v>0</v>
      </c>
      <c r="T1135" s="22" t="e">
        <f t="shared" si="247"/>
        <v>#N/A</v>
      </c>
      <c r="U1135" s="28">
        <v>400</v>
      </c>
      <c r="W1135" s="9">
        <v>722</v>
      </c>
      <c r="X1135" s="9" t="s">
        <v>29</v>
      </c>
    </row>
    <row r="1136" spans="17:24">
      <c r="Q1136" s="22"/>
      <c r="R1136" s="22"/>
      <c r="S1136" s="22">
        <f t="shared" si="246"/>
        <v>0</v>
      </c>
      <c r="T1136" s="22" t="e">
        <f t="shared" si="247"/>
        <v>#N/A</v>
      </c>
      <c r="U1136" s="28">
        <v>400</v>
      </c>
      <c r="W1136" s="9">
        <v>724</v>
      </c>
      <c r="X1136" s="9" t="s">
        <v>29</v>
      </c>
    </row>
    <row r="1137" spans="17:24">
      <c r="Q1137" s="22"/>
      <c r="R1137" s="22"/>
      <c r="S1137" s="22">
        <f t="shared" si="246"/>
        <v>0</v>
      </c>
      <c r="T1137" s="22" t="e">
        <f t="shared" si="247"/>
        <v>#N/A</v>
      </c>
      <c r="U1137" s="28">
        <v>400</v>
      </c>
      <c r="W1137" s="9">
        <v>725</v>
      </c>
      <c r="X1137" s="9" t="s">
        <v>29</v>
      </c>
    </row>
    <row r="1138" spans="17:24">
      <c r="Q1138" s="22"/>
      <c r="R1138" s="22"/>
      <c r="S1138" s="22">
        <f t="shared" si="246"/>
        <v>0</v>
      </c>
      <c r="T1138" s="22" t="e">
        <f t="shared" si="247"/>
        <v>#N/A</v>
      </c>
      <c r="U1138" s="28">
        <v>400</v>
      </c>
      <c r="W1138" s="9">
        <v>727</v>
      </c>
      <c r="X1138" s="9" t="s">
        <v>29</v>
      </c>
    </row>
    <row r="1139" spans="17:24">
      <c r="Q1139" s="22"/>
      <c r="R1139" s="22"/>
      <c r="S1139" s="22">
        <f t="shared" si="246"/>
        <v>0</v>
      </c>
      <c r="T1139" s="22" t="e">
        <f t="shared" si="247"/>
        <v>#N/A</v>
      </c>
      <c r="U1139" s="28">
        <v>400</v>
      </c>
      <c r="W1139" s="9">
        <v>727</v>
      </c>
      <c r="X1139" s="9" t="s">
        <v>29</v>
      </c>
    </row>
    <row r="1140" spans="17:24">
      <c r="Q1140" s="22"/>
      <c r="R1140" s="22"/>
      <c r="S1140" s="22">
        <f t="shared" si="246"/>
        <v>0</v>
      </c>
      <c r="T1140" s="22" t="e">
        <f t="shared" si="247"/>
        <v>#N/A</v>
      </c>
      <c r="U1140" s="28">
        <v>400</v>
      </c>
      <c r="W1140" s="9">
        <v>727</v>
      </c>
      <c r="X1140" s="9" t="s">
        <v>29</v>
      </c>
    </row>
    <row r="1141" spans="17:24">
      <c r="Q1141" s="22"/>
      <c r="R1141" s="22"/>
      <c r="S1141" s="22">
        <f t="shared" si="246"/>
        <v>0</v>
      </c>
      <c r="T1141" s="22" t="e">
        <f t="shared" si="247"/>
        <v>#N/A</v>
      </c>
      <c r="U1141" s="28">
        <v>400</v>
      </c>
      <c r="W1141" s="9">
        <v>727</v>
      </c>
      <c r="X1141" s="9" t="s">
        <v>29</v>
      </c>
    </row>
    <row r="1142" spans="17:24">
      <c r="Q1142" s="22"/>
      <c r="R1142" s="22"/>
      <c r="S1142" s="22">
        <f t="shared" si="246"/>
        <v>0</v>
      </c>
      <c r="T1142" s="22" t="e">
        <f t="shared" si="247"/>
        <v>#N/A</v>
      </c>
      <c r="U1142" s="28">
        <v>400</v>
      </c>
      <c r="W1142" s="9">
        <v>727</v>
      </c>
      <c r="X1142" s="9" t="s">
        <v>29</v>
      </c>
    </row>
    <row r="1143" spans="17:24">
      <c r="Q1143" s="22"/>
      <c r="R1143" s="22"/>
      <c r="S1143" s="22">
        <f t="shared" si="246"/>
        <v>0</v>
      </c>
      <c r="T1143" s="22" t="e">
        <f t="shared" si="247"/>
        <v>#N/A</v>
      </c>
      <c r="U1143" s="28">
        <v>400</v>
      </c>
      <c r="W1143" s="9">
        <v>727</v>
      </c>
      <c r="X1143" s="9" t="s">
        <v>29</v>
      </c>
    </row>
    <row r="1144" spans="17:24">
      <c r="Q1144" s="22"/>
      <c r="R1144" s="22"/>
      <c r="S1144" s="22">
        <f t="shared" si="246"/>
        <v>0</v>
      </c>
      <c r="T1144" s="22" t="e">
        <f t="shared" si="247"/>
        <v>#N/A</v>
      </c>
      <c r="U1144" s="28">
        <v>400</v>
      </c>
      <c r="W1144" s="9">
        <v>727</v>
      </c>
      <c r="X1144" s="9" t="s">
        <v>29</v>
      </c>
    </row>
    <row r="1145" spans="17:24">
      <c r="Q1145" s="22"/>
      <c r="R1145" s="22"/>
      <c r="S1145" s="22">
        <f t="shared" si="246"/>
        <v>0</v>
      </c>
      <c r="T1145" s="22" t="e">
        <f t="shared" si="247"/>
        <v>#N/A</v>
      </c>
      <c r="U1145" s="28">
        <v>400</v>
      </c>
      <c r="W1145" s="9">
        <v>728</v>
      </c>
      <c r="X1145" s="9" t="s">
        <v>29</v>
      </c>
    </row>
    <row r="1146" spans="17:24">
      <c r="Q1146" s="22"/>
      <c r="R1146" s="22"/>
      <c r="S1146" s="22">
        <f t="shared" si="246"/>
        <v>0</v>
      </c>
      <c r="T1146" s="22" t="e">
        <f t="shared" si="247"/>
        <v>#N/A</v>
      </c>
      <c r="U1146" s="28">
        <v>400</v>
      </c>
      <c r="W1146" s="9">
        <v>729</v>
      </c>
      <c r="X1146" s="9" t="s">
        <v>29</v>
      </c>
    </row>
    <row r="1147" spans="17:24">
      <c r="Q1147" s="22"/>
      <c r="R1147" s="22"/>
      <c r="S1147" s="22">
        <f t="shared" si="246"/>
        <v>0</v>
      </c>
      <c r="T1147" s="22" t="e">
        <f t="shared" si="247"/>
        <v>#N/A</v>
      </c>
      <c r="U1147" s="28">
        <v>400</v>
      </c>
      <c r="W1147" s="9">
        <v>730</v>
      </c>
      <c r="X1147" s="9" t="s">
        <v>29</v>
      </c>
    </row>
    <row r="1148" spans="17:24">
      <c r="Q1148" s="22"/>
      <c r="R1148" s="22"/>
      <c r="S1148" s="22">
        <f t="shared" si="246"/>
        <v>0</v>
      </c>
      <c r="T1148" s="22" t="e">
        <f t="shared" si="247"/>
        <v>#N/A</v>
      </c>
      <c r="U1148" s="28">
        <v>400</v>
      </c>
      <c r="W1148" s="9">
        <v>731</v>
      </c>
      <c r="X1148" s="9" t="s">
        <v>29</v>
      </c>
    </row>
    <row r="1149" spans="17:24">
      <c r="Q1149" s="22"/>
      <c r="R1149" s="22"/>
      <c r="S1149" s="22">
        <f t="shared" si="246"/>
        <v>0</v>
      </c>
      <c r="T1149" s="22" t="e">
        <f t="shared" si="247"/>
        <v>#N/A</v>
      </c>
      <c r="U1149" s="28">
        <v>400</v>
      </c>
      <c r="W1149" s="9">
        <v>732</v>
      </c>
      <c r="X1149" s="9" t="s">
        <v>29</v>
      </c>
    </row>
    <row r="1150" spans="17:24">
      <c r="Q1150" s="22"/>
      <c r="R1150" s="22"/>
      <c r="S1150" s="22">
        <f t="shared" si="246"/>
        <v>0</v>
      </c>
      <c r="T1150" s="22" t="e">
        <f t="shared" si="247"/>
        <v>#N/A</v>
      </c>
      <c r="U1150" s="28">
        <v>400</v>
      </c>
      <c r="W1150" s="9">
        <v>733</v>
      </c>
      <c r="X1150" s="9" t="s">
        <v>29</v>
      </c>
    </row>
    <row r="1151" spans="17:24">
      <c r="Q1151" s="22"/>
      <c r="R1151" s="22"/>
      <c r="S1151" s="22">
        <f t="shared" si="246"/>
        <v>0</v>
      </c>
      <c r="T1151" s="22" t="e">
        <f t="shared" si="247"/>
        <v>#N/A</v>
      </c>
      <c r="U1151" s="28">
        <v>400</v>
      </c>
      <c r="W1151" s="9">
        <v>734</v>
      </c>
      <c r="X1151" s="9" t="s">
        <v>29</v>
      </c>
    </row>
    <row r="1152" spans="17:24">
      <c r="Q1152" s="22"/>
      <c r="R1152" s="22"/>
      <c r="S1152" s="22">
        <f t="shared" si="246"/>
        <v>0</v>
      </c>
      <c r="T1152" s="22" t="e">
        <f t="shared" si="247"/>
        <v>#N/A</v>
      </c>
      <c r="U1152" s="28">
        <v>400</v>
      </c>
      <c r="W1152" s="9">
        <v>734</v>
      </c>
      <c r="X1152" s="9" t="s">
        <v>29</v>
      </c>
    </row>
    <row r="1153" spans="17:24">
      <c r="Q1153" s="22"/>
      <c r="R1153" s="22"/>
      <c r="S1153" s="22">
        <f t="shared" si="246"/>
        <v>0</v>
      </c>
      <c r="T1153" s="22" t="e">
        <f t="shared" si="247"/>
        <v>#N/A</v>
      </c>
      <c r="U1153" s="28">
        <v>400</v>
      </c>
      <c r="W1153" s="9">
        <v>734</v>
      </c>
      <c r="X1153" s="9" t="s">
        <v>29</v>
      </c>
    </row>
    <row r="1154" spans="17:24">
      <c r="Q1154" s="22"/>
      <c r="R1154" s="22"/>
      <c r="S1154" s="22">
        <f t="shared" si="246"/>
        <v>0</v>
      </c>
      <c r="T1154" s="22" t="e">
        <f t="shared" si="247"/>
        <v>#N/A</v>
      </c>
      <c r="U1154" s="28">
        <v>400</v>
      </c>
      <c r="W1154" s="9">
        <v>734</v>
      </c>
      <c r="X1154" s="9" t="s">
        <v>29</v>
      </c>
    </row>
    <row r="1155" spans="17:24">
      <c r="Q1155" s="22"/>
      <c r="R1155" s="22"/>
      <c r="S1155" s="22">
        <f t="shared" ref="S1155:S1218" si="248">_xlfn.XLOOKUP(Q1155,W:W,X:X)</f>
        <v>0</v>
      </c>
      <c r="T1155" s="22" t="e">
        <f t="shared" si="247"/>
        <v>#N/A</v>
      </c>
      <c r="U1155" s="28">
        <v>400</v>
      </c>
      <c r="W1155" s="9">
        <v>734</v>
      </c>
      <c r="X1155" s="9" t="s">
        <v>29</v>
      </c>
    </row>
    <row r="1156" spans="17:24">
      <c r="Q1156" s="22"/>
      <c r="R1156" s="22"/>
      <c r="S1156" s="22">
        <f t="shared" si="248"/>
        <v>0</v>
      </c>
      <c r="T1156" s="22" t="e">
        <f t="shared" si="247"/>
        <v>#N/A</v>
      </c>
      <c r="U1156" s="28">
        <v>400</v>
      </c>
      <c r="W1156" s="9">
        <v>735</v>
      </c>
      <c r="X1156" s="9" t="s">
        <v>29</v>
      </c>
    </row>
    <row r="1157" spans="17:24">
      <c r="Q1157" s="22"/>
      <c r="R1157" s="22"/>
      <c r="S1157" s="22">
        <f t="shared" si="248"/>
        <v>0</v>
      </c>
      <c r="T1157" s="22" t="e">
        <f t="shared" si="247"/>
        <v>#N/A</v>
      </c>
      <c r="U1157" s="28">
        <v>400</v>
      </c>
      <c r="W1157" s="9">
        <v>735</v>
      </c>
      <c r="X1157" s="9" t="s">
        <v>29</v>
      </c>
    </row>
    <row r="1158" spans="17:24">
      <c r="Q1158" s="22"/>
      <c r="R1158" s="22"/>
      <c r="S1158" s="22">
        <f t="shared" si="248"/>
        <v>0</v>
      </c>
      <c r="T1158" s="22" t="e">
        <f t="shared" si="247"/>
        <v>#N/A</v>
      </c>
      <c r="U1158" s="28">
        <v>400</v>
      </c>
      <c r="W1158" s="9">
        <v>735</v>
      </c>
      <c r="X1158" s="9" t="s">
        <v>29</v>
      </c>
    </row>
    <row r="1159" spans="17:24">
      <c r="Q1159" s="22"/>
      <c r="R1159" s="22"/>
      <c r="S1159" s="22">
        <f t="shared" si="248"/>
        <v>0</v>
      </c>
      <c r="T1159" s="22" t="e">
        <f t="shared" si="247"/>
        <v>#N/A</v>
      </c>
      <c r="U1159" s="28">
        <v>400</v>
      </c>
      <c r="W1159" s="9">
        <v>735</v>
      </c>
      <c r="X1159" s="9" t="s">
        <v>29</v>
      </c>
    </row>
    <row r="1160" spans="17:24">
      <c r="Q1160" s="22"/>
      <c r="R1160" s="22"/>
      <c r="S1160" s="22">
        <f t="shared" si="248"/>
        <v>0</v>
      </c>
      <c r="T1160" s="22" t="e">
        <f t="shared" si="247"/>
        <v>#N/A</v>
      </c>
      <c r="U1160" s="28">
        <v>400</v>
      </c>
      <c r="W1160" s="9">
        <v>735</v>
      </c>
      <c r="X1160" s="9" t="s">
        <v>29</v>
      </c>
    </row>
    <row r="1161" spans="17:24">
      <c r="Q1161" s="22"/>
      <c r="R1161" s="22"/>
      <c r="S1161" s="22">
        <f t="shared" si="248"/>
        <v>0</v>
      </c>
      <c r="T1161" s="22" t="e">
        <f t="shared" si="247"/>
        <v>#N/A</v>
      </c>
      <c r="U1161" s="28">
        <v>400</v>
      </c>
      <c r="W1161" s="9">
        <v>737</v>
      </c>
      <c r="X1161" s="9" t="s">
        <v>27</v>
      </c>
    </row>
    <row r="1162" spans="17:24">
      <c r="Q1162" s="22"/>
      <c r="R1162" s="22"/>
      <c r="S1162" s="22">
        <f t="shared" si="248"/>
        <v>0</v>
      </c>
      <c r="T1162" s="22" t="e">
        <f t="shared" si="247"/>
        <v>#N/A</v>
      </c>
      <c r="U1162" s="28">
        <v>400</v>
      </c>
      <c r="W1162" s="9">
        <v>737</v>
      </c>
      <c r="X1162" s="9" t="s">
        <v>27</v>
      </c>
    </row>
    <row r="1163" spans="17:24">
      <c r="Q1163" s="22"/>
      <c r="R1163" s="22"/>
      <c r="S1163" s="22">
        <f t="shared" si="248"/>
        <v>0</v>
      </c>
      <c r="T1163" s="22" t="e">
        <f t="shared" si="247"/>
        <v>#N/A</v>
      </c>
      <c r="U1163" s="28">
        <v>400</v>
      </c>
      <c r="W1163" s="9">
        <v>738</v>
      </c>
      <c r="X1163" s="9" t="s">
        <v>27</v>
      </c>
    </row>
    <row r="1164" spans="17:24">
      <c r="Q1164" s="22"/>
      <c r="R1164" s="22"/>
      <c r="S1164" s="22">
        <f t="shared" si="248"/>
        <v>0</v>
      </c>
      <c r="T1164" s="22" t="e">
        <f t="shared" si="247"/>
        <v>#N/A</v>
      </c>
      <c r="U1164" s="28">
        <v>400</v>
      </c>
      <c r="W1164" s="9">
        <v>738</v>
      </c>
      <c r="X1164" s="9" t="s">
        <v>27</v>
      </c>
    </row>
    <row r="1165" spans="17:24">
      <c r="Q1165" s="22"/>
      <c r="R1165" s="22"/>
      <c r="S1165" s="22">
        <f t="shared" si="248"/>
        <v>0</v>
      </c>
      <c r="T1165" s="22" t="e">
        <f t="shared" si="247"/>
        <v>#N/A</v>
      </c>
      <c r="U1165" s="28">
        <v>400</v>
      </c>
      <c r="W1165" s="9">
        <v>739</v>
      </c>
      <c r="X1165" s="9" t="s">
        <v>27</v>
      </c>
    </row>
    <row r="1166" spans="17:24">
      <c r="Q1166" s="22"/>
      <c r="R1166" s="22"/>
      <c r="S1166" s="22">
        <f t="shared" si="248"/>
        <v>0</v>
      </c>
      <c r="T1166" s="22" t="e">
        <f t="shared" si="247"/>
        <v>#N/A</v>
      </c>
      <c r="U1166" s="28">
        <v>400</v>
      </c>
      <c r="W1166" s="9">
        <v>739</v>
      </c>
      <c r="X1166" s="9" t="s">
        <v>27</v>
      </c>
    </row>
    <row r="1167" spans="17:24">
      <c r="Q1167" s="22"/>
      <c r="R1167" s="22"/>
      <c r="S1167" s="22">
        <f t="shared" si="248"/>
        <v>0</v>
      </c>
      <c r="T1167" s="22" t="e">
        <f t="shared" si="247"/>
        <v>#N/A</v>
      </c>
      <c r="U1167" s="28">
        <v>400</v>
      </c>
      <c r="W1167" s="9">
        <v>739</v>
      </c>
      <c r="X1167" s="9" t="s">
        <v>27</v>
      </c>
    </row>
    <row r="1168" spans="17:24">
      <c r="Q1168" s="22"/>
      <c r="R1168" s="22"/>
      <c r="S1168" s="22">
        <f t="shared" si="248"/>
        <v>0</v>
      </c>
      <c r="T1168" s="22" t="e">
        <f t="shared" si="247"/>
        <v>#N/A</v>
      </c>
      <c r="U1168" s="28">
        <v>400</v>
      </c>
      <c r="W1168" s="9">
        <v>739</v>
      </c>
      <c r="X1168" s="9" t="s">
        <v>27</v>
      </c>
    </row>
    <row r="1169" spans="17:24">
      <c r="Q1169" s="22"/>
      <c r="R1169" s="22"/>
      <c r="S1169" s="22">
        <f t="shared" si="248"/>
        <v>0</v>
      </c>
      <c r="T1169" s="22" t="e">
        <f t="shared" si="247"/>
        <v>#N/A</v>
      </c>
      <c r="U1169" s="28">
        <v>400</v>
      </c>
      <c r="W1169" s="9">
        <v>739</v>
      </c>
      <c r="X1169" s="9" t="s">
        <v>27</v>
      </c>
    </row>
    <row r="1170" spans="17:24">
      <c r="Q1170" s="22"/>
      <c r="R1170" s="22"/>
      <c r="S1170" s="22">
        <f t="shared" si="248"/>
        <v>0</v>
      </c>
      <c r="T1170" s="22" t="e">
        <f t="shared" ref="T1170:T1233" si="249">R1170*_xlfn.XLOOKUP(S1170,AM:AM,AO:AO)</f>
        <v>#N/A</v>
      </c>
      <c r="U1170" s="28">
        <v>400</v>
      </c>
      <c r="W1170" s="9">
        <v>740</v>
      </c>
      <c r="X1170" s="9" t="s">
        <v>29</v>
      </c>
    </row>
    <row r="1171" spans="17:24">
      <c r="Q1171" s="22"/>
      <c r="R1171" s="22"/>
      <c r="S1171" s="22">
        <f t="shared" si="248"/>
        <v>0</v>
      </c>
      <c r="T1171" s="22" t="e">
        <f t="shared" si="249"/>
        <v>#N/A</v>
      </c>
      <c r="U1171" s="28">
        <v>400</v>
      </c>
      <c r="W1171" s="9">
        <v>740</v>
      </c>
      <c r="X1171" s="9" t="s">
        <v>29</v>
      </c>
    </row>
    <row r="1172" spans="17:24">
      <c r="Q1172" s="22"/>
      <c r="R1172" s="22"/>
      <c r="S1172" s="22">
        <f t="shared" si="248"/>
        <v>0</v>
      </c>
      <c r="T1172" s="22" t="e">
        <f t="shared" si="249"/>
        <v>#N/A</v>
      </c>
      <c r="U1172" s="28">
        <v>400</v>
      </c>
      <c r="W1172" s="9">
        <v>742</v>
      </c>
      <c r="X1172" s="9" t="s">
        <v>27</v>
      </c>
    </row>
    <row r="1173" spans="17:24">
      <c r="Q1173" s="22"/>
      <c r="R1173" s="22"/>
      <c r="S1173" s="22">
        <f t="shared" si="248"/>
        <v>0</v>
      </c>
      <c r="T1173" s="22" t="e">
        <f t="shared" si="249"/>
        <v>#N/A</v>
      </c>
      <c r="U1173" s="28">
        <v>400</v>
      </c>
      <c r="W1173" s="9">
        <v>742</v>
      </c>
      <c r="X1173" s="9" t="s">
        <v>27</v>
      </c>
    </row>
    <row r="1174" spans="17:24">
      <c r="Q1174" s="22"/>
      <c r="R1174" s="22"/>
      <c r="S1174" s="22">
        <f t="shared" si="248"/>
        <v>0</v>
      </c>
      <c r="T1174" s="22" t="e">
        <f t="shared" si="249"/>
        <v>#N/A</v>
      </c>
      <c r="U1174" s="28">
        <v>400</v>
      </c>
      <c r="W1174" s="9">
        <v>742</v>
      </c>
      <c r="X1174" s="9" t="s">
        <v>29</v>
      </c>
    </row>
    <row r="1175" spans="17:24">
      <c r="Q1175" s="22"/>
      <c r="R1175" s="22"/>
      <c r="S1175" s="22">
        <f t="shared" si="248"/>
        <v>0</v>
      </c>
      <c r="T1175" s="22" t="e">
        <f t="shared" si="249"/>
        <v>#N/A</v>
      </c>
      <c r="U1175" s="28">
        <v>400</v>
      </c>
      <c r="W1175" s="9">
        <v>743</v>
      </c>
      <c r="X1175" s="9" t="s">
        <v>29</v>
      </c>
    </row>
    <row r="1176" spans="17:24">
      <c r="Q1176" s="22"/>
      <c r="R1176" s="22"/>
      <c r="S1176" s="22">
        <f t="shared" si="248"/>
        <v>0</v>
      </c>
      <c r="T1176" s="22" t="e">
        <f t="shared" si="249"/>
        <v>#N/A</v>
      </c>
      <c r="U1176" s="28">
        <v>400</v>
      </c>
      <c r="W1176" s="9">
        <v>743</v>
      </c>
      <c r="X1176" s="9" t="s">
        <v>29</v>
      </c>
    </row>
    <row r="1177" spans="17:24">
      <c r="Q1177" s="22"/>
      <c r="R1177" s="22"/>
      <c r="S1177" s="22">
        <f t="shared" si="248"/>
        <v>0</v>
      </c>
      <c r="T1177" s="22" t="e">
        <f t="shared" si="249"/>
        <v>#N/A</v>
      </c>
      <c r="U1177" s="28">
        <v>400</v>
      </c>
      <c r="W1177" s="9">
        <v>743</v>
      </c>
      <c r="X1177" s="9" t="s">
        <v>29</v>
      </c>
    </row>
    <row r="1178" spans="17:24">
      <c r="Q1178" s="22"/>
      <c r="R1178" s="22"/>
      <c r="S1178" s="22">
        <f t="shared" si="248"/>
        <v>0</v>
      </c>
      <c r="T1178" s="22" t="e">
        <f t="shared" si="249"/>
        <v>#N/A</v>
      </c>
      <c r="U1178" s="28">
        <v>400</v>
      </c>
      <c r="W1178" s="9">
        <v>743</v>
      </c>
      <c r="X1178" s="9" t="s">
        <v>29</v>
      </c>
    </row>
    <row r="1179" spans="17:24">
      <c r="Q1179" s="22"/>
      <c r="R1179" s="22"/>
      <c r="S1179" s="22">
        <f t="shared" si="248"/>
        <v>0</v>
      </c>
      <c r="T1179" s="22" t="e">
        <f t="shared" si="249"/>
        <v>#N/A</v>
      </c>
      <c r="U1179" s="28">
        <v>400</v>
      </c>
      <c r="W1179" s="9">
        <v>743</v>
      </c>
      <c r="X1179" s="9" t="s">
        <v>29</v>
      </c>
    </row>
    <row r="1180" spans="17:24">
      <c r="Q1180" s="22"/>
      <c r="R1180" s="22"/>
      <c r="S1180" s="22">
        <f t="shared" si="248"/>
        <v>0</v>
      </c>
      <c r="T1180" s="22" t="e">
        <f t="shared" si="249"/>
        <v>#N/A</v>
      </c>
      <c r="U1180" s="28">
        <v>400</v>
      </c>
      <c r="W1180" s="9">
        <v>743</v>
      </c>
      <c r="X1180" s="9" t="s">
        <v>29</v>
      </c>
    </row>
    <row r="1181" spans="17:24">
      <c r="Q1181" s="22"/>
      <c r="R1181" s="22"/>
      <c r="S1181" s="22">
        <f t="shared" si="248"/>
        <v>0</v>
      </c>
      <c r="T1181" s="22" t="e">
        <f t="shared" si="249"/>
        <v>#N/A</v>
      </c>
      <c r="U1181" s="28">
        <v>400</v>
      </c>
      <c r="W1181" s="9">
        <v>743</v>
      </c>
      <c r="X1181" s="9" t="s">
        <v>29</v>
      </c>
    </row>
    <row r="1182" spans="17:24">
      <c r="Q1182" s="22"/>
      <c r="R1182" s="22"/>
      <c r="S1182" s="22">
        <f t="shared" si="248"/>
        <v>0</v>
      </c>
      <c r="T1182" s="22" t="e">
        <f t="shared" si="249"/>
        <v>#N/A</v>
      </c>
      <c r="U1182" s="28">
        <v>400</v>
      </c>
      <c r="W1182" s="9">
        <v>744</v>
      </c>
      <c r="X1182" s="9" t="s">
        <v>29</v>
      </c>
    </row>
    <row r="1183" spans="17:24">
      <c r="Q1183" s="22"/>
      <c r="R1183" s="22"/>
      <c r="S1183" s="22">
        <f t="shared" si="248"/>
        <v>0</v>
      </c>
      <c r="T1183" s="22" t="e">
        <f t="shared" si="249"/>
        <v>#N/A</v>
      </c>
      <c r="U1183" s="28">
        <v>400</v>
      </c>
      <c r="W1183" s="9">
        <v>744</v>
      </c>
      <c r="X1183" s="9" t="s">
        <v>29</v>
      </c>
    </row>
    <row r="1184" spans="17:24">
      <c r="Q1184" s="22"/>
      <c r="R1184" s="22"/>
      <c r="S1184" s="22">
        <f t="shared" si="248"/>
        <v>0</v>
      </c>
      <c r="T1184" s="22" t="e">
        <f t="shared" si="249"/>
        <v>#N/A</v>
      </c>
      <c r="U1184" s="28">
        <v>400</v>
      </c>
      <c r="W1184" s="9">
        <v>744</v>
      </c>
      <c r="X1184" s="9" t="s">
        <v>29</v>
      </c>
    </row>
    <row r="1185" spans="17:24">
      <c r="Q1185" s="22"/>
      <c r="R1185" s="22"/>
      <c r="S1185" s="22">
        <f t="shared" si="248"/>
        <v>0</v>
      </c>
      <c r="T1185" s="22" t="e">
        <f t="shared" si="249"/>
        <v>#N/A</v>
      </c>
      <c r="U1185" s="28">
        <v>400</v>
      </c>
      <c r="W1185" s="9">
        <v>744</v>
      </c>
      <c r="X1185" s="9" t="s">
        <v>29</v>
      </c>
    </row>
    <row r="1186" spans="17:24">
      <c r="Q1186" s="22"/>
      <c r="R1186" s="22"/>
      <c r="S1186" s="22">
        <f t="shared" si="248"/>
        <v>0</v>
      </c>
      <c r="T1186" s="22" t="e">
        <f t="shared" si="249"/>
        <v>#N/A</v>
      </c>
      <c r="U1186" s="28">
        <v>400</v>
      </c>
      <c r="W1186" s="9">
        <v>744</v>
      </c>
      <c r="X1186" s="9" t="s">
        <v>29</v>
      </c>
    </row>
    <row r="1187" spans="17:24">
      <c r="Q1187" s="22"/>
      <c r="R1187" s="22"/>
      <c r="S1187" s="22">
        <f t="shared" si="248"/>
        <v>0</v>
      </c>
      <c r="T1187" s="22" t="e">
        <f t="shared" si="249"/>
        <v>#N/A</v>
      </c>
      <c r="U1187" s="28">
        <v>400</v>
      </c>
      <c r="W1187" s="9">
        <v>744</v>
      </c>
      <c r="X1187" s="9" t="s">
        <v>29</v>
      </c>
    </row>
    <row r="1188" spans="17:24">
      <c r="Q1188" s="22"/>
      <c r="R1188" s="22"/>
      <c r="S1188" s="22">
        <f t="shared" si="248"/>
        <v>0</v>
      </c>
      <c r="T1188" s="22" t="e">
        <f t="shared" si="249"/>
        <v>#N/A</v>
      </c>
      <c r="U1188" s="28">
        <v>400</v>
      </c>
      <c r="W1188" s="9">
        <v>744</v>
      </c>
      <c r="X1188" s="9" t="s">
        <v>29</v>
      </c>
    </row>
    <row r="1189" spans="17:24">
      <c r="Q1189" s="22"/>
      <c r="R1189" s="22"/>
      <c r="S1189" s="22">
        <f t="shared" si="248"/>
        <v>0</v>
      </c>
      <c r="T1189" s="22" t="e">
        <f t="shared" si="249"/>
        <v>#N/A</v>
      </c>
      <c r="U1189" s="28">
        <v>400</v>
      </c>
      <c r="W1189" s="9">
        <v>745</v>
      </c>
      <c r="X1189" s="9" t="s">
        <v>29</v>
      </c>
    </row>
    <row r="1190" spans="17:24">
      <c r="Q1190" s="22"/>
      <c r="R1190" s="22"/>
      <c r="S1190" s="22">
        <f t="shared" si="248"/>
        <v>0</v>
      </c>
      <c r="T1190" s="22" t="e">
        <f t="shared" si="249"/>
        <v>#N/A</v>
      </c>
      <c r="U1190" s="28">
        <v>400</v>
      </c>
      <c r="W1190" s="9">
        <v>749</v>
      </c>
      <c r="X1190" s="9" t="s">
        <v>29</v>
      </c>
    </row>
    <row r="1191" spans="17:24">
      <c r="Q1191" s="22"/>
      <c r="R1191" s="22"/>
      <c r="S1191" s="22">
        <f t="shared" si="248"/>
        <v>0</v>
      </c>
      <c r="T1191" s="22" t="e">
        <f t="shared" si="249"/>
        <v>#N/A</v>
      </c>
      <c r="U1191" s="28">
        <v>400</v>
      </c>
      <c r="W1191" s="9">
        <v>750</v>
      </c>
      <c r="X1191" s="9" t="s">
        <v>29</v>
      </c>
    </row>
    <row r="1192" spans="17:24">
      <c r="Q1192" s="22"/>
      <c r="R1192" s="22"/>
      <c r="S1192" s="22">
        <f t="shared" si="248"/>
        <v>0</v>
      </c>
      <c r="T1192" s="22" t="e">
        <f t="shared" si="249"/>
        <v>#N/A</v>
      </c>
      <c r="U1192" s="28">
        <v>400</v>
      </c>
      <c r="W1192" s="9">
        <v>750</v>
      </c>
      <c r="X1192" s="9" t="s">
        <v>29</v>
      </c>
    </row>
    <row r="1193" spans="17:24">
      <c r="Q1193" s="22"/>
      <c r="R1193" s="22"/>
      <c r="S1193" s="22">
        <f t="shared" si="248"/>
        <v>0</v>
      </c>
      <c r="T1193" s="22" t="e">
        <f t="shared" si="249"/>
        <v>#N/A</v>
      </c>
      <c r="U1193" s="28">
        <v>400</v>
      </c>
      <c r="W1193" s="9">
        <v>750</v>
      </c>
      <c r="X1193" s="9" t="s">
        <v>29</v>
      </c>
    </row>
    <row r="1194" spans="17:24">
      <c r="Q1194" s="22"/>
      <c r="R1194" s="22"/>
      <c r="S1194" s="22">
        <f t="shared" si="248"/>
        <v>0</v>
      </c>
      <c r="T1194" s="22" t="e">
        <f t="shared" si="249"/>
        <v>#N/A</v>
      </c>
      <c r="U1194" s="28">
        <v>400</v>
      </c>
      <c r="W1194" s="9">
        <v>751</v>
      </c>
      <c r="X1194" s="9" t="s">
        <v>27</v>
      </c>
    </row>
    <row r="1195" spans="17:24">
      <c r="Q1195" s="22"/>
      <c r="R1195" s="22"/>
      <c r="S1195" s="22">
        <f t="shared" si="248"/>
        <v>0</v>
      </c>
      <c r="T1195" s="22" t="e">
        <f t="shared" si="249"/>
        <v>#N/A</v>
      </c>
      <c r="U1195" s="28">
        <v>400</v>
      </c>
      <c r="W1195" s="9">
        <v>752</v>
      </c>
      <c r="X1195" s="9" t="s">
        <v>28</v>
      </c>
    </row>
    <row r="1196" spans="17:24">
      <c r="Q1196" s="22"/>
      <c r="R1196" s="22"/>
      <c r="S1196" s="22">
        <f t="shared" si="248"/>
        <v>0</v>
      </c>
      <c r="T1196" s="22" t="e">
        <f t="shared" si="249"/>
        <v>#N/A</v>
      </c>
      <c r="U1196" s="28">
        <v>400</v>
      </c>
      <c r="W1196" s="9">
        <v>752</v>
      </c>
      <c r="X1196" s="9" t="s">
        <v>28</v>
      </c>
    </row>
    <row r="1197" spans="17:24">
      <c r="Q1197" s="22"/>
      <c r="R1197" s="22"/>
      <c r="S1197" s="22">
        <f t="shared" si="248"/>
        <v>0</v>
      </c>
      <c r="T1197" s="22" t="e">
        <f t="shared" si="249"/>
        <v>#N/A</v>
      </c>
      <c r="U1197" s="28">
        <v>400</v>
      </c>
      <c r="W1197" s="9">
        <v>752</v>
      </c>
      <c r="X1197" s="9" t="s">
        <v>28</v>
      </c>
    </row>
    <row r="1198" spans="17:24">
      <c r="Q1198" s="22"/>
      <c r="R1198" s="22"/>
      <c r="S1198" s="22">
        <f t="shared" si="248"/>
        <v>0</v>
      </c>
      <c r="T1198" s="22" t="e">
        <f t="shared" si="249"/>
        <v>#N/A</v>
      </c>
      <c r="U1198" s="28">
        <v>400</v>
      </c>
      <c r="W1198" s="9">
        <v>753</v>
      </c>
      <c r="X1198" s="9" t="s">
        <v>29</v>
      </c>
    </row>
    <row r="1199" spans="17:24">
      <c r="Q1199" s="22"/>
      <c r="R1199" s="22"/>
      <c r="S1199" s="22">
        <f t="shared" si="248"/>
        <v>0</v>
      </c>
      <c r="T1199" s="22" t="e">
        <f t="shared" si="249"/>
        <v>#N/A</v>
      </c>
      <c r="U1199" s="28">
        <v>400</v>
      </c>
      <c r="W1199" s="9">
        <v>754</v>
      </c>
      <c r="X1199" s="9" t="s">
        <v>29</v>
      </c>
    </row>
    <row r="1200" spans="17:24">
      <c r="Q1200" s="22"/>
      <c r="R1200" s="22"/>
      <c r="S1200" s="22">
        <f t="shared" si="248"/>
        <v>0</v>
      </c>
      <c r="T1200" s="22" t="e">
        <f t="shared" si="249"/>
        <v>#N/A</v>
      </c>
      <c r="U1200" s="28">
        <v>400</v>
      </c>
      <c r="W1200" s="9">
        <v>754</v>
      </c>
      <c r="X1200" s="9" t="s">
        <v>29</v>
      </c>
    </row>
    <row r="1201" spans="17:24">
      <c r="Q1201" s="22"/>
      <c r="R1201" s="22"/>
      <c r="S1201" s="22">
        <f t="shared" si="248"/>
        <v>0</v>
      </c>
      <c r="T1201" s="22" t="e">
        <f t="shared" si="249"/>
        <v>#N/A</v>
      </c>
      <c r="U1201" s="28">
        <v>400</v>
      </c>
      <c r="W1201" s="9">
        <v>755</v>
      </c>
      <c r="X1201" s="9" t="s">
        <v>29</v>
      </c>
    </row>
    <row r="1202" spans="17:24">
      <c r="Q1202" s="22"/>
      <c r="R1202" s="22"/>
      <c r="S1202" s="22">
        <f t="shared" si="248"/>
        <v>0</v>
      </c>
      <c r="T1202" s="22" t="e">
        <f t="shared" si="249"/>
        <v>#N/A</v>
      </c>
      <c r="U1202" s="28">
        <v>400</v>
      </c>
      <c r="W1202" s="9">
        <v>755</v>
      </c>
      <c r="X1202" s="9" t="s">
        <v>29</v>
      </c>
    </row>
    <row r="1203" spans="17:24">
      <c r="Q1203" s="22"/>
      <c r="R1203" s="22"/>
      <c r="S1203" s="22">
        <f t="shared" si="248"/>
        <v>0</v>
      </c>
      <c r="T1203" s="22" t="e">
        <f t="shared" si="249"/>
        <v>#N/A</v>
      </c>
      <c r="U1203" s="28">
        <v>400</v>
      </c>
      <c r="W1203" s="9">
        <v>755</v>
      </c>
      <c r="X1203" s="9" t="s">
        <v>29</v>
      </c>
    </row>
    <row r="1204" spans="17:24">
      <c r="Q1204" s="22"/>
      <c r="R1204" s="22"/>
      <c r="S1204" s="22">
        <f t="shared" si="248"/>
        <v>0</v>
      </c>
      <c r="T1204" s="22" t="e">
        <f t="shared" si="249"/>
        <v>#N/A</v>
      </c>
      <c r="U1204" s="28">
        <v>400</v>
      </c>
      <c r="W1204" s="9">
        <v>757</v>
      </c>
      <c r="X1204" s="9" t="s">
        <v>29</v>
      </c>
    </row>
    <row r="1205" spans="17:24">
      <c r="Q1205" s="22"/>
      <c r="R1205" s="22"/>
      <c r="S1205" s="22">
        <f t="shared" si="248"/>
        <v>0</v>
      </c>
      <c r="T1205" s="22" t="e">
        <f t="shared" si="249"/>
        <v>#N/A</v>
      </c>
      <c r="U1205" s="28">
        <v>400</v>
      </c>
      <c r="W1205" s="9">
        <v>758</v>
      </c>
      <c r="X1205" s="9" t="s">
        <v>27</v>
      </c>
    </row>
    <row r="1206" spans="17:24">
      <c r="Q1206" s="22"/>
      <c r="R1206" s="22"/>
      <c r="S1206" s="22">
        <f t="shared" si="248"/>
        <v>0</v>
      </c>
      <c r="T1206" s="22" t="e">
        <f t="shared" si="249"/>
        <v>#N/A</v>
      </c>
      <c r="U1206" s="28">
        <v>400</v>
      </c>
      <c r="W1206" s="9">
        <v>761</v>
      </c>
      <c r="X1206" s="9" t="s">
        <v>29</v>
      </c>
    </row>
    <row r="1207" spans="17:24">
      <c r="Q1207" s="22"/>
      <c r="R1207" s="22"/>
      <c r="S1207" s="22">
        <f t="shared" si="248"/>
        <v>0</v>
      </c>
      <c r="T1207" s="22" t="e">
        <f t="shared" si="249"/>
        <v>#N/A</v>
      </c>
      <c r="U1207" s="28">
        <v>400</v>
      </c>
      <c r="W1207" s="9">
        <v>765</v>
      </c>
      <c r="X1207" s="9" t="s">
        <v>29</v>
      </c>
    </row>
    <row r="1208" spans="17:24">
      <c r="Q1208" s="22"/>
      <c r="R1208" s="22"/>
      <c r="S1208" s="22">
        <f t="shared" si="248"/>
        <v>0</v>
      </c>
      <c r="T1208" s="22" t="e">
        <f t="shared" si="249"/>
        <v>#N/A</v>
      </c>
      <c r="U1208" s="28">
        <v>400</v>
      </c>
      <c r="W1208" s="9">
        <v>765</v>
      </c>
      <c r="X1208" s="9" t="s">
        <v>29</v>
      </c>
    </row>
    <row r="1209" spans="17:24">
      <c r="Q1209" s="22"/>
      <c r="R1209" s="22"/>
      <c r="S1209" s="22">
        <f t="shared" si="248"/>
        <v>0</v>
      </c>
      <c r="T1209" s="22" t="e">
        <f t="shared" si="249"/>
        <v>#N/A</v>
      </c>
      <c r="U1209" s="28">
        <v>400</v>
      </c>
      <c r="W1209" s="9">
        <v>765</v>
      </c>
      <c r="X1209" s="9" t="s">
        <v>29</v>
      </c>
    </row>
    <row r="1210" spans="17:24">
      <c r="Q1210" s="22"/>
      <c r="R1210" s="22"/>
      <c r="S1210" s="22">
        <f t="shared" si="248"/>
        <v>0</v>
      </c>
      <c r="T1210" s="22" t="e">
        <f t="shared" si="249"/>
        <v>#N/A</v>
      </c>
      <c r="U1210" s="28">
        <v>400</v>
      </c>
      <c r="W1210" s="9">
        <v>765</v>
      </c>
      <c r="X1210" s="9" t="s">
        <v>29</v>
      </c>
    </row>
    <row r="1211" spans="17:24">
      <c r="Q1211" s="22"/>
      <c r="R1211" s="22"/>
      <c r="S1211" s="22">
        <f t="shared" si="248"/>
        <v>0</v>
      </c>
      <c r="T1211" s="22" t="e">
        <f t="shared" si="249"/>
        <v>#N/A</v>
      </c>
      <c r="U1211" s="28">
        <v>400</v>
      </c>
      <c r="W1211" s="9">
        <v>766</v>
      </c>
      <c r="X1211" s="9" t="s">
        <v>29</v>
      </c>
    </row>
    <row r="1212" spans="17:24">
      <c r="Q1212" s="22"/>
      <c r="R1212" s="22"/>
      <c r="S1212" s="22">
        <f t="shared" si="248"/>
        <v>0</v>
      </c>
      <c r="T1212" s="22" t="e">
        <f t="shared" si="249"/>
        <v>#N/A</v>
      </c>
      <c r="U1212" s="28">
        <v>400</v>
      </c>
      <c r="W1212" s="9">
        <v>767</v>
      </c>
      <c r="X1212" s="9" t="s">
        <v>29</v>
      </c>
    </row>
    <row r="1213" spans="17:24">
      <c r="Q1213" s="22"/>
      <c r="R1213" s="22"/>
      <c r="S1213" s="22">
        <f t="shared" si="248"/>
        <v>0</v>
      </c>
      <c r="T1213" s="22" t="e">
        <f t="shared" si="249"/>
        <v>#N/A</v>
      </c>
      <c r="U1213" s="28">
        <v>400</v>
      </c>
      <c r="W1213" s="9">
        <v>769</v>
      </c>
      <c r="X1213" s="9" t="s">
        <v>27</v>
      </c>
    </row>
    <row r="1214" spans="17:24">
      <c r="Q1214" s="22"/>
      <c r="R1214" s="22"/>
      <c r="S1214" s="22">
        <f t="shared" si="248"/>
        <v>0</v>
      </c>
      <c r="T1214" s="22" t="e">
        <f t="shared" si="249"/>
        <v>#N/A</v>
      </c>
      <c r="U1214" s="28">
        <v>400</v>
      </c>
      <c r="W1214" s="9">
        <v>770</v>
      </c>
      <c r="X1214" s="9" t="s">
        <v>27</v>
      </c>
    </row>
    <row r="1215" spans="17:24">
      <c r="Q1215" s="22"/>
      <c r="R1215" s="22"/>
      <c r="S1215" s="22">
        <f t="shared" si="248"/>
        <v>0</v>
      </c>
      <c r="T1215" s="22" t="e">
        <f t="shared" si="249"/>
        <v>#N/A</v>
      </c>
      <c r="U1215" s="28">
        <v>400</v>
      </c>
      <c r="W1215" s="9">
        <v>774</v>
      </c>
      <c r="X1215" s="9" t="s">
        <v>33</v>
      </c>
    </row>
    <row r="1216" spans="17:24">
      <c r="Q1216" s="22"/>
      <c r="R1216" s="22"/>
      <c r="S1216" s="22">
        <f t="shared" si="248"/>
        <v>0</v>
      </c>
      <c r="T1216" s="22" t="e">
        <f t="shared" si="249"/>
        <v>#N/A</v>
      </c>
      <c r="U1216" s="28">
        <v>400</v>
      </c>
      <c r="W1216" s="9">
        <v>774</v>
      </c>
      <c r="X1216" s="9" t="s">
        <v>33</v>
      </c>
    </row>
    <row r="1217" spans="17:24">
      <c r="Q1217" s="22"/>
      <c r="R1217" s="22"/>
      <c r="S1217" s="22">
        <f t="shared" si="248"/>
        <v>0</v>
      </c>
      <c r="T1217" s="22" t="e">
        <f t="shared" si="249"/>
        <v>#N/A</v>
      </c>
      <c r="U1217" s="28">
        <v>400</v>
      </c>
      <c r="W1217" s="9">
        <v>774</v>
      </c>
      <c r="X1217" s="9" t="s">
        <v>33</v>
      </c>
    </row>
    <row r="1218" spans="17:24">
      <c r="Q1218" s="22"/>
      <c r="R1218" s="22"/>
      <c r="S1218" s="22">
        <f t="shared" si="248"/>
        <v>0</v>
      </c>
      <c r="T1218" s="22" t="e">
        <f t="shared" si="249"/>
        <v>#N/A</v>
      </c>
      <c r="U1218" s="28">
        <v>400</v>
      </c>
      <c r="W1218" s="9">
        <v>775</v>
      </c>
      <c r="X1218" s="9" t="s">
        <v>33</v>
      </c>
    </row>
    <row r="1219" spans="17:24">
      <c r="Q1219" s="22"/>
      <c r="R1219" s="22"/>
      <c r="S1219" s="22">
        <f t="shared" ref="S1219:S1282" si="250">_xlfn.XLOOKUP(Q1219,W:W,X:X)</f>
        <v>0</v>
      </c>
      <c r="T1219" s="22" t="e">
        <f t="shared" si="249"/>
        <v>#N/A</v>
      </c>
      <c r="U1219" s="28">
        <v>400</v>
      </c>
      <c r="W1219" s="9">
        <v>775</v>
      </c>
      <c r="X1219" s="9" t="s">
        <v>33</v>
      </c>
    </row>
    <row r="1220" spans="17:24">
      <c r="Q1220" s="22"/>
      <c r="R1220" s="22"/>
      <c r="S1220" s="22">
        <f t="shared" si="250"/>
        <v>0</v>
      </c>
      <c r="T1220" s="22" t="e">
        <f t="shared" si="249"/>
        <v>#N/A</v>
      </c>
      <c r="U1220" s="28">
        <v>400</v>
      </c>
      <c r="W1220" s="9">
        <v>775</v>
      </c>
      <c r="X1220" s="9" t="s">
        <v>33</v>
      </c>
    </row>
    <row r="1221" spans="17:24">
      <c r="Q1221" s="22"/>
      <c r="R1221" s="22"/>
      <c r="S1221" s="22">
        <f t="shared" si="250"/>
        <v>0</v>
      </c>
      <c r="T1221" s="22" t="e">
        <f t="shared" si="249"/>
        <v>#N/A</v>
      </c>
      <c r="U1221" s="28">
        <v>400</v>
      </c>
      <c r="W1221" s="9">
        <v>775</v>
      </c>
      <c r="X1221" s="9" t="s">
        <v>33</v>
      </c>
    </row>
    <row r="1222" spans="17:24">
      <c r="Q1222" s="22"/>
      <c r="R1222" s="22"/>
      <c r="S1222" s="22">
        <f t="shared" si="250"/>
        <v>0</v>
      </c>
      <c r="T1222" s="22" t="e">
        <f t="shared" si="249"/>
        <v>#N/A</v>
      </c>
      <c r="U1222" s="28">
        <v>400</v>
      </c>
      <c r="W1222" s="9">
        <v>775</v>
      </c>
      <c r="X1222" s="9" t="s">
        <v>33</v>
      </c>
    </row>
    <row r="1223" spans="17:24">
      <c r="Q1223" s="22"/>
      <c r="R1223" s="22"/>
      <c r="S1223" s="22">
        <f t="shared" si="250"/>
        <v>0</v>
      </c>
      <c r="T1223" s="22" t="e">
        <f t="shared" si="249"/>
        <v>#N/A</v>
      </c>
      <c r="U1223" s="28">
        <v>400</v>
      </c>
      <c r="W1223" s="9">
        <v>775</v>
      </c>
      <c r="X1223" s="9" t="s">
        <v>33</v>
      </c>
    </row>
    <row r="1224" spans="17:24">
      <c r="Q1224" s="22"/>
      <c r="R1224" s="22"/>
      <c r="S1224" s="22">
        <f t="shared" si="250"/>
        <v>0</v>
      </c>
      <c r="T1224" s="22" t="e">
        <f t="shared" si="249"/>
        <v>#N/A</v>
      </c>
      <c r="U1224" s="28">
        <v>400</v>
      </c>
      <c r="W1224" s="9">
        <v>776</v>
      </c>
      <c r="X1224" s="9" t="s">
        <v>33</v>
      </c>
    </row>
    <row r="1225" spans="17:24">
      <c r="Q1225" s="22"/>
      <c r="R1225" s="22"/>
      <c r="S1225" s="22">
        <f t="shared" si="250"/>
        <v>0</v>
      </c>
      <c r="T1225" s="22" t="e">
        <f t="shared" si="249"/>
        <v>#N/A</v>
      </c>
      <c r="U1225" s="28">
        <v>400</v>
      </c>
      <c r="W1225" s="9">
        <v>776</v>
      </c>
      <c r="X1225" s="9" t="s">
        <v>33</v>
      </c>
    </row>
    <row r="1226" spans="17:24">
      <c r="Q1226" s="22"/>
      <c r="R1226" s="22"/>
      <c r="S1226" s="22">
        <f t="shared" si="250"/>
        <v>0</v>
      </c>
      <c r="T1226" s="22" t="e">
        <f t="shared" si="249"/>
        <v>#N/A</v>
      </c>
      <c r="U1226" s="28">
        <v>400</v>
      </c>
      <c r="W1226" s="9">
        <v>776</v>
      </c>
      <c r="X1226" s="9" t="s">
        <v>33</v>
      </c>
    </row>
    <row r="1227" spans="17:24">
      <c r="Q1227" s="22"/>
      <c r="R1227" s="22"/>
      <c r="S1227" s="22">
        <f t="shared" si="250"/>
        <v>0</v>
      </c>
      <c r="T1227" s="22" t="e">
        <f t="shared" si="249"/>
        <v>#N/A</v>
      </c>
      <c r="U1227" s="28">
        <v>400</v>
      </c>
      <c r="W1227" s="9">
        <v>776</v>
      </c>
      <c r="X1227" s="9" t="s">
        <v>33</v>
      </c>
    </row>
    <row r="1228" spans="17:24">
      <c r="Q1228" s="22"/>
      <c r="R1228" s="22"/>
      <c r="S1228" s="22">
        <f t="shared" si="250"/>
        <v>0</v>
      </c>
      <c r="T1228" s="22" t="e">
        <f t="shared" si="249"/>
        <v>#N/A</v>
      </c>
      <c r="U1228" s="28">
        <v>400</v>
      </c>
      <c r="W1228" s="9">
        <v>776</v>
      </c>
      <c r="X1228" s="9" t="s">
        <v>33</v>
      </c>
    </row>
    <row r="1229" spans="17:24">
      <c r="Q1229" s="22"/>
      <c r="R1229" s="22"/>
      <c r="S1229" s="22">
        <f t="shared" si="250"/>
        <v>0</v>
      </c>
      <c r="T1229" s="22" t="e">
        <f t="shared" si="249"/>
        <v>#N/A</v>
      </c>
      <c r="U1229" s="28">
        <v>400</v>
      </c>
      <c r="W1229" s="9">
        <v>778</v>
      </c>
      <c r="X1229" s="9" t="s">
        <v>29</v>
      </c>
    </row>
    <row r="1230" spans="17:24">
      <c r="Q1230" s="22"/>
      <c r="R1230" s="22"/>
      <c r="S1230" s="22">
        <f t="shared" si="250"/>
        <v>0</v>
      </c>
      <c r="T1230" s="22" t="e">
        <f t="shared" si="249"/>
        <v>#N/A</v>
      </c>
      <c r="U1230" s="28">
        <v>400</v>
      </c>
      <c r="W1230" s="9">
        <v>779</v>
      </c>
      <c r="X1230" s="9" t="s">
        <v>29</v>
      </c>
    </row>
    <row r="1231" spans="17:24">
      <c r="Q1231" s="22"/>
      <c r="R1231" s="22"/>
      <c r="S1231" s="22">
        <f t="shared" si="250"/>
        <v>0</v>
      </c>
      <c r="T1231" s="22" t="e">
        <f t="shared" si="249"/>
        <v>#N/A</v>
      </c>
      <c r="U1231" s="28">
        <v>400</v>
      </c>
      <c r="W1231" s="9">
        <v>779</v>
      </c>
      <c r="X1231" s="9" t="s">
        <v>29</v>
      </c>
    </row>
    <row r="1232" spans="17:24">
      <c r="Q1232" s="22"/>
      <c r="R1232" s="22"/>
      <c r="S1232" s="22">
        <f t="shared" si="250"/>
        <v>0</v>
      </c>
      <c r="T1232" s="22" t="e">
        <f t="shared" si="249"/>
        <v>#N/A</v>
      </c>
      <c r="U1232" s="28">
        <v>400</v>
      </c>
      <c r="W1232" s="9">
        <v>779</v>
      </c>
      <c r="X1232" s="9" t="s">
        <v>29</v>
      </c>
    </row>
    <row r="1233" spans="17:24">
      <c r="Q1233" s="22"/>
      <c r="R1233" s="22"/>
      <c r="S1233" s="22">
        <f t="shared" si="250"/>
        <v>0</v>
      </c>
      <c r="T1233" s="22" t="e">
        <f t="shared" si="249"/>
        <v>#N/A</v>
      </c>
      <c r="U1233" s="28">
        <v>400</v>
      </c>
      <c r="W1233" s="9">
        <v>779</v>
      </c>
      <c r="X1233" s="9" t="s">
        <v>29</v>
      </c>
    </row>
    <row r="1234" spans="17:24">
      <c r="Q1234" s="22"/>
      <c r="R1234" s="22"/>
      <c r="S1234" s="22">
        <f t="shared" si="250"/>
        <v>0</v>
      </c>
      <c r="T1234" s="22" t="e">
        <f t="shared" ref="T1234:T1297" si="251">R1234*_xlfn.XLOOKUP(S1234,AM:AM,AO:AO)</f>
        <v>#N/A</v>
      </c>
      <c r="U1234" s="28">
        <v>400</v>
      </c>
      <c r="W1234" s="9">
        <v>779</v>
      </c>
      <c r="X1234" s="9" t="s">
        <v>29</v>
      </c>
    </row>
    <row r="1235" spans="17:24">
      <c r="Q1235" s="22"/>
      <c r="R1235" s="22"/>
      <c r="S1235" s="22">
        <f t="shared" si="250"/>
        <v>0</v>
      </c>
      <c r="T1235" s="22" t="e">
        <f t="shared" si="251"/>
        <v>#N/A</v>
      </c>
      <c r="U1235" s="28">
        <v>400</v>
      </c>
      <c r="W1235" s="9">
        <v>779</v>
      </c>
      <c r="X1235" s="9" t="s">
        <v>29</v>
      </c>
    </row>
    <row r="1236" spans="17:24">
      <c r="Q1236" s="22"/>
      <c r="R1236" s="22"/>
      <c r="S1236" s="22">
        <f t="shared" si="250"/>
        <v>0</v>
      </c>
      <c r="T1236" s="22" t="e">
        <f t="shared" si="251"/>
        <v>#N/A</v>
      </c>
      <c r="U1236" s="28">
        <v>400</v>
      </c>
      <c r="W1236" s="9">
        <v>780</v>
      </c>
      <c r="X1236" s="9" t="s">
        <v>29</v>
      </c>
    </row>
    <row r="1237" spans="17:24">
      <c r="Q1237" s="22"/>
      <c r="R1237" s="22"/>
      <c r="S1237" s="22">
        <f t="shared" si="250"/>
        <v>0</v>
      </c>
      <c r="T1237" s="22" t="e">
        <f t="shared" si="251"/>
        <v>#N/A</v>
      </c>
      <c r="U1237" s="28">
        <v>400</v>
      </c>
      <c r="W1237" s="9">
        <v>780</v>
      </c>
      <c r="X1237" s="9" t="s">
        <v>29</v>
      </c>
    </row>
    <row r="1238" spans="17:24">
      <c r="Q1238" s="22"/>
      <c r="R1238" s="22"/>
      <c r="S1238" s="22">
        <f t="shared" si="250"/>
        <v>0</v>
      </c>
      <c r="T1238" s="22" t="e">
        <f t="shared" si="251"/>
        <v>#N/A</v>
      </c>
      <c r="U1238" s="28">
        <v>400</v>
      </c>
      <c r="W1238" s="9">
        <v>781</v>
      </c>
      <c r="X1238" s="9" t="s">
        <v>29</v>
      </c>
    </row>
    <row r="1239" spans="17:24">
      <c r="Q1239" s="22"/>
      <c r="R1239" s="22"/>
      <c r="S1239" s="22">
        <f t="shared" si="250"/>
        <v>0</v>
      </c>
      <c r="T1239" s="22" t="e">
        <f t="shared" si="251"/>
        <v>#N/A</v>
      </c>
      <c r="U1239" s="28">
        <v>400</v>
      </c>
      <c r="W1239" s="9">
        <v>782</v>
      </c>
      <c r="X1239" s="9" t="s">
        <v>29</v>
      </c>
    </row>
    <row r="1240" spans="17:24">
      <c r="Q1240" s="22"/>
      <c r="R1240" s="22"/>
      <c r="S1240" s="22">
        <f t="shared" si="250"/>
        <v>0</v>
      </c>
      <c r="T1240" s="22" t="e">
        <f t="shared" si="251"/>
        <v>#N/A</v>
      </c>
      <c r="U1240" s="28">
        <v>400</v>
      </c>
      <c r="W1240" s="9">
        <v>782</v>
      </c>
      <c r="X1240" s="9" t="s">
        <v>29</v>
      </c>
    </row>
    <row r="1241" spans="17:24">
      <c r="Q1241" s="22"/>
      <c r="R1241" s="22"/>
      <c r="S1241" s="22">
        <f t="shared" si="250"/>
        <v>0</v>
      </c>
      <c r="T1241" s="22" t="e">
        <f t="shared" si="251"/>
        <v>#N/A</v>
      </c>
      <c r="U1241" s="28">
        <v>400</v>
      </c>
      <c r="W1241" s="9">
        <v>782</v>
      </c>
      <c r="X1241" s="9" t="s">
        <v>29</v>
      </c>
    </row>
    <row r="1242" spans="17:24">
      <c r="Q1242" s="22"/>
      <c r="R1242" s="22"/>
      <c r="S1242" s="22">
        <f t="shared" si="250"/>
        <v>0</v>
      </c>
      <c r="T1242" s="22" t="e">
        <f t="shared" si="251"/>
        <v>#N/A</v>
      </c>
      <c r="U1242" s="28">
        <v>400</v>
      </c>
      <c r="W1242" s="9">
        <v>782</v>
      </c>
      <c r="X1242" s="9" t="s">
        <v>29</v>
      </c>
    </row>
    <row r="1243" spans="17:24">
      <c r="Q1243" s="22"/>
      <c r="R1243" s="22"/>
      <c r="S1243" s="22">
        <f t="shared" si="250"/>
        <v>0</v>
      </c>
      <c r="T1243" s="22" t="e">
        <f t="shared" si="251"/>
        <v>#N/A</v>
      </c>
      <c r="U1243" s="28">
        <v>400</v>
      </c>
      <c r="W1243" s="9">
        <v>782</v>
      </c>
      <c r="X1243" s="9" t="s">
        <v>29</v>
      </c>
    </row>
    <row r="1244" spans="17:24">
      <c r="Q1244" s="22"/>
      <c r="R1244" s="22"/>
      <c r="S1244" s="22">
        <f t="shared" si="250"/>
        <v>0</v>
      </c>
      <c r="T1244" s="22" t="e">
        <f t="shared" si="251"/>
        <v>#N/A</v>
      </c>
      <c r="U1244" s="28">
        <v>400</v>
      </c>
      <c r="W1244" s="9">
        <v>782</v>
      </c>
      <c r="X1244" s="9" t="s">
        <v>29</v>
      </c>
    </row>
    <row r="1245" spans="17:24">
      <c r="Q1245" s="22"/>
      <c r="R1245" s="22"/>
      <c r="S1245" s="22">
        <f t="shared" si="250"/>
        <v>0</v>
      </c>
      <c r="T1245" s="22" t="e">
        <f t="shared" si="251"/>
        <v>#N/A</v>
      </c>
      <c r="U1245" s="28">
        <v>400</v>
      </c>
      <c r="W1245" s="9">
        <v>782</v>
      </c>
      <c r="X1245" s="9" t="s">
        <v>29</v>
      </c>
    </row>
    <row r="1246" spans="17:24">
      <c r="Q1246" s="22"/>
      <c r="R1246" s="22"/>
      <c r="S1246" s="22">
        <f t="shared" si="250"/>
        <v>0</v>
      </c>
      <c r="T1246" s="22" t="e">
        <f t="shared" si="251"/>
        <v>#N/A</v>
      </c>
      <c r="U1246" s="28">
        <v>400</v>
      </c>
      <c r="W1246" s="9">
        <v>782</v>
      </c>
      <c r="X1246" s="9" t="s">
        <v>29</v>
      </c>
    </row>
    <row r="1247" spans="17:24">
      <c r="Q1247" s="22"/>
      <c r="R1247" s="22"/>
      <c r="S1247" s="22">
        <f t="shared" si="250"/>
        <v>0</v>
      </c>
      <c r="T1247" s="22" t="e">
        <f t="shared" si="251"/>
        <v>#N/A</v>
      </c>
      <c r="U1247" s="28">
        <v>400</v>
      </c>
      <c r="W1247" s="9">
        <v>782</v>
      </c>
      <c r="X1247" s="9" t="s">
        <v>29</v>
      </c>
    </row>
    <row r="1248" spans="17:24">
      <c r="Q1248" s="22"/>
      <c r="R1248" s="22"/>
      <c r="S1248" s="22">
        <f t="shared" si="250"/>
        <v>0</v>
      </c>
      <c r="T1248" s="22" t="e">
        <f t="shared" si="251"/>
        <v>#N/A</v>
      </c>
      <c r="U1248" s="28">
        <v>400</v>
      </c>
      <c r="W1248" s="9">
        <v>783</v>
      </c>
      <c r="X1248" s="9" t="s">
        <v>31</v>
      </c>
    </row>
    <row r="1249" spans="17:24">
      <c r="Q1249" s="22"/>
      <c r="R1249" s="22"/>
      <c r="S1249" s="22">
        <f t="shared" si="250"/>
        <v>0</v>
      </c>
      <c r="T1249" s="22" t="e">
        <f t="shared" si="251"/>
        <v>#N/A</v>
      </c>
      <c r="U1249" s="28">
        <v>400</v>
      </c>
      <c r="W1249" s="9">
        <v>784</v>
      </c>
      <c r="X1249" s="9" t="s">
        <v>27</v>
      </c>
    </row>
    <row r="1250" spans="17:24">
      <c r="Q1250" s="22"/>
      <c r="R1250" s="22"/>
      <c r="S1250" s="22">
        <f t="shared" si="250"/>
        <v>0</v>
      </c>
      <c r="T1250" s="22" t="e">
        <f t="shared" si="251"/>
        <v>#N/A</v>
      </c>
      <c r="U1250" s="28">
        <v>400</v>
      </c>
      <c r="W1250" s="9">
        <v>787</v>
      </c>
      <c r="X1250" s="9" t="s">
        <v>29</v>
      </c>
    </row>
    <row r="1251" spans="17:24">
      <c r="Q1251" s="22"/>
      <c r="R1251" s="22"/>
      <c r="S1251" s="22">
        <f t="shared" si="250"/>
        <v>0</v>
      </c>
      <c r="T1251" s="22" t="e">
        <f t="shared" si="251"/>
        <v>#N/A</v>
      </c>
      <c r="U1251" s="28">
        <v>400</v>
      </c>
      <c r="W1251" s="9">
        <v>787</v>
      </c>
      <c r="X1251" s="9" t="s">
        <v>29</v>
      </c>
    </row>
    <row r="1252" spans="17:24">
      <c r="Q1252" s="22"/>
      <c r="R1252" s="22"/>
      <c r="S1252" s="22">
        <f t="shared" si="250"/>
        <v>0</v>
      </c>
      <c r="T1252" s="22" t="e">
        <f t="shared" si="251"/>
        <v>#N/A</v>
      </c>
      <c r="U1252" s="28">
        <v>400</v>
      </c>
      <c r="W1252" s="9">
        <v>789</v>
      </c>
      <c r="X1252" s="9" t="s">
        <v>29</v>
      </c>
    </row>
    <row r="1253" spans="17:24">
      <c r="Q1253" s="22"/>
      <c r="R1253" s="22"/>
      <c r="S1253" s="22">
        <f t="shared" si="250"/>
        <v>0</v>
      </c>
      <c r="T1253" s="22" t="e">
        <f t="shared" si="251"/>
        <v>#N/A</v>
      </c>
      <c r="U1253" s="28">
        <v>400</v>
      </c>
      <c r="W1253" s="9">
        <v>789</v>
      </c>
      <c r="X1253" s="9" t="s">
        <v>27</v>
      </c>
    </row>
    <row r="1254" spans="17:24">
      <c r="Q1254" s="22"/>
      <c r="R1254" s="22"/>
      <c r="S1254" s="22">
        <f t="shared" si="250"/>
        <v>0</v>
      </c>
      <c r="T1254" s="22" t="e">
        <f t="shared" si="251"/>
        <v>#N/A</v>
      </c>
      <c r="U1254" s="28">
        <v>400</v>
      </c>
      <c r="W1254" s="9">
        <v>789</v>
      </c>
      <c r="X1254" s="9" t="s">
        <v>27</v>
      </c>
    </row>
    <row r="1255" spans="17:24">
      <c r="Q1255" s="22"/>
      <c r="R1255" s="22"/>
      <c r="S1255" s="22">
        <f t="shared" si="250"/>
        <v>0</v>
      </c>
      <c r="T1255" s="22" t="e">
        <f t="shared" si="251"/>
        <v>#N/A</v>
      </c>
      <c r="U1255" s="28">
        <v>400</v>
      </c>
      <c r="W1255" s="9">
        <v>789</v>
      </c>
      <c r="X1255" s="9" t="s">
        <v>29</v>
      </c>
    </row>
    <row r="1256" spans="17:24">
      <c r="Q1256" s="22"/>
      <c r="R1256" s="22"/>
      <c r="S1256" s="22">
        <f t="shared" si="250"/>
        <v>0</v>
      </c>
      <c r="T1256" s="22" t="e">
        <f t="shared" si="251"/>
        <v>#N/A</v>
      </c>
      <c r="U1256" s="28">
        <v>400</v>
      </c>
      <c r="W1256" s="9">
        <v>790</v>
      </c>
      <c r="X1256" s="9" t="s">
        <v>29</v>
      </c>
    </row>
    <row r="1257" spans="17:24">
      <c r="Q1257" s="22"/>
      <c r="R1257" s="22"/>
      <c r="S1257" s="22">
        <f t="shared" si="250"/>
        <v>0</v>
      </c>
      <c r="T1257" s="22" t="e">
        <f t="shared" si="251"/>
        <v>#N/A</v>
      </c>
      <c r="U1257" s="28">
        <v>400</v>
      </c>
      <c r="W1257" s="9">
        <v>791</v>
      </c>
      <c r="X1257" s="9" t="s">
        <v>27</v>
      </c>
    </row>
    <row r="1258" spans="17:24">
      <c r="Q1258" s="22"/>
      <c r="R1258" s="22"/>
      <c r="S1258" s="22">
        <f t="shared" si="250"/>
        <v>0</v>
      </c>
      <c r="T1258" s="22" t="e">
        <f t="shared" si="251"/>
        <v>#N/A</v>
      </c>
      <c r="U1258" s="28">
        <v>400</v>
      </c>
      <c r="W1258" s="9">
        <v>791</v>
      </c>
      <c r="X1258" s="9" t="s">
        <v>27</v>
      </c>
    </row>
    <row r="1259" spans="17:24">
      <c r="Q1259" s="22"/>
      <c r="R1259" s="22"/>
      <c r="S1259" s="22">
        <f t="shared" si="250"/>
        <v>0</v>
      </c>
      <c r="T1259" s="22" t="e">
        <f t="shared" si="251"/>
        <v>#N/A</v>
      </c>
      <c r="U1259" s="28">
        <v>400</v>
      </c>
      <c r="W1259" s="9">
        <v>791</v>
      </c>
      <c r="X1259" s="9" t="s">
        <v>27</v>
      </c>
    </row>
    <row r="1260" spans="17:24">
      <c r="Q1260" s="22"/>
      <c r="R1260" s="22"/>
      <c r="S1260" s="22">
        <f t="shared" si="250"/>
        <v>0</v>
      </c>
      <c r="T1260" s="22" t="e">
        <f t="shared" si="251"/>
        <v>#N/A</v>
      </c>
      <c r="U1260" s="28">
        <v>400</v>
      </c>
      <c r="W1260" s="9">
        <v>792</v>
      </c>
      <c r="X1260" s="9" t="s">
        <v>31</v>
      </c>
    </row>
    <row r="1261" spans="17:24">
      <c r="Q1261" s="22"/>
      <c r="R1261" s="22"/>
      <c r="S1261" s="22">
        <f t="shared" si="250"/>
        <v>0</v>
      </c>
      <c r="T1261" s="22" t="e">
        <f t="shared" si="251"/>
        <v>#N/A</v>
      </c>
      <c r="U1261" s="28">
        <v>400</v>
      </c>
      <c r="W1261" s="9">
        <v>793</v>
      </c>
      <c r="X1261" s="9" t="s">
        <v>27</v>
      </c>
    </row>
    <row r="1262" spans="17:24">
      <c r="Q1262" s="22"/>
      <c r="R1262" s="22"/>
      <c r="S1262" s="22">
        <f t="shared" si="250"/>
        <v>0</v>
      </c>
      <c r="T1262" s="22" t="e">
        <f t="shared" si="251"/>
        <v>#N/A</v>
      </c>
      <c r="U1262" s="28">
        <v>400</v>
      </c>
      <c r="W1262" s="9">
        <v>793</v>
      </c>
      <c r="X1262" s="9" t="s">
        <v>27</v>
      </c>
    </row>
    <row r="1263" spans="17:24">
      <c r="Q1263" s="22"/>
      <c r="R1263" s="22"/>
      <c r="S1263" s="22">
        <f t="shared" si="250"/>
        <v>0</v>
      </c>
      <c r="T1263" s="22" t="e">
        <f t="shared" si="251"/>
        <v>#N/A</v>
      </c>
      <c r="U1263" s="28">
        <v>400</v>
      </c>
      <c r="W1263" s="9">
        <v>795</v>
      </c>
      <c r="X1263" s="9" t="s">
        <v>29</v>
      </c>
    </row>
    <row r="1264" spans="17:24">
      <c r="Q1264" s="22"/>
      <c r="R1264" s="22"/>
      <c r="S1264" s="22">
        <f t="shared" si="250"/>
        <v>0</v>
      </c>
      <c r="T1264" s="22" t="e">
        <f t="shared" si="251"/>
        <v>#N/A</v>
      </c>
      <c r="U1264" s="28">
        <v>400</v>
      </c>
      <c r="W1264" s="9">
        <v>797</v>
      </c>
      <c r="X1264" s="9" t="s">
        <v>29</v>
      </c>
    </row>
    <row r="1265" spans="17:24">
      <c r="Q1265" s="22"/>
      <c r="R1265" s="22"/>
      <c r="S1265" s="22">
        <f t="shared" si="250"/>
        <v>0</v>
      </c>
      <c r="T1265" s="22" t="e">
        <f t="shared" si="251"/>
        <v>#N/A</v>
      </c>
      <c r="U1265" s="28">
        <v>400</v>
      </c>
      <c r="W1265" s="9">
        <v>797</v>
      </c>
      <c r="X1265" s="9" t="s">
        <v>29</v>
      </c>
    </row>
    <row r="1266" spans="17:24">
      <c r="Q1266" s="22"/>
      <c r="R1266" s="22"/>
      <c r="S1266" s="22">
        <f t="shared" si="250"/>
        <v>0</v>
      </c>
      <c r="T1266" s="22" t="e">
        <f t="shared" si="251"/>
        <v>#N/A</v>
      </c>
      <c r="U1266" s="28">
        <v>400</v>
      </c>
      <c r="W1266" s="9">
        <v>798</v>
      </c>
      <c r="X1266" s="9" t="s">
        <v>29</v>
      </c>
    </row>
    <row r="1267" spans="17:24">
      <c r="Q1267" s="22"/>
      <c r="R1267" s="22"/>
      <c r="S1267" s="22">
        <f t="shared" si="250"/>
        <v>0</v>
      </c>
      <c r="T1267" s="22" t="e">
        <f t="shared" si="251"/>
        <v>#N/A</v>
      </c>
      <c r="U1267" s="28">
        <v>400</v>
      </c>
      <c r="W1267" s="9">
        <v>799</v>
      </c>
      <c r="X1267" s="9" t="s">
        <v>33</v>
      </c>
    </row>
    <row r="1268" spans="17:24">
      <c r="Q1268" s="22"/>
      <c r="R1268" s="22"/>
      <c r="S1268" s="22">
        <f t="shared" si="250"/>
        <v>0</v>
      </c>
      <c r="T1268" s="22" t="e">
        <f t="shared" si="251"/>
        <v>#N/A</v>
      </c>
      <c r="U1268" s="28">
        <v>400</v>
      </c>
      <c r="W1268" s="9">
        <v>799</v>
      </c>
      <c r="X1268" s="9" t="s">
        <v>33</v>
      </c>
    </row>
    <row r="1269" spans="17:24">
      <c r="Q1269" s="22"/>
      <c r="R1269" s="22"/>
      <c r="S1269" s="22">
        <f t="shared" si="250"/>
        <v>0</v>
      </c>
      <c r="T1269" s="22" t="e">
        <f t="shared" si="251"/>
        <v>#N/A</v>
      </c>
      <c r="U1269" s="28">
        <v>400</v>
      </c>
      <c r="W1269" s="9">
        <v>799</v>
      </c>
      <c r="X1269" s="9" t="s">
        <v>33</v>
      </c>
    </row>
    <row r="1270" spans="17:24">
      <c r="Q1270" s="22"/>
      <c r="R1270" s="22"/>
      <c r="S1270" s="22">
        <f t="shared" si="250"/>
        <v>0</v>
      </c>
      <c r="T1270" s="22" t="e">
        <f t="shared" si="251"/>
        <v>#N/A</v>
      </c>
      <c r="U1270" s="28">
        <v>400</v>
      </c>
      <c r="W1270" s="9">
        <v>799</v>
      </c>
      <c r="X1270" s="9" t="s">
        <v>33</v>
      </c>
    </row>
    <row r="1271" spans="17:24">
      <c r="Q1271" s="22"/>
      <c r="R1271" s="22"/>
      <c r="S1271" s="22">
        <f t="shared" si="250"/>
        <v>0</v>
      </c>
      <c r="T1271" s="22" t="e">
        <f t="shared" si="251"/>
        <v>#N/A</v>
      </c>
      <c r="U1271" s="28">
        <v>400</v>
      </c>
      <c r="W1271" s="9">
        <v>799</v>
      </c>
      <c r="X1271" s="9" t="s">
        <v>33</v>
      </c>
    </row>
    <row r="1272" spans="17:24">
      <c r="Q1272" s="22"/>
      <c r="R1272" s="22"/>
      <c r="S1272" s="22">
        <f t="shared" si="250"/>
        <v>0</v>
      </c>
      <c r="T1272" s="22" t="e">
        <f t="shared" si="251"/>
        <v>#N/A</v>
      </c>
      <c r="U1272" s="28">
        <v>400</v>
      </c>
      <c r="W1272" s="9">
        <v>799</v>
      </c>
      <c r="X1272" s="9" t="s">
        <v>33</v>
      </c>
    </row>
    <row r="1273" spans="17:24">
      <c r="Q1273" s="22"/>
      <c r="R1273" s="22"/>
      <c r="S1273" s="22">
        <f t="shared" si="250"/>
        <v>0</v>
      </c>
      <c r="T1273" s="22" t="e">
        <f t="shared" si="251"/>
        <v>#N/A</v>
      </c>
      <c r="U1273" s="28">
        <v>400</v>
      </c>
      <c r="W1273" s="9">
        <v>799</v>
      </c>
      <c r="X1273" s="9" t="s">
        <v>33</v>
      </c>
    </row>
    <row r="1274" spans="17:24">
      <c r="Q1274" s="22"/>
      <c r="R1274" s="22"/>
      <c r="S1274" s="22">
        <f t="shared" si="250"/>
        <v>0</v>
      </c>
      <c r="T1274" s="22" t="e">
        <f t="shared" si="251"/>
        <v>#N/A</v>
      </c>
      <c r="U1274" s="28">
        <v>400</v>
      </c>
      <c r="W1274" s="9">
        <v>802</v>
      </c>
      <c r="X1274" s="9" t="s">
        <v>29</v>
      </c>
    </row>
    <row r="1275" spans="17:24">
      <c r="Q1275" s="22"/>
      <c r="R1275" s="22"/>
      <c r="S1275" s="22">
        <f t="shared" si="250"/>
        <v>0</v>
      </c>
      <c r="T1275" s="22" t="e">
        <f t="shared" si="251"/>
        <v>#N/A</v>
      </c>
      <c r="U1275" s="28">
        <v>400</v>
      </c>
      <c r="W1275" s="9">
        <v>803</v>
      </c>
      <c r="X1275" s="9" t="s">
        <v>28</v>
      </c>
    </row>
    <row r="1276" spans="17:24">
      <c r="Q1276" s="22"/>
      <c r="R1276" s="22"/>
      <c r="S1276" s="22">
        <f t="shared" si="250"/>
        <v>0</v>
      </c>
      <c r="T1276" s="22" t="e">
        <f t="shared" si="251"/>
        <v>#N/A</v>
      </c>
      <c r="U1276" s="28">
        <v>400</v>
      </c>
      <c r="W1276" s="9">
        <v>805</v>
      </c>
      <c r="X1276" s="9" t="s">
        <v>29</v>
      </c>
    </row>
    <row r="1277" spans="17:24">
      <c r="Q1277" s="22"/>
      <c r="R1277" s="22"/>
      <c r="S1277" s="22">
        <f t="shared" si="250"/>
        <v>0</v>
      </c>
      <c r="T1277" s="22" t="e">
        <f t="shared" si="251"/>
        <v>#N/A</v>
      </c>
      <c r="U1277" s="28">
        <v>400</v>
      </c>
      <c r="W1277" s="9">
        <v>806</v>
      </c>
      <c r="X1277" s="9" t="s">
        <v>29</v>
      </c>
    </row>
    <row r="1278" spans="17:24">
      <c r="Q1278" s="22"/>
      <c r="R1278" s="22"/>
      <c r="S1278" s="22">
        <f t="shared" si="250"/>
        <v>0</v>
      </c>
      <c r="T1278" s="22" t="e">
        <f t="shared" si="251"/>
        <v>#N/A</v>
      </c>
      <c r="U1278" s="28">
        <v>400</v>
      </c>
      <c r="W1278" s="9">
        <v>811</v>
      </c>
      <c r="X1278" s="9" t="s">
        <v>29</v>
      </c>
    </row>
    <row r="1279" spans="17:24">
      <c r="Q1279" s="22"/>
      <c r="R1279" s="22"/>
      <c r="S1279" s="22">
        <f t="shared" si="250"/>
        <v>0</v>
      </c>
      <c r="T1279" s="22" t="e">
        <f t="shared" si="251"/>
        <v>#N/A</v>
      </c>
      <c r="U1279" s="28">
        <v>400</v>
      </c>
      <c r="W1279" s="9">
        <v>811</v>
      </c>
      <c r="X1279" s="9" t="s">
        <v>29</v>
      </c>
    </row>
    <row r="1280" spans="17:24">
      <c r="Q1280" s="22"/>
      <c r="R1280" s="22"/>
      <c r="S1280" s="22">
        <f t="shared" si="250"/>
        <v>0</v>
      </c>
      <c r="T1280" s="22" t="e">
        <f t="shared" si="251"/>
        <v>#N/A</v>
      </c>
      <c r="U1280" s="28">
        <v>400</v>
      </c>
      <c r="W1280" s="9">
        <v>811</v>
      </c>
      <c r="X1280" s="9" t="s">
        <v>29</v>
      </c>
    </row>
    <row r="1281" spans="17:24">
      <c r="Q1281" s="22"/>
      <c r="R1281" s="22"/>
      <c r="S1281" s="22">
        <f t="shared" si="250"/>
        <v>0</v>
      </c>
      <c r="T1281" s="22" t="e">
        <f t="shared" si="251"/>
        <v>#N/A</v>
      </c>
      <c r="U1281" s="28">
        <v>400</v>
      </c>
      <c r="W1281" s="9">
        <v>819</v>
      </c>
      <c r="X1281" s="9" t="s">
        <v>29</v>
      </c>
    </row>
    <row r="1282" spans="17:24">
      <c r="Q1282" s="22"/>
      <c r="R1282" s="22"/>
      <c r="S1282" s="22">
        <f t="shared" si="250"/>
        <v>0</v>
      </c>
      <c r="T1282" s="22" t="e">
        <f t="shared" si="251"/>
        <v>#N/A</v>
      </c>
      <c r="U1282" s="28">
        <v>400</v>
      </c>
      <c r="W1282" s="9">
        <v>820</v>
      </c>
      <c r="X1282" s="9" t="s">
        <v>28</v>
      </c>
    </row>
    <row r="1283" spans="17:24">
      <c r="Q1283" s="22"/>
      <c r="R1283" s="22"/>
      <c r="S1283" s="22">
        <f t="shared" ref="S1283:S1346" si="252">_xlfn.XLOOKUP(Q1283,W:W,X:X)</f>
        <v>0</v>
      </c>
      <c r="T1283" s="22" t="e">
        <f t="shared" si="251"/>
        <v>#N/A</v>
      </c>
      <c r="U1283" s="28">
        <v>400</v>
      </c>
      <c r="W1283" s="9">
        <v>820</v>
      </c>
      <c r="X1283" s="9" t="s">
        <v>28</v>
      </c>
    </row>
    <row r="1284" spans="17:24">
      <c r="Q1284" s="22"/>
      <c r="R1284" s="22"/>
      <c r="S1284" s="22">
        <f t="shared" si="252"/>
        <v>0</v>
      </c>
      <c r="T1284" s="22" t="e">
        <f t="shared" si="251"/>
        <v>#N/A</v>
      </c>
      <c r="U1284" s="28">
        <v>400</v>
      </c>
      <c r="W1284" s="9">
        <v>821</v>
      </c>
      <c r="X1284" s="9" t="s">
        <v>27</v>
      </c>
    </row>
    <row r="1285" spans="17:24">
      <c r="Q1285" s="22"/>
      <c r="R1285" s="22"/>
      <c r="S1285" s="22">
        <f t="shared" si="252"/>
        <v>0</v>
      </c>
      <c r="T1285" s="22" t="e">
        <f t="shared" si="251"/>
        <v>#N/A</v>
      </c>
      <c r="U1285" s="28">
        <v>400</v>
      </c>
      <c r="W1285" s="9">
        <v>824</v>
      </c>
      <c r="X1285" s="9" t="s">
        <v>28</v>
      </c>
    </row>
    <row r="1286" spans="17:24">
      <c r="Q1286" s="22"/>
      <c r="R1286" s="22"/>
      <c r="S1286" s="22">
        <f t="shared" si="252"/>
        <v>0</v>
      </c>
      <c r="T1286" s="22" t="e">
        <f t="shared" si="251"/>
        <v>#N/A</v>
      </c>
      <c r="U1286" s="28">
        <v>400</v>
      </c>
      <c r="W1286" s="9">
        <v>824</v>
      </c>
      <c r="X1286" s="9" t="s">
        <v>28</v>
      </c>
    </row>
    <row r="1287" spans="17:24">
      <c r="Q1287" s="22"/>
      <c r="R1287" s="22"/>
      <c r="S1287" s="22">
        <f t="shared" si="252"/>
        <v>0</v>
      </c>
      <c r="T1287" s="22" t="e">
        <f t="shared" si="251"/>
        <v>#N/A</v>
      </c>
      <c r="U1287" s="28">
        <v>400</v>
      </c>
      <c r="W1287" s="9">
        <v>824</v>
      </c>
      <c r="X1287" s="9" t="s">
        <v>28</v>
      </c>
    </row>
    <row r="1288" spans="17:24">
      <c r="Q1288" s="22"/>
      <c r="R1288" s="22"/>
      <c r="S1288" s="22">
        <f t="shared" si="252"/>
        <v>0</v>
      </c>
      <c r="T1288" s="22" t="e">
        <f t="shared" si="251"/>
        <v>#N/A</v>
      </c>
      <c r="U1288" s="28">
        <v>400</v>
      </c>
      <c r="W1288" s="9">
        <v>828</v>
      </c>
      <c r="X1288" s="9" t="s">
        <v>28</v>
      </c>
    </row>
    <row r="1289" spans="17:24">
      <c r="Q1289" s="22"/>
      <c r="R1289" s="22"/>
      <c r="S1289" s="22">
        <f t="shared" si="252"/>
        <v>0</v>
      </c>
      <c r="T1289" s="22" t="e">
        <f t="shared" si="251"/>
        <v>#N/A</v>
      </c>
      <c r="U1289" s="28">
        <v>400</v>
      </c>
      <c r="W1289" s="9">
        <v>828</v>
      </c>
      <c r="X1289" s="9" t="s">
        <v>28</v>
      </c>
    </row>
    <row r="1290" spans="17:24">
      <c r="Q1290" s="22"/>
      <c r="R1290" s="22"/>
      <c r="S1290" s="22">
        <f t="shared" si="252"/>
        <v>0</v>
      </c>
      <c r="T1290" s="22" t="e">
        <f t="shared" si="251"/>
        <v>#N/A</v>
      </c>
      <c r="U1290" s="28">
        <v>400</v>
      </c>
      <c r="W1290" s="9">
        <v>828</v>
      </c>
      <c r="X1290" s="9" t="s">
        <v>28</v>
      </c>
    </row>
    <row r="1291" spans="17:24">
      <c r="Q1291" s="22"/>
      <c r="R1291" s="22"/>
      <c r="S1291" s="22">
        <f t="shared" si="252"/>
        <v>0</v>
      </c>
      <c r="T1291" s="22" t="e">
        <f t="shared" si="251"/>
        <v>#N/A</v>
      </c>
      <c r="U1291" s="28">
        <v>400</v>
      </c>
      <c r="W1291" s="9">
        <v>829</v>
      </c>
      <c r="X1291" s="9" t="s">
        <v>29</v>
      </c>
    </row>
    <row r="1292" spans="17:24">
      <c r="Q1292" s="22"/>
      <c r="R1292" s="22"/>
      <c r="S1292" s="22">
        <f t="shared" si="252"/>
        <v>0</v>
      </c>
      <c r="T1292" s="22" t="e">
        <f t="shared" si="251"/>
        <v>#N/A</v>
      </c>
      <c r="U1292" s="28">
        <v>400</v>
      </c>
      <c r="W1292" s="9">
        <v>830</v>
      </c>
      <c r="X1292" s="9" t="s">
        <v>29</v>
      </c>
    </row>
    <row r="1293" spans="17:24">
      <c r="Q1293" s="22"/>
      <c r="R1293" s="22"/>
      <c r="S1293" s="22">
        <f t="shared" si="252"/>
        <v>0</v>
      </c>
      <c r="T1293" s="22" t="e">
        <f t="shared" si="251"/>
        <v>#N/A</v>
      </c>
      <c r="U1293" s="28">
        <v>400</v>
      </c>
      <c r="W1293" s="9">
        <v>836</v>
      </c>
      <c r="X1293" s="9" t="s">
        <v>29</v>
      </c>
    </row>
    <row r="1294" spans="17:24">
      <c r="Q1294" s="22"/>
      <c r="R1294" s="22"/>
      <c r="S1294" s="22">
        <f t="shared" si="252"/>
        <v>0</v>
      </c>
      <c r="T1294" s="22" t="e">
        <f t="shared" si="251"/>
        <v>#N/A</v>
      </c>
      <c r="U1294" s="28">
        <v>400</v>
      </c>
      <c r="W1294" s="9">
        <v>836</v>
      </c>
      <c r="X1294" s="9" t="s">
        <v>29</v>
      </c>
    </row>
    <row r="1295" spans="17:24">
      <c r="Q1295" s="22"/>
      <c r="R1295" s="22"/>
      <c r="S1295" s="22">
        <f t="shared" si="252"/>
        <v>0</v>
      </c>
      <c r="T1295" s="22" t="e">
        <f t="shared" si="251"/>
        <v>#N/A</v>
      </c>
      <c r="U1295" s="28">
        <v>400</v>
      </c>
      <c r="W1295" s="9">
        <v>837</v>
      </c>
      <c r="X1295" s="9" t="s">
        <v>29</v>
      </c>
    </row>
    <row r="1296" spans="17:24">
      <c r="Q1296" s="22"/>
      <c r="R1296" s="22"/>
      <c r="S1296" s="22">
        <f t="shared" si="252"/>
        <v>0</v>
      </c>
      <c r="T1296" s="22" t="e">
        <f t="shared" si="251"/>
        <v>#N/A</v>
      </c>
      <c r="U1296" s="28">
        <v>400</v>
      </c>
      <c r="W1296" s="9">
        <v>837</v>
      </c>
      <c r="X1296" s="9" t="s">
        <v>29</v>
      </c>
    </row>
    <row r="1297" spans="17:24">
      <c r="Q1297" s="22"/>
      <c r="R1297" s="22"/>
      <c r="S1297" s="22">
        <f t="shared" si="252"/>
        <v>0</v>
      </c>
      <c r="T1297" s="22" t="e">
        <f t="shared" si="251"/>
        <v>#N/A</v>
      </c>
      <c r="U1297" s="28">
        <v>400</v>
      </c>
      <c r="W1297" s="9">
        <v>838</v>
      </c>
      <c r="X1297" s="9" t="s">
        <v>29</v>
      </c>
    </row>
    <row r="1298" spans="17:24">
      <c r="Q1298" s="22"/>
      <c r="R1298" s="22"/>
      <c r="S1298" s="22">
        <f t="shared" si="252"/>
        <v>0</v>
      </c>
      <c r="T1298" s="22" t="e">
        <f t="shared" ref="T1298:T1361" si="253">R1298*_xlfn.XLOOKUP(S1298,AM:AM,AO:AO)</f>
        <v>#N/A</v>
      </c>
      <c r="U1298" s="28">
        <v>400</v>
      </c>
      <c r="W1298" s="9">
        <v>838</v>
      </c>
      <c r="X1298" s="9" t="s">
        <v>29</v>
      </c>
    </row>
    <row r="1299" spans="17:24">
      <c r="Q1299" s="22"/>
      <c r="R1299" s="22"/>
      <c r="S1299" s="22">
        <f t="shared" si="252"/>
        <v>0</v>
      </c>
      <c r="T1299" s="22" t="e">
        <f t="shared" si="253"/>
        <v>#N/A</v>
      </c>
      <c r="U1299" s="28">
        <v>400</v>
      </c>
      <c r="W1299" s="9">
        <v>839</v>
      </c>
      <c r="X1299" s="9" t="s">
        <v>28</v>
      </c>
    </row>
    <row r="1300" spans="17:24">
      <c r="Q1300" s="22"/>
      <c r="R1300" s="22"/>
      <c r="S1300" s="22">
        <f t="shared" si="252"/>
        <v>0</v>
      </c>
      <c r="T1300" s="22" t="e">
        <f t="shared" si="253"/>
        <v>#N/A</v>
      </c>
      <c r="U1300" s="28">
        <v>400</v>
      </c>
      <c r="W1300" s="9">
        <v>840</v>
      </c>
      <c r="X1300" s="9" t="s">
        <v>29</v>
      </c>
    </row>
    <row r="1301" spans="17:24">
      <c r="Q1301" s="22"/>
      <c r="R1301" s="22"/>
      <c r="S1301" s="22">
        <f t="shared" si="252"/>
        <v>0</v>
      </c>
      <c r="T1301" s="22" t="e">
        <f t="shared" si="253"/>
        <v>#N/A</v>
      </c>
      <c r="U1301" s="28">
        <v>400</v>
      </c>
      <c r="W1301" s="9">
        <v>841</v>
      </c>
      <c r="X1301" s="9" t="s">
        <v>29</v>
      </c>
    </row>
    <row r="1302" spans="17:24">
      <c r="Q1302" s="22"/>
      <c r="R1302" s="22"/>
      <c r="S1302" s="22">
        <f t="shared" si="252"/>
        <v>0</v>
      </c>
      <c r="T1302" s="22" t="e">
        <f t="shared" si="253"/>
        <v>#N/A</v>
      </c>
      <c r="U1302" s="28">
        <v>400</v>
      </c>
      <c r="W1302" s="9">
        <v>841</v>
      </c>
      <c r="X1302" s="9" t="s">
        <v>29</v>
      </c>
    </row>
    <row r="1303" spans="17:24">
      <c r="Q1303" s="22"/>
      <c r="R1303" s="22"/>
      <c r="S1303" s="22">
        <f t="shared" si="252"/>
        <v>0</v>
      </c>
      <c r="T1303" s="22" t="e">
        <f t="shared" si="253"/>
        <v>#N/A</v>
      </c>
      <c r="U1303" s="28">
        <v>400</v>
      </c>
      <c r="W1303" s="9">
        <v>841</v>
      </c>
      <c r="X1303" s="9" t="s">
        <v>29</v>
      </c>
    </row>
    <row r="1304" spans="17:24">
      <c r="Q1304" s="22"/>
      <c r="R1304" s="22"/>
      <c r="S1304" s="22">
        <f t="shared" si="252"/>
        <v>0</v>
      </c>
      <c r="T1304" s="22" t="e">
        <f t="shared" si="253"/>
        <v>#N/A</v>
      </c>
      <c r="U1304" s="28">
        <v>400</v>
      </c>
      <c r="W1304" s="9">
        <v>842</v>
      </c>
      <c r="X1304" s="9" t="s">
        <v>29</v>
      </c>
    </row>
    <row r="1305" spans="17:24">
      <c r="Q1305" s="22"/>
      <c r="R1305" s="22"/>
      <c r="S1305" s="22">
        <f t="shared" si="252"/>
        <v>0</v>
      </c>
      <c r="T1305" s="22" t="e">
        <f t="shared" si="253"/>
        <v>#N/A</v>
      </c>
      <c r="U1305" s="28">
        <v>400</v>
      </c>
      <c r="W1305" s="9">
        <v>843</v>
      </c>
      <c r="X1305" s="9" t="s">
        <v>29</v>
      </c>
    </row>
    <row r="1306" spans="17:24">
      <c r="Q1306" s="22"/>
      <c r="R1306" s="22"/>
      <c r="S1306" s="22">
        <f t="shared" si="252"/>
        <v>0</v>
      </c>
      <c r="T1306" s="22" t="e">
        <f t="shared" si="253"/>
        <v>#N/A</v>
      </c>
      <c r="U1306" s="28">
        <v>400</v>
      </c>
      <c r="W1306" s="9">
        <v>843</v>
      </c>
      <c r="X1306" s="9" t="s">
        <v>29</v>
      </c>
    </row>
    <row r="1307" spans="17:24">
      <c r="Q1307" s="22"/>
      <c r="R1307" s="22"/>
      <c r="S1307" s="22">
        <f t="shared" si="252"/>
        <v>0</v>
      </c>
      <c r="T1307" s="22" t="e">
        <f t="shared" si="253"/>
        <v>#N/A</v>
      </c>
      <c r="U1307" s="28">
        <v>400</v>
      </c>
      <c r="W1307" s="9">
        <v>843</v>
      </c>
      <c r="X1307" s="9" t="s">
        <v>29</v>
      </c>
    </row>
    <row r="1308" spans="17:24">
      <c r="Q1308" s="22"/>
      <c r="R1308" s="22"/>
      <c r="S1308" s="22">
        <f t="shared" si="252"/>
        <v>0</v>
      </c>
      <c r="T1308" s="22" t="e">
        <f t="shared" si="253"/>
        <v>#N/A</v>
      </c>
      <c r="U1308" s="28">
        <v>400</v>
      </c>
      <c r="W1308" s="9">
        <v>844</v>
      </c>
      <c r="X1308" s="9" t="s">
        <v>27</v>
      </c>
    </row>
    <row r="1309" spans="17:24">
      <c r="Q1309" s="22"/>
      <c r="R1309" s="22"/>
      <c r="S1309" s="22">
        <f t="shared" si="252"/>
        <v>0</v>
      </c>
      <c r="T1309" s="22" t="e">
        <f t="shared" si="253"/>
        <v>#N/A</v>
      </c>
      <c r="U1309" s="28">
        <v>400</v>
      </c>
      <c r="W1309" s="9">
        <v>845</v>
      </c>
      <c r="X1309" s="9" t="s">
        <v>29</v>
      </c>
    </row>
    <row r="1310" spans="17:24">
      <c r="Q1310" s="22"/>
      <c r="R1310" s="22"/>
      <c r="S1310" s="22">
        <f t="shared" si="252"/>
        <v>0</v>
      </c>
      <c r="T1310" s="22" t="e">
        <f t="shared" si="253"/>
        <v>#N/A</v>
      </c>
      <c r="U1310" s="28">
        <v>400</v>
      </c>
      <c r="W1310" s="9">
        <v>847</v>
      </c>
      <c r="X1310" s="9" t="s">
        <v>29</v>
      </c>
    </row>
    <row r="1311" spans="17:24">
      <c r="Q1311" s="22"/>
      <c r="R1311" s="22"/>
      <c r="S1311" s="22">
        <f t="shared" si="252"/>
        <v>0</v>
      </c>
      <c r="T1311" s="22" t="e">
        <f t="shared" si="253"/>
        <v>#N/A</v>
      </c>
      <c r="U1311" s="28">
        <v>400</v>
      </c>
      <c r="W1311" s="9">
        <v>848</v>
      </c>
      <c r="X1311" s="9" t="s">
        <v>29</v>
      </c>
    </row>
    <row r="1312" spans="17:24">
      <c r="Q1312" s="22"/>
      <c r="R1312" s="22"/>
      <c r="S1312" s="22">
        <f t="shared" si="252"/>
        <v>0</v>
      </c>
      <c r="T1312" s="22" t="e">
        <f t="shared" si="253"/>
        <v>#N/A</v>
      </c>
      <c r="U1312" s="28">
        <v>400</v>
      </c>
      <c r="W1312" s="9">
        <v>848</v>
      </c>
      <c r="X1312" s="9" t="s">
        <v>29</v>
      </c>
    </row>
    <row r="1313" spans="17:24">
      <c r="Q1313" s="22"/>
      <c r="R1313" s="22"/>
      <c r="S1313" s="22">
        <f t="shared" si="252"/>
        <v>0</v>
      </c>
      <c r="T1313" s="22" t="e">
        <f t="shared" si="253"/>
        <v>#N/A</v>
      </c>
      <c r="U1313" s="28">
        <v>400</v>
      </c>
      <c r="W1313" s="9">
        <v>848</v>
      </c>
      <c r="X1313" s="9" t="s">
        <v>29</v>
      </c>
    </row>
    <row r="1314" spans="17:24">
      <c r="Q1314" s="22"/>
      <c r="R1314" s="22"/>
      <c r="S1314" s="22">
        <f t="shared" si="252"/>
        <v>0</v>
      </c>
      <c r="T1314" s="22" t="e">
        <f t="shared" si="253"/>
        <v>#N/A</v>
      </c>
      <c r="U1314" s="28">
        <v>400</v>
      </c>
      <c r="W1314" s="9">
        <v>848</v>
      </c>
      <c r="X1314" s="9" t="s">
        <v>29</v>
      </c>
    </row>
    <row r="1315" spans="17:24">
      <c r="Q1315" s="22"/>
      <c r="R1315" s="22"/>
      <c r="S1315" s="22">
        <f t="shared" si="252"/>
        <v>0</v>
      </c>
      <c r="T1315" s="22" t="e">
        <f t="shared" si="253"/>
        <v>#N/A</v>
      </c>
      <c r="U1315" s="28">
        <v>400</v>
      </c>
      <c r="W1315" s="9">
        <v>848</v>
      </c>
      <c r="X1315" s="9" t="s">
        <v>29</v>
      </c>
    </row>
    <row r="1316" spans="17:24">
      <c r="Q1316" s="22"/>
      <c r="R1316" s="22"/>
      <c r="S1316" s="22">
        <f t="shared" si="252"/>
        <v>0</v>
      </c>
      <c r="T1316" s="22" t="e">
        <f t="shared" si="253"/>
        <v>#N/A</v>
      </c>
      <c r="U1316" s="28">
        <v>400</v>
      </c>
      <c r="W1316" s="9">
        <v>848</v>
      </c>
      <c r="X1316" s="9" t="s">
        <v>29</v>
      </c>
    </row>
    <row r="1317" spans="17:24">
      <c r="Q1317" s="22"/>
      <c r="R1317" s="22"/>
      <c r="S1317" s="22">
        <f t="shared" si="252"/>
        <v>0</v>
      </c>
      <c r="T1317" s="22" t="e">
        <f t="shared" si="253"/>
        <v>#N/A</v>
      </c>
      <c r="U1317" s="28">
        <v>400</v>
      </c>
      <c r="W1317" s="9">
        <v>849</v>
      </c>
      <c r="X1317" s="9" t="s">
        <v>29</v>
      </c>
    </row>
    <row r="1318" spans="17:24">
      <c r="Q1318" s="22"/>
      <c r="R1318" s="22"/>
      <c r="S1318" s="22">
        <f t="shared" si="252"/>
        <v>0</v>
      </c>
      <c r="T1318" s="22" t="e">
        <f t="shared" si="253"/>
        <v>#N/A</v>
      </c>
      <c r="U1318" s="28">
        <v>400</v>
      </c>
      <c r="W1318" s="9">
        <v>850</v>
      </c>
      <c r="X1318" s="9" t="s">
        <v>28</v>
      </c>
    </row>
    <row r="1319" spans="17:24">
      <c r="Q1319" s="22"/>
      <c r="R1319" s="22"/>
      <c r="S1319" s="22">
        <f t="shared" si="252"/>
        <v>0</v>
      </c>
      <c r="T1319" s="22" t="e">
        <f t="shared" si="253"/>
        <v>#N/A</v>
      </c>
      <c r="U1319" s="28">
        <v>400</v>
      </c>
      <c r="W1319" s="9">
        <v>856</v>
      </c>
      <c r="X1319" s="9" t="s">
        <v>27</v>
      </c>
    </row>
    <row r="1320" spans="17:24">
      <c r="Q1320" s="22"/>
      <c r="R1320" s="22"/>
      <c r="S1320" s="22">
        <f t="shared" si="252"/>
        <v>0</v>
      </c>
      <c r="T1320" s="22" t="e">
        <f t="shared" si="253"/>
        <v>#N/A</v>
      </c>
      <c r="U1320" s="28">
        <v>400</v>
      </c>
      <c r="W1320" s="9">
        <v>857</v>
      </c>
      <c r="X1320" s="9" t="s">
        <v>27</v>
      </c>
    </row>
    <row r="1321" spans="17:24">
      <c r="Q1321" s="22"/>
      <c r="R1321" s="22"/>
      <c r="S1321" s="22">
        <f t="shared" si="252"/>
        <v>0</v>
      </c>
      <c r="T1321" s="22" t="e">
        <f t="shared" si="253"/>
        <v>#N/A</v>
      </c>
      <c r="U1321" s="28">
        <v>400</v>
      </c>
      <c r="W1321" s="9">
        <v>858</v>
      </c>
      <c r="X1321" s="9" t="s">
        <v>29</v>
      </c>
    </row>
    <row r="1322" spans="17:24">
      <c r="Q1322" s="22"/>
      <c r="R1322" s="22"/>
      <c r="S1322" s="22">
        <f t="shared" si="252"/>
        <v>0</v>
      </c>
      <c r="T1322" s="22" t="e">
        <f t="shared" si="253"/>
        <v>#N/A</v>
      </c>
      <c r="U1322" s="28">
        <v>400</v>
      </c>
      <c r="W1322" s="9">
        <v>859</v>
      </c>
      <c r="X1322" s="9" t="s">
        <v>29</v>
      </c>
    </row>
    <row r="1323" spans="17:24">
      <c r="Q1323" s="22"/>
      <c r="R1323" s="22"/>
      <c r="S1323" s="22">
        <f t="shared" si="252"/>
        <v>0</v>
      </c>
      <c r="T1323" s="22" t="e">
        <f t="shared" si="253"/>
        <v>#N/A</v>
      </c>
      <c r="U1323" s="28">
        <v>400</v>
      </c>
      <c r="W1323" s="9">
        <v>860</v>
      </c>
      <c r="X1323" s="9" t="s">
        <v>31</v>
      </c>
    </row>
    <row r="1324" spans="17:24">
      <c r="Q1324" s="22"/>
      <c r="R1324" s="22"/>
      <c r="S1324" s="22">
        <f t="shared" si="252"/>
        <v>0</v>
      </c>
      <c r="T1324" s="22" t="e">
        <f t="shared" si="253"/>
        <v>#N/A</v>
      </c>
      <c r="U1324" s="28">
        <v>400</v>
      </c>
      <c r="W1324" s="9">
        <v>861</v>
      </c>
      <c r="X1324" s="9" t="s">
        <v>27</v>
      </c>
    </row>
    <row r="1325" spans="17:24">
      <c r="Q1325" s="22"/>
      <c r="R1325" s="22"/>
      <c r="S1325" s="22">
        <f t="shared" si="252"/>
        <v>0</v>
      </c>
      <c r="T1325" s="22" t="e">
        <f t="shared" si="253"/>
        <v>#N/A</v>
      </c>
      <c r="U1325" s="28">
        <v>400</v>
      </c>
      <c r="W1325" s="9">
        <v>862</v>
      </c>
      <c r="X1325" s="9" t="s">
        <v>29</v>
      </c>
    </row>
    <row r="1326" spans="17:24">
      <c r="Q1326" s="22"/>
      <c r="R1326" s="22"/>
      <c r="S1326" s="22">
        <f t="shared" si="252"/>
        <v>0</v>
      </c>
      <c r="T1326" s="22" t="e">
        <f t="shared" si="253"/>
        <v>#N/A</v>
      </c>
      <c r="U1326" s="28">
        <v>400</v>
      </c>
      <c r="W1326" s="9">
        <v>864</v>
      </c>
      <c r="X1326" s="9" t="s">
        <v>29</v>
      </c>
    </row>
    <row r="1327" spans="17:24">
      <c r="Q1327" s="22"/>
      <c r="R1327" s="22"/>
      <c r="S1327" s="22">
        <f t="shared" si="252"/>
        <v>0</v>
      </c>
      <c r="T1327" s="22" t="e">
        <f t="shared" si="253"/>
        <v>#N/A</v>
      </c>
      <c r="U1327" s="28">
        <v>400</v>
      </c>
      <c r="W1327" s="9">
        <v>864</v>
      </c>
      <c r="X1327" s="9" t="s">
        <v>29</v>
      </c>
    </row>
    <row r="1328" spans="17:24">
      <c r="Q1328" s="22"/>
      <c r="R1328" s="22"/>
      <c r="S1328" s="22">
        <f t="shared" si="252"/>
        <v>0</v>
      </c>
      <c r="T1328" s="22" t="e">
        <f t="shared" si="253"/>
        <v>#N/A</v>
      </c>
      <c r="U1328" s="28">
        <v>400</v>
      </c>
      <c r="W1328" s="9">
        <v>875</v>
      </c>
      <c r="X1328" s="9" t="s">
        <v>29</v>
      </c>
    </row>
    <row r="1329" spans="17:24">
      <c r="Q1329" s="22"/>
      <c r="R1329" s="22"/>
      <c r="S1329" s="22">
        <f t="shared" si="252"/>
        <v>0</v>
      </c>
      <c r="T1329" s="22" t="e">
        <f t="shared" si="253"/>
        <v>#N/A</v>
      </c>
      <c r="U1329" s="28">
        <v>400</v>
      </c>
      <c r="W1329" s="9">
        <v>875</v>
      </c>
      <c r="X1329" s="9" t="s">
        <v>29</v>
      </c>
    </row>
    <row r="1330" spans="17:24">
      <c r="Q1330" s="22"/>
      <c r="R1330" s="22"/>
      <c r="S1330" s="22">
        <f t="shared" si="252"/>
        <v>0</v>
      </c>
      <c r="T1330" s="22" t="e">
        <f t="shared" si="253"/>
        <v>#N/A</v>
      </c>
      <c r="U1330" s="28">
        <v>400</v>
      </c>
      <c r="W1330" s="9">
        <v>876</v>
      </c>
      <c r="X1330" s="9" t="s">
        <v>29</v>
      </c>
    </row>
    <row r="1331" spans="17:24">
      <c r="Q1331" s="22"/>
      <c r="R1331" s="22"/>
      <c r="S1331" s="22">
        <f t="shared" si="252"/>
        <v>0</v>
      </c>
      <c r="T1331" s="22" t="e">
        <f t="shared" si="253"/>
        <v>#N/A</v>
      </c>
      <c r="U1331" s="28">
        <v>400</v>
      </c>
      <c r="W1331" s="9">
        <v>877</v>
      </c>
      <c r="X1331" s="9" t="s">
        <v>29</v>
      </c>
    </row>
    <row r="1332" spans="17:24">
      <c r="Q1332" s="22"/>
      <c r="R1332" s="22"/>
      <c r="S1332" s="22">
        <f t="shared" si="252"/>
        <v>0</v>
      </c>
      <c r="T1332" s="22" t="e">
        <f t="shared" si="253"/>
        <v>#N/A</v>
      </c>
      <c r="U1332" s="28">
        <v>400</v>
      </c>
      <c r="W1332" s="9">
        <v>879</v>
      </c>
      <c r="X1332" s="9" t="s">
        <v>29</v>
      </c>
    </row>
    <row r="1333" spans="17:24">
      <c r="Q1333" s="22"/>
      <c r="R1333" s="22"/>
      <c r="S1333" s="22">
        <f t="shared" si="252"/>
        <v>0</v>
      </c>
      <c r="T1333" s="22" t="e">
        <f t="shared" si="253"/>
        <v>#N/A</v>
      </c>
      <c r="U1333" s="28">
        <v>400</v>
      </c>
      <c r="W1333" s="9">
        <v>880</v>
      </c>
      <c r="X1333" s="9" t="s">
        <v>29</v>
      </c>
    </row>
    <row r="1334" spans="17:24">
      <c r="Q1334" s="22"/>
      <c r="R1334" s="22"/>
      <c r="S1334" s="22">
        <f t="shared" si="252"/>
        <v>0</v>
      </c>
      <c r="T1334" s="22" t="e">
        <f t="shared" si="253"/>
        <v>#N/A</v>
      </c>
      <c r="U1334" s="28">
        <v>400</v>
      </c>
      <c r="W1334" s="9">
        <v>882</v>
      </c>
      <c r="X1334" s="9" t="s">
        <v>33</v>
      </c>
    </row>
    <row r="1335" spans="17:24">
      <c r="Q1335" s="22"/>
      <c r="R1335" s="22"/>
      <c r="S1335" s="22">
        <f t="shared" si="252"/>
        <v>0</v>
      </c>
      <c r="T1335" s="22" t="e">
        <f t="shared" si="253"/>
        <v>#N/A</v>
      </c>
      <c r="U1335" s="28">
        <v>400</v>
      </c>
      <c r="W1335" s="9">
        <v>884</v>
      </c>
      <c r="X1335" s="9" t="s">
        <v>29</v>
      </c>
    </row>
    <row r="1336" spans="17:24">
      <c r="Q1336" s="22"/>
      <c r="R1336" s="22"/>
      <c r="S1336" s="22">
        <f t="shared" si="252"/>
        <v>0</v>
      </c>
      <c r="T1336" s="22" t="e">
        <f t="shared" si="253"/>
        <v>#N/A</v>
      </c>
      <c r="U1336" s="28">
        <v>400</v>
      </c>
      <c r="W1336" s="9">
        <v>891</v>
      </c>
      <c r="X1336" s="9" t="s">
        <v>28</v>
      </c>
    </row>
    <row r="1337" spans="17:24">
      <c r="Q1337" s="22"/>
      <c r="R1337" s="22"/>
      <c r="S1337" s="22">
        <f t="shared" si="252"/>
        <v>0</v>
      </c>
      <c r="T1337" s="22" t="e">
        <f t="shared" si="253"/>
        <v>#N/A</v>
      </c>
      <c r="U1337" s="28">
        <v>400</v>
      </c>
      <c r="W1337" s="9">
        <v>892</v>
      </c>
      <c r="X1337" s="9" t="s">
        <v>29</v>
      </c>
    </row>
    <row r="1338" spans="17:24">
      <c r="Q1338" s="22"/>
      <c r="R1338" s="22"/>
      <c r="S1338" s="22">
        <f t="shared" si="252"/>
        <v>0</v>
      </c>
      <c r="T1338" s="22" t="e">
        <f t="shared" si="253"/>
        <v>#N/A</v>
      </c>
      <c r="U1338" s="28">
        <v>400</v>
      </c>
      <c r="W1338" s="9">
        <v>896</v>
      </c>
      <c r="X1338" s="9" t="s">
        <v>29</v>
      </c>
    </row>
    <row r="1339" spans="17:24">
      <c r="Q1339" s="22"/>
      <c r="R1339" s="22"/>
      <c r="S1339" s="22">
        <f t="shared" si="252"/>
        <v>0</v>
      </c>
      <c r="T1339" s="22" t="e">
        <f t="shared" si="253"/>
        <v>#N/A</v>
      </c>
      <c r="U1339" s="28">
        <v>400</v>
      </c>
      <c r="W1339" s="9">
        <v>896</v>
      </c>
      <c r="X1339" s="9" t="s">
        <v>29</v>
      </c>
    </row>
    <row r="1340" spans="17:24">
      <c r="Q1340" s="22"/>
      <c r="R1340" s="22"/>
      <c r="S1340" s="22">
        <f t="shared" si="252"/>
        <v>0</v>
      </c>
      <c r="T1340" s="22" t="e">
        <f t="shared" si="253"/>
        <v>#N/A</v>
      </c>
      <c r="U1340" s="28">
        <v>400</v>
      </c>
      <c r="W1340" s="9">
        <v>899</v>
      </c>
      <c r="X1340" s="9" t="s">
        <v>29</v>
      </c>
    </row>
    <row r="1341" spans="17:24">
      <c r="Q1341" s="22"/>
      <c r="R1341" s="22"/>
      <c r="S1341" s="22">
        <f t="shared" si="252"/>
        <v>0</v>
      </c>
      <c r="T1341" s="22" t="e">
        <f t="shared" si="253"/>
        <v>#N/A</v>
      </c>
      <c r="U1341" s="28">
        <v>400</v>
      </c>
      <c r="W1341" s="9">
        <v>901</v>
      </c>
      <c r="X1341" s="9" t="s">
        <v>27</v>
      </c>
    </row>
    <row r="1342" spans="17:24">
      <c r="Q1342" s="22"/>
      <c r="R1342" s="22"/>
      <c r="S1342" s="22">
        <f t="shared" si="252"/>
        <v>0</v>
      </c>
      <c r="T1342" s="22" t="e">
        <f t="shared" si="253"/>
        <v>#N/A</v>
      </c>
      <c r="U1342" s="28">
        <v>400</v>
      </c>
      <c r="W1342" s="9">
        <v>902</v>
      </c>
      <c r="X1342" s="9" t="s">
        <v>29</v>
      </c>
    </row>
    <row r="1343" spans="17:24">
      <c r="Q1343" s="22"/>
      <c r="R1343" s="22"/>
      <c r="S1343" s="22">
        <f t="shared" si="252"/>
        <v>0</v>
      </c>
      <c r="T1343" s="22" t="e">
        <f t="shared" si="253"/>
        <v>#N/A</v>
      </c>
      <c r="U1343" s="28">
        <v>400</v>
      </c>
      <c r="W1343" s="9">
        <v>904</v>
      </c>
      <c r="X1343" s="9" t="s">
        <v>29</v>
      </c>
    </row>
    <row r="1344" spans="17:24">
      <c r="Q1344" s="22"/>
      <c r="R1344" s="22"/>
      <c r="S1344" s="22">
        <f t="shared" si="252"/>
        <v>0</v>
      </c>
      <c r="T1344" s="22" t="e">
        <f t="shared" si="253"/>
        <v>#N/A</v>
      </c>
      <c r="U1344" s="28">
        <v>400</v>
      </c>
      <c r="W1344" s="9">
        <v>908</v>
      </c>
      <c r="X1344" s="9" t="s">
        <v>29</v>
      </c>
    </row>
    <row r="1345" spans="17:24">
      <c r="Q1345" s="22"/>
      <c r="R1345" s="22"/>
      <c r="S1345" s="22">
        <f t="shared" si="252"/>
        <v>0</v>
      </c>
      <c r="T1345" s="22" t="e">
        <f t="shared" si="253"/>
        <v>#N/A</v>
      </c>
      <c r="U1345" s="28">
        <v>400</v>
      </c>
      <c r="W1345" s="9">
        <v>908</v>
      </c>
      <c r="X1345" s="9" t="s">
        <v>29</v>
      </c>
    </row>
    <row r="1346" spans="17:24">
      <c r="Q1346" s="22"/>
      <c r="R1346" s="22"/>
      <c r="S1346" s="22">
        <f t="shared" si="252"/>
        <v>0</v>
      </c>
      <c r="T1346" s="22" t="e">
        <f t="shared" si="253"/>
        <v>#N/A</v>
      </c>
      <c r="U1346" s="28">
        <v>400</v>
      </c>
      <c r="W1346" s="9">
        <v>908</v>
      </c>
      <c r="X1346" s="9" t="s">
        <v>29</v>
      </c>
    </row>
    <row r="1347" spans="17:24">
      <c r="Q1347" s="22"/>
      <c r="R1347" s="22"/>
      <c r="S1347" s="22">
        <f t="shared" ref="S1347:S1410" si="254">_xlfn.XLOOKUP(Q1347,W:W,X:X)</f>
        <v>0</v>
      </c>
      <c r="T1347" s="22" t="e">
        <f t="shared" si="253"/>
        <v>#N/A</v>
      </c>
      <c r="U1347" s="28">
        <v>400</v>
      </c>
      <c r="W1347" s="9">
        <v>909</v>
      </c>
      <c r="X1347" s="9" t="s">
        <v>28</v>
      </c>
    </row>
    <row r="1348" spans="17:24">
      <c r="Q1348" s="22"/>
      <c r="R1348" s="22"/>
      <c r="S1348" s="22">
        <f t="shared" si="254"/>
        <v>0</v>
      </c>
      <c r="T1348" s="22" t="e">
        <f t="shared" si="253"/>
        <v>#N/A</v>
      </c>
      <c r="U1348" s="28">
        <v>400</v>
      </c>
      <c r="W1348" s="9">
        <v>909</v>
      </c>
      <c r="X1348" s="9" t="s">
        <v>28</v>
      </c>
    </row>
    <row r="1349" spans="17:24">
      <c r="Q1349" s="22"/>
      <c r="R1349" s="22"/>
      <c r="S1349" s="22">
        <f t="shared" si="254"/>
        <v>0</v>
      </c>
      <c r="T1349" s="22" t="e">
        <f t="shared" si="253"/>
        <v>#N/A</v>
      </c>
      <c r="U1349" s="28">
        <v>400</v>
      </c>
      <c r="W1349" s="9">
        <v>909</v>
      </c>
      <c r="X1349" s="9" t="s">
        <v>28</v>
      </c>
    </row>
    <row r="1350" spans="17:24">
      <c r="Q1350" s="22"/>
      <c r="R1350" s="22"/>
      <c r="S1350" s="22">
        <f t="shared" si="254"/>
        <v>0</v>
      </c>
      <c r="T1350" s="22" t="e">
        <f t="shared" si="253"/>
        <v>#N/A</v>
      </c>
      <c r="U1350" s="28">
        <v>400</v>
      </c>
      <c r="W1350" s="9">
        <v>910</v>
      </c>
      <c r="X1350" s="9" t="s">
        <v>29</v>
      </c>
    </row>
    <row r="1351" spans="17:24">
      <c r="Q1351" s="22"/>
      <c r="R1351" s="22"/>
      <c r="S1351" s="22">
        <f t="shared" si="254"/>
        <v>0</v>
      </c>
      <c r="T1351" s="22" t="e">
        <f t="shared" si="253"/>
        <v>#N/A</v>
      </c>
      <c r="U1351" s="28">
        <v>400</v>
      </c>
      <c r="W1351" s="9">
        <v>911</v>
      </c>
      <c r="X1351" s="9" t="s">
        <v>29</v>
      </c>
    </row>
    <row r="1352" spans="17:24">
      <c r="Q1352" s="22"/>
      <c r="R1352" s="22"/>
      <c r="S1352" s="22">
        <f t="shared" si="254"/>
        <v>0</v>
      </c>
      <c r="T1352" s="22" t="e">
        <f t="shared" si="253"/>
        <v>#N/A</v>
      </c>
      <c r="U1352" s="28">
        <v>400</v>
      </c>
      <c r="W1352" s="9">
        <v>912</v>
      </c>
      <c r="X1352" s="9" t="s">
        <v>29</v>
      </c>
    </row>
    <row r="1353" spans="17:24">
      <c r="Q1353" s="22"/>
      <c r="R1353" s="22"/>
      <c r="S1353" s="22">
        <f t="shared" si="254"/>
        <v>0</v>
      </c>
      <c r="T1353" s="22" t="e">
        <f t="shared" si="253"/>
        <v>#N/A</v>
      </c>
      <c r="U1353" s="28">
        <v>400</v>
      </c>
      <c r="W1353" s="9">
        <v>913</v>
      </c>
      <c r="X1353" s="9" t="s">
        <v>28</v>
      </c>
    </row>
    <row r="1354" spans="17:24">
      <c r="Q1354" s="22"/>
      <c r="R1354" s="22"/>
      <c r="S1354" s="22">
        <f t="shared" si="254"/>
        <v>0</v>
      </c>
      <c r="T1354" s="22" t="e">
        <f t="shared" si="253"/>
        <v>#N/A</v>
      </c>
      <c r="U1354" s="28">
        <v>400</v>
      </c>
      <c r="W1354" s="9">
        <v>914</v>
      </c>
      <c r="X1354" s="9" t="s">
        <v>29</v>
      </c>
    </row>
    <row r="1355" spans="17:24">
      <c r="Q1355" s="22"/>
      <c r="R1355" s="22"/>
      <c r="S1355" s="22">
        <f t="shared" si="254"/>
        <v>0</v>
      </c>
      <c r="T1355" s="22" t="e">
        <f t="shared" si="253"/>
        <v>#N/A</v>
      </c>
      <c r="U1355" s="28">
        <v>400</v>
      </c>
      <c r="W1355" s="9">
        <v>919</v>
      </c>
      <c r="X1355" s="9" t="s">
        <v>29</v>
      </c>
    </row>
    <row r="1356" spans="17:24">
      <c r="Q1356" s="22"/>
      <c r="R1356" s="22"/>
      <c r="S1356" s="22">
        <f t="shared" si="254"/>
        <v>0</v>
      </c>
      <c r="T1356" s="22" t="e">
        <f t="shared" si="253"/>
        <v>#N/A</v>
      </c>
      <c r="U1356" s="28">
        <v>400</v>
      </c>
      <c r="W1356" s="9">
        <v>920</v>
      </c>
      <c r="X1356" s="9" t="s">
        <v>29</v>
      </c>
    </row>
    <row r="1357" spans="17:24">
      <c r="Q1357" s="22"/>
      <c r="R1357" s="22"/>
      <c r="S1357" s="22">
        <f t="shared" si="254"/>
        <v>0</v>
      </c>
      <c r="T1357" s="22" t="e">
        <f t="shared" si="253"/>
        <v>#N/A</v>
      </c>
      <c r="U1357" s="28">
        <v>400</v>
      </c>
      <c r="W1357" s="9">
        <v>920</v>
      </c>
      <c r="X1357" s="9" t="s">
        <v>29</v>
      </c>
    </row>
    <row r="1358" spans="17:24">
      <c r="Q1358" s="22"/>
      <c r="R1358" s="22"/>
      <c r="S1358" s="22">
        <f t="shared" si="254"/>
        <v>0</v>
      </c>
      <c r="T1358" s="22" t="e">
        <f t="shared" si="253"/>
        <v>#N/A</v>
      </c>
      <c r="U1358" s="28">
        <v>400</v>
      </c>
      <c r="W1358" s="9">
        <v>921</v>
      </c>
      <c r="X1358" s="9" t="s">
        <v>29</v>
      </c>
    </row>
    <row r="1359" spans="17:24">
      <c r="Q1359" s="22"/>
      <c r="R1359" s="22"/>
      <c r="S1359" s="22">
        <f t="shared" si="254"/>
        <v>0</v>
      </c>
      <c r="T1359" s="22" t="e">
        <f t="shared" si="253"/>
        <v>#N/A</v>
      </c>
      <c r="U1359" s="28">
        <v>400</v>
      </c>
      <c r="W1359" s="9">
        <v>922</v>
      </c>
      <c r="X1359" s="9" t="s">
        <v>27</v>
      </c>
    </row>
    <row r="1360" spans="17:24">
      <c r="Q1360" s="22"/>
      <c r="R1360" s="22"/>
      <c r="S1360" s="22">
        <f t="shared" si="254"/>
        <v>0</v>
      </c>
      <c r="T1360" s="22" t="e">
        <f t="shared" si="253"/>
        <v>#N/A</v>
      </c>
      <c r="U1360" s="28">
        <v>400</v>
      </c>
      <c r="W1360" s="9">
        <v>923</v>
      </c>
      <c r="X1360" s="9" t="s">
        <v>27</v>
      </c>
    </row>
    <row r="1361" spans="17:24">
      <c r="Q1361" s="22"/>
      <c r="R1361" s="22"/>
      <c r="S1361" s="22">
        <f t="shared" si="254"/>
        <v>0</v>
      </c>
      <c r="T1361" s="22" t="e">
        <f t="shared" si="253"/>
        <v>#N/A</v>
      </c>
      <c r="U1361" s="28">
        <v>400</v>
      </c>
      <c r="W1361" s="9">
        <v>925</v>
      </c>
      <c r="X1361" s="9" t="s">
        <v>27</v>
      </c>
    </row>
    <row r="1362" spans="17:24">
      <c r="Q1362" s="22"/>
      <c r="R1362" s="22"/>
      <c r="S1362" s="22">
        <f t="shared" si="254"/>
        <v>0</v>
      </c>
      <c r="T1362" s="22" t="e">
        <f t="shared" ref="T1362:T1425" si="255">R1362*_xlfn.XLOOKUP(S1362,AM:AM,AO:AO)</f>
        <v>#N/A</v>
      </c>
      <c r="U1362" s="28">
        <v>400</v>
      </c>
      <c r="W1362" s="9">
        <v>930</v>
      </c>
      <c r="X1362" s="9" t="s">
        <v>29</v>
      </c>
    </row>
    <row r="1363" spans="17:24">
      <c r="Q1363" s="22"/>
      <c r="R1363" s="22"/>
      <c r="S1363" s="22">
        <f t="shared" si="254"/>
        <v>0</v>
      </c>
      <c r="T1363" s="22" t="e">
        <f t="shared" si="255"/>
        <v>#N/A</v>
      </c>
      <c r="U1363" s="28">
        <v>400</v>
      </c>
      <c r="W1363" s="9">
        <v>937</v>
      </c>
      <c r="X1363" s="9" t="s">
        <v>29</v>
      </c>
    </row>
    <row r="1364" spans="17:24">
      <c r="Q1364" s="22"/>
      <c r="R1364" s="22"/>
      <c r="S1364" s="22">
        <f t="shared" si="254"/>
        <v>0</v>
      </c>
      <c r="T1364" s="22" t="e">
        <f t="shared" si="255"/>
        <v>#N/A</v>
      </c>
      <c r="U1364" s="28">
        <v>400</v>
      </c>
      <c r="W1364" s="9">
        <v>937</v>
      </c>
      <c r="X1364" s="9" t="s">
        <v>29</v>
      </c>
    </row>
    <row r="1365" spans="17:24">
      <c r="Q1365" s="22"/>
      <c r="R1365" s="22"/>
      <c r="S1365" s="22">
        <f t="shared" si="254"/>
        <v>0</v>
      </c>
      <c r="T1365" s="22" t="e">
        <f t="shared" si="255"/>
        <v>#N/A</v>
      </c>
      <c r="U1365" s="28">
        <v>400</v>
      </c>
      <c r="W1365" s="9">
        <v>938</v>
      </c>
      <c r="X1365" s="9" t="s">
        <v>29</v>
      </c>
    </row>
    <row r="1366" spans="17:24">
      <c r="Q1366" s="22"/>
      <c r="R1366" s="22"/>
      <c r="S1366" s="22">
        <f t="shared" si="254"/>
        <v>0</v>
      </c>
      <c r="T1366" s="22" t="e">
        <f t="shared" si="255"/>
        <v>#N/A</v>
      </c>
      <c r="U1366" s="28">
        <v>400</v>
      </c>
      <c r="W1366" s="9">
        <v>938</v>
      </c>
      <c r="X1366" s="9" t="s">
        <v>29</v>
      </c>
    </row>
    <row r="1367" spans="17:24">
      <c r="Q1367" s="22"/>
      <c r="R1367" s="22"/>
      <c r="S1367" s="22">
        <f t="shared" si="254"/>
        <v>0</v>
      </c>
      <c r="T1367" s="22" t="e">
        <f t="shared" si="255"/>
        <v>#N/A</v>
      </c>
      <c r="U1367" s="28">
        <v>400</v>
      </c>
      <c r="W1367" s="9">
        <v>938</v>
      </c>
      <c r="X1367" s="9" t="s">
        <v>29</v>
      </c>
    </row>
    <row r="1368" spans="17:24">
      <c r="Q1368" s="22"/>
      <c r="R1368" s="22"/>
      <c r="S1368" s="22">
        <f t="shared" si="254"/>
        <v>0</v>
      </c>
      <c r="T1368" s="22" t="e">
        <f t="shared" si="255"/>
        <v>#N/A</v>
      </c>
      <c r="U1368" s="28">
        <v>400</v>
      </c>
      <c r="W1368" s="9">
        <v>941</v>
      </c>
      <c r="X1368" s="9" t="s">
        <v>29</v>
      </c>
    </row>
    <row r="1369" spans="17:24">
      <c r="Q1369" s="22"/>
      <c r="R1369" s="22"/>
      <c r="S1369" s="22">
        <f t="shared" si="254"/>
        <v>0</v>
      </c>
      <c r="T1369" s="22" t="e">
        <f t="shared" si="255"/>
        <v>#N/A</v>
      </c>
      <c r="U1369" s="28">
        <v>400</v>
      </c>
      <c r="W1369" s="9">
        <v>942</v>
      </c>
      <c r="X1369" s="9" t="s">
        <v>29</v>
      </c>
    </row>
    <row r="1370" spans="17:24">
      <c r="Q1370" s="22"/>
      <c r="R1370" s="22"/>
      <c r="S1370" s="22">
        <f t="shared" si="254"/>
        <v>0</v>
      </c>
      <c r="T1370" s="22" t="e">
        <f t="shared" si="255"/>
        <v>#N/A</v>
      </c>
      <c r="U1370" s="28">
        <v>400</v>
      </c>
      <c r="W1370" s="9">
        <v>943</v>
      </c>
      <c r="X1370" s="9" t="s">
        <v>29</v>
      </c>
    </row>
    <row r="1371" spans="17:24">
      <c r="Q1371" s="22"/>
      <c r="R1371" s="22"/>
      <c r="S1371" s="22">
        <f t="shared" si="254"/>
        <v>0</v>
      </c>
      <c r="T1371" s="22" t="e">
        <f t="shared" si="255"/>
        <v>#N/A</v>
      </c>
      <c r="U1371" s="28">
        <v>400</v>
      </c>
      <c r="W1371" s="9">
        <v>944</v>
      </c>
      <c r="X1371" s="9" t="s">
        <v>28</v>
      </c>
    </row>
    <row r="1372" spans="17:24">
      <c r="Q1372" s="22"/>
      <c r="R1372" s="22"/>
      <c r="S1372" s="22">
        <f t="shared" si="254"/>
        <v>0</v>
      </c>
      <c r="T1372" s="22" t="e">
        <f t="shared" si="255"/>
        <v>#N/A</v>
      </c>
      <c r="U1372" s="28">
        <v>400</v>
      </c>
      <c r="W1372" s="9">
        <v>945</v>
      </c>
      <c r="X1372" s="9" t="s">
        <v>31</v>
      </c>
    </row>
    <row r="1373" spans="17:24">
      <c r="Q1373" s="22"/>
      <c r="R1373" s="22"/>
      <c r="S1373" s="22">
        <f t="shared" si="254"/>
        <v>0</v>
      </c>
      <c r="T1373" s="22" t="e">
        <f t="shared" si="255"/>
        <v>#N/A</v>
      </c>
      <c r="U1373" s="28">
        <v>400</v>
      </c>
      <c r="W1373" s="9">
        <v>946</v>
      </c>
      <c r="X1373" s="9" t="s">
        <v>31</v>
      </c>
    </row>
    <row r="1374" spans="17:24">
      <c r="Q1374" s="22"/>
      <c r="R1374" s="22"/>
      <c r="S1374" s="22">
        <f t="shared" si="254"/>
        <v>0</v>
      </c>
      <c r="T1374" s="22" t="e">
        <f t="shared" si="255"/>
        <v>#N/A</v>
      </c>
      <c r="U1374" s="28">
        <v>400</v>
      </c>
      <c r="W1374" s="9">
        <v>947</v>
      </c>
      <c r="X1374" s="9" t="s">
        <v>29</v>
      </c>
    </row>
    <row r="1375" spans="17:24">
      <c r="Q1375" s="22"/>
      <c r="R1375" s="22"/>
      <c r="S1375" s="22">
        <f t="shared" si="254"/>
        <v>0</v>
      </c>
      <c r="T1375" s="22" t="e">
        <f t="shared" si="255"/>
        <v>#N/A</v>
      </c>
      <c r="U1375" s="28">
        <v>400</v>
      </c>
      <c r="W1375" s="9">
        <v>948</v>
      </c>
      <c r="X1375" s="9" t="s">
        <v>29</v>
      </c>
    </row>
    <row r="1376" spans="17:24">
      <c r="Q1376" s="22"/>
      <c r="R1376" s="22"/>
      <c r="S1376" s="22">
        <f t="shared" si="254"/>
        <v>0</v>
      </c>
      <c r="T1376" s="22" t="e">
        <f t="shared" si="255"/>
        <v>#N/A</v>
      </c>
      <c r="U1376" s="28">
        <v>400</v>
      </c>
      <c r="W1376" s="9">
        <v>949</v>
      </c>
      <c r="X1376" s="9" t="s">
        <v>29</v>
      </c>
    </row>
    <row r="1377" spans="17:24">
      <c r="Q1377" s="22"/>
      <c r="R1377" s="22"/>
      <c r="S1377" s="22">
        <f t="shared" si="254"/>
        <v>0</v>
      </c>
      <c r="T1377" s="22" t="e">
        <f t="shared" si="255"/>
        <v>#N/A</v>
      </c>
      <c r="U1377" s="28">
        <v>400</v>
      </c>
      <c r="W1377" s="9">
        <v>950</v>
      </c>
      <c r="X1377" s="9" t="s">
        <v>29</v>
      </c>
    </row>
    <row r="1378" spans="17:24">
      <c r="Q1378" s="22"/>
      <c r="R1378" s="22"/>
      <c r="S1378" s="22">
        <f t="shared" si="254"/>
        <v>0</v>
      </c>
      <c r="T1378" s="22" t="e">
        <f t="shared" si="255"/>
        <v>#N/A</v>
      </c>
      <c r="U1378" s="28">
        <v>400</v>
      </c>
      <c r="W1378" s="9">
        <v>952</v>
      </c>
      <c r="X1378" s="9" t="s">
        <v>29</v>
      </c>
    </row>
    <row r="1379" spans="17:24">
      <c r="Q1379" s="22"/>
      <c r="R1379" s="22"/>
      <c r="S1379" s="22">
        <f t="shared" si="254"/>
        <v>0</v>
      </c>
      <c r="T1379" s="22" t="e">
        <f t="shared" si="255"/>
        <v>#N/A</v>
      </c>
      <c r="U1379" s="28">
        <v>400</v>
      </c>
      <c r="W1379" s="9">
        <v>952</v>
      </c>
      <c r="X1379" s="9" t="s">
        <v>29</v>
      </c>
    </row>
    <row r="1380" spans="17:24">
      <c r="Q1380" s="22"/>
      <c r="R1380" s="22"/>
      <c r="S1380" s="22">
        <f t="shared" si="254"/>
        <v>0</v>
      </c>
      <c r="T1380" s="22" t="e">
        <f t="shared" si="255"/>
        <v>#N/A</v>
      </c>
      <c r="U1380" s="28">
        <v>400</v>
      </c>
      <c r="W1380" s="9">
        <v>952</v>
      </c>
      <c r="X1380" s="9" t="s">
        <v>29</v>
      </c>
    </row>
    <row r="1381" spans="17:24">
      <c r="Q1381" s="22"/>
      <c r="R1381" s="22"/>
      <c r="S1381" s="22">
        <f t="shared" si="254"/>
        <v>0</v>
      </c>
      <c r="T1381" s="22" t="e">
        <f t="shared" si="255"/>
        <v>#N/A</v>
      </c>
      <c r="U1381" s="28">
        <v>400</v>
      </c>
      <c r="W1381" s="9">
        <v>952</v>
      </c>
      <c r="X1381" s="9" t="s">
        <v>29</v>
      </c>
    </row>
    <row r="1382" spans="17:24">
      <c r="Q1382" s="22"/>
      <c r="R1382" s="22"/>
      <c r="S1382" s="22">
        <f t="shared" si="254"/>
        <v>0</v>
      </c>
      <c r="T1382" s="22" t="e">
        <f t="shared" si="255"/>
        <v>#N/A</v>
      </c>
      <c r="U1382" s="28">
        <v>400</v>
      </c>
      <c r="W1382" s="9">
        <v>952</v>
      </c>
      <c r="X1382" s="9" t="s">
        <v>29</v>
      </c>
    </row>
    <row r="1383" spans="17:24">
      <c r="Q1383" s="22"/>
      <c r="R1383" s="22"/>
      <c r="S1383" s="22">
        <f t="shared" si="254"/>
        <v>0</v>
      </c>
      <c r="T1383" s="22" t="e">
        <f t="shared" si="255"/>
        <v>#N/A</v>
      </c>
      <c r="U1383" s="28">
        <v>400</v>
      </c>
      <c r="W1383" s="9">
        <v>952</v>
      </c>
      <c r="X1383" s="9" t="s">
        <v>29</v>
      </c>
    </row>
    <row r="1384" spans="17:24">
      <c r="Q1384" s="22"/>
      <c r="R1384" s="22"/>
      <c r="S1384" s="22">
        <f t="shared" si="254"/>
        <v>0</v>
      </c>
      <c r="T1384" s="22" t="e">
        <f t="shared" si="255"/>
        <v>#N/A</v>
      </c>
      <c r="U1384" s="28">
        <v>400</v>
      </c>
      <c r="W1384" s="9">
        <v>953</v>
      </c>
      <c r="X1384" s="9" t="s">
        <v>29</v>
      </c>
    </row>
    <row r="1385" spans="17:24">
      <c r="Q1385" s="22"/>
      <c r="R1385" s="22"/>
      <c r="S1385" s="22">
        <f t="shared" si="254"/>
        <v>0</v>
      </c>
      <c r="T1385" s="22" t="e">
        <f t="shared" si="255"/>
        <v>#N/A</v>
      </c>
      <c r="U1385" s="28">
        <v>400</v>
      </c>
      <c r="W1385" s="9">
        <v>953</v>
      </c>
      <c r="X1385" s="9" t="s">
        <v>29</v>
      </c>
    </row>
    <row r="1386" spans="17:24">
      <c r="Q1386" s="22"/>
      <c r="R1386" s="22"/>
      <c r="S1386" s="22">
        <f t="shared" si="254"/>
        <v>0</v>
      </c>
      <c r="T1386" s="22" t="e">
        <f t="shared" si="255"/>
        <v>#N/A</v>
      </c>
      <c r="U1386" s="28">
        <v>400</v>
      </c>
      <c r="W1386" s="9">
        <v>956</v>
      </c>
      <c r="X1386" s="9" t="s">
        <v>29</v>
      </c>
    </row>
    <row r="1387" spans="17:24">
      <c r="Q1387" s="22"/>
      <c r="R1387" s="22"/>
      <c r="S1387" s="22">
        <f t="shared" si="254"/>
        <v>0</v>
      </c>
      <c r="T1387" s="22" t="e">
        <f t="shared" si="255"/>
        <v>#N/A</v>
      </c>
      <c r="U1387" s="28">
        <v>400</v>
      </c>
      <c r="W1387" s="9">
        <v>957</v>
      </c>
      <c r="X1387" s="9" t="s">
        <v>29</v>
      </c>
    </row>
    <row r="1388" spans="17:24">
      <c r="Q1388" s="22"/>
      <c r="R1388" s="22"/>
      <c r="S1388" s="22">
        <f t="shared" si="254"/>
        <v>0</v>
      </c>
      <c r="T1388" s="22" t="e">
        <f t="shared" si="255"/>
        <v>#N/A</v>
      </c>
      <c r="U1388" s="28">
        <v>400</v>
      </c>
      <c r="W1388" s="9">
        <v>961</v>
      </c>
      <c r="X1388" s="9" t="s">
        <v>29</v>
      </c>
    </row>
    <row r="1389" spans="17:24">
      <c r="Q1389" s="22"/>
      <c r="R1389" s="22"/>
      <c r="S1389" s="22">
        <f t="shared" si="254"/>
        <v>0</v>
      </c>
      <c r="T1389" s="22" t="e">
        <f t="shared" si="255"/>
        <v>#N/A</v>
      </c>
      <c r="U1389" s="28">
        <v>400</v>
      </c>
      <c r="W1389" s="9">
        <v>961</v>
      </c>
      <c r="X1389" s="9" t="s">
        <v>29</v>
      </c>
    </row>
    <row r="1390" spans="17:24">
      <c r="Q1390" s="22"/>
      <c r="R1390" s="22"/>
      <c r="S1390" s="22">
        <f t="shared" si="254"/>
        <v>0</v>
      </c>
      <c r="T1390" s="22" t="e">
        <f t="shared" si="255"/>
        <v>#N/A</v>
      </c>
      <c r="U1390" s="28">
        <v>400</v>
      </c>
      <c r="W1390" s="9">
        <v>962</v>
      </c>
      <c r="X1390" s="9" t="s">
        <v>29</v>
      </c>
    </row>
    <row r="1391" spans="17:24">
      <c r="Q1391" s="22"/>
      <c r="R1391" s="22"/>
      <c r="S1391" s="22">
        <f t="shared" si="254"/>
        <v>0</v>
      </c>
      <c r="T1391" s="22" t="e">
        <f t="shared" si="255"/>
        <v>#N/A</v>
      </c>
      <c r="U1391" s="28">
        <v>400</v>
      </c>
      <c r="W1391" s="9">
        <v>963</v>
      </c>
      <c r="X1391" s="9" t="s">
        <v>29</v>
      </c>
    </row>
    <row r="1392" spans="17:24">
      <c r="Q1392" s="22"/>
      <c r="R1392" s="22"/>
      <c r="S1392" s="22">
        <f t="shared" si="254"/>
        <v>0</v>
      </c>
      <c r="T1392" s="22" t="e">
        <f t="shared" si="255"/>
        <v>#N/A</v>
      </c>
      <c r="U1392" s="28">
        <v>400</v>
      </c>
      <c r="W1392" s="9">
        <v>964</v>
      </c>
      <c r="X1392" s="9" t="s">
        <v>29</v>
      </c>
    </row>
    <row r="1393" spans="17:24">
      <c r="Q1393" s="22"/>
      <c r="R1393" s="22"/>
      <c r="S1393" s="22">
        <f t="shared" si="254"/>
        <v>0</v>
      </c>
      <c r="T1393" s="22" t="e">
        <f t="shared" si="255"/>
        <v>#N/A</v>
      </c>
      <c r="U1393" s="28">
        <v>400</v>
      </c>
      <c r="W1393" s="9">
        <v>965</v>
      </c>
      <c r="X1393" s="9" t="s">
        <v>29</v>
      </c>
    </row>
    <row r="1394" spans="17:24">
      <c r="Q1394" s="22"/>
      <c r="R1394" s="22"/>
      <c r="S1394" s="22">
        <f t="shared" si="254"/>
        <v>0</v>
      </c>
      <c r="T1394" s="22" t="e">
        <f t="shared" si="255"/>
        <v>#N/A</v>
      </c>
      <c r="U1394" s="28">
        <v>400</v>
      </c>
      <c r="W1394" s="9">
        <v>966</v>
      </c>
      <c r="X1394" s="9" t="s">
        <v>29</v>
      </c>
    </row>
    <row r="1395" spans="17:24">
      <c r="Q1395" s="22"/>
      <c r="R1395" s="22"/>
      <c r="S1395" s="22">
        <f t="shared" si="254"/>
        <v>0</v>
      </c>
      <c r="T1395" s="22" t="e">
        <f t="shared" si="255"/>
        <v>#N/A</v>
      </c>
      <c r="U1395" s="28">
        <v>400</v>
      </c>
      <c r="W1395" s="9">
        <v>968</v>
      </c>
      <c r="X1395" s="9" t="s">
        <v>29</v>
      </c>
    </row>
    <row r="1396" spans="17:24">
      <c r="Q1396" s="22"/>
      <c r="R1396" s="22"/>
      <c r="S1396" s="22">
        <f t="shared" si="254"/>
        <v>0</v>
      </c>
      <c r="T1396" s="22" t="e">
        <f t="shared" si="255"/>
        <v>#N/A</v>
      </c>
      <c r="U1396" s="28">
        <v>400</v>
      </c>
      <c r="W1396" s="9">
        <v>970</v>
      </c>
      <c r="X1396" s="9" t="s">
        <v>27</v>
      </c>
    </row>
    <row r="1397" spans="17:24">
      <c r="Q1397" s="22"/>
      <c r="R1397" s="22"/>
      <c r="S1397" s="22">
        <f t="shared" si="254"/>
        <v>0</v>
      </c>
      <c r="T1397" s="22" t="e">
        <f t="shared" si="255"/>
        <v>#N/A</v>
      </c>
      <c r="U1397" s="28">
        <v>400</v>
      </c>
      <c r="W1397" s="9">
        <v>971</v>
      </c>
      <c r="X1397" s="9" t="s">
        <v>28</v>
      </c>
    </row>
    <row r="1398" spans="17:24">
      <c r="Q1398" s="22"/>
      <c r="R1398" s="22"/>
      <c r="S1398" s="22">
        <f t="shared" si="254"/>
        <v>0</v>
      </c>
      <c r="T1398" s="22" t="e">
        <f t="shared" si="255"/>
        <v>#N/A</v>
      </c>
      <c r="U1398" s="28">
        <v>400</v>
      </c>
      <c r="W1398" s="9">
        <v>972</v>
      </c>
      <c r="X1398" s="9" t="s">
        <v>31</v>
      </c>
    </row>
    <row r="1399" spans="17:24">
      <c r="Q1399" s="22"/>
      <c r="R1399" s="22"/>
      <c r="S1399" s="22">
        <f t="shared" si="254"/>
        <v>0</v>
      </c>
      <c r="T1399" s="22" t="e">
        <f t="shared" si="255"/>
        <v>#N/A</v>
      </c>
      <c r="U1399" s="28">
        <v>400</v>
      </c>
      <c r="W1399" s="9">
        <v>975</v>
      </c>
      <c r="X1399" s="9" t="s">
        <v>28</v>
      </c>
    </row>
    <row r="1400" spans="17:24">
      <c r="Q1400" s="22"/>
      <c r="R1400" s="22"/>
      <c r="S1400" s="22">
        <f t="shared" si="254"/>
        <v>0</v>
      </c>
      <c r="T1400" s="22" t="e">
        <f t="shared" si="255"/>
        <v>#N/A</v>
      </c>
      <c r="U1400" s="28">
        <v>400</v>
      </c>
      <c r="W1400" s="9">
        <v>979</v>
      </c>
      <c r="X1400" s="9" t="s">
        <v>29</v>
      </c>
    </row>
    <row r="1401" spans="17:24">
      <c r="Q1401" s="22"/>
      <c r="R1401" s="22"/>
      <c r="S1401" s="22">
        <f t="shared" si="254"/>
        <v>0</v>
      </c>
      <c r="T1401" s="22" t="e">
        <f t="shared" si="255"/>
        <v>#N/A</v>
      </c>
      <c r="U1401" s="28">
        <v>400</v>
      </c>
      <c r="W1401" s="9">
        <v>980</v>
      </c>
      <c r="X1401" s="9" t="s">
        <v>29</v>
      </c>
    </row>
    <row r="1402" spans="17:24">
      <c r="Q1402" s="22"/>
      <c r="R1402" s="22"/>
      <c r="S1402" s="22">
        <f t="shared" si="254"/>
        <v>0</v>
      </c>
      <c r="T1402" s="22" t="e">
        <f t="shared" si="255"/>
        <v>#N/A</v>
      </c>
      <c r="U1402" s="28">
        <v>400</v>
      </c>
      <c r="W1402" s="9">
        <v>982</v>
      </c>
      <c r="X1402" s="9" t="s">
        <v>29</v>
      </c>
    </row>
    <row r="1403" spans="17:24">
      <c r="Q1403" s="22"/>
      <c r="R1403" s="22"/>
      <c r="S1403" s="22">
        <f t="shared" si="254"/>
        <v>0</v>
      </c>
      <c r="T1403" s="22" t="e">
        <f t="shared" si="255"/>
        <v>#N/A</v>
      </c>
      <c r="U1403" s="28">
        <v>400</v>
      </c>
      <c r="W1403" s="9">
        <v>984</v>
      </c>
      <c r="X1403" s="9" t="s">
        <v>27</v>
      </c>
    </row>
    <row r="1404" spans="17:24">
      <c r="Q1404" s="22"/>
      <c r="R1404" s="22"/>
      <c r="S1404" s="22">
        <f t="shared" si="254"/>
        <v>0</v>
      </c>
      <c r="T1404" s="22" t="e">
        <f t="shared" si="255"/>
        <v>#N/A</v>
      </c>
      <c r="U1404" s="28">
        <v>400</v>
      </c>
      <c r="W1404" s="9">
        <v>984</v>
      </c>
      <c r="X1404" s="9" t="s">
        <v>27</v>
      </c>
    </row>
    <row r="1405" spans="17:24">
      <c r="Q1405" s="22"/>
      <c r="R1405" s="22"/>
      <c r="S1405" s="22">
        <f t="shared" si="254"/>
        <v>0</v>
      </c>
      <c r="T1405" s="22" t="e">
        <f t="shared" si="255"/>
        <v>#N/A</v>
      </c>
      <c r="U1405" s="28">
        <v>400</v>
      </c>
      <c r="W1405" s="9">
        <v>985</v>
      </c>
      <c r="X1405" s="9" t="s">
        <v>29</v>
      </c>
    </row>
    <row r="1406" spans="17:24">
      <c r="Q1406" s="22"/>
      <c r="R1406" s="22"/>
      <c r="S1406" s="22">
        <f t="shared" si="254"/>
        <v>0</v>
      </c>
      <c r="T1406" s="22" t="e">
        <f t="shared" si="255"/>
        <v>#N/A</v>
      </c>
      <c r="U1406" s="28">
        <v>400</v>
      </c>
      <c r="W1406" s="9">
        <v>985</v>
      </c>
      <c r="X1406" s="9" t="s">
        <v>29</v>
      </c>
    </row>
    <row r="1407" spans="17:24">
      <c r="Q1407" s="22"/>
      <c r="R1407" s="22"/>
      <c r="S1407" s="22">
        <f t="shared" si="254"/>
        <v>0</v>
      </c>
      <c r="T1407" s="22" t="e">
        <f t="shared" si="255"/>
        <v>#N/A</v>
      </c>
      <c r="U1407" s="28">
        <v>400</v>
      </c>
      <c r="W1407" s="9">
        <v>986</v>
      </c>
      <c r="X1407" s="9" t="s">
        <v>27</v>
      </c>
    </row>
    <row r="1408" spans="17:24">
      <c r="Q1408" s="22"/>
      <c r="R1408" s="22"/>
      <c r="S1408" s="22">
        <f t="shared" si="254"/>
        <v>0</v>
      </c>
      <c r="T1408" s="22" t="e">
        <f t="shared" si="255"/>
        <v>#N/A</v>
      </c>
      <c r="U1408" s="28">
        <v>400</v>
      </c>
      <c r="W1408" s="9">
        <v>987</v>
      </c>
      <c r="X1408" s="9" t="s">
        <v>29</v>
      </c>
    </row>
    <row r="1409" spans="17:24">
      <c r="Q1409" s="22"/>
      <c r="R1409" s="22"/>
      <c r="S1409" s="22">
        <f t="shared" si="254"/>
        <v>0</v>
      </c>
      <c r="T1409" s="22" t="e">
        <f t="shared" si="255"/>
        <v>#N/A</v>
      </c>
      <c r="U1409" s="28">
        <v>400</v>
      </c>
      <c r="W1409" s="9">
        <v>988</v>
      </c>
      <c r="X1409" s="9" t="s">
        <v>29</v>
      </c>
    </row>
    <row r="1410" spans="17:24">
      <c r="Q1410" s="22"/>
      <c r="R1410" s="22"/>
      <c r="S1410" s="22">
        <f t="shared" si="254"/>
        <v>0</v>
      </c>
      <c r="T1410" s="22" t="e">
        <f t="shared" si="255"/>
        <v>#N/A</v>
      </c>
      <c r="U1410" s="28">
        <v>400</v>
      </c>
      <c r="W1410" s="9">
        <v>991</v>
      </c>
      <c r="X1410" s="9" t="s">
        <v>29</v>
      </c>
    </row>
    <row r="1411" spans="17:24">
      <c r="Q1411" s="22"/>
      <c r="R1411" s="22"/>
      <c r="S1411" s="22">
        <f t="shared" ref="S1411:S1474" si="256">_xlfn.XLOOKUP(Q1411,W:W,X:X)</f>
        <v>0</v>
      </c>
      <c r="T1411" s="22" t="e">
        <f t="shared" si="255"/>
        <v>#N/A</v>
      </c>
      <c r="U1411" s="28">
        <v>400</v>
      </c>
      <c r="W1411" s="9">
        <v>993</v>
      </c>
      <c r="X1411" s="9" t="s">
        <v>29</v>
      </c>
    </row>
    <row r="1412" spans="17:24">
      <c r="Q1412" s="22"/>
      <c r="R1412" s="22"/>
      <c r="S1412" s="22">
        <f t="shared" si="256"/>
        <v>0</v>
      </c>
      <c r="T1412" s="22" t="e">
        <f t="shared" si="255"/>
        <v>#N/A</v>
      </c>
      <c r="U1412" s="28">
        <v>400</v>
      </c>
      <c r="W1412" s="9">
        <v>997</v>
      </c>
      <c r="X1412" s="9" t="s">
        <v>29</v>
      </c>
    </row>
    <row r="1413" spans="17:24">
      <c r="Q1413" s="22"/>
      <c r="R1413" s="22"/>
      <c r="S1413" s="22">
        <f t="shared" si="256"/>
        <v>0</v>
      </c>
      <c r="T1413" s="22" t="e">
        <f t="shared" si="255"/>
        <v>#N/A</v>
      </c>
      <c r="U1413" s="28">
        <v>400</v>
      </c>
      <c r="W1413" s="9">
        <v>998</v>
      </c>
      <c r="X1413" s="9" t="s">
        <v>29</v>
      </c>
    </row>
    <row r="1414" spans="17:24">
      <c r="Q1414" s="22"/>
      <c r="R1414" s="22"/>
      <c r="S1414" s="22">
        <f t="shared" si="256"/>
        <v>0</v>
      </c>
      <c r="T1414" s="22" t="e">
        <f t="shared" si="255"/>
        <v>#N/A</v>
      </c>
      <c r="U1414" s="28">
        <v>400</v>
      </c>
      <c r="W1414" s="9">
        <v>1000</v>
      </c>
      <c r="X1414" s="9" t="s">
        <v>29</v>
      </c>
    </row>
    <row r="1415" spans="17:24">
      <c r="Q1415" s="22"/>
      <c r="R1415" s="22"/>
      <c r="S1415" s="22">
        <f t="shared" si="256"/>
        <v>0</v>
      </c>
      <c r="T1415" s="22" t="e">
        <f t="shared" si="255"/>
        <v>#N/A</v>
      </c>
      <c r="U1415" s="28">
        <v>400</v>
      </c>
      <c r="W1415" s="9">
        <v>1005</v>
      </c>
      <c r="X1415" s="9" t="s">
        <v>27</v>
      </c>
    </row>
    <row r="1416" spans="17:24">
      <c r="Q1416" s="22"/>
      <c r="R1416" s="22"/>
      <c r="S1416" s="22">
        <f t="shared" si="256"/>
        <v>0</v>
      </c>
      <c r="T1416" s="22" t="e">
        <f t="shared" si="255"/>
        <v>#N/A</v>
      </c>
      <c r="U1416" s="28">
        <v>400</v>
      </c>
      <c r="W1416" s="9">
        <v>1005</v>
      </c>
      <c r="X1416" s="9" t="s">
        <v>27</v>
      </c>
    </row>
    <row r="1417" spans="17:24">
      <c r="Q1417" s="22"/>
      <c r="R1417" s="22"/>
      <c r="S1417" s="22">
        <f t="shared" si="256"/>
        <v>0</v>
      </c>
      <c r="T1417" s="22" t="e">
        <f t="shared" si="255"/>
        <v>#N/A</v>
      </c>
      <c r="U1417" s="28">
        <v>400</v>
      </c>
      <c r="W1417" s="9">
        <v>1005</v>
      </c>
      <c r="X1417" s="9" t="s">
        <v>27</v>
      </c>
    </row>
    <row r="1418" spans="17:24">
      <c r="Q1418" s="22"/>
      <c r="R1418" s="22"/>
      <c r="S1418" s="22">
        <f t="shared" si="256"/>
        <v>0</v>
      </c>
      <c r="T1418" s="22" t="e">
        <f t="shared" si="255"/>
        <v>#N/A</v>
      </c>
      <c r="U1418" s="28">
        <v>400</v>
      </c>
      <c r="W1418" s="9">
        <v>1006</v>
      </c>
      <c r="X1418" s="9" t="s">
        <v>29</v>
      </c>
    </row>
    <row r="1419" spans="17:24">
      <c r="Q1419" s="22"/>
      <c r="R1419" s="22"/>
      <c r="S1419" s="22">
        <f t="shared" si="256"/>
        <v>0</v>
      </c>
      <c r="T1419" s="22" t="e">
        <f t="shared" si="255"/>
        <v>#N/A</v>
      </c>
      <c r="U1419" s="28">
        <v>400</v>
      </c>
      <c r="W1419" s="9">
        <v>1007</v>
      </c>
      <c r="X1419" s="9" t="s">
        <v>29</v>
      </c>
    </row>
    <row r="1420" spans="17:24">
      <c r="Q1420" s="22"/>
      <c r="R1420" s="22"/>
      <c r="S1420" s="22">
        <f t="shared" si="256"/>
        <v>0</v>
      </c>
      <c r="T1420" s="22" t="e">
        <f t="shared" si="255"/>
        <v>#N/A</v>
      </c>
      <c r="U1420" s="28">
        <v>400</v>
      </c>
      <c r="W1420" s="9">
        <v>1008</v>
      </c>
      <c r="X1420" s="9" t="s">
        <v>29</v>
      </c>
    </row>
    <row r="1421" spans="17:24">
      <c r="Q1421" s="22"/>
      <c r="R1421" s="22"/>
      <c r="S1421" s="22">
        <f t="shared" si="256"/>
        <v>0</v>
      </c>
      <c r="T1421" s="22" t="e">
        <f t="shared" si="255"/>
        <v>#N/A</v>
      </c>
      <c r="U1421" s="28">
        <v>400</v>
      </c>
      <c r="W1421" s="9">
        <v>1009</v>
      </c>
      <c r="X1421" s="9" t="s">
        <v>28</v>
      </c>
    </row>
    <row r="1422" spans="17:24">
      <c r="Q1422" s="22"/>
      <c r="R1422" s="22"/>
      <c r="S1422" s="22">
        <f t="shared" si="256"/>
        <v>0</v>
      </c>
      <c r="T1422" s="22" t="e">
        <f t="shared" si="255"/>
        <v>#N/A</v>
      </c>
      <c r="U1422" s="28">
        <v>400</v>
      </c>
      <c r="W1422" s="9">
        <v>1010</v>
      </c>
      <c r="X1422" s="9" t="s">
        <v>29</v>
      </c>
    </row>
    <row r="1423" spans="17:24">
      <c r="Q1423" s="22"/>
      <c r="R1423" s="22"/>
      <c r="S1423" s="22">
        <f t="shared" si="256"/>
        <v>0</v>
      </c>
      <c r="T1423" s="22" t="e">
        <f t="shared" si="255"/>
        <v>#N/A</v>
      </c>
      <c r="U1423" s="28">
        <v>400</v>
      </c>
      <c r="W1423" s="9">
        <v>1014</v>
      </c>
      <c r="X1423" s="9" t="s">
        <v>29</v>
      </c>
    </row>
    <row r="1424" spans="17:24">
      <c r="Q1424" s="22"/>
      <c r="R1424" s="22"/>
      <c r="S1424" s="22">
        <f t="shared" si="256"/>
        <v>0</v>
      </c>
      <c r="T1424" s="22" t="e">
        <f t="shared" si="255"/>
        <v>#N/A</v>
      </c>
      <c r="U1424" s="28">
        <v>400</v>
      </c>
      <c r="W1424" s="9">
        <v>1016</v>
      </c>
      <c r="X1424" s="9" t="s">
        <v>29</v>
      </c>
    </row>
    <row r="1425" spans="17:24">
      <c r="Q1425" s="22"/>
      <c r="R1425" s="22"/>
      <c r="S1425" s="22">
        <f t="shared" si="256"/>
        <v>0</v>
      </c>
      <c r="T1425" s="22" t="e">
        <f t="shared" si="255"/>
        <v>#N/A</v>
      </c>
      <c r="U1425" s="28">
        <v>400</v>
      </c>
      <c r="W1425" s="9">
        <v>1017</v>
      </c>
      <c r="X1425" s="9" t="s">
        <v>29</v>
      </c>
    </row>
    <row r="1426" spans="17:24">
      <c r="Q1426" s="22"/>
      <c r="R1426" s="22"/>
      <c r="S1426" s="22">
        <f t="shared" si="256"/>
        <v>0</v>
      </c>
      <c r="T1426" s="22" t="e">
        <f t="shared" ref="T1426:T1487" si="257">R1426*_xlfn.XLOOKUP(S1426,AM:AM,AO:AO)</f>
        <v>#N/A</v>
      </c>
      <c r="U1426" s="28">
        <v>400</v>
      </c>
      <c r="W1426" s="9">
        <v>1017</v>
      </c>
      <c r="X1426" s="9" t="s">
        <v>27</v>
      </c>
    </row>
    <row r="1427" spans="17:24">
      <c r="Q1427" s="22"/>
      <c r="R1427" s="22"/>
      <c r="S1427" s="22">
        <f t="shared" si="256"/>
        <v>0</v>
      </c>
      <c r="T1427" s="22" t="e">
        <f t="shared" si="257"/>
        <v>#N/A</v>
      </c>
      <c r="U1427" s="28">
        <v>400</v>
      </c>
      <c r="W1427" s="9">
        <v>1018</v>
      </c>
      <c r="X1427" s="9" t="s">
        <v>29</v>
      </c>
    </row>
    <row r="1428" spans="17:24">
      <c r="Q1428" s="22"/>
      <c r="R1428" s="22"/>
      <c r="S1428" s="22">
        <f t="shared" si="256"/>
        <v>0</v>
      </c>
      <c r="T1428" s="22" t="e">
        <f t="shared" si="257"/>
        <v>#N/A</v>
      </c>
      <c r="U1428" s="28">
        <v>400</v>
      </c>
      <c r="W1428" s="9">
        <v>1020</v>
      </c>
      <c r="X1428" s="9" t="s">
        <v>29</v>
      </c>
    </row>
    <row r="1429" spans="17:24">
      <c r="Q1429" s="22"/>
      <c r="R1429" s="22"/>
      <c r="S1429" s="22">
        <f t="shared" si="256"/>
        <v>0</v>
      </c>
      <c r="T1429" s="22" t="e">
        <f t="shared" si="257"/>
        <v>#N/A</v>
      </c>
      <c r="U1429" s="28">
        <v>400</v>
      </c>
      <c r="W1429" s="9">
        <v>1020</v>
      </c>
      <c r="X1429" s="9" t="s">
        <v>29</v>
      </c>
    </row>
    <row r="1430" spans="17:24">
      <c r="Q1430" s="22"/>
      <c r="R1430" s="22"/>
      <c r="S1430" s="22">
        <f t="shared" si="256"/>
        <v>0</v>
      </c>
      <c r="T1430" s="22" t="e">
        <f t="shared" si="257"/>
        <v>#N/A</v>
      </c>
      <c r="U1430" s="28">
        <v>400</v>
      </c>
      <c r="W1430" s="9">
        <v>1020</v>
      </c>
      <c r="X1430" s="9" t="s">
        <v>29</v>
      </c>
    </row>
    <row r="1431" spans="17:24">
      <c r="Q1431" s="22"/>
      <c r="R1431" s="22"/>
      <c r="S1431" s="22">
        <f t="shared" si="256"/>
        <v>0</v>
      </c>
      <c r="T1431" s="22" t="e">
        <f t="shared" si="257"/>
        <v>#N/A</v>
      </c>
      <c r="U1431" s="28">
        <v>400</v>
      </c>
      <c r="W1431" s="9">
        <v>1020</v>
      </c>
      <c r="X1431" s="9" t="s">
        <v>29</v>
      </c>
    </row>
    <row r="1432" spans="17:24">
      <c r="Q1432" s="22"/>
      <c r="R1432" s="22"/>
      <c r="S1432" s="22">
        <f t="shared" si="256"/>
        <v>0</v>
      </c>
      <c r="T1432" s="22" t="e">
        <f t="shared" si="257"/>
        <v>#N/A</v>
      </c>
      <c r="U1432" s="28">
        <v>400</v>
      </c>
      <c r="W1432" s="9">
        <v>1020</v>
      </c>
      <c r="X1432" s="9" t="s">
        <v>29</v>
      </c>
    </row>
    <row r="1433" spans="17:24">
      <c r="Q1433" s="22"/>
      <c r="R1433" s="22"/>
      <c r="S1433" s="22">
        <f t="shared" si="256"/>
        <v>0</v>
      </c>
      <c r="T1433" s="22" t="e">
        <f t="shared" si="257"/>
        <v>#N/A</v>
      </c>
      <c r="U1433" s="28">
        <v>400</v>
      </c>
      <c r="W1433" s="9">
        <v>1020</v>
      </c>
      <c r="X1433" s="9" t="s">
        <v>29</v>
      </c>
    </row>
    <row r="1434" spans="17:24">
      <c r="Q1434" s="22"/>
      <c r="R1434" s="22"/>
      <c r="S1434" s="22">
        <f t="shared" si="256"/>
        <v>0</v>
      </c>
      <c r="T1434" s="22" t="e">
        <f t="shared" si="257"/>
        <v>#N/A</v>
      </c>
      <c r="U1434" s="28">
        <v>400</v>
      </c>
      <c r="W1434" s="9">
        <v>1024</v>
      </c>
      <c r="X1434" s="9" t="s">
        <v>29</v>
      </c>
    </row>
    <row r="1435" spans="17:24">
      <c r="Q1435" s="22"/>
      <c r="R1435" s="22"/>
      <c r="S1435" s="22">
        <f t="shared" si="256"/>
        <v>0</v>
      </c>
      <c r="T1435" s="22" t="e">
        <f t="shared" si="257"/>
        <v>#N/A</v>
      </c>
      <c r="U1435" s="28">
        <v>400</v>
      </c>
      <c r="W1435" s="9">
        <v>1030</v>
      </c>
      <c r="X1435" s="9" t="s">
        <v>30</v>
      </c>
    </row>
    <row r="1436" spans="17:24">
      <c r="Q1436" s="22"/>
      <c r="R1436" s="22"/>
      <c r="S1436" s="22">
        <f t="shared" si="256"/>
        <v>0</v>
      </c>
      <c r="T1436" s="22" t="e">
        <f t="shared" si="257"/>
        <v>#N/A</v>
      </c>
      <c r="U1436" s="28">
        <v>400</v>
      </c>
      <c r="W1436" s="9">
        <v>1033</v>
      </c>
      <c r="X1436" s="9" t="s">
        <v>29</v>
      </c>
    </row>
    <row r="1437" spans="17:24">
      <c r="Q1437" s="22"/>
      <c r="R1437" s="22"/>
      <c r="S1437" s="22">
        <f t="shared" si="256"/>
        <v>0</v>
      </c>
      <c r="T1437" s="22" t="e">
        <f t="shared" si="257"/>
        <v>#N/A</v>
      </c>
      <c r="U1437" s="28">
        <v>400</v>
      </c>
      <c r="W1437" s="9">
        <v>1036</v>
      </c>
      <c r="X1437" s="9" t="s">
        <v>29</v>
      </c>
    </row>
    <row r="1438" spans="17:24">
      <c r="Q1438" s="22"/>
      <c r="R1438" s="22"/>
      <c r="S1438" s="22">
        <f t="shared" si="256"/>
        <v>0</v>
      </c>
      <c r="T1438" s="22" t="e">
        <f t="shared" si="257"/>
        <v>#N/A</v>
      </c>
      <c r="U1438" s="28">
        <v>400</v>
      </c>
      <c r="W1438" s="9">
        <v>1036</v>
      </c>
      <c r="X1438" s="9" t="s">
        <v>29</v>
      </c>
    </row>
    <row r="1439" spans="17:24">
      <c r="Q1439" s="22"/>
      <c r="R1439" s="22"/>
      <c r="S1439" s="22">
        <f t="shared" si="256"/>
        <v>0</v>
      </c>
      <c r="T1439" s="22" t="e">
        <f t="shared" si="257"/>
        <v>#N/A</v>
      </c>
      <c r="U1439" s="28">
        <v>400</v>
      </c>
      <c r="W1439" s="9">
        <v>1037</v>
      </c>
      <c r="X1439" s="9" t="s">
        <v>29</v>
      </c>
    </row>
    <row r="1440" spans="17:24">
      <c r="Q1440" s="22"/>
      <c r="R1440" s="22"/>
      <c r="S1440" s="22">
        <f t="shared" si="256"/>
        <v>0</v>
      </c>
      <c r="T1440" s="22" t="e">
        <f t="shared" si="257"/>
        <v>#N/A</v>
      </c>
      <c r="U1440" s="28">
        <v>400</v>
      </c>
      <c r="W1440" s="9">
        <v>1039</v>
      </c>
      <c r="X1440" s="9" t="s">
        <v>29</v>
      </c>
    </row>
    <row r="1441" spans="17:24">
      <c r="Q1441" s="22"/>
      <c r="R1441" s="22"/>
      <c r="S1441" s="22">
        <f t="shared" si="256"/>
        <v>0</v>
      </c>
      <c r="T1441" s="22" t="e">
        <f t="shared" si="257"/>
        <v>#N/A</v>
      </c>
      <c r="U1441" s="28">
        <v>400</v>
      </c>
      <c r="W1441" s="9">
        <v>1045</v>
      </c>
      <c r="X1441" s="9" t="s">
        <v>29</v>
      </c>
    </row>
    <row r="1442" spans="17:24">
      <c r="Q1442" s="22"/>
      <c r="R1442" s="22"/>
      <c r="S1442" s="22">
        <f t="shared" si="256"/>
        <v>0</v>
      </c>
      <c r="T1442" s="22" t="e">
        <f t="shared" si="257"/>
        <v>#N/A</v>
      </c>
      <c r="U1442" s="28">
        <v>400</v>
      </c>
      <c r="W1442" s="9">
        <v>1055</v>
      </c>
      <c r="X1442" s="9" t="s">
        <v>29</v>
      </c>
    </row>
    <row r="1443" spans="17:24">
      <c r="Q1443" s="22"/>
      <c r="R1443" s="22"/>
      <c r="S1443" s="22">
        <f t="shared" si="256"/>
        <v>0</v>
      </c>
      <c r="T1443" s="22" t="e">
        <f t="shared" si="257"/>
        <v>#N/A</v>
      </c>
      <c r="U1443" s="28">
        <v>400</v>
      </c>
      <c r="W1443" s="9">
        <v>1058</v>
      </c>
      <c r="X1443" s="9" t="s">
        <v>29</v>
      </c>
    </row>
    <row r="1444" spans="17:24">
      <c r="Q1444" s="22"/>
      <c r="R1444" s="22"/>
      <c r="S1444" s="22">
        <f t="shared" si="256"/>
        <v>0</v>
      </c>
      <c r="T1444" s="22" t="e">
        <f t="shared" si="257"/>
        <v>#N/A</v>
      </c>
      <c r="U1444" s="28">
        <v>400</v>
      </c>
      <c r="W1444" s="9">
        <v>1059</v>
      </c>
      <c r="X1444" s="9" t="s">
        <v>31</v>
      </c>
    </row>
    <row r="1445" spans="17:24">
      <c r="Q1445" s="22"/>
      <c r="R1445" s="22"/>
      <c r="S1445" s="22">
        <f t="shared" si="256"/>
        <v>0</v>
      </c>
      <c r="T1445" s="22" t="e">
        <f t="shared" si="257"/>
        <v>#N/A</v>
      </c>
      <c r="U1445" s="28">
        <v>400</v>
      </c>
      <c r="W1445" s="9">
        <v>1060</v>
      </c>
      <c r="X1445" s="9" t="s">
        <v>27</v>
      </c>
    </row>
    <row r="1446" spans="17:24">
      <c r="Q1446" s="22"/>
      <c r="R1446" s="22"/>
      <c r="S1446" s="22">
        <f t="shared" si="256"/>
        <v>0</v>
      </c>
      <c r="T1446" s="22" t="e">
        <f t="shared" si="257"/>
        <v>#N/A</v>
      </c>
      <c r="U1446" s="28">
        <v>400</v>
      </c>
      <c r="W1446" s="9">
        <v>1061</v>
      </c>
      <c r="X1446" s="9" t="s">
        <v>27</v>
      </c>
    </row>
    <row r="1447" spans="17:24">
      <c r="Q1447" s="22"/>
      <c r="R1447" s="22"/>
      <c r="S1447" s="22">
        <f t="shared" si="256"/>
        <v>0</v>
      </c>
      <c r="T1447" s="22" t="e">
        <f t="shared" si="257"/>
        <v>#N/A</v>
      </c>
      <c r="U1447" s="28">
        <v>400</v>
      </c>
      <c r="W1447" s="9">
        <v>1062</v>
      </c>
      <c r="X1447" s="9" t="s">
        <v>27</v>
      </c>
    </row>
    <row r="1448" spans="17:24">
      <c r="Q1448" s="22"/>
      <c r="R1448" s="22"/>
      <c r="S1448" s="22">
        <f t="shared" si="256"/>
        <v>0</v>
      </c>
      <c r="T1448" s="22" t="e">
        <f t="shared" si="257"/>
        <v>#N/A</v>
      </c>
      <c r="U1448" s="28">
        <v>400</v>
      </c>
      <c r="W1448" s="9">
        <v>1063</v>
      </c>
      <c r="X1448" s="9" t="s">
        <v>29</v>
      </c>
    </row>
    <row r="1449" spans="17:24">
      <c r="Q1449" s="22"/>
      <c r="R1449" s="22"/>
      <c r="S1449" s="22">
        <f t="shared" si="256"/>
        <v>0</v>
      </c>
      <c r="T1449" s="22" t="e">
        <f t="shared" si="257"/>
        <v>#N/A</v>
      </c>
      <c r="U1449" s="28">
        <v>400</v>
      </c>
      <c r="W1449" s="9">
        <v>1065</v>
      </c>
      <c r="X1449" s="9" t="s">
        <v>29</v>
      </c>
    </row>
    <row r="1450" spans="17:24">
      <c r="Q1450" s="22"/>
      <c r="R1450" s="22"/>
      <c r="S1450" s="22">
        <f t="shared" si="256"/>
        <v>0</v>
      </c>
      <c r="T1450" s="22" t="e">
        <f t="shared" si="257"/>
        <v>#N/A</v>
      </c>
      <c r="U1450" s="28">
        <v>400</v>
      </c>
      <c r="W1450" s="9">
        <v>1067</v>
      </c>
      <c r="X1450" s="9" t="s">
        <v>29</v>
      </c>
    </row>
    <row r="1451" spans="17:24">
      <c r="Q1451" s="22"/>
      <c r="R1451" s="22"/>
      <c r="S1451" s="22">
        <f t="shared" si="256"/>
        <v>0</v>
      </c>
      <c r="T1451" s="22" t="e">
        <f t="shared" si="257"/>
        <v>#N/A</v>
      </c>
      <c r="U1451" s="28">
        <v>400</v>
      </c>
      <c r="W1451" s="9">
        <v>1068</v>
      </c>
      <c r="X1451" s="9" t="s">
        <v>27</v>
      </c>
    </row>
    <row r="1452" spans="17:24">
      <c r="Q1452" s="22"/>
      <c r="R1452" s="22"/>
      <c r="S1452" s="22">
        <f t="shared" si="256"/>
        <v>0</v>
      </c>
      <c r="T1452" s="22" t="e">
        <f t="shared" si="257"/>
        <v>#N/A</v>
      </c>
      <c r="U1452" s="28">
        <v>400</v>
      </c>
      <c r="W1452" s="9">
        <v>1069</v>
      </c>
      <c r="X1452" s="9" t="s">
        <v>29</v>
      </c>
    </row>
    <row r="1453" spans="17:24">
      <c r="Q1453" s="22"/>
      <c r="R1453" s="22"/>
      <c r="S1453" s="22">
        <f t="shared" si="256"/>
        <v>0</v>
      </c>
      <c r="T1453" s="22" t="e">
        <f t="shared" si="257"/>
        <v>#N/A</v>
      </c>
      <c r="U1453" s="28">
        <v>400</v>
      </c>
      <c r="W1453" s="9">
        <v>1071</v>
      </c>
      <c r="X1453" s="9" t="s">
        <v>29</v>
      </c>
    </row>
    <row r="1454" spans="17:24">
      <c r="Q1454" s="22"/>
      <c r="R1454" s="22"/>
      <c r="S1454" s="22">
        <f t="shared" si="256"/>
        <v>0</v>
      </c>
      <c r="T1454" s="22" t="e">
        <f t="shared" si="257"/>
        <v>#N/A</v>
      </c>
      <c r="U1454" s="28">
        <v>400</v>
      </c>
      <c r="W1454" s="9">
        <v>1071</v>
      </c>
      <c r="X1454" s="9" t="s">
        <v>29</v>
      </c>
    </row>
    <row r="1455" spans="17:24">
      <c r="Q1455" s="22"/>
      <c r="R1455" s="22"/>
      <c r="S1455" s="22">
        <f t="shared" si="256"/>
        <v>0</v>
      </c>
      <c r="T1455" s="22" t="e">
        <f t="shared" si="257"/>
        <v>#N/A</v>
      </c>
      <c r="U1455" s="28">
        <v>400</v>
      </c>
      <c r="W1455" s="9">
        <v>1072</v>
      </c>
      <c r="X1455" s="9" t="s">
        <v>29</v>
      </c>
    </row>
    <row r="1456" spans="17:24">
      <c r="Q1456" s="22"/>
      <c r="R1456" s="22"/>
      <c r="S1456" s="22">
        <f t="shared" si="256"/>
        <v>0</v>
      </c>
      <c r="T1456" s="22" t="e">
        <f t="shared" si="257"/>
        <v>#N/A</v>
      </c>
      <c r="U1456" s="28">
        <v>400</v>
      </c>
      <c r="W1456" s="9">
        <v>1073</v>
      </c>
      <c r="X1456" s="9" t="s">
        <v>29</v>
      </c>
    </row>
    <row r="1457" spans="17:24">
      <c r="Q1457" s="22"/>
      <c r="R1457" s="22"/>
      <c r="S1457" s="22">
        <f t="shared" si="256"/>
        <v>0</v>
      </c>
      <c r="T1457" s="22" t="e">
        <f t="shared" si="257"/>
        <v>#N/A</v>
      </c>
      <c r="U1457" s="28">
        <v>400</v>
      </c>
      <c r="W1457" s="9">
        <v>1073</v>
      </c>
      <c r="X1457" s="9" t="s">
        <v>29</v>
      </c>
    </row>
    <row r="1458" spans="17:24">
      <c r="Q1458" s="22"/>
      <c r="R1458" s="22"/>
      <c r="S1458" s="22">
        <f t="shared" si="256"/>
        <v>0</v>
      </c>
      <c r="T1458" s="22" t="e">
        <f t="shared" si="257"/>
        <v>#N/A</v>
      </c>
      <c r="U1458" s="28">
        <v>400</v>
      </c>
      <c r="W1458" s="9">
        <v>1073</v>
      </c>
      <c r="X1458" s="9" t="s">
        <v>29</v>
      </c>
    </row>
    <row r="1459" spans="17:24">
      <c r="Q1459" s="22"/>
      <c r="R1459" s="22"/>
      <c r="S1459" s="22">
        <f t="shared" si="256"/>
        <v>0</v>
      </c>
      <c r="T1459" s="22" t="e">
        <f t="shared" si="257"/>
        <v>#N/A</v>
      </c>
      <c r="U1459" s="28">
        <v>400</v>
      </c>
      <c r="W1459" s="9">
        <v>1073</v>
      </c>
      <c r="X1459" s="9" t="s">
        <v>29</v>
      </c>
    </row>
    <row r="1460" spans="17:24">
      <c r="Q1460" s="22"/>
      <c r="R1460" s="22"/>
      <c r="S1460" s="22">
        <f t="shared" si="256"/>
        <v>0</v>
      </c>
      <c r="T1460" s="22" t="e">
        <f t="shared" si="257"/>
        <v>#N/A</v>
      </c>
      <c r="U1460" s="28">
        <v>400</v>
      </c>
      <c r="W1460" s="9">
        <v>1073</v>
      </c>
      <c r="X1460" s="9" t="s">
        <v>29</v>
      </c>
    </row>
    <row r="1461" spans="17:24">
      <c r="Q1461" s="22"/>
      <c r="R1461" s="22"/>
      <c r="S1461" s="22">
        <f t="shared" si="256"/>
        <v>0</v>
      </c>
      <c r="T1461" s="22" t="e">
        <f t="shared" si="257"/>
        <v>#N/A</v>
      </c>
      <c r="U1461" s="28">
        <v>400</v>
      </c>
      <c r="W1461" s="9">
        <v>1073</v>
      </c>
      <c r="X1461" s="9" t="s">
        <v>29</v>
      </c>
    </row>
    <row r="1462" spans="17:24">
      <c r="Q1462" s="22"/>
      <c r="R1462" s="22"/>
      <c r="S1462" s="22">
        <f t="shared" si="256"/>
        <v>0</v>
      </c>
      <c r="T1462" s="22" t="e">
        <f t="shared" si="257"/>
        <v>#N/A</v>
      </c>
      <c r="U1462" s="28">
        <v>400</v>
      </c>
      <c r="W1462" s="9">
        <v>1073</v>
      </c>
      <c r="X1462" s="9" t="s">
        <v>29</v>
      </c>
    </row>
    <row r="1463" spans="17:24">
      <c r="Q1463" s="22"/>
      <c r="R1463" s="22"/>
      <c r="S1463" s="22">
        <f t="shared" si="256"/>
        <v>0</v>
      </c>
      <c r="T1463" s="22" t="e">
        <f t="shared" si="257"/>
        <v>#N/A</v>
      </c>
      <c r="U1463" s="28">
        <v>400</v>
      </c>
      <c r="W1463" s="9">
        <v>1078</v>
      </c>
      <c r="X1463" s="9" t="s">
        <v>27</v>
      </c>
    </row>
    <row r="1464" spans="17:24">
      <c r="Q1464" s="22"/>
      <c r="R1464" s="22"/>
      <c r="S1464" s="22">
        <f t="shared" si="256"/>
        <v>0</v>
      </c>
      <c r="T1464" s="22" t="e">
        <f t="shared" si="257"/>
        <v>#N/A</v>
      </c>
      <c r="U1464" s="28">
        <v>400</v>
      </c>
      <c r="W1464" s="9">
        <v>1080</v>
      </c>
      <c r="X1464" s="9" t="s">
        <v>29</v>
      </c>
    </row>
    <row r="1465" spans="17:24">
      <c r="Q1465" s="22"/>
      <c r="R1465" s="22"/>
      <c r="S1465" s="22">
        <f t="shared" si="256"/>
        <v>0</v>
      </c>
      <c r="T1465" s="22" t="e">
        <f t="shared" si="257"/>
        <v>#N/A</v>
      </c>
      <c r="U1465" s="28">
        <v>400</v>
      </c>
      <c r="W1465" s="9">
        <v>1080</v>
      </c>
      <c r="X1465" s="9" t="s">
        <v>29</v>
      </c>
    </row>
    <row r="1466" spans="17:24">
      <c r="Q1466" s="22"/>
      <c r="R1466" s="22"/>
      <c r="S1466" s="22">
        <f t="shared" si="256"/>
        <v>0</v>
      </c>
      <c r="T1466" s="22" t="e">
        <f t="shared" si="257"/>
        <v>#N/A</v>
      </c>
      <c r="U1466" s="28">
        <v>400</v>
      </c>
      <c r="W1466" s="9">
        <v>1081</v>
      </c>
      <c r="X1466" s="9" t="s">
        <v>29</v>
      </c>
    </row>
    <row r="1467" spans="17:24">
      <c r="Q1467" s="22"/>
      <c r="R1467" s="22"/>
      <c r="S1467" s="22">
        <f t="shared" si="256"/>
        <v>0</v>
      </c>
      <c r="T1467" s="22" t="e">
        <f t="shared" si="257"/>
        <v>#N/A</v>
      </c>
      <c r="U1467" s="28">
        <v>400</v>
      </c>
      <c r="W1467" s="9">
        <v>1082</v>
      </c>
      <c r="X1467" s="9" t="s">
        <v>29</v>
      </c>
    </row>
    <row r="1468" spans="17:24">
      <c r="Q1468" s="22"/>
      <c r="R1468" s="22"/>
      <c r="S1468" s="22">
        <f t="shared" si="256"/>
        <v>0</v>
      </c>
      <c r="T1468" s="22" t="e">
        <f t="shared" si="257"/>
        <v>#N/A</v>
      </c>
      <c r="U1468" s="28">
        <v>400</v>
      </c>
      <c r="W1468" s="9">
        <v>1083</v>
      </c>
      <c r="X1468" s="9" t="s">
        <v>29</v>
      </c>
    </row>
    <row r="1469" spans="17:24">
      <c r="Q1469" s="22"/>
      <c r="R1469" s="22"/>
      <c r="S1469" s="22">
        <f t="shared" si="256"/>
        <v>0</v>
      </c>
      <c r="T1469" s="22" t="e">
        <f t="shared" si="257"/>
        <v>#N/A</v>
      </c>
      <c r="U1469" s="28">
        <v>400</v>
      </c>
      <c r="W1469" s="9">
        <v>1084</v>
      </c>
      <c r="X1469" s="9" t="s">
        <v>29</v>
      </c>
    </row>
    <row r="1470" spans="17:24">
      <c r="Q1470" s="22"/>
      <c r="R1470" s="22"/>
      <c r="S1470" s="22">
        <f t="shared" si="256"/>
        <v>0</v>
      </c>
      <c r="T1470" s="22" t="e">
        <f t="shared" si="257"/>
        <v>#N/A</v>
      </c>
      <c r="U1470" s="28">
        <v>400</v>
      </c>
      <c r="W1470" s="9">
        <v>1084</v>
      </c>
      <c r="X1470" s="9" t="s">
        <v>29</v>
      </c>
    </row>
    <row r="1471" spans="17:24">
      <c r="Q1471" s="22"/>
      <c r="R1471" s="22"/>
      <c r="S1471" s="22">
        <f t="shared" si="256"/>
        <v>0</v>
      </c>
      <c r="T1471" s="22" t="e">
        <f t="shared" si="257"/>
        <v>#N/A</v>
      </c>
      <c r="U1471" s="28">
        <v>400</v>
      </c>
      <c r="W1471" s="9">
        <v>1084</v>
      </c>
      <c r="X1471" s="9" t="s">
        <v>29</v>
      </c>
    </row>
    <row r="1472" spans="17:24">
      <c r="Q1472" s="22"/>
      <c r="R1472" s="22"/>
      <c r="S1472" s="22">
        <f t="shared" si="256"/>
        <v>0</v>
      </c>
      <c r="T1472" s="22" t="e">
        <f t="shared" si="257"/>
        <v>#N/A</v>
      </c>
      <c r="U1472" s="28">
        <v>400</v>
      </c>
      <c r="W1472" s="9">
        <v>1091</v>
      </c>
      <c r="X1472" s="9" t="s">
        <v>29</v>
      </c>
    </row>
    <row r="1473" spans="17:24">
      <c r="Q1473" s="22"/>
      <c r="R1473" s="22"/>
      <c r="S1473" s="22">
        <f t="shared" si="256"/>
        <v>0</v>
      </c>
      <c r="T1473" s="22" t="e">
        <f t="shared" si="257"/>
        <v>#N/A</v>
      </c>
      <c r="U1473" s="28">
        <v>400</v>
      </c>
      <c r="W1473" s="9">
        <v>1095</v>
      </c>
      <c r="X1473" s="9" t="s">
        <v>29</v>
      </c>
    </row>
    <row r="1474" spans="17:24">
      <c r="Q1474" s="22"/>
      <c r="R1474" s="22"/>
      <c r="S1474" s="22">
        <f t="shared" si="256"/>
        <v>0</v>
      </c>
      <c r="T1474" s="22" t="e">
        <f t="shared" si="257"/>
        <v>#N/A</v>
      </c>
      <c r="U1474" s="28">
        <v>400</v>
      </c>
      <c r="W1474" s="9">
        <v>1096</v>
      </c>
      <c r="X1474" s="9" t="s">
        <v>28</v>
      </c>
    </row>
    <row r="1475" spans="17:24">
      <c r="Q1475" s="22"/>
      <c r="R1475" s="22"/>
      <c r="S1475" s="22">
        <f t="shared" ref="S1475:S1487" si="258">_xlfn.XLOOKUP(Q1475,W:W,X:X)</f>
        <v>0</v>
      </c>
      <c r="T1475" s="22" t="e">
        <f t="shared" si="257"/>
        <v>#N/A</v>
      </c>
      <c r="U1475" s="28">
        <v>400</v>
      </c>
      <c r="W1475" s="9">
        <v>1100</v>
      </c>
      <c r="X1475" s="9" t="s">
        <v>28</v>
      </c>
    </row>
    <row r="1476" spans="17:24">
      <c r="Q1476" s="22"/>
      <c r="R1476" s="22"/>
      <c r="S1476" s="22">
        <f t="shared" si="258"/>
        <v>0</v>
      </c>
      <c r="T1476" s="22" t="e">
        <f t="shared" si="257"/>
        <v>#N/A</v>
      </c>
      <c r="U1476" s="28">
        <v>400</v>
      </c>
      <c r="W1476" s="9">
        <v>1100</v>
      </c>
      <c r="X1476" s="9" t="s">
        <v>28</v>
      </c>
    </row>
    <row r="1477" spans="17:24">
      <c r="Q1477" s="22"/>
      <c r="R1477" s="22"/>
      <c r="S1477" s="22">
        <f t="shared" si="258"/>
        <v>0</v>
      </c>
      <c r="T1477" s="22" t="e">
        <f t="shared" si="257"/>
        <v>#N/A</v>
      </c>
      <c r="U1477" s="28">
        <v>400</v>
      </c>
      <c r="W1477" s="9">
        <v>1102</v>
      </c>
      <c r="X1477" s="9" t="s">
        <v>27</v>
      </c>
    </row>
    <row r="1478" spans="17:24">
      <c r="Q1478" s="22"/>
      <c r="R1478" s="22"/>
      <c r="S1478" s="22">
        <f t="shared" si="258"/>
        <v>0</v>
      </c>
      <c r="T1478" s="22" t="e">
        <f t="shared" si="257"/>
        <v>#N/A</v>
      </c>
      <c r="U1478" s="28">
        <v>400</v>
      </c>
      <c r="W1478" s="9">
        <v>1103</v>
      </c>
      <c r="X1478" s="9" t="s">
        <v>28</v>
      </c>
    </row>
    <row r="1479" spans="17:24">
      <c r="Q1479" s="22"/>
      <c r="R1479" s="22"/>
      <c r="S1479" s="22">
        <f t="shared" si="258"/>
        <v>0</v>
      </c>
      <c r="T1479" s="22" t="e">
        <f t="shared" si="257"/>
        <v>#N/A</v>
      </c>
      <c r="U1479" s="28">
        <v>400</v>
      </c>
      <c r="W1479" s="9">
        <v>1103</v>
      </c>
      <c r="X1479" s="9" t="s">
        <v>29</v>
      </c>
    </row>
    <row r="1480" spans="17:24">
      <c r="Q1480" s="22"/>
      <c r="R1480" s="22"/>
      <c r="S1480" s="22">
        <f t="shared" si="258"/>
        <v>0</v>
      </c>
      <c r="T1480" s="22" t="e">
        <f t="shared" si="257"/>
        <v>#N/A</v>
      </c>
      <c r="U1480" s="28">
        <v>400</v>
      </c>
      <c r="W1480" s="9">
        <v>1104</v>
      </c>
      <c r="X1480" s="9" t="s">
        <v>27</v>
      </c>
    </row>
    <row r="1481" spans="17:24">
      <c r="Q1481" s="22"/>
      <c r="R1481" s="22"/>
      <c r="S1481" s="22">
        <f t="shared" si="258"/>
        <v>0</v>
      </c>
      <c r="T1481" s="22" t="e">
        <f t="shared" si="257"/>
        <v>#N/A</v>
      </c>
      <c r="U1481" s="28">
        <v>400</v>
      </c>
      <c r="W1481" s="9">
        <v>1105</v>
      </c>
      <c r="X1481" s="9" t="s">
        <v>28</v>
      </c>
    </row>
    <row r="1482" spans="17:24">
      <c r="Q1482" s="22"/>
      <c r="R1482" s="22"/>
      <c r="S1482" s="22">
        <f t="shared" si="258"/>
        <v>0</v>
      </c>
      <c r="T1482" s="22" t="e">
        <f t="shared" si="257"/>
        <v>#N/A</v>
      </c>
      <c r="U1482" s="28">
        <v>400</v>
      </c>
      <c r="W1482" s="9">
        <v>1105</v>
      </c>
      <c r="X1482" s="9" t="s">
        <v>28</v>
      </c>
    </row>
    <row r="1483" spans="17:24">
      <c r="Q1483" s="22"/>
      <c r="R1483" s="22"/>
      <c r="S1483" s="22">
        <f t="shared" si="258"/>
        <v>0</v>
      </c>
      <c r="T1483" s="22" t="e">
        <f t="shared" si="257"/>
        <v>#N/A</v>
      </c>
      <c r="U1483" s="28">
        <v>400</v>
      </c>
      <c r="W1483" s="9">
        <v>1105</v>
      </c>
      <c r="X1483" s="9" t="s">
        <v>28</v>
      </c>
    </row>
    <row r="1484" spans="17:24">
      <c r="Q1484" s="22"/>
      <c r="R1484" s="22"/>
      <c r="S1484" s="22">
        <f t="shared" si="258"/>
        <v>0</v>
      </c>
      <c r="T1484" s="22" t="e">
        <f t="shared" si="257"/>
        <v>#N/A</v>
      </c>
      <c r="U1484" s="28">
        <v>400</v>
      </c>
      <c r="W1484" s="9">
        <v>1109</v>
      </c>
      <c r="X1484" s="9" t="s">
        <v>29</v>
      </c>
    </row>
    <row r="1485" spans="17:24">
      <c r="Q1485" s="22"/>
      <c r="R1485" s="22"/>
      <c r="S1485" s="22">
        <f t="shared" si="258"/>
        <v>0</v>
      </c>
      <c r="T1485" s="22" t="e">
        <f t="shared" si="257"/>
        <v>#N/A</v>
      </c>
      <c r="U1485" s="28">
        <v>400</v>
      </c>
      <c r="W1485" s="9">
        <v>1110</v>
      </c>
      <c r="X1485" s="9" t="s">
        <v>29</v>
      </c>
    </row>
    <row r="1486" spans="17:24">
      <c r="Q1486" s="22"/>
      <c r="R1486" s="22"/>
      <c r="S1486" s="22">
        <f t="shared" si="258"/>
        <v>0</v>
      </c>
      <c r="T1486" s="22" t="e">
        <f t="shared" si="257"/>
        <v>#N/A</v>
      </c>
      <c r="U1486" s="28">
        <v>400</v>
      </c>
      <c r="W1486" s="9">
        <v>1110</v>
      </c>
      <c r="X1486" s="9" t="s">
        <v>29</v>
      </c>
    </row>
    <row r="1487" spans="17:24">
      <c r="Q1487" s="22"/>
      <c r="R1487" s="22"/>
      <c r="S1487" s="22">
        <f t="shared" si="258"/>
        <v>0</v>
      </c>
      <c r="T1487" s="22" t="e">
        <f t="shared" si="257"/>
        <v>#N/A</v>
      </c>
      <c r="U1487" s="28">
        <v>400</v>
      </c>
      <c r="W1487" s="10">
        <v>1111</v>
      </c>
      <c r="X1487" s="10" t="s">
        <v>28</v>
      </c>
    </row>
  </sheetData>
  <autoFilter ref="A1:N1523" xr:uid="{AE18373B-52D1-4996-B3F1-0321E5892B9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8F60-0E31-408F-9ED0-F859663E0D3E}">
  <dimension ref="A2:AK5"/>
  <sheetViews>
    <sheetView topLeftCell="B1" workbookViewId="0">
      <selection activeCell="Z17" sqref="Z1:Z1048576"/>
    </sheetView>
  </sheetViews>
  <sheetFormatPr defaultColWidth="8.7109375" defaultRowHeight="15"/>
  <cols>
    <col min="1" max="1" width="36" bestFit="1" customWidth="1"/>
    <col min="2" max="2" width="22.85546875" bestFit="1" customWidth="1"/>
    <col min="3" max="3" width="23.28515625" bestFit="1" customWidth="1"/>
    <col min="4" max="4" width="4.85546875" bestFit="1" customWidth="1"/>
    <col min="5" max="5" width="7.140625" bestFit="1" customWidth="1"/>
    <col min="6" max="6" width="4.85546875" bestFit="1" customWidth="1"/>
    <col min="7" max="7" width="7.140625" bestFit="1" customWidth="1"/>
    <col min="8" max="8" width="10.5703125" bestFit="1" customWidth="1"/>
    <col min="9" max="9" width="9.28515625" bestFit="1" customWidth="1"/>
    <col min="10" max="11" width="10.85546875" bestFit="1" customWidth="1"/>
    <col min="12" max="12" width="9.140625" bestFit="1" customWidth="1"/>
    <col min="13" max="13" width="4.85546875" bestFit="1" customWidth="1"/>
    <col min="14" max="14" width="9.140625" bestFit="1" customWidth="1"/>
    <col min="15" max="16" width="10.85546875" bestFit="1" customWidth="1"/>
    <col min="17" max="17" width="13" bestFit="1" customWidth="1"/>
    <col min="18" max="18" width="10.85546875" bestFit="1" customWidth="1"/>
    <col min="19" max="20" width="11.85546875" bestFit="1" customWidth="1"/>
    <col min="21" max="27" width="13" bestFit="1" customWidth="1"/>
    <col min="28" max="28" width="11.85546875" bestFit="1" customWidth="1"/>
    <col min="29" max="29" width="13" bestFit="1" customWidth="1"/>
    <col min="30" max="31" width="11.85546875" bestFit="1" customWidth="1"/>
    <col min="32" max="32" width="10.85546875" bestFit="1" customWidth="1"/>
    <col min="33" max="33" width="14.85546875" bestFit="1" customWidth="1"/>
    <col min="34" max="36" width="11.85546875" bestFit="1" customWidth="1"/>
    <col min="37" max="37" width="14.85546875" bestFit="1" customWidth="1"/>
    <col min="38" max="38" width="16.28515625" bestFit="1" customWidth="1"/>
    <col min="39" max="39" width="12.85546875" bestFit="1" customWidth="1"/>
  </cols>
  <sheetData>
    <row r="2" spans="1:37">
      <c r="B2" s="11" t="s">
        <v>13</v>
      </c>
      <c r="C2" s="11" t="s">
        <v>12</v>
      </c>
    </row>
    <row r="3" spans="1:37">
      <c r="B3">
        <v>2024</v>
      </c>
      <c r="H3" s="14" t="s">
        <v>55</v>
      </c>
      <c r="I3">
        <v>2025</v>
      </c>
      <c r="U3" s="14" t="s">
        <v>56</v>
      </c>
      <c r="V3">
        <v>2026</v>
      </c>
      <c r="AG3" s="14" t="s">
        <v>57</v>
      </c>
      <c r="AH3">
        <v>2027</v>
      </c>
      <c r="AJ3" s="14" t="s">
        <v>58</v>
      </c>
      <c r="AK3" t="s">
        <v>59</v>
      </c>
    </row>
    <row r="4" spans="1:37">
      <c r="B4">
        <v>6</v>
      </c>
      <c r="C4">
        <v>8</v>
      </c>
      <c r="D4">
        <v>9</v>
      </c>
      <c r="E4">
        <v>10</v>
      </c>
      <c r="F4">
        <v>11</v>
      </c>
      <c r="G4">
        <v>12</v>
      </c>
      <c r="H4" s="14"/>
      <c r="I4">
        <v>1</v>
      </c>
      <c r="J4">
        <v>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 s="14"/>
      <c r="V4">
        <v>1</v>
      </c>
      <c r="W4">
        <v>2</v>
      </c>
      <c r="X4">
        <v>3</v>
      </c>
      <c r="Y4">
        <v>4</v>
      </c>
      <c r="Z4">
        <v>5</v>
      </c>
      <c r="AA4">
        <v>6</v>
      </c>
      <c r="AB4">
        <v>7</v>
      </c>
      <c r="AC4">
        <v>8</v>
      </c>
      <c r="AD4">
        <v>9</v>
      </c>
      <c r="AE4">
        <v>10</v>
      </c>
      <c r="AF4">
        <v>11</v>
      </c>
      <c r="AG4" s="14"/>
      <c r="AH4">
        <v>1</v>
      </c>
      <c r="AI4">
        <v>5</v>
      </c>
      <c r="AJ4" s="14"/>
    </row>
    <row r="5" spans="1:37">
      <c r="A5" t="s">
        <v>60</v>
      </c>
      <c r="B5" s="13">
        <v>0</v>
      </c>
      <c r="C5" s="12">
        <v>0</v>
      </c>
      <c r="D5" s="12">
        <v>0</v>
      </c>
      <c r="E5" s="12">
        <v>-4.8000000020037986E-2</v>
      </c>
      <c r="F5" s="12">
        <v>0</v>
      </c>
      <c r="G5" s="12">
        <v>-3.0000000006111804E-2</v>
      </c>
      <c r="H5" s="13">
        <v>-7.8000000026149791E-2</v>
      </c>
      <c r="I5" s="12">
        <v>-367.11304000000433</v>
      </c>
      <c r="J5" s="12">
        <v>2670.33</v>
      </c>
      <c r="K5" s="12">
        <v>3224.9420000000059</v>
      </c>
      <c r="L5" s="12">
        <v>964.70055999999761</v>
      </c>
      <c r="M5" s="12">
        <v>0</v>
      </c>
      <c r="N5" s="12">
        <v>615.05400000000122</v>
      </c>
      <c r="O5" s="12">
        <v>2703.9445840000099</v>
      </c>
      <c r="P5" s="12">
        <v>2052.0832000000046</v>
      </c>
      <c r="Q5" s="12">
        <v>238864.46430400005</v>
      </c>
      <c r="R5" s="12">
        <v>3406.6616000000008</v>
      </c>
      <c r="S5" s="12">
        <v>37849.323600000032</v>
      </c>
      <c r="T5" s="12">
        <v>19710.46</v>
      </c>
      <c r="U5" s="13">
        <v>311694.85080800013</v>
      </c>
      <c r="V5" s="12">
        <v>148599.01119999998</v>
      </c>
      <c r="W5" s="12">
        <v>250408.22312000004</v>
      </c>
      <c r="X5" s="12">
        <v>119575.11055999999</v>
      </c>
      <c r="Y5" s="12">
        <v>468587.05399999995</v>
      </c>
      <c r="Z5" s="12">
        <v>180369.04488</v>
      </c>
      <c r="AA5" s="12">
        <v>295399.71399999998</v>
      </c>
      <c r="AB5" s="12">
        <v>11682.93</v>
      </c>
      <c r="AC5" s="12">
        <v>123958.43000000001</v>
      </c>
      <c r="AD5" s="12">
        <v>13900</v>
      </c>
      <c r="AE5" s="12">
        <v>61782.828000000001</v>
      </c>
      <c r="AF5" s="12">
        <v>4269.3219999999965</v>
      </c>
      <c r="AG5" s="13">
        <v>1678531.6677599996</v>
      </c>
      <c r="AH5" s="12">
        <v>26272.781999999999</v>
      </c>
      <c r="AI5" s="12">
        <v>55800</v>
      </c>
      <c r="AJ5" s="13">
        <v>82072.782000000007</v>
      </c>
      <c r="AK5" s="13">
        <v>2072299.2225679995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4857-9284-492D-A882-1E6749FC323A}">
  <dimension ref="A1:B726"/>
  <sheetViews>
    <sheetView workbookViewId="0">
      <selection sqref="A1:B1048576"/>
    </sheetView>
  </sheetViews>
  <sheetFormatPr defaultRowHeight="15"/>
  <cols>
    <col min="1" max="1" width="12.85546875" bestFit="1" customWidth="1"/>
    <col min="2" max="2" width="15.42578125" bestFit="1" customWidth="1"/>
  </cols>
  <sheetData>
    <row r="1" spans="1:2">
      <c r="A1" s="11" t="s">
        <v>15</v>
      </c>
      <c r="B1" t="s">
        <v>49</v>
      </c>
    </row>
    <row r="2" spans="1:2">
      <c r="A2">
        <v>3</v>
      </c>
      <c r="B2">
        <v>3400</v>
      </c>
    </row>
    <row r="3" spans="1:2">
      <c r="A3">
        <v>4</v>
      </c>
      <c r="B3">
        <v>354545.26</v>
      </c>
    </row>
    <row r="4" spans="1:2">
      <c r="A4">
        <v>6</v>
      </c>
      <c r="B4">
        <v>10800</v>
      </c>
    </row>
    <row r="5" spans="1:2">
      <c r="A5">
        <v>7</v>
      </c>
      <c r="B5">
        <v>131952</v>
      </c>
    </row>
    <row r="6" spans="1:2">
      <c r="A6">
        <v>9</v>
      </c>
      <c r="B6">
        <v>4890.32</v>
      </c>
    </row>
    <row r="7" spans="1:2">
      <c r="A7">
        <v>11</v>
      </c>
      <c r="B7">
        <v>804.83</v>
      </c>
    </row>
    <row r="8" spans="1:2">
      <c r="A8">
        <v>12</v>
      </c>
      <c r="B8">
        <v>26496.89</v>
      </c>
    </row>
    <row r="9" spans="1:2">
      <c r="A9">
        <v>15</v>
      </c>
      <c r="B9">
        <v>2327</v>
      </c>
    </row>
    <row r="10" spans="1:2">
      <c r="A10">
        <v>16</v>
      </c>
      <c r="B10">
        <v>3735</v>
      </c>
    </row>
    <row r="11" spans="1:2">
      <c r="A11">
        <v>17</v>
      </c>
      <c r="B11">
        <v>1590</v>
      </c>
    </row>
    <row r="12" spans="1:2">
      <c r="A12">
        <v>19</v>
      </c>
      <c r="B12">
        <v>1560</v>
      </c>
    </row>
    <row r="13" spans="1:2">
      <c r="A13">
        <v>20</v>
      </c>
      <c r="B13">
        <v>803</v>
      </c>
    </row>
    <row r="14" spans="1:2">
      <c r="A14">
        <v>22</v>
      </c>
      <c r="B14">
        <v>15077.2</v>
      </c>
    </row>
    <row r="15" spans="1:2">
      <c r="A15">
        <v>24</v>
      </c>
      <c r="B15">
        <v>618.86</v>
      </c>
    </row>
    <row r="16" spans="1:2">
      <c r="A16">
        <v>26</v>
      </c>
      <c r="B16">
        <v>6384.58</v>
      </c>
    </row>
    <row r="17" spans="1:2">
      <c r="A17">
        <v>28</v>
      </c>
      <c r="B17">
        <v>4124.09</v>
      </c>
    </row>
    <row r="18" spans="1:2">
      <c r="A18">
        <v>29</v>
      </c>
      <c r="B18">
        <v>4785.04</v>
      </c>
    </row>
    <row r="19" spans="1:2">
      <c r="A19">
        <v>30</v>
      </c>
      <c r="B19">
        <v>8563.26</v>
      </c>
    </row>
    <row r="20" spans="1:2">
      <c r="A20">
        <v>33</v>
      </c>
      <c r="B20">
        <v>1501.68</v>
      </c>
    </row>
    <row r="21" spans="1:2">
      <c r="A21">
        <v>36</v>
      </c>
      <c r="B21">
        <v>3516.4</v>
      </c>
    </row>
    <row r="22" spans="1:2">
      <c r="A22">
        <v>38</v>
      </c>
      <c r="B22">
        <v>60452.52</v>
      </c>
    </row>
    <row r="23" spans="1:2">
      <c r="A23">
        <v>39</v>
      </c>
      <c r="B23">
        <v>40255.75</v>
      </c>
    </row>
    <row r="24" spans="1:2">
      <c r="A24">
        <v>40</v>
      </c>
      <c r="B24">
        <v>600</v>
      </c>
    </row>
    <row r="25" spans="1:2">
      <c r="A25">
        <v>41</v>
      </c>
      <c r="B25">
        <v>2716.1</v>
      </c>
    </row>
    <row r="26" spans="1:2">
      <c r="A26">
        <v>44</v>
      </c>
      <c r="B26">
        <v>3912.7999999999997</v>
      </c>
    </row>
    <row r="27" spans="1:2">
      <c r="A27">
        <v>45</v>
      </c>
      <c r="B27">
        <v>40</v>
      </c>
    </row>
    <row r="28" spans="1:2">
      <c r="A28">
        <v>46</v>
      </c>
      <c r="B28">
        <v>3400</v>
      </c>
    </row>
    <row r="29" spans="1:2">
      <c r="A29">
        <v>48</v>
      </c>
      <c r="B29">
        <v>99000</v>
      </c>
    </row>
    <row r="30" spans="1:2">
      <c r="A30">
        <v>49</v>
      </c>
      <c r="B30">
        <v>4997.26</v>
      </c>
    </row>
    <row r="31" spans="1:2">
      <c r="A31">
        <v>54</v>
      </c>
      <c r="B31">
        <v>3567</v>
      </c>
    </row>
    <row r="32" spans="1:2">
      <c r="A32">
        <v>57</v>
      </c>
      <c r="B32">
        <v>679</v>
      </c>
    </row>
    <row r="33" spans="1:2">
      <c r="A33">
        <v>58</v>
      </c>
      <c r="B33">
        <v>8714.41</v>
      </c>
    </row>
    <row r="34" spans="1:2">
      <c r="A34">
        <v>59</v>
      </c>
      <c r="B34">
        <v>981.77</v>
      </c>
    </row>
    <row r="35" spans="1:2">
      <c r="A35">
        <v>60</v>
      </c>
      <c r="B35">
        <v>206.9</v>
      </c>
    </row>
    <row r="36" spans="1:2">
      <c r="A36">
        <v>61</v>
      </c>
      <c r="B36">
        <v>4265.6099999999997</v>
      </c>
    </row>
    <row r="37" spans="1:2">
      <c r="A37">
        <v>62</v>
      </c>
      <c r="B37">
        <v>12206.75</v>
      </c>
    </row>
    <row r="38" spans="1:2">
      <c r="A38">
        <v>63</v>
      </c>
      <c r="B38">
        <v>2268</v>
      </c>
    </row>
    <row r="39" spans="1:2">
      <c r="A39">
        <v>64</v>
      </c>
      <c r="B39">
        <v>1062</v>
      </c>
    </row>
    <row r="40" spans="1:2">
      <c r="A40">
        <v>69</v>
      </c>
      <c r="B40">
        <v>1366</v>
      </c>
    </row>
    <row r="41" spans="1:2">
      <c r="A41">
        <v>71</v>
      </c>
      <c r="B41">
        <v>6258.6</v>
      </c>
    </row>
    <row r="42" spans="1:2">
      <c r="A42">
        <v>72</v>
      </c>
      <c r="B42">
        <v>201</v>
      </c>
    </row>
    <row r="43" spans="1:2">
      <c r="A43">
        <v>73</v>
      </c>
      <c r="B43">
        <v>11485.71</v>
      </c>
    </row>
    <row r="44" spans="1:2">
      <c r="A44">
        <v>74</v>
      </c>
      <c r="B44">
        <v>260</v>
      </c>
    </row>
    <row r="45" spans="1:2">
      <c r="A45">
        <v>75</v>
      </c>
      <c r="B45">
        <v>2250</v>
      </c>
    </row>
    <row r="46" spans="1:2">
      <c r="A46">
        <v>76</v>
      </c>
      <c r="B46">
        <v>4434.01</v>
      </c>
    </row>
    <row r="47" spans="1:2">
      <c r="A47">
        <v>78</v>
      </c>
      <c r="B47">
        <v>688</v>
      </c>
    </row>
    <row r="48" spans="1:2">
      <c r="A48">
        <v>79</v>
      </c>
      <c r="B48">
        <v>3295.4</v>
      </c>
    </row>
    <row r="49" spans="1:2">
      <c r="A49">
        <v>81</v>
      </c>
      <c r="B49">
        <v>4988</v>
      </c>
    </row>
    <row r="50" spans="1:2">
      <c r="A50">
        <v>82</v>
      </c>
      <c r="B50">
        <v>21854.2</v>
      </c>
    </row>
    <row r="51" spans="1:2">
      <c r="A51">
        <v>83</v>
      </c>
      <c r="B51">
        <v>229</v>
      </c>
    </row>
    <row r="52" spans="1:2">
      <c r="A52">
        <v>84</v>
      </c>
      <c r="B52">
        <v>1708.68</v>
      </c>
    </row>
    <row r="53" spans="1:2">
      <c r="A53">
        <v>85</v>
      </c>
      <c r="B53">
        <v>118302.05</v>
      </c>
    </row>
    <row r="54" spans="1:2">
      <c r="A54">
        <v>88</v>
      </c>
      <c r="B54">
        <v>800</v>
      </c>
    </row>
    <row r="55" spans="1:2">
      <c r="A55">
        <v>89</v>
      </c>
      <c r="B55">
        <v>800</v>
      </c>
    </row>
    <row r="56" spans="1:2">
      <c r="A56">
        <v>91</v>
      </c>
      <c r="B56">
        <v>9904</v>
      </c>
    </row>
    <row r="57" spans="1:2">
      <c r="A57">
        <v>93</v>
      </c>
      <c r="B57">
        <v>4440</v>
      </c>
    </row>
    <row r="58" spans="1:2">
      <c r="A58">
        <v>94</v>
      </c>
      <c r="B58">
        <v>135027</v>
      </c>
    </row>
    <row r="59" spans="1:2">
      <c r="A59">
        <v>95</v>
      </c>
      <c r="B59">
        <v>23614.400000000001</v>
      </c>
    </row>
    <row r="60" spans="1:2">
      <c r="A60">
        <v>97</v>
      </c>
      <c r="B60">
        <v>494.4</v>
      </c>
    </row>
    <row r="61" spans="1:2">
      <c r="A61">
        <v>98</v>
      </c>
      <c r="B61">
        <v>33897.49</v>
      </c>
    </row>
    <row r="62" spans="1:2">
      <c r="A62">
        <v>99</v>
      </c>
      <c r="B62">
        <v>26938.799999999999</v>
      </c>
    </row>
    <row r="63" spans="1:2">
      <c r="A63">
        <v>100</v>
      </c>
      <c r="B63">
        <v>4583</v>
      </c>
    </row>
    <row r="64" spans="1:2">
      <c r="A64">
        <v>102</v>
      </c>
      <c r="B64">
        <v>8979.2000000000007</v>
      </c>
    </row>
    <row r="65" spans="1:2">
      <c r="A65">
        <v>104</v>
      </c>
      <c r="B65">
        <v>15213.21</v>
      </c>
    </row>
    <row r="66" spans="1:2">
      <c r="A66">
        <v>105</v>
      </c>
      <c r="B66">
        <v>268</v>
      </c>
    </row>
    <row r="67" spans="1:2">
      <c r="A67">
        <v>106</v>
      </c>
      <c r="B67">
        <v>268</v>
      </c>
    </row>
    <row r="68" spans="1:2">
      <c r="A68">
        <v>107</v>
      </c>
      <c r="B68">
        <v>494</v>
      </c>
    </row>
    <row r="69" spans="1:2">
      <c r="A69">
        <v>108</v>
      </c>
      <c r="B69">
        <v>76619.67</v>
      </c>
    </row>
    <row r="70" spans="1:2">
      <c r="A70">
        <v>109</v>
      </c>
      <c r="B70">
        <v>95573</v>
      </c>
    </row>
    <row r="71" spans="1:2">
      <c r="A71">
        <v>110</v>
      </c>
      <c r="B71">
        <v>302.2</v>
      </c>
    </row>
    <row r="72" spans="1:2">
      <c r="A72">
        <v>111</v>
      </c>
      <c r="B72">
        <v>82419</v>
      </c>
    </row>
    <row r="73" spans="1:2">
      <c r="A73">
        <v>112</v>
      </c>
      <c r="B73">
        <v>1098</v>
      </c>
    </row>
    <row r="74" spans="1:2">
      <c r="A74">
        <v>113</v>
      </c>
      <c r="B74">
        <v>20777.39</v>
      </c>
    </row>
    <row r="75" spans="1:2">
      <c r="A75">
        <v>114</v>
      </c>
      <c r="B75">
        <v>113312.48</v>
      </c>
    </row>
    <row r="76" spans="1:2">
      <c r="A76">
        <v>117</v>
      </c>
      <c r="B76">
        <v>606.17999999999995</v>
      </c>
    </row>
    <row r="77" spans="1:2">
      <c r="A77">
        <v>119</v>
      </c>
      <c r="B77">
        <v>1432.1</v>
      </c>
    </row>
    <row r="78" spans="1:2">
      <c r="A78">
        <v>120</v>
      </c>
      <c r="B78">
        <v>2383.6799999999998</v>
      </c>
    </row>
    <row r="79" spans="1:2">
      <c r="A79">
        <v>121</v>
      </c>
      <c r="B79">
        <v>1791.72</v>
      </c>
    </row>
    <row r="80" spans="1:2">
      <c r="A80">
        <v>122</v>
      </c>
      <c r="B80">
        <v>11500.66</v>
      </c>
    </row>
    <row r="81" spans="1:2">
      <c r="A81">
        <v>124</v>
      </c>
      <c r="B81">
        <v>57724</v>
      </c>
    </row>
    <row r="82" spans="1:2">
      <c r="A82">
        <v>126</v>
      </c>
      <c r="B82">
        <v>22261.360000000001</v>
      </c>
    </row>
    <row r="83" spans="1:2">
      <c r="A83">
        <v>127</v>
      </c>
      <c r="B83">
        <v>5088</v>
      </c>
    </row>
    <row r="84" spans="1:2">
      <c r="A84">
        <v>128</v>
      </c>
      <c r="B84">
        <v>1389.53</v>
      </c>
    </row>
    <row r="85" spans="1:2">
      <c r="A85">
        <v>129</v>
      </c>
      <c r="B85">
        <v>166662</v>
      </c>
    </row>
    <row r="86" spans="1:2">
      <c r="A86">
        <v>130</v>
      </c>
      <c r="B86">
        <v>4389</v>
      </c>
    </row>
    <row r="87" spans="1:2">
      <c r="A87">
        <v>132</v>
      </c>
      <c r="B87">
        <v>4378.88</v>
      </c>
    </row>
    <row r="88" spans="1:2">
      <c r="A88">
        <v>133</v>
      </c>
      <c r="B88">
        <v>8756.25</v>
      </c>
    </row>
    <row r="89" spans="1:2">
      <c r="A89">
        <v>134</v>
      </c>
      <c r="B89">
        <v>1205</v>
      </c>
    </row>
    <row r="90" spans="1:2">
      <c r="A90">
        <v>136</v>
      </c>
      <c r="B90">
        <v>142211.34999999998</v>
      </c>
    </row>
    <row r="91" spans="1:2">
      <c r="A91">
        <v>137</v>
      </c>
      <c r="B91">
        <v>4574.1099999999997</v>
      </c>
    </row>
    <row r="92" spans="1:2">
      <c r="A92">
        <v>139</v>
      </c>
      <c r="B92">
        <v>2232</v>
      </c>
    </row>
    <row r="93" spans="1:2">
      <c r="A93">
        <v>140</v>
      </c>
      <c r="B93">
        <v>23910.84</v>
      </c>
    </row>
    <row r="94" spans="1:2">
      <c r="A94">
        <v>141</v>
      </c>
      <c r="B94">
        <v>3158.37</v>
      </c>
    </row>
    <row r="95" spans="1:2">
      <c r="A95">
        <v>142</v>
      </c>
      <c r="B95">
        <v>2425</v>
      </c>
    </row>
    <row r="96" spans="1:2">
      <c r="A96">
        <v>143</v>
      </c>
      <c r="B96">
        <v>4874.42</v>
      </c>
    </row>
    <row r="97" spans="1:2">
      <c r="A97">
        <v>144</v>
      </c>
      <c r="B97">
        <v>3993.6</v>
      </c>
    </row>
    <row r="98" spans="1:2">
      <c r="A98">
        <v>145</v>
      </c>
      <c r="B98">
        <v>4101.6000000000004</v>
      </c>
    </row>
    <row r="99" spans="1:2">
      <c r="A99">
        <v>148</v>
      </c>
      <c r="B99">
        <v>7786</v>
      </c>
    </row>
    <row r="100" spans="1:2">
      <c r="A100">
        <v>149</v>
      </c>
      <c r="B100">
        <v>17445.689999999999</v>
      </c>
    </row>
    <row r="101" spans="1:2">
      <c r="A101">
        <v>150</v>
      </c>
      <c r="B101">
        <v>2898.5</v>
      </c>
    </row>
    <row r="102" spans="1:2">
      <c r="A102">
        <v>151</v>
      </c>
      <c r="B102">
        <v>29132.639999999999</v>
      </c>
    </row>
    <row r="103" spans="1:2">
      <c r="A103">
        <v>152</v>
      </c>
      <c r="B103">
        <v>2949</v>
      </c>
    </row>
    <row r="104" spans="1:2">
      <c r="A104">
        <v>153</v>
      </c>
      <c r="B104">
        <v>15914.79</v>
      </c>
    </row>
    <row r="105" spans="1:2">
      <c r="A105">
        <v>157</v>
      </c>
      <c r="B105">
        <v>4097.3599999999997</v>
      </c>
    </row>
    <row r="106" spans="1:2">
      <c r="A106">
        <v>161</v>
      </c>
      <c r="B106">
        <v>2274.0299999999997</v>
      </c>
    </row>
    <row r="107" spans="1:2">
      <c r="A107">
        <v>162</v>
      </c>
      <c r="B107">
        <v>5106.96</v>
      </c>
    </row>
    <row r="108" spans="1:2">
      <c r="A108">
        <v>163</v>
      </c>
      <c r="B108">
        <v>35653.269999999997</v>
      </c>
    </row>
    <row r="109" spans="1:2">
      <c r="A109">
        <v>164</v>
      </c>
      <c r="B109">
        <v>3445.65</v>
      </c>
    </row>
    <row r="110" spans="1:2">
      <c r="A110">
        <v>165</v>
      </c>
      <c r="B110">
        <v>2277.39</v>
      </c>
    </row>
    <row r="111" spans="1:2">
      <c r="A111">
        <v>167</v>
      </c>
      <c r="B111">
        <v>2611.4299999999998</v>
      </c>
    </row>
    <row r="112" spans="1:2">
      <c r="A112">
        <v>168</v>
      </c>
      <c r="B112">
        <v>7312.54</v>
      </c>
    </row>
    <row r="113" spans="1:2">
      <c r="A113">
        <v>170</v>
      </c>
      <c r="B113">
        <v>29371.09</v>
      </c>
    </row>
    <row r="114" spans="1:2">
      <c r="A114">
        <v>171</v>
      </c>
      <c r="B114">
        <v>5992.44</v>
      </c>
    </row>
    <row r="115" spans="1:2">
      <c r="A115">
        <v>172</v>
      </c>
      <c r="B115">
        <v>17326.7</v>
      </c>
    </row>
    <row r="116" spans="1:2">
      <c r="A116">
        <v>173</v>
      </c>
      <c r="B116">
        <v>11952.24</v>
      </c>
    </row>
    <row r="117" spans="1:2">
      <c r="A117">
        <v>176</v>
      </c>
      <c r="B117">
        <v>4998.51</v>
      </c>
    </row>
    <row r="118" spans="1:2">
      <c r="A118">
        <v>179</v>
      </c>
      <c r="B118">
        <v>2598.7600000000002</v>
      </c>
    </row>
    <row r="119" spans="1:2">
      <c r="A119">
        <v>180</v>
      </c>
      <c r="B119">
        <v>2458.9</v>
      </c>
    </row>
    <row r="120" spans="1:2">
      <c r="A120">
        <v>181</v>
      </c>
      <c r="B120">
        <v>19706</v>
      </c>
    </row>
    <row r="121" spans="1:2">
      <c r="A121">
        <v>185</v>
      </c>
      <c r="B121">
        <v>1196</v>
      </c>
    </row>
    <row r="122" spans="1:2">
      <c r="A122">
        <v>187</v>
      </c>
      <c r="B122">
        <v>3382.8</v>
      </c>
    </row>
    <row r="123" spans="1:2">
      <c r="A123">
        <v>188</v>
      </c>
      <c r="B123">
        <v>10019.209999999999</v>
      </c>
    </row>
    <row r="124" spans="1:2">
      <c r="A124">
        <v>190</v>
      </c>
      <c r="B124">
        <v>5626.99</v>
      </c>
    </row>
    <row r="125" spans="1:2">
      <c r="A125">
        <v>192</v>
      </c>
      <c r="B125">
        <v>5250</v>
      </c>
    </row>
    <row r="126" spans="1:2">
      <c r="A126">
        <v>193</v>
      </c>
      <c r="B126">
        <v>13249.93</v>
      </c>
    </row>
    <row r="127" spans="1:2">
      <c r="A127">
        <v>195</v>
      </c>
      <c r="B127">
        <v>10592.5</v>
      </c>
    </row>
    <row r="128" spans="1:2">
      <c r="A128">
        <v>196</v>
      </c>
      <c r="B128">
        <v>14882.34</v>
      </c>
    </row>
    <row r="129" spans="1:2">
      <c r="A129">
        <v>198</v>
      </c>
      <c r="B129">
        <v>52744.09</v>
      </c>
    </row>
    <row r="130" spans="1:2">
      <c r="A130">
        <v>199</v>
      </c>
      <c r="B130">
        <v>4395</v>
      </c>
    </row>
    <row r="131" spans="1:2">
      <c r="A131">
        <v>200</v>
      </c>
      <c r="B131">
        <v>3998.77</v>
      </c>
    </row>
    <row r="132" spans="1:2">
      <c r="A132">
        <v>201</v>
      </c>
      <c r="B132">
        <v>3998.77</v>
      </c>
    </row>
    <row r="133" spans="1:2">
      <c r="A133">
        <v>202</v>
      </c>
      <c r="B133">
        <v>10863.94</v>
      </c>
    </row>
    <row r="134" spans="1:2">
      <c r="A134">
        <v>203</v>
      </c>
      <c r="B134">
        <v>1612.44</v>
      </c>
    </row>
    <row r="135" spans="1:2">
      <c r="A135">
        <v>204</v>
      </c>
      <c r="B135">
        <v>6615</v>
      </c>
    </row>
    <row r="136" spans="1:2">
      <c r="A136">
        <v>205</v>
      </c>
      <c r="B136">
        <v>868193.33</v>
      </c>
    </row>
    <row r="137" spans="1:2">
      <c r="A137">
        <v>206</v>
      </c>
      <c r="B137">
        <v>8210</v>
      </c>
    </row>
    <row r="138" spans="1:2">
      <c r="A138">
        <v>207</v>
      </c>
      <c r="B138">
        <v>4370.66</v>
      </c>
    </row>
    <row r="139" spans="1:2">
      <c r="A139">
        <v>208</v>
      </c>
      <c r="B139">
        <v>4370.66</v>
      </c>
    </row>
    <row r="140" spans="1:2">
      <c r="A140">
        <v>213</v>
      </c>
      <c r="B140">
        <v>19903.2</v>
      </c>
    </row>
    <row r="141" spans="1:2">
      <c r="A141">
        <v>214</v>
      </c>
      <c r="B141">
        <v>2074.1999999999998</v>
      </c>
    </row>
    <row r="142" spans="1:2">
      <c r="A142">
        <v>215</v>
      </c>
      <c r="B142">
        <v>21956.04</v>
      </c>
    </row>
    <row r="143" spans="1:2">
      <c r="A143">
        <v>216</v>
      </c>
      <c r="B143">
        <v>58328.6</v>
      </c>
    </row>
    <row r="144" spans="1:2">
      <c r="A144">
        <v>217</v>
      </c>
      <c r="B144">
        <v>3574</v>
      </c>
    </row>
    <row r="145" spans="1:2">
      <c r="A145">
        <v>218</v>
      </c>
      <c r="B145">
        <v>7247.7</v>
      </c>
    </row>
    <row r="146" spans="1:2">
      <c r="A146">
        <v>219</v>
      </c>
      <c r="B146">
        <v>10185.200000000001</v>
      </c>
    </row>
    <row r="147" spans="1:2">
      <c r="A147">
        <v>220</v>
      </c>
      <c r="B147">
        <v>9173.7000000000007</v>
      </c>
    </row>
    <row r="148" spans="1:2">
      <c r="A148">
        <v>222</v>
      </c>
      <c r="B148">
        <v>84169.55</v>
      </c>
    </row>
    <row r="149" spans="1:2">
      <c r="A149">
        <v>223</v>
      </c>
      <c r="B149">
        <v>12539.51</v>
      </c>
    </row>
    <row r="150" spans="1:2">
      <c r="A150">
        <v>226</v>
      </c>
      <c r="B150">
        <v>1778.6</v>
      </c>
    </row>
    <row r="151" spans="1:2">
      <c r="A151">
        <v>227</v>
      </c>
      <c r="B151">
        <v>1822.35</v>
      </c>
    </row>
    <row r="152" spans="1:2">
      <c r="A152">
        <v>228</v>
      </c>
      <c r="B152">
        <v>6942</v>
      </c>
    </row>
    <row r="153" spans="1:2">
      <c r="A153">
        <v>229</v>
      </c>
      <c r="B153">
        <v>20446.189999999999</v>
      </c>
    </row>
    <row r="154" spans="1:2">
      <c r="A154">
        <v>232</v>
      </c>
      <c r="B154">
        <v>51558.95</v>
      </c>
    </row>
    <row r="155" spans="1:2">
      <c r="A155">
        <v>235</v>
      </c>
      <c r="B155">
        <v>2120.8000000000002</v>
      </c>
    </row>
    <row r="156" spans="1:2">
      <c r="A156">
        <v>236</v>
      </c>
      <c r="B156">
        <v>13318.8</v>
      </c>
    </row>
    <row r="157" spans="1:2">
      <c r="A157">
        <v>237</v>
      </c>
      <c r="B157">
        <v>4100</v>
      </c>
    </row>
    <row r="158" spans="1:2">
      <c r="A158">
        <v>238</v>
      </c>
      <c r="B158">
        <v>133383.05000000002</v>
      </c>
    </row>
    <row r="159" spans="1:2">
      <c r="A159">
        <v>239</v>
      </c>
      <c r="B159">
        <v>6339.36</v>
      </c>
    </row>
    <row r="160" spans="1:2">
      <c r="A160">
        <v>241</v>
      </c>
      <c r="B160">
        <v>43358.15</v>
      </c>
    </row>
    <row r="161" spans="1:2">
      <c r="A161">
        <v>243</v>
      </c>
      <c r="B161">
        <v>3693.34</v>
      </c>
    </row>
    <row r="162" spans="1:2">
      <c r="A162">
        <v>244</v>
      </c>
      <c r="B162">
        <v>2565.88</v>
      </c>
    </row>
    <row r="163" spans="1:2">
      <c r="A163">
        <v>245</v>
      </c>
      <c r="B163">
        <v>31938.760000000002</v>
      </c>
    </row>
    <row r="164" spans="1:2">
      <c r="A164">
        <v>246</v>
      </c>
      <c r="B164">
        <v>8683</v>
      </c>
    </row>
    <row r="165" spans="1:2">
      <c r="A165">
        <v>248</v>
      </c>
      <c r="B165">
        <v>2300</v>
      </c>
    </row>
    <row r="166" spans="1:2">
      <c r="A166">
        <v>249</v>
      </c>
      <c r="B166">
        <v>9332.16</v>
      </c>
    </row>
    <row r="167" spans="1:2">
      <c r="A167">
        <v>251</v>
      </c>
      <c r="B167">
        <v>9187.42</v>
      </c>
    </row>
    <row r="168" spans="1:2">
      <c r="A168">
        <v>252</v>
      </c>
      <c r="B168">
        <v>5259.579999999999</v>
      </c>
    </row>
    <row r="169" spans="1:2">
      <c r="A169">
        <v>253</v>
      </c>
      <c r="B169">
        <v>733.5</v>
      </c>
    </row>
    <row r="170" spans="1:2">
      <c r="A170">
        <v>258</v>
      </c>
      <c r="B170">
        <v>2530</v>
      </c>
    </row>
    <row r="171" spans="1:2">
      <c r="A171">
        <v>259</v>
      </c>
      <c r="B171">
        <v>1563.9</v>
      </c>
    </row>
    <row r="172" spans="1:2">
      <c r="A172">
        <v>260</v>
      </c>
      <c r="B172">
        <v>42478.42</v>
      </c>
    </row>
    <row r="173" spans="1:2">
      <c r="A173">
        <v>263</v>
      </c>
      <c r="B173">
        <v>465327.21</v>
      </c>
    </row>
    <row r="174" spans="1:2">
      <c r="A174">
        <v>264</v>
      </c>
      <c r="B174">
        <v>953.5</v>
      </c>
    </row>
    <row r="175" spans="1:2">
      <c r="A175">
        <v>265</v>
      </c>
      <c r="B175">
        <v>256.52999999999997</v>
      </c>
    </row>
    <row r="176" spans="1:2">
      <c r="A176">
        <v>266</v>
      </c>
      <c r="B176">
        <v>390</v>
      </c>
    </row>
    <row r="177" spans="1:2">
      <c r="A177">
        <v>267</v>
      </c>
      <c r="B177">
        <v>926.6</v>
      </c>
    </row>
    <row r="178" spans="1:2">
      <c r="A178">
        <v>268</v>
      </c>
      <c r="B178">
        <v>417</v>
      </c>
    </row>
    <row r="179" spans="1:2">
      <c r="A179">
        <v>269</v>
      </c>
      <c r="B179">
        <v>698</v>
      </c>
    </row>
    <row r="180" spans="1:2">
      <c r="A180">
        <v>270</v>
      </c>
      <c r="B180">
        <v>396.07</v>
      </c>
    </row>
    <row r="181" spans="1:2">
      <c r="A181">
        <v>271</v>
      </c>
      <c r="B181">
        <v>1019.5</v>
      </c>
    </row>
    <row r="182" spans="1:2">
      <c r="A182">
        <v>273</v>
      </c>
      <c r="B182">
        <v>3613.5</v>
      </c>
    </row>
    <row r="183" spans="1:2">
      <c r="A183">
        <v>274</v>
      </c>
      <c r="B183">
        <v>555.49</v>
      </c>
    </row>
    <row r="184" spans="1:2">
      <c r="A184">
        <v>275</v>
      </c>
      <c r="B184">
        <v>9724.7999999999993</v>
      </c>
    </row>
    <row r="185" spans="1:2">
      <c r="A185">
        <v>276</v>
      </c>
      <c r="B185">
        <v>187114.16</v>
      </c>
    </row>
    <row r="186" spans="1:2">
      <c r="A186">
        <v>278</v>
      </c>
      <c r="B186">
        <v>13702</v>
      </c>
    </row>
    <row r="187" spans="1:2">
      <c r="A187">
        <v>279</v>
      </c>
      <c r="B187">
        <v>36199.17</v>
      </c>
    </row>
    <row r="188" spans="1:2">
      <c r="A188">
        <v>281</v>
      </c>
      <c r="B188">
        <v>4403.08</v>
      </c>
    </row>
    <row r="189" spans="1:2">
      <c r="A189">
        <v>282</v>
      </c>
      <c r="B189">
        <v>3206.5</v>
      </c>
    </row>
    <row r="190" spans="1:2">
      <c r="A190">
        <v>283</v>
      </c>
      <c r="B190">
        <v>3108</v>
      </c>
    </row>
    <row r="191" spans="1:2">
      <c r="A191">
        <v>284</v>
      </c>
      <c r="B191">
        <v>19328.54</v>
      </c>
    </row>
    <row r="192" spans="1:2">
      <c r="A192">
        <v>285</v>
      </c>
      <c r="B192">
        <v>4276.47</v>
      </c>
    </row>
    <row r="193" spans="1:2">
      <c r="A193">
        <v>286</v>
      </c>
      <c r="B193">
        <v>2297.91</v>
      </c>
    </row>
    <row r="194" spans="1:2">
      <c r="A194">
        <v>287</v>
      </c>
      <c r="B194">
        <v>3806.23</v>
      </c>
    </row>
    <row r="195" spans="1:2">
      <c r="A195">
        <v>288</v>
      </c>
      <c r="B195">
        <v>36285.840000000004</v>
      </c>
    </row>
    <row r="196" spans="1:2">
      <c r="A196">
        <v>292</v>
      </c>
      <c r="B196">
        <v>7500</v>
      </c>
    </row>
    <row r="197" spans="1:2">
      <c r="A197">
        <v>295</v>
      </c>
      <c r="B197">
        <v>180980.6</v>
      </c>
    </row>
    <row r="198" spans="1:2">
      <c r="A198">
        <v>296</v>
      </c>
      <c r="B198">
        <v>8544.02</v>
      </c>
    </row>
    <row r="199" spans="1:2">
      <c r="A199">
        <v>297</v>
      </c>
      <c r="B199">
        <v>3967.34</v>
      </c>
    </row>
    <row r="200" spans="1:2">
      <c r="A200">
        <v>298</v>
      </c>
      <c r="B200">
        <v>8244</v>
      </c>
    </row>
    <row r="201" spans="1:2">
      <c r="A201">
        <v>299</v>
      </c>
      <c r="B201">
        <v>8185</v>
      </c>
    </row>
    <row r="202" spans="1:2">
      <c r="A202">
        <v>300</v>
      </c>
      <c r="B202">
        <v>48161.65</v>
      </c>
    </row>
    <row r="203" spans="1:2">
      <c r="A203">
        <v>302</v>
      </c>
      <c r="B203">
        <v>10680.06</v>
      </c>
    </row>
    <row r="204" spans="1:2">
      <c r="A204">
        <v>305</v>
      </c>
      <c r="B204">
        <v>16692.39</v>
      </c>
    </row>
    <row r="205" spans="1:2">
      <c r="A205">
        <v>306</v>
      </c>
      <c r="B205">
        <v>1965.5</v>
      </c>
    </row>
    <row r="206" spans="1:2">
      <c r="A206">
        <v>307</v>
      </c>
      <c r="B206">
        <v>8076</v>
      </c>
    </row>
    <row r="207" spans="1:2">
      <c r="A207">
        <v>308</v>
      </c>
      <c r="B207">
        <v>1869.15</v>
      </c>
    </row>
    <row r="208" spans="1:2">
      <c r="A208">
        <v>309</v>
      </c>
      <c r="B208">
        <v>9101.25</v>
      </c>
    </row>
    <row r="209" spans="1:2">
      <c r="A209">
        <v>312</v>
      </c>
      <c r="B209">
        <v>1196</v>
      </c>
    </row>
    <row r="210" spans="1:2">
      <c r="A210">
        <v>313</v>
      </c>
      <c r="B210">
        <v>259.64999999999998</v>
      </c>
    </row>
    <row r="211" spans="1:2">
      <c r="A211">
        <v>314</v>
      </c>
      <c r="B211">
        <v>1029.26</v>
      </c>
    </row>
    <row r="212" spans="1:2">
      <c r="A212">
        <v>315</v>
      </c>
      <c r="B212">
        <v>769.8</v>
      </c>
    </row>
    <row r="213" spans="1:2">
      <c r="A213">
        <v>317</v>
      </c>
      <c r="B213">
        <v>695.8</v>
      </c>
    </row>
    <row r="214" spans="1:2">
      <c r="A214">
        <v>318</v>
      </c>
      <c r="B214">
        <v>379</v>
      </c>
    </row>
    <row r="215" spans="1:2">
      <c r="A215">
        <v>319</v>
      </c>
      <c r="B215">
        <v>866.4</v>
      </c>
    </row>
    <row r="216" spans="1:2">
      <c r="A216">
        <v>320</v>
      </c>
      <c r="B216">
        <v>1916</v>
      </c>
    </row>
    <row r="217" spans="1:2">
      <c r="A217">
        <v>321</v>
      </c>
      <c r="B217">
        <v>261.60000000000002</v>
      </c>
    </row>
    <row r="218" spans="1:2">
      <c r="A218">
        <v>322</v>
      </c>
      <c r="B218">
        <v>1401</v>
      </c>
    </row>
    <row r="219" spans="1:2">
      <c r="A219">
        <v>323</v>
      </c>
      <c r="B219">
        <v>59530</v>
      </c>
    </row>
    <row r="220" spans="1:2">
      <c r="A220">
        <v>324</v>
      </c>
      <c r="B220">
        <v>54735</v>
      </c>
    </row>
    <row r="221" spans="1:2">
      <c r="A221">
        <v>325</v>
      </c>
      <c r="B221">
        <v>127330</v>
      </c>
    </row>
    <row r="222" spans="1:2">
      <c r="A222">
        <v>326</v>
      </c>
      <c r="B222">
        <v>525</v>
      </c>
    </row>
    <row r="223" spans="1:2">
      <c r="A223">
        <v>327</v>
      </c>
      <c r="B223">
        <v>10449.41</v>
      </c>
    </row>
    <row r="224" spans="1:2">
      <c r="A224">
        <v>328</v>
      </c>
      <c r="B224">
        <v>8757.1</v>
      </c>
    </row>
    <row r="225" spans="1:2">
      <c r="A225">
        <v>329</v>
      </c>
      <c r="B225">
        <v>1934.14</v>
      </c>
    </row>
    <row r="226" spans="1:2">
      <c r="A226">
        <v>331</v>
      </c>
      <c r="B226">
        <v>704.8</v>
      </c>
    </row>
    <row r="227" spans="1:2">
      <c r="A227">
        <v>333</v>
      </c>
      <c r="B227">
        <v>1221</v>
      </c>
    </row>
    <row r="228" spans="1:2">
      <c r="A228">
        <v>334</v>
      </c>
      <c r="B228">
        <v>1630.2</v>
      </c>
    </row>
    <row r="229" spans="1:2">
      <c r="A229">
        <v>335</v>
      </c>
      <c r="B229">
        <v>98</v>
      </c>
    </row>
    <row r="230" spans="1:2">
      <c r="A230">
        <v>336</v>
      </c>
      <c r="B230">
        <v>428.8</v>
      </c>
    </row>
    <row r="231" spans="1:2">
      <c r="A231">
        <v>337</v>
      </c>
      <c r="B231">
        <v>1012.3</v>
      </c>
    </row>
    <row r="232" spans="1:2">
      <c r="A232">
        <v>340</v>
      </c>
      <c r="B232">
        <v>15418.05</v>
      </c>
    </row>
    <row r="233" spans="1:2">
      <c r="A233">
        <v>342</v>
      </c>
      <c r="B233">
        <v>16401.41</v>
      </c>
    </row>
    <row r="234" spans="1:2">
      <c r="A234">
        <v>343</v>
      </c>
      <c r="B234">
        <v>198.6</v>
      </c>
    </row>
    <row r="235" spans="1:2">
      <c r="A235">
        <v>345</v>
      </c>
      <c r="B235">
        <v>900</v>
      </c>
    </row>
    <row r="236" spans="1:2">
      <c r="A236">
        <v>346</v>
      </c>
      <c r="B236">
        <v>7100</v>
      </c>
    </row>
    <row r="237" spans="1:2">
      <c r="A237">
        <v>348</v>
      </c>
      <c r="B237">
        <v>3045</v>
      </c>
    </row>
    <row r="238" spans="1:2">
      <c r="A238">
        <v>350</v>
      </c>
      <c r="B238">
        <v>8009.27</v>
      </c>
    </row>
    <row r="239" spans="1:2">
      <c r="A239">
        <v>351</v>
      </c>
      <c r="B239">
        <v>2576.75</v>
      </c>
    </row>
    <row r="240" spans="1:2">
      <c r="A240">
        <v>352</v>
      </c>
      <c r="B240">
        <v>9074.86</v>
      </c>
    </row>
    <row r="241" spans="1:2">
      <c r="A241">
        <v>353</v>
      </c>
      <c r="B241">
        <v>7278.61</v>
      </c>
    </row>
    <row r="242" spans="1:2">
      <c r="A242">
        <v>354</v>
      </c>
      <c r="B242">
        <v>3084.96</v>
      </c>
    </row>
    <row r="243" spans="1:2">
      <c r="A243">
        <v>355</v>
      </c>
      <c r="B243">
        <v>67515</v>
      </c>
    </row>
    <row r="244" spans="1:2">
      <c r="A244">
        <v>356</v>
      </c>
      <c r="B244">
        <v>6906.08</v>
      </c>
    </row>
    <row r="245" spans="1:2">
      <c r="A245">
        <v>360</v>
      </c>
      <c r="B245">
        <v>759.8</v>
      </c>
    </row>
    <row r="246" spans="1:2">
      <c r="A246">
        <v>361</v>
      </c>
      <c r="B246">
        <v>6673.67</v>
      </c>
    </row>
    <row r="247" spans="1:2">
      <c r="A247">
        <v>362</v>
      </c>
      <c r="B247">
        <v>49.999999999999972</v>
      </c>
    </row>
    <row r="248" spans="1:2">
      <c r="A248">
        <v>363</v>
      </c>
      <c r="B248">
        <v>20818</v>
      </c>
    </row>
    <row r="249" spans="1:2">
      <c r="A249">
        <v>364</v>
      </c>
      <c r="B249">
        <v>37582.409999999996</v>
      </c>
    </row>
    <row r="250" spans="1:2">
      <c r="A250">
        <v>368</v>
      </c>
      <c r="B250">
        <v>1680</v>
      </c>
    </row>
    <row r="251" spans="1:2">
      <c r="A251">
        <v>369</v>
      </c>
      <c r="B251">
        <v>8223.9</v>
      </c>
    </row>
    <row r="252" spans="1:2">
      <c r="A252">
        <v>370</v>
      </c>
      <c r="B252">
        <v>4797.9699999999993</v>
      </c>
    </row>
    <row r="253" spans="1:2">
      <c r="A253">
        <v>371</v>
      </c>
      <c r="B253">
        <v>40578.530000000006</v>
      </c>
    </row>
    <row r="254" spans="1:2">
      <c r="A254">
        <v>372</v>
      </c>
      <c r="B254">
        <v>3133.96</v>
      </c>
    </row>
    <row r="255" spans="1:2">
      <c r="A255">
        <v>373</v>
      </c>
      <c r="B255">
        <v>5229.63</v>
      </c>
    </row>
    <row r="256" spans="1:2">
      <c r="A256">
        <v>374</v>
      </c>
      <c r="B256">
        <v>138570</v>
      </c>
    </row>
    <row r="257" spans="1:2">
      <c r="A257">
        <v>375</v>
      </c>
      <c r="B257">
        <v>25529</v>
      </c>
    </row>
    <row r="258" spans="1:2">
      <c r="A258">
        <v>376</v>
      </c>
      <c r="B258">
        <v>1750</v>
      </c>
    </row>
    <row r="259" spans="1:2">
      <c r="A259">
        <v>377</v>
      </c>
      <c r="B259">
        <v>28779.599999999999</v>
      </c>
    </row>
    <row r="260" spans="1:2">
      <c r="A260">
        <v>378</v>
      </c>
      <c r="B260">
        <v>6500</v>
      </c>
    </row>
    <row r="261" spans="1:2">
      <c r="A261">
        <v>379</v>
      </c>
      <c r="B261">
        <v>48164.24</v>
      </c>
    </row>
    <row r="262" spans="1:2">
      <c r="A262">
        <v>380</v>
      </c>
      <c r="B262">
        <v>7136.4</v>
      </c>
    </row>
    <row r="263" spans="1:2">
      <c r="A263">
        <v>382</v>
      </c>
      <c r="B263">
        <v>2623.84</v>
      </c>
    </row>
    <row r="264" spans="1:2">
      <c r="A264">
        <v>384</v>
      </c>
      <c r="B264">
        <v>4324.59</v>
      </c>
    </row>
    <row r="265" spans="1:2">
      <c r="A265">
        <v>385</v>
      </c>
      <c r="B265">
        <v>3000</v>
      </c>
    </row>
    <row r="266" spans="1:2">
      <c r="A266">
        <v>386</v>
      </c>
      <c r="B266">
        <v>740</v>
      </c>
    </row>
    <row r="267" spans="1:2">
      <c r="A267">
        <v>387</v>
      </c>
      <c r="B267">
        <v>25787.64</v>
      </c>
    </row>
    <row r="268" spans="1:2">
      <c r="A268">
        <v>388</v>
      </c>
      <c r="B268">
        <v>66816.069999999992</v>
      </c>
    </row>
    <row r="269" spans="1:2">
      <c r="A269">
        <v>389</v>
      </c>
      <c r="B269">
        <v>63855.670000000006</v>
      </c>
    </row>
    <row r="270" spans="1:2">
      <c r="A270">
        <v>390</v>
      </c>
      <c r="B270">
        <v>85279.76999999999</v>
      </c>
    </row>
    <row r="271" spans="1:2">
      <c r="A271">
        <v>391</v>
      </c>
      <c r="B271">
        <v>66805.549999999988</v>
      </c>
    </row>
    <row r="272" spans="1:2">
      <c r="A272">
        <v>392</v>
      </c>
      <c r="B272">
        <v>8304.68</v>
      </c>
    </row>
    <row r="273" spans="1:2">
      <c r="A273">
        <v>394</v>
      </c>
      <c r="B273">
        <v>32958.32</v>
      </c>
    </row>
    <row r="274" spans="1:2">
      <c r="A274">
        <v>395</v>
      </c>
      <c r="B274">
        <v>15971.66</v>
      </c>
    </row>
    <row r="275" spans="1:2">
      <c r="A275">
        <v>396</v>
      </c>
      <c r="B275">
        <v>8265.9700000000012</v>
      </c>
    </row>
    <row r="276" spans="1:2">
      <c r="A276">
        <v>398</v>
      </c>
      <c r="B276">
        <v>12669.04</v>
      </c>
    </row>
    <row r="277" spans="1:2">
      <c r="A277">
        <v>399</v>
      </c>
      <c r="B277">
        <v>5235</v>
      </c>
    </row>
    <row r="278" spans="1:2">
      <c r="A278">
        <v>400</v>
      </c>
      <c r="B278">
        <v>1740</v>
      </c>
    </row>
    <row r="279" spans="1:2">
      <c r="A279">
        <v>401</v>
      </c>
      <c r="B279">
        <v>4326</v>
      </c>
    </row>
    <row r="280" spans="1:2">
      <c r="A280">
        <v>402</v>
      </c>
      <c r="B280">
        <v>46687</v>
      </c>
    </row>
    <row r="281" spans="1:2">
      <c r="A281">
        <v>403</v>
      </c>
      <c r="B281">
        <v>7861.74</v>
      </c>
    </row>
    <row r="282" spans="1:2">
      <c r="A282">
        <v>406</v>
      </c>
      <c r="B282">
        <v>24015.699999999997</v>
      </c>
    </row>
    <row r="283" spans="1:2">
      <c r="A283">
        <v>407</v>
      </c>
      <c r="B283">
        <v>13255.02</v>
      </c>
    </row>
    <row r="284" spans="1:2">
      <c r="A284">
        <v>409</v>
      </c>
      <c r="B284">
        <v>6108.88</v>
      </c>
    </row>
    <row r="285" spans="1:2">
      <c r="A285">
        <v>412</v>
      </c>
      <c r="B285">
        <v>2286.5</v>
      </c>
    </row>
    <row r="286" spans="1:2">
      <c r="A286">
        <v>414</v>
      </c>
      <c r="B286">
        <v>9783.380000000001</v>
      </c>
    </row>
    <row r="287" spans="1:2">
      <c r="A287">
        <v>416</v>
      </c>
      <c r="B287">
        <v>330588.92000000004</v>
      </c>
    </row>
    <row r="288" spans="1:2">
      <c r="A288">
        <v>419</v>
      </c>
      <c r="B288">
        <v>5426</v>
      </c>
    </row>
    <row r="289" spans="1:2">
      <c r="A289">
        <v>420</v>
      </c>
      <c r="B289">
        <v>3600</v>
      </c>
    </row>
    <row r="290" spans="1:2">
      <c r="A290">
        <v>422</v>
      </c>
      <c r="B290">
        <v>1788.96</v>
      </c>
    </row>
    <row r="291" spans="1:2">
      <c r="A291">
        <v>424</v>
      </c>
      <c r="B291">
        <v>130395.5</v>
      </c>
    </row>
    <row r="292" spans="1:2">
      <c r="A292">
        <v>427</v>
      </c>
      <c r="B292">
        <v>14120.240000000002</v>
      </c>
    </row>
    <row r="293" spans="1:2">
      <c r="A293">
        <v>428</v>
      </c>
      <c r="B293">
        <v>2362.3199999999997</v>
      </c>
    </row>
    <row r="294" spans="1:2">
      <c r="A294">
        <v>429</v>
      </c>
      <c r="B294">
        <v>18950.68</v>
      </c>
    </row>
    <row r="295" spans="1:2">
      <c r="A295">
        <v>430</v>
      </c>
      <c r="B295">
        <v>39344.06</v>
      </c>
    </row>
    <row r="296" spans="1:2">
      <c r="A296">
        <v>431</v>
      </c>
      <c r="B296">
        <v>16962.259999999998</v>
      </c>
    </row>
    <row r="297" spans="1:2">
      <c r="A297">
        <v>432</v>
      </c>
      <c r="B297">
        <v>26749.24</v>
      </c>
    </row>
    <row r="298" spans="1:2">
      <c r="A298">
        <v>433</v>
      </c>
      <c r="B298">
        <v>10827</v>
      </c>
    </row>
    <row r="299" spans="1:2">
      <c r="A299">
        <v>434</v>
      </c>
      <c r="B299">
        <v>1445</v>
      </c>
    </row>
    <row r="300" spans="1:2">
      <c r="A300">
        <v>435</v>
      </c>
      <c r="B300">
        <v>50510.49</v>
      </c>
    </row>
    <row r="301" spans="1:2">
      <c r="A301">
        <v>436</v>
      </c>
      <c r="B301">
        <v>254934</v>
      </c>
    </row>
    <row r="302" spans="1:2">
      <c r="A302">
        <v>437</v>
      </c>
      <c r="B302">
        <v>137.51</v>
      </c>
    </row>
    <row r="303" spans="1:2">
      <c r="A303">
        <v>440</v>
      </c>
      <c r="B303">
        <v>255605.32</v>
      </c>
    </row>
    <row r="304" spans="1:2">
      <c r="A304">
        <v>443</v>
      </c>
      <c r="B304">
        <v>38982</v>
      </c>
    </row>
    <row r="305" spans="1:2">
      <c r="A305">
        <v>445</v>
      </c>
      <c r="B305">
        <v>49430.400000000001</v>
      </c>
    </row>
    <row r="306" spans="1:2">
      <c r="A306">
        <v>446</v>
      </c>
      <c r="B306">
        <v>20159.510000000002</v>
      </c>
    </row>
    <row r="307" spans="1:2">
      <c r="A307">
        <v>447</v>
      </c>
      <c r="B307">
        <v>11088.36</v>
      </c>
    </row>
    <row r="308" spans="1:2">
      <c r="A308">
        <v>448</v>
      </c>
      <c r="B308">
        <v>57508.7</v>
      </c>
    </row>
    <row r="309" spans="1:2">
      <c r="A309">
        <v>451</v>
      </c>
      <c r="B309">
        <v>1494.49</v>
      </c>
    </row>
    <row r="310" spans="1:2">
      <c r="A310">
        <v>454</v>
      </c>
      <c r="B310">
        <v>36210</v>
      </c>
    </row>
    <row r="311" spans="1:2">
      <c r="A311">
        <v>455</v>
      </c>
      <c r="B311">
        <v>1665</v>
      </c>
    </row>
    <row r="312" spans="1:2">
      <c r="A312">
        <v>456</v>
      </c>
      <c r="B312">
        <v>1205</v>
      </c>
    </row>
    <row r="313" spans="1:2">
      <c r="A313">
        <v>457</v>
      </c>
      <c r="B313">
        <v>780</v>
      </c>
    </row>
    <row r="314" spans="1:2">
      <c r="A314">
        <v>458</v>
      </c>
      <c r="B314">
        <v>1465</v>
      </c>
    </row>
    <row r="315" spans="1:2">
      <c r="A315">
        <v>459</v>
      </c>
      <c r="B315">
        <v>305</v>
      </c>
    </row>
    <row r="316" spans="1:2">
      <c r="A316">
        <v>460</v>
      </c>
      <c r="B316">
        <v>2832</v>
      </c>
    </row>
    <row r="317" spans="1:2">
      <c r="A317">
        <v>461</v>
      </c>
      <c r="B317">
        <v>10222</v>
      </c>
    </row>
    <row r="318" spans="1:2">
      <c r="A318">
        <v>462</v>
      </c>
      <c r="B318">
        <v>28192.89</v>
      </c>
    </row>
    <row r="319" spans="1:2">
      <c r="A319">
        <v>463</v>
      </c>
      <c r="B319">
        <v>34866</v>
      </c>
    </row>
    <row r="320" spans="1:2">
      <c r="A320">
        <v>464</v>
      </c>
      <c r="B320">
        <v>2267.5</v>
      </c>
    </row>
    <row r="321" spans="1:2">
      <c r="A321">
        <v>465</v>
      </c>
      <c r="B321">
        <v>9065</v>
      </c>
    </row>
    <row r="322" spans="1:2">
      <c r="A322">
        <v>467</v>
      </c>
      <c r="B322">
        <v>80360.45</v>
      </c>
    </row>
    <row r="323" spans="1:2">
      <c r="A323">
        <v>468</v>
      </c>
      <c r="B323">
        <v>31263.040000000001</v>
      </c>
    </row>
    <row r="324" spans="1:2">
      <c r="A324">
        <v>469</v>
      </c>
      <c r="B324">
        <v>670.22</v>
      </c>
    </row>
    <row r="325" spans="1:2">
      <c r="A325">
        <v>470</v>
      </c>
      <c r="B325">
        <v>5680.52</v>
      </c>
    </row>
    <row r="326" spans="1:2">
      <c r="A326">
        <v>471</v>
      </c>
      <c r="B326">
        <v>62621</v>
      </c>
    </row>
    <row r="327" spans="1:2">
      <c r="A327">
        <v>472</v>
      </c>
      <c r="B327">
        <v>5320.7199999999993</v>
      </c>
    </row>
    <row r="328" spans="1:2">
      <c r="A328">
        <v>473</v>
      </c>
      <c r="B328">
        <v>570</v>
      </c>
    </row>
    <row r="329" spans="1:2">
      <c r="A329">
        <v>474</v>
      </c>
      <c r="B329">
        <v>5334.66</v>
      </c>
    </row>
    <row r="330" spans="1:2">
      <c r="A330">
        <v>478</v>
      </c>
      <c r="B330">
        <v>8311</v>
      </c>
    </row>
    <row r="331" spans="1:2">
      <c r="A331">
        <v>479</v>
      </c>
      <c r="B331">
        <v>3878</v>
      </c>
    </row>
    <row r="332" spans="1:2">
      <c r="A332">
        <v>480</v>
      </c>
      <c r="B332">
        <v>4998</v>
      </c>
    </row>
    <row r="333" spans="1:2">
      <c r="A333">
        <v>481</v>
      </c>
      <c r="B333">
        <v>5052.76</v>
      </c>
    </row>
    <row r="334" spans="1:2">
      <c r="A334">
        <v>482</v>
      </c>
      <c r="B334">
        <v>13118.4</v>
      </c>
    </row>
    <row r="335" spans="1:2">
      <c r="A335">
        <v>483</v>
      </c>
      <c r="B335">
        <v>11170</v>
      </c>
    </row>
    <row r="336" spans="1:2">
      <c r="A336">
        <v>484</v>
      </c>
      <c r="B336">
        <v>6901.05</v>
      </c>
    </row>
    <row r="337" spans="1:2">
      <c r="A337">
        <v>486</v>
      </c>
      <c r="B337">
        <v>25524</v>
      </c>
    </row>
    <row r="338" spans="1:2">
      <c r="A338">
        <v>487</v>
      </c>
      <c r="B338">
        <v>9453.11</v>
      </c>
    </row>
    <row r="339" spans="1:2">
      <c r="A339">
        <v>489</v>
      </c>
      <c r="B339">
        <v>61391.86</v>
      </c>
    </row>
    <row r="340" spans="1:2">
      <c r="A340">
        <v>490</v>
      </c>
      <c r="B340">
        <v>2648</v>
      </c>
    </row>
    <row r="341" spans="1:2">
      <c r="A341">
        <v>491</v>
      </c>
      <c r="B341">
        <v>5691</v>
      </c>
    </row>
    <row r="342" spans="1:2">
      <c r="A342">
        <v>492</v>
      </c>
      <c r="B342">
        <v>84307</v>
      </c>
    </row>
    <row r="343" spans="1:2">
      <c r="A343">
        <v>493</v>
      </c>
      <c r="B343">
        <v>610.15</v>
      </c>
    </row>
    <row r="344" spans="1:2">
      <c r="A344">
        <v>495</v>
      </c>
      <c r="B344">
        <v>22823.53</v>
      </c>
    </row>
    <row r="345" spans="1:2">
      <c r="A345">
        <v>496</v>
      </c>
      <c r="B345">
        <v>6947.73</v>
      </c>
    </row>
    <row r="346" spans="1:2">
      <c r="A346">
        <v>497</v>
      </c>
      <c r="B346">
        <v>4438</v>
      </c>
    </row>
    <row r="347" spans="1:2">
      <c r="A347">
        <v>498</v>
      </c>
      <c r="B347">
        <v>25884.35</v>
      </c>
    </row>
    <row r="348" spans="1:2">
      <c r="A348">
        <v>499</v>
      </c>
      <c r="B348">
        <v>19682.599999999999</v>
      </c>
    </row>
    <row r="349" spans="1:2">
      <c r="A349">
        <v>500</v>
      </c>
      <c r="B349">
        <v>11054.869999999999</v>
      </c>
    </row>
    <row r="350" spans="1:2">
      <c r="A350">
        <v>501</v>
      </c>
      <c r="B350">
        <v>11490</v>
      </c>
    </row>
    <row r="351" spans="1:2">
      <c r="A351">
        <v>503</v>
      </c>
      <c r="B351">
        <v>73956</v>
      </c>
    </row>
    <row r="352" spans="1:2">
      <c r="A352">
        <v>505</v>
      </c>
      <c r="B352">
        <v>8631.9599999999991</v>
      </c>
    </row>
    <row r="353" spans="1:2">
      <c r="A353">
        <v>506</v>
      </c>
      <c r="B353">
        <v>22047.32</v>
      </c>
    </row>
    <row r="354" spans="1:2">
      <c r="A354">
        <v>507</v>
      </c>
      <c r="B354">
        <v>10798.04</v>
      </c>
    </row>
    <row r="355" spans="1:2">
      <c r="A355">
        <v>508</v>
      </c>
      <c r="B355">
        <v>7119</v>
      </c>
    </row>
    <row r="356" spans="1:2">
      <c r="A356">
        <v>509</v>
      </c>
      <c r="B356">
        <v>5810.3600000000006</v>
      </c>
    </row>
    <row r="357" spans="1:2">
      <c r="A357">
        <v>510</v>
      </c>
      <c r="B357">
        <v>19967.13</v>
      </c>
    </row>
    <row r="358" spans="1:2">
      <c r="A358">
        <v>511</v>
      </c>
      <c r="B358">
        <v>25252.01</v>
      </c>
    </row>
    <row r="359" spans="1:2">
      <c r="A359">
        <v>513</v>
      </c>
      <c r="B359">
        <v>64675.09</v>
      </c>
    </row>
    <row r="360" spans="1:2">
      <c r="A360">
        <v>514</v>
      </c>
      <c r="B360">
        <v>60840</v>
      </c>
    </row>
    <row r="361" spans="1:2">
      <c r="A361">
        <v>515</v>
      </c>
      <c r="B361">
        <v>11020.8</v>
      </c>
    </row>
    <row r="362" spans="1:2">
      <c r="A362">
        <v>516</v>
      </c>
      <c r="B362">
        <v>7872</v>
      </c>
    </row>
    <row r="363" spans="1:2">
      <c r="A363">
        <v>518</v>
      </c>
      <c r="B363">
        <v>1497.6</v>
      </c>
    </row>
    <row r="364" spans="1:2">
      <c r="A364">
        <v>519</v>
      </c>
      <c r="B364">
        <v>1648.65</v>
      </c>
    </row>
    <row r="365" spans="1:2">
      <c r="A365">
        <v>521</v>
      </c>
      <c r="B365">
        <v>194772</v>
      </c>
    </row>
    <row r="366" spans="1:2">
      <c r="A366">
        <v>522</v>
      </c>
      <c r="B366">
        <v>23340</v>
      </c>
    </row>
    <row r="367" spans="1:2">
      <c r="A367">
        <v>523</v>
      </c>
      <c r="B367">
        <v>2100</v>
      </c>
    </row>
    <row r="368" spans="1:2">
      <c r="A368">
        <v>524</v>
      </c>
      <c r="B368">
        <v>270863.65000000002</v>
      </c>
    </row>
    <row r="369" spans="1:2">
      <c r="A369">
        <v>525</v>
      </c>
      <c r="B369">
        <v>22708.55</v>
      </c>
    </row>
    <row r="370" spans="1:2">
      <c r="A370">
        <v>526</v>
      </c>
      <c r="B370">
        <v>1318.98</v>
      </c>
    </row>
    <row r="371" spans="1:2">
      <c r="A371">
        <v>527</v>
      </c>
      <c r="B371">
        <v>5066.8500000000004</v>
      </c>
    </row>
    <row r="372" spans="1:2">
      <c r="A372">
        <v>528</v>
      </c>
      <c r="B372">
        <v>6395</v>
      </c>
    </row>
    <row r="373" spans="1:2">
      <c r="A373">
        <v>529</v>
      </c>
      <c r="B373">
        <v>2802</v>
      </c>
    </row>
    <row r="374" spans="1:2">
      <c r="A374">
        <v>530</v>
      </c>
      <c r="B374">
        <v>7285.88</v>
      </c>
    </row>
    <row r="375" spans="1:2">
      <c r="A375">
        <v>531</v>
      </c>
      <c r="B375">
        <v>33581.880000000005</v>
      </c>
    </row>
    <row r="376" spans="1:2">
      <c r="A376">
        <v>533</v>
      </c>
      <c r="B376">
        <v>2722.8500000000004</v>
      </c>
    </row>
    <row r="377" spans="1:2">
      <c r="A377">
        <v>535</v>
      </c>
      <c r="B377">
        <v>2861.4</v>
      </c>
    </row>
    <row r="378" spans="1:2">
      <c r="A378">
        <v>536</v>
      </c>
      <c r="B378">
        <v>81706.590000000011</v>
      </c>
    </row>
    <row r="379" spans="1:2">
      <c r="A379">
        <v>537</v>
      </c>
      <c r="B379">
        <v>6262.4299999999994</v>
      </c>
    </row>
    <row r="380" spans="1:2">
      <c r="A380">
        <v>539</v>
      </c>
      <c r="B380">
        <v>7198.65</v>
      </c>
    </row>
    <row r="381" spans="1:2">
      <c r="A381">
        <v>540</v>
      </c>
      <c r="B381">
        <v>42018.67</v>
      </c>
    </row>
    <row r="382" spans="1:2">
      <c r="A382">
        <v>541</v>
      </c>
      <c r="B382">
        <v>14819.43</v>
      </c>
    </row>
    <row r="383" spans="1:2">
      <c r="A383">
        <v>542</v>
      </c>
      <c r="B383">
        <v>3185.04</v>
      </c>
    </row>
    <row r="384" spans="1:2">
      <c r="A384">
        <v>545</v>
      </c>
      <c r="B384">
        <v>4522.3100000000004</v>
      </c>
    </row>
    <row r="385" spans="1:2">
      <c r="A385">
        <v>546</v>
      </c>
      <c r="B385">
        <v>75606</v>
      </c>
    </row>
    <row r="386" spans="1:2">
      <c r="A386">
        <v>547</v>
      </c>
      <c r="B386">
        <v>4307.1499999999996</v>
      </c>
    </row>
    <row r="387" spans="1:2">
      <c r="A387">
        <v>548</v>
      </c>
      <c r="B387">
        <v>62135</v>
      </c>
    </row>
    <row r="388" spans="1:2">
      <c r="A388">
        <v>549</v>
      </c>
      <c r="B388">
        <v>32910</v>
      </c>
    </row>
    <row r="389" spans="1:2">
      <c r="A389">
        <v>550</v>
      </c>
      <c r="B389">
        <v>43995.07</v>
      </c>
    </row>
    <row r="390" spans="1:2">
      <c r="A390">
        <v>551</v>
      </c>
      <c r="B390">
        <v>50478</v>
      </c>
    </row>
    <row r="391" spans="1:2">
      <c r="A391">
        <v>552</v>
      </c>
      <c r="B391">
        <v>20696.18</v>
      </c>
    </row>
    <row r="392" spans="1:2">
      <c r="A392">
        <v>553</v>
      </c>
      <c r="B392">
        <v>18980</v>
      </c>
    </row>
    <row r="393" spans="1:2">
      <c r="A393">
        <v>554</v>
      </c>
      <c r="B393">
        <v>1613.45</v>
      </c>
    </row>
    <row r="394" spans="1:2">
      <c r="A394">
        <v>555</v>
      </c>
      <c r="B394">
        <v>5682</v>
      </c>
    </row>
    <row r="395" spans="1:2">
      <c r="A395">
        <v>557</v>
      </c>
      <c r="B395">
        <v>8329.1899999999987</v>
      </c>
    </row>
    <row r="396" spans="1:2">
      <c r="A396">
        <v>558</v>
      </c>
      <c r="B396">
        <v>16034.17</v>
      </c>
    </row>
    <row r="397" spans="1:2">
      <c r="A397">
        <v>559</v>
      </c>
      <c r="B397">
        <v>1655.06</v>
      </c>
    </row>
    <row r="398" spans="1:2">
      <c r="A398">
        <v>560</v>
      </c>
      <c r="B398">
        <v>1725</v>
      </c>
    </row>
    <row r="399" spans="1:2">
      <c r="A399">
        <v>561</v>
      </c>
      <c r="B399">
        <v>143996.9</v>
      </c>
    </row>
    <row r="400" spans="1:2">
      <c r="A400">
        <v>562</v>
      </c>
      <c r="B400">
        <v>2837.24</v>
      </c>
    </row>
    <row r="401" spans="1:2">
      <c r="A401">
        <v>563</v>
      </c>
      <c r="B401">
        <v>8838.5600000000013</v>
      </c>
    </row>
    <row r="402" spans="1:2">
      <c r="A402">
        <v>564</v>
      </c>
      <c r="B402">
        <v>1033.73</v>
      </c>
    </row>
    <row r="403" spans="1:2">
      <c r="A403">
        <v>566</v>
      </c>
      <c r="B403">
        <v>19283.900000000001</v>
      </c>
    </row>
    <row r="404" spans="1:2">
      <c r="A404">
        <v>567</v>
      </c>
      <c r="B404">
        <v>713.63</v>
      </c>
    </row>
    <row r="405" spans="1:2">
      <c r="A405">
        <v>568</v>
      </c>
      <c r="B405">
        <v>2700</v>
      </c>
    </row>
    <row r="406" spans="1:2">
      <c r="A406">
        <v>570</v>
      </c>
      <c r="B406">
        <v>2504</v>
      </c>
    </row>
    <row r="407" spans="1:2">
      <c r="A407">
        <v>571</v>
      </c>
      <c r="B407">
        <v>11942</v>
      </c>
    </row>
    <row r="408" spans="1:2">
      <c r="A408">
        <v>572</v>
      </c>
      <c r="B408">
        <v>10105.09</v>
      </c>
    </row>
    <row r="409" spans="1:2">
      <c r="A409">
        <v>573</v>
      </c>
      <c r="B409">
        <v>6668</v>
      </c>
    </row>
    <row r="410" spans="1:2">
      <c r="A410">
        <v>575</v>
      </c>
      <c r="B410">
        <v>21032.86</v>
      </c>
    </row>
    <row r="411" spans="1:2">
      <c r="A411">
        <v>576</v>
      </c>
      <c r="B411">
        <v>10684</v>
      </c>
    </row>
    <row r="412" spans="1:2">
      <c r="A412">
        <v>577</v>
      </c>
      <c r="B412">
        <v>22378.149999999998</v>
      </c>
    </row>
    <row r="413" spans="1:2">
      <c r="A413">
        <v>578</v>
      </c>
      <c r="B413">
        <v>4562.22</v>
      </c>
    </row>
    <row r="414" spans="1:2">
      <c r="A414">
        <v>579</v>
      </c>
      <c r="B414">
        <v>3204.5299999999997</v>
      </c>
    </row>
    <row r="415" spans="1:2">
      <c r="A415">
        <v>580</v>
      </c>
      <c r="B415">
        <v>764.1</v>
      </c>
    </row>
    <row r="416" spans="1:2">
      <c r="A416">
        <v>581</v>
      </c>
      <c r="B416">
        <v>1917.44</v>
      </c>
    </row>
    <row r="417" spans="1:2">
      <c r="A417">
        <v>583</v>
      </c>
      <c r="B417">
        <v>13550</v>
      </c>
    </row>
    <row r="418" spans="1:2">
      <c r="A418">
        <v>585</v>
      </c>
      <c r="B418">
        <v>130598</v>
      </c>
    </row>
    <row r="419" spans="1:2">
      <c r="A419">
        <v>587</v>
      </c>
      <c r="B419">
        <v>1971.8</v>
      </c>
    </row>
    <row r="420" spans="1:2">
      <c r="A420">
        <v>588</v>
      </c>
      <c r="B420">
        <v>1299</v>
      </c>
    </row>
    <row r="421" spans="1:2">
      <c r="A421">
        <v>589</v>
      </c>
      <c r="B421">
        <v>1500</v>
      </c>
    </row>
    <row r="422" spans="1:2">
      <c r="A422">
        <v>590</v>
      </c>
      <c r="B422">
        <v>3097.62</v>
      </c>
    </row>
    <row r="423" spans="1:2">
      <c r="A423">
        <v>591</v>
      </c>
      <c r="B423">
        <v>4711.78</v>
      </c>
    </row>
    <row r="424" spans="1:2">
      <c r="A424">
        <v>592</v>
      </c>
      <c r="B424">
        <v>2528.67</v>
      </c>
    </row>
    <row r="425" spans="1:2">
      <c r="A425">
        <v>593</v>
      </c>
      <c r="B425">
        <v>1877</v>
      </c>
    </row>
    <row r="426" spans="1:2">
      <c r="A426">
        <v>594</v>
      </c>
      <c r="B426">
        <v>6960</v>
      </c>
    </row>
    <row r="427" spans="1:2">
      <c r="A427">
        <v>597</v>
      </c>
      <c r="B427">
        <v>33737.5</v>
      </c>
    </row>
    <row r="428" spans="1:2">
      <c r="A428">
        <v>598</v>
      </c>
      <c r="B428">
        <v>2856</v>
      </c>
    </row>
    <row r="429" spans="1:2">
      <c r="A429">
        <v>600</v>
      </c>
      <c r="B429">
        <v>1761.1599999999999</v>
      </c>
    </row>
    <row r="430" spans="1:2">
      <c r="A430">
        <v>601</v>
      </c>
      <c r="B430">
        <v>6150</v>
      </c>
    </row>
    <row r="431" spans="1:2">
      <c r="A431">
        <v>602</v>
      </c>
      <c r="B431">
        <v>4020</v>
      </c>
    </row>
    <row r="432" spans="1:2">
      <c r="A432">
        <v>603</v>
      </c>
      <c r="B432">
        <v>5322</v>
      </c>
    </row>
    <row r="433" spans="1:2">
      <c r="A433">
        <v>604</v>
      </c>
      <c r="B433">
        <v>2020.5</v>
      </c>
    </row>
    <row r="434" spans="1:2">
      <c r="A434">
        <v>605</v>
      </c>
      <c r="B434">
        <v>4226</v>
      </c>
    </row>
    <row r="435" spans="1:2">
      <c r="A435">
        <v>607</v>
      </c>
      <c r="B435">
        <v>9570</v>
      </c>
    </row>
    <row r="436" spans="1:2">
      <c r="A436">
        <v>608</v>
      </c>
      <c r="B436">
        <v>7395</v>
      </c>
    </row>
    <row r="437" spans="1:2">
      <c r="A437">
        <v>609</v>
      </c>
      <c r="B437">
        <v>34869.280000000006</v>
      </c>
    </row>
    <row r="438" spans="1:2">
      <c r="A438">
        <v>610</v>
      </c>
      <c r="B438">
        <v>8888</v>
      </c>
    </row>
    <row r="439" spans="1:2">
      <c r="A439">
        <v>613</v>
      </c>
      <c r="B439">
        <v>18638.25</v>
      </c>
    </row>
    <row r="440" spans="1:2">
      <c r="A440">
        <v>615</v>
      </c>
      <c r="B440">
        <v>7230</v>
      </c>
    </row>
    <row r="441" spans="1:2">
      <c r="A441">
        <v>616</v>
      </c>
      <c r="B441">
        <v>4752</v>
      </c>
    </row>
    <row r="442" spans="1:2">
      <c r="A442">
        <v>617</v>
      </c>
      <c r="B442">
        <v>5171.3899999999994</v>
      </c>
    </row>
    <row r="443" spans="1:2">
      <c r="A443">
        <v>618</v>
      </c>
      <c r="B443">
        <v>1920</v>
      </c>
    </row>
    <row r="444" spans="1:2">
      <c r="A444">
        <v>622</v>
      </c>
      <c r="B444">
        <v>3010</v>
      </c>
    </row>
    <row r="445" spans="1:2">
      <c r="A445">
        <v>624</v>
      </c>
      <c r="B445">
        <v>7360.8</v>
      </c>
    </row>
    <row r="446" spans="1:2">
      <c r="A446">
        <v>625</v>
      </c>
      <c r="B446">
        <v>379735</v>
      </c>
    </row>
    <row r="447" spans="1:2">
      <c r="A447">
        <v>626</v>
      </c>
      <c r="B447">
        <v>349075</v>
      </c>
    </row>
    <row r="448" spans="1:2">
      <c r="A448">
        <v>627</v>
      </c>
      <c r="B448">
        <v>1230.3</v>
      </c>
    </row>
    <row r="449" spans="1:2">
      <c r="A449">
        <v>628</v>
      </c>
      <c r="B449">
        <v>421.57000000000005</v>
      </c>
    </row>
    <row r="450" spans="1:2">
      <c r="A450">
        <v>629</v>
      </c>
      <c r="B450">
        <v>8936.83</v>
      </c>
    </row>
    <row r="451" spans="1:2">
      <c r="A451">
        <v>630</v>
      </c>
      <c r="B451">
        <v>1738.56</v>
      </c>
    </row>
    <row r="452" spans="1:2">
      <c r="A452">
        <v>633</v>
      </c>
      <c r="B452">
        <v>3630</v>
      </c>
    </row>
    <row r="453" spans="1:2">
      <c r="A453">
        <v>634</v>
      </c>
      <c r="B453">
        <v>3528</v>
      </c>
    </row>
    <row r="454" spans="1:2">
      <c r="A454">
        <v>635</v>
      </c>
      <c r="B454">
        <v>5000</v>
      </c>
    </row>
    <row r="455" spans="1:2">
      <c r="A455">
        <v>636</v>
      </c>
      <c r="B455">
        <v>1221</v>
      </c>
    </row>
    <row r="456" spans="1:2">
      <c r="A456">
        <v>637</v>
      </c>
      <c r="B456">
        <v>1158.04</v>
      </c>
    </row>
    <row r="457" spans="1:2">
      <c r="A457">
        <v>638</v>
      </c>
      <c r="B457">
        <v>9570</v>
      </c>
    </row>
    <row r="458" spans="1:2">
      <c r="A458">
        <v>640</v>
      </c>
      <c r="B458">
        <v>200</v>
      </c>
    </row>
    <row r="459" spans="1:2">
      <c r="A459">
        <v>642</v>
      </c>
      <c r="B459">
        <v>7395</v>
      </c>
    </row>
    <row r="460" spans="1:2">
      <c r="A460">
        <v>643</v>
      </c>
      <c r="B460">
        <v>1320000</v>
      </c>
    </row>
    <row r="461" spans="1:2">
      <c r="A461">
        <v>644</v>
      </c>
      <c r="B461">
        <v>3017.44</v>
      </c>
    </row>
    <row r="462" spans="1:2">
      <c r="A462">
        <v>645</v>
      </c>
      <c r="B462">
        <v>2566.4</v>
      </c>
    </row>
    <row r="463" spans="1:2">
      <c r="A463">
        <v>646</v>
      </c>
      <c r="B463">
        <v>1515.02</v>
      </c>
    </row>
    <row r="464" spans="1:2">
      <c r="A464">
        <v>647</v>
      </c>
      <c r="B464">
        <v>1200</v>
      </c>
    </row>
    <row r="465" spans="1:2">
      <c r="A465">
        <v>648</v>
      </c>
      <c r="B465">
        <v>3120143</v>
      </c>
    </row>
    <row r="466" spans="1:2">
      <c r="A466">
        <v>649</v>
      </c>
      <c r="B466">
        <v>13274.970000000001</v>
      </c>
    </row>
    <row r="467" spans="1:2">
      <c r="A467">
        <v>650</v>
      </c>
      <c r="B467">
        <v>1928.28</v>
      </c>
    </row>
    <row r="468" spans="1:2">
      <c r="A468">
        <v>651</v>
      </c>
      <c r="B468">
        <v>4760</v>
      </c>
    </row>
    <row r="469" spans="1:2">
      <c r="A469">
        <v>652</v>
      </c>
      <c r="B469">
        <v>1990</v>
      </c>
    </row>
    <row r="470" spans="1:2">
      <c r="A470">
        <v>653</v>
      </c>
      <c r="B470">
        <v>260</v>
      </c>
    </row>
    <row r="471" spans="1:2">
      <c r="A471">
        <v>654</v>
      </c>
      <c r="B471">
        <v>1980</v>
      </c>
    </row>
    <row r="472" spans="1:2">
      <c r="A472">
        <v>655</v>
      </c>
      <c r="B472">
        <v>5384.78</v>
      </c>
    </row>
    <row r="473" spans="1:2">
      <c r="A473">
        <v>656</v>
      </c>
      <c r="B473">
        <v>691.98</v>
      </c>
    </row>
    <row r="474" spans="1:2">
      <c r="A474">
        <v>657</v>
      </c>
      <c r="B474">
        <v>2724.75</v>
      </c>
    </row>
    <row r="475" spans="1:2">
      <c r="A475">
        <v>658</v>
      </c>
      <c r="B475">
        <v>2342.65</v>
      </c>
    </row>
    <row r="476" spans="1:2">
      <c r="A476">
        <v>660</v>
      </c>
      <c r="B476">
        <v>20000</v>
      </c>
    </row>
    <row r="477" spans="1:2">
      <c r="A477">
        <v>661</v>
      </c>
      <c r="B477">
        <v>10104</v>
      </c>
    </row>
    <row r="478" spans="1:2">
      <c r="A478">
        <v>662</v>
      </c>
      <c r="B478">
        <v>12606</v>
      </c>
    </row>
    <row r="479" spans="1:2">
      <c r="A479">
        <v>664</v>
      </c>
      <c r="B479">
        <v>940</v>
      </c>
    </row>
    <row r="480" spans="1:2">
      <c r="A480">
        <v>665</v>
      </c>
      <c r="B480">
        <v>5733.7000000000007</v>
      </c>
    </row>
    <row r="481" spans="1:2">
      <c r="A481">
        <v>667</v>
      </c>
      <c r="B481">
        <v>8228</v>
      </c>
    </row>
    <row r="482" spans="1:2">
      <c r="A482">
        <v>668</v>
      </c>
      <c r="B482">
        <v>4700</v>
      </c>
    </row>
    <row r="483" spans="1:2">
      <c r="A483">
        <v>669</v>
      </c>
      <c r="B483">
        <v>2004.02</v>
      </c>
    </row>
    <row r="484" spans="1:2">
      <c r="A484">
        <v>670</v>
      </c>
      <c r="B484">
        <v>4956.01</v>
      </c>
    </row>
    <row r="485" spans="1:2">
      <c r="A485">
        <v>671</v>
      </c>
      <c r="B485">
        <v>5985</v>
      </c>
    </row>
    <row r="486" spans="1:2">
      <c r="A486">
        <v>672</v>
      </c>
      <c r="B486">
        <v>20073.969999999998</v>
      </c>
    </row>
    <row r="487" spans="1:2">
      <c r="A487">
        <v>673</v>
      </c>
      <c r="B487">
        <v>1876.62</v>
      </c>
    </row>
    <row r="488" spans="1:2">
      <c r="A488">
        <v>674</v>
      </c>
      <c r="B488">
        <v>3108.73</v>
      </c>
    </row>
    <row r="489" spans="1:2">
      <c r="A489">
        <v>675</v>
      </c>
      <c r="B489">
        <v>1816.94</v>
      </c>
    </row>
    <row r="490" spans="1:2">
      <c r="A490">
        <v>676</v>
      </c>
      <c r="B490">
        <v>19036.89</v>
      </c>
    </row>
    <row r="491" spans="1:2">
      <c r="A491">
        <v>678</v>
      </c>
      <c r="B491">
        <v>2313.5</v>
      </c>
    </row>
    <row r="492" spans="1:2">
      <c r="A492">
        <v>679</v>
      </c>
      <c r="B492">
        <v>11383</v>
      </c>
    </row>
    <row r="493" spans="1:2">
      <c r="A493">
        <v>680</v>
      </c>
      <c r="B493">
        <v>10136.19</v>
      </c>
    </row>
    <row r="494" spans="1:2">
      <c r="A494">
        <v>683</v>
      </c>
      <c r="B494">
        <v>3081</v>
      </c>
    </row>
    <row r="495" spans="1:2">
      <c r="A495">
        <v>684</v>
      </c>
      <c r="B495">
        <v>194.6</v>
      </c>
    </row>
    <row r="496" spans="1:2">
      <c r="A496">
        <v>686</v>
      </c>
      <c r="B496">
        <v>2417.65</v>
      </c>
    </row>
    <row r="497" spans="1:2">
      <c r="A497">
        <v>687</v>
      </c>
      <c r="B497">
        <v>645.5</v>
      </c>
    </row>
    <row r="498" spans="1:2">
      <c r="A498">
        <v>691</v>
      </c>
      <c r="B498">
        <v>1034.08</v>
      </c>
    </row>
    <row r="499" spans="1:2">
      <c r="A499">
        <v>692</v>
      </c>
      <c r="B499">
        <v>3288.3</v>
      </c>
    </row>
    <row r="500" spans="1:2">
      <c r="A500">
        <v>693</v>
      </c>
      <c r="B500">
        <v>6460</v>
      </c>
    </row>
    <row r="501" spans="1:2">
      <c r="A501">
        <v>694</v>
      </c>
      <c r="B501">
        <v>6975</v>
      </c>
    </row>
    <row r="502" spans="1:2">
      <c r="A502">
        <v>695</v>
      </c>
      <c r="B502">
        <v>14214.94</v>
      </c>
    </row>
    <row r="503" spans="1:2">
      <c r="A503">
        <v>696</v>
      </c>
      <c r="B503">
        <v>23507.210000000003</v>
      </c>
    </row>
    <row r="504" spans="1:2">
      <c r="A504">
        <v>697</v>
      </c>
      <c r="B504">
        <v>1130.9000000000001</v>
      </c>
    </row>
    <row r="505" spans="1:2">
      <c r="A505">
        <v>699</v>
      </c>
      <c r="B505">
        <v>1825</v>
      </c>
    </row>
    <row r="506" spans="1:2">
      <c r="A506">
        <v>700</v>
      </c>
      <c r="B506">
        <v>260</v>
      </c>
    </row>
    <row r="507" spans="1:2">
      <c r="A507">
        <v>701</v>
      </c>
      <c r="B507">
        <v>3915</v>
      </c>
    </row>
    <row r="508" spans="1:2">
      <c r="A508">
        <v>702</v>
      </c>
      <c r="B508">
        <v>796.16</v>
      </c>
    </row>
    <row r="509" spans="1:2">
      <c r="A509">
        <v>704</v>
      </c>
      <c r="B509">
        <v>9825.9399999999987</v>
      </c>
    </row>
    <row r="510" spans="1:2">
      <c r="A510">
        <v>706</v>
      </c>
      <c r="B510">
        <v>10334.1</v>
      </c>
    </row>
    <row r="511" spans="1:2">
      <c r="A511">
        <v>707</v>
      </c>
      <c r="B511">
        <v>29787.300000000003</v>
      </c>
    </row>
    <row r="512" spans="1:2">
      <c r="A512">
        <v>709</v>
      </c>
      <c r="B512">
        <v>3780</v>
      </c>
    </row>
    <row r="513" spans="1:2">
      <c r="A513">
        <v>710</v>
      </c>
      <c r="B513">
        <v>6025</v>
      </c>
    </row>
    <row r="514" spans="1:2">
      <c r="A514">
        <v>711</v>
      </c>
      <c r="B514">
        <v>7725.82</v>
      </c>
    </row>
    <row r="515" spans="1:2">
      <c r="A515">
        <v>712</v>
      </c>
      <c r="B515">
        <v>12080</v>
      </c>
    </row>
    <row r="516" spans="1:2">
      <c r="A516">
        <v>714</v>
      </c>
      <c r="B516">
        <v>35813</v>
      </c>
    </row>
    <row r="517" spans="1:2">
      <c r="A517">
        <v>715</v>
      </c>
      <c r="B517">
        <v>30166.35</v>
      </c>
    </row>
    <row r="518" spans="1:2">
      <c r="A518">
        <v>716</v>
      </c>
      <c r="B518">
        <v>384.51</v>
      </c>
    </row>
    <row r="519" spans="1:2">
      <c r="A519">
        <v>722</v>
      </c>
      <c r="B519">
        <v>1349</v>
      </c>
    </row>
    <row r="520" spans="1:2">
      <c r="A520">
        <v>724</v>
      </c>
      <c r="B520">
        <v>1396</v>
      </c>
    </row>
    <row r="521" spans="1:2">
      <c r="A521">
        <v>725</v>
      </c>
      <c r="B521">
        <v>854.4</v>
      </c>
    </row>
    <row r="522" spans="1:2">
      <c r="A522">
        <v>727</v>
      </c>
      <c r="B522">
        <v>58869.08</v>
      </c>
    </row>
    <row r="523" spans="1:2">
      <c r="A523">
        <v>728</v>
      </c>
      <c r="B523">
        <v>6075</v>
      </c>
    </row>
    <row r="524" spans="1:2">
      <c r="A524">
        <v>729</v>
      </c>
      <c r="B524">
        <v>17512</v>
      </c>
    </row>
    <row r="525" spans="1:2">
      <c r="A525">
        <v>730</v>
      </c>
      <c r="B525">
        <v>9701.2199999999993</v>
      </c>
    </row>
    <row r="526" spans="1:2">
      <c r="A526">
        <v>731</v>
      </c>
      <c r="B526">
        <v>16650</v>
      </c>
    </row>
    <row r="527" spans="1:2">
      <c r="A527">
        <v>732</v>
      </c>
      <c r="B527">
        <v>2563.04</v>
      </c>
    </row>
    <row r="528" spans="1:2">
      <c r="A528">
        <v>733</v>
      </c>
      <c r="B528">
        <v>12516</v>
      </c>
    </row>
    <row r="529" spans="1:2">
      <c r="A529">
        <v>734</v>
      </c>
      <c r="B529">
        <v>9616.3100000000013</v>
      </c>
    </row>
    <row r="530" spans="1:2">
      <c r="A530">
        <v>735</v>
      </c>
      <c r="B530">
        <v>22193.800000000003</v>
      </c>
    </row>
    <row r="531" spans="1:2">
      <c r="A531">
        <v>737</v>
      </c>
      <c r="B531">
        <v>5070</v>
      </c>
    </row>
    <row r="532" spans="1:2">
      <c r="A532">
        <v>738</v>
      </c>
      <c r="B532">
        <v>2253.0500000000002</v>
      </c>
    </row>
    <row r="533" spans="1:2">
      <c r="A533">
        <v>739</v>
      </c>
      <c r="B533">
        <v>9199.69</v>
      </c>
    </row>
    <row r="534" spans="1:2">
      <c r="A534">
        <v>740</v>
      </c>
      <c r="B534">
        <v>20705.800000000003</v>
      </c>
    </row>
    <row r="535" spans="1:2">
      <c r="A535">
        <v>742</v>
      </c>
      <c r="B535">
        <v>14996.6</v>
      </c>
    </row>
    <row r="536" spans="1:2">
      <c r="A536">
        <v>743</v>
      </c>
      <c r="B536">
        <v>31490.39</v>
      </c>
    </row>
    <row r="537" spans="1:2">
      <c r="A537">
        <v>744</v>
      </c>
      <c r="B537">
        <v>22133.98</v>
      </c>
    </row>
    <row r="538" spans="1:2">
      <c r="A538">
        <v>745</v>
      </c>
      <c r="B538">
        <v>11714.05</v>
      </c>
    </row>
    <row r="539" spans="1:2">
      <c r="A539">
        <v>749</v>
      </c>
      <c r="B539">
        <v>13873.49</v>
      </c>
    </row>
    <row r="540" spans="1:2">
      <c r="A540">
        <v>750</v>
      </c>
      <c r="B540">
        <v>10448</v>
      </c>
    </row>
    <row r="541" spans="1:2">
      <c r="A541">
        <v>751</v>
      </c>
      <c r="B541">
        <v>27327</v>
      </c>
    </row>
    <row r="542" spans="1:2">
      <c r="A542">
        <v>752</v>
      </c>
      <c r="B542">
        <v>57810</v>
      </c>
    </row>
    <row r="543" spans="1:2">
      <c r="A543">
        <v>753</v>
      </c>
      <c r="B543">
        <v>6053.6</v>
      </c>
    </row>
    <row r="544" spans="1:2">
      <c r="A544">
        <v>754</v>
      </c>
      <c r="B544">
        <v>78276</v>
      </c>
    </row>
    <row r="545" spans="1:2">
      <c r="A545">
        <v>755</v>
      </c>
      <c r="B545">
        <v>4447.01</v>
      </c>
    </row>
    <row r="546" spans="1:2">
      <c r="A546">
        <v>757</v>
      </c>
      <c r="B546">
        <v>1067.6400000000001</v>
      </c>
    </row>
    <row r="547" spans="1:2">
      <c r="A547">
        <v>758</v>
      </c>
      <c r="B547">
        <v>1002.1</v>
      </c>
    </row>
    <row r="548" spans="1:2">
      <c r="A548">
        <v>761</v>
      </c>
      <c r="B548">
        <v>23457.45</v>
      </c>
    </row>
    <row r="549" spans="1:2">
      <c r="A549">
        <v>765</v>
      </c>
      <c r="B549">
        <v>418305.1</v>
      </c>
    </row>
    <row r="550" spans="1:2">
      <c r="A550">
        <v>766</v>
      </c>
      <c r="B550">
        <v>17247.439999999999</v>
      </c>
    </row>
    <row r="551" spans="1:2">
      <c r="A551">
        <v>767</v>
      </c>
      <c r="B551">
        <v>65660.42</v>
      </c>
    </row>
    <row r="552" spans="1:2">
      <c r="A552">
        <v>769</v>
      </c>
      <c r="B552">
        <v>1823</v>
      </c>
    </row>
    <row r="553" spans="1:2">
      <c r="A553">
        <v>770</v>
      </c>
      <c r="B553">
        <v>5943.6</v>
      </c>
    </row>
    <row r="554" spans="1:2">
      <c r="A554">
        <v>774</v>
      </c>
      <c r="B554">
        <v>959220</v>
      </c>
    </row>
    <row r="555" spans="1:2">
      <c r="A555">
        <v>775</v>
      </c>
      <c r="B555">
        <v>3689941</v>
      </c>
    </row>
    <row r="556" spans="1:2">
      <c r="A556">
        <v>776</v>
      </c>
      <c r="B556">
        <v>24401740</v>
      </c>
    </row>
    <row r="557" spans="1:2">
      <c r="A557">
        <v>778</v>
      </c>
      <c r="B557">
        <v>5390.56</v>
      </c>
    </row>
    <row r="558" spans="1:2">
      <c r="A558">
        <v>779</v>
      </c>
      <c r="B558">
        <v>88516.239999999991</v>
      </c>
    </row>
    <row r="559" spans="1:2">
      <c r="A559">
        <v>780</v>
      </c>
      <c r="B559">
        <v>7927.78</v>
      </c>
    </row>
    <row r="560" spans="1:2">
      <c r="A560">
        <v>781</v>
      </c>
      <c r="B560">
        <v>8424</v>
      </c>
    </row>
    <row r="561" spans="1:2">
      <c r="A561">
        <v>782</v>
      </c>
      <c r="B561">
        <v>35977.03</v>
      </c>
    </row>
    <row r="562" spans="1:2">
      <c r="A562">
        <v>783</v>
      </c>
      <c r="B562">
        <v>3925</v>
      </c>
    </row>
    <row r="563" spans="1:2">
      <c r="A563">
        <v>784</v>
      </c>
      <c r="B563">
        <v>1413.59</v>
      </c>
    </row>
    <row r="564" spans="1:2">
      <c r="A564">
        <v>787</v>
      </c>
      <c r="B564">
        <v>9224.880000000001</v>
      </c>
    </row>
    <row r="565" spans="1:2">
      <c r="A565">
        <v>789</v>
      </c>
      <c r="B565">
        <v>7019.78</v>
      </c>
    </row>
    <row r="566" spans="1:2">
      <c r="A566">
        <v>790</v>
      </c>
      <c r="B566">
        <v>4940.1000000000004</v>
      </c>
    </row>
    <row r="567" spans="1:2">
      <c r="A567">
        <v>791</v>
      </c>
      <c r="B567">
        <v>1982.72</v>
      </c>
    </row>
    <row r="568" spans="1:2">
      <c r="A568">
        <v>792</v>
      </c>
      <c r="B568">
        <v>930</v>
      </c>
    </row>
    <row r="569" spans="1:2">
      <c r="A569">
        <v>793</v>
      </c>
      <c r="B569">
        <v>4474</v>
      </c>
    </row>
    <row r="570" spans="1:2">
      <c r="A570">
        <v>795</v>
      </c>
      <c r="B570">
        <v>11980.26</v>
      </c>
    </row>
    <row r="571" spans="1:2">
      <c r="A571">
        <v>797</v>
      </c>
      <c r="B571">
        <v>2383.44</v>
      </c>
    </row>
    <row r="572" spans="1:2">
      <c r="A572">
        <v>798</v>
      </c>
      <c r="B572">
        <v>5300</v>
      </c>
    </row>
    <row r="573" spans="1:2">
      <c r="A573">
        <v>799</v>
      </c>
      <c r="B573">
        <v>2233369</v>
      </c>
    </row>
    <row r="574" spans="1:2">
      <c r="A574">
        <v>802</v>
      </c>
      <c r="B574">
        <v>858.4</v>
      </c>
    </row>
    <row r="575" spans="1:2">
      <c r="A575">
        <v>803</v>
      </c>
      <c r="B575">
        <v>10075</v>
      </c>
    </row>
    <row r="576" spans="1:2">
      <c r="A576">
        <v>805</v>
      </c>
      <c r="B576">
        <v>1238.3</v>
      </c>
    </row>
    <row r="577" spans="1:2">
      <c r="A577">
        <v>806</v>
      </c>
      <c r="B577">
        <v>14262</v>
      </c>
    </row>
    <row r="578" spans="1:2">
      <c r="A578">
        <v>811</v>
      </c>
      <c r="B578">
        <v>3004.5200000000004</v>
      </c>
    </row>
    <row r="579" spans="1:2">
      <c r="A579">
        <v>819</v>
      </c>
      <c r="B579">
        <v>2770.61</v>
      </c>
    </row>
    <row r="580" spans="1:2">
      <c r="A580">
        <v>820</v>
      </c>
      <c r="B580">
        <v>17919</v>
      </c>
    </row>
    <row r="581" spans="1:2">
      <c r="A581">
        <v>821</v>
      </c>
      <c r="B581">
        <v>442</v>
      </c>
    </row>
    <row r="582" spans="1:2">
      <c r="A582">
        <v>824</v>
      </c>
      <c r="B582">
        <v>107577</v>
      </c>
    </row>
    <row r="583" spans="1:2">
      <c r="A583">
        <v>828</v>
      </c>
      <c r="B583">
        <v>124392</v>
      </c>
    </row>
    <row r="584" spans="1:2">
      <c r="A584">
        <v>829</v>
      </c>
      <c r="B584">
        <v>6388.26</v>
      </c>
    </row>
    <row r="585" spans="1:2">
      <c r="A585">
        <v>830</v>
      </c>
      <c r="B585">
        <v>22902</v>
      </c>
    </row>
    <row r="586" spans="1:2">
      <c r="A586">
        <v>836</v>
      </c>
      <c r="B586">
        <v>27015.5</v>
      </c>
    </row>
    <row r="587" spans="1:2">
      <c r="A587">
        <v>837</v>
      </c>
      <c r="B587">
        <v>5821.37</v>
      </c>
    </row>
    <row r="588" spans="1:2">
      <c r="A588">
        <v>838</v>
      </c>
      <c r="B588">
        <v>2818.75</v>
      </c>
    </row>
    <row r="589" spans="1:2">
      <c r="A589">
        <v>839</v>
      </c>
      <c r="B589">
        <v>40532</v>
      </c>
    </row>
    <row r="590" spans="1:2">
      <c r="A590">
        <v>840</v>
      </c>
      <c r="B590">
        <v>6083.58</v>
      </c>
    </row>
    <row r="591" spans="1:2">
      <c r="A591">
        <v>841</v>
      </c>
      <c r="B591">
        <v>31983.9</v>
      </c>
    </row>
    <row r="592" spans="1:2">
      <c r="A592">
        <v>842</v>
      </c>
      <c r="B592">
        <v>1210.2</v>
      </c>
    </row>
    <row r="593" spans="1:2">
      <c r="A593">
        <v>843</v>
      </c>
      <c r="B593">
        <v>5195.99</v>
      </c>
    </row>
    <row r="594" spans="1:2">
      <c r="A594">
        <v>844</v>
      </c>
      <c r="B594">
        <v>12165.93</v>
      </c>
    </row>
    <row r="595" spans="1:2">
      <c r="A595">
        <v>845</v>
      </c>
      <c r="B595">
        <v>2954</v>
      </c>
    </row>
    <row r="596" spans="1:2">
      <c r="A596">
        <v>847</v>
      </c>
      <c r="B596">
        <v>1150.47</v>
      </c>
    </row>
    <row r="597" spans="1:2">
      <c r="A597">
        <v>848</v>
      </c>
      <c r="B597">
        <v>48447.960000000006</v>
      </c>
    </row>
    <row r="598" spans="1:2">
      <c r="A598">
        <v>849</v>
      </c>
      <c r="B598">
        <v>2206.02</v>
      </c>
    </row>
    <row r="599" spans="1:2">
      <c r="A599">
        <v>850</v>
      </c>
      <c r="B599">
        <v>39270.6</v>
      </c>
    </row>
    <row r="600" spans="1:2">
      <c r="A600">
        <v>856</v>
      </c>
      <c r="B600">
        <v>8775</v>
      </c>
    </row>
    <row r="601" spans="1:2">
      <c r="A601">
        <v>857</v>
      </c>
      <c r="B601">
        <v>9081</v>
      </c>
    </row>
    <row r="602" spans="1:2">
      <c r="A602">
        <v>858</v>
      </c>
      <c r="B602">
        <v>6523.9</v>
      </c>
    </row>
    <row r="603" spans="1:2">
      <c r="A603">
        <v>859</v>
      </c>
      <c r="B603">
        <v>36400</v>
      </c>
    </row>
    <row r="604" spans="1:2">
      <c r="A604">
        <v>860</v>
      </c>
      <c r="B604">
        <v>10493</v>
      </c>
    </row>
    <row r="605" spans="1:2">
      <c r="A605">
        <v>861</v>
      </c>
      <c r="B605">
        <v>275.92</v>
      </c>
    </row>
    <row r="606" spans="1:2">
      <c r="A606">
        <v>862</v>
      </c>
      <c r="B606">
        <v>263.72000000000003</v>
      </c>
    </row>
    <row r="607" spans="1:2">
      <c r="A607">
        <v>864</v>
      </c>
      <c r="B607">
        <v>287.76</v>
      </c>
    </row>
    <row r="608" spans="1:2">
      <c r="A608">
        <v>875</v>
      </c>
      <c r="B608">
        <v>3899.58</v>
      </c>
    </row>
    <row r="609" spans="1:2">
      <c r="A609">
        <v>876</v>
      </c>
      <c r="B609">
        <v>508.64</v>
      </c>
    </row>
    <row r="610" spans="1:2">
      <c r="A610">
        <v>877</v>
      </c>
      <c r="B610">
        <v>10000</v>
      </c>
    </row>
    <row r="611" spans="1:2">
      <c r="A611">
        <v>879</v>
      </c>
      <c r="B611">
        <v>5281.02</v>
      </c>
    </row>
    <row r="612" spans="1:2">
      <c r="A612">
        <v>880</v>
      </c>
      <c r="B612">
        <v>7141.22</v>
      </c>
    </row>
    <row r="613" spans="1:2">
      <c r="A613">
        <v>882</v>
      </c>
      <c r="B613">
        <v>427120</v>
      </c>
    </row>
    <row r="614" spans="1:2">
      <c r="A614">
        <v>884</v>
      </c>
      <c r="B614">
        <v>759.07</v>
      </c>
    </row>
    <row r="615" spans="1:2">
      <c r="A615">
        <v>891</v>
      </c>
      <c r="B615">
        <v>5550906</v>
      </c>
    </row>
    <row r="616" spans="1:2">
      <c r="A616">
        <v>892</v>
      </c>
      <c r="B616">
        <v>4772.49</v>
      </c>
    </row>
    <row r="617" spans="1:2">
      <c r="A617">
        <v>896</v>
      </c>
      <c r="B617">
        <v>12935.9</v>
      </c>
    </row>
    <row r="618" spans="1:2">
      <c r="A618">
        <v>899</v>
      </c>
      <c r="B618">
        <v>653.5</v>
      </c>
    </row>
    <row r="619" spans="1:2">
      <c r="A619">
        <v>901</v>
      </c>
      <c r="B619">
        <v>6429.5</v>
      </c>
    </row>
    <row r="620" spans="1:2">
      <c r="A620">
        <v>902</v>
      </c>
      <c r="B620">
        <v>16350.41</v>
      </c>
    </row>
    <row r="621" spans="1:2">
      <c r="A621">
        <v>904</v>
      </c>
      <c r="B621">
        <v>6818</v>
      </c>
    </row>
    <row r="622" spans="1:2">
      <c r="A622">
        <v>908</v>
      </c>
      <c r="B622">
        <v>7177.03</v>
      </c>
    </row>
    <row r="623" spans="1:2">
      <c r="A623">
        <v>909</v>
      </c>
      <c r="B623">
        <v>31592</v>
      </c>
    </row>
    <row r="624" spans="1:2">
      <c r="A624">
        <v>910</v>
      </c>
      <c r="B624">
        <v>767.06</v>
      </c>
    </row>
    <row r="625" spans="1:2">
      <c r="A625">
        <v>911</v>
      </c>
      <c r="B625">
        <v>13252</v>
      </c>
    </row>
    <row r="626" spans="1:2">
      <c r="A626">
        <v>912</v>
      </c>
      <c r="B626">
        <v>2058</v>
      </c>
    </row>
    <row r="627" spans="1:2">
      <c r="A627">
        <v>913</v>
      </c>
      <c r="B627">
        <v>299292.08</v>
      </c>
    </row>
    <row r="628" spans="1:2">
      <c r="A628">
        <v>914</v>
      </c>
      <c r="B628">
        <v>7520.6</v>
      </c>
    </row>
    <row r="629" spans="1:2">
      <c r="A629">
        <v>919</v>
      </c>
      <c r="B629">
        <v>16765</v>
      </c>
    </row>
    <row r="630" spans="1:2">
      <c r="A630">
        <v>920</v>
      </c>
      <c r="B630">
        <v>5067.5200000000004</v>
      </c>
    </row>
    <row r="631" spans="1:2">
      <c r="A631">
        <v>921</v>
      </c>
      <c r="B631">
        <v>2533.7600000000002</v>
      </c>
    </row>
    <row r="632" spans="1:2">
      <c r="A632">
        <v>922</v>
      </c>
      <c r="B632">
        <v>2403.5</v>
      </c>
    </row>
    <row r="633" spans="1:2">
      <c r="A633">
        <v>923</v>
      </c>
      <c r="B633">
        <v>1039.5</v>
      </c>
    </row>
    <row r="634" spans="1:2">
      <c r="A634">
        <v>925</v>
      </c>
      <c r="B634">
        <v>136</v>
      </c>
    </row>
    <row r="635" spans="1:2">
      <c r="A635">
        <v>930</v>
      </c>
      <c r="B635">
        <v>3485</v>
      </c>
    </row>
    <row r="636" spans="1:2">
      <c r="A636">
        <v>937</v>
      </c>
      <c r="B636">
        <v>14973.21</v>
      </c>
    </row>
    <row r="637" spans="1:2">
      <c r="A637">
        <v>938</v>
      </c>
      <c r="B637">
        <v>60106.45</v>
      </c>
    </row>
    <row r="638" spans="1:2">
      <c r="A638">
        <v>941</v>
      </c>
      <c r="B638">
        <v>20200</v>
      </c>
    </row>
    <row r="639" spans="1:2">
      <c r="A639">
        <v>942</v>
      </c>
      <c r="B639">
        <v>1155.8900000000001</v>
      </c>
    </row>
    <row r="640" spans="1:2">
      <c r="A640">
        <v>943</v>
      </c>
      <c r="B640">
        <v>1080</v>
      </c>
    </row>
    <row r="641" spans="1:2">
      <c r="A641">
        <v>944</v>
      </c>
      <c r="B641">
        <v>84200</v>
      </c>
    </row>
    <row r="642" spans="1:2">
      <c r="A642">
        <v>945</v>
      </c>
      <c r="B642">
        <v>2308</v>
      </c>
    </row>
    <row r="643" spans="1:2">
      <c r="A643">
        <v>946</v>
      </c>
      <c r="B643">
        <v>2464</v>
      </c>
    </row>
    <row r="644" spans="1:2">
      <c r="A644">
        <v>947</v>
      </c>
      <c r="B644">
        <v>142.08000000000001</v>
      </c>
    </row>
    <row r="645" spans="1:2">
      <c r="A645">
        <v>948</v>
      </c>
      <c r="B645">
        <v>3052</v>
      </c>
    </row>
    <row r="646" spans="1:2">
      <c r="A646">
        <v>949</v>
      </c>
      <c r="B646">
        <v>1685.86</v>
      </c>
    </row>
    <row r="647" spans="1:2">
      <c r="A647">
        <v>950</v>
      </c>
      <c r="B647">
        <v>582.66</v>
      </c>
    </row>
    <row r="648" spans="1:2">
      <c r="A648">
        <v>952</v>
      </c>
      <c r="B648">
        <v>10125.280000000001</v>
      </c>
    </row>
    <row r="649" spans="1:2">
      <c r="A649">
        <v>953</v>
      </c>
      <c r="B649">
        <v>10472.799999999999</v>
      </c>
    </row>
    <row r="650" spans="1:2">
      <c r="A650">
        <v>956</v>
      </c>
      <c r="B650">
        <v>63072</v>
      </c>
    </row>
    <row r="651" spans="1:2">
      <c r="A651">
        <v>957</v>
      </c>
      <c r="B651">
        <v>2884.36</v>
      </c>
    </row>
    <row r="652" spans="1:2">
      <c r="A652">
        <v>961</v>
      </c>
      <c r="B652">
        <v>13916.6</v>
      </c>
    </row>
    <row r="653" spans="1:2">
      <c r="A653">
        <v>962</v>
      </c>
      <c r="B653">
        <v>1707</v>
      </c>
    </row>
    <row r="654" spans="1:2">
      <c r="A654">
        <v>963</v>
      </c>
      <c r="B654">
        <v>2595</v>
      </c>
    </row>
    <row r="655" spans="1:2">
      <c r="A655">
        <v>964</v>
      </c>
      <c r="B655">
        <v>75618</v>
      </c>
    </row>
    <row r="656" spans="1:2">
      <c r="A656">
        <v>965</v>
      </c>
      <c r="B656">
        <v>2685</v>
      </c>
    </row>
    <row r="657" spans="1:2">
      <c r="A657">
        <v>966</v>
      </c>
      <c r="B657">
        <v>4363</v>
      </c>
    </row>
    <row r="658" spans="1:2">
      <c r="A658">
        <v>968</v>
      </c>
      <c r="B658">
        <v>33286.720000000001</v>
      </c>
    </row>
    <row r="659" spans="1:2">
      <c r="A659">
        <v>970</v>
      </c>
      <c r="B659">
        <v>2320</v>
      </c>
    </row>
    <row r="660" spans="1:2">
      <c r="A660">
        <v>971</v>
      </c>
      <c r="B660">
        <v>90124.479999999996</v>
      </c>
    </row>
    <row r="661" spans="1:2">
      <c r="A661">
        <v>972</v>
      </c>
      <c r="B661">
        <v>2040</v>
      </c>
    </row>
    <row r="662" spans="1:2">
      <c r="A662">
        <v>975</v>
      </c>
      <c r="B662">
        <v>11920.39</v>
      </c>
    </row>
    <row r="663" spans="1:2">
      <c r="A663">
        <v>979</v>
      </c>
      <c r="B663">
        <v>2523</v>
      </c>
    </row>
    <row r="664" spans="1:2">
      <c r="A664">
        <v>980</v>
      </c>
      <c r="B664">
        <v>6766</v>
      </c>
    </row>
    <row r="665" spans="1:2">
      <c r="A665">
        <v>982</v>
      </c>
      <c r="B665">
        <v>144</v>
      </c>
    </row>
    <row r="666" spans="1:2">
      <c r="A666">
        <v>984</v>
      </c>
      <c r="B666">
        <v>6620.68</v>
      </c>
    </row>
    <row r="667" spans="1:2">
      <c r="A667">
        <v>985</v>
      </c>
      <c r="B667">
        <v>1227.19</v>
      </c>
    </row>
    <row r="668" spans="1:2">
      <c r="A668">
        <v>986</v>
      </c>
      <c r="B668">
        <v>5224</v>
      </c>
    </row>
    <row r="669" spans="1:2">
      <c r="A669">
        <v>987</v>
      </c>
      <c r="B669">
        <v>5251</v>
      </c>
    </row>
    <row r="670" spans="1:2">
      <c r="A670">
        <v>988</v>
      </c>
      <c r="B670">
        <v>1201.26</v>
      </c>
    </row>
    <row r="671" spans="1:2">
      <c r="A671">
        <v>991</v>
      </c>
      <c r="B671">
        <v>13898.8</v>
      </c>
    </row>
    <row r="672" spans="1:2">
      <c r="A672">
        <v>993</v>
      </c>
      <c r="B672">
        <v>6573.9</v>
      </c>
    </row>
    <row r="673" spans="1:2">
      <c r="A673">
        <v>997</v>
      </c>
      <c r="B673">
        <v>8610</v>
      </c>
    </row>
    <row r="674" spans="1:2">
      <c r="A674">
        <v>998</v>
      </c>
      <c r="B674">
        <v>494.88</v>
      </c>
    </row>
    <row r="675" spans="1:2">
      <c r="A675">
        <v>1000</v>
      </c>
      <c r="B675">
        <v>7147.49</v>
      </c>
    </row>
    <row r="676" spans="1:2">
      <c r="A676">
        <v>1005</v>
      </c>
      <c r="B676">
        <v>20006.439999999999</v>
      </c>
    </row>
    <row r="677" spans="1:2">
      <c r="A677">
        <v>1006</v>
      </c>
      <c r="B677">
        <v>12022.15</v>
      </c>
    </row>
    <row r="678" spans="1:2">
      <c r="A678">
        <v>1007</v>
      </c>
      <c r="B678">
        <v>219</v>
      </c>
    </row>
    <row r="679" spans="1:2">
      <c r="A679">
        <v>1008</v>
      </c>
      <c r="B679">
        <v>219</v>
      </c>
    </row>
    <row r="680" spans="1:2">
      <c r="A680">
        <v>1009</v>
      </c>
      <c r="B680">
        <v>76952</v>
      </c>
    </row>
    <row r="681" spans="1:2">
      <c r="A681">
        <v>1010</v>
      </c>
      <c r="B681">
        <v>9639</v>
      </c>
    </row>
    <row r="682" spans="1:2">
      <c r="A682">
        <v>1014</v>
      </c>
      <c r="B682">
        <v>3300.7</v>
      </c>
    </row>
    <row r="683" spans="1:2">
      <c r="A683">
        <v>1016</v>
      </c>
      <c r="B683">
        <v>2644</v>
      </c>
    </row>
    <row r="684" spans="1:2">
      <c r="A684">
        <v>1017</v>
      </c>
      <c r="B684">
        <v>1386.99</v>
      </c>
    </row>
    <row r="685" spans="1:2">
      <c r="A685">
        <v>1018</v>
      </c>
      <c r="B685">
        <v>5312</v>
      </c>
    </row>
    <row r="686" spans="1:2">
      <c r="A686">
        <v>1020</v>
      </c>
      <c r="B686">
        <v>56849.37</v>
      </c>
    </row>
    <row r="687" spans="1:2">
      <c r="A687">
        <v>1024</v>
      </c>
      <c r="B687">
        <v>12996</v>
      </c>
    </row>
    <row r="688" spans="1:2">
      <c r="A688">
        <v>1030</v>
      </c>
      <c r="B688">
        <v>619.35</v>
      </c>
    </row>
    <row r="689" spans="1:2">
      <c r="A689">
        <v>1033</v>
      </c>
      <c r="B689">
        <v>3000.27</v>
      </c>
    </row>
    <row r="690" spans="1:2">
      <c r="A690">
        <v>1036</v>
      </c>
      <c r="B690">
        <v>621.29999999999995</v>
      </c>
    </row>
    <row r="691" spans="1:2">
      <c r="A691">
        <v>1037</v>
      </c>
      <c r="B691">
        <v>5589</v>
      </c>
    </row>
    <row r="692" spans="1:2">
      <c r="A692">
        <v>1039</v>
      </c>
      <c r="B692">
        <v>19008</v>
      </c>
    </row>
    <row r="693" spans="1:2">
      <c r="A693">
        <v>1045</v>
      </c>
      <c r="B693">
        <v>2065</v>
      </c>
    </row>
    <row r="694" spans="1:2">
      <c r="A694">
        <v>1055</v>
      </c>
      <c r="B694">
        <v>447.48</v>
      </c>
    </row>
    <row r="695" spans="1:2">
      <c r="A695">
        <v>1058</v>
      </c>
      <c r="B695">
        <v>7156.5</v>
      </c>
    </row>
    <row r="696" spans="1:2">
      <c r="A696">
        <v>1059</v>
      </c>
      <c r="B696">
        <v>873</v>
      </c>
    </row>
    <row r="697" spans="1:2">
      <c r="A697">
        <v>1060</v>
      </c>
      <c r="B697">
        <v>3800</v>
      </c>
    </row>
    <row r="698" spans="1:2">
      <c r="A698">
        <v>1061</v>
      </c>
      <c r="B698">
        <v>9817</v>
      </c>
    </row>
    <row r="699" spans="1:2">
      <c r="A699">
        <v>1062</v>
      </c>
      <c r="B699">
        <v>74200</v>
      </c>
    </row>
    <row r="700" spans="1:2">
      <c r="A700">
        <v>1063</v>
      </c>
      <c r="B700">
        <v>1845.54</v>
      </c>
    </row>
    <row r="701" spans="1:2">
      <c r="A701">
        <v>1065</v>
      </c>
      <c r="B701">
        <v>3014.1</v>
      </c>
    </row>
    <row r="702" spans="1:2">
      <c r="A702">
        <v>1067</v>
      </c>
      <c r="B702">
        <v>8760</v>
      </c>
    </row>
    <row r="703" spans="1:2">
      <c r="A703">
        <v>1068</v>
      </c>
      <c r="B703">
        <v>857.32</v>
      </c>
    </row>
    <row r="704" spans="1:2">
      <c r="A704">
        <v>1069</v>
      </c>
      <c r="B704">
        <v>1897</v>
      </c>
    </row>
    <row r="705" spans="1:2">
      <c r="A705">
        <v>1071</v>
      </c>
      <c r="B705">
        <v>788.74</v>
      </c>
    </row>
    <row r="706" spans="1:2">
      <c r="A706">
        <v>1072</v>
      </c>
      <c r="B706">
        <v>708.8</v>
      </c>
    </row>
    <row r="707" spans="1:2">
      <c r="A707">
        <v>1073</v>
      </c>
      <c r="B707">
        <v>3553.22</v>
      </c>
    </row>
    <row r="708" spans="1:2">
      <c r="A708">
        <v>1078</v>
      </c>
      <c r="B708">
        <v>479.12</v>
      </c>
    </row>
    <row r="709" spans="1:2">
      <c r="A709">
        <v>1080</v>
      </c>
      <c r="B709">
        <v>5917.79</v>
      </c>
    </row>
    <row r="710" spans="1:2">
      <c r="A710">
        <v>1081</v>
      </c>
      <c r="B710">
        <v>4554.75</v>
      </c>
    </row>
    <row r="711" spans="1:2">
      <c r="A711">
        <v>1082</v>
      </c>
      <c r="B711">
        <v>21042.880000000001</v>
      </c>
    </row>
    <row r="712" spans="1:2">
      <c r="A712">
        <v>1083</v>
      </c>
      <c r="B712">
        <v>11627</v>
      </c>
    </row>
    <row r="713" spans="1:2">
      <c r="A713">
        <v>1084</v>
      </c>
      <c r="B713">
        <v>4655.67</v>
      </c>
    </row>
    <row r="714" spans="1:2">
      <c r="A714">
        <v>1091</v>
      </c>
      <c r="B714">
        <v>59189</v>
      </c>
    </row>
    <row r="715" spans="1:2">
      <c r="A715">
        <v>1095</v>
      </c>
      <c r="B715">
        <v>37192</v>
      </c>
    </row>
    <row r="716" spans="1:2">
      <c r="A716">
        <v>1096</v>
      </c>
      <c r="B716">
        <v>75616.02</v>
      </c>
    </row>
    <row r="717" spans="1:2">
      <c r="A717">
        <v>1100</v>
      </c>
      <c r="B717">
        <v>51816</v>
      </c>
    </row>
    <row r="718" spans="1:2">
      <c r="A718">
        <v>1102</v>
      </c>
      <c r="B718">
        <v>12974</v>
      </c>
    </row>
    <row r="719" spans="1:2">
      <c r="A719">
        <v>1103</v>
      </c>
      <c r="B719">
        <v>22627.95</v>
      </c>
    </row>
    <row r="720" spans="1:2">
      <c r="A720">
        <v>1104</v>
      </c>
      <c r="B720">
        <v>5038.09</v>
      </c>
    </row>
    <row r="721" spans="1:2">
      <c r="A721">
        <v>1105</v>
      </c>
      <c r="B721">
        <v>675388</v>
      </c>
    </row>
    <row r="722" spans="1:2">
      <c r="A722">
        <v>1109</v>
      </c>
      <c r="B722">
        <v>4147.5</v>
      </c>
    </row>
    <row r="723" spans="1:2">
      <c r="A723">
        <v>1110</v>
      </c>
      <c r="B723">
        <v>76516</v>
      </c>
    </row>
    <row r="724" spans="1:2">
      <c r="A724">
        <v>1111</v>
      </c>
      <c r="B724">
        <v>75072</v>
      </c>
    </row>
    <row r="725" spans="1:2">
      <c r="A725" t="s">
        <v>61</v>
      </c>
    </row>
    <row r="726" spans="1:2">
      <c r="A726" t="s">
        <v>59</v>
      </c>
      <c r="B726">
        <v>57762593.150000013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6D82-EDF9-4237-A597-D5D0AB4E0EF4}">
  <dimension ref="A2:AK8"/>
  <sheetViews>
    <sheetView tabSelected="1" workbookViewId="0">
      <selection activeCell="E5" sqref="E5"/>
    </sheetView>
  </sheetViews>
  <sheetFormatPr defaultColWidth="11.42578125" defaultRowHeight="15"/>
  <cols>
    <col min="1" max="1" width="37.85546875" bestFit="1" customWidth="1"/>
    <col min="2" max="2" width="23" bestFit="1" customWidth="1"/>
    <col min="3" max="3" width="23.28515625" bestFit="1" customWidth="1"/>
    <col min="4" max="5" width="4.85546875" bestFit="1" customWidth="1"/>
    <col min="6" max="7" width="7" bestFit="1" customWidth="1"/>
    <col min="8" max="8" width="10.5703125" bestFit="1" customWidth="1"/>
    <col min="9" max="9" width="9.140625" bestFit="1" customWidth="1"/>
    <col min="10" max="10" width="7.140625" bestFit="1" customWidth="1"/>
    <col min="11" max="11" width="10.85546875" bestFit="1" customWidth="1"/>
    <col min="12" max="12" width="9.140625" bestFit="1" customWidth="1"/>
    <col min="13" max="13" width="10.85546875" bestFit="1" customWidth="1"/>
    <col min="14" max="14" width="7.140625" bestFit="1" customWidth="1"/>
    <col min="15" max="15" width="10.85546875" bestFit="1" customWidth="1"/>
    <col min="16" max="16" width="11.85546875" bestFit="1" customWidth="1"/>
    <col min="17" max="17" width="13" bestFit="1" customWidth="1"/>
    <col min="18" max="20" width="11.85546875" bestFit="1" customWidth="1"/>
    <col min="21" max="23" width="13" bestFit="1" customWidth="1"/>
    <col min="24" max="24" width="11.85546875" bestFit="1" customWidth="1"/>
    <col min="25" max="27" width="13" bestFit="1" customWidth="1"/>
    <col min="28" max="28" width="11.85546875" bestFit="1" customWidth="1"/>
    <col min="29" max="29" width="13" bestFit="1" customWidth="1"/>
    <col min="30" max="30" width="10.85546875" bestFit="1" customWidth="1"/>
    <col min="31" max="31" width="11.85546875" bestFit="1" customWidth="1"/>
    <col min="32" max="32" width="4.85546875" bestFit="1" customWidth="1"/>
    <col min="33" max="33" width="14.85546875" bestFit="1" customWidth="1"/>
    <col min="34" max="36" width="11.85546875" bestFit="1" customWidth="1"/>
    <col min="37" max="37" width="14.85546875" bestFit="1" customWidth="1"/>
    <col min="38" max="38" width="15.140625" bestFit="1" customWidth="1"/>
    <col min="39" max="39" width="12.140625" bestFit="1" customWidth="1"/>
  </cols>
  <sheetData>
    <row r="2" spans="1:37">
      <c r="B2" s="11" t="s">
        <v>48</v>
      </c>
      <c r="C2" s="11" t="s">
        <v>47</v>
      </c>
    </row>
    <row r="3" spans="1:37">
      <c r="B3">
        <v>2024</v>
      </c>
      <c r="H3" s="14" t="s">
        <v>55</v>
      </c>
      <c r="I3">
        <v>2025</v>
      </c>
      <c r="U3" s="14" t="s">
        <v>56</v>
      </c>
      <c r="V3">
        <v>2026</v>
      </c>
      <c r="AG3" s="14" t="s">
        <v>57</v>
      </c>
      <c r="AH3">
        <v>2027</v>
      </c>
      <c r="AJ3" s="14" t="s">
        <v>58</v>
      </c>
      <c r="AK3" t="s">
        <v>59</v>
      </c>
    </row>
    <row r="4" spans="1:37">
      <c r="B4">
        <v>6</v>
      </c>
      <c r="C4">
        <v>8</v>
      </c>
      <c r="D4">
        <v>9</v>
      </c>
      <c r="E4">
        <v>10</v>
      </c>
      <c r="F4">
        <v>11</v>
      </c>
      <c r="G4">
        <v>12</v>
      </c>
      <c r="H4" s="14"/>
      <c r="I4">
        <v>1</v>
      </c>
      <c r="J4">
        <v>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 s="14"/>
      <c r="V4">
        <v>1</v>
      </c>
      <c r="W4">
        <v>2</v>
      </c>
      <c r="X4">
        <v>3</v>
      </c>
      <c r="Y4">
        <v>4</v>
      </c>
      <c r="Z4">
        <v>5</v>
      </c>
      <c r="AA4">
        <v>6</v>
      </c>
      <c r="AB4">
        <v>7</v>
      </c>
      <c r="AC4">
        <v>8</v>
      </c>
      <c r="AD4">
        <v>9</v>
      </c>
      <c r="AE4">
        <v>10</v>
      </c>
      <c r="AF4">
        <v>11</v>
      </c>
      <c r="AG4" s="14"/>
      <c r="AH4">
        <v>1</v>
      </c>
      <c r="AI4">
        <v>5</v>
      </c>
      <c r="AJ4" s="14"/>
    </row>
    <row r="5" spans="1:37">
      <c r="A5" t="s">
        <v>62</v>
      </c>
      <c r="B5" s="12">
        <v>0</v>
      </c>
      <c r="C5" s="12">
        <v>0</v>
      </c>
      <c r="D5" s="12">
        <v>0</v>
      </c>
      <c r="E5" s="12">
        <v>0</v>
      </c>
      <c r="F5" s="12">
        <v>4.5474735088646412E-13</v>
      </c>
      <c r="G5" s="12">
        <v>7.73070496506989E-12</v>
      </c>
      <c r="H5" s="13">
        <v>8.1854523159563541E-12</v>
      </c>
      <c r="I5" s="12">
        <v>308.34999999999957</v>
      </c>
      <c r="J5" s="12">
        <v>-1.1141310096718371E-11</v>
      </c>
      <c r="K5" s="12">
        <v>4882.6100000000006</v>
      </c>
      <c r="L5" s="12">
        <v>179.99160000000703</v>
      </c>
      <c r="M5" s="12">
        <v>5173.5999999999995</v>
      </c>
      <c r="N5" s="12">
        <v>-9.5499999999829299</v>
      </c>
      <c r="O5" s="12">
        <v>2995.3616800000063</v>
      </c>
      <c r="P5" s="12">
        <v>59426.03</v>
      </c>
      <c r="Q5" s="12">
        <v>124245.04780000003</v>
      </c>
      <c r="R5" s="12">
        <v>26120.83</v>
      </c>
      <c r="S5" s="12">
        <v>57172.122319999988</v>
      </c>
      <c r="T5" s="12">
        <v>18118.317599999998</v>
      </c>
      <c r="U5" s="13">
        <v>298612.71100000001</v>
      </c>
      <c r="V5" s="12">
        <v>110535.40040000003</v>
      </c>
      <c r="W5" s="12">
        <v>195720.41128000003</v>
      </c>
      <c r="X5" s="12">
        <v>99790.801200000002</v>
      </c>
      <c r="Y5" s="12">
        <v>432320.20967999997</v>
      </c>
      <c r="Z5" s="12">
        <v>163588.56232000003</v>
      </c>
      <c r="AA5" s="12">
        <v>226218.92939999999</v>
      </c>
      <c r="AB5" s="12">
        <v>13133.62</v>
      </c>
      <c r="AC5" s="12">
        <v>141944.49</v>
      </c>
      <c r="AD5" s="12">
        <v>1224.4799999999996</v>
      </c>
      <c r="AE5" s="12">
        <v>54598.878400000001</v>
      </c>
      <c r="AF5" s="12">
        <v>0</v>
      </c>
      <c r="AG5" s="13">
        <v>1439075.7826800002</v>
      </c>
      <c r="AH5" s="12">
        <v>32761.729200000002</v>
      </c>
      <c r="AI5" s="12">
        <v>55550</v>
      </c>
      <c r="AJ5" s="13">
        <v>88311.729200000002</v>
      </c>
      <c r="AK5" s="13">
        <v>1826000.22288</v>
      </c>
    </row>
    <row r="7" spans="1:37">
      <c r="A7" s="32" t="s">
        <v>63</v>
      </c>
      <c r="B7" s="32"/>
    </row>
    <row r="8" spans="1:37">
      <c r="A8" s="33">
        <v>12786.48</v>
      </c>
      <c r="B8" s="34">
        <v>228330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1E79-36D3-4C94-A0A3-28F374622325}">
  <dimension ref="A1:C632"/>
  <sheetViews>
    <sheetView workbookViewId="0">
      <selection activeCell="E4" sqref="E4"/>
    </sheetView>
  </sheetViews>
  <sheetFormatPr defaultRowHeight="15"/>
  <cols>
    <col min="1" max="1" width="12.85546875" bestFit="1" customWidth="1"/>
    <col min="2" max="2" width="23.28515625" bestFit="1" customWidth="1"/>
    <col min="3" max="3" width="16.7109375" bestFit="1" customWidth="1"/>
    <col min="4" max="4" width="6.5703125" bestFit="1" customWidth="1"/>
    <col min="5" max="5" width="10.42578125" bestFit="1" customWidth="1"/>
    <col min="6" max="6" width="11.42578125" bestFit="1" customWidth="1"/>
    <col min="7" max="7" width="12.5703125" bestFit="1" customWidth="1"/>
    <col min="8" max="8" width="10.42578125" bestFit="1" customWidth="1"/>
    <col min="9" max="9" width="11.140625" bestFit="1" customWidth="1"/>
    <col min="10" max="10" width="12.85546875" bestFit="1" customWidth="1"/>
  </cols>
  <sheetData>
    <row r="1" spans="1:3">
      <c r="A1" s="11" t="s">
        <v>15</v>
      </c>
      <c r="B1" t="s">
        <v>64</v>
      </c>
      <c r="C1" t="s">
        <v>65</v>
      </c>
    </row>
    <row r="2" spans="1:3">
      <c r="A2">
        <v>3</v>
      </c>
      <c r="B2">
        <v>3400</v>
      </c>
      <c r="C2">
        <v>0</v>
      </c>
    </row>
    <row r="3" spans="1:3">
      <c r="A3">
        <v>4</v>
      </c>
      <c r="B3">
        <v>354545.26</v>
      </c>
      <c r="C3">
        <v>0</v>
      </c>
    </row>
    <row r="4" spans="1:3">
      <c r="A4">
        <v>6</v>
      </c>
      <c r="B4">
        <v>10800</v>
      </c>
      <c r="C4">
        <v>0</v>
      </c>
    </row>
    <row r="5" spans="1:3">
      <c r="A5">
        <v>7</v>
      </c>
      <c r="B5">
        <v>131952</v>
      </c>
      <c r="C5">
        <v>0</v>
      </c>
    </row>
    <row r="6" spans="1:3">
      <c r="A6">
        <v>9</v>
      </c>
      <c r="B6">
        <v>4890.32</v>
      </c>
      <c r="C6">
        <v>0</v>
      </c>
    </row>
    <row r="7" spans="1:3">
      <c r="A7">
        <v>12</v>
      </c>
      <c r="B7">
        <v>26496.89</v>
      </c>
      <c r="C7">
        <v>0</v>
      </c>
    </row>
    <row r="8" spans="1:3">
      <c r="A8">
        <v>15</v>
      </c>
      <c r="B8">
        <v>2327</v>
      </c>
      <c r="C8">
        <v>0</v>
      </c>
    </row>
    <row r="9" spans="1:3">
      <c r="A9">
        <v>16</v>
      </c>
      <c r="B9">
        <v>3735</v>
      </c>
      <c r="C9">
        <v>0</v>
      </c>
    </row>
    <row r="10" spans="1:3">
      <c r="A10">
        <v>17</v>
      </c>
      <c r="B10">
        <v>1590</v>
      </c>
      <c r="C10">
        <v>0</v>
      </c>
    </row>
    <row r="11" spans="1:3">
      <c r="A11">
        <v>20</v>
      </c>
      <c r="B11">
        <v>803</v>
      </c>
      <c r="C11">
        <v>0</v>
      </c>
    </row>
    <row r="12" spans="1:3">
      <c r="A12">
        <v>22</v>
      </c>
      <c r="B12">
        <v>15077.2</v>
      </c>
      <c r="C12">
        <v>0</v>
      </c>
    </row>
    <row r="13" spans="1:3">
      <c r="A13">
        <v>26</v>
      </c>
      <c r="B13">
        <v>6384.58</v>
      </c>
      <c r="C13">
        <v>0</v>
      </c>
    </row>
    <row r="14" spans="1:3">
      <c r="A14">
        <v>28</v>
      </c>
      <c r="B14">
        <v>4124.09</v>
      </c>
      <c r="C14">
        <v>0</v>
      </c>
    </row>
    <row r="15" spans="1:3">
      <c r="A15">
        <v>29</v>
      </c>
      <c r="B15">
        <v>4785.04</v>
      </c>
      <c r="C15">
        <v>0</v>
      </c>
    </row>
    <row r="16" spans="1:3">
      <c r="A16">
        <v>30</v>
      </c>
      <c r="B16">
        <v>8563.26</v>
      </c>
      <c r="C16">
        <v>0</v>
      </c>
    </row>
    <row r="17" spans="1:3">
      <c r="A17">
        <v>33</v>
      </c>
      <c r="B17">
        <v>1501.68</v>
      </c>
      <c r="C17">
        <v>0</v>
      </c>
    </row>
    <row r="18" spans="1:3">
      <c r="A18">
        <v>34</v>
      </c>
      <c r="B18">
        <v>1133.56</v>
      </c>
      <c r="C18">
        <v>0</v>
      </c>
    </row>
    <row r="19" spans="1:3">
      <c r="A19">
        <v>35</v>
      </c>
      <c r="B19">
        <v>1359.36</v>
      </c>
      <c r="C19">
        <v>0</v>
      </c>
    </row>
    <row r="20" spans="1:3">
      <c r="A20">
        <v>40</v>
      </c>
      <c r="B20">
        <v>600</v>
      </c>
      <c r="C20">
        <v>0</v>
      </c>
    </row>
    <row r="21" spans="1:3">
      <c r="A21">
        <v>41</v>
      </c>
      <c r="B21">
        <v>2716.1</v>
      </c>
      <c r="C21">
        <v>0</v>
      </c>
    </row>
    <row r="22" spans="1:3">
      <c r="A22">
        <v>45</v>
      </c>
      <c r="B22">
        <v>40</v>
      </c>
      <c r="C22">
        <v>0</v>
      </c>
    </row>
    <row r="23" spans="1:3">
      <c r="A23">
        <v>46</v>
      </c>
      <c r="B23">
        <v>3400</v>
      </c>
      <c r="C23">
        <v>0</v>
      </c>
    </row>
    <row r="24" spans="1:3">
      <c r="A24">
        <v>47</v>
      </c>
      <c r="B24">
        <v>1475.78</v>
      </c>
      <c r="C24">
        <v>0</v>
      </c>
    </row>
    <row r="25" spans="1:3">
      <c r="A25">
        <v>48</v>
      </c>
      <c r="B25">
        <v>99000</v>
      </c>
      <c r="C25">
        <v>0</v>
      </c>
    </row>
    <row r="26" spans="1:3">
      <c r="A26">
        <v>49</v>
      </c>
      <c r="B26">
        <v>4997.26</v>
      </c>
      <c r="C26">
        <v>0</v>
      </c>
    </row>
    <row r="27" spans="1:3">
      <c r="A27">
        <v>54</v>
      </c>
      <c r="B27">
        <v>3567</v>
      </c>
      <c r="C27">
        <v>0</v>
      </c>
    </row>
    <row r="28" spans="1:3">
      <c r="A28">
        <v>58</v>
      </c>
      <c r="B28">
        <v>8714.41</v>
      </c>
      <c r="C28">
        <v>0</v>
      </c>
    </row>
    <row r="29" spans="1:3">
      <c r="A29">
        <v>59</v>
      </c>
      <c r="B29">
        <v>981.77</v>
      </c>
      <c r="C29">
        <v>0</v>
      </c>
    </row>
    <row r="30" spans="1:3">
      <c r="A30">
        <v>60</v>
      </c>
      <c r="B30">
        <v>206.9</v>
      </c>
      <c r="C30">
        <v>0</v>
      </c>
    </row>
    <row r="31" spans="1:3">
      <c r="A31">
        <v>61</v>
      </c>
      <c r="B31">
        <v>4265.6099999999997</v>
      </c>
      <c r="C31">
        <v>0</v>
      </c>
    </row>
    <row r="32" spans="1:3">
      <c r="A32">
        <v>62</v>
      </c>
      <c r="B32">
        <v>12206.75</v>
      </c>
      <c r="C32">
        <v>0</v>
      </c>
    </row>
    <row r="33" spans="1:3">
      <c r="A33">
        <v>69</v>
      </c>
      <c r="B33">
        <v>1366</v>
      </c>
      <c r="C33">
        <v>0</v>
      </c>
    </row>
    <row r="34" spans="1:3">
      <c r="A34">
        <v>71</v>
      </c>
      <c r="B34">
        <v>4335.6000000000004</v>
      </c>
      <c r="C34">
        <v>0</v>
      </c>
    </row>
    <row r="35" spans="1:3">
      <c r="A35">
        <v>73</v>
      </c>
      <c r="B35">
        <v>11485.71</v>
      </c>
      <c r="C35">
        <v>0</v>
      </c>
    </row>
    <row r="36" spans="1:3">
      <c r="A36">
        <v>76</v>
      </c>
      <c r="B36">
        <v>4288.9699999999993</v>
      </c>
      <c r="C36">
        <v>0</v>
      </c>
    </row>
    <row r="37" spans="1:3">
      <c r="A37">
        <v>78</v>
      </c>
      <c r="B37">
        <v>688</v>
      </c>
      <c r="C37">
        <v>0</v>
      </c>
    </row>
    <row r="38" spans="1:3">
      <c r="A38">
        <v>79</v>
      </c>
      <c r="B38">
        <v>3295.4</v>
      </c>
      <c r="C38">
        <v>0</v>
      </c>
    </row>
    <row r="39" spans="1:3">
      <c r="A39">
        <v>81</v>
      </c>
      <c r="B39">
        <v>2265</v>
      </c>
      <c r="C39">
        <v>0</v>
      </c>
    </row>
    <row r="40" spans="1:3">
      <c r="A40">
        <v>83</v>
      </c>
      <c r="B40">
        <v>229</v>
      </c>
      <c r="C40">
        <v>0</v>
      </c>
    </row>
    <row r="41" spans="1:3">
      <c r="A41">
        <v>84</v>
      </c>
      <c r="B41">
        <v>1708.68</v>
      </c>
      <c r="C41">
        <v>0</v>
      </c>
    </row>
    <row r="42" spans="1:3">
      <c r="A42">
        <v>85</v>
      </c>
      <c r="B42">
        <v>118302.05</v>
      </c>
      <c r="C42">
        <v>0</v>
      </c>
    </row>
    <row r="43" spans="1:3">
      <c r="A43">
        <v>88</v>
      </c>
      <c r="B43">
        <v>800</v>
      </c>
      <c r="C43">
        <v>0</v>
      </c>
    </row>
    <row r="44" spans="1:3">
      <c r="A44">
        <v>89</v>
      </c>
      <c r="B44">
        <v>800</v>
      </c>
      <c r="C44">
        <v>0</v>
      </c>
    </row>
    <row r="45" spans="1:3">
      <c r="A45">
        <v>91</v>
      </c>
      <c r="B45">
        <v>9904</v>
      </c>
      <c r="C45">
        <v>0</v>
      </c>
    </row>
    <row r="46" spans="1:3">
      <c r="A46">
        <v>93</v>
      </c>
      <c r="B46">
        <v>4440</v>
      </c>
      <c r="C46">
        <v>0</v>
      </c>
    </row>
    <row r="47" spans="1:3">
      <c r="A47">
        <v>94</v>
      </c>
      <c r="B47">
        <v>135027</v>
      </c>
      <c r="C47">
        <v>0</v>
      </c>
    </row>
    <row r="48" spans="1:3">
      <c r="A48">
        <v>95</v>
      </c>
      <c r="B48">
        <v>23614.400000000001</v>
      </c>
      <c r="C48">
        <v>0</v>
      </c>
    </row>
    <row r="49" spans="1:3">
      <c r="A49">
        <v>97</v>
      </c>
      <c r="B49">
        <v>494.4</v>
      </c>
      <c r="C49">
        <v>0</v>
      </c>
    </row>
    <row r="50" spans="1:3">
      <c r="A50">
        <v>98</v>
      </c>
      <c r="B50">
        <v>33897.49</v>
      </c>
      <c r="C50">
        <v>0</v>
      </c>
    </row>
    <row r="51" spans="1:3">
      <c r="A51">
        <v>99</v>
      </c>
      <c r="B51">
        <v>26938.799999999999</v>
      </c>
      <c r="C51">
        <v>0</v>
      </c>
    </row>
    <row r="52" spans="1:3">
      <c r="A52">
        <v>100</v>
      </c>
      <c r="B52">
        <v>4583</v>
      </c>
      <c r="C52">
        <v>0</v>
      </c>
    </row>
    <row r="53" spans="1:3">
      <c r="A53">
        <v>102</v>
      </c>
      <c r="B53">
        <v>8979.2000000000007</v>
      </c>
      <c r="C53">
        <v>0</v>
      </c>
    </row>
    <row r="54" spans="1:3">
      <c r="A54">
        <v>104</v>
      </c>
      <c r="B54">
        <v>15213.21</v>
      </c>
      <c r="C54">
        <v>0</v>
      </c>
    </row>
    <row r="55" spans="1:3">
      <c r="A55">
        <v>105</v>
      </c>
      <c r="B55">
        <v>268</v>
      </c>
      <c r="C55">
        <v>0</v>
      </c>
    </row>
    <row r="56" spans="1:3">
      <c r="A56">
        <v>106</v>
      </c>
      <c r="B56">
        <v>268</v>
      </c>
      <c r="C56">
        <v>0</v>
      </c>
    </row>
    <row r="57" spans="1:3">
      <c r="A57">
        <v>107</v>
      </c>
      <c r="B57">
        <v>494</v>
      </c>
      <c r="C57">
        <v>0</v>
      </c>
    </row>
    <row r="58" spans="1:3">
      <c r="A58">
        <v>108</v>
      </c>
      <c r="B58">
        <v>76619.67</v>
      </c>
      <c r="C58">
        <v>0</v>
      </c>
    </row>
    <row r="59" spans="1:3">
      <c r="A59">
        <v>109</v>
      </c>
      <c r="B59">
        <v>95573</v>
      </c>
      <c r="C59">
        <v>0</v>
      </c>
    </row>
    <row r="60" spans="1:3">
      <c r="A60">
        <v>110</v>
      </c>
      <c r="B60">
        <v>302.2</v>
      </c>
      <c r="C60">
        <v>0</v>
      </c>
    </row>
    <row r="61" spans="1:3">
      <c r="A61">
        <v>111</v>
      </c>
      <c r="B61">
        <v>82419</v>
      </c>
      <c r="C61">
        <v>0</v>
      </c>
    </row>
    <row r="62" spans="1:3">
      <c r="A62">
        <v>113</v>
      </c>
      <c r="B62">
        <v>20777.39</v>
      </c>
      <c r="C62">
        <v>0</v>
      </c>
    </row>
    <row r="63" spans="1:3">
      <c r="A63">
        <v>114</v>
      </c>
      <c r="B63">
        <v>113312.48</v>
      </c>
      <c r="C63">
        <v>0</v>
      </c>
    </row>
    <row r="64" spans="1:3">
      <c r="A64">
        <v>117</v>
      </c>
      <c r="B64">
        <v>606.17999999999995</v>
      </c>
      <c r="C64">
        <v>0</v>
      </c>
    </row>
    <row r="65" spans="1:3">
      <c r="A65">
        <v>119</v>
      </c>
      <c r="B65">
        <v>1432.1</v>
      </c>
      <c r="C65">
        <v>0</v>
      </c>
    </row>
    <row r="66" spans="1:3">
      <c r="A66">
        <v>120</v>
      </c>
      <c r="B66">
        <v>2383.6799999999998</v>
      </c>
      <c r="C66">
        <v>0</v>
      </c>
    </row>
    <row r="67" spans="1:3">
      <c r="A67">
        <v>121</v>
      </c>
      <c r="B67">
        <v>1791.72</v>
      </c>
      <c r="C67">
        <v>0</v>
      </c>
    </row>
    <row r="68" spans="1:3">
      <c r="A68">
        <v>122</v>
      </c>
      <c r="B68">
        <v>11500.66</v>
      </c>
      <c r="C68">
        <v>0</v>
      </c>
    </row>
    <row r="69" spans="1:3">
      <c r="A69">
        <v>124</v>
      </c>
      <c r="B69">
        <v>57724</v>
      </c>
      <c r="C69">
        <v>0</v>
      </c>
    </row>
    <row r="70" spans="1:3">
      <c r="A70">
        <v>126</v>
      </c>
      <c r="B70">
        <v>21416.959999999999</v>
      </c>
      <c r="C70">
        <v>0</v>
      </c>
    </row>
    <row r="71" spans="1:3">
      <c r="A71">
        <v>127</v>
      </c>
      <c r="B71">
        <v>5088</v>
      </c>
      <c r="C71">
        <v>0</v>
      </c>
    </row>
    <row r="72" spans="1:3">
      <c r="A72">
        <v>128</v>
      </c>
      <c r="B72">
        <v>1389.53</v>
      </c>
      <c r="C72">
        <v>0</v>
      </c>
    </row>
    <row r="73" spans="1:3">
      <c r="A73">
        <v>129</v>
      </c>
      <c r="B73">
        <v>166662</v>
      </c>
      <c r="C73">
        <v>0</v>
      </c>
    </row>
    <row r="74" spans="1:3">
      <c r="A74">
        <v>130</v>
      </c>
      <c r="B74">
        <v>4389</v>
      </c>
      <c r="C74">
        <v>0</v>
      </c>
    </row>
    <row r="75" spans="1:3">
      <c r="A75">
        <v>132</v>
      </c>
      <c r="B75">
        <v>4378.88</v>
      </c>
      <c r="C75">
        <v>0</v>
      </c>
    </row>
    <row r="76" spans="1:3">
      <c r="A76">
        <v>133</v>
      </c>
      <c r="B76">
        <v>8756.25</v>
      </c>
      <c r="C76">
        <v>0</v>
      </c>
    </row>
    <row r="77" spans="1:3">
      <c r="A77">
        <v>134</v>
      </c>
      <c r="B77">
        <v>1205</v>
      </c>
      <c r="C77">
        <v>0</v>
      </c>
    </row>
    <row r="78" spans="1:3">
      <c r="A78">
        <v>136</v>
      </c>
      <c r="B78">
        <v>57454.65</v>
      </c>
      <c r="C78">
        <v>0</v>
      </c>
    </row>
    <row r="79" spans="1:3">
      <c r="A79">
        <v>137</v>
      </c>
      <c r="B79">
        <v>4574.1099999999997</v>
      </c>
      <c r="C79">
        <v>0</v>
      </c>
    </row>
    <row r="80" spans="1:3">
      <c r="A80">
        <v>139</v>
      </c>
      <c r="B80">
        <v>2232</v>
      </c>
      <c r="C80">
        <v>0</v>
      </c>
    </row>
    <row r="81" spans="1:3">
      <c r="A81">
        <v>140</v>
      </c>
      <c r="B81">
        <v>23910.84</v>
      </c>
      <c r="C81">
        <v>0</v>
      </c>
    </row>
    <row r="82" spans="1:3">
      <c r="A82">
        <v>141</v>
      </c>
      <c r="B82">
        <v>3158.37</v>
      </c>
      <c r="C82">
        <v>0</v>
      </c>
    </row>
    <row r="83" spans="1:3">
      <c r="A83">
        <v>142</v>
      </c>
      <c r="B83">
        <v>2390</v>
      </c>
      <c r="C83">
        <v>0</v>
      </c>
    </row>
    <row r="84" spans="1:3">
      <c r="A84">
        <v>143</v>
      </c>
      <c r="B84">
        <v>4874.42</v>
      </c>
      <c r="C84">
        <v>0</v>
      </c>
    </row>
    <row r="85" spans="1:3">
      <c r="A85">
        <v>144</v>
      </c>
      <c r="B85">
        <v>3993.6</v>
      </c>
      <c r="C85">
        <v>0</v>
      </c>
    </row>
    <row r="86" spans="1:3">
      <c r="A86">
        <v>145</v>
      </c>
      <c r="B86">
        <v>4101.6000000000004</v>
      </c>
      <c r="C86">
        <v>0</v>
      </c>
    </row>
    <row r="87" spans="1:3">
      <c r="A87">
        <v>148</v>
      </c>
      <c r="B87">
        <v>7786</v>
      </c>
      <c r="C87">
        <v>0</v>
      </c>
    </row>
    <row r="88" spans="1:3">
      <c r="A88">
        <v>149</v>
      </c>
      <c r="B88">
        <v>16232.089999999998</v>
      </c>
      <c r="C88">
        <v>0</v>
      </c>
    </row>
    <row r="89" spans="1:3">
      <c r="A89">
        <v>150</v>
      </c>
      <c r="B89">
        <v>2898.5</v>
      </c>
      <c r="C89">
        <v>0</v>
      </c>
    </row>
    <row r="90" spans="1:3">
      <c r="A90">
        <v>151</v>
      </c>
      <c r="B90">
        <v>29132.639999999999</v>
      </c>
      <c r="C90">
        <v>0</v>
      </c>
    </row>
    <row r="91" spans="1:3">
      <c r="A91">
        <v>153</v>
      </c>
      <c r="B91">
        <v>355.5</v>
      </c>
      <c r="C91">
        <v>0</v>
      </c>
    </row>
    <row r="92" spans="1:3">
      <c r="A92">
        <v>161</v>
      </c>
      <c r="B92">
        <v>6724</v>
      </c>
      <c r="C92">
        <v>0</v>
      </c>
    </row>
    <row r="93" spans="1:3">
      <c r="A93">
        <v>162</v>
      </c>
      <c r="B93">
        <v>5106.96</v>
      </c>
      <c r="C93">
        <v>0</v>
      </c>
    </row>
    <row r="94" spans="1:3">
      <c r="A94">
        <v>163</v>
      </c>
      <c r="B94">
        <v>35653.269999999997</v>
      </c>
      <c r="C94">
        <v>0</v>
      </c>
    </row>
    <row r="95" spans="1:3">
      <c r="A95">
        <v>164</v>
      </c>
      <c r="B95">
        <v>3445.65</v>
      </c>
      <c r="C95">
        <v>0</v>
      </c>
    </row>
    <row r="96" spans="1:3">
      <c r="A96">
        <v>165</v>
      </c>
      <c r="B96">
        <v>2277.39</v>
      </c>
      <c r="C96">
        <v>0</v>
      </c>
    </row>
    <row r="97" spans="1:3">
      <c r="A97">
        <v>167</v>
      </c>
      <c r="B97">
        <v>2611.4299999999998</v>
      </c>
      <c r="C97">
        <v>0</v>
      </c>
    </row>
    <row r="98" spans="1:3">
      <c r="A98">
        <v>168</v>
      </c>
      <c r="B98">
        <v>7312.54</v>
      </c>
      <c r="C98">
        <v>0</v>
      </c>
    </row>
    <row r="99" spans="1:3">
      <c r="A99">
        <v>170</v>
      </c>
      <c r="B99">
        <v>31657.67</v>
      </c>
      <c r="C99">
        <v>0</v>
      </c>
    </row>
    <row r="100" spans="1:3">
      <c r="A100">
        <v>171</v>
      </c>
      <c r="B100">
        <v>5992.4400000000005</v>
      </c>
      <c r="C100">
        <v>0</v>
      </c>
    </row>
    <row r="101" spans="1:3">
      <c r="A101">
        <v>172</v>
      </c>
      <c r="B101">
        <v>17256.21</v>
      </c>
      <c r="C101">
        <v>0</v>
      </c>
    </row>
    <row r="102" spans="1:3">
      <c r="A102">
        <v>173</v>
      </c>
      <c r="B102">
        <v>11952.239999999998</v>
      </c>
      <c r="C102">
        <v>0</v>
      </c>
    </row>
    <row r="103" spans="1:3">
      <c r="A103">
        <v>176</v>
      </c>
      <c r="B103">
        <v>4998.51</v>
      </c>
      <c r="C103">
        <v>0</v>
      </c>
    </row>
    <row r="104" spans="1:3">
      <c r="A104">
        <v>179</v>
      </c>
      <c r="B104">
        <v>2598.7600000000002</v>
      </c>
      <c r="C104">
        <v>0</v>
      </c>
    </row>
    <row r="105" spans="1:3">
      <c r="A105">
        <v>180</v>
      </c>
      <c r="B105">
        <v>2458.9</v>
      </c>
      <c r="C105">
        <v>0</v>
      </c>
    </row>
    <row r="106" spans="1:3">
      <c r="A106">
        <v>181</v>
      </c>
      <c r="B106">
        <v>19706</v>
      </c>
      <c r="C106">
        <v>0</v>
      </c>
    </row>
    <row r="107" spans="1:3">
      <c r="A107">
        <v>185</v>
      </c>
      <c r="B107">
        <v>1196</v>
      </c>
      <c r="C107">
        <v>0</v>
      </c>
    </row>
    <row r="108" spans="1:3">
      <c r="A108">
        <v>187</v>
      </c>
      <c r="B108">
        <v>3382.8</v>
      </c>
      <c r="C108">
        <v>0</v>
      </c>
    </row>
    <row r="109" spans="1:3">
      <c r="A109">
        <v>188</v>
      </c>
      <c r="B109">
        <v>10019.209999999999</v>
      </c>
      <c r="C109">
        <v>0</v>
      </c>
    </row>
    <row r="110" spans="1:3">
      <c r="A110">
        <v>192</v>
      </c>
      <c r="B110">
        <v>5250</v>
      </c>
      <c r="C110">
        <v>0</v>
      </c>
    </row>
    <row r="111" spans="1:3">
      <c r="A111">
        <v>193</v>
      </c>
      <c r="B111">
        <v>7725.5</v>
      </c>
      <c r="C111">
        <v>0</v>
      </c>
    </row>
    <row r="112" spans="1:3">
      <c r="A112">
        <v>195</v>
      </c>
      <c r="B112">
        <v>11080</v>
      </c>
      <c r="C112">
        <v>0</v>
      </c>
    </row>
    <row r="113" spans="1:3">
      <c r="A113">
        <v>196</v>
      </c>
      <c r="B113">
        <v>9402.06</v>
      </c>
      <c r="C113">
        <v>0</v>
      </c>
    </row>
    <row r="114" spans="1:3">
      <c r="A114">
        <v>198</v>
      </c>
      <c r="B114">
        <v>52744.09</v>
      </c>
      <c r="C114">
        <v>0</v>
      </c>
    </row>
    <row r="115" spans="1:3">
      <c r="A115">
        <v>199</v>
      </c>
      <c r="B115">
        <v>4395</v>
      </c>
      <c r="C115">
        <v>0</v>
      </c>
    </row>
    <row r="116" spans="1:3">
      <c r="A116">
        <v>200</v>
      </c>
      <c r="B116">
        <v>3998.77</v>
      </c>
      <c r="C116">
        <v>0</v>
      </c>
    </row>
    <row r="117" spans="1:3">
      <c r="A117">
        <v>201</v>
      </c>
      <c r="B117">
        <v>3998.77</v>
      </c>
      <c r="C117">
        <v>0</v>
      </c>
    </row>
    <row r="118" spans="1:3">
      <c r="A118">
        <v>203</v>
      </c>
      <c r="B118">
        <v>4045.64</v>
      </c>
      <c r="C118">
        <v>0</v>
      </c>
    </row>
    <row r="119" spans="1:3">
      <c r="A119">
        <v>204</v>
      </c>
      <c r="B119">
        <v>6615</v>
      </c>
      <c r="C119">
        <v>0</v>
      </c>
    </row>
    <row r="120" spans="1:3">
      <c r="A120">
        <v>205</v>
      </c>
      <c r="B120">
        <v>868193.33</v>
      </c>
      <c r="C120">
        <v>0</v>
      </c>
    </row>
    <row r="121" spans="1:3">
      <c r="A121">
        <v>206</v>
      </c>
      <c r="B121">
        <v>8210</v>
      </c>
      <c r="C121">
        <v>0</v>
      </c>
    </row>
    <row r="122" spans="1:3">
      <c r="A122">
        <v>207</v>
      </c>
      <c r="B122">
        <v>4370.66</v>
      </c>
      <c r="C122">
        <v>0</v>
      </c>
    </row>
    <row r="123" spans="1:3">
      <c r="A123">
        <v>208</v>
      </c>
      <c r="B123">
        <v>4370.66</v>
      </c>
      <c r="C123">
        <v>0</v>
      </c>
    </row>
    <row r="124" spans="1:3">
      <c r="A124">
        <v>213</v>
      </c>
      <c r="B124">
        <v>19903.2</v>
      </c>
      <c r="C124">
        <v>0</v>
      </c>
    </row>
    <row r="125" spans="1:3">
      <c r="A125">
        <v>214</v>
      </c>
      <c r="B125">
        <v>2074.1999999999998</v>
      </c>
      <c r="C125">
        <v>0</v>
      </c>
    </row>
    <row r="126" spans="1:3">
      <c r="A126">
        <v>215</v>
      </c>
      <c r="B126">
        <v>21316.400000000001</v>
      </c>
      <c r="C126">
        <v>0</v>
      </c>
    </row>
    <row r="127" spans="1:3">
      <c r="A127">
        <v>216</v>
      </c>
      <c r="B127">
        <v>58328.6</v>
      </c>
      <c r="C127">
        <v>0</v>
      </c>
    </row>
    <row r="128" spans="1:3">
      <c r="A128">
        <v>217</v>
      </c>
      <c r="B128">
        <v>3574</v>
      </c>
      <c r="C128">
        <v>0</v>
      </c>
    </row>
    <row r="129" spans="1:3">
      <c r="A129">
        <v>218</v>
      </c>
      <c r="B129">
        <v>7247.7</v>
      </c>
      <c r="C129">
        <v>0</v>
      </c>
    </row>
    <row r="130" spans="1:3">
      <c r="A130">
        <v>219</v>
      </c>
      <c r="B130">
        <v>10185.200000000001</v>
      </c>
      <c r="C130">
        <v>0</v>
      </c>
    </row>
    <row r="131" spans="1:3">
      <c r="A131">
        <v>220</v>
      </c>
      <c r="B131">
        <v>9173.7000000000007</v>
      </c>
      <c r="C131">
        <v>0</v>
      </c>
    </row>
    <row r="132" spans="1:3">
      <c r="A132">
        <v>222</v>
      </c>
      <c r="B132">
        <v>84169.550000000017</v>
      </c>
      <c r="C132">
        <v>0</v>
      </c>
    </row>
    <row r="133" spans="1:3">
      <c r="A133">
        <v>226</v>
      </c>
      <c r="B133">
        <v>1000</v>
      </c>
      <c r="C133">
        <v>0</v>
      </c>
    </row>
    <row r="134" spans="1:3">
      <c r="A134">
        <v>227</v>
      </c>
      <c r="B134">
        <v>1822.35</v>
      </c>
      <c r="C134">
        <v>0</v>
      </c>
    </row>
    <row r="135" spans="1:3">
      <c r="A135">
        <v>228</v>
      </c>
      <c r="B135">
        <v>6942</v>
      </c>
      <c r="C135">
        <v>0</v>
      </c>
    </row>
    <row r="136" spans="1:3">
      <c r="A136">
        <v>229</v>
      </c>
      <c r="B136">
        <v>20446.189999999999</v>
      </c>
      <c r="C136">
        <v>0</v>
      </c>
    </row>
    <row r="137" spans="1:3">
      <c r="A137">
        <v>232</v>
      </c>
      <c r="B137">
        <v>51558.95</v>
      </c>
      <c r="C137">
        <v>0</v>
      </c>
    </row>
    <row r="138" spans="1:3">
      <c r="A138">
        <v>235</v>
      </c>
      <c r="B138">
        <v>2120.8000000000002</v>
      </c>
      <c r="C138">
        <v>0</v>
      </c>
    </row>
    <row r="139" spans="1:3">
      <c r="A139">
        <v>236</v>
      </c>
      <c r="B139">
        <v>13318.8</v>
      </c>
      <c r="C139">
        <v>0</v>
      </c>
    </row>
    <row r="140" spans="1:3">
      <c r="A140">
        <v>237</v>
      </c>
      <c r="B140">
        <v>4100</v>
      </c>
      <c r="C140">
        <v>0</v>
      </c>
    </row>
    <row r="141" spans="1:3">
      <c r="A141">
        <v>238</v>
      </c>
      <c r="B141">
        <v>131813.85</v>
      </c>
      <c r="C141">
        <v>0</v>
      </c>
    </row>
    <row r="142" spans="1:3">
      <c r="A142">
        <v>239</v>
      </c>
      <c r="B142">
        <v>4212.6499999999996</v>
      </c>
      <c r="C142">
        <v>0</v>
      </c>
    </row>
    <row r="143" spans="1:3">
      <c r="A143">
        <v>241</v>
      </c>
      <c r="B143">
        <v>43358.15</v>
      </c>
      <c r="C143">
        <v>0</v>
      </c>
    </row>
    <row r="144" spans="1:3">
      <c r="A144">
        <v>243</v>
      </c>
      <c r="B144">
        <v>3693.34</v>
      </c>
      <c r="C144">
        <v>0</v>
      </c>
    </row>
    <row r="145" spans="1:3">
      <c r="A145">
        <v>244</v>
      </c>
      <c r="B145">
        <v>2565.88</v>
      </c>
      <c r="C145">
        <v>0</v>
      </c>
    </row>
    <row r="146" spans="1:3">
      <c r="A146">
        <v>245</v>
      </c>
      <c r="B146">
        <v>31938.760000000002</v>
      </c>
      <c r="C146">
        <v>0</v>
      </c>
    </row>
    <row r="147" spans="1:3">
      <c r="A147">
        <v>246</v>
      </c>
      <c r="B147">
        <v>8683</v>
      </c>
      <c r="C147">
        <v>0</v>
      </c>
    </row>
    <row r="148" spans="1:3">
      <c r="A148">
        <v>248</v>
      </c>
      <c r="B148">
        <v>2300</v>
      </c>
      <c r="C148">
        <v>0</v>
      </c>
    </row>
    <row r="149" spans="1:3">
      <c r="A149">
        <v>249</v>
      </c>
      <c r="B149">
        <v>9332.16</v>
      </c>
      <c r="C149">
        <v>0</v>
      </c>
    </row>
    <row r="150" spans="1:3">
      <c r="A150">
        <v>251</v>
      </c>
      <c r="B150">
        <v>9187.42</v>
      </c>
      <c r="C150">
        <v>0</v>
      </c>
    </row>
    <row r="151" spans="1:3">
      <c r="A151">
        <v>252</v>
      </c>
      <c r="B151">
        <v>5259.58</v>
      </c>
      <c r="C151">
        <v>0</v>
      </c>
    </row>
    <row r="152" spans="1:3">
      <c r="A152">
        <v>253</v>
      </c>
      <c r="B152">
        <v>733.5</v>
      </c>
      <c r="C152">
        <v>0</v>
      </c>
    </row>
    <row r="153" spans="1:3">
      <c r="A153">
        <v>258</v>
      </c>
      <c r="B153">
        <v>2530</v>
      </c>
      <c r="C153">
        <v>0</v>
      </c>
    </row>
    <row r="154" spans="1:3">
      <c r="A154">
        <v>259</v>
      </c>
      <c r="B154">
        <v>2779.8</v>
      </c>
      <c r="C154">
        <v>0</v>
      </c>
    </row>
    <row r="155" spans="1:3">
      <c r="A155">
        <v>260</v>
      </c>
      <c r="B155">
        <v>42478.42</v>
      </c>
      <c r="C155">
        <v>0</v>
      </c>
    </row>
    <row r="156" spans="1:3">
      <c r="A156">
        <v>263</v>
      </c>
      <c r="B156">
        <v>465327.21</v>
      </c>
      <c r="C156">
        <v>0</v>
      </c>
    </row>
    <row r="157" spans="1:3">
      <c r="A157">
        <v>264</v>
      </c>
      <c r="B157">
        <v>953.5</v>
      </c>
      <c r="C157">
        <v>0</v>
      </c>
    </row>
    <row r="158" spans="1:3">
      <c r="A158">
        <v>266</v>
      </c>
      <c r="B158">
        <v>390</v>
      </c>
      <c r="C158">
        <v>0</v>
      </c>
    </row>
    <row r="159" spans="1:3">
      <c r="A159">
        <v>267</v>
      </c>
      <c r="B159">
        <v>926.6</v>
      </c>
      <c r="C159">
        <v>0</v>
      </c>
    </row>
    <row r="160" spans="1:3">
      <c r="A160">
        <v>268</v>
      </c>
      <c r="B160">
        <v>417</v>
      </c>
      <c r="C160">
        <v>0</v>
      </c>
    </row>
    <row r="161" spans="1:3">
      <c r="A161">
        <v>269</v>
      </c>
      <c r="B161">
        <v>698</v>
      </c>
      <c r="C161">
        <v>0</v>
      </c>
    </row>
    <row r="162" spans="1:3">
      <c r="A162">
        <v>270</v>
      </c>
      <c r="B162">
        <v>396.07</v>
      </c>
      <c r="C162">
        <v>0</v>
      </c>
    </row>
    <row r="163" spans="1:3">
      <c r="A163">
        <v>271</v>
      </c>
      <c r="B163">
        <v>1019.5</v>
      </c>
      <c r="C163">
        <v>0</v>
      </c>
    </row>
    <row r="164" spans="1:3">
      <c r="A164">
        <v>273</v>
      </c>
      <c r="B164">
        <v>3613.5</v>
      </c>
      <c r="C164">
        <v>0</v>
      </c>
    </row>
    <row r="165" spans="1:3">
      <c r="A165">
        <v>274</v>
      </c>
      <c r="B165">
        <v>555.49</v>
      </c>
      <c r="C165">
        <v>0</v>
      </c>
    </row>
    <row r="166" spans="1:3">
      <c r="A166">
        <v>275</v>
      </c>
      <c r="B166">
        <v>9724.7999999999993</v>
      </c>
      <c r="C166">
        <v>0</v>
      </c>
    </row>
    <row r="167" spans="1:3">
      <c r="A167">
        <v>276</v>
      </c>
      <c r="B167">
        <v>187114.16</v>
      </c>
      <c r="C167">
        <v>0</v>
      </c>
    </row>
    <row r="168" spans="1:3">
      <c r="A168">
        <v>278</v>
      </c>
      <c r="B168">
        <v>13702</v>
      </c>
      <c r="C168">
        <v>0</v>
      </c>
    </row>
    <row r="169" spans="1:3">
      <c r="A169">
        <v>279</v>
      </c>
      <c r="B169">
        <v>36199.170000000006</v>
      </c>
      <c r="C169">
        <v>0</v>
      </c>
    </row>
    <row r="170" spans="1:3">
      <c r="A170">
        <v>281</v>
      </c>
      <c r="B170">
        <v>4403.08</v>
      </c>
      <c r="C170">
        <v>0</v>
      </c>
    </row>
    <row r="171" spans="1:3">
      <c r="A171">
        <v>282</v>
      </c>
      <c r="B171">
        <v>3206.5</v>
      </c>
      <c r="C171">
        <v>0</v>
      </c>
    </row>
    <row r="172" spans="1:3">
      <c r="A172">
        <v>283</v>
      </c>
      <c r="B172">
        <v>3108</v>
      </c>
      <c r="C172">
        <v>0</v>
      </c>
    </row>
    <row r="173" spans="1:3">
      <c r="A173">
        <v>284</v>
      </c>
      <c r="B173">
        <v>19328.54</v>
      </c>
      <c r="C173">
        <v>0</v>
      </c>
    </row>
    <row r="174" spans="1:3">
      <c r="A174">
        <v>285</v>
      </c>
      <c r="B174">
        <v>4276.47</v>
      </c>
      <c r="C174">
        <v>0</v>
      </c>
    </row>
    <row r="175" spans="1:3">
      <c r="A175">
        <v>286</v>
      </c>
      <c r="B175">
        <v>2297.91</v>
      </c>
      <c r="C175">
        <v>0</v>
      </c>
    </row>
    <row r="176" spans="1:3">
      <c r="A176">
        <v>287</v>
      </c>
      <c r="B176">
        <v>3806.23</v>
      </c>
      <c r="C176">
        <v>0</v>
      </c>
    </row>
    <row r="177" spans="1:3">
      <c r="A177">
        <v>288</v>
      </c>
      <c r="B177">
        <v>23781.279999999995</v>
      </c>
      <c r="C177">
        <v>0</v>
      </c>
    </row>
    <row r="178" spans="1:3">
      <c r="A178">
        <v>292</v>
      </c>
      <c r="B178">
        <v>7500</v>
      </c>
      <c r="C178">
        <v>0</v>
      </c>
    </row>
    <row r="179" spans="1:3">
      <c r="A179">
        <v>295</v>
      </c>
      <c r="B179">
        <v>180980.6</v>
      </c>
      <c r="C179">
        <v>0</v>
      </c>
    </row>
    <row r="180" spans="1:3">
      <c r="A180">
        <v>297</v>
      </c>
      <c r="B180">
        <v>3897.34</v>
      </c>
      <c r="C180">
        <v>0</v>
      </c>
    </row>
    <row r="181" spans="1:3">
      <c r="A181">
        <v>298</v>
      </c>
      <c r="B181">
        <v>8244</v>
      </c>
      <c r="C181">
        <v>0</v>
      </c>
    </row>
    <row r="182" spans="1:3">
      <c r="A182">
        <v>299</v>
      </c>
      <c r="B182">
        <v>8185</v>
      </c>
      <c r="C182">
        <v>0</v>
      </c>
    </row>
    <row r="183" spans="1:3">
      <c r="A183">
        <v>300</v>
      </c>
      <c r="B183">
        <v>48161.65</v>
      </c>
      <c r="C183">
        <v>0</v>
      </c>
    </row>
    <row r="184" spans="1:3">
      <c r="A184">
        <v>305</v>
      </c>
      <c r="B184">
        <v>16692.39</v>
      </c>
      <c r="C184">
        <v>0</v>
      </c>
    </row>
    <row r="185" spans="1:3">
      <c r="A185">
        <v>306</v>
      </c>
      <c r="B185">
        <v>575</v>
      </c>
      <c r="C185">
        <v>0</v>
      </c>
    </row>
    <row r="186" spans="1:3">
      <c r="A186">
        <v>307</v>
      </c>
      <c r="B186">
        <v>8076</v>
      </c>
      <c r="C186">
        <v>0</v>
      </c>
    </row>
    <row r="187" spans="1:3">
      <c r="A187">
        <v>308</v>
      </c>
      <c r="B187">
        <v>1869.15</v>
      </c>
      <c r="C187">
        <v>0</v>
      </c>
    </row>
    <row r="188" spans="1:3">
      <c r="A188">
        <v>309</v>
      </c>
      <c r="B188">
        <v>8125.75</v>
      </c>
      <c r="C188">
        <v>0</v>
      </c>
    </row>
    <row r="189" spans="1:3">
      <c r="A189">
        <v>314</v>
      </c>
      <c r="B189">
        <v>1029.26</v>
      </c>
      <c r="C189">
        <v>0</v>
      </c>
    </row>
    <row r="190" spans="1:3">
      <c r="A190">
        <v>315</v>
      </c>
      <c r="B190">
        <v>769.8</v>
      </c>
      <c r="C190">
        <v>0</v>
      </c>
    </row>
    <row r="191" spans="1:3">
      <c r="A191">
        <v>317</v>
      </c>
      <c r="B191">
        <v>695.8</v>
      </c>
      <c r="C191">
        <v>0</v>
      </c>
    </row>
    <row r="192" spans="1:3">
      <c r="A192">
        <v>318</v>
      </c>
      <c r="B192">
        <v>379</v>
      </c>
      <c r="C192">
        <v>0</v>
      </c>
    </row>
    <row r="193" spans="1:3">
      <c r="A193">
        <v>319</v>
      </c>
      <c r="B193">
        <v>866.4</v>
      </c>
      <c r="C193">
        <v>0</v>
      </c>
    </row>
    <row r="194" spans="1:3">
      <c r="A194">
        <v>321</v>
      </c>
      <c r="B194">
        <v>261.60000000000002</v>
      </c>
      <c r="C194">
        <v>0</v>
      </c>
    </row>
    <row r="195" spans="1:3">
      <c r="A195">
        <v>322</v>
      </c>
      <c r="B195">
        <v>1401</v>
      </c>
      <c r="C195">
        <v>0</v>
      </c>
    </row>
    <row r="196" spans="1:3">
      <c r="A196">
        <v>323</v>
      </c>
      <c r="B196">
        <v>59530</v>
      </c>
      <c r="C196">
        <v>0</v>
      </c>
    </row>
    <row r="197" spans="1:3">
      <c r="A197">
        <v>324</v>
      </c>
      <c r="B197">
        <v>54735</v>
      </c>
      <c r="C197">
        <v>0</v>
      </c>
    </row>
    <row r="198" spans="1:3">
      <c r="A198">
        <v>325</v>
      </c>
      <c r="B198">
        <v>127330</v>
      </c>
      <c r="C198">
        <v>0</v>
      </c>
    </row>
    <row r="199" spans="1:3">
      <c r="A199">
        <v>326</v>
      </c>
      <c r="B199">
        <v>525</v>
      </c>
      <c r="C199">
        <v>0</v>
      </c>
    </row>
    <row r="200" spans="1:3">
      <c r="A200">
        <v>327</v>
      </c>
      <c r="B200">
        <v>10449.41</v>
      </c>
      <c r="C200">
        <v>0</v>
      </c>
    </row>
    <row r="201" spans="1:3">
      <c r="A201">
        <v>329</v>
      </c>
      <c r="B201">
        <v>36910</v>
      </c>
      <c r="C201">
        <v>0</v>
      </c>
    </row>
    <row r="202" spans="1:3">
      <c r="A202">
        <v>337</v>
      </c>
      <c r="B202">
        <v>127.5</v>
      </c>
      <c r="C202">
        <v>0</v>
      </c>
    </row>
    <row r="203" spans="1:3">
      <c r="A203">
        <v>340</v>
      </c>
      <c r="B203">
        <v>13392.07</v>
      </c>
      <c r="C203">
        <v>0</v>
      </c>
    </row>
    <row r="204" spans="1:3">
      <c r="A204">
        <v>342</v>
      </c>
      <c r="B204">
        <v>15715.41</v>
      </c>
      <c r="C204">
        <v>0</v>
      </c>
    </row>
    <row r="205" spans="1:3">
      <c r="A205">
        <v>345</v>
      </c>
      <c r="B205">
        <v>900</v>
      </c>
      <c r="C205">
        <v>0</v>
      </c>
    </row>
    <row r="206" spans="1:3">
      <c r="A206">
        <v>346</v>
      </c>
      <c r="B206">
        <v>7100</v>
      </c>
      <c r="C206">
        <v>0</v>
      </c>
    </row>
    <row r="207" spans="1:3">
      <c r="A207">
        <v>348</v>
      </c>
      <c r="B207">
        <v>3045</v>
      </c>
      <c r="C207">
        <v>0</v>
      </c>
    </row>
    <row r="208" spans="1:3">
      <c r="A208">
        <v>350</v>
      </c>
      <c r="B208">
        <v>8009.27</v>
      </c>
      <c r="C208">
        <v>0</v>
      </c>
    </row>
    <row r="209" spans="1:3">
      <c r="A209">
        <v>352</v>
      </c>
      <c r="B209">
        <v>3904</v>
      </c>
      <c r="C209">
        <v>0</v>
      </c>
    </row>
    <row r="210" spans="1:3">
      <c r="A210">
        <v>355</v>
      </c>
      <c r="B210">
        <v>67515</v>
      </c>
      <c r="C210">
        <v>0</v>
      </c>
    </row>
    <row r="211" spans="1:3">
      <c r="A211">
        <v>363</v>
      </c>
      <c r="B211">
        <v>20818</v>
      </c>
      <c r="C211">
        <v>0</v>
      </c>
    </row>
    <row r="212" spans="1:3">
      <c r="A212">
        <v>364</v>
      </c>
      <c r="B212">
        <v>20431.39</v>
      </c>
      <c r="C212">
        <v>0</v>
      </c>
    </row>
    <row r="213" spans="1:3">
      <c r="A213">
        <v>368</v>
      </c>
      <c r="B213">
        <v>1680</v>
      </c>
      <c r="C213">
        <v>0</v>
      </c>
    </row>
    <row r="214" spans="1:3">
      <c r="A214">
        <v>369</v>
      </c>
      <c r="B214">
        <v>8223.9</v>
      </c>
      <c r="C214">
        <v>0</v>
      </c>
    </row>
    <row r="215" spans="1:3">
      <c r="A215">
        <v>370</v>
      </c>
      <c r="B215">
        <v>13755.52</v>
      </c>
      <c r="C215">
        <v>0</v>
      </c>
    </row>
    <row r="216" spans="1:3">
      <c r="A216">
        <v>371</v>
      </c>
      <c r="B216">
        <v>32039.649999999998</v>
      </c>
      <c r="C216">
        <v>0</v>
      </c>
    </row>
    <row r="217" spans="1:3">
      <c r="A217">
        <v>374</v>
      </c>
      <c r="B217">
        <v>138570</v>
      </c>
      <c r="C217">
        <v>0</v>
      </c>
    </row>
    <row r="218" spans="1:3">
      <c r="A218">
        <v>375</v>
      </c>
      <c r="B218">
        <v>25529</v>
      </c>
      <c r="C218">
        <v>0</v>
      </c>
    </row>
    <row r="219" spans="1:3">
      <c r="A219">
        <v>376</v>
      </c>
      <c r="B219">
        <v>1750</v>
      </c>
      <c r="C219">
        <v>0</v>
      </c>
    </row>
    <row r="220" spans="1:3">
      <c r="A220">
        <v>377</v>
      </c>
      <c r="B220">
        <v>28779.599999999999</v>
      </c>
      <c r="C220">
        <v>0</v>
      </c>
    </row>
    <row r="221" spans="1:3">
      <c r="A221">
        <v>378</v>
      </c>
      <c r="B221">
        <v>6500</v>
      </c>
      <c r="C221">
        <v>0</v>
      </c>
    </row>
    <row r="222" spans="1:3">
      <c r="A222">
        <v>379</v>
      </c>
      <c r="B222">
        <v>48164.24</v>
      </c>
      <c r="C222">
        <v>0</v>
      </c>
    </row>
    <row r="223" spans="1:3">
      <c r="A223">
        <v>380</v>
      </c>
      <c r="B223">
        <v>7136.4</v>
      </c>
      <c r="C223">
        <v>0</v>
      </c>
    </row>
    <row r="224" spans="1:3">
      <c r="A224">
        <v>382</v>
      </c>
      <c r="B224">
        <v>2443.84</v>
      </c>
      <c r="C224">
        <v>0</v>
      </c>
    </row>
    <row r="225" spans="1:3">
      <c r="A225">
        <v>384</v>
      </c>
      <c r="B225">
        <v>4324.59</v>
      </c>
      <c r="C225">
        <v>0</v>
      </c>
    </row>
    <row r="226" spans="1:3">
      <c r="A226">
        <v>385</v>
      </c>
      <c r="B226">
        <v>3000</v>
      </c>
      <c r="C226">
        <v>0</v>
      </c>
    </row>
    <row r="227" spans="1:3">
      <c r="A227">
        <v>386</v>
      </c>
      <c r="B227">
        <v>740</v>
      </c>
      <c r="C227">
        <v>0</v>
      </c>
    </row>
    <row r="228" spans="1:3">
      <c r="A228">
        <v>387</v>
      </c>
      <c r="B228">
        <v>25787.64</v>
      </c>
      <c r="C228">
        <v>0</v>
      </c>
    </row>
    <row r="229" spans="1:3">
      <c r="A229">
        <v>388</v>
      </c>
      <c r="B229">
        <v>43559.47</v>
      </c>
      <c r="C229">
        <v>0</v>
      </c>
    </row>
    <row r="230" spans="1:3">
      <c r="A230">
        <v>389</v>
      </c>
      <c r="B230">
        <v>39431.770000000004</v>
      </c>
      <c r="C230">
        <v>0</v>
      </c>
    </row>
    <row r="231" spans="1:3">
      <c r="A231">
        <v>390</v>
      </c>
      <c r="B231">
        <v>82479.939999999988</v>
      </c>
      <c r="C231">
        <v>0</v>
      </c>
    </row>
    <row r="232" spans="1:3">
      <c r="A232">
        <v>391</v>
      </c>
      <c r="B232">
        <v>43559.47</v>
      </c>
      <c r="C232">
        <v>0</v>
      </c>
    </row>
    <row r="233" spans="1:3">
      <c r="A233">
        <v>392</v>
      </c>
      <c r="B233">
        <v>8311.14</v>
      </c>
      <c r="C233">
        <v>0</v>
      </c>
    </row>
    <row r="234" spans="1:3">
      <c r="A234">
        <v>394</v>
      </c>
      <c r="B234">
        <v>30931.919999999998</v>
      </c>
      <c r="C234">
        <v>0</v>
      </c>
    </row>
    <row r="235" spans="1:3">
      <c r="A235">
        <v>395</v>
      </c>
      <c r="B235">
        <v>15971.66</v>
      </c>
      <c r="C235">
        <v>0</v>
      </c>
    </row>
    <row r="236" spans="1:3">
      <c r="A236">
        <v>396</v>
      </c>
      <c r="B236">
        <v>8265.9700000000012</v>
      </c>
      <c r="C236">
        <v>0</v>
      </c>
    </row>
    <row r="237" spans="1:3">
      <c r="A237">
        <v>398</v>
      </c>
      <c r="B237">
        <v>12669.04</v>
      </c>
      <c r="C237">
        <v>0</v>
      </c>
    </row>
    <row r="238" spans="1:3">
      <c r="A238">
        <v>399</v>
      </c>
      <c r="B238">
        <v>5235</v>
      </c>
      <c r="C238">
        <v>0</v>
      </c>
    </row>
    <row r="239" spans="1:3">
      <c r="A239">
        <v>400</v>
      </c>
      <c r="B239">
        <v>1740</v>
      </c>
      <c r="C239">
        <v>0</v>
      </c>
    </row>
    <row r="240" spans="1:3">
      <c r="A240">
        <v>401</v>
      </c>
      <c r="B240">
        <v>4326</v>
      </c>
      <c r="C240">
        <v>0</v>
      </c>
    </row>
    <row r="241" spans="1:3">
      <c r="A241">
        <v>402</v>
      </c>
      <c r="B241">
        <v>46687</v>
      </c>
      <c r="C241">
        <v>0</v>
      </c>
    </row>
    <row r="242" spans="1:3">
      <c r="A242">
        <v>406</v>
      </c>
      <c r="B242">
        <v>19428</v>
      </c>
      <c r="C242">
        <v>0</v>
      </c>
    </row>
    <row r="243" spans="1:3">
      <c r="A243">
        <v>409</v>
      </c>
      <c r="B243">
        <v>5694</v>
      </c>
      <c r="C243">
        <v>0</v>
      </c>
    </row>
    <row r="244" spans="1:3">
      <c r="A244">
        <v>412</v>
      </c>
      <c r="B244">
        <v>2286.5</v>
      </c>
      <c r="C244">
        <v>0</v>
      </c>
    </row>
    <row r="245" spans="1:3">
      <c r="A245">
        <v>414</v>
      </c>
      <c r="B245">
        <v>7824.29</v>
      </c>
      <c r="C245">
        <v>0</v>
      </c>
    </row>
    <row r="246" spans="1:3">
      <c r="A246">
        <v>416</v>
      </c>
      <c r="B246">
        <v>330588.92000000004</v>
      </c>
      <c r="C246">
        <v>0</v>
      </c>
    </row>
    <row r="247" spans="1:3">
      <c r="A247">
        <v>419</v>
      </c>
      <c r="B247">
        <v>5426</v>
      </c>
      <c r="C247">
        <v>0</v>
      </c>
    </row>
    <row r="248" spans="1:3">
      <c r="A248">
        <v>420</v>
      </c>
      <c r="B248">
        <v>3600</v>
      </c>
      <c r="C248">
        <v>0</v>
      </c>
    </row>
    <row r="249" spans="1:3">
      <c r="A249">
        <v>422</v>
      </c>
      <c r="B249">
        <v>1788.96</v>
      </c>
      <c r="C249">
        <v>0</v>
      </c>
    </row>
    <row r="250" spans="1:3">
      <c r="A250">
        <v>424</v>
      </c>
      <c r="B250">
        <v>130395.5</v>
      </c>
      <c r="C250">
        <v>0</v>
      </c>
    </row>
    <row r="251" spans="1:3">
      <c r="A251">
        <v>427</v>
      </c>
      <c r="B251">
        <v>27311.52</v>
      </c>
      <c r="C251">
        <v>0</v>
      </c>
    </row>
    <row r="252" spans="1:3">
      <c r="A252">
        <v>428</v>
      </c>
      <c r="B252">
        <v>637.96</v>
      </c>
      <c r="C252">
        <v>0</v>
      </c>
    </row>
    <row r="253" spans="1:3">
      <c r="A253">
        <v>429</v>
      </c>
      <c r="B253">
        <v>18950.68</v>
      </c>
      <c r="C253">
        <v>0</v>
      </c>
    </row>
    <row r="254" spans="1:3">
      <c r="A254">
        <v>431</v>
      </c>
      <c r="B254">
        <v>16325.56</v>
      </c>
      <c r="C254">
        <v>0</v>
      </c>
    </row>
    <row r="255" spans="1:3">
      <c r="A255">
        <v>433</v>
      </c>
      <c r="B255">
        <v>10827</v>
      </c>
      <c r="C255">
        <v>0</v>
      </c>
    </row>
    <row r="256" spans="1:3">
      <c r="A256">
        <v>434</v>
      </c>
      <c r="B256">
        <v>1445</v>
      </c>
      <c r="C256">
        <v>0</v>
      </c>
    </row>
    <row r="257" spans="1:3">
      <c r="A257">
        <v>435</v>
      </c>
      <c r="B257">
        <v>47990.520000000004</v>
      </c>
      <c r="C257">
        <v>0</v>
      </c>
    </row>
    <row r="258" spans="1:3">
      <c r="A258">
        <v>436</v>
      </c>
      <c r="B258">
        <v>254334</v>
      </c>
      <c r="C258">
        <v>0</v>
      </c>
    </row>
    <row r="259" spans="1:3">
      <c r="A259">
        <v>437</v>
      </c>
      <c r="B259">
        <v>137.51</v>
      </c>
      <c r="C259">
        <v>0</v>
      </c>
    </row>
    <row r="260" spans="1:3">
      <c r="A260">
        <v>440</v>
      </c>
      <c r="B260">
        <v>137673</v>
      </c>
      <c r="C260">
        <v>0</v>
      </c>
    </row>
    <row r="261" spans="1:3">
      <c r="A261">
        <v>443</v>
      </c>
      <c r="B261">
        <v>38982</v>
      </c>
      <c r="C261">
        <v>0</v>
      </c>
    </row>
    <row r="262" spans="1:3">
      <c r="A262">
        <v>445</v>
      </c>
      <c r="B262">
        <v>16950.3</v>
      </c>
      <c r="C262">
        <v>0</v>
      </c>
    </row>
    <row r="263" spans="1:3">
      <c r="A263">
        <v>446</v>
      </c>
      <c r="B263">
        <v>20159.510000000002</v>
      </c>
      <c r="C263">
        <v>0</v>
      </c>
    </row>
    <row r="264" spans="1:3">
      <c r="A264">
        <v>447</v>
      </c>
      <c r="B264">
        <v>5244</v>
      </c>
      <c r="C264">
        <v>0</v>
      </c>
    </row>
    <row r="265" spans="1:3">
      <c r="A265">
        <v>448</v>
      </c>
      <c r="B265">
        <v>54867.25</v>
      </c>
      <c r="C265">
        <v>0</v>
      </c>
    </row>
    <row r="266" spans="1:3">
      <c r="A266">
        <v>454</v>
      </c>
      <c r="B266">
        <v>36210</v>
      </c>
      <c r="C266">
        <v>0</v>
      </c>
    </row>
    <row r="267" spans="1:3">
      <c r="A267">
        <v>455</v>
      </c>
      <c r="B267">
        <v>1665</v>
      </c>
      <c r="C267">
        <v>0</v>
      </c>
    </row>
    <row r="268" spans="1:3">
      <c r="A268">
        <v>456</v>
      </c>
      <c r="B268">
        <v>1205</v>
      </c>
      <c r="C268">
        <v>0</v>
      </c>
    </row>
    <row r="269" spans="1:3">
      <c r="A269">
        <v>457</v>
      </c>
      <c r="B269">
        <v>780</v>
      </c>
      <c r="C269">
        <v>0</v>
      </c>
    </row>
    <row r="270" spans="1:3">
      <c r="A270">
        <v>458</v>
      </c>
      <c r="B270">
        <v>1465</v>
      </c>
      <c r="C270">
        <v>0</v>
      </c>
    </row>
    <row r="271" spans="1:3">
      <c r="A271">
        <v>459</v>
      </c>
      <c r="B271">
        <v>305</v>
      </c>
      <c r="C271">
        <v>0</v>
      </c>
    </row>
    <row r="272" spans="1:3">
      <c r="A272">
        <v>460</v>
      </c>
      <c r="B272">
        <v>2832</v>
      </c>
      <c r="C272">
        <v>0</v>
      </c>
    </row>
    <row r="273" spans="1:3">
      <c r="A273">
        <v>461</v>
      </c>
      <c r="B273">
        <v>10222</v>
      </c>
      <c r="C273">
        <v>0</v>
      </c>
    </row>
    <row r="274" spans="1:3">
      <c r="A274">
        <v>462</v>
      </c>
      <c r="B274">
        <v>10786</v>
      </c>
      <c r="C274">
        <v>0</v>
      </c>
    </row>
    <row r="275" spans="1:3">
      <c r="A275">
        <v>463</v>
      </c>
      <c r="B275">
        <v>34866</v>
      </c>
      <c r="C275">
        <v>0</v>
      </c>
    </row>
    <row r="276" spans="1:3">
      <c r="A276">
        <v>464</v>
      </c>
      <c r="B276">
        <v>2267.5</v>
      </c>
      <c r="C276">
        <v>0</v>
      </c>
    </row>
    <row r="277" spans="1:3">
      <c r="A277">
        <v>465</v>
      </c>
      <c r="B277">
        <v>9065</v>
      </c>
      <c r="C277">
        <v>0</v>
      </c>
    </row>
    <row r="278" spans="1:3">
      <c r="A278">
        <v>467</v>
      </c>
      <c r="B278">
        <v>80360.45</v>
      </c>
      <c r="C278">
        <v>0</v>
      </c>
    </row>
    <row r="279" spans="1:3">
      <c r="A279">
        <v>468</v>
      </c>
      <c r="B279">
        <v>31263.040000000001</v>
      </c>
      <c r="C279">
        <v>0</v>
      </c>
    </row>
    <row r="280" spans="1:3">
      <c r="A280">
        <v>469</v>
      </c>
      <c r="B280">
        <v>670.22</v>
      </c>
      <c r="C280">
        <v>0</v>
      </c>
    </row>
    <row r="281" spans="1:3">
      <c r="A281">
        <v>470</v>
      </c>
      <c r="B281">
        <v>5646.32</v>
      </c>
      <c r="C281">
        <v>0</v>
      </c>
    </row>
    <row r="282" spans="1:3">
      <c r="A282">
        <v>471</v>
      </c>
      <c r="B282">
        <v>62621</v>
      </c>
      <c r="C282">
        <v>0</v>
      </c>
    </row>
    <row r="283" spans="1:3">
      <c r="A283">
        <v>472</v>
      </c>
      <c r="B283">
        <v>5320.7199999999993</v>
      </c>
      <c r="C283">
        <v>0</v>
      </c>
    </row>
    <row r="284" spans="1:3">
      <c r="A284">
        <v>473</v>
      </c>
      <c r="B284">
        <v>570</v>
      </c>
      <c r="C284">
        <v>0</v>
      </c>
    </row>
    <row r="285" spans="1:3">
      <c r="A285">
        <v>474</v>
      </c>
      <c r="B285">
        <v>5334.66</v>
      </c>
      <c r="C285">
        <v>0</v>
      </c>
    </row>
    <row r="286" spans="1:3">
      <c r="A286">
        <v>478</v>
      </c>
      <c r="B286">
        <v>8311</v>
      </c>
      <c r="C286">
        <v>0</v>
      </c>
    </row>
    <row r="287" spans="1:3">
      <c r="A287">
        <v>479</v>
      </c>
      <c r="B287">
        <v>3878</v>
      </c>
      <c r="C287">
        <v>0</v>
      </c>
    </row>
    <row r="288" spans="1:3">
      <c r="A288">
        <v>480</v>
      </c>
      <c r="B288">
        <v>4998</v>
      </c>
      <c r="C288">
        <v>0</v>
      </c>
    </row>
    <row r="289" spans="1:3">
      <c r="A289">
        <v>482</v>
      </c>
      <c r="B289">
        <v>13118.4</v>
      </c>
      <c r="C289">
        <v>0</v>
      </c>
    </row>
    <row r="290" spans="1:3">
      <c r="A290">
        <v>483</v>
      </c>
      <c r="B290">
        <v>11170</v>
      </c>
      <c r="C290">
        <v>0</v>
      </c>
    </row>
    <row r="291" spans="1:3">
      <c r="A291">
        <v>484</v>
      </c>
      <c r="B291">
        <v>6901.05</v>
      </c>
      <c r="C291">
        <v>0</v>
      </c>
    </row>
    <row r="292" spans="1:3">
      <c r="A292">
        <v>486</v>
      </c>
      <c r="B292">
        <v>26748</v>
      </c>
      <c r="C292">
        <v>0</v>
      </c>
    </row>
    <row r="293" spans="1:3">
      <c r="A293">
        <v>487</v>
      </c>
      <c r="B293">
        <v>4351</v>
      </c>
      <c r="C293">
        <v>0</v>
      </c>
    </row>
    <row r="294" spans="1:3">
      <c r="A294">
        <v>489</v>
      </c>
      <c r="B294">
        <v>59933.659999999996</v>
      </c>
      <c r="C294">
        <v>0</v>
      </c>
    </row>
    <row r="295" spans="1:3">
      <c r="A295">
        <v>490</v>
      </c>
      <c r="B295">
        <v>2648</v>
      </c>
      <c r="C295">
        <v>0</v>
      </c>
    </row>
    <row r="296" spans="1:3">
      <c r="A296">
        <v>491</v>
      </c>
      <c r="B296">
        <v>5691</v>
      </c>
      <c r="C296">
        <v>0</v>
      </c>
    </row>
    <row r="297" spans="1:3">
      <c r="A297">
        <v>492</v>
      </c>
      <c r="B297">
        <v>84307</v>
      </c>
      <c r="C297">
        <v>0</v>
      </c>
    </row>
    <row r="298" spans="1:3">
      <c r="A298">
        <v>496</v>
      </c>
      <c r="B298">
        <v>6947.73</v>
      </c>
      <c r="C298">
        <v>0</v>
      </c>
    </row>
    <row r="299" spans="1:3">
      <c r="A299">
        <v>497</v>
      </c>
      <c r="B299">
        <v>4438</v>
      </c>
      <c r="C299">
        <v>0</v>
      </c>
    </row>
    <row r="300" spans="1:3">
      <c r="A300">
        <v>498</v>
      </c>
      <c r="B300">
        <v>25884.35</v>
      </c>
      <c r="C300">
        <v>0</v>
      </c>
    </row>
    <row r="301" spans="1:3">
      <c r="A301">
        <v>499</v>
      </c>
      <c r="B301">
        <v>19682.599999999999</v>
      </c>
      <c r="C301">
        <v>0</v>
      </c>
    </row>
    <row r="302" spans="1:3">
      <c r="A302">
        <v>500</v>
      </c>
      <c r="B302">
        <v>11054.869999999999</v>
      </c>
      <c r="C302">
        <v>0</v>
      </c>
    </row>
    <row r="303" spans="1:3">
      <c r="A303">
        <v>501</v>
      </c>
      <c r="B303">
        <v>11490</v>
      </c>
      <c r="C303">
        <v>0</v>
      </c>
    </row>
    <row r="304" spans="1:3">
      <c r="A304">
        <v>505</v>
      </c>
      <c r="B304">
        <v>8631.9599999999991</v>
      </c>
      <c r="C304">
        <v>0</v>
      </c>
    </row>
    <row r="305" spans="1:3">
      <c r="A305">
        <v>506</v>
      </c>
      <c r="B305">
        <v>6474.1</v>
      </c>
      <c r="C305">
        <v>0</v>
      </c>
    </row>
    <row r="306" spans="1:3">
      <c r="A306">
        <v>507</v>
      </c>
      <c r="B306">
        <v>10798.04</v>
      </c>
      <c r="C306">
        <v>0</v>
      </c>
    </row>
    <row r="307" spans="1:3">
      <c r="A307">
        <v>508</v>
      </c>
      <c r="B307">
        <v>7119</v>
      </c>
      <c r="C307">
        <v>0</v>
      </c>
    </row>
    <row r="308" spans="1:3">
      <c r="A308">
        <v>509</v>
      </c>
      <c r="B308">
        <v>2789.02</v>
      </c>
      <c r="C308">
        <v>0</v>
      </c>
    </row>
    <row r="309" spans="1:3">
      <c r="A309">
        <v>510</v>
      </c>
      <c r="B309">
        <v>19967.13</v>
      </c>
      <c r="C309">
        <v>0</v>
      </c>
    </row>
    <row r="310" spans="1:3">
      <c r="A310">
        <v>511</v>
      </c>
      <c r="B310">
        <v>25252.01</v>
      </c>
      <c r="C310">
        <v>0</v>
      </c>
    </row>
    <row r="311" spans="1:3">
      <c r="A311">
        <v>513</v>
      </c>
      <c r="B311">
        <v>38417.67</v>
      </c>
      <c r="C311">
        <v>0</v>
      </c>
    </row>
    <row r="312" spans="1:3">
      <c r="A312">
        <v>514</v>
      </c>
      <c r="B312">
        <v>60840</v>
      </c>
      <c r="C312">
        <v>0</v>
      </c>
    </row>
    <row r="313" spans="1:3">
      <c r="A313">
        <v>515</v>
      </c>
      <c r="B313">
        <v>11020.8</v>
      </c>
      <c r="C313">
        <v>0</v>
      </c>
    </row>
    <row r="314" spans="1:3">
      <c r="A314">
        <v>516</v>
      </c>
      <c r="B314">
        <v>7872</v>
      </c>
      <c r="C314">
        <v>0</v>
      </c>
    </row>
    <row r="315" spans="1:3">
      <c r="A315">
        <v>518</v>
      </c>
      <c r="B315">
        <v>1497.6</v>
      </c>
      <c r="C315">
        <v>0</v>
      </c>
    </row>
    <row r="316" spans="1:3">
      <c r="A316">
        <v>521</v>
      </c>
      <c r="B316">
        <v>194772</v>
      </c>
      <c r="C316">
        <v>0</v>
      </c>
    </row>
    <row r="317" spans="1:3">
      <c r="A317">
        <v>522</v>
      </c>
      <c r="B317">
        <v>23340</v>
      </c>
      <c r="C317">
        <v>0</v>
      </c>
    </row>
    <row r="318" spans="1:3">
      <c r="A318">
        <v>523</v>
      </c>
      <c r="B318">
        <v>2100</v>
      </c>
      <c r="C318">
        <v>0</v>
      </c>
    </row>
    <row r="319" spans="1:3">
      <c r="A319">
        <v>524</v>
      </c>
      <c r="B319">
        <v>270863.65000000002</v>
      </c>
      <c r="C319">
        <v>0</v>
      </c>
    </row>
    <row r="320" spans="1:3">
      <c r="A320">
        <v>525</v>
      </c>
      <c r="B320">
        <v>22708.55</v>
      </c>
      <c r="C320">
        <v>0</v>
      </c>
    </row>
    <row r="321" spans="1:3">
      <c r="A321">
        <v>526</v>
      </c>
      <c r="B321">
        <v>24593</v>
      </c>
      <c r="C321">
        <v>0</v>
      </c>
    </row>
    <row r="322" spans="1:3">
      <c r="A322">
        <v>528</v>
      </c>
      <c r="B322">
        <v>6395</v>
      </c>
      <c r="C322">
        <v>0</v>
      </c>
    </row>
    <row r="323" spans="1:3">
      <c r="A323">
        <v>529</v>
      </c>
      <c r="B323">
        <v>2802</v>
      </c>
      <c r="C323">
        <v>0</v>
      </c>
    </row>
    <row r="324" spans="1:3">
      <c r="A324">
        <v>530</v>
      </c>
      <c r="B324">
        <v>7285.88</v>
      </c>
      <c r="C324">
        <v>0</v>
      </c>
    </row>
    <row r="325" spans="1:3">
      <c r="A325">
        <v>531</v>
      </c>
      <c r="B325">
        <v>33581.880000000005</v>
      </c>
      <c r="C325">
        <v>0</v>
      </c>
    </row>
    <row r="326" spans="1:3">
      <c r="A326">
        <v>533</v>
      </c>
      <c r="B326">
        <v>2722.8500000000004</v>
      </c>
      <c r="C326">
        <v>0</v>
      </c>
    </row>
    <row r="327" spans="1:3">
      <c r="A327">
        <v>535</v>
      </c>
      <c r="B327">
        <v>2861.4</v>
      </c>
      <c r="C327">
        <v>0</v>
      </c>
    </row>
    <row r="328" spans="1:3">
      <c r="A328">
        <v>536</v>
      </c>
      <c r="B328">
        <v>81706.590000000011</v>
      </c>
      <c r="C328">
        <v>0</v>
      </c>
    </row>
    <row r="329" spans="1:3">
      <c r="A329">
        <v>537</v>
      </c>
      <c r="B329">
        <v>6262.43</v>
      </c>
      <c r="C329">
        <v>0</v>
      </c>
    </row>
    <row r="330" spans="1:3">
      <c r="A330">
        <v>539</v>
      </c>
      <c r="B330">
        <v>7198.65</v>
      </c>
      <c r="C330">
        <v>0</v>
      </c>
    </row>
    <row r="331" spans="1:3">
      <c r="A331">
        <v>540</v>
      </c>
      <c r="B331">
        <v>42018.67</v>
      </c>
      <c r="C331">
        <v>0</v>
      </c>
    </row>
    <row r="332" spans="1:3">
      <c r="A332">
        <v>541</v>
      </c>
      <c r="B332">
        <v>9477</v>
      </c>
      <c r="C332">
        <v>0</v>
      </c>
    </row>
    <row r="333" spans="1:3">
      <c r="A333">
        <v>542</v>
      </c>
      <c r="B333">
        <v>1110.3800000000001</v>
      </c>
      <c r="C333">
        <v>0</v>
      </c>
    </row>
    <row r="334" spans="1:3">
      <c r="A334">
        <v>545</v>
      </c>
      <c r="B334">
        <v>955</v>
      </c>
      <c r="C334">
        <v>0</v>
      </c>
    </row>
    <row r="335" spans="1:3">
      <c r="A335">
        <v>546</v>
      </c>
      <c r="B335">
        <v>75606</v>
      </c>
      <c r="C335">
        <v>0</v>
      </c>
    </row>
    <row r="336" spans="1:3">
      <c r="A336">
        <v>547</v>
      </c>
      <c r="B336">
        <v>4307.1499999999996</v>
      </c>
      <c r="C336">
        <v>0</v>
      </c>
    </row>
    <row r="337" spans="1:3">
      <c r="A337">
        <v>548</v>
      </c>
      <c r="B337">
        <v>62135</v>
      </c>
      <c r="C337">
        <v>0</v>
      </c>
    </row>
    <row r="338" spans="1:3">
      <c r="A338">
        <v>549</v>
      </c>
      <c r="B338">
        <v>32910</v>
      </c>
      <c r="C338">
        <v>0</v>
      </c>
    </row>
    <row r="339" spans="1:3">
      <c r="A339">
        <v>550</v>
      </c>
      <c r="B339">
        <v>43995.07</v>
      </c>
      <c r="C339">
        <v>0</v>
      </c>
    </row>
    <row r="340" spans="1:3">
      <c r="A340">
        <v>551</v>
      </c>
      <c r="B340">
        <v>50478</v>
      </c>
      <c r="C340">
        <v>0</v>
      </c>
    </row>
    <row r="341" spans="1:3">
      <c r="A341">
        <v>552</v>
      </c>
      <c r="B341">
        <v>19741.939999999999</v>
      </c>
      <c r="C341">
        <v>0</v>
      </c>
    </row>
    <row r="342" spans="1:3">
      <c r="A342">
        <v>553</v>
      </c>
      <c r="B342">
        <v>18980</v>
      </c>
      <c r="C342">
        <v>0</v>
      </c>
    </row>
    <row r="343" spans="1:3">
      <c r="A343">
        <v>554</v>
      </c>
      <c r="B343">
        <v>1613.45</v>
      </c>
      <c r="C343">
        <v>0</v>
      </c>
    </row>
    <row r="344" spans="1:3">
      <c r="A344">
        <v>555</v>
      </c>
      <c r="B344">
        <v>5682</v>
      </c>
      <c r="C344">
        <v>0</v>
      </c>
    </row>
    <row r="345" spans="1:3">
      <c r="A345">
        <v>557</v>
      </c>
      <c r="B345">
        <v>8329.1899999999987</v>
      </c>
      <c r="C345">
        <v>0</v>
      </c>
    </row>
    <row r="346" spans="1:3">
      <c r="A346">
        <v>558</v>
      </c>
      <c r="B346">
        <v>16034.17</v>
      </c>
      <c r="C346">
        <v>0</v>
      </c>
    </row>
    <row r="347" spans="1:3">
      <c r="A347">
        <v>560</v>
      </c>
      <c r="B347">
        <v>1725</v>
      </c>
      <c r="C347">
        <v>0</v>
      </c>
    </row>
    <row r="348" spans="1:3">
      <c r="A348">
        <v>561</v>
      </c>
      <c r="B348">
        <v>57286</v>
      </c>
      <c r="C348">
        <v>0</v>
      </c>
    </row>
    <row r="349" spans="1:3">
      <c r="A349">
        <v>562</v>
      </c>
      <c r="B349">
        <v>2837.24</v>
      </c>
      <c r="C349">
        <v>0</v>
      </c>
    </row>
    <row r="350" spans="1:3">
      <c r="A350">
        <v>563</v>
      </c>
      <c r="B350">
        <v>8838.5600000000013</v>
      </c>
      <c r="C350">
        <v>0</v>
      </c>
    </row>
    <row r="351" spans="1:3">
      <c r="A351">
        <v>567</v>
      </c>
      <c r="B351">
        <v>713.63</v>
      </c>
      <c r="C351">
        <v>0</v>
      </c>
    </row>
    <row r="352" spans="1:3">
      <c r="A352">
        <v>568</v>
      </c>
      <c r="B352">
        <v>2700</v>
      </c>
      <c r="C352">
        <v>0</v>
      </c>
    </row>
    <row r="353" spans="1:3">
      <c r="A353">
        <v>570</v>
      </c>
      <c r="B353">
        <v>2504</v>
      </c>
      <c r="C353">
        <v>0</v>
      </c>
    </row>
    <row r="354" spans="1:3">
      <c r="A354">
        <v>571</v>
      </c>
      <c r="B354">
        <v>11858</v>
      </c>
      <c r="C354">
        <v>0</v>
      </c>
    </row>
    <row r="355" spans="1:3">
      <c r="A355">
        <v>572</v>
      </c>
      <c r="B355">
        <v>10105.09</v>
      </c>
      <c r="C355">
        <v>0</v>
      </c>
    </row>
    <row r="356" spans="1:3">
      <c r="A356">
        <v>573</v>
      </c>
      <c r="B356">
        <v>6668</v>
      </c>
      <c r="C356">
        <v>0</v>
      </c>
    </row>
    <row r="357" spans="1:3">
      <c r="A357">
        <v>575</v>
      </c>
      <c r="B357">
        <v>21032.86</v>
      </c>
      <c r="C357">
        <v>0</v>
      </c>
    </row>
    <row r="358" spans="1:3">
      <c r="A358">
        <v>576</v>
      </c>
      <c r="B358">
        <v>10684</v>
      </c>
      <c r="C358">
        <v>0</v>
      </c>
    </row>
    <row r="359" spans="1:3">
      <c r="A359">
        <v>577</v>
      </c>
      <c r="B359">
        <v>13215.78</v>
      </c>
      <c r="C359">
        <v>0</v>
      </c>
    </row>
    <row r="360" spans="1:3">
      <c r="A360">
        <v>581</v>
      </c>
      <c r="B360">
        <v>1917.44</v>
      </c>
      <c r="C360">
        <v>0</v>
      </c>
    </row>
    <row r="361" spans="1:3">
      <c r="A361">
        <v>583</v>
      </c>
      <c r="B361">
        <v>13550</v>
      </c>
      <c r="C361">
        <v>0</v>
      </c>
    </row>
    <row r="362" spans="1:3">
      <c r="A362">
        <v>585</v>
      </c>
      <c r="B362">
        <v>130598</v>
      </c>
      <c r="C362">
        <v>0</v>
      </c>
    </row>
    <row r="363" spans="1:3">
      <c r="A363">
        <v>587</v>
      </c>
      <c r="B363">
        <v>1971.8</v>
      </c>
      <c r="C363">
        <v>0</v>
      </c>
    </row>
    <row r="364" spans="1:3">
      <c r="A364">
        <v>588</v>
      </c>
      <c r="B364">
        <v>1299</v>
      </c>
      <c r="C364">
        <v>0</v>
      </c>
    </row>
    <row r="365" spans="1:3">
      <c r="A365">
        <v>589</v>
      </c>
      <c r="B365">
        <v>1500</v>
      </c>
      <c r="C365">
        <v>0</v>
      </c>
    </row>
    <row r="366" spans="1:3">
      <c r="A366">
        <v>590</v>
      </c>
      <c r="B366">
        <v>3097.62</v>
      </c>
      <c r="C366">
        <v>0</v>
      </c>
    </row>
    <row r="367" spans="1:3">
      <c r="A367">
        <v>591</v>
      </c>
      <c r="B367">
        <v>4711.78</v>
      </c>
      <c r="C367">
        <v>0</v>
      </c>
    </row>
    <row r="368" spans="1:3">
      <c r="A368">
        <v>592</v>
      </c>
      <c r="B368">
        <v>2528.67</v>
      </c>
      <c r="C368">
        <v>0</v>
      </c>
    </row>
    <row r="369" spans="1:3">
      <c r="A369">
        <v>593</v>
      </c>
      <c r="B369">
        <v>1877</v>
      </c>
      <c r="C369">
        <v>0</v>
      </c>
    </row>
    <row r="370" spans="1:3">
      <c r="A370">
        <v>594</v>
      </c>
      <c r="B370">
        <v>6960</v>
      </c>
      <c r="C370">
        <v>0</v>
      </c>
    </row>
    <row r="371" spans="1:3">
      <c r="A371">
        <v>598</v>
      </c>
      <c r="B371">
        <v>2856</v>
      </c>
      <c r="C371">
        <v>0</v>
      </c>
    </row>
    <row r="372" spans="1:3">
      <c r="A372">
        <v>600</v>
      </c>
      <c r="B372">
        <v>1560.56</v>
      </c>
      <c r="C372">
        <v>0</v>
      </c>
    </row>
    <row r="373" spans="1:3">
      <c r="A373">
        <v>601</v>
      </c>
      <c r="B373">
        <v>6150</v>
      </c>
      <c r="C373">
        <v>0</v>
      </c>
    </row>
    <row r="374" spans="1:3">
      <c r="A374">
        <v>602</v>
      </c>
      <c r="B374">
        <v>4020</v>
      </c>
      <c r="C374">
        <v>0</v>
      </c>
    </row>
    <row r="375" spans="1:3">
      <c r="A375">
        <v>603</v>
      </c>
      <c r="B375">
        <v>5322</v>
      </c>
      <c r="C375">
        <v>0</v>
      </c>
    </row>
    <row r="376" spans="1:3">
      <c r="A376">
        <v>604</v>
      </c>
      <c r="B376">
        <v>2020.5</v>
      </c>
      <c r="C376">
        <v>0</v>
      </c>
    </row>
    <row r="377" spans="1:3">
      <c r="A377">
        <v>605</v>
      </c>
      <c r="B377">
        <v>4226</v>
      </c>
      <c r="C377">
        <v>0</v>
      </c>
    </row>
    <row r="378" spans="1:3">
      <c r="A378">
        <v>607</v>
      </c>
      <c r="B378">
        <v>9570</v>
      </c>
      <c r="C378">
        <v>0</v>
      </c>
    </row>
    <row r="379" spans="1:3">
      <c r="A379">
        <v>608</v>
      </c>
      <c r="B379">
        <v>7395</v>
      </c>
      <c r="C379">
        <v>0</v>
      </c>
    </row>
    <row r="380" spans="1:3">
      <c r="A380">
        <v>609</v>
      </c>
      <c r="B380">
        <v>23716</v>
      </c>
      <c r="C380">
        <v>0</v>
      </c>
    </row>
    <row r="381" spans="1:3">
      <c r="A381">
        <v>610</v>
      </c>
      <c r="B381">
        <v>6609</v>
      </c>
      <c r="C381">
        <v>0</v>
      </c>
    </row>
    <row r="382" spans="1:3">
      <c r="A382">
        <v>613</v>
      </c>
      <c r="B382">
        <v>18638.25</v>
      </c>
      <c r="C382">
        <v>0</v>
      </c>
    </row>
    <row r="383" spans="1:3">
      <c r="A383">
        <v>615</v>
      </c>
      <c r="B383">
        <v>7230</v>
      </c>
      <c r="C383">
        <v>0</v>
      </c>
    </row>
    <row r="384" spans="1:3">
      <c r="A384">
        <v>616</v>
      </c>
      <c r="B384">
        <v>4752</v>
      </c>
      <c r="C384">
        <v>0</v>
      </c>
    </row>
    <row r="385" spans="1:3">
      <c r="A385">
        <v>617</v>
      </c>
      <c r="B385">
        <v>5171.3899999999994</v>
      </c>
      <c r="C385">
        <v>0</v>
      </c>
    </row>
    <row r="386" spans="1:3">
      <c r="A386">
        <v>618</v>
      </c>
      <c r="B386">
        <v>1920</v>
      </c>
      <c r="C386">
        <v>0</v>
      </c>
    </row>
    <row r="387" spans="1:3">
      <c r="A387">
        <v>622</v>
      </c>
      <c r="B387">
        <v>3010</v>
      </c>
      <c r="C387">
        <v>0</v>
      </c>
    </row>
    <row r="388" spans="1:3">
      <c r="A388">
        <v>624</v>
      </c>
      <c r="B388">
        <v>7360.8</v>
      </c>
      <c r="C388">
        <v>0</v>
      </c>
    </row>
    <row r="389" spans="1:3">
      <c r="A389">
        <v>625</v>
      </c>
      <c r="B389">
        <v>379735</v>
      </c>
      <c r="C389">
        <v>0</v>
      </c>
    </row>
    <row r="390" spans="1:3">
      <c r="A390">
        <v>626</v>
      </c>
      <c r="B390">
        <v>349075</v>
      </c>
      <c r="C390">
        <v>0</v>
      </c>
    </row>
    <row r="391" spans="1:3">
      <c r="A391">
        <v>627</v>
      </c>
      <c r="B391">
        <v>1230.3</v>
      </c>
      <c r="C391">
        <v>0</v>
      </c>
    </row>
    <row r="392" spans="1:3">
      <c r="A392">
        <v>628</v>
      </c>
      <c r="B392">
        <v>429</v>
      </c>
      <c r="C392">
        <v>0</v>
      </c>
    </row>
    <row r="393" spans="1:3">
      <c r="A393">
        <v>629</v>
      </c>
      <c r="B393">
        <v>87250.13</v>
      </c>
      <c r="C393">
        <v>0</v>
      </c>
    </row>
    <row r="394" spans="1:3">
      <c r="A394">
        <v>633</v>
      </c>
      <c r="B394">
        <v>3630</v>
      </c>
      <c r="C394">
        <v>0</v>
      </c>
    </row>
    <row r="395" spans="1:3">
      <c r="A395">
        <v>634</v>
      </c>
      <c r="B395">
        <v>3528</v>
      </c>
      <c r="C395">
        <v>0</v>
      </c>
    </row>
    <row r="396" spans="1:3">
      <c r="A396">
        <v>635</v>
      </c>
      <c r="B396">
        <v>5000</v>
      </c>
      <c r="C396">
        <v>0</v>
      </c>
    </row>
    <row r="397" spans="1:3">
      <c r="A397">
        <v>636</v>
      </c>
      <c r="B397">
        <v>1221</v>
      </c>
      <c r="C397">
        <v>0</v>
      </c>
    </row>
    <row r="398" spans="1:3">
      <c r="A398">
        <v>637</v>
      </c>
      <c r="B398">
        <v>1158.04</v>
      </c>
      <c r="C398">
        <v>0</v>
      </c>
    </row>
    <row r="399" spans="1:3">
      <c r="A399">
        <v>638</v>
      </c>
      <c r="B399">
        <v>9570</v>
      </c>
      <c r="C399">
        <v>0</v>
      </c>
    </row>
    <row r="400" spans="1:3">
      <c r="A400">
        <v>640</v>
      </c>
      <c r="B400">
        <v>200</v>
      </c>
      <c r="C400">
        <v>0</v>
      </c>
    </row>
    <row r="401" spans="1:3">
      <c r="A401">
        <v>642</v>
      </c>
      <c r="B401">
        <v>7395</v>
      </c>
      <c r="C401">
        <v>0</v>
      </c>
    </row>
    <row r="402" spans="1:3">
      <c r="A402">
        <v>643</v>
      </c>
      <c r="B402">
        <v>1320000</v>
      </c>
      <c r="C402">
        <v>0</v>
      </c>
    </row>
    <row r="403" spans="1:3">
      <c r="A403">
        <v>644</v>
      </c>
      <c r="B403">
        <v>3017.44</v>
      </c>
      <c r="C403">
        <v>0</v>
      </c>
    </row>
    <row r="404" spans="1:3">
      <c r="A404">
        <v>645</v>
      </c>
      <c r="B404">
        <v>2566.4</v>
      </c>
      <c r="C404">
        <v>0</v>
      </c>
    </row>
    <row r="405" spans="1:3">
      <c r="A405">
        <v>646</v>
      </c>
      <c r="B405">
        <v>1515.02</v>
      </c>
      <c r="C405">
        <v>0</v>
      </c>
    </row>
    <row r="406" spans="1:3">
      <c r="A406">
        <v>647</v>
      </c>
      <c r="B406">
        <v>1200</v>
      </c>
      <c r="C406">
        <v>0</v>
      </c>
    </row>
    <row r="407" spans="1:3">
      <c r="A407">
        <v>648</v>
      </c>
      <c r="B407">
        <v>3120143</v>
      </c>
      <c r="C407">
        <v>0</v>
      </c>
    </row>
    <row r="408" spans="1:3">
      <c r="A408">
        <v>649</v>
      </c>
      <c r="B408">
        <v>13274.970000000001</v>
      </c>
      <c r="C408">
        <v>0</v>
      </c>
    </row>
    <row r="409" spans="1:3">
      <c r="A409">
        <v>650</v>
      </c>
      <c r="B409">
        <v>1928.28</v>
      </c>
      <c r="C409">
        <v>0</v>
      </c>
    </row>
    <row r="410" spans="1:3">
      <c r="A410">
        <v>651</v>
      </c>
      <c r="B410">
        <v>4760</v>
      </c>
      <c r="C410">
        <v>0</v>
      </c>
    </row>
    <row r="411" spans="1:3">
      <c r="A411">
        <v>652</v>
      </c>
      <c r="B411">
        <v>1990</v>
      </c>
      <c r="C411">
        <v>0</v>
      </c>
    </row>
    <row r="412" spans="1:3">
      <c r="A412">
        <v>653</v>
      </c>
      <c r="B412">
        <v>260</v>
      </c>
      <c r="C412">
        <v>0</v>
      </c>
    </row>
    <row r="413" spans="1:3">
      <c r="A413">
        <v>654</v>
      </c>
      <c r="B413">
        <v>1980</v>
      </c>
      <c r="C413">
        <v>0</v>
      </c>
    </row>
    <row r="414" spans="1:3">
      <c r="A414">
        <v>655</v>
      </c>
      <c r="B414">
        <v>145.9</v>
      </c>
      <c r="C414">
        <v>0</v>
      </c>
    </row>
    <row r="415" spans="1:3">
      <c r="A415">
        <v>657</v>
      </c>
      <c r="B415">
        <v>2724.75</v>
      </c>
      <c r="C415">
        <v>0</v>
      </c>
    </row>
    <row r="416" spans="1:3">
      <c r="A416">
        <v>658</v>
      </c>
      <c r="B416">
        <v>43398</v>
      </c>
      <c r="C416">
        <v>0</v>
      </c>
    </row>
    <row r="417" spans="1:3">
      <c r="A417">
        <v>660</v>
      </c>
      <c r="B417">
        <v>20000</v>
      </c>
      <c r="C417">
        <v>0</v>
      </c>
    </row>
    <row r="418" spans="1:3">
      <c r="A418">
        <v>661</v>
      </c>
      <c r="B418">
        <v>10104</v>
      </c>
      <c r="C418">
        <v>0</v>
      </c>
    </row>
    <row r="419" spans="1:3">
      <c r="A419">
        <v>662</v>
      </c>
      <c r="B419">
        <v>12606</v>
      </c>
      <c r="C419">
        <v>0</v>
      </c>
    </row>
    <row r="420" spans="1:3">
      <c r="A420">
        <v>664</v>
      </c>
      <c r="B420">
        <v>940</v>
      </c>
      <c r="C420">
        <v>0</v>
      </c>
    </row>
    <row r="421" spans="1:3">
      <c r="A421">
        <v>665</v>
      </c>
      <c r="B421">
        <v>5733.7000000000007</v>
      </c>
      <c r="C421">
        <v>0</v>
      </c>
    </row>
    <row r="422" spans="1:3">
      <c r="A422">
        <v>667</v>
      </c>
      <c r="B422">
        <v>8228</v>
      </c>
      <c r="C422">
        <v>0</v>
      </c>
    </row>
    <row r="423" spans="1:3">
      <c r="A423">
        <v>668</v>
      </c>
      <c r="B423">
        <v>4700</v>
      </c>
      <c r="C423">
        <v>0</v>
      </c>
    </row>
    <row r="424" spans="1:3">
      <c r="A424">
        <v>669</v>
      </c>
      <c r="B424">
        <v>2004.02</v>
      </c>
      <c r="C424">
        <v>0</v>
      </c>
    </row>
    <row r="425" spans="1:3">
      <c r="A425">
        <v>670</v>
      </c>
      <c r="B425">
        <v>4956.01</v>
      </c>
      <c r="C425">
        <v>0</v>
      </c>
    </row>
    <row r="426" spans="1:3">
      <c r="A426">
        <v>671</v>
      </c>
      <c r="B426">
        <v>5985</v>
      </c>
      <c r="C426">
        <v>0</v>
      </c>
    </row>
    <row r="427" spans="1:3">
      <c r="A427">
        <v>672</v>
      </c>
      <c r="B427">
        <v>20073.969999999998</v>
      </c>
      <c r="C427">
        <v>0</v>
      </c>
    </row>
    <row r="428" spans="1:3">
      <c r="A428">
        <v>673</v>
      </c>
      <c r="B428">
        <v>1876.62</v>
      </c>
      <c r="C428">
        <v>0</v>
      </c>
    </row>
    <row r="429" spans="1:3">
      <c r="A429">
        <v>674</v>
      </c>
      <c r="B429">
        <v>3108.73</v>
      </c>
      <c r="C429">
        <v>0</v>
      </c>
    </row>
    <row r="430" spans="1:3">
      <c r="A430">
        <v>676</v>
      </c>
      <c r="B430">
        <v>19036.89</v>
      </c>
      <c r="C430">
        <v>0</v>
      </c>
    </row>
    <row r="431" spans="1:3">
      <c r="A431">
        <v>678</v>
      </c>
      <c r="B431">
        <v>2313.5</v>
      </c>
      <c r="C431">
        <v>0</v>
      </c>
    </row>
    <row r="432" spans="1:3">
      <c r="A432">
        <v>679</v>
      </c>
      <c r="B432">
        <v>11383</v>
      </c>
      <c r="C432">
        <v>0</v>
      </c>
    </row>
    <row r="433" spans="1:3">
      <c r="A433">
        <v>680</v>
      </c>
      <c r="B433">
        <v>19184.04</v>
      </c>
      <c r="C433">
        <v>0</v>
      </c>
    </row>
    <row r="434" spans="1:3">
      <c r="A434">
        <v>683</v>
      </c>
      <c r="B434">
        <v>3081</v>
      </c>
      <c r="C434">
        <v>0</v>
      </c>
    </row>
    <row r="435" spans="1:3">
      <c r="A435">
        <v>684</v>
      </c>
      <c r="B435">
        <v>194.6</v>
      </c>
      <c r="C435">
        <v>0</v>
      </c>
    </row>
    <row r="436" spans="1:3">
      <c r="A436">
        <v>686</v>
      </c>
      <c r="B436">
        <v>2417.65</v>
      </c>
      <c r="C436">
        <v>0</v>
      </c>
    </row>
    <row r="437" spans="1:3">
      <c r="A437">
        <v>692</v>
      </c>
      <c r="B437">
        <v>3288.3</v>
      </c>
      <c r="C437">
        <v>0</v>
      </c>
    </row>
    <row r="438" spans="1:3">
      <c r="A438">
        <v>693</v>
      </c>
      <c r="B438">
        <v>6460</v>
      </c>
      <c r="C438">
        <v>0</v>
      </c>
    </row>
    <row r="439" spans="1:3">
      <c r="A439">
        <v>694</v>
      </c>
      <c r="B439">
        <v>6975</v>
      </c>
      <c r="C439">
        <v>0</v>
      </c>
    </row>
    <row r="440" spans="1:3">
      <c r="A440">
        <v>696</v>
      </c>
      <c r="B440">
        <v>23507.210000000003</v>
      </c>
      <c r="C440">
        <v>0</v>
      </c>
    </row>
    <row r="441" spans="1:3">
      <c r="A441">
        <v>699</v>
      </c>
      <c r="B441">
        <v>1825</v>
      </c>
      <c r="C441">
        <v>0</v>
      </c>
    </row>
    <row r="442" spans="1:3">
      <c r="A442">
        <v>700</v>
      </c>
      <c r="B442">
        <v>260</v>
      </c>
      <c r="C442">
        <v>0</v>
      </c>
    </row>
    <row r="443" spans="1:3">
      <c r="A443">
        <v>701</v>
      </c>
      <c r="B443">
        <v>3915</v>
      </c>
      <c r="C443">
        <v>0</v>
      </c>
    </row>
    <row r="444" spans="1:3">
      <c r="A444">
        <v>702</v>
      </c>
      <c r="B444">
        <v>796.16</v>
      </c>
      <c r="C444">
        <v>0</v>
      </c>
    </row>
    <row r="445" spans="1:3">
      <c r="A445">
        <v>704</v>
      </c>
      <c r="B445">
        <v>9825.94</v>
      </c>
      <c r="C445">
        <v>0</v>
      </c>
    </row>
    <row r="446" spans="1:3">
      <c r="A446">
        <v>706</v>
      </c>
      <c r="B446">
        <v>10334.1</v>
      </c>
      <c r="C446">
        <v>0</v>
      </c>
    </row>
    <row r="447" spans="1:3">
      <c r="A447">
        <v>707</v>
      </c>
      <c r="B447">
        <v>29787.300000000003</v>
      </c>
      <c r="C447">
        <v>0</v>
      </c>
    </row>
    <row r="448" spans="1:3">
      <c r="A448">
        <v>709</v>
      </c>
      <c r="B448">
        <v>3780</v>
      </c>
      <c r="C448">
        <v>0</v>
      </c>
    </row>
    <row r="449" spans="1:3">
      <c r="A449">
        <v>710</v>
      </c>
      <c r="B449">
        <v>6025</v>
      </c>
      <c r="C449">
        <v>0</v>
      </c>
    </row>
    <row r="450" spans="1:3">
      <c r="A450">
        <v>711</v>
      </c>
      <c r="B450">
        <v>5286</v>
      </c>
      <c r="C450">
        <v>0</v>
      </c>
    </row>
    <row r="451" spans="1:3">
      <c r="A451">
        <v>712</v>
      </c>
      <c r="B451">
        <v>12080</v>
      </c>
      <c r="C451">
        <v>0</v>
      </c>
    </row>
    <row r="452" spans="1:3">
      <c r="A452">
        <v>714</v>
      </c>
      <c r="B452">
        <v>35813</v>
      </c>
      <c r="C452">
        <v>0</v>
      </c>
    </row>
    <row r="453" spans="1:3">
      <c r="A453">
        <v>715</v>
      </c>
      <c r="B453">
        <v>30166.35</v>
      </c>
      <c r="C453">
        <v>0</v>
      </c>
    </row>
    <row r="454" spans="1:3">
      <c r="A454">
        <v>716</v>
      </c>
      <c r="B454">
        <v>384.51</v>
      </c>
      <c r="C454">
        <v>0</v>
      </c>
    </row>
    <row r="455" spans="1:3">
      <c r="A455">
        <v>722</v>
      </c>
      <c r="B455">
        <v>1349</v>
      </c>
      <c r="C455">
        <v>0</v>
      </c>
    </row>
    <row r="456" spans="1:3">
      <c r="A456">
        <v>727</v>
      </c>
      <c r="B456">
        <v>58869.130000000005</v>
      </c>
      <c r="C456">
        <v>0</v>
      </c>
    </row>
    <row r="457" spans="1:3">
      <c r="A457">
        <v>728</v>
      </c>
      <c r="B457">
        <v>6075</v>
      </c>
      <c r="C457">
        <v>0</v>
      </c>
    </row>
    <row r="458" spans="1:3">
      <c r="A458">
        <v>729</v>
      </c>
      <c r="B458">
        <v>17512</v>
      </c>
      <c r="C458">
        <v>0</v>
      </c>
    </row>
    <row r="459" spans="1:3">
      <c r="A459">
        <v>730</v>
      </c>
      <c r="B459">
        <v>9701.2199999999993</v>
      </c>
      <c r="C459">
        <v>0</v>
      </c>
    </row>
    <row r="460" spans="1:3">
      <c r="A460">
        <v>731</v>
      </c>
      <c r="B460">
        <v>16650</v>
      </c>
      <c r="C460">
        <v>0</v>
      </c>
    </row>
    <row r="461" spans="1:3">
      <c r="A461">
        <v>734</v>
      </c>
      <c r="B461">
        <v>9616.3100000000013</v>
      </c>
      <c r="C461">
        <v>0</v>
      </c>
    </row>
    <row r="462" spans="1:3">
      <c r="A462">
        <v>737</v>
      </c>
      <c r="B462">
        <v>5070</v>
      </c>
      <c r="C462">
        <v>0</v>
      </c>
    </row>
    <row r="463" spans="1:3">
      <c r="A463">
        <v>738</v>
      </c>
      <c r="B463">
        <v>2253.0500000000002</v>
      </c>
      <c r="C463">
        <v>0</v>
      </c>
    </row>
    <row r="464" spans="1:3">
      <c r="A464">
        <v>739</v>
      </c>
      <c r="B464">
        <v>6460</v>
      </c>
      <c r="C464">
        <v>0</v>
      </c>
    </row>
    <row r="465" spans="1:3">
      <c r="A465">
        <v>740</v>
      </c>
      <c r="B465">
        <v>20705.800000000003</v>
      </c>
      <c r="C465">
        <v>0</v>
      </c>
    </row>
    <row r="466" spans="1:3">
      <c r="A466">
        <v>742</v>
      </c>
      <c r="B466">
        <v>12300</v>
      </c>
      <c r="C466">
        <v>0</v>
      </c>
    </row>
    <row r="467" spans="1:3">
      <c r="A467">
        <v>743</v>
      </c>
      <c r="B467">
        <v>31490.39</v>
      </c>
      <c r="C467">
        <v>0</v>
      </c>
    </row>
    <row r="468" spans="1:3">
      <c r="A468">
        <v>744</v>
      </c>
      <c r="B468">
        <v>1915.02</v>
      </c>
      <c r="C468">
        <v>0</v>
      </c>
    </row>
    <row r="469" spans="1:3">
      <c r="A469">
        <v>745</v>
      </c>
      <c r="B469">
        <v>11714.05</v>
      </c>
      <c r="C469">
        <v>0</v>
      </c>
    </row>
    <row r="470" spans="1:3">
      <c r="A470">
        <v>749</v>
      </c>
      <c r="B470">
        <v>13873.49</v>
      </c>
      <c r="C470">
        <v>0</v>
      </c>
    </row>
    <row r="471" spans="1:3">
      <c r="A471">
        <v>750</v>
      </c>
      <c r="B471">
        <v>10448</v>
      </c>
      <c r="C471">
        <v>0</v>
      </c>
    </row>
    <row r="472" spans="1:3">
      <c r="A472">
        <v>751</v>
      </c>
      <c r="B472">
        <v>27327</v>
      </c>
      <c r="C472">
        <v>0</v>
      </c>
    </row>
    <row r="473" spans="1:3">
      <c r="A473">
        <v>752</v>
      </c>
      <c r="B473">
        <v>19620</v>
      </c>
      <c r="C473">
        <v>0</v>
      </c>
    </row>
    <row r="474" spans="1:3">
      <c r="A474">
        <v>753</v>
      </c>
      <c r="B474">
        <v>6053.6</v>
      </c>
      <c r="C474">
        <v>0</v>
      </c>
    </row>
    <row r="475" spans="1:3">
      <c r="A475">
        <v>757</v>
      </c>
      <c r="B475">
        <v>1067.6400000000001</v>
      </c>
      <c r="C475">
        <v>0</v>
      </c>
    </row>
    <row r="476" spans="1:3">
      <c r="A476">
        <v>758</v>
      </c>
      <c r="B476">
        <v>1002.1</v>
      </c>
      <c r="C476">
        <v>0</v>
      </c>
    </row>
    <row r="477" spans="1:3">
      <c r="A477">
        <v>765</v>
      </c>
      <c r="B477">
        <v>418305.1</v>
      </c>
      <c r="C477">
        <v>0</v>
      </c>
    </row>
    <row r="478" spans="1:3">
      <c r="A478">
        <v>766</v>
      </c>
      <c r="B478">
        <v>17247.439999999999</v>
      </c>
      <c r="C478">
        <v>0</v>
      </c>
    </row>
    <row r="479" spans="1:3">
      <c r="A479">
        <v>767</v>
      </c>
      <c r="B479">
        <v>65660.42</v>
      </c>
      <c r="C479">
        <v>0</v>
      </c>
    </row>
    <row r="480" spans="1:3">
      <c r="A480">
        <v>769</v>
      </c>
      <c r="B480">
        <v>1823</v>
      </c>
      <c r="C480">
        <v>0</v>
      </c>
    </row>
    <row r="481" spans="1:3">
      <c r="A481">
        <v>770</v>
      </c>
      <c r="B481">
        <v>5943.6</v>
      </c>
      <c r="C481">
        <v>0</v>
      </c>
    </row>
    <row r="482" spans="1:3">
      <c r="A482">
        <v>774</v>
      </c>
      <c r="B482">
        <v>959220</v>
      </c>
      <c r="C482">
        <v>0</v>
      </c>
    </row>
    <row r="483" spans="1:3">
      <c r="A483">
        <v>775</v>
      </c>
      <c r="B483">
        <v>3689941</v>
      </c>
      <c r="C483">
        <v>0</v>
      </c>
    </row>
    <row r="484" spans="1:3">
      <c r="A484">
        <v>776</v>
      </c>
      <c r="B484">
        <v>23484594.600000001</v>
      </c>
      <c r="C484">
        <v>0</v>
      </c>
    </row>
    <row r="485" spans="1:3">
      <c r="A485">
        <v>780</v>
      </c>
      <c r="B485">
        <v>5088.07</v>
      </c>
      <c r="C485">
        <v>0</v>
      </c>
    </row>
    <row r="486" spans="1:3">
      <c r="A486">
        <v>781</v>
      </c>
      <c r="B486">
        <v>8424</v>
      </c>
      <c r="C486">
        <v>0</v>
      </c>
    </row>
    <row r="487" spans="1:3">
      <c r="A487">
        <v>782</v>
      </c>
      <c r="B487">
        <v>31576.04</v>
      </c>
      <c r="C487">
        <v>0</v>
      </c>
    </row>
    <row r="488" spans="1:3">
      <c r="A488">
        <v>783</v>
      </c>
      <c r="B488">
        <v>3925</v>
      </c>
      <c r="C488">
        <v>0</v>
      </c>
    </row>
    <row r="489" spans="1:3">
      <c r="A489">
        <v>787</v>
      </c>
      <c r="B489">
        <v>9224.880000000001</v>
      </c>
      <c r="C489">
        <v>0</v>
      </c>
    </row>
    <row r="490" spans="1:3">
      <c r="A490">
        <v>789</v>
      </c>
      <c r="B490">
        <v>-2019.11</v>
      </c>
      <c r="C490">
        <v>0</v>
      </c>
    </row>
    <row r="491" spans="1:3">
      <c r="A491">
        <v>790</v>
      </c>
      <c r="B491">
        <v>90932</v>
      </c>
      <c r="C491">
        <v>0</v>
      </c>
    </row>
    <row r="492" spans="1:3">
      <c r="A492">
        <v>791</v>
      </c>
      <c r="B492">
        <v>1291</v>
      </c>
      <c r="C492">
        <v>0</v>
      </c>
    </row>
    <row r="493" spans="1:3">
      <c r="A493">
        <v>792</v>
      </c>
      <c r="B493">
        <v>930</v>
      </c>
      <c r="C493">
        <v>0</v>
      </c>
    </row>
    <row r="494" spans="1:3">
      <c r="A494">
        <v>793</v>
      </c>
      <c r="B494">
        <v>4474</v>
      </c>
      <c r="C494">
        <v>0</v>
      </c>
    </row>
    <row r="495" spans="1:3">
      <c r="A495">
        <v>795</v>
      </c>
      <c r="B495">
        <v>11980.26</v>
      </c>
      <c r="C495">
        <v>0</v>
      </c>
    </row>
    <row r="496" spans="1:3">
      <c r="A496">
        <v>798</v>
      </c>
      <c r="B496">
        <v>5300</v>
      </c>
      <c r="C496">
        <v>0</v>
      </c>
    </row>
    <row r="497" spans="1:3">
      <c r="A497">
        <v>799</v>
      </c>
      <c r="B497">
        <v>2233369</v>
      </c>
      <c r="C497">
        <v>0</v>
      </c>
    </row>
    <row r="498" spans="1:3">
      <c r="A498">
        <v>802</v>
      </c>
      <c r="B498">
        <v>858.4</v>
      </c>
      <c r="C498">
        <v>0</v>
      </c>
    </row>
    <row r="499" spans="1:3">
      <c r="A499">
        <v>803</v>
      </c>
      <c r="B499">
        <v>10075</v>
      </c>
      <c r="C499">
        <v>0</v>
      </c>
    </row>
    <row r="500" spans="1:3">
      <c r="A500">
        <v>805</v>
      </c>
      <c r="B500">
        <v>1238.3</v>
      </c>
      <c r="C500">
        <v>0</v>
      </c>
    </row>
    <row r="501" spans="1:3">
      <c r="A501">
        <v>806</v>
      </c>
      <c r="B501">
        <v>14262</v>
      </c>
      <c r="C501">
        <v>0</v>
      </c>
    </row>
    <row r="502" spans="1:3">
      <c r="A502">
        <v>819</v>
      </c>
      <c r="B502">
        <v>2119.0500000000002</v>
      </c>
      <c r="C502">
        <v>0</v>
      </c>
    </row>
    <row r="503" spans="1:3">
      <c r="A503">
        <v>820</v>
      </c>
      <c r="B503">
        <v>17919</v>
      </c>
      <c r="C503">
        <v>0</v>
      </c>
    </row>
    <row r="504" spans="1:3">
      <c r="A504">
        <v>821</v>
      </c>
      <c r="B504">
        <v>442</v>
      </c>
      <c r="C504">
        <v>0</v>
      </c>
    </row>
    <row r="505" spans="1:3">
      <c r="A505">
        <v>824</v>
      </c>
      <c r="B505">
        <v>107577</v>
      </c>
      <c r="C505">
        <v>0</v>
      </c>
    </row>
    <row r="506" spans="1:3">
      <c r="A506">
        <v>827</v>
      </c>
      <c r="B506">
        <v>5500</v>
      </c>
      <c r="C506">
        <v>0</v>
      </c>
    </row>
    <row r="507" spans="1:3">
      <c r="A507">
        <v>828</v>
      </c>
      <c r="B507">
        <v>124392</v>
      </c>
      <c r="C507">
        <v>0</v>
      </c>
    </row>
    <row r="508" spans="1:3">
      <c r="A508">
        <v>829</v>
      </c>
      <c r="B508">
        <v>6388.26</v>
      </c>
      <c r="C508">
        <v>0</v>
      </c>
    </row>
    <row r="509" spans="1:3">
      <c r="A509">
        <v>830</v>
      </c>
      <c r="B509">
        <v>22902</v>
      </c>
      <c r="C509">
        <v>0</v>
      </c>
    </row>
    <row r="510" spans="1:3">
      <c r="A510">
        <v>836</v>
      </c>
      <c r="B510">
        <v>315</v>
      </c>
      <c r="C510">
        <v>0</v>
      </c>
    </row>
    <row r="511" spans="1:3">
      <c r="A511">
        <v>837</v>
      </c>
      <c r="B511">
        <v>4591.37</v>
      </c>
      <c r="C511">
        <v>0</v>
      </c>
    </row>
    <row r="512" spans="1:3">
      <c r="A512">
        <v>838</v>
      </c>
      <c r="B512">
        <v>2818.75</v>
      </c>
      <c r="C512">
        <v>0</v>
      </c>
    </row>
    <row r="513" spans="1:3">
      <c r="A513">
        <v>839</v>
      </c>
      <c r="B513">
        <v>40532</v>
      </c>
      <c r="C513">
        <v>0</v>
      </c>
    </row>
    <row r="514" spans="1:3">
      <c r="A514">
        <v>841</v>
      </c>
      <c r="B514">
        <v>532932</v>
      </c>
      <c r="C514">
        <v>0</v>
      </c>
    </row>
    <row r="515" spans="1:3">
      <c r="A515">
        <v>843</v>
      </c>
      <c r="B515">
        <v>3881.74</v>
      </c>
      <c r="C515">
        <v>0</v>
      </c>
    </row>
    <row r="516" spans="1:3">
      <c r="A516">
        <v>844</v>
      </c>
      <c r="B516">
        <v>12165.93</v>
      </c>
      <c r="C516">
        <v>0</v>
      </c>
    </row>
    <row r="517" spans="1:3">
      <c r="A517">
        <v>845</v>
      </c>
      <c r="B517">
        <v>2954</v>
      </c>
      <c r="C517">
        <v>0</v>
      </c>
    </row>
    <row r="518" spans="1:3">
      <c r="A518">
        <v>848</v>
      </c>
      <c r="B518">
        <v>37610.400000000001</v>
      </c>
      <c r="C518">
        <v>0</v>
      </c>
    </row>
    <row r="519" spans="1:3">
      <c r="A519">
        <v>849</v>
      </c>
      <c r="B519">
        <v>2206.02</v>
      </c>
      <c r="C519">
        <v>0</v>
      </c>
    </row>
    <row r="520" spans="1:3">
      <c r="A520">
        <v>850</v>
      </c>
      <c r="B520">
        <v>719677</v>
      </c>
      <c r="C520">
        <v>0</v>
      </c>
    </row>
    <row r="521" spans="1:3">
      <c r="A521">
        <v>856</v>
      </c>
      <c r="B521">
        <v>8775</v>
      </c>
      <c r="C521">
        <v>0</v>
      </c>
    </row>
    <row r="522" spans="1:3">
      <c r="A522">
        <v>857</v>
      </c>
      <c r="B522">
        <v>9081</v>
      </c>
      <c r="C522">
        <v>0</v>
      </c>
    </row>
    <row r="523" spans="1:3">
      <c r="A523">
        <v>858</v>
      </c>
      <c r="B523">
        <v>6523.9</v>
      </c>
      <c r="C523">
        <v>0</v>
      </c>
    </row>
    <row r="524" spans="1:3">
      <c r="A524">
        <v>859</v>
      </c>
      <c r="B524">
        <v>36400</v>
      </c>
      <c r="C524">
        <v>0</v>
      </c>
    </row>
    <row r="525" spans="1:3">
      <c r="A525">
        <v>860</v>
      </c>
      <c r="B525">
        <v>10493</v>
      </c>
      <c r="C525">
        <v>0</v>
      </c>
    </row>
    <row r="526" spans="1:3">
      <c r="A526">
        <v>861</v>
      </c>
      <c r="B526">
        <v>275.92</v>
      </c>
      <c r="C526">
        <v>0</v>
      </c>
    </row>
    <row r="527" spans="1:3">
      <c r="A527">
        <v>862</v>
      </c>
      <c r="B527">
        <v>263.72000000000003</v>
      </c>
      <c r="C527">
        <v>0</v>
      </c>
    </row>
    <row r="528" spans="1:3">
      <c r="A528">
        <v>875</v>
      </c>
      <c r="B528">
        <v>22165.22</v>
      </c>
      <c r="C528">
        <v>0</v>
      </c>
    </row>
    <row r="529" spans="1:3">
      <c r="A529">
        <v>876</v>
      </c>
      <c r="B529">
        <v>508.64</v>
      </c>
      <c r="C529">
        <v>0</v>
      </c>
    </row>
    <row r="530" spans="1:3">
      <c r="A530">
        <v>877</v>
      </c>
      <c r="B530">
        <v>10000</v>
      </c>
      <c r="C530">
        <v>0</v>
      </c>
    </row>
    <row r="531" spans="1:3">
      <c r="A531">
        <v>879</v>
      </c>
      <c r="B531">
        <v>5281.02</v>
      </c>
      <c r="C531">
        <v>0</v>
      </c>
    </row>
    <row r="532" spans="1:3">
      <c r="A532">
        <v>880</v>
      </c>
      <c r="B532">
        <v>7141.22</v>
      </c>
      <c r="C532">
        <v>0</v>
      </c>
    </row>
    <row r="533" spans="1:3">
      <c r="A533">
        <v>882</v>
      </c>
      <c r="B533">
        <v>427120</v>
      </c>
      <c r="C533">
        <v>0</v>
      </c>
    </row>
    <row r="534" spans="1:3">
      <c r="A534">
        <v>884</v>
      </c>
      <c r="B534">
        <v>759.07</v>
      </c>
      <c r="C534">
        <v>0</v>
      </c>
    </row>
    <row r="535" spans="1:3">
      <c r="A535">
        <v>891</v>
      </c>
      <c r="B535">
        <v>5550906</v>
      </c>
      <c r="C535">
        <v>0</v>
      </c>
    </row>
    <row r="536" spans="1:3">
      <c r="A536">
        <v>892</v>
      </c>
      <c r="B536">
        <v>4772.49</v>
      </c>
      <c r="C536">
        <v>0</v>
      </c>
    </row>
    <row r="537" spans="1:3">
      <c r="A537">
        <v>896</v>
      </c>
      <c r="B537">
        <v>11918</v>
      </c>
      <c r="C537">
        <v>0</v>
      </c>
    </row>
    <row r="538" spans="1:3">
      <c r="A538">
        <v>899</v>
      </c>
      <c r="B538">
        <v>653.5</v>
      </c>
      <c r="C538">
        <v>0</v>
      </c>
    </row>
    <row r="539" spans="1:3">
      <c r="A539">
        <v>901</v>
      </c>
      <c r="B539">
        <v>6429.5</v>
      </c>
      <c r="C539">
        <v>0</v>
      </c>
    </row>
    <row r="540" spans="1:3">
      <c r="A540">
        <v>902</v>
      </c>
      <c r="B540">
        <v>16350.41</v>
      </c>
      <c r="C540">
        <v>0</v>
      </c>
    </row>
    <row r="541" spans="1:3">
      <c r="A541">
        <v>904</v>
      </c>
      <c r="B541">
        <v>6818</v>
      </c>
      <c r="C541">
        <v>0</v>
      </c>
    </row>
    <row r="542" spans="1:3">
      <c r="A542">
        <v>908</v>
      </c>
      <c r="B542">
        <v>6281.23</v>
      </c>
      <c r="C542">
        <v>0</v>
      </c>
    </row>
    <row r="543" spans="1:3">
      <c r="A543">
        <v>909</v>
      </c>
      <c r="B543">
        <v>31592</v>
      </c>
      <c r="C543">
        <v>0</v>
      </c>
    </row>
    <row r="544" spans="1:3">
      <c r="A544">
        <v>910</v>
      </c>
      <c r="B544">
        <v>767.06</v>
      </c>
      <c r="C544">
        <v>0</v>
      </c>
    </row>
    <row r="545" spans="1:3">
      <c r="A545">
        <v>911</v>
      </c>
      <c r="B545">
        <v>13252</v>
      </c>
      <c r="C545">
        <v>0</v>
      </c>
    </row>
    <row r="546" spans="1:3">
      <c r="A546">
        <v>912</v>
      </c>
      <c r="B546">
        <v>2058</v>
      </c>
      <c r="C546">
        <v>0</v>
      </c>
    </row>
    <row r="547" spans="1:3">
      <c r="A547">
        <v>913</v>
      </c>
      <c r="B547">
        <v>299292.08</v>
      </c>
      <c r="C547">
        <v>0</v>
      </c>
    </row>
    <row r="548" spans="1:3">
      <c r="A548">
        <v>919</v>
      </c>
      <c r="B548">
        <v>16765</v>
      </c>
      <c r="C548">
        <v>0</v>
      </c>
    </row>
    <row r="549" spans="1:3">
      <c r="A549">
        <v>920</v>
      </c>
      <c r="B549">
        <v>5067.5200000000004</v>
      </c>
      <c r="C549">
        <v>0</v>
      </c>
    </row>
    <row r="550" spans="1:3">
      <c r="A550">
        <v>921</v>
      </c>
      <c r="B550">
        <v>2533.7600000000002</v>
      </c>
      <c r="C550">
        <v>0</v>
      </c>
    </row>
    <row r="551" spans="1:3">
      <c r="A551">
        <v>922</v>
      </c>
      <c r="B551">
        <v>2403.5</v>
      </c>
      <c r="C551">
        <v>0</v>
      </c>
    </row>
    <row r="552" spans="1:3">
      <c r="A552">
        <v>923</v>
      </c>
      <c r="B552">
        <v>1039.5</v>
      </c>
      <c r="C552">
        <v>0</v>
      </c>
    </row>
    <row r="553" spans="1:3">
      <c r="A553">
        <v>925</v>
      </c>
      <c r="B553">
        <v>136</v>
      </c>
      <c r="C553">
        <v>0</v>
      </c>
    </row>
    <row r="554" spans="1:3">
      <c r="A554">
        <v>930</v>
      </c>
      <c r="B554">
        <v>3485</v>
      </c>
      <c r="C554">
        <v>0</v>
      </c>
    </row>
    <row r="555" spans="1:3">
      <c r="A555">
        <v>937</v>
      </c>
      <c r="B555">
        <v>8443.83</v>
      </c>
      <c r="C555">
        <v>0</v>
      </c>
    </row>
    <row r="556" spans="1:3">
      <c r="A556">
        <v>938</v>
      </c>
      <c r="B556">
        <v>50614</v>
      </c>
      <c r="C556">
        <v>0</v>
      </c>
    </row>
    <row r="557" spans="1:3">
      <c r="A557">
        <v>941</v>
      </c>
      <c r="B557">
        <v>20200</v>
      </c>
      <c r="C557">
        <v>0</v>
      </c>
    </row>
    <row r="558" spans="1:3">
      <c r="A558">
        <v>942</v>
      </c>
      <c r="B558">
        <v>1155.8900000000001</v>
      </c>
      <c r="C558">
        <v>0</v>
      </c>
    </row>
    <row r="559" spans="1:3">
      <c r="A559">
        <v>943</v>
      </c>
      <c r="B559">
        <v>1080</v>
      </c>
      <c r="C559">
        <v>0</v>
      </c>
    </row>
    <row r="560" spans="1:3">
      <c r="A560">
        <v>944</v>
      </c>
      <c r="B560">
        <v>84200</v>
      </c>
      <c r="C560">
        <v>0</v>
      </c>
    </row>
    <row r="561" spans="1:3">
      <c r="A561">
        <v>945</v>
      </c>
      <c r="B561">
        <v>2308</v>
      </c>
      <c r="C561">
        <v>0</v>
      </c>
    </row>
    <row r="562" spans="1:3">
      <c r="A562">
        <v>946</v>
      </c>
      <c r="B562">
        <v>2464</v>
      </c>
      <c r="C562">
        <v>0</v>
      </c>
    </row>
    <row r="563" spans="1:3">
      <c r="A563">
        <v>947</v>
      </c>
      <c r="B563">
        <v>142.08000000000001</v>
      </c>
      <c r="C563">
        <v>0</v>
      </c>
    </row>
    <row r="564" spans="1:3">
      <c r="A564">
        <v>948</v>
      </c>
      <c r="B564">
        <v>3052</v>
      </c>
      <c r="C564">
        <v>0</v>
      </c>
    </row>
    <row r="565" spans="1:3">
      <c r="A565">
        <v>949</v>
      </c>
      <c r="B565">
        <v>1685.86</v>
      </c>
      <c r="C565">
        <v>0</v>
      </c>
    </row>
    <row r="566" spans="1:3">
      <c r="A566">
        <v>952</v>
      </c>
      <c r="B566">
        <v>33788</v>
      </c>
      <c r="C566">
        <v>0</v>
      </c>
    </row>
    <row r="567" spans="1:3">
      <c r="A567">
        <v>953</v>
      </c>
      <c r="B567">
        <v>10472.799999999999</v>
      </c>
      <c r="C567">
        <v>0</v>
      </c>
    </row>
    <row r="568" spans="1:3">
      <c r="A568">
        <v>956</v>
      </c>
      <c r="B568">
        <v>63072</v>
      </c>
      <c r="C568">
        <v>0</v>
      </c>
    </row>
    <row r="569" spans="1:3">
      <c r="A569">
        <v>961</v>
      </c>
      <c r="B569">
        <v>12047.2</v>
      </c>
      <c r="C569">
        <v>0</v>
      </c>
    </row>
    <row r="570" spans="1:3">
      <c r="A570">
        <v>962</v>
      </c>
      <c r="B570">
        <v>1707</v>
      </c>
      <c r="C570">
        <v>0</v>
      </c>
    </row>
    <row r="571" spans="1:3">
      <c r="A571">
        <v>963</v>
      </c>
      <c r="B571">
        <v>2595</v>
      </c>
      <c r="C571">
        <v>0</v>
      </c>
    </row>
    <row r="572" spans="1:3">
      <c r="A572">
        <v>964</v>
      </c>
      <c r="B572">
        <v>75618</v>
      </c>
      <c r="C572">
        <v>0</v>
      </c>
    </row>
    <row r="573" spans="1:3">
      <c r="A573">
        <v>965</v>
      </c>
      <c r="B573">
        <v>2685</v>
      </c>
      <c r="C573">
        <v>0</v>
      </c>
    </row>
    <row r="574" spans="1:3">
      <c r="A574">
        <v>966</v>
      </c>
      <c r="B574">
        <v>4363</v>
      </c>
      <c r="C574">
        <v>0</v>
      </c>
    </row>
    <row r="575" spans="1:3">
      <c r="A575">
        <v>968</v>
      </c>
      <c r="B575">
        <v>33286.720000000001</v>
      </c>
      <c r="C575">
        <v>0</v>
      </c>
    </row>
    <row r="576" spans="1:3">
      <c r="A576">
        <v>970</v>
      </c>
      <c r="B576">
        <v>2320</v>
      </c>
      <c r="C576">
        <v>0</v>
      </c>
    </row>
    <row r="577" spans="1:3">
      <c r="A577">
        <v>971</v>
      </c>
      <c r="B577">
        <v>90124.479999999996</v>
      </c>
      <c r="C577">
        <v>0</v>
      </c>
    </row>
    <row r="578" spans="1:3">
      <c r="A578">
        <v>972</v>
      </c>
      <c r="B578">
        <v>2040</v>
      </c>
      <c r="C578">
        <v>0</v>
      </c>
    </row>
    <row r="579" spans="1:3">
      <c r="A579">
        <v>975</v>
      </c>
      <c r="B579">
        <v>11920.39</v>
      </c>
      <c r="C579">
        <v>0</v>
      </c>
    </row>
    <row r="580" spans="1:3">
      <c r="A580">
        <v>979</v>
      </c>
      <c r="B580">
        <v>2523</v>
      </c>
      <c r="C580">
        <v>0</v>
      </c>
    </row>
    <row r="581" spans="1:3">
      <c r="A581">
        <v>980</v>
      </c>
      <c r="B581">
        <v>6766</v>
      </c>
      <c r="C581">
        <v>0</v>
      </c>
    </row>
    <row r="582" spans="1:3">
      <c r="A582">
        <v>984</v>
      </c>
      <c r="B582">
        <v>6620.04</v>
      </c>
      <c r="C582">
        <v>0</v>
      </c>
    </row>
    <row r="583" spans="1:3">
      <c r="A583">
        <v>985</v>
      </c>
      <c r="B583">
        <v>21976</v>
      </c>
      <c r="C583">
        <v>0</v>
      </c>
    </row>
    <row r="584" spans="1:3">
      <c r="A584">
        <v>986</v>
      </c>
      <c r="B584">
        <v>5224</v>
      </c>
      <c r="C584">
        <v>0</v>
      </c>
    </row>
    <row r="585" spans="1:3">
      <c r="A585">
        <v>987</v>
      </c>
      <c r="B585">
        <v>5251</v>
      </c>
      <c r="C585">
        <v>0</v>
      </c>
    </row>
    <row r="586" spans="1:3">
      <c r="A586">
        <v>988</v>
      </c>
      <c r="B586">
        <v>1201.26</v>
      </c>
      <c r="C586">
        <v>0</v>
      </c>
    </row>
    <row r="587" spans="1:3">
      <c r="A587">
        <v>997</v>
      </c>
      <c r="B587">
        <v>8610</v>
      </c>
      <c r="C587">
        <v>0</v>
      </c>
    </row>
    <row r="588" spans="1:3">
      <c r="A588">
        <v>998</v>
      </c>
      <c r="B588">
        <v>494.88</v>
      </c>
      <c r="C588">
        <v>0</v>
      </c>
    </row>
    <row r="589" spans="1:3">
      <c r="A589">
        <v>1000</v>
      </c>
      <c r="B589">
        <v>7147.49</v>
      </c>
      <c r="C589">
        <v>0</v>
      </c>
    </row>
    <row r="590" spans="1:3">
      <c r="A590">
        <v>1005</v>
      </c>
      <c r="B590">
        <v>20006.439999999999</v>
      </c>
      <c r="C590">
        <v>0</v>
      </c>
    </row>
    <row r="591" spans="1:3">
      <c r="A591">
        <v>1006</v>
      </c>
      <c r="B591">
        <v>12022.15</v>
      </c>
      <c r="C591">
        <v>0</v>
      </c>
    </row>
    <row r="592" spans="1:3">
      <c r="A592">
        <v>1007</v>
      </c>
      <c r="B592">
        <v>219</v>
      </c>
      <c r="C592">
        <v>0</v>
      </c>
    </row>
    <row r="593" spans="1:3">
      <c r="A593">
        <v>1008</v>
      </c>
      <c r="B593">
        <v>219</v>
      </c>
      <c r="C593">
        <v>0</v>
      </c>
    </row>
    <row r="594" spans="1:3">
      <c r="A594">
        <v>1009</v>
      </c>
      <c r="B594">
        <v>76952</v>
      </c>
      <c r="C594">
        <v>0</v>
      </c>
    </row>
    <row r="595" spans="1:3">
      <c r="A595">
        <v>1010</v>
      </c>
      <c r="B595">
        <v>9639</v>
      </c>
      <c r="C595">
        <v>0</v>
      </c>
    </row>
    <row r="596" spans="1:3">
      <c r="A596">
        <v>1014</v>
      </c>
      <c r="B596">
        <v>3300.7</v>
      </c>
      <c r="C596">
        <v>0</v>
      </c>
    </row>
    <row r="597" spans="1:3">
      <c r="A597">
        <v>1016</v>
      </c>
      <c r="B597">
        <v>2644</v>
      </c>
      <c r="C597">
        <v>0</v>
      </c>
    </row>
    <row r="598" spans="1:3">
      <c r="A598">
        <v>1018</v>
      </c>
      <c r="B598">
        <v>5312</v>
      </c>
      <c r="C598">
        <v>0</v>
      </c>
    </row>
    <row r="599" spans="1:3">
      <c r="A599">
        <v>1024</v>
      </c>
      <c r="B599">
        <v>12996</v>
      </c>
      <c r="C599">
        <v>0</v>
      </c>
    </row>
    <row r="600" spans="1:3">
      <c r="A600">
        <v>1030</v>
      </c>
      <c r="B600">
        <v>568.5</v>
      </c>
      <c r="C600">
        <v>0</v>
      </c>
    </row>
    <row r="601" spans="1:3">
      <c r="A601">
        <v>1033</v>
      </c>
      <c r="B601">
        <v>3000.27</v>
      </c>
      <c r="C601">
        <v>0</v>
      </c>
    </row>
    <row r="602" spans="1:3">
      <c r="A602">
        <v>1036</v>
      </c>
      <c r="B602">
        <v>551.29999999999995</v>
      </c>
      <c r="C602">
        <v>0</v>
      </c>
    </row>
    <row r="603" spans="1:3">
      <c r="A603">
        <v>1037</v>
      </c>
      <c r="B603">
        <v>5589</v>
      </c>
      <c r="C603">
        <v>0</v>
      </c>
    </row>
    <row r="604" spans="1:3">
      <c r="A604">
        <v>1045</v>
      </c>
      <c r="B604">
        <v>2065</v>
      </c>
      <c r="C604">
        <v>0</v>
      </c>
    </row>
    <row r="605" spans="1:3">
      <c r="A605">
        <v>1055</v>
      </c>
      <c r="B605">
        <v>447.48</v>
      </c>
      <c r="C605">
        <v>0</v>
      </c>
    </row>
    <row r="606" spans="1:3">
      <c r="A606">
        <v>1059</v>
      </c>
      <c r="B606">
        <v>873</v>
      </c>
      <c r="C606">
        <v>0</v>
      </c>
    </row>
    <row r="607" spans="1:3">
      <c r="A607">
        <v>1060</v>
      </c>
      <c r="B607">
        <v>3420</v>
      </c>
      <c r="C607">
        <v>0</v>
      </c>
    </row>
    <row r="608" spans="1:3">
      <c r="A608">
        <v>1061</v>
      </c>
      <c r="B608">
        <v>9817</v>
      </c>
      <c r="C608">
        <v>0</v>
      </c>
    </row>
    <row r="609" spans="1:3">
      <c r="A609">
        <v>1062</v>
      </c>
      <c r="B609">
        <v>74200</v>
      </c>
      <c r="C609">
        <v>0</v>
      </c>
    </row>
    <row r="610" spans="1:3">
      <c r="A610">
        <v>1063</v>
      </c>
      <c r="B610">
        <v>1845.54</v>
      </c>
      <c r="C610">
        <v>0</v>
      </c>
    </row>
    <row r="611" spans="1:3">
      <c r="A611">
        <v>1065</v>
      </c>
      <c r="B611">
        <v>3014.1</v>
      </c>
      <c r="C611">
        <v>0</v>
      </c>
    </row>
    <row r="612" spans="1:3">
      <c r="A612">
        <v>1067</v>
      </c>
      <c r="B612">
        <v>8760</v>
      </c>
      <c r="C612">
        <v>0</v>
      </c>
    </row>
    <row r="613" spans="1:3">
      <c r="A613">
        <v>1068</v>
      </c>
      <c r="B613">
        <v>857.32</v>
      </c>
      <c r="C613">
        <v>0</v>
      </c>
    </row>
    <row r="614" spans="1:3">
      <c r="A614">
        <v>1069</v>
      </c>
      <c r="B614">
        <v>1897.2</v>
      </c>
      <c r="C614">
        <v>0</v>
      </c>
    </row>
    <row r="615" spans="1:3">
      <c r="A615">
        <v>1071</v>
      </c>
      <c r="B615">
        <v>788.74</v>
      </c>
      <c r="C615">
        <v>0</v>
      </c>
    </row>
    <row r="616" spans="1:3">
      <c r="A616">
        <v>1072</v>
      </c>
      <c r="B616">
        <v>708.8</v>
      </c>
      <c r="C616">
        <v>0</v>
      </c>
    </row>
    <row r="617" spans="1:3">
      <c r="A617">
        <v>1073</v>
      </c>
      <c r="B617">
        <v>61364</v>
      </c>
      <c r="C617">
        <v>0</v>
      </c>
    </row>
    <row r="618" spans="1:3">
      <c r="A618">
        <v>1082</v>
      </c>
      <c r="B618">
        <v>21042.880000000001</v>
      </c>
      <c r="C618">
        <v>0</v>
      </c>
    </row>
    <row r="619" spans="1:3">
      <c r="A619">
        <v>1083</v>
      </c>
      <c r="B619">
        <v>11627</v>
      </c>
      <c r="C619">
        <v>0</v>
      </c>
    </row>
    <row r="620" spans="1:3">
      <c r="A620">
        <v>1084</v>
      </c>
      <c r="B620">
        <v>4655.67</v>
      </c>
      <c r="C620">
        <v>0</v>
      </c>
    </row>
    <row r="621" spans="1:3">
      <c r="A621">
        <v>1091</v>
      </c>
      <c r="B621">
        <v>59189</v>
      </c>
      <c r="C621">
        <v>0</v>
      </c>
    </row>
    <row r="622" spans="1:3">
      <c r="A622">
        <v>1095</v>
      </c>
      <c r="B622">
        <v>37192</v>
      </c>
      <c r="C622">
        <v>0</v>
      </c>
    </row>
    <row r="623" spans="1:3">
      <c r="A623">
        <v>1100</v>
      </c>
      <c r="B623">
        <v>51816</v>
      </c>
      <c r="C623">
        <v>0</v>
      </c>
    </row>
    <row r="624" spans="1:3">
      <c r="A624">
        <v>1102</v>
      </c>
      <c r="B624">
        <v>12974</v>
      </c>
      <c r="C624">
        <v>0</v>
      </c>
    </row>
    <row r="625" spans="1:3">
      <c r="A625">
        <v>1103</v>
      </c>
      <c r="B625">
        <v>202464</v>
      </c>
      <c r="C625">
        <v>0</v>
      </c>
    </row>
    <row r="626" spans="1:3">
      <c r="A626">
        <v>1104</v>
      </c>
      <c r="B626">
        <v>5038.09</v>
      </c>
      <c r="C626">
        <v>0</v>
      </c>
    </row>
    <row r="627" spans="1:3">
      <c r="A627">
        <v>1105</v>
      </c>
      <c r="B627">
        <v>675388</v>
      </c>
      <c r="C627">
        <v>0</v>
      </c>
    </row>
    <row r="628" spans="1:3">
      <c r="A628">
        <v>1109</v>
      </c>
      <c r="B628">
        <v>4147.5</v>
      </c>
      <c r="C628">
        <v>0</v>
      </c>
    </row>
    <row r="629" spans="1:3">
      <c r="A629">
        <v>1110</v>
      </c>
      <c r="B629">
        <v>76516</v>
      </c>
      <c r="C629">
        <v>0</v>
      </c>
    </row>
    <row r="630" spans="1:3">
      <c r="A630">
        <v>1111</v>
      </c>
      <c r="B630">
        <v>75072</v>
      </c>
      <c r="C630">
        <v>0</v>
      </c>
    </row>
    <row r="631" spans="1:3">
      <c r="A631" t="s">
        <v>61</v>
      </c>
    </row>
    <row r="632" spans="1:3">
      <c r="A632" t="s">
        <v>59</v>
      </c>
      <c r="B632">
        <v>56893986.679999992</v>
      </c>
      <c r="C63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59f9b9-9a66-426f-abec-25f3c464bf30">
      <Terms xmlns="http://schemas.microsoft.com/office/infopath/2007/PartnerControls"/>
    </lcf76f155ced4ddcb4097134ff3c332f>
    <TaxCatchAll xmlns="80c268f4-b00a-4a5a-a737-84c9825781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07015C779368428DBAE7AD83399B9A" ma:contentTypeVersion="12" ma:contentTypeDescription="Crear nuevo documento." ma:contentTypeScope="" ma:versionID="69cc1e9db5042da6bc5d94a20babba71">
  <xsd:schema xmlns:xsd="http://www.w3.org/2001/XMLSchema" xmlns:xs="http://www.w3.org/2001/XMLSchema" xmlns:p="http://schemas.microsoft.com/office/2006/metadata/properties" xmlns:ns2="5e59f9b9-9a66-426f-abec-25f3c464bf30" xmlns:ns3="80c268f4-b00a-4a5a-a737-84c982578199" targetNamespace="http://schemas.microsoft.com/office/2006/metadata/properties" ma:root="true" ma:fieldsID="083ef1cad8eecd2ea1ff751be7951d8c" ns2:_="" ns3:_="">
    <xsd:import namespace="5e59f9b9-9a66-426f-abec-25f3c464bf30"/>
    <xsd:import namespace="80c268f4-b00a-4a5a-a737-84c9825781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9f9b9-9a66-426f-abec-25f3c464b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df41c62-1e1f-4729-b12b-890bede669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c268f4-b00a-4a5a-a737-84c98257819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52c1a-042b-48d4-962e-8a2e6c08b6c4}" ma:internalName="TaxCatchAll" ma:showField="CatchAllData" ma:web="80c268f4-b00a-4a5a-a737-84c9825781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837286-AF6E-4798-8637-7345A6AA738C}"/>
</file>

<file path=customXml/itemProps2.xml><?xml version="1.0" encoding="utf-8"?>
<ds:datastoreItem xmlns:ds="http://schemas.openxmlformats.org/officeDocument/2006/customXml" ds:itemID="{65E81298-447C-4FB9-A18C-3C8EE8407060}"/>
</file>

<file path=customXml/itemProps3.xml><?xml version="1.0" encoding="utf-8"?>
<ds:datastoreItem xmlns:ds="http://schemas.openxmlformats.org/officeDocument/2006/customXml" ds:itemID="{E017C11A-4193-4230-8A5D-177A8155FF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2026-02-19T10:35:25Z</dcterms:created>
  <dcterms:modified xsi:type="dcterms:W3CDTF">2026-02-25T13:08:33Z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0x0101004E07015C779368428DBAE7AD83399B9A</vt:lpwstr>
  </property>
  <property fmtid="{D5CDD505-2E9C-101B-9397-08002B2CF9AE}" pid="3" name="MediaServiceImageTags">
    <vt:lpwstr/>
  </property>
</Properties>
</file>