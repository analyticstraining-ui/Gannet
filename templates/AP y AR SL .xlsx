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https://gannetworld.sharepoint.com/sites/administracion/Documentos compartidos/Reporting/Cash flow/"/>
    </mc:Choice>
  </mc:AlternateContent>
  <xr:revisionPtr revIDLastSave="888" documentId="11_90CF001B06CF65533F4A41696410D3CD27091189" xr6:coauthVersionLast="47" xr6:coauthVersionMax="47" xr10:uidLastSave="{057FCBC3-DDF6-4569-AB1D-30D67C44917B}"/>
  <bookViews>
    <workbookView xWindow="22932" yWindow="-108" windowWidth="23256" windowHeight="13896" xr2:uid="{00000000-000D-0000-FFFF-FFFF00000000}"/>
  </bookViews>
  <sheets>
    <sheet name="Data AP" sheetId="1" r:id="rId1"/>
    <sheet name="Data AR" sheetId="2" r:id="rId2"/>
    <sheet name="Detail1" sheetId="7" state="hidden" r:id="rId3"/>
    <sheet name="Detalle1" sheetId="9" state="hidden" r:id="rId4"/>
    <sheet name="AP Pivot" sheetId="5" r:id="rId5"/>
    <sheet name="AP Pivot old" sheetId="3" state="hidden" r:id="rId6"/>
    <sheet name="AR Pivot old" sheetId="4" state="hidden" r:id="rId7"/>
    <sheet name="Detail2" sheetId="8" state="hidden" r:id="rId8"/>
    <sheet name="AR Pivot" sheetId="6" r:id="rId9"/>
  </sheets>
  <definedNames>
    <definedName name="_xlnm._FilterDatabase" localSheetId="0" hidden="1">'Data AP'!$A$1:$N$58</definedName>
    <definedName name="_xlnm._FilterDatabase" localSheetId="1" hidden="1">'Data AR'!$A$1:$N$50</definedName>
  </definedNames>
  <calcPr calcId="191028"/>
  <pivotCaches>
    <pivotCache cacheId="502" r:id="rId10"/>
    <pivotCache cacheId="503" r:id="rId11"/>
    <pivotCache cacheId="509" r:id="rId12"/>
    <pivotCache cacheId="51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EGWvSgYMIxvv03yYTjxymdWW8d6pG6S/KGELfWRPPcc=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2" i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6" i="2"/>
  <c r="J8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2" i="2"/>
  <c r="D2" i="2"/>
  <c r="I72" i="2"/>
  <c r="K78" i="2"/>
  <c r="L78" i="2"/>
  <c r="M78" i="2"/>
  <c r="N78" i="2"/>
  <c r="K79" i="2"/>
  <c r="L79" i="2"/>
  <c r="M79" i="2"/>
  <c r="N79" i="2"/>
  <c r="K80" i="2"/>
  <c r="L80" i="2"/>
  <c r="M80" i="2"/>
  <c r="N80" i="2"/>
  <c r="K81" i="2"/>
  <c r="L81" i="2"/>
  <c r="M81" i="2"/>
  <c r="N81" i="2"/>
  <c r="K82" i="2"/>
  <c r="L82" i="2"/>
  <c r="M82" i="2"/>
  <c r="N82" i="2"/>
  <c r="K83" i="2"/>
  <c r="L83" i="2"/>
  <c r="M83" i="2"/>
  <c r="N83" i="2"/>
  <c r="K84" i="2"/>
  <c r="L84" i="2"/>
  <c r="M84" i="2"/>
  <c r="N84" i="2"/>
  <c r="K85" i="2"/>
  <c r="L85" i="2"/>
  <c r="M85" i="2"/>
  <c r="N85" i="2"/>
  <c r="K86" i="2"/>
  <c r="L86" i="2"/>
  <c r="M86" i="2"/>
  <c r="N86" i="2"/>
  <c r="I11" i="2"/>
  <c r="I10" i="2"/>
  <c r="I2" i="2"/>
  <c r="I3" i="2"/>
  <c r="I4" i="2"/>
  <c r="I5" i="2"/>
  <c r="I6" i="2"/>
  <c r="I7" i="2"/>
  <c r="I8" i="2"/>
  <c r="I9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D78" i="2"/>
  <c r="D79" i="2"/>
  <c r="D80" i="2"/>
  <c r="D81" i="2"/>
  <c r="D82" i="2"/>
  <c r="D83" i="2"/>
  <c r="D84" i="2"/>
  <c r="D85" i="2"/>
  <c r="D86" i="2"/>
  <c r="E78" i="2"/>
  <c r="E79" i="2"/>
  <c r="E80" i="2"/>
  <c r="K97" i="1"/>
  <c r="L97" i="1" s="1"/>
  <c r="I97" i="1"/>
  <c r="B97" i="1"/>
  <c r="K96" i="1"/>
  <c r="L96" i="1" s="1"/>
  <c r="I96" i="1"/>
  <c r="B96" i="1"/>
  <c r="K95" i="1"/>
  <c r="L95" i="1" s="1"/>
  <c r="I95" i="1"/>
  <c r="B95" i="1"/>
  <c r="K94" i="1"/>
  <c r="L94" i="1" s="1"/>
  <c r="I94" i="1"/>
  <c r="B94" i="1"/>
  <c r="K93" i="1"/>
  <c r="L93" i="1" s="1"/>
  <c r="I93" i="1"/>
  <c r="B93" i="1"/>
  <c r="K92" i="1"/>
  <c r="L92" i="1" s="1"/>
  <c r="I92" i="1"/>
  <c r="B92" i="1"/>
  <c r="K91" i="1"/>
  <c r="L91" i="1" s="1"/>
  <c r="I91" i="1"/>
  <c r="B91" i="1"/>
  <c r="K90" i="1"/>
  <c r="L90" i="1" s="1"/>
  <c r="I90" i="1"/>
  <c r="B90" i="1"/>
  <c r="K89" i="1"/>
  <c r="L89" i="1" s="1"/>
  <c r="I89" i="1"/>
  <c r="J89" i="1" s="1"/>
  <c r="B89" i="1"/>
  <c r="K88" i="1"/>
  <c r="L88" i="1" s="1"/>
  <c r="I88" i="1"/>
  <c r="B88" i="1"/>
  <c r="K87" i="1"/>
  <c r="L87" i="1" s="1"/>
  <c r="I87" i="1"/>
  <c r="B87" i="1"/>
  <c r="K86" i="1"/>
  <c r="L86" i="1" s="1"/>
  <c r="I86" i="1"/>
  <c r="B86" i="1"/>
  <c r="K85" i="1"/>
  <c r="L85" i="1" s="1"/>
  <c r="I85" i="1"/>
  <c r="B85" i="1"/>
  <c r="K84" i="1"/>
  <c r="L84" i="1" s="1"/>
  <c r="I84" i="1"/>
  <c r="B84" i="1"/>
  <c r="K83" i="1"/>
  <c r="L83" i="1" s="1"/>
  <c r="I83" i="1"/>
  <c r="B83" i="1"/>
  <c r="K82" i="1"/>
  <c r="L82" i="1" s="1"/>
  <c r="I82" i="1"/>
  <c r="B82" i="1"/>
  <c r="K81" i="1"/>
  <c r="L81" i="1" s="1"/>
  <c r="I81" i="1"/>
  <c r="B81" i="1"/>
  <c r="K80" i="1"/>
  <c r="L80" i="1" s="1"/>
  <c r="I80" i="1"/>
  <c r="B80" i="1"/>
  <c r="K79" i="1"/>
  <c r="L79" i="1" s="1"/>
  <c r="I79" i="1"/>
  <c r="B79" i="1"/>
  <c r="K78" i="1"/>
  <c r="L78" i="1" s="1"/>
  <c r="I78" i="1"/>
  <c r="B78" i="1"/>
  <c r="K77" i="1"/>
  <c r="L77" i="1" s="1"/>
  <c r="I77" i="1"/>
  <c r="B77" i="1"/>
  <c r="K76" i="1"/>
  <c r="L76" i="1" s="1"/>
  <c r="I76" i="1"/>
  <c r="B76" i="1"/>
  <c r="K75" i="1"/>
  <c r="L75" i="1" s="1"/>
  <c r="I75" i="1"/>
  <c r="B75" i="1"/>
  <c r="K74" i="1"/>
  <c r="L74" i="1" s="1"/>
  <c r="I74" i="1"/>
  <c r="B74" i="1"/>
  <c r="K73" i="1"/>
  <c r="L73" i="1" s="1"/>
  <c r="I73" i="1"/>
  <c r="B73" i="1"/>
  <c r="K72" i="1"/>
  <c r="L72" i="1" s="1"/>
  <c r="I72" i="1"/>
  <c r="B72" i="1"/>
  <c r="K71" i="1"/>
  <c r="L71" i="1" s="1"/>
  <c r="I71" i="1"/>
  <c r="B71" i="1"/>
  <c r="K70" i="1"/>
  <c r="L70" i="1" s="1"/>
  <c r="I70" i="1"/>
  <c r="B70" i="1"/>
  <c r="K69" i="1"/>
  <c r="L69" i="1" s="1"/>
  <c r="I69" i="1"/>
  <c r="B69" i="1"/>
  <c r="K68" i="1"/>
  <c r="L68" i="1" s="1"/>
  <c r="I68" i="1"/>
  <c r="B68" i="1"/>
  <c r="K67" i="1"/>
  <c r="L67" i="1" s="1"/>
  <c r="I67" i="1"/>
  <c r="B67" i="1"/>
  <c r="K66" i="1"/>
  <c r="L66" i="1" s="1"/>
  <c r="I66" i="1"/>
  <c r="B66" i="1"/>
  <c r="K65" i="1"/>
  <c r="L65" i="1" s="1"/>
  <c r="I65" i="1"/>
  <c r="B65" i="1"/>
  <c r="K64" i="1"/>
  <c r="L64" i="1" s="1"/>
  <c r="I64" i="1"/>
  <c r="B64" i="1"/>
  <c r="K63" i="1"/>
  <c r="L63" i="1" s="1"/>
  <c r="I63" i="1"/>
  <c r="B63" i="1"/>
  <c r="K62" i="1"/>
  <c r="L62" i="1" s="1"/>
  <c r="I62" i="1"/>
  <c r="B62" i="1"/>
  <c r="K61" i="1"/>
  <c r="L61" i="1" s="1"/>
  <c r="I61" i="1"/>
  <c r="B61" i="1"/>
  <c r="K60" i="1"/>
  <c r="L60" i="1" s="1"/>
  <c r="I60" i="1"/>
  <c r="B60" i="1"/>
  <c r="K59" i="1"/>
  <c r="L59" i="1" s="1"/>
  <c r="I59" i="1"/>
  <c r="B59" i="1"/>
  <c r="K58" i="1"/>
  <c r="L58" i="1" s="1"/>
  <c r="I58" i="1"/>
  <c r="B58" i="1"/>
  <c r="K57" i="1"/>
  <c r="L57" i="1" s="1"/>
  <c r="I57" i="1"/>
  <c r="B57" i="1"/>
  <c r="K56" i="1"/>
  <c r="L56" i="1" s="1"/>
  <c r="I56" i="1"/>
  <c r="B56" i="1"/>
  <c r="K55" i="1"/>
  <c r="L55" i="1" s="1"/>
  <c r="I55" i="1"/>
  <c r="B55" i="1"/>
  <c r="K54" i="1"/>
  <c r="L54" i="1" s="1"/>
  <c r="I54" i="1"/>
  <c r="B54" i="1"/>
  <c r="K53" i="1"/>
  <c r="L53" i="1" s="1"/>
  <c r="I53" i="1"/>
  <c r="B53" i="1"/>
  <c r="K52" i="1"/>
  <c r="L52" i="1" s="1"/>
  <c r="I52" i="1"/>
  <c r="B52" i="1"/>
  <c r="K51" i="1"/>
  <c r="L51" i="1" s="1"/>
  <c r="I51" i="1"/>
  <c r="B51" i="1"/>
  <c r="K50" i="1"/>
  <c r="L50" i="1" s="1"/>
  <c r="I50" i="1"/>
  <c r="B50" i="1"/>
  <c r="K49" i="1"/>
  <c r="L49" i="1" s="1"/>
  <c r="I49" i="1"/>
  <c r="B49" i="1"/>
  <c r="K48" i="1"/>
  <c r="L48" i="1" s="1"/>
  <c r="I48" i="1"/>
  <c r="B48" i="1"/>
  <c r="K47" i="1"/>
  <c r="L47" i="1" s="1"/>
  <c r="I47" i="1"/>
  <c r="B47" i="1"/>
  <c r="K46" i="1"/>
  <c r="L46" i="1" s="1"/>
  <c r="I46" i="1"/>
  <c r="B46" i="1"/>
  <c r="K45" i="1"/>
  <c r="L45" i="1" s="1"/>
  <c r="I45" i="1"/>
  <c r="B45" i="1"/>
  <c r="K44" i="1"/>
  <c r="L44" i="1" s="1"/>
  <c r="I44" i="1"/>
  <c r="B44" i="1"/>
  <c r="K43" i="1"/>
  <c r="L43" i="1" s="1"/>
  <c r="I43" i="1"/>
  <c r="B43" i="1"/>
  <c r="K42" i="1"/>
  <c r="L42" i="1" s="1"/>
  <c r="I42" i="1"/>
  <c r="B42" i="1"/>
  <c r="K41" i="1"/>
  <c r="L41" i="1" s="1"/>
  <c r="I41" i="1"/>
  <c r="B41" i="1"/>
  <c r="K40" i="1"/>
  <c r="L40" i="1" s="1"/>
  <c r="I40" i="1"/>
  <c r="B40" i="1"/>
  <c r="K39" i="1"/>
  <c r="L39" i="1" s="1"/>
  <c r="I39" i="1"/>
  <c r="B39" i="1"/>
  <c r="K38" i="1"/>
  <c r="L38" i="1" s="1"/>
  <c r="I38" i="1"/>
  <c r="B38" i="1"/>
  <c r="K37" i="1"/>
  <c r="L37" i="1" s="1"/>
  <c r="I37" i="1"/>
  <c r="B37" i="1"/>
  <c r="K36" i="1"/>
  <c r="L36" i="1" s="1"/>
  <c r="I36" i="1"/>
  <c r="B36" i="1"/>
  <c r="K35" i="1"/>
  <c r="L35" i="1" s="1"/>
  <c r="I35" i="1"/>
  <c r="B35" i="1"/>
  <c r="K34" i="1"/>
  <c r="L34" i="1" s="1"/>
  <c r="I34" i="1"/>
  <c r="B34" i="1"/>
  <c r="K33" i="1"/>
  <c r="L33" i="1" s="1"/>
  <c r="I33" i="1"/>
  <c r="B33" i="1"/>
  <c r="K32" i="1"/>
  <c r="L32" i="1" s="1"/>
  <c r="I32" i="1"/>
  <c r="B32" i="1"/>
  <c r="K31" i="1"/>
  <c r="L31" i="1" s="1"/>
  <c r="I31" i="1"/>
  <c r="B31" i="1"/>
  <c r="K30" i="1"/>
  <c r="L30" i="1" s="1"/>
  <c r="I30" i="1"/>
  <c r="B30" i="1"/>
  <c r="K29" i="1"/>
  <c r="L29" i="1" s="1"/>
  <c r="I29" i="1"/>
  <c r="B29" i="1"/>
  <c r="K28" i="1"/>
  <c r="L28" i="1" s="1"/>
  <c r="I28" i="1"/>
  <c r="B28" i="1"/>
  <c r="K27" i="1"/>
  <c r="L27" i="1" s="1"/>
  <c r="I27" i="1"/>
  <c r="B27" i="1"/>
  <c r="K26" i="1"/>
  <c r="L26" i="1" s="1"/>
  <c r="I26" i="1"/>
  <c r="B26" i="1"/>
  <c r="K25" i="1"/>
  <c r="L25" i="1" s="1"/>
  <c r="I25" i="1"/>
  <c r="B25" i="1"/>
  <c r="K24" i="1"/>
  <c r="L24" i="1" s="1"/>
  <c r="I24" i="1"/>
  <c r="B24" i="1"/>
  <c r="K23" i="1"/>
  <c r="L23" i="1" s="1"/>
  <c r="I23" i="1"/>
  <c r="B23" i="1"/>
  <c r="K22" i="1"/>
  <c r="L22" i="1" s="1"/>
  <c r="I22" i="1"/>
  <c r="B22" i="1"/>
  <c r="K21" i="1"/>
  <c r="L21" i="1" s="1"/>
  <c r="I21" i="1"/>
  <c r="B21" i="1"/>
  <c r="K20" i="1"/>
  <c r="L20" i="1" s="1"/>
  <c r="I20" i="1"/>
  <c r="B20" i="1"/>
  <c r="K19" i="1"/>
  <c r="L19" i="1" s="1"/>
  <c r="I19" i="1"/>
  <c r="B19" i="1"/>
  <c r="K18" i="1"/>
  <c r="L18" i="1" s="1"/>
  <c r="I18" i="1"/>
  <c r="B18" i="1"/>
  <c r="K17" i="1"/>
  <c r="L17" i="1" s="1"/>
  <c r="I17" i="1"/>
  <c r="B17" i="1"/>
  <c r="K16" i="1"/>
  <c r="L16" i="1" s="1"/>
  <c r="I16" i="1"/>
  <c r="B16" i="1"/>
  <c r="K15" i="1"/>
  <c r="L15" i="1" s="1"/>
  <c r="I15" i="1"/>
  <c r="B15" i="1"/>
  <c r="K14" i="1"/>
  <c r="L14" i="1" s="1"/>
  <c r="I14" i="1"/>
  <c r="B14" i="1"/>
  <c r="K13" i="1"/>
  <c r="L13" i="1" s="1"/>
  <c r="I13" i="1"/>
  <c r="B13" i="1"/>
  <c r="K12" i="1"/>
  <c r="L12" i="1" s="1"/>
  <c r="I12" i="1"/>
  <c r="B12" i="1"/>
  <c r="K11" i="1"/>
  <c r="L11" i="1" s="1"/>
  <c r="I11" i="1"/>
  <c r="J11" i="1" s="1"/>
  <c r="B11" i="1"/>
  <c r="K10" i="1"/>
  <c r="L10" i="1" s="1"/>
  <c r="I10" i="1"/>
  <c r="B10" i="1"/>
  <c r="K9" i="1"/>
  <c r="L9" i="1" s="1"/>
  <c r="I9" i="1"/>
  <c r="B9" i="1"/>
  <c r="K8" i="1"/>
  <c r="L8" i="1" s="1"/>
  <c r="I8" i="1"/>
  <c r="B8" i="1"/>
  <c r="K7" i="1"/>
  <c r="L7" i="1" s="1"/>
  <c r="I7" i="1"/>
  <c r="B7" i="1"/>
  <c r="K6" i="1"/>
  <c r="L6" i="1" s="1"/>
  <c r="I6" i="1"/>
  <c r="B6" i="1"/>
  <c r="K5" i="1"/>
  <c r="L5" i="1" s="1"/>
  <c r="I5" i="1"/>
  <c r="B5" i="1"/>
  <c r="K4" i="1"/>
  <c r="L4" i="1" s="1"/>
  <c r="I4" i="1"/>
  <c r="B4" i="1"/>
  <c r="K3" i="1"/>
  <c r="L3" i="1" s="1"/>
  <c r="I3" i="1"/>
  <c r="B3" i="1"/>
  <c r="K2" i="1"/>
  <c r="L2" i="1" s="1"/>
  <c r="I2" i="1"/>
  <c r="B2" i="1"/>
  <c r="K32" i="7"/>
  <c r="I17" i="7"/>
  <c r="H32" i="7"/>
  <c r="I25" i="7"/>
  <c r="I24" i="7"/>
  <c r="E16" i="7"/>
  <c r="K50" i="2"/>
  <c r="L50" i="2" s="1"/>
  <c r="K51" i="2"/>
  <c r="L51" i="2"/>
  <c r="N51" i="2" s="1"/>
  <c r="M51" i="2"/>
  <c r="K52" i="2"/>
  <c r="L52" i="2"/>
  <c r="M52" i="2" s="1"/>
  <c r="K53" i="2"/>
  <c r="L53" i="2" s="1"/>
  <c r="K54" i="2"/>
  <c r="L54" i="2"/>
  <c r="N54" i="2" s="1"/>
  <c r="M54" i="2"/>
  <c r="K55" i="2"/>
  <c r="L55" i="2"/>
  <c r="M55" i="2" s="1"/>
  <c r="K56" i="2"/>
  <c r="L56" i="2" s="1"/>
  <c r="K57" i="2"/>
  <c r="L57" i="2"/>
  <c r="N57" i="2" s="1"/>
  <c r="M57" i="2"/>
  <c r="K58" i="2"/>
  <c r="L58" i="2"/>
  <c r="M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/>
  <c r="N64" i="2" s="1"/>
  <c r="K65" i="2"/>
  <c r="L65" i="2" s="1"/>
  <c r="K66" i="2"/>
  <c r="L66" i="2" s="1"/>
  <c r="K67" i="2"/>
  <c r="L67" i="2"/>
  <c r="N67" i="2" s="1"/>
  <c r="M67" i="2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/>
  <c r="N73" i="2" s="1"/>
  <c r="K74" i="2"/>
  <c r="L74" i="2" s="1"/>
  <c r="K75" i="2"/>
  <c r="L75" i="2" s="1"/>
  <c r="K76" i="2"/>
  <c r="L76" i="2"/>
  <c r="N76" i="2" s="1"/>
  <c r="M76" i="2"/>
  <c r="K77" i="2"/>
  <c r="L77" i="2" s="1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H56" i="2"/>
  <c r="K3" i="2"/>
  <c r="L3" i="2" s="1"/>
  <c r="N3" i="2" s="1"/>
  <c r="K4" i="2"/>
  <c r="L4" i="2" s="1"/>
  <c r="N4" i="2" s="1"/>
  <c r="K5" i="2"/>
  <c r="L5" i="2" s="1"/>
  <c r="N5" i="2" s="1"/>
  <c r="K6" i="2"/>
  <c r="L6" i="2" s="1"/>
  <c r="N6" i="2" s="1"/>
  <c r="K7" i="2"/>
  <c r="L7" i="2" s="1"/>
  <c r="N7" i="2" s="1"/>
  <c r="K8" i="2"/>
  <c r="L8" i="2" s="1"/>
  <c r="N8" i="2" s="1"/>
  <c r="K9" i="2"/>
  <c r="L9" i="2" s="1"/>
  <c r="N9" i="2" s="1"/>
  <c r="K10" i="2"/>
  <c r="L10" i="2" s="1"/>
  <c r="N10" i="2" s="1"/>
  <c r="K11" i="2"/>
  <c r="K12" i="2"/>
  <c r="L12" i="2" s="1"/>
  <c r="N12" i="2" s="1"/>
  <c r="K13" i="2"/>
  <c r="L13" i="2" s="1"/>
  <c r="N13" i="2" s="1"/>
  <c r="K14" i="2"/>
  <c r="L14" i="2" s="1"/>
  <c r="N14" i="2" s="1"/>
  <c r="K15" i="2"/>
  <c r="L15" i="2" s="1"/>
  <c r="N15" i="2" s="1"/>
  <c r="K16" i="2"/>
  <c r="L16" i="2" s="1"/>
  <c r="N16" i="2" s="1"/>
  <c r="K17" i="2"/>
  <c r="L17" i="2" s="1"/>
  <c r="N17" i="2" s="1"/>
  <c r="K18" i="2"/>
  <c r="L18" i="2" s="1"/>
  <c r="N18" i="2" s="1"/>
  <c r="K19" i="2"/>
  <c r="L19" i="2" s="1"/>
  <c r="N19" i="2" s="1"/>
  <c r="K20" i="2"/>
  <c r="L20" i="2" s="1"/>
  <c r="N20" i="2" s="1"/>
  <c r="K21" i="2"/>
  <c r="L21" i="2" s="1"/>
  <c r="N21" i="2" s="1"/>
  <c r="K22" i="2"/>
  <c r="L22" i="2" s="1"/>
  <c r="N22" i="2" s="1"/>
  <c r="K23" i="2"/>
  <c r="L23" i="2" s="1"/>
  <c r="N23" i="2" s="1"/>
  <c r="K24" i="2"/>
  <c r="L24" i="2" s="1"/>
  <c r="N24" i="2" s="1"/>
  <c r="K25" i="2"/>
  <c r="L25" i="2" s="1"/>
  <c r="N25" i="2" s="1"/>
  <c r="K26" i="2"/>
  <c r="L26" i="2" s="1"/>
  <c r="N26" i="2" s="1"/>
  <c r="K27" i="2"/>
  <c r="L27" i="2" s="1"/>
  <c r="N27" i="2" s="1"/>
  <c r="K28" i="2"/>
  <c r="L28" i="2" s="1"/>
  <c r="N28" i="2" s="1"/>
  <c r="K29" i="2"/>
  <c r="L29" i="2" s="1"/>
  <c r="N29" i="2" s="1"/>
  <c r="K30" i="2"/>
  <c r="L30" i="2" s="1"/>
  <c r="N30" i="2" s="1"/>
  <c r="K31" i="2"/>
  <c r="L31" i="2" s="1"/>
  <c r="N31" i="2" s="1"/>
  <c r="K32" i="2"/>
  <c r="L32" i="2" s="1"/>
  <c r="N32" i="2" s="1"/>
  <c r="K33" i="2"/>
  <c r="L33" i="2" s="1"/>
  <c r="N33" i="2" s="1"/>
  <c r="K34" i="2"/>
  <c r="L34" i="2" s="1"/>
  <c r="N34" i="2" s="1"/>
  <c r="K35" i="2"/>
  <c r="L35" i="2" s="1"/>
  <c r="N35" i="2" s="1"/>
  <c r="K36" i="2"/>
  <c r="L36" i="2" s="1"/>
  <c r="N36" i="2" s="1"/>
  <c r="K37" i="2"/>
  <c r="L37" i="2" s="1"/>
  <c r="N37" i="2" s="1"/>
  <c r="K38" i="2"/>
  <c r="K39" i="2"/>
  <c r="L39" i="2" s="1"/>
  <c r="N39" i="2" s="1"/>
  <c r="K40" i="2"/>
  <c r="L40" i="2" s="1"/>
  <c r="N40" i="2" s="1"/>
  <c r="K41" i="2"/>
  <c r="L41" i="2" s="1"/>
  <c r="N41" i="2" s="1"/>
  <c r="K42" i="2"/>
  <c r="L42" i="2" s="1"/>
  <c r="N42" i="2" s="1"/>
  <c r="K43" i="2"/>
  <c r="L43" i="2" s="1"/>
  <c r="N43" i="2" s="1"/>
  <c r="K44" i="2"/>
  <c r="L44" i="2" s="1"/>
  <c r="N44" i="2" s="1"/>
  <c r="K45" i="2"/>
  <c r="L45" i="2" s="1"/>
  <c r="N45" i="2" s="1"/>
  <c r="K46" i="2"/>
  <c r="L46" i="2" s="1"/>
  <c r="N46" i="2" s="1"/>
  <c r="K47" i="2"/>
  <c r="K48" i="2"/>
  <c r="L48" i="2" s="1"/>
  <c r="N48" i="2" s="1"/>
  <c r="K49" i="2"/>
  <c r="K2" i="2"/>
  <c r="L2" i="2" s="1"/>
  <c r="N2" i="2" s="1"/>
  <c r="D5" i="2"/>
  <c r="D8" i="2"/>
  <c r="D11" i="2"/>
  <c r="D14" i="2"/>
  <c r="D17" i="2"/>
  <c r="D20" i="2"/>
  <c r="D23" i="2"/>
  <c r="D26" i="2"/>
  <c r="D32" i="2"/>
  <c r="D38" i="2"/>
  <c r="D41" i="2"/>
  <c r="D44" i="2"/>
  <c r="D47" i="2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L49" i="2"/>
  <c r="N49" i="2" s="1"/>
  <c r="L47" i="2"/>
  <c r="N47" i="2" s="1"/>
  <c r="L38" i="2"/>
  <c r="N38" i="2" s="1"/>
  <c r="L11" i="2"/>
  <c r="N11" i="2" s="1"/>
  <c r="M59" i="2" l="1"/>
  <c r="N59" i="2"/>
  <c r="M56" i="2"/>
  <c r="N56" i="2"/>
  <c r="M53" i="2"/>
  <c r="N53" i="2"/>
  <c r="M50" i="2"/>
  <c r="N50" i="2"/>
  <c r="N70" i="2"/>
  <c r="M70" i="2"/>
  <c r="N58" i="2"/>
  <c r="N55" i="2"/>
  <c r="N52" i="2"/>
  <c r="M73" i="2"/>
  <c r="M64" i="2"/>
  <c r="G86" i="2"/>
  <c r="H86" i="2"/>
  <c r="E86" i="2"/>
  <c r="G85" i="2"/>
  <c r="H85" i="2"/>
  <c r="E85" i="2"/>
  <c r="G84" i="2"/>
  <c r="H84" i="2"/>
  <c r="E84" i="2"/>
  <c r="G83" i="2"/>
  <c r="H83" i="2"/>
  <c r="E83" i="2"/>
  <c r="G82" i="2"/>
  <c r="H82" i="2"/>
  <c r="E82" i="2"/>
  <c r="G81" i="2"/>
  <c r="H81" i="2"/>
  <c r="E81" i="2"/>
  <c r="G80" i="2"/>
  <c r="H80" i="2"/>
  <c r="G79" i="2"/>
  <c r="H79" i="2"/>
  <c r="G78" i="2"/>
  <c r="H78" i="2"/>
  <c r="H2" i="1"/>
  <c r="G2" i="1"/>
  <c r="E2" i="1"/>
  <c r="D2" i="1"/>
  <c r="J2" i="1"/>
  <c r="N2" i="1"/>
  <c r="M2" i="1"/>
  <c r="H3" i="1"/>
  <c r="G3" i="1"/>
  <c r="E3" i="1"/>
  <c r="D3" i="1"/>
  <c r="J3" i="1"/>
  <c r="N3" i="1"/>
  <c r="M3" i="1"/>
  <c r="H4" i="1"/>
  <c r="G4" i="1"/>
  <c r="E4" i="1"/>
  <c r="D4" i="1"/>
  <c r="J4" i="1"/>
  <c r="N4" i="1"/>
  <c r="M4" i="1"/>
  <c r="H5" i="1"/>
  <c r="G5" i="1"/>
  <c r="E5" i="1"/>
  <c r="D5" i="1"/>
  <c r="J5" i="1"/>
  <c r="N5" i="1"/>
  <c r="M5" i="1"/>
  <c r="H6" i="1"/>
  <c r="G6" i="1"/>
  <c r="E6" i="1"/>
  <c r="D6" i="1"/>
  <c r="J6" i="1"/>
  <c r="N6" i="1"/>
  <c r="M6" i="1"/>
  <c r="H7" i="1"/>
  <c r="G7" i="1"/>
  <c r="E7" i="1"/>
  <c r="D7" i="1"/>
  <c r="J7" i="1"/>
  <c r="N7" i="1"/>
  <c r="M7" i="1"/>
  <c r="H8" i="1"/>
  <c r="G8" i="1"/>
  <c r="E8" i="1"/>
  <c r="D8" i="1"/>
  <c r="J8" i="1"/>
  <c r="N8" i="1"/>
  <c r="M8" i="1"/>
  <c r="H9" i="1"/>
  <c r="G9" i="1"/>
  <c r="E9" i="1"/>
  <c r="D9" i="1"/>
  <c r="J9" i="1"/>
  <c r="N9" i="1"/>
  <c r="M9" i="1"/>
  <c r="H10" i="1"/>
  <c r="G10" i="1"/>
  <c r="E10" i="1"/>
  <c r="D10" i="1"/>
  <c r="J10" i="1"/>
  <c r="N10" i="1"/>
  <c r="M10" i="1"/>
  <c r="H11" i="1"/>
  <c r="G11" i="1"/>
  <c r="E11" i="1"/>
  <c r="D11" i="1"/>
  <c r="N11" i="1"/>
  <c r="M11" i="1"/>
  <c r="H12" i="1"/>
  <c r="G12" i="1"/>
  <c r="E12" i="1"/>
  <c r="D12" i="1"/>
  <c r="J12" i="1"/>
  <c r="N12" i="1"/>
  <c r="M12" i="1"/>
  <c r="H13" i="1"/>
  <c r="G13" i="1"/>
  <c r="E13" i="1"/>
  <c r="D13" i="1"/>
  <c r="J13" i="1"/>
  <c r="N13" i="1"/>
  <c r="M13" i="1"/>
  <c r="H14" i="1"/>
  <c r="G14" i="1"/>
  <c r="E14" i="1"/>
  <c r="D14" i="1"/>
  <c r="J14" i="1"/>
  <c r="N14" i="1"/>
  <c r="M14" i="1"/>
  <c r="H15" i="1"/>
  <c r="G15" i="1"/>
  <c r="E15" i="1"/>
  <c r="D15" i="1"/>
  <c r="J15" i="1"/>
  <c r="N15" i="1"/>
  <c r="M15" i="1"/>
  <c r="H16" i="1"/>
  <c r="G16" i="1"/>
  <c r="E16" i="1"/>
  <c r="D16" i="1"/>
  <c r="J16" i="1"/>
  <c r="N16" i="1"/>
  <c r="M16" i="1"/>
  <c r="H17" i="1"/>
  <c r="G17" i="1"/>
  <c r="E17" i="1"/>
  <c r="D17" i="1"/>
  <c r="J17" i="1"/>
  <c r="N17" i="1"/>
  <c r="M17" i="1"/>
  <c r="H18" i="1"/>
  <c r="G18" i="1"/>
  <c r="E18" i="1"/>
  <c r="D18" i="1"/>
  <c r="J18" i="1"/>
  <c r="N18" i="1"/>
  <c r="M18" i="1"/>
  <c r="H19" i="1"/>
  <c r="G19" i="1"/>
  <c r="E19" i="1"/>
  <c r="D19" i="1"/>
  <c r="J19" i="1"/>
  <c r="N19" i="1"/>
  <c r="M19" i="1"/>
  <c r="H20" i="1"/>
  <c r="G20" i="1"/>
  <c r="E20" i="1"/>
  <c r="D20" i="1"/>
  <c r="J20" i="1"/>
  <c r="N20" i="1"/>
  <c r="M20" i="1"/>
  <c r="H21" i="1"/>
  <c r="G21" i="1"/>
  <c r="E21" i="1"/>
  <c r="D21" i="1"/>
  <c r="J21" i="1"/>
  <c r="N21" i="1"/>
  <c r="M21" i="1"/>
  <c r="H22" i="1"/>
  <c r="G22" i="1"/>
  <c r="E22" i="1"/>
  <c r="D22" i="1"/>
  <c r="J22" i="1"/>
  <c r="N22" i="1"/>
  <c r="M22" i="1"/>
  <c r="H23" i="1"/>
  <c r="G23" i="1"/>
  <c r="E23" i="1"/>
  <c r="D23" i="1"/>
  <c r="J23" i="1"/>
  <c r="N23" i="1"/>
  <c r="M23" i="1"/>
  <c r="H24" i="1"/>
  <c r="G24" i="1"/>
  <c r="E24" i="1"/>
  <c r="D24" i="1"/>
  <c r="J24" i="1"/>
  <c r="N24" i="1"/>
  <c r="M24" i="1"/>
  <c r="H25" i="1"/>
  <c r="G25" i="1"/>
  <c r="E25" i="1"/>
  <c r="D25" i="1"/>
  <c r="J25" i="1"/>
  <c r="N25" i="1"/>
  <c r="M25" i="1"/>
  <c r="H26" i="1"/>
  <c r="G26" i="1"/>
  <c r="E26" i="1"/>
  <c r="D26" i="1"/>
  <c r="J26" i="1"/>
  <c r="N26" i="1"/>
  <c r="M26" i="1"/>
  <c r="H27" i="1"/>
  <c r="G27" i="1"/>
  <c r="E27" i="1"/>
  <c r="D27" i="1"/>
  <c r="J27" i="1"/>
  <c r="N27" i="1"/>
  <c r="M27" i="1"/>
  <c r="H28" i="1"/>
  <c r="G28" i="1"/>
  <c r="E28" i="1"/>
  <c r="D28" i="1"/>
  <c r="J28" i="1"/>
  <c r="N28" i="1"/>
  <c r="M28" i="1"/>
  <c r="H29" i="1"/>
  <c r="G29" i="1"/>
  <c r="E29" i="1"/>
  <c r="D29" i="1"/>
  <c r="J29" i="1"/>
  <c r="N29" i="1"/>
  <c r="M29" i="1"/>
  <c r="H30" i="1"/>
  <c r="G30" i="1"/>
  <c r="E30" i="1"/>
  <c r="D30" i="1"/>
  <c r="J30" i="1"/>
  <c r="N30" i="1"/>
  <c r="M30" i="1"/>
  <c r="H31" i="1"/>
  <c r="G31" i="1"/>
  <c r="E31" i="1"/>
  <c r="D31" i="1"/>
  <c r="J31" i="1"/>
  <c r="N31" i="1"/>
  <c r="M31" i="1"/>
  <c r="H32" i="1"/>
  <c r="G32" i="1"/>
  <c r="E32" i="1"/>
  <c r="D32" i="1"/>
  <c r="J32" i="1"/>
  <c r="N32" i="1"/>
  <c r="M32" i="1"/>
  <c r="H33" i="1"/>
  <c r="G33" i="1"/>
  <c r="E33" i="1"/>
  <c r="D33" i="1"/>
  <c r="J33" i="1"/>
  <c r="N33" i="1"/>
  <c r="M33" i="1"/>
  <c r="H34" i="1"/>
  <c r="G34" i="1"/>
  <c r="E34" i="1"/>
  <c r="D34" i="1"/>
  <c r="J34" i="1"/>
  <c r="N34" i="1"/>
  <c r="M34" i="1"/>
  <c r="H35" i="1"/>
  <c r="G35" i="1"/>
  <c r="E35" i="1"/>
  <c r="D35" i="1"/>
  <c r="J35" i="1"/>
  <c r="N35" i="1"/>
  <c r="M35" i="1"/>
  <c r="H36" i="1"/>
  <c r="G36" i="1"/>
  <c r="E36" i="1"/>
  <c r="D36" i="1"/>
  <c r="J36" i="1"/>
  <c r="N36" i="1"/>
  <c r="M36" i="1"/>
  <c r="H37" i="1"/>
  <c r="G37" i="1"/>
  <c r="E37" i="1"/>
  <c r="D37" i="1"/>
  <c r="J37" i="1"/>
  <c r="N37" i="1"/>
  <c r="M37" i="1"/>
  <c r="H38" i="1"/>
  <c r="G38" i="1"/>
  <c r="E38" i="1"/>
  <c r="D38" i="1"/>
  <c r="J38" i="1"/>
  <c r="N38" i="1"/>
  <c r="M38" i="1"/>
  <c r="H39" i="1"/>
  <c r="G39" i="1"/>
  <c r="E39" i="1"/>
  <c r="D39" i="1"/>
  <c r="J39" i="1"/>
  <c r="N39" i="1"/>
  <c r="M39" i="1"/>
  <c r="H40" i="1"/>
  <c r="G40" i="1"/>
  <c r="E40" i="1"/>
  <c r="D40" i="1"/>
  <c r="J40" i="1"/>
  <c r="N40" i="1"/>
  <c r="M40" i="1"/>
  <c r="H41" i="1"/>
  <c r="G41" i="1"/>
  <c r="E41" i="1"/>
  <c r="D41" i="1"/>
  <c r="J41" i="1"/>
  <c r="N41" i="1"/>
  <c r="M41" i="1"/>
  <c r="H42" i="1"/>
  <c r="G42" i="1"/>
  <c r="E42" i="1"/>
  <c r="D42" i="1"/>
  <c r="J42" i="1"/>
  <c r="N42" i="1"/>
  <c r="M42" i="1"/>
  <c r="H43" i="1"/>
  <c r="G43" i="1"/>
  <c r="E43" i="1"/>
  <c r="D43" i="1"/>
  <c r="J43" i="1"/>
  <c r="N43" i="1"/>
  <c r="M43" i="1"/>
  <c r="H44" i="1"/>
  <c r="G44" i="1"/>
  <c r="E44" i="1"/>
  <c r="D44" i="1"/>
  <c r="J44" i="1"/>
  <c r="N44" i="1"/>
  <c r="M44" i="1"/>
  <c r="H45" i="1"/>
  <c r="G45" i="1"/>
  <c r="E45" i="1"/>
  <c r="D45" i="1"/>
  <c r="J45" i="1"/>
  <c r="N45" i="1"/>
  <c r="M45" i="1"/>
  <c r="H46" i="1"/>
  <c r="G46" i="1"/>
  <c r="E46" i="1"/>
  <c r="D46" i="1"/>
  <c r="J46" i="1"/>
  <c r="N46" i="1"/>
  <c r="M46" i="1"/>
  <c r="H47" i="1"/>
  <c r="G47" i="1"/>
  <c r="E47" i="1"/>
  <c r="D47" i="1"/>
  <c r="J47" i="1"/>
  <c r="N47" i="1"/>
  <c r="M47" i="1"/>
  <c r="H48" i="1"/>
  <c r="G48" i="1"/>
  <c r="E48" i="1"/>
  <c r="D48" i="1"/>
  <c r="J48" i="1"/>
  <c r="N48" i="1"/>
  <c r="M48" i="1"/>
  <c r="H49" i="1"/>
  <c r="G49" i="1"/>
  <c r="E49" i="1"/>
  <c r="D49" i="1"/>
  <c r="J49" i="1"/>
  <c r="N49" i="1"/>
  <c r="M49" i="1"/>
  <c r="H50" i="1"/>
  <c r="G50" i="1"/>
  <c r="E50" i="1"/>
  <c r="D50" i="1"/>
  <c r="J50" i="1"/>
  <c r="N50" i="1"/>
  <c r="M50" i="1"/>
  <c r="H51" i="1"/>
  <c r="G51" i="1"/>
  <c r="E51" i="1"/>
  <c r="D51" i="1"/>
  <c r="J51" i="1"/>
  <c r="N51" i="1"/>
  <c r="M51" i="1"/>
  <c r="H52" i="1"/>
  <c r="G52" i="1"/>
  <c r="E52" i="1"/>
  <c r="D52" i="1"/>
  <c r="J52" i="1"/>
  <c r="N52" i="1"/>
  <c r="M52" i="1"/>
  <c r="H53" i="1"/>
  <c r="G53" i="1"/>
  <c r="E53" i="1"/>
  <c r="D53" i="1"/>
  <c r="J53" i="1"/>
  <c r="N53" i="1"/>
  <c r="M53" i="1"/>
  <c r="H54" i="1"/>
  <c r="G54" i="1"/>
  <c r="E54" i="1"/>
  <c r="D54" i="1"/>
  <c r="J54" i="1"/>
  <c r="N54" i="1"/>
  <c r="M54" i="1"/>
  <c r="H55" i="1"/>
  <c r="G55" i="1"/>
  <c r="E55" i="1"/>
  <c r="D55" i="1"/>
  <c r="J55" i="1"/>
  <c r="N55" i="1"/>
  <c r="M55" i="1"/>
  <c r="H56" i="1"/>
  <c r="G56" i="1"/>
  <c r="E56" i="1"/>
  <c r="D56" i="1"/>
  <c r="J56" i="1"/>
  <c r="N56" i="1"/>
  <c r="M56" i="1"/>
  <c r="H57" i="1"/>
  <c r="G57" i="1"/>
  <c r="E57" i="1"/>
  <c r="D57" i="1"/>
  <c r="J57" i="1"/>
  <c r="N57" i="1"/>
  <c r="M57" i="1"/>
  <c r="H58" i="1"/>
  <c r="G58" i="1"/>
  <c r="E58" i="1"/>
  <c r="D58" i="1"/>
  <c r="J58" i="1"/>
  <c r="N58" i="1"/>
  <c r="M58" i="1"/>
  <c r="H59" i="1"/>
  <c r="G59" i="1"/>
  <c r="E59" i="1"/>
  <c r="D59" i="1"/>
  <c r="J59" i="1"/>
  <c r="N59" i="1"/>
  <c r="M59" i="1"/>
  <c r="H60" i="1"/>
  <c r="G60" i="1"/>
  <c r="E60" i="1"/>
  <c r="D60" i="1"/>
  <c r="J60" i="1"/>
  <c r="N60" i="1"/>
  <c r="M60" i="1"/>
  <c r="H61" i="1"/>
  <c r="G61" i="1"/>
  <c r="E61" i="1"/>
  <c r="D61" i="1"/>
  <c r="J61" i="1"/>
  <c r="N61" i="1"/>
  <c r="M61" i="1"/>
  <c r="H62" i="1"/>
  <c r="G62" i="1"/>
  <c r="E62" i="1"/>
  <c r="D62" i="1"/>
  <c r="J62" i="1"/>
  <c r="N62" i="1"/>
  <c r="M62" i="1"/>
  <c r="H63" i="1"/>
  <c r="G63" i="1"/>
  <c r="E63" i="1"/>
  <c r="D63" i="1"/>
  <c r="J63" i="1"/>
  <c r="N63" i="1"/>
  <c r="M63" i="1"/>
  <c r="H64" i="1"/>
  <c r="G64" i="1"/>
  <c r="E64" i="1"/>
  <c r="D64" i="1"/>
  <c r="J64" i="1"/>
  <c r="N64" i="1"/>
  <c r="M64" i="1"/>
  <c r="H65" i="1"/>
  <c r="G65" i="1"/>
  <c r="E65" i="1"/>
  <c r="D65" i="1"/>
  <c r="J65" i="1"/>
  <c r="N65" i="1"/>
  <c r="M65" i="1"/>
  <c r="H66" i="1"/>
  <c r="G66" i="1"/>
  <c r="E66" i="1"/>
  <c r="D66" i="1"/>
  <c r="J66" i="1"/>
  <c r="N66" i="1"/>
  <c r="M66" i="1"/>
  <c r="H67" i="1"/>
  <c r="G67" i="1"/>
  <c r="E67" i="1"/>
  <c r="D67" i="1"/>
  <c r="J67" i="1"/>
  <c r="N67" i="1"/>
  <c r="M67" i="1"/>
  <c r="H68" i="1"/>
  <c r="G68" i="1"/>
  <c r="E68" i="1"/>
  <c r="D68" i="1"/>
  <c r="J68" i="1"/>
  <c r="N68" i="1"/>
  <c r="M68" i="1"/>
  <c r="H69" i="1"/>
  <c r="G69" i="1"/>
  <c r="E69" i="1"/>
  <c r="D69" i="1"/>
  <c r="J69" i="1"/>
  <c r="N69" i="1"/>
  <c r="M69" i="1"/>
  <c r="H70" i="1"/>
  <c r="G70" i="1"/>
  <c r="E70" i="1"/>
  <c r="D70" i="1"/>
  <c r="J70" i="1"/>
  <c r="N70" i="1"/>
  <c r="M70" i="1"/>
  <c r="H71" i="1"/>
  <c r="G71" i="1"/>
  <c r="E71" i="1"/>
  <c r="D71" i="1"/>
  <c r="J71" i="1"/>
  <c r="N71" i="1"/>
  <c r="M71" i="1"/>
  <c r="H72" i="1"/>
  <c r="G72" i="1"/>
  <c r="E72" i="1"/>
  <c r="D72" i="1"/>
  <c r="J72" i="1"/>
  <c r="N72" i="1"/>
  <c r="M72" i="1"/>
  <c r="H73" i="1"/>
  <c r="G73" i="1"/>
  <c r="E73" i="1"/>
  <c r="D73" i="1"/>
  <c r="J73" i="1"/>
  <c r="N73" i="1"/>
  <c r="M73" i="1"/>
  <c r="H74" i="1"/>
  <c r="G74" i="1"/>
  <c r="E74" i="1"/>
  <c r="D74" i="1"/>
  <c r="J74" i="1"/>
  <c r="N74" i="1"/>
  <c r="M74" i="1"/>
  <c r="H75" i="1"/>
  <c r="G75" i="1"/>
  <c r="E75" i="1"/>
  <c r="D75" i="1"/>
  <c r="J75" i="1"/>
  <c r="N75" i="1"/>
  <c r="M75" i="1"/>
  <c r="H76" i="1"/>
  <c r="G76" i="1"/>
  <c r="E76" i="1"/>
  <c r="D76" i="1"/>
  <c r="J76" i="1"/>
  <c r="N76" i="1"/>
  <c r="M76" i="1"/>
  <c r="H77" i="1"/>
  <c r="G77" i="1"/>
  <c r="E77" i="1"/>
  <c r="D77" i="1"/>
  <c r="J77" i="1"/>
  <c r="N77" i="1"/>
  <c r="M77" i="1"/>
  <c r="H78" i="1"/>
  <c r="G78" i="1"/>
  <c r="E78" i="1"/>
  <c r="D78" i="1"/>
  <c r="J78" i="1"/>
  <c r="N78" i="1"/>
  <c r="M78" i="1"/>
  <c r="H79" i="1"/>
  <c r="G79" i="1"/>
  <c r="E79" i="1"/>
  <c r="D79" i="1"/>
  <c r="J79" i="1"/>
  <c r="N79" i="1"/>
  <c r="M79" i="1"/>
  <c r="H80" i="1"/>
  <c r="G80" i="1"/>
  <c r="E80" i="1"/>
  <c r="D80" i="1"/>
  <c r="J80" i="1"/>
  <c r="N80" i="1"/>
  <c r="M80" i="1"/>
  <c r="H81" i="1"/>
  <c r="G81" i="1"/>
  <c r="E81" i="1"/>
  <c r="D81" i="1"/>
  <c r="J81" i="1"/>
  <c r="N81" i="1"/>
  <c r="M81" i="1"/>
  <c r="H82" i="1"/>
  <c r="G82" i="1"/>
  <c r="E82" i="1"/>
  <c r="D82" i="1"/>
  <c r="J82" i="1"/>
  <c r="N82" i="1"/>
  <c r="M82" i="1"/>
  <c r="H83" i="1"/>
  <c r="G83" i="1"/>
  <c r="E83" i="1"/>
  <c r="D83" i="1"/>
  <c r="J83" i="1"/>
  <c r="N83" i="1"/>
  <c r="M83" i="1"/>
  <c r="H84" i="1"/>
  <c r="G84" i="1"/>
  <c r="E84" i="1"/>
  <c r="D84" i="1"/>
  <c r="J84" i="1"/>
  <c r="N84" i="1"/>
  <c r="M84" i="1"/>
  <c r="H85" i="1"/>
  <c r="G85" i="1"/>
  <c r="E85" i="1"/>
  <c r="D85" i="1"/>
  <c r="J85" i="1"/>
  <c r="N85" i="1"/>
  <c r="M85" i="1"/>
  <c r="H86" i="1"/>
  <c r="G86" i="1"/>
  <c r="E86" i="1"/>
  <c r="D86" i="1"/>
  <c r="J86" i="1"/>
  <c r="N86" i="1"/>
  <c r="M86" i="1"/>
  <c r="H87" i="1"/>
  <c r="G87" i="1"/>
  <c r="E87" i="1"/>
  <c r="D87" i="1"/>
  <c r="J87" i="1"/>
  <c r="N87" i="1"/>
  <c r="M87" i="1"/>
  <c r="H88" i="1"/>
  <c r="G88" i="1"/>
  <c r="E88" i="1"/>
  <c r="D88" i="1"/>
  <c r="J88" i="1"/>
  <c r="N88" i="1"/>
  <c r="M88" i="1"/>
  <c r="H89" i="1"/>
  <c r="G89" i="1"/>
  <c r="E89" i="1"/>
  <c r="D89" i="1"/>
  <c r="N89" i="1"/>
  <c r="M89" i="1"/>
  <c r="H90" i="1"/>
  <c r="G90" i="1"/>
  <c r="E90" i="1"/>
  <c r="D90" i="1"/>
  <c r="J90" i="1"/>
  <c r="N90" i="1"/>
  <c r="M90" i="1"/>
  <c r="H91" i="1"/>
  <c r="G91" i="1"/>
  <c r="E91" i="1"/>
  <c r="D91" i="1"/>
  <c r="J91" i="1"/>
  <c r="N91" i="1"/>
  <c r="M91" i="1"/>
  <c r="H92" i="1"/>
  <c r="G92" i="1"/>
  <c r="E92" i="1"/>
  <c r="D92" i="1"/>
  <c r="J92" i="1"/>
  <c r="N92" i="1"/>
  <c r="M92" i="1"/>
  <c r="H93" i="1"/>
  <c r="G93" i="1"/>
  <c r="E93" i="1"/>
  <c r="D93" i="1"/>
  <c r="J93" i="1"/>
  <c r="N93" i="1"/>
  <c r="M93" i="1"/>
  <c r="H94" i="1"/>
  <c r="G94" i="1"/>
  <c r="E94" i="1"/>
  <c r="D94" i="1"/>
  <c r="J94" i="1"/>
  <c r="N94" i="1"/>
  <c r="M94" i="1"/>
  <c r="H95" i="1"/>
  <c r="G95" i="1"/>
  <c r="E95" i="1"/>
  <c r="D95" i="1"/>
  <c r="J95" i="1"/>
  <c r="N95" i="1"/>
  <c r="M95" i="1"/>
  <c r="H96" i="1"/>
  <c r="G96" i="1"/>
  <c r="E96" i="1"/>
  <c r="D96" i="1"/>
  <c r="J96" i="1"/>
  <c r="N96" i="1"/>
  <c r="M96" i="1"/>
  <c r="H97" i="1"/>
  <c r="G97" i="1"/>
  <c r="E97" i="1"/>
  <c r="D97" i="1"/>
  <c r="J97" i="1"/>
  <c r="N97" i="1"/>
  <c r="M97" i="1"/>
  <c r="H73" i="2"/>
  <c r="H55" i="2"/>
  <c r="H70" i="2"/>
  <c r="H64" i="2"/>
  <c r="E59" i="2"/>
  <c r="H77" i="2"/>
  <c r="H50" i="2"/>
  <c r="H68" i="2"/>
  <c r="H62" i="2"/>
  <c r="E68" i="2"/>
  <c r="E56" i="2"/>
  <c r="H71" i="2"/>
  <c r="H65" i="2"/>
  <c r="H61" i="2"/>
  <c r="H52" i="2"/>
  <c r="E65" i="2"/>
  <c r="E50" i="2"/>
  <c r="H74" i="2"/>
  <c r="H59" i="2"/>
  <c r="H53" i="2"/>
  <c r="E71" i="2"/>
  <c r="E62" i="2"/>
  <c r="E53" i="2"/>
  <c r="H76" i="2"/>
  <c r="H67" i="2"/>
  <c r="H58" i="2"/>
  <c r="E75" i="2"/>
  <c r="H75" i="2"/>
  <c r="H72" i="2"/>
  <c r="H69" i="2"/>
  <c r="H66" i="2"/>
  <c r="H63" i="2"/>
  <c r="H60" i="2"/>
  <c r="H57" i="2"/>
  <c r="H54" i="2"/>
  <c r="H51" i="2"/>
  <c r="E73" i="2"/>
  <c r="E70" i="2"/>
  <c r="E67" i="2"/>
  <c r="E64" i="2"/>
  <c r="E61" i="2"/>
  <c r="E58" i="2"/>
  <c r="E55" i="2"/>
  <c r="E52" i="2"/>
  <c r="E72" i="2"/>
  <c r="E69" i="2"/>
  <c r="E66" i="2"/>
  <c r="E63" i="2"/>
  <c r="E60" i="2"/>
  <c r="E57" i="2"/>
  <c r="E54" i="2"/>
  <c r="E51" i="2"/>
  <c r="H2" i="2"/>
  <c r="G2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E45" i="2"/>
  <c r="E43" i="2"/>
  <c r="E37" i="2"/>
  <c r="E35" i="2"/>
  <c r="E29" i="2"/>
  <c r="E27" i="2"/>
  <c r="D49" i="2"/>
  <c r="E49" i="2"/>
  <c r="D48" i="2"/>
  <c r="E48" i="2"/>
  <c r="D46" i="2"/>
  <c r="E46" i="2"/>
  <c r="D42" i="2"/>
  <c r="E42" i="2"/>
  <c r="D40" i="2"/>
  <c r="E40" i="2"/>
  <c r="D39" i="2"/>
  <c r="E39" i="2"/>
  <c r="D36" i="2"/>
  <c r="E36" i="2"/>
  <c r="D34" i="2"/>
  <c r="E34" i="2"/>
  <c r="D33" i="2"/>
  <c r="E33" i="2"/>
  <c r="D31" i="2"/>
  <c r="E31" i="2"/>
  <c r="D30" i="2"/>
  <c r="E30" i="2"/>
  <c r="D28" i="2"/>
  <c r="E28" i="2"/>
  <c r="D25" i="2"/>
  <c r="E25" i="2"/>
  <c r="D24" i="2"/>
  <c r="E24" i="2"/>
  <c r="D22" i="2"/>
  <c r="E22" i="2"/>
  <c r="D21" i="2"/>
  <c r="E21" i="2"/>
  <c r="D19" i="2"/>
  <c r="E19" i="2"/>
  <c r="D18" i="2"/>
  <c r="E18" i="2"/>
  <c r="D16" i="2"/>
  <c r="E16" i="2"/>
  <c r="D15" i="2"/>
  <c r="E15" i="2"/>
  <c r="D13" i="2"/>
  <c r="E13" i="2"/>
  <c r="D12" i="2"/>
  <c r="E12" i="2"/>
  <c r="D10" i="2"/>
  <c r="E10" i="2"/>
  <c r="D9" i="2"/>
  <c r="E9" i="2"/>
  <c r="D7" i="2"/>
  <c r="E7" i="2"/>
  <c r="D6" i="2"/>
  <c r="E6" i="2"/>
  <c r="D4" i="2"/>
  <c r="E4" i="2"/>
  <c r="D3" i="2"/>
  <c r="E3" i="2"/>
  <c r="E2" i="2"/>
  <c r="E74" i="2"/>
  <c r="E47" i="2"/>
  <c r="E44" i="2"/>
  <c r="E41" i="2"/>
  <c r="E38" i="2"/>
  <c r="E32" i="2"/>
  <c r="E26" i="2"/>
  <c r="E23" i="2"/>
  <c r="E20" i="2"/>
  <c r="E17" i="2"/>
  <c r="E14" i="2"/>
  <c r="E11" i="2"/>
  <c r="E8" i="2"/>
  <c r="E5" i="2"/>
  <c r="N77" i="2"/>
  <c r="M77" i="2"/>
  <c r="M75" i="2"/>
  <c r="N75" i="2"/>
  <c r="M68" i="2"/>
  <c r="N68" i="2"/>
  <c r="N66" i="2"/>
  <c r="M66" i="2"/>
  <c r="M61" i="2"/>
  <c r="N61" i="2"/>
  <c r="M71" i="2"/>
  <c r="N71" i="2"/>
  <c r="N69" i="2"/>
  <c r="M69" i="2"/>
  <c r="M62" i="2"/>
  <c r="N62" i="2"/>
  <c r="N74" i="2"/>
  <c r="M74" i="2"/>
  <c r="N72" i="2"/>
  <c r="M72" i="2"/>
  <c r="M65" i="2"/>
  <c r="N65" i="2"/>
  <c r="N63" i="2"/>
  <c r="M63" i="2"/>
  <c r="N60" i="2"/>
  <c r="M60" i="2"/>
  <c r="E77" i="2"/>
  <c r="E76" i="2"/>
  <c r="D45" i="2"/>
  <c r="D43" i="2"/>
  <c r="D37" i="2"/>
  <c r="D35" i="2"/>
  <c r="D29" i="2"/>
  <c r="D27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<sst xmlns="http://schemas.openxmlformats.org/spreadsheetml/2006/main" count="374" uniqueCount="64">
  <si>
    <t>reserva</t>
  </si>
  <si>
    <t>AP Moneda</t>
  </si>
  <si>
    <t>SUM de monto a pagar</t>
  </si>
  <si>
    <t>Total  prov en eur</t>
  </si>
  <si>
    <t>Total  prov en usd</t>
  </si>
  <si>
    <t>Monto ya pagado</t>
  </si>
  <si>
    <t>Pago prov en eur</t>
  </si>
  <si>
    <t>Pago prov en usd</t>
  </si>
  <si>
    <t>Restante por pagar prov</t>
  </si>
  <si>
    <t>Restante por pagar prov USD</t>
  </si>
  <si>
    <t>AP fecha_inicio</t>
  </si>
  <si>
    <t>AP fecha salida 30 dias antes</t>
  </si>
  <si>
    <t>AP mes 30 dias antes</t>
  </si>
  <si>
    <t>AP año 30 dias antes</t>
  </si>
  <si>
    <t xml:space="preserve"> </t>
  </si>
  <si>
    <t>folio</t>
  </si>
  <si>
    <t>moneda</t>
  </si>
  <si>
    <t>fecha_inicio</t>
  </si>
  <si>
    <t>SUM de monto</t>
  </si>
  <si>
    <t>SUM de monto ya pagado</t>
  </si>
  <si>
    <t>USD</t>
  </si>
  <si>
    <t>EUR</t>
  </si>
  <si>
    <t>DIVISA</t>
  </si>
  <si>
    <t>Fx EUR</t>
  </si>
  <si>
    <t>Fx USD</t>
  </si>
  <si>
    <t>CHF</t>
  </si>
  <si>
    <t>GBP</t>
  </si>
  <si>
    <t>GPB</t>
  </si>
  <si>
    <t>JPY</t>
  </si>
  <si>
    <t>MXN</t>
  </si>
  <si>
    <t>0000-00-00</t>
  </si>
  <si>
    <t>Suma total</t>
  </si>
  <si>
    <t>AR Moneda</t>
  </si>
  <si>
    <t>monto cliente</t>
  </si>
  <si>
    <t>Tot en eur</t>
  </si>
  <si>
    <t>Tot en usd</t>
  </si>
  <si>
    <t>monto ya cobrado</t>
  </si>
  <si>
    <t>Pago cliente eur</t>
  </si>
  <si>
    <t>Pago cliente usd</t>
  </si>
  <si>
    <t>Restante por pagar cliente</t>
  </si>
  <si>
    <t>Restante por pagar cliente USD</t>
  </si>
  <si>
    <t>AR fecha_inicio</t>
  </si>
  <si>
    <t>AR fecha salida 30 dias antes</t>
  </si>
  <si>
    <t>AR mes 30 dias antes</t>
  </si>
  <si>
    <t>AR año 30 dias antes</t>
  </si>
  <si>
    <t>Details for Suma de Restante por pagar prov - AP mes 30 dias antes: 1, AP año 30 dias antes: 2026</t>
  </si>
  <si>
    <t>AP Reserva</t>
  </si>
  <si>
    <t>Total Provedor</t>
  </si>
  <si>
    <t>Pago prov (monto)</t>
  </si>
  <si>
    <t xml:space="preserve">  </t>
  </si>
  <si>
    <t>Detalles de Suma de Restante por pagar prov - AP mes 30 dias antes: 1, AP año 30 dias antes: 2026</t>
  </si>
  <si>
    <t>2025 Total</t>
  </si>
  <si>
    <t>2026 Total</t>
  </si>
  <si>
    <t>Grand Total</t>
  </si>
  <si>
    <t>Suma de Restante por pagar prov USD</t>
  </si>
  <si>
    <t>(en blanco)</t>
  </si>
  <si>
    <t>Total general</t>
  </si>
  <si>
    <t>SUM of Restante por pagar prov</t>
  </si>
  <si>
    <t>SUM of Restante por pagar cliente</t>
  </si>
  <si>
    <t>Details for Suma de Restante por pagar cliente - AR mes 30 dias antes: 1, AR año 30 dias antes: 2026</t>
  </si>
  <si>
    <t>AR Reserva</t>
  </si>
  <si>
    <t>Total cliente</t>
  </si>
  <si>
    <t>Pago cliente (monto)</t>
  </si>
  <si>
    <t>Suma de Restante por pagar cliente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</si>
</sst>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"/>
    <numFmt numFmtId="166" formatCode="yyyy\-mm\-dd;@"/>
    <numFmt numFmtId="167" formatCode="_-[$$-409]* #,##0_ ;_-[$$-409]* \-#,##0\ ;_-[$$-409]* &quot;-&quot;??_ ;_-@_ "/>
  </numFmts>
  <fonts count="10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charset val="1"/>
    </font>
    <font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rgb="FF8093B3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3" fillId="0" borderId="0" xfId="0" applyFont="1"/>
    <xf numFmtId="0" fontId="2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5" borderId="0" xfId="0" applyFont="1" applyFill="1"/>
    <xf numFmtId="0" fontId="1" fillId="6" borderId="0" xfId="0" applyFont="1" applyFill="1"/>
    <xf numFmtId="165" fontId="3" fillId="0" borderId="0" xfId="0" applyNumberFormat="1" applyFont="1"/>
    <xf numFmtId="166" fontId="0" fillId="0" borderId="0" xfId="0" applyNumberFormat="1"/>
    <xf numFmtId="14" fontId="0" fillId="0" borderId="0" xfId="0" applyNumberFormat="1"/>
    <xf numFmtId="1" fontId="1" fillId="0" borderId="0" xfId="0" applyNumberFormat="1" applyFont="1" applyAlignment="1">
      <alignment wrapText="1"/>
    </xf>
    <xf numFmtId="0" fontId="4" fillId="0" borderId="0" xfId="0" applyFont="1"/>
    <xf numFmtId="0" fontId="0" fillId="0" borderId="0" xfId="0" pivotButton="1"/>
    <xf numFmtId="0" fontId="5" fillId="0" borderId="0" xfId="0" applyFont="1"/>
    <xf numFmtId="167" fontId="0" fillId="7" borderId="0" xfId="0" applyNumberFormat="1" applyFill="1"/>
    <xf numFmtId="167" fontId="0" fillId="0" borderId="0" xfId="0" applyNumberFormat="1"/>
    <xf numFmtId="0" fontId="0" fillId="8" borderId="0" xfId="0" applyFill="1"/>
    <xf numFmtId="2" fontId="1" fillId="5" borderId="0" xfId="0" applyNumberFormat="1" applyFont="1" applyFill="1"/>
    <xf numFmtId="2" fontId="1" fillId="0" borderId="0" xfId="0" applyNumberFormat="1" applyFont="1" applyAlignment="1">
      <alignment horizontal="right"/>
    </xf>
    <xf numFmtId="2" fontId="0" fillId="0" borderId="0" xfId="0" applyNumberFormat="1"/>
    <xf numFmtId="0" fontId="3" fillId="9" borderId="0" xfId="0" applyFont="1" applyFill="1"/>
    <xf numFmtId="0" fontId="0" fillId="9" borderId="0" xfId="0" applyFill="1"/>
    <xf numFmtId="1" fontId="1" fillId="9" borderId="0" xfId="0" applyNumberFormat="1" applyFont="1" applyFill="1"/>
    <xf numFmtId="2" fontId="1" fillId="3" borderId="0" xfId="0" applyNumberFormat="1" applyFont="1" applyFill="1"/>
    <xf numFmtId="2" fontId="1" fillId="0" borderId="0" xfId="0" applyNumberFormat="1" applyFont="1"/>
    <xf numFmtId="0" fontId="0" fillId="0" borderId="1" xfId="0" applyBorder="1"/>
    <xf numFmtId="0" fontId="0" fillId="0" borderId="1" xfId="0" pivotButton="1" applyBorder="1"/>
    <xf numFmtId="0" fontId="0" fillId="0" borderId="2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6" fillId="10" borderId="11" xfId="0" applyFont="1" applyFill="1" applyBorder="1" applyAlignment="1">
      <alignment readingOrder="1"/>
    </xf>
    <xf numFmtId="0" fontId="7" fillId="11" borderId="11" xfId="0" applyFont="1" applyFill="1" applyBorder="1" applyAlignment="1">
      <alignment readingOrder="1"/>
    </xf>
    <xf numFmtId="0" fontId="8" fillId="12" borderId="12" xfId="0" applyFont="1" applyFill="1" applyBorder="1" applyAlignment="1">
      <alignment readingOrder="1"/>
    </xf>
    <xf numFmtId="0" fontId="8" fillId="13" borderId="0" xfId="0" applyFont="1" applyFill="1" applyAlignment="1">
      <alignment readingOrder="1"/>
    </xf>
    <xf numFmtId="0" fontId="8" fillId="12" borderId="13" xfId="0" applyFont="1" applyFill="1" applyBorder="1" applyAlignment="1">
      <alignment readingOrder="1"/>
    </xf>
    <xf numFmtId="0" fontId="8" fillId="13" borderId="14" xfId="0" applyFont="1" applyFill="1" applyBorder="1" applyAlignment="1">
      <alignment readingOrder="1"/>
    </xf>
    <xf numFmtId="0" fontId="9" fillId="10" borderId="0" xfId="0" applyFont="1" applyFill="1" applyAlignment="1">
      <alignment readingOrder="1"/>
    </xf>
    <xf numFmtId="0" fontId="8" fillId="0" borderId="0" xfId="0" applyFont="1" applyAlignment="1">
      <alignment readingOrder="1"/>
    </xf>
  </cellXfs>
  <cellStyles count="1">
    <cellStyle name="Normal" xfId="0" builtinId="0"/>
  </cellStyles>
  <dxfs count="12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numFmt numFmtId="167" formatCode="_-[$$-409]* #,##0_ ;_-[$$-409]* \-#,##0\ ;_-[$$-409]* &quot;-&quot;??_ ;_-@_ 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numFmt numFmtId="167" formatCode="_-[$$-409]* #,##0_ ;_-[$$-409]* \-#,##0\ ;_-[$$-409]* &quot;-&quot;??_ ;_-@_ "/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1.619433449072" createdVersion="8" refreshedVersion="8" minRefreshableVersion="3" recordCount="1000" xr:uid="{19210B0A-F2E0-4649-9068-4AA67B4DE6FD}">
  <cacheSource type="worksheet">
    <worksheetSource ref="A1:N1048576" sheet="Data AR"/>
  </cacheSource>
  <cacheFields count="14">
    <cacheField name="reserva" numFmtId="0">
      <sharedItems containsString="0" containsBlank="1" containsNumber="1" containsInteger="1" minValue="1" maxValue="107"/>
    </cacheField>
    <cacheField name="AR Moneda" numFmtId="0">
      <sharedItems containsBlank="1"/>
    </cacheField>
    <cacheField name="monto cliente" numFmtId="2">
      <sharedItems containsString="0" containsBlank="1" containsNumber="1" minValue="197.41" maxValue="236061.45"/>
    </cacheField>
    <cacheField name="Tot en eur" numFmtId="2">
      <sharedItems containsString="0" containsBlank="1" containsNumber="1" minValue="197.41" maxValue="236061.45"/>
    </cacheField>
    <cacheField name="Tot en usd" numFmtId="2">
      <sharedItems containsString="0" containsBlank="1" containsNumber="1" minValue="228.99559999999997" maxValue="236061.45"/>
    </cacheField>
    <cacheField name="monto ya cobrado" numFmtId="0">
      <sharedItems containsString="0" containsBlank="1" containsNumber="1" minValue="197.41" maxValue="236061.45"/>
    </cacheField>
    <cacheField name="Pago cliente eur" numFmtId="0">
      <sharedItems containsString="0" containsBlank="1" containsNumber="1" minValue="197.41" maxValue="203012.84700000001"/>
    </cacheField>
    <cacheField name="Pago cliente usd" numFmtId="0">
      <sharedItems containsString="0" containsBlank="1" containsNumber="1" minValue="228.99559999999997" maxValue="236061.45"/>
    </cacheField>
    <cacheField name="Restante por pagar cliente" numFmtId="0">
      <sharedItems containsString="0" containsBlank="1" containsNumber="1" containsInteger="1" minValue="0" maxValue="658"/>
    </cacheField>
    <cacheField name="Restante por pagar cliente USD" numFmtId="0">
      <sharedItems containsString="0" containsBlank="1" containsNumber="1" minValue="0" maxValue="763.28"/>
    </cacheField>
    <cacheField name="AR fecha_inicio" numFmtId="0">
      <sharedItems containsNonDate="0" containsDate="1" containsString="0" containsBlank="1" minDate="2025-04-19T00:00:00" maxDate="2026-10-31T00:00:00"/>
    </cacheField>
    <cacheField name="AR fecha salida 30 dias antes" numFmtId="0">
      <sharedItems containsNonDate="0" containsDate="1" containsString="0" containsBlank="1" minDate="2025-03-20T00:00:00" maxDate="2026-10-01T00:00:00"/>
    </cacheField>
    <cacheField name="AR mes 30 dias antes" numFmtId="0">
      <sharedItems containsString="0" containsBlank="1" containsNumber="1" containsInteger="1" minValue="1" maxValue="12" count="13">
        <n v="11"/>
        <n v="3"/>
        <n v="4"/>
        <n v="6"/>
        <n v="7"/>
        <n v="5"/>
        <n v="9"/>
        <n v="8"/>
        <n v="12"/>
        <n v="10"/>
        <n v="2"/>
        <n v="1"/>
        <m/>
      </sharedItems>
    </cacheField>
    <cacheField name="AR año 30 dias antes" numFmtId="0">
      <sharedItems containsString="0" containsBlank="1" containsNumber="1" containsInteger="1" minValue="2025" maxValue="2026" count="3">
        <n v="2025"/>
        <n v="202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1.619433449072" createdVersion="8" refreshedVersion="8" minRefreshableVersion="3" recordCount="624" xr:uid="{C6D3CF94-59E9-4F6B-BAB4-236337539646}">
  <cacheSource type="worksheet">
    <worksheetSource ref="A1:N1048576" sheet="Data AP"/>
  </cacheSource>
  <cacheFields count="14">
    <cacheField name="reserva" numFmtId="0">
      <sharedItems containsString="0" containsBlank="1" containsNumber="1" containsInteger="1" minValue="1" maxValue="107"/>
    </cacheField>
    <cacheField name="AP Moneda" numFmtId="0">
      <sharedItems containsBlank="1"/>
    </cacheField>
    <cacheField name="SUM de monto a pagar" numFmtId="0">
      <sharedItems containsString="0" containsBlank="1" containsNumber="1" minValue="197.41" maxValue="206178.04"/>
    </cacheField>
    <cacheField name="Total  prov en eur" numFmtId="0">
      <sharedItems containsString="0" containsBlank="1" containsNumber="1" minValue="197.41" maxValue="177313.11439999999"/>
    </cacheField>
    <cacheField name="Total  prov en usd" numFmtId="0">
      <sharedItems containsString="0" containsBlank="1" containsNumber="1" minValue="228.99559999999997" maxValue="206178.04"/>
    </cacheField>
    <cacheField name="Monto ya pagado" numFmtId="0">
      <sharedItems containsString="0" containsBlank="1" containsNumber="1" minValue="-718.21" maxValue="1577177.32"/>
    </cacheField>
    <cacheField name="Pago prov en eur" numFmtId="0">
      <sharedItems containsString="0" containsBlank="1" containsNumber="1" minValue="197.41" maxValue="177313.11439999999"/>
    </cacheField>
    <cacheField name="Pago prov en usd" numFmtId="0">
      <sharedItems containsString="0" containsBlank="1" containsNumber="1" minValue="228.99559999999997" maxValue="206178.04"/>
    </cacheField>
    <cacheField name="Restante por pagar prov" numFmtId="0">
      <sharedItems containsString="0" containsBlank="1" containsNumber="1" minValue="0" maxValue="12932.06"/>
    </cacheField>
    <cacheField name="Restante por pagar prov USD" numFmtId="0">
      <sharedItems containsString="0" containsBlank="1" containsNumber="1" minValue="0" maxValue="15001.189599999998"/>
    </cacheField>
    <cacheField name="AP fecha_inicio" numFmtId="0">
      <sharedItems containsNonDate="0" containsDate="1" containsString="0" containsBlank="1" minDate="2025-04-19T00:00:00" maxDate="2026-10-31T00:00:00"/>
    </cacheField>
    <cacheField name="AP fecha salida 30 dias antes" numFmtId="0">
      <sharedItems containsNonDate="0" containsDate="1" containsString="0" containsBlank="1" minDate="2025-03-20T00:00:00" maxDate="2026-10-01T00:00:00"/>
    </cacheField>
    <cacheField name="AP mes 30 dias antes" numFmtId="0">
      <sharedItems containsString="0" containsBlank="1" containsNumber="1" containsInteger="1" minValue="1" maxValue="12" count="13">
        <n v="11"/>
        <n v="3"/>
        <n v="4"/>
        <n v="6"/>
        <n v="7"/>
        <n v="5"/>
        <n v="9"/>
        <n v="8"/>
        <n v="12"/>
        <n v="10"/>
        <n v="2"/>
        <n v="1"/>
        <m/>
      </sharedItems>
    </cacheField>
    <cacheField name="AP año 30 dias antes" numFmtId="0">
      <sharedItems containsString="0" containsBlank="1" containsNumber="1" containsInteger="1" minValue="2025" maxValue="2026" count="3">
        <n v="2025"/>
        <n v="202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71.635357638886" refreshedVersion="8" recordCount="432" xr:uid="{00000000-000A-0000-FFFF-FFFF01000000}">
  <cacheSource type="worksheet">
    <worksheetSource ref="A1:T1000" sheet="Data AR"/>
  </cacheSource>
  <cacheFields count="20">
    <cacheField name="reserva" numFmtId="0">
      <sharedItems containsString="0" containsBlank="1" containsNumber="1" containsInteger="1" minValue="1" maxValue="107"/>
    </cacheField>
    <cacheField name="AR Moneda" numFmtId="0">
      <sharedItems containsBlank="1"/>
    </cacheField>
    <cacheField name="monto cliente" numFmtId="2">
      <sharedItems containsString="0" containsBlank="1" containsNumber="1" minValue="197.41" maxValue="236061.45"/>
    </cacheField>
    <cacheField name="Tot en eur" numFmtId="2">
      <sharedItems containsString="0" containsBlank="1" containsNumber="1" minValue="197.41" maxValue="236061.45"/>
    </cacheField>
    <cacheField name="Tot en usd" numFmtId="2">
      <sharedItems containsString="0" containsBlank="1" containsNumber="1" minValue="228.99559999999997" maxValue="236061.45"/>
    </cacheField>
    <cacheField name="monto ya cobrado" numFmtId="0">
      <sharedItems containsString="0" containsBlank="1" containsNumber="1" minValue="197.41" maxValue="236061.45"/>
    </cacheField>
    <cacheField name="Pago cliente eur" numFmtId="0">
      <sharedItems containsString="0" containsBlank="1" containsNumber="1" minValue="197.41" maxValue="203012.84700000001"/>
    </cacheField>
    <cacheField name="Pago cliente usd" numFmtId="0">
      <sharedItems containsString="0" containsBlank="1" containsNumber="1" minValue="228.99559999999997" maxValue="236061.45"/>
    </cacheField>
    <cacheField name="Restante por pagar cliente" numFmtId="0">
      <sharedItems containsString="0" containsBlank="1" containsNumber="1" containsInteger="1" minValue="0" maxValue="658"/>
    </cacheField>
    <cacheField name="Restante por pagar cliente USD" numFmtId="0">
      <sharedItems containsString="0" containsBlank="1" containsNumber="1" minValue="0" maxValue="763.28"/>
    </cacheField>
    <cacheField name="AR fecha_inicio" numFmtId="0">
      <sharedItems containsNonDate="0" containsDate="1" containsString="0" containsBlank="1" minDate="2025-04-19T00:00:00" maxDate="2026-10-31T00:00:00"/>
    </cacheField>
    <cacheField name="AR fecha salida 30 dias antes" numFmtId="0">
      <sharedItems containsNonDate="0" containsDate="1" containsString="0" containsBlank="1" minDate="2025-03-20T00:00:00" maxDate="2026-10-01T00:00:00"/>
    </cacheField>
    <cacheField name="AR mes 30 dias antes" numFmtId="0">
      <sharedItems containsString="0" containsBlank="1" containsNumber="1" containsInteger="1" minValue="1" maxValue="12" count="13">
        <n v="11"/>
        <n v="3"/>
        <n v="4"/>
        <n v="6"/>
        <n v="7"/>
        <n v="5"/>
        <n v="9"/>
        <n v="8"/>
        <n v="12"/>
        <n v="10"/>
        <n v="2"/>
        <n v="1"/>
        <m/>
      </sharedItems>
    </cacheField>
    <cacheField name="AR año 30 dias antes" numFmtId="0">
      <sharedItems containsString="0" containsBlank="1" containsNumber="1" containsInteger="1" minValue="2025" maxValue="2026" count="3">
        <n v="2025"/>
        <n v="2026"/>
        <m/>
      </sharedItems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folio" numFmtId="0">
      <sharedItems containsBlank="1" containsMixedTypes="1" containsNumber="1" containsInteger="1" minValue="1" maxValue="459"/>
    </cacheField>
    <cacheField name="moneda" numFmtId="0">
      <sharedItems containsBlank="1" containsMixedTypes="1" containsNumber="1" minValue="0" maxValue="26892875.309999999"/>
    </cacheField>
    <cacheField name="fecha_inicio" numFmtId="166">
      <sharedItems containsNonDate="0" containsDate="1" containsString="0" containsBlank="1" minDate="2025-04-19T00:00:00" maxDate="2026-10-31T00:00:00"/>
    </cacheField>
    <cacheField name=" 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71.635357870371" refreshedVersion="8" recordCount="624" xr:uid="{00000000-000A-0000-FFFF-FFFF00000000}">
  <cacheSource type="worksheet">
    <worksheetSource ref="A1:X1000" sheet="Data AP"/>
  </cacheSource>
  <cacheFields count="24">
    <cacheField name="reserva" numFmtId="0">
      <sharedItems containsString="0" containsBlank="1" containsNumber="1" containsInteger="1" minValue="1" maxValue="107"/>
    </cacheField>
    <cacheField name="AP Moneda" numFmtId="0">
      <sharedItems containsBlank="1"/>
    </cacheField>
    <cacheField name="SUM de monto a pagar" numFmtId="0">
      <sharedItems containsString="0" containsBlank="1" containsNumber="1" minValue="197.41" maxValue="206178.04"/>
    </cacheField>
    <cacheField name="Total  prov en eur" numFmtId="0">
      <sharedItems containsString="0" containsBlank="1" containsNumber="1" minValue="197.41" maxValue="177313.11439999999"/>
    </cacheField>
    <cacheField name="Total  prov en usd" numFmtId="0">
      <sharedItems containsString="0" containsBlank="1" containsNumber="1" minValue="228.99559999999997" maxValue="206178.04"/>
    </cacheField>
    <cacheField name="Monto ya pagado" numFmtId="0">
      <sharedItems containsString="0" containsBlank="1" containsNumber="1" minValue="-718.21" maxValue="1577177.32"/>
    </cacheField>
    <cacheField name="Pago prov en eur" numFmtId="0">
      <sharedItems containsString="0" containsBlank="1" containsNumber="1" minValue="197.41" maxValue="177313.11439999999"/>
    </cacheField>
    <cacheField name="Pago prov en usd" numFmtId="0">
      <sharedItems containsString="0" containsBlank="1" containsNumber="1" minValue="228.99559999999997" maxValue="206178.04"/>
    </cacheField>
    <cacheField name="Restante por pagar prov" numFmtId="0">
      <sharedItems containsString="0" containsBlank="1" containsNumber="1" minValue="0" maxValue="12932.06"/>
    </cacheField>
    <cacheField name="Restante por pagar prov USD" numFmtId="0">
      <sharedItems containsString="0" containsBlank="1" containsNumber="1" minValue="0" maxValue="15001.189599999998"/>
    </cacheField>
    <cacheField name="AP fecha_inicio" numFmtId="0">
      <sharedItems containsNonDate="0" containsDate="1" containsString="0" containsBlank="1" minDate="2025-04-19T00:00:00" maxDate="2026-10-31T00:00:00"/>
    </cacheField>
    <cacheField name="AP fecha salida 30 dias antes" numFmtId="0">
      <sharedItems containsNonDate="0" containsDate="1" containsString="0" containsBlank="1" minDate="2025-03-20T00:00:00" maxDate="2026-10-01T00:00:00"/>
    </cacheField>
    <cacheField name="AP mes 30 dias antes" numFmtId="0">
      <sharedItems containsString="0" containsBlank="1" containsNumber="1" containsInteger="1" minValue="1" maxValue="12" count="13">
        <n v="11"/>
        <n v="3"/>
        <n v="4"/>
        <n v="6"/>
        <n v="7"/>
        <n v="5"/>
        <n v="9"/>
        <n v="8"/>
        <n v="12"/>
        <n v="10"/>
        <n v="2"/>
        <n v="1"/>
        <m/>
      </sharedItems>
    </cacheField>
    <cacheField name="AP año 30 dias antes" numFmtId="0">
      <sharedItems containsString="0" containsBlank="1" containsNumber="1" containsInteger="1" minValue="2025" maxValue="2026" count="3">
        <n v="2025"/>
        <n v="2026"/>
        <m/>
      </sharedItems>
    </cacheField>
    <cacheField name=" " numFmtId="0">
      <sharedItems containsNonDate="0" containsString="0" containsBlank="1"/>
    </cacheField>
    <cacheField name="Field16" caption="Campo16" numFmtId="0">
      <sharedItems containsNonDate="0" containsString="0" containsBlank="1"/>
    </cacheField>
    <cacheField name="folio" numFmtId="0">
      <sharedItems containsBlank="1" containsMixedTypes="1" containsNumber="1" containsInteger="1" minValue="1" maxValue="459"/>
    </cacheField>
    <cacheField name="moneda" numFmtId="0">
      <sharedItems containsBlank="1" containsMixedTypes="1" containsNumber="1" minValue="0" maxValue="26892875.309999999"/>
    </cacheField>
    <cacheField name="fecha_inicio" numFmtId="0">
      <sharedItems containsDate="1" containsBlank="1" containsMixedTypes="1" minDate="2025-04-19T00:00:00" maxDate="2026-10-31T00:00:00"/>
    </cacheField>
    <cacheField name="Field20" caption="Campo20" numFmtId="0">
      <sharedItems containsNonDate="0" containsString="0" containsBlank="1"/>
    </cacheField>
    <cacheField name="Field21" caption="Campo21" numFmtId="0">
      <sharedItems containsNonDate="0" containsString="0" containsBlank="1"/>
    </cacheField>
    <cacheField name="Field22" caption="Campo22" numFmtId="0">
      <sharedItems containsNonDate="0" containsString="0" containsBlank="1"/>
    </cacheField>
    <cacheField name="Field23" caption="Campo23" numFmtId="0">
      <sharedItems containsNonDate="0" containsString="0" containsBlank="1"/>
    </cacheField>
    <cacheField name=" 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USD"/>
    <n v="116549.72"/>
    <n v="100232.7592"/>
    <n v="116549.72"/>
    <n v="116549.72"/>
    <n v="100232.7592"/>
    <n v="116549.72"/>
    <n v="0"/>
    <n v="0"/>
    <d v="2025-12-18T00:00:00"/>
    <d v="2025-11-18T00:00:00"/>
    <x v="0"/>
    <x v="0"/>
  </r>
  <r>
    <n v="2"/>
    <s v="EUR"/>
    <n v="14793.67"/>
    <n v="14793.67"/>
    <n v="17160.657199999998"/>
    <n v="14793.67"/>
    <n v="14793.67"/>
    <n v="17160.657199999998"/>
    <n v="0"/>
    <n v="0"/>
    <d v="2025-04-19T00:00:00"/>
    <d v="2025-03-20T00:00:00"/>
    <x v="1"/>
    <x v="0"/>
  </r>
  <r>
    <n v="3"/>
    <s v="EUR"/>
    <n v="1164"/>
    <n v="1164"/>
    <n v="1350.24"/>
    <n v="1164"/>
    <n v="1164"/>
    <n v="1350.24"/>
    <n v="0"/>
    <n v="0"/>
    <d v="2025-05-02T00:00:00"/>
    <d v="2025-04-02T00:00:00"/>
    <x v="2"/>
    <x v="0"/>
  </r>
  <r>
    <n v="4"/>
    <s v="EUR"/>
    <n v="9663"/>
    <n v="9663"/>
    <n v="11209.08"/>
    <n v="9663"/>
    <n v="9663"/>
    <n v="11209.08"/>
    <n v="0"/>
    <n v="0"/>
    <d v="2025-07-18T00:00:00"/>
    <d v="2025-06-18T00:00:00"/>
    <x v="3"/>
    <x v="0"/>
  </r>
  <r>
    <n v="5"/>
    <s v="EUR"/>
    <n v="1490.21"/>
    <n v="1490.21"/>
    <n v="1728.6435999999999"/>
    <n v="1490.21"/>
    <n v="1490.21"/>
    <n v="1728.6435999999999"/>
    <n v="0"/>
    <n v="0"/>
    <d v="2025-05-11T00:00:00"/>
    <d v="2025-04-11T00:00:00"/>
    <x v="2"/>
    <x v="0"/>
  </r>
  <r>
    <n v="6"/>
    <s v="EUR"/>
    <n v="5280"/>
    <n v="5280"/>
    <n v="6124.7999999999993"/>
    <n v="5280"/>
    <n v="5280"/>
    <n v="6124.7999999999993"/>
    <n v="0"/>
    <n v="0"/>
    <d v="2025-05-01T00:00:00"/>
    <d v="2025-04-01T00:00:00"/>
    <x v="2"/>
    <x v="0"/>
  </r>
  <r>
    <n v="7"/>
    <s v="USD"/>
    <n v="74562.81"/>
    <n v="74562.81"/>
    <n v="74562.81"/>
    <n v="74562.81"/>
    <n v="64124.016599999995"/>
    <n v="74562.81"/>
    <n v="0"/>
    <n v="0"/>
    <d v="2025-07-21T00:00:00"/>
    <d v="2025-06-21T00:00:00"/>
    <x v="3"/>
    <x v="0"/>
  </r>
  <r>
    <n v="8"/>
    <s v="EUR"/>
    <n v="12244"/>
    <n v="12244"/>
    <n v="14203.039999999999"/>
    <n v="12244"/>
    <n v="12244"/>
    <n v="14203.039999999999"/>
    <n v="0"/>
    <n v="0"/>
    <d v="2025-12-05T00:00:00"/>
    <d v="2025-11-05T00:00:00"/>
    <x v="0"/>
    <x v="0"/>
  </r>
  <r>
    <n v="9"/>
    <s v="EUR"/>
    <n v="25100.01"/>
    <n v="25100.01"/>
    <n v="29116.011599999994"/>
    <n v="25100.01"/>
    <n v="25100.01"/>
    <n v="29116.011599999994"/>
    <n v="0"/>
    <n v="0"/>
    <d v="2025-08-20T00:00:00"/>
    <d v="2025-07-21T00:00:00"/>
    <x v="4"/>
    <x v="0"/>
  </r>
  <r>
    <n v="10"/>
    <s v="EUR"/>
    <n v="426.46"/>
    <n v="426.46"/>
    <n v="494.69359999999995"/>
    <n v="426.46"/>
    <n v="426.46"/>
    <n v="494.69359999999995"/>
    <n v="0"/>
    <n v="0"/>
    <d v="2025-05-15T00:00:00"/>
    <d v="2025-04-15T00:00:00"/>
    <x v="2"/>
    <x v="0"/>
  </r>
  <r>
    <n v="11"/>
    <s v="EUR"/>
    <n v="577.36"/>
    <n v="577.36"/>
    <n v="669.73759999999993"/>
    <n v="577.36"/>
    <n v="577.36"/>
    <n v="669.73759999999993"/>
    <n v="0"/>
    <n v="0"/>
    <d v="2025-05-28T00:00:00"/>
    <d v="2025-04-28T00:00:00"/>
    <x v="2"/>
    <x v="0"/>
  </r>
  <r>
    <n v="12"/>
    <s v="EUR"/>
    <n v="6617.36"/>
    <n v="6617.36"/>
    <n v="7676.1375999999991"/>
    <n v="6617.36"/>
    <n v="6617.36"/>
    <n v="7676.1375999999991"/>
    <n v="0"/>
    <n v="0"/>
    <d v="2025-05-24T00:00:00"/>
    <d v="2025-04-24T00:00:00"/>
    <x v="2"/>
    <x v="0"/>
  </r>
  <r>
    <n v="13"/>
    <s v="EUR"/>
    <n v="27952"/>
    <n v="27952"/>
    <n v="32424.319999999996"/>
    <n v="27952"/>
    <n v="27952"/>
    <n v="32424.319999999996"/>
    <n v="0"/>
    <n v="0"/>
    <d v="2025-07-22T00:00:00"/>
    <d v="2025-06-22T00:00:00"/>
    <x v="3"/>
    <x v="0"/>
  </r>
  <r>
    <n v="14"/>
    <s v="EUR"/>
    <n v="427.8"/>
    <n v="427.8"/>
    <n v="496.24799999999999"/>
    <n v="427.8"/>
    <n v="427.8"/>
    <n v="496.24799999999999"/>
    <n v="0"/>
    <n v="0"/>
    <d v="2025-06-06T00:00:00"/>
    <d v="2025-05-07T00:00:00"/>
    <x v="5"/>
    <x v="0"/>
  </r>
  <r>
    <n v="16"/>
    <s v="USD"/>
    <n v="236061.45"/>
    <n v="236061.45"/>
    <n v="236061.45"/>
    <n v="236061.45"/>
    <n v="203012.84700000001"/>
    <n v="236061.45"/>
    <n v="0"/>
    <n v="0"/>
    <d v="2025-06-22T00:00:00"/>
    <d v="2025-05-23T00:00:00"/>
    <x v="5"/>
    <x v="0"/>
  </r>
  <r>
    <n v="17"/>
    <s v="EUR"/>
    <n v="27467"/>
    <n v="27467"/>
    <n v="31861.719999999998"/>
    <n v="27467"/>
    <n v="27467"/>
    <n v="31861.719999999998"/>
    <n v="0"/>
    <n v="0"/>
    <d v="2025-08-23T00:00:00"/>
    <d v="2025-07-24T00:00:00"/>
    <x v="4"/>
    <x v="0"/>
  </r>
  <r>
    <n v="19"/>
    <s v="EUR"/>
    <n v="28496.6"/>
    <n v="28496.6"/>
    <n v="33056.055999999997"/>
    <n v="28496.6"/>
    <n v="28496.6"/>
    <n v="33056.055999999997"/>
    <n v="0"/>
    <n v="0"/>
    <d v="2025-07-03T00:00:00"/>
    <d v="2025-06-03T00:00:00"/>
    <x v="3"/>
    <x v="0"/>
  </r>
  <r>
    <n v="20"/>
    <s v="GPB"/>
    <n v="7014"/>
    <n v="7014"/>
    <n v="9398.76"/>
    <n v="7014"/>
    <n v="8066.0999999999995"/>
    <n v="9398.76"/>
    <n v="0"/>
    <n v="0"/>
    <d v="2025-06-25T00:00:00"/>
    <d v="2025-05-26T00:00:00"/>
    <x v="5"/>
    <x v="0"/>
  </r>
  <r>
    <n v="21"/>
    <s v="EUR"/>
    <n v="43616.26"/>
    <n v="43616.26"/>
    <n v="50594.861599999997"/>
    <n v="43616.26"/>
    <n v="43616.26"/>
    <n v="50594.861599999997"/>
    <n v="0"/>
    <n v="0"/>
    <d v="2025-10-20T00:00:00"/>
    <d v="2025-09-20T00:00:00"/>
    <x v="6"/>
    <x v="0"/>
  </r>
  <r>
    <n v="22"/>
    <s v="EUR"/>
    <n v="6222"/>
    <n v="6222"/>
    <n v="7217.5199999999995"/>
    <n v="6222"/>
    <n v="6222"/>
    <n v="7217.5199999999995"/>
    <n v="0"/>
    <n v="0"/>
    <d v="2025-07-27T00:00:00"/>
    <d v="2025-06-27T00:00:00"/>
    <x v="3"/>
    <x v="0"/>
  </r>
  <r>
    <n v="23"/>
    <s v="EUR"/>
    <n v="32543.83"/>
    <n v="32543.83"/>
    <n v="37750.842799999999"/>
    <n v="32543.83"/>
    <n v="32543.83"/>
    <n v="37750.842799999999"/>
    <n v="0"/>
    <n v="0"/>
    <d v="2025-12-26T00:00:00"/>
    <d v="2025-11-26T00:00:00"/>
    <x v="0"/>
    <x v="0"/>
  </r>
  <r>
    <n v="24"/>
    <s v="EUR"/>
    <n v="2400"/>
    <n v="2400"/>
    <n v="2784"/>
    <n v="2400"/>
    <n v="2400"/>
    <n v="2784"/>
    <n v="0"/>
    <n v="0"/>
    <d v="2025-09-02T00:00:00"/>
    <d v="2025-08-03T00:00:00"/>
    <x v="7"/>
    <x v="0"/>
  </r>
  <r>
    <n v="25"/>
    <s v="EUR"/>
    <n v="2600"/>
    <n v="2600"/>
    <n v="3016"/>
    <n v="2600"/>
    <n v="2600"/>
    <n v="3016"/>
    <n v="0"/>
    <n v="0"/>
    <d v="2025-07-17T00:00:00"/>
    <d v="2025-06-17T00:00:00"/>
    <x v="3"/>
    <x v="0"/>
  </r>
  <r>
    <n v="26"/>
    <s v="EUR"/>
    <n v="1536"/>
    <n v="1536"/>
    <n v="1781.7599999999998"/>
    <n v="1536"/>
    <n v="1536"/>
    <n v="1781.7599999999998"/>
    <n v="0"/>
    <n v="0"/>
    <d v="2025-07-20T00:00:00"/>
    <d v="2025-06-20T00:00:00"/>
    <x v="3"/>
    <x v="0"/>
  </r>
  <r>
    <n v="27"/>
    <s v="EUR"/>
    <n v="45963"/>
    <n v="45963"/>
    <n v="53317.079999999994"/>
    <n v="45963"/>
    <n v="45963"/>
    <n v="53317.079999999994"/>
    <n v="0"/>
    <n v="0"/>
    <d v="2025-09-24T00:00:00"/>
    <d v="2025-08-25T00:00:00"/>
    <x v="7"/>
    <x v="0"/>
  </r>
  <r>
    <n v="28"/>
    <s v="EUR"/>
    <n v="5240"/>
    <n v="5240"/>
    <n v="6078.4"/>
    <n v="5240"/>
    <n v="5240"/>
    <n v="6078.4"/>
    <n v="0"/>
    <n v="0"/>
    <d v="2025-09-13T00:00:00"/>
    <d v="2025-08-14T00:00:00"/>
    <x v="7"/>
    <x v="0"/>
  </r>
  <r>
    <n v="29"/>
    <s v="EUR"/>
    <n v="197.41"/>
    <n v="197.41"/>
    <n v="228.99559999999997"/>
    <n v="197.41"/>
    <n v="197.41"/>
    <n v="228.99559999999997"/>
    <n v="0"/>
    <n v="0"/>
    <d v="2025-07-19T00:00:00"/>
    <d v="2025-06-19T00:00:00"/>
    <x v="3"/>
    <x v="0"/>
  </r>
  <r>
    <n v="30"/>
    <s v="EUR"/>
    <n v="79848.350000000006"/>
    <n v="79848.350000000006"/>
    <n v="92624.085999999996"/>
    <n v="79848.350000000006"/>
    <n v="79848.350000000006"/>
    <n v="92624.085999999996"/>
    <n v="0"/>
    <n v="0"/>
    <d v="2025-12-26T00:00:00"/>
    <d v="2025-11-26T00:00:00"/>
    <x v="0"/>
    <x v="0"/>
  </r>
  <r>
    <n v="32"/>
    <s v="EUR"/>
    <n v="4782.34"/>
    <n v="4782.34"/>
    <n v="5547.5144"/>
    <n v="4782.34"/>
    <n v="4782.34"/>
    <n v="5547.5144"/>
    <n v="0"/>
    <n v="0"/>
    <d v="2025-12-09T00:00:00"/>
    <d v="2025-11-09T00:00:00"/>
    <x v="0"/>
    <x v="0"/>
  </r>
  <r>
    <n v="33"/>
    <s v="USD"/>
    <n v="4815"/>
    <n v="4815"/>
    <n v="4815"/>
    <n v="4815"/>
    <n v="4140.8999999999996"/>
    <n v="4815"/>
    <n v="0"/>
    <n v="0"/>
    <d v="2025-07-31T00:00:00"/>
    <d v="2025-07-01T00:00:00"/>
    <x v="4"/>
    <x v="0"/>
  </r>
  <r>
    <n v="34"/>
    <s v="EUR"/>
    <n v="32815"/>
    <n v="32815"/>
    <n v="38065.399999999994"/>
    <n v="32815"/>
    <n v="32815"/>
    <n v="38065.399999999994"/>
    <n v="0"/>
    <n v="0"/>
    <d v="2026-01-15T00:00:00"/>
    <d v="2025-12-16T00:00:00"/>
    <x v="8"/>
    <x v="0"/>
  </r>
  <r>
    <n v="36"/>
    <s v="EUR"/>
    <n v="6545.7"/>
    <n v="6545.7"/>
    <n v="7593.0119999999997"/>
    <n v="6545.7"/>
    <n v="6545.7"/>
    <n v="7593.0119999999997"/>
    <n v="0"/>
    <n v="0"/>
    <d v="2025-11-16T00:00:00"/>
    <d v="2025-10-17T00:00:00"/>
    <x v="9"/>
    <x v="0"/>
  </r>
  <r>
    <n v="37"/>
    <s v="USD"/>
    <n v="41960.51"/>
    <n v="41960.51"/>
    <n v="41960.51"/>
    <n v="41960.51"/>
    <n v="36086.0386"/>
    <n v="41960.51"/>
    <n v="0"/>
    <n v="0"/>
    <d v="2025-12-18T00:00:00"/>
    <d v="2025-11-18T00:00:00"/>
    <x v="0"/>
    <x v="0"/>
  </r>
  <r>
    <n v="38"/>
    <s v="EUR"/>
    <n v="26488.92"/>
    <n v="26488.92"/>
    <n v="30727.147199999996"/>
    <n v="26488.92"/>
    <n v="26488.92"/>
    <n v="30727.147199999996"/>
    <n v="0"/>
    <n v="0"/>
    <d v="2025-10-16T00:00:00"/>
    <d v="2025-09-16T00:00:00"/>
    <x v="6"/>
    <x v="0"/>
  </r>
  <r>
    <n v="41"/>
    <s v="EUR"/>
    <n v="24603.599999999999"/>
    <n v="24603.599999999999"/>
    <n v="28540.175999999996"/>
    <n v="24603.599999999999"/>
    <n v="24603.599999999999"/>
    <n v="28540.175999999996"/>
    <n v="0"/>
    <n v="0"/>
    <d v="2025-12-29T00:00:00"/>
    <d v="2025-11-29T00:00:00"/>
    <x v="0"/>
    <x v="0"/>
  </r>
  <r>
    <n v="42"/>
    <s v="EUR"/>
    <n v="22610"/>
    <n v="22610"/>
    <n v="26227.599999999999"/>
    <n v="22610"/>
    <n v="22610"/>
    <n v="26227.599999999999"/>
    <n v="0"/>
    <n v="0"/>
    <d v="2025-11-24T00:00:00"/>
    <d v="2025-10-25T00:00:00"/>
    <x v="9"/>
    <x v="0"/>
  </r>
  <r>
    <n v="44"/>
    <s v="EUR"/>
    <n v="16059.77"/>
    <n v="16059.77"/>
    <n v="18629.333200000001"/>
    <n v="16059.77"/>
    <n v="16059.77"/>
    <n v="18629.333200000001"/>
    <n v="0"/>
    <n v="0"/>
    <d v="2026-06-14T00:00:00"/>
    <d v="2026-05-15T00:00:00"/>
    <x v="5"/>
    <x v="1"/>
  </r>
  <r>
    <n v="45"/>
    <s v="EUR"/>
    <n v="13911.75"/>
    <n v="13911.75"/>
    <n v="16137.63"/>
    <n v="13911.75"/>
    <n v="13911.75"/>
    <n v="16137.63"/>
    <n v="0"/>
    <n v="0"/>
    <d v="2026-06-01T00:00:00"/>
    <d v="2026-05-02T00:00:00"/>
    <x v="5"/>
    <x v="1"/>
  </r>
  <r>
    <n v="48"/>
    <s v="EUR"/>
    <n v="21909"/>
    <n v="21909"/>
    <n v="25414.44"/>
    <n v="21909"/>
    <n v="21909"/>
    <n v="25414.44"/>
    <n v="0"/>
    <n v="0"/>
    <d v="2025-12-29T00:00:00"/>
    <d v="2025-11-29T00:00:00"/>
    <x v="0"/>
    <x v="0"/>
  </r>
  <r>
    <n v="52"/>
    <s v="EUR"/>
    <n v="99592.57"/>
    <n v="99592.57"/>
    <n v="115527.3812"/>
    <n v="99592.57"/>
    <n v="99592.57"/>
    <n v="115527.3812"/>
    <n v="0"/>
    <n v="0"/>
    <d v="2025-12-18T00:00:00"/>
    <d v="2025-11-18T00:00:00"/>
    <x v="0"/>
    <x v="0"/>
  </r>
  <r>
    <n v="53"/>
    <s v="EUR"/>
    <n v="53982.33"/>
    <n v="53982.33"/>
    <n v="62619.502799999995"/>
    <n v="53982.33"/>
    <n v="53982.33"/>
    <n v="62619.502799999995"/>
    <n v="0"/>
    <n v="0"/>
    <d v="2025-12-25T00:00:00"/>
    <d v="2025-11-25T00:00:00"/>
    <x v="0"/>
    <x v="0"/>
  </r>
  <r>
    <n v="54"/>
    <s v="EUR"/>
    <n v="19458.79"/>
    <n v="19458.79"/>
    <n v="22572.196400000001"/>
    <n v="19458.79"/>
    <n v="19458.79"/>
    <n v="22572.196400000001"/>
    <n v="0"/>
    <n v="0"/>
    <d v="2025-12-26T00:00:00"/>
    <d v="2025-11-26T00:00:00"/>
    <x v="0"/>
    <x v="0"/>
  </r>
  <r>
    <n v="55"/>
    <s v="EUR"/>
    <n v="528"/>
    <n v="607.19999999999993"/>
    <n v="612.4799999999999"/>
    <n v="528"/>
    <n v="528"/>
    <n v="612.4799999999999"/>
    <n v="0"/>
    <n v="0"/>
    <d v="2025-10-29T00:00:00"/>
    <d v="2025-09-29T00:00:00"/>
    <x v="6"/>
    <x v="0"/>
  </r>
  <r>
    <n v="56"/>
    <s v="EUR"/>
    <n v="26253"/>
    <n v="22577.579999999998"/>
    <n v="30453.48"/>
    <n v="26253"/>
    <n v="26253"/>
    <n v="30453.48"/>
    <n v="0"/>
    <n v="0"/>
    <d v="2025-11-14T00:00:00"/>
    <d v="2025-10-15T00:00:00"/>
    <x v="9"/>
    <x v="0"/>
  </r>
  <r>
    <n v="57"/>
    <s v="EUR"/>
    <n v="9331.23"/>
    <n v="8024.8577999999998"/>
    <n v="10824.226799999999"/>
    <n v="9331.23"/>
    <n v="9331.23"/>
    <n v="10824.226799999999"/>
    <n v="0"/>
    <n v="0"/>
    <d v="2026-09-20T00:00:00"/>
    <d v="2026-08-21T00:00:00"/>
    <x v="7"/>
    <x v="1"/>
  </r>
  <r>
    <n v="58"/>
    <s v="EUR"/>
    <n v="533.6"/>
    <n v="458.89600000000002"/>
    <n v="618.976"/>
    <n v="533.6"/>
    <n v="533.6"/>
    <n v="618.976"/>
    <n v="0"/>
    <n v="0"/>
    <d v="2025-11-07T00:00:00"/>
    <d v="2025-10-08T00:00:00"/>
    <x v="9"/>
    <x v="0"/>
  </r>
  <r>
    <n v="59"/>
    <s v="EUR"/>
    <n v="156765.9"/>
    <n v="134818.674"/>
    <n v="181848.44399999999"/>
    <n v="156765.9"/>
    <n v="156765.9"/>
    <n v="181848.44399999999"/>
    <n v="0"/>
    <n v="0"/>
    <d v="2026-03-25T00:00:00"/>
    <d v="2026-02-23T00:00:00"/>
    <x v="10"/>
    <x v="1"/>
  </r>
  <r>
    <n v="60"/>
    <s v="EUR"/>
    <n v="6433.83"/>
    <n v="5533.0937999999996"/>
    <n v="7463.2427999999991"/>
    <n v="6433.83"/>
    <n v="6433.83"/>
    <n v="7463.2427999999991"/>
    <n v="0"/>
    <n v="0"/>
    <d v="2025-12-01T00:00:00"/>
    <d v="2025-11-01T00:00:00"/>
    <x v="0"/>
    <x v="0"/>
  </r>
  <r>
    <n v="61"/>
    <s v="EUR"/>
    <n v="3820.1"/>
    <n v="3285.2860000000001"/>
    <n v="4431.3159999999998"/>
    <n v="3820.1"/>
    <n v="3820.1"/>
    <n v="4431.3159999999998"/>
    <n v="0"/>
    <n v="0"/>
    <d v="2025-11-19T00:00:00"/>
    <d v="2025-10-20T00:00:00"/>
    <x v="9"/>
    <x v="0"/>
  </r>
  <r>
    <n v="62"/>
    <s v="EUR"/>
    <n v="12109.47"/>
    <n v="10414.144199999999"/>
    <n v="14046.985199999999"/>
    <n v="12109.47"/>
    <n v="12109.47"/>
    <n v="14046.985199999999"/>
    <n v="0"/>
    <n v="0"/>
    <d v="2026-07-13T00:00:00"/>
    <d v="2026-06-13T00:00:00"/>
    <x v="3"/>
    <x v="1"/>
  </r>
  <r>
    <n v="63"/>
    <s v="EUR"/>
    <n v="1164"/>
    <n v="1001.04"/>
    <n v="1350.24"/>
    <n v="1164"/>
    <n v="1164"/>
    <n v="1350.24"/>
    <n v="0"/>
    <n v="0"/>
    <d v="2025-12-09T00:00:00"/>
    <d v="2025-11-09T00:00:00"/>
    <x v="0"/>
    <x v="0"/>
  </r>
  <r>
    <n v="64"/>
    <s v="EUR"/>
    <n v="1034.6099999999999"/>
    <n v="889.76459999999986"/>
    <n v="1200.1475999999998"/>
    <n v="1034.6099999999999"/>
    <n v="1034.6099999999999"/>
    <n v="1200.1475999999998"/>
    <n v="0"/>
    <n v="0"/>
    <d v="2025-11-18T00:00:00"/>
    <d v="2025-10-19T00:00:00"/>
    <x v="9"/>
    <x v="0"/>
  </r>
  <r>
    <n v="65"/>
    <s v="EUR"/>
    <n v="1907.5"/>
    <n v="1640.45"/>
    <n v="2212.6999999999998"/>
    <n v="1907.5"/>
    <n v="1907.5"/>
    <n v="2212.6999999999998"/>
    <n v="0"/>
    <n v="0"/>
    <d v="2025-12-19T00:00:00"/>
    <d v="2025-11-19T00:00:00"/>
    <x v="0"/>
    <x v="0"/>
  </r>
  <r>
    <n v="66"/>
    <s v="EUR"/>
    <n v="21819.08"/>
    <n v="18764.408800000001"/>
    <n v="25310.132799999999"/>
    <n v="21819.08"/>
    <n v="21819.08"/>
    <n v="25310.132799999999"/>
    <n v="0"/>
    <n v="0"/>
    <d v="2025-12-26T00:00:00"/>
    <d v="2025-11-26T00:00:00"/>
    <x v="0"/>
    <x v="0"/>
  </r>
  <r>
    <n v="67"/>
    <s v="EUR"/>
    <n v="12439.34"/>
    <n v="10697.832399999999"/>
    <n v="14429.634399999999"/>
    <n v="12439.34"/>
    <n v="12439.34"/>
    <n v="14429.634399999999"/>
    <n v="0"/>
    <n v="0"/>
    <d v="2026-02-21T00:00:00"/>
    <d v="2026-01-22T00:00:00"/>
    <x v="11"/>
    <x v="1"/>
  </r>
  <r>
    <n v="69"/>
    <s v="EUR"/>
    <n v="6855"/>
    <n v="5895.3"/>
    <n v="7951.7999999999993"/>
    <n v="6855"/>
    <n v="6855"/>
    <n v="7951.7999999999993"/>
    <n v="0"/>
    <n v="0"/>
    <d v="2026-01-01T00:00:00"/>
    <d v="2025-12-02T00:00:00"/>
    <x v="8"/>
    <x v="0"/>
  </r>
  <r>
    <n v="70"/>
    <s v="EUR"/>
    <n v="14546.28"/>
    <n v="12509.800800000001"/>
    <n v="16873.684799999999"/>
    <n v="14546.28"/>
    <n v="14546.28"/>
    <n v="16873.684799999999"/>
    <n v="0"/>
    <n v="0"/>
    <d v="2026-06-21T00:00:00"/>
    <d v="2026-05-22T00:00:00"/>
    <x v="5"/>
    <x v="1"/>
  </r>
  <r>
    <n v="71"/>
    <s v="EUR"/>
    <n v="3978"/>
    <n v="3421.08"/>
    <n v="4614.4799999999996"/>
    <n v="3978"/>
    <n v="3978"/>
    <n v="4614.4799999999996"/>
    <n v="0"/>
    <n v="0"/>
    <d v="2026-01-08T00:00:00"/>
    <d v="2025-12-09T00:00:00"/>
    <x v="8"/>
    <x v="0"/>
  </r>
  <r>
    <n v="72"/>
    <s v="EUR"/>
    <n v="2200"/>
    <n v="1892"/>
    <n v="2552"/>
    <n v="2200"/>
    <n v="2200"/>
    <n v="2552"/>
    <n v="0"/>
    <n v="0"/>
    <d v="2026-06-13T00:00:00"/>
    <d v="2026-05-14T00:00:00"/>
    <x v="5"/>
    <x v="1"/>
  </r>
  <r>
    <n v="73"/>
    <s v="EUR"/>
    <n v="9302.02"/>
    <n v="7999.7372000000005"/>
    <n v="10790.343199999999"/>
    <n v="9302.02"/>
    <n v="9302.02"/>
    <n v="10790.343199999999"/>
    <n v="0"/>
    <n v="0"/>
    <d v="2026-07-27T00:00:00"/>
    <d v="2026-06-27T00:00:00"/>
    <x v="3"/>
    <x v="1"/>
  </r>
  <r>
    <n v="75"/>
    <s v="EUR"/>
    <n v="1773"/>
    <n v="1524.78"/>
    <n v="2056.6799999999998"/>
    <n v="1773"/>
    <n v="1773"/>
    <n v="2056.6799999999998"/>
    <n v="0"/>
    <n v="0"/>
    <d v="2026-04-09T00:00:00"/>
    <d v="2026-03-10T00:00:00"/>
    <x v="1"/>
    <x v="1"/>
  </r>
  <r>
    <n v="76"/>
    <s v="EUR"/>
    <n v="7401.4"/>
    <n v="6365.2039999999997"/>
    <n v="8585.6239999999998"/>
    <n v="7401.4"/>
    <n v="7401.4"/>
    <n v="8585.6239999999998"/>
    <n v="0"/>
    <n v="0"/>
    <d v="2026-01-14T00:00:00"/>
    <d v="2025-12-15T00:00:00"/>
    <x v="8"/>
    <x v="0"/>
  </r>
  <r>
    <n v="78"/>
    <s v="EUR"/>
    <n v="54629"/>
    <n v="46980.94"/>
    <n v="63369.639999999992"/>
    <n v="54629"/>
    <n v="54629"/>
    <n v="63369.639999999992"/>
    <n v="0"/>
    <n v="0"/>
    <d v="2026-05-28T00:00:00"/>
    <d v="2026-04-28T00:00:00"/>
    <x v="2"/>
    <x v="1"/>
  </r>
  <r>
    <n v="79"/>
    <s v="EUR"/>
    <n v="27211"/>
    <n v="23401.46"/>
    <n v="31564.76"/>
    <n v="27211"/>
    <n v="27211"/>
    <n v="31564.76"/>
    <n v="0"/>
    <n v="0"/>
    <d v="2025-12-31T00:00:00"/>
    <d v="2025-12-01T00:00:00"/>
    <x v="8"/>
    <x v="0"/>
  </r>
  <r>
    <n v="80"/>
    <s v="EUR"/>
    <n v="5705"/>
    <n v="4906.3"/>
    <n v="6617.7999999999993"/>
    <n v="5705"/>
    <n v="5705"/>
    <n v="6617.7999999999993"/>
    <n v="0"/>
    <n v="0"/>
    <d v="2026-01-11T00:00:00"/>
    <d v="2025-12-12T00:00:00"/>
    <x v="8"/>
    <x v="0"/>
  </r>
  <r>
    <n v="81"/>
    <s v="EUR"/>
    <n v="7000"/>
    <n v="6020"/>
    <n v="8119.9999999999991"/>
    <n v="7000"/>
    <n v="7000"/>
    <n v="8119.9999999999991"/>
    <n v="0"/>
    <n v="0"/>
    <d v="2026-04-19T00:00:00"/>
    <d v="2026-03-20T00:00:00"/>
    <x v="1"/>
    <x v="1"/>
  </r>
  <r>
    <n v="86"/>
    <s v="EUR"/>
    <n v="6577"/>
    <n v="5656.22"/>
    <n v="7629.32"/>
    <n v="6577"/>
    <n v="6577"/>
    <n v="7629.32"/>
    <n v="0"/>
    <n v="0"/>
    <d v="2026-02-08T00:00:00"/>
    <d v="2026-01-09T00:00:00"/>
    <x v="11"/>
    <x v="1"/>
  </r>
  <r>
    <n v="87"/>
    <s v="EUR"/>
    <n v="10495.25"/>
    <n v="9025.9149999999991"/>
    <n v="12174.49"/>
    <n v="10495.25"/>
    <n v="10495.25"/>
    <n v="12174.49"/>
    <n v="0"/>
    <n v="0"/>
    <d v="2026-01-11T00:00:00"/>
    <d v="2025-12-12T00:00:00"/>
    <x v="8"/>
    <x v="0"/>
  </r>
  <r>
    <n v="88"/>
    <s v="EUR"/>
    <n v="3842.2"/>
    <n v="3304.2919999999999"/>
    <n v="4456.9519999999993"/>
    <n v="3842.2"/>
    <n v="3842.2"/>
    <n v="4456.9519999999993"/>
    <n v="0"/>
    <n v="0"/>
    <d v="2026-09-20T00:00:00"/>
    <d v="2026-08-21T00:00:00"/>
    <x v="7"/>
    <x v="1"/>
  </r>
  <r>
    <n v="89"/>
    <s v="EUR"/>
    <n v="1116"/>
    <n v="959.76"/>
    <n v="1294.56"/>
    <n v="1116"/>
    <n v="1116"/>
    <n v="1294.56"/>
    <n v="0"/>
    <n v="0"/>
    <d v="2026-09-23T00:00:00"/>
    <d v="2026-08-24T00:00:00"/>
    <x v="7"/>
    <x v="1"/>
  </r>
  <r>
    <n v="91"/>
    <s v="EUR"/>
    <n v="3209.6"/>
    <n v="2760.2559999999999"/>
    <n v="3723.1359999999995"/>
    <n v="3209.6"/>
    <n v="3209.6"/>
    <n v="3723.1359999999995"/>
    <n v="0"/>
    <n v="0"/>
    <d v="2026-02-19T00:00:00"/>
    <d v="2026-01-20T00:00:00"/>
    <x v="11"/>
    <x v="1"/>
  </r>
  <r>
    <n v="92"/>
    <s v="EUR"/>
    <n v="918"/>
    <n v="789.48"/>
    <n v="1064.8799999999999"/>
    <n v="918"/>
    <n v="918"/>
    <n v="1064.8799999999999"/>
    <n v="0"/>
    <n v="0"/>
    <d v="2026-02-06T00:00:00"/>
    <d v="2026-01-07T00:00:00"/>
    <x v="11"/>
    <x v="1"/>
  </r>
  <r>
    <n v="93"/>
    <s v="EUR"/>
    <n v="10000"/>
    <n v="8600"/>
    <n v="11600"/>
    <n v="10000"/>
    <n v="10000"/>
    <n v="11600"/>
    <n v="0"/>
    <n v="0"/>
    <d v="2026-07-13T00:00:00"/>
    <d v="2026-06-13T00:00:00"/>
    <x v="3"/>
    <x v="1"/>
  </r>
  <r>
    <n v="95"/>
    <s v="EUR"/>
    <n v="985.79"/>
    <n v="847.77940000000001"/>
    <n v="1143.5164"/>
    <n v="985.79"/>
    <n v="985.79"/>
    <n v="1143.5164"/>
    <n v="0"/>
    <n v="0"/>
    <d v="2026-02-11T00:00:00"/>
    <d v="2026-01-12T00:00:00"/>
    <x v="11"/>
    <x v="1"/>
  </r>
  <r>
    <n v="96"/>
    <s v="EUR"/>
    <n v="7874"/>
    <n v="6771.64"/>
    <n v="9133.84"/>
    <n v="7874"/>
    <n v="7874"/>
    <n v="9133.84"/>
    <n v="0"/>
    <n v="0"/>
    <d v="2026-01-31T00:00:00"/>
    <d v="2026-01-01T00:00:00"/>
    <x v="11"/>
    <x v="1"/>
  </r>
  <r>
    <n v="97"/>
    <s v="EUR"/>
    <n v="46296.87"/>
    <n v="39815.308199999999"/>
    <n v="53704.369200000001"/>
    <n v="46296.87"/>
    <n v="46296.87"/>
    <n v="53704.369200000001"/>
    <n v="0"/>
    <n v="0"/>
    <d v="2026-10-30T00:00:00"/>
    <d v="2026-09-30T00:00:00"/>
    <x v="6"/>
    <x v="1"/>
  </r>
  <r>
    <n v="98"/>
    <s v="USD"/>
    <n v="8701"/>
    <n v="7482.86"/>
    <n v="8701"/>
    <n v="8701"/>
    <n v="7482.86"/>
    <n v="8701"/>
    <n v="0"/>
    <n v="0"/>
    <d v="2026-05-25T00:00:00"/>
    <d v="2026-04-25T00:00:00"/>
    <x v="2"/>
    <x v="1"/>
  </r>
  <r>
    <n v="99"/>
    <s v="EUR"/>
    <n v="49033.87"/>
    <n v="42169.128199999999"/>
    <n v="56879.289199999999"/>
    <n v="49033.87"/>
    <n v="49033.87"/>
    <n v="56879.289199999999"/>
    <n v="0"/>
    <n v="0"/>
    <d v="2026-04-13T00:00:00"/>
    <d v="2026-03-14T00:00:00"/>
    <x v="1"/>
    <x v="1"/>
  </r>
  <r>
    <n v="100"/>
    <s v="EUR"/>
    <n v="4175"/>
    <n v="3590.5"/>
    <n v="4843"/>
    <n v="4175"/>
    <n v="4175"/>
    <n v="4843"/>
    <n v="0"/>
    <n v="0"/>
    <d v="2026-06-10T00:00:00"/>
    <d v="2026-05-11T00:00:00"/>
    <x v="5"/>
    <x v="1"/>
  </r>
  <r>
    <n v="101"/>
    <s v="EUR"/>
    <n v="5539"/>
    <n v="4763.54"/>
    <n v="6425.24"/>
    <n v="5539"/>
    <n v="5539"/>
    <n v="6425.24"/>
    <n v="0"/>
    <n v="0"/>
    <d v="2026-02-20T00:00:00"/>
    <d v="2026-01-21T00:00:00"/>
    <x v="11"/>
    <x v="1"/>
  </r>
  <r>
    <n v="102"/>
    <s v="EUR"/>
    <n v="29140"/>
    <n v="25060.399999999998"/>
    <n v="33802.399999999994"/>
    <n v="29140"/>
    <n v="29140"/>
    <n v="33802.399999999994"/>
    <n v="0"/>
    <n v="0"/>
    <d v="2026-02-15T00:00:00"/>
    <d v="2026-01-16T00:00:00"/>
    <x v="11"/>
    <x v="1"/>
  </r>
  <r>
    <n v="103"/>
    <s v="EUR"/>
    <n v="9937"/>
    <n v="8545.82"/>
    <n v="11526.92"/>
    <n v="9937"/>
    <n v="9937"/>
    <n v="11526.92"/>
    <n v="0"/>
    <n v="0"/>
    <d v="2026-07-20T00:00:00"/>
    <d v="2026-06-20T00:00:00"/>
    <x v="3"/>
    <x v="1"/>
  </r>
  <r>
    <n v="105"/>
    <s v="EUR"/>
    <n v="1584"/>
    <n v="1362.24"/>
    <n v="1837.4399999999998"/>
    <n v="1584"/>
    <n v="1584"/>
    <n v="1837.4399999999998"/>
    <n v="0"/>
    <n v="0"/>
    <d v="2026-03-20T00:00:00"/>
    <d v="2026-02-18T00:00:00"/>
    <x v="10"/>
    <x v="1"/>
  </r>
  <r>
    <n v="106"/>
    <s v="EUR"/>
    <n v="3308"/>
    <n v="2844.88"/>
    <n v="3837.2799999999997"/>
    <n v="2650"/>
    <n v="2650"/>
    <n v="3074"/>
    <n v="658"/>
    <n v="763.28"/>
    <d v="2026-02-19T00:00:00"/>
    <d v="2026-01-20T00:00:00"/>
    <x v="11"/>
    <x v="1"/>
  </r>
  <r>
    <n v="107"/>
    <s v="EUR"/>
    <n v="3630"/>
    <n v="3121.7999999999997"/>
    <n v="4210.7999999999993"/>
    <n v="3630"/>
    <n v="3630"/>
    <n v="4210.7999999999993"/>
    <n v="0"/>
    <n v="0"/>
    <d v="2026-06-22T00:00:00"/>
    <d v="2026-05-23T00:00:00"/>
    <x v="5"/>
    <x v="1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4">
  <r>
    <n v="1"/>
    <s v="USD"/>
    <n v="101527.9"/>
    <n v="87313.993999999992"/>
    <n v="101527.9"/>
    <n v="101527.9"/>
    <n v="87313.993999999992"/>
    <n v="101527.9"/>
    <n v="0"/>
    <n v="0"/>
    <d v="2025-12-18T00:00:00"/>
    <d v="2025-11-18T00:00:00"/>
    <x v="0"/>
    <x v="0"/>
  </r>
  <r>
    <n v="2"/>
    <s v="EUR"/>
    <n v="13433.85"/>
    <n v="13433.85"/>
    <n v="15583.266"/>
    <n v="13433.85"/>
    <n v="13433.85"/>
    <n v="15583.266"/>
    <n v="0"/>
    <n v="0"/>
    <d v="2025-04-19T00:00:00"/>
    <d v="2025-03-20T00:00:00"/>
    <x v="1"/>
    <x v="0"/>
  </r>
  <r>
    <n v="3"/>
    <s v="EUR"/>
    <n v="950.4"/>
    <n v="950.4"/>
    <n v="1102.4639999999999"/>
    <n v="950.4"/>
    <n v="950.4"/>
    <n v="1102.4639999999999"/>
    <n v="0"/>
    <n v="0"/>
    <d v="2025-05-02T00:00:00"/>
    <d v="2025-04-02T00:00:00"/>
    <x v="2"/>
    <x v="0"/>
  </r>
  <r>
    <n v="4"/>
    <s v="EUR"/>
    <n v="8227.5499999999993"/>
    <n v="8227.5499999999993"/>
    <n v="9543.9579999999987"/>
    <n v="8227.5499999999993"/>
    <n v="8227.5499999999993"/>
    <n v="9543.9579999999987"/>
    <n v="0"/>
    <n v="0"/>
    <d v="2025-07-18T00:00:00"/>
    <d v="2025-06-18T00:00:00"/>
    <x v="3"/>
    <x v="0"/>
  </r>
  <r>
    <n v="5"/>
    <s v="EUR"/>
    <n v="1490.21"/>
    <n v="1490.21"/>
    <n v="1728.6435999999999"/>
    <n v="1490.21"/>
    <n v="1490.21"/>
    <n v="1728.6435999999999"/>
    <n v="0"/>
    <n v="0"/>
    <d v="2025-05-11T00:00:00"/>
    <d v="2025-04-11T00:00:00"/>
    <x v="2"/>
    <x v="0"/>
  </r>
  <r>
    <n v="6"/>
    <s v="EUR"/>
    <n v="4957.62"/>
    <n v="4957.62"/>
    <n v="5750.8391999999994"/>
    <n v="4957.62"/>
    <n v="4957.62"/>
    <n v="5750.8391999999994"/>
    <n v="0"/>
    <n v="0"/>
    <d v="2025-05-01T00:00:00"/>
    <d v="2025-04-01T00:00:00"/>
    <x v="2"/>
    <x v="0"/>
  </r>
  <r>
    <n v="7"/>
    <s v="USD"/>
    <n v="51968.04"/>
    <n v="44692.5144"/>
    <n v="51968.04"/>
    <n v="51968.04"/>
    <n v="44692.5144"/>
    <n v="51968.04"/>
    <n v="0"/>
    <n v="0"/>
    <d v="2025-07-21T00:00:00"/>
    <d v="2025-06-21T00:00:00"/>
    <x v="3"/>
    <x v="0"/>
  </r>
  <r>
    <n v="8"/>
    <s v="EUR"/>
    <n v="8968.68"/>
    <n v="8968.68"/>
    <n v="10403.668799999999"/>
    <n v="8968.68"/>
    <n v="8968.68"/>
    <n v="10403.668799999999"/>
    <n v="0"/>
    <n v="0"/>
    <d v="2025-12-05T00:00:00"/>
    <d v="2025-11-05T00:00:00"/>
    <x v="0"/>
    <x v="0"/>
  </r>
  <r>
    <n v="9"/>
    <s v="EUR"/>
    <n v="21320.400000000001"/>
    <n v="21320.400000000001"/>
    <n v="24731.664000000001"/>
    <n v="21320.400000000001"/>
    <n v="21320.400000000001"/>
    <n v="24731.664000000001"/>
    <n v="0"/>
    <n v="0"/>
    <d v="2025-08-20T00:00:00"/>
    <d v="2025-07-21T00:00:00"/>
    <x v="4"/>
    <x v="0"/>
  </r>
  <r>
    <n v="10"/>
    <s v="EUR"/>
    <n v="426.46"/>
    <n v="426.46"/>
    <n v="494.69359999999995"/>
    <n v="426.46"/>
    <n v="426.46"/>
    <n v="494.69359999999995"/>
    <n v="0"/>
    <n v="0"/>
    <d v="2025-05-15T00:00:00"/>
    <d v="2025-04-15T00:00:00"/>
    <x v="2"/>
    <x v="0"/>
  </r>
  <r>
    <n v="11"/>
    <s v="EUR"/>
    <n v="497.36"/>
    <n v="497.36"/>
    <n v="576.93759999999997"/>
    <n v="497.36"/>
    <n v="497.36"/>
    <n v="576.93759999999997"/>
    <n v="0"/>
    <n v="0"/>
    <d v="2025-05-28T00:00:00"/>
    <d v="2025-04-28T00:00:00"/>
    <x v="2"/>
    <x v="0"/>
  </r>
  <r>
    <n v="12"/>
    <s v="EUR"/>
    <n v="6617.36"/>
    <n v="6617.36"/>
    <n v="7676.1375999999991"/>
    <n v="6617.36"/>
    <n v="6617.36"/>
    <n v="7676.1375999999991"/>
    <n v="0"/>
    <n v="0"/>
    <d v="2025-05-24T00:00:00"/>
    <d v="2025-04-24T00:00:00"/>
    <x v="2"/>
    <x v="0"/>
  </r>
  <r>
    <n v="13"/>
    <s v="EUR"/>
    <n v="21352.57"/>
    <n v="21352.57"/>
    <n v="24768.981199999998"/>
    <n v="21352.57"/>
    <n v="21352.57"/>
    <n v="24768.981199999998"/>
    <n v="0"/>
    <n v="0"/>
    <d v="2025-07-22T00:00:00"/>
    <d v="2025-06-22T00:00:00"/>
    <x v="3"/>
    <x v="0"/>
  </r>
  <r>
    <n v="14"/>
    <s v="EUR"/>
    <n v="427.8"/>
    <n v="427.8"/>
    <n v="496.24799999999999"/>
    <n v="427.8"/>
    <n v="427.8"/>
    <n v="496.24799999999999"/>
    <n v="0"/>
    <n v="0"/>
    <d v="2025-06-06T00:00:00"/>
    <d v="2025-05-07T00:00:00"/>
    <x v="5"/>
    <x v="0"/>
  </r>
  <r>
    <n v="15"/>
    <s v="EUR"/>
    <n v="1282.8399999999999"/>
    <n v="1282.8399999999999"/>
    <n v="1488.0943999999997"/>
    <n v="1282.8399999999999"/>
    <n v="1282.8399999999999"/>
    <n v="1488.0943999999997"/>
    <n v="0"/>
    <n v="0"/>
    <d v="2025-07-05T00:00:00"/>
    <d v="2025-06-05T00:00:00"/>
    <x v="3"/>
    <x v="0"/>
  </r>
  <r>
    <n v="16"/>
    <s v="USD"/>
    <n v="206178.04"/>
    <n v="177313.11439999999"/>
    <n v="206178.04"/>
    <n v="206178.04"/>
    <n v="177313.11439999999"/>
    <n v="206178.04"/>
    <n v="0"/>
    <n v="0"/>
    <d v="2025-06-22T00:00:00"/>
    <d v="2025-05-23T00:00:00"/>
    <x v="5"/>
    <x v="0"/>
  </r>
  <r>
    <n v="17"/>
    <s v="EUR"/>
    <n v="22833.97"/>
    <n v="22833.97"/>
    <n v="26487.405200000001"/>
    <n v="22833.97"/>
    <n v="22833.97"/>
    <n v="26487.405200000001"/>
    <n v="0"/>
    <n v="0"/>
    <d v="2025-08-23T00:00:00"/>
    <d v="2025-07-24T00:00:00"/>
    <x v="4"/>
    <x v="0"/>
  </r>
  <r>
    <n v="19"/>
    <s v="EUR"/>
    <n v="24566.799999999999"/>
    <n v="24566.799999999999"/>
    <n v="28497.487999999998"/>
    <n v="24566.799999999999"/>
    <n v="24566.799999999999"/>
    <n v="28497.487999999998"/>
    <n v="0"/>
    <n v="0"/>
    <d v="2025-07-03T00:00:00"/>
    <d v="2025-06-03T00:00:00"/>
    <x v="3"/>
    <x v="0"/>
  </r>
  <r>
    <n v="20"/>
    <s v="GPB"/>
    <n v="7014"/>
    <n v="8066.0999999999995"/>
    <n v="9398.76"/>
    <n v="7014"/>
    <n v="8066.0999999999995"/>
    <n v="9398.76"/>
    <n v="0"/>
    <n v="0"/>
    <d v="2025-06-25T00:00:00"/>
    <d v="2025-05-26T00:00:00"/>
    <x v="5"/>
    <x v="0"/>
  </r>
  <r>
    <n v="21"/>
    <s v="EUR"/>
    <n v="26211.15"/>
    <n v="26211.15"/>
    <n v="30404.934000000001"/>
    <n v="26211.15"/>
    <n v="26211.15"/>
    <n v="30404.934000000001"/>
    <n v="0"/>
    <n v="0"/>
    <d v="2025-10-20T00:00:00"/>
    <d v="2025-09-20T00:00:00"/>
    <x v="6"/>
    <x v="0"/>
  </r>
  <r>
    <n v="22"/>
    <s v="EUR"/>
    <n v="5025.7"/>
    <n v="5025.7"/>
    <n v="5829.811999999999"/>
    <n v="5025.7"/>
    <n v="5025.7"/>
    <n v="5829.811999999999"/>
    <n v="0"/>
    <n v="0"/>
    <d v="2025-07-27T00:00:00"/>
    <d v="2025-06-27T00:00:00"/>
    <x v="3"/>
    <x v="0"/>
  </r>
  <r>
    <n v="23"/>
    <s v="EUR"/>
    <n v="30818.87"/>
    <n v="30818.87"/>
    <n v="35749.889199999998"/>
    <n v="30818.87"/>
    <n v="30818.87"/>
    <n v="35749.889199999998"/>
    <n v="0"/>
    <n v="0"/>
    <d v="2025-12-26T00:00:00"/>
    <d v="2025-11-26T00:00:00"/>
    <x v="0"/>
    <x v="0"/>
  </r>
  <r>
    <n v="24"/>
    <s v="EUR"/>
    <n v="2216.81"/>
    <n v="2216.81"/>
    <n v="2571.4995999999996"/>
    <n v="2216.81"/>
    <n v="2216.81"/>
    <n v="2571.4995999999996"/>
    <n v="0"/>
    <n v="0"/>
    <d v="2025-09-02T00:00:00"/>
    <d v="2025-08-03T00:00:00"/>
    <x v="7"/>
    <x v="0"/>
  </r>
  <r>
    <n v="25"/>
    <s v="EUR"/>
    <n v="1485"/>
    <n v="1485"/>
    <n v="1722.6"/>
    <n v="1485"/>
    <n v="1485"/>
    <n v="1722.6"/>
    <n v="0"/>
    <n v="0"/>
    <d v="2025-07-17T00:00:00"/>
    <d v="2025-06-17T00:00:00"/>
    <x v="3"/>
    <x v="0"/>
  </r>
  <r>
    <n v="26"/>
    <s v="EUR"/>
    <n v="1536"/>
    <n v="1536"/>
    <n v="1781.7599999999998"/>
    <n v="1536"/>
    <n v="1536"/>
    <n v="1781.7599999999998"/>
    <n v="0"/>
    <n v="0"/>
    <d v="2025-07-20T00:00:00"/>
    <d v="2025-06-20T00:00:00"/>
    <x v="3"/>
    <x v="0"/>
  </r>
  <r>
    <n v="27"/>
    <s v="EUR"/>
    <n v="37367.31"/>
    <n v="37367.31"/>
    <n v="43346.079599999997"/>
    <n v="37367.31"/>
    <n v="37367.31"/>
    <n v="43346.079599999997"/>
    <n v="0"/>
    <n v="0"/>
    <d v="2025-09-24T00:00:00"/>
    <d v="2025-08-25T00:00:00"/>
    <x v="7"/>
    <x v="0"/>
  </r>
  <r>
    <n v="28"/>
    <s v="EUR"/>
    <n v="4985.72"/>
    <n v="4985.72"/>
    <n v="5783.4351999999999"/>
    <n v="4985.72"/>
    <n v="4985.72"/>
    <n v="5783.4351999999999"/>
    <n v="0"/>
    <n v="0"/>
    <d v="2025-09-13T00:00:00"/>
    <d v="2025-08-14T00:00:00"/>
    <x v="7"/>
    <x v="0"/>
  </r>
  <r>
    <n v="29"/>
    <s v="EUR"/>
    <n v="197.41"/>
    <n v="197.41"/>
    <n v="228.99559999999997"/>
    <n v="197.41"/>
    <n v="197.41"/>
    <n v="228.99559999999997"/>
    <n v="0"/>
    <n v="0"/>
    <d v="2025-07-19T00:00:00"/>
    <d v="2025-06-19T00:00:00"/>
    <x v="3"/>
    <x v="0"/>
  </r>
  <r>
    <n v="30"/>
    <s v="EUR"/>
    <n v="67457.399999999994"/>
    <n v="67457.399999999994"/>
    <n v="78250.583999999988"/>
    <n v="67457.399999999994"/>
    <n v="67457.399999999994"/>
    <n v="78250.583999999988"/>
    <n v="0"/>
    <n v="0"/>
    <d v="2025-12-26T00:00:00"/>
    <d v="2025-11-26T00:00:00"/>
    <x v="0"/>
    <x v="0"/>
  </r>
  <r>
    <n v="31"/>
    <s v="EUR"/>
    <n v="1894.45"/>
    <n v="1894.45"/>
    <n v="2197.5619999999999"/>
    <n v="1894.45"/>
    <n v="1894.45"/>
    <n v="2197.5619999999999"/>
    <n v="0"/>
    <n v="0"/>
    <d v="2025-10-20T00:00:00"/>
    <d v="2025-09-20T00:00:00"/>
    <x v="6"/>
    <x v="0"/>
  </r>
  <r>
    <n v="32"/>
    <s v="EUR"/>
    <n v="4783.95"/>
    <n v="4783.95"/>
    <n v="5549.3819999999996"/>
    <n v="4783.95"/>
    <n v="4783.95"/>
    <n v="5549.3819999999996"/>
    <n v="0"/>
    <n v="0"/>
    <d v="2025-12-09T00:00:00"/>
    <d v="2025-11-09T00:00:00"/>
    <x v="0"/>
    <x v="0"/>
  </r>
  <r>
    <n v="33"/>
    <s v="USD"/>
    <n v="4815"/>
    <n v="4140.8999999999996"/>
    <n v="4815"/>
    <n v="4815"/>
    <n v="4140.8999999999996"/>
    <n v="4815"/>
    <n v="0"/>
    <n v="0"/>
    <d v="2025-07-31T00:00:00"/>
    <d v="2025-07-01T00:00:00"/>
    <x v="4"/>
    <x v="0"/>
  </r>
  <r>
    <n v="34"/>
    <s v="EUR"/>
    <n v="25510.87"/>
    <n v="25510.87"/>
    <n v="29592.609199999995"/>
    <n v="25510.87"/>
    <n v="25510.87"/>
    <n v="29592.609199999995"/>
    <n v="0"/>
    <n v="0"/>
    <d v="2026-01-15T00:00:00"/>
    <d v="2025-12-16T00:00:00"/>
    <x v="8"/>
    <x v="0"/>
  </r>
  <r>
    <n v="36"/>
    <s v="EUR"/>
    <n v="5680.7"/>
    <n v="5680.7"/>
    <n v="6589.6119999999992"/>
    <n v="5680.7"/>
    <n v="5680.7"/>
    <n v="6589.6119999999992"/>
    <n v="0"/>
    <n v="0"/>
    <d v="2025-11-16T00:00:00"/>
    <d v="2025-10-17T00:00:00"/>
    <x v="9"/>
    <x v="0"/>
  </r>
  <r>
    <n v="37"/>
    <s v="USD"/>
    <n v="35893.449999999997"/>
    <n v="30868.366999999998"/>
    <n v="35893.449999999997"/>
    <n v="35893.449999999997"/>
    <n v="30868.366999999998"/>
    <n v="35893.449999999997"/>
    <n v="0"/>
    <n v="0"/>
    <d v="2025-12-18T00:00:00"/>
    <d v="2025-11-18T00:00:00"/>
    <x v="0"/>
    <x v="0"/>
  </r>
  <r>
    <n v="38"/>
    <s v="EUR"/>
    <n v="22676.48"/>
    <n v="22676.48"/>
    <n v="26304.716799999998"/>
    <n v="22676.48"/>
    <n v="22676.48"/>
    <n v="26304.716799999998"/>
    <n v="0"/>
    <n v="0"/>
    <d v="2025-10-16T00:00:00"/>
    <d v="2025-09-16T00:00:00"/>
    <x v="6"/>
    <x v="0"/>
  </r>
  <r>
    <n v="39"/>
    <s v="EUR"/>
    <n v="1347.28"/>
    <n v="1347.28"/>
    <n v="1562.8447999999999"/>
    <n v="1347.28"/>
    <n v="1347.28"/>
    <n v="1562.8447999999999"/>
    <n v="0"/>
    <n v="0"/>
    <d v="2025-10-27T00:00:00"/>
    <d v="2025-09-27T00:00:00"/>
    <x v="6"/>
    <x v="0"/>
  </r>
  <r>
    <n v="40"/>
    <s v="EUR"/>
    <n v="847.5"/>
    <n v="847.5"/>
    <n v="983.09999999999991"/>
    <n v="847.5"/>
    <n v="847.5"/>
    <n v="983.09999999999991"/>
    <n v="0"/>
    <n v="0"/>
    <d v="2025-12-01T00:00:00"/>
    <d v="2025-11-01T00:00:00"/>
    <x v="0"/>
    <x v="0"/>
  </r>
  <r>
    <n v="41"/>
    <s v="EUR"/>
    <n v="40505.730000000003"/>
    <n v="40505.730000000003"/>
    <n v="46986.646800000002"/>
    <n v="40262.629999999997"/>
    <n v="40262.629999999997"/>
    <n v="46704.650799999996"/>
    <n v="243.10000000000582"/>
    <n v="281.99600000000675"/>
    <d v="2025-12-29T00:00:00"/>
    <d v="2025-11-29T00:00:00"/>
    <x v="0"/>
    <x v="0"/>
  </r>
  <r>
    <n v="42"/>
    <s v="EUR"/>
    <n v="17348.5"/>
    <n v="17348.5"/>
    <n v="20124.259999999998"/>
    <n v="17348.5"/>
    <n v="17348.5"/>
    <n v="20124.259999999998"/>
    <n v="0"/>
    <n v="0"/>
    <d v="2025-11-24T00:00:00"/>
    <d v="2025-10-25T00:00:00"/>
    <x v="9"/>
    <x v="0"/>
  </r>
  <r>
    <n v="43"/>
    <s v="EUR"/>
    <n v="410.33"/>
    <n v="410.33"/>
    <n v="475.98279999999994"/>
    <n v="410.33"/>
    <n v="410.33"/>
    <n v="475.98279999999994"/>
    <n v="0"/>
    <n v="0"/>
    <d v="2025-11-10T00:00:00"/>
    <d v="2025-10-11T00:00:00"/>
    <x v="9"/>
    <x v="0"/>
  </r>
  <r>
    <n v="44"/>
    <s v="EUR"/>
    <n v="8870.1299999999992"/>
    <n v="8870.1299999999992"/>
    <n v="10289.350799999998"/>
    <n v="8646.58"/>
    <n v="8646.58"/>
    <n v="10030.032799999999"/>
    <n v="223.54999999999927"/>
    <n v="259.31799999999913"/>
    <d v="2026-06-14T00:00:00"/>
    <d v="2026-05-15T00:00:00"/>
    <x v="5"/>
    <x v="1"/>
  </r>
  <r>
    <n v="45"/>
    <s v="EUR"/>
    <n v="9534.5499999999993"/>
    <n v="9534.5499999999993"/>
    <n v="11060.077999999998"/>
    <n v="9534.5499999999993"/>
    <n v="9534.5499999999993"/>
    <n v="11060.077999999998"/>
    <n v="0"/>
    <n v="0"/>
    <d v="2026-06-01T00:00:00"/>
    <d v="2026-05-02T00:00:00"/>
    <x v="5"/>
    <x v="1"/>
  </r>
  <r>
    <n v="46"/>
    <s v="EUR"/>
    <n v="1508.38"/>
    <n v="1508.38"/>
    <n v="1749.7208000000001"/>
    <n v="1508.38"/>
    <n v="1508.38"/>
    <n v="1749.7208000000001"/>
    <n v="0"/>
    <n v="0"/>
    <d v="2025-10-10T00:00:00"/>
    <d v="2025-09-10T00:00:00"/>
    <x v="6"/>
    <x v="0"/>
  </r>
  <r>
    <n v="47"/>
    <s v="EUR"/>
    <n v="5227.74"/>
    <n v="5227.74"/>
    <n v="6064.1783999999998"/>
    <n v="5227.74"/>
    <n v="5227.74"/>
    <n v="6064.1783999999998"/>
    <n v="0"/>
    <n v="0"/>
    <d v="2025-11-07T00:00:00"/>
    <d v="2025-10-08T00:00:00"/>
    <x v="9"/>
    <x v="0"/>
  </r>
  <r>
    <n v="48"/>
    <s v="EUR"/>
    <n v="23665.34"/>
    <n v="23665.34"/>
    <n v="27451.794399999999"/>
    <n v="23665.34"/>
    <n v="23665.34"/>
    <n v="27451.794399999999"/>
    <n v="0"/>
    <n v="0"/>
    <d v="2025-12-29T00:00:00"/>
    <d v="2025-11-29T00:00:00"/>
    <x v="0"/>
    <x v="0"/>
  </r>
  <r>
    <n v="49"/>
    <s v="EUR"/>
    <n v="3515.8"/>
    <n v="3515.8"/>
    <n v="4078.328"/>
    <n v="3515.8"/>
    <n v="3515.8"/>
    <n v="4078.328"/>
    <n v="0"/>
    <n v="0"/>
    <d v="2025-11-07T00:00:00"/>
    <d v="2025-10-08T00:00:00"/>
    <x v="9"/>
    <x v="0"/>
  </r>
  <r>
    <n v="51"/>
    <s v="EUR"/>
    <n v="330.35"/>
    <n v="330.35"/>
    <n v="383.20600000000002"/>
    <n v="330.35"/>
    <n v="330.35"/>
    <n v="383.20600000000002"/>
    <n v="0"/>
    <n v="0"/>
    <d v="2025-10-11T00:00:00"/>
    <d v="2025-09-11T00:00:00"/>
    <x v="6"/>
    <x v="0"/>
  </r>
  <r>
    <n v="52"/>
    <s v="EUR"/>
    <n v="81698.73"/>
    <n v="81698.73"/>
    <n v="94770.526799999992"/>
    <n v="81698.73"/>
    <n v="81698.73"/>
    <n v="94770.526799999992"/>
    <n v="0"/>
    <n v="0"/>
    <d v="2025-12-18T00:00:00"/>
    <d v="2025-11-18T00:00:00"/>
    <x v="0"/>
    <x v="0"/>
  </r>
  <r>
    <n v="53"/>
    <s v="EUR"/>
    <n v="53332.7"/>
    <n v="53332.7"/>
    <n v="61865.931999999993"/>
    <n v="53332.7"/>
    <n v="53332.7"/>
    <n v="61865.931999999993"/>
    <n v="0"/>
    <n v="0"/>
    <d v="2025-12-25T00:00:00"/>
    <d v="2025-11-25T00:00:00"/>
    <x v="0"/>
    <x v="0"/>
  </r>
  <r>
    <n v="54"/>
    <s v="EUR"/>
    <n v="19034.97"/>
    <n v="19034.97"/>
    <n v="22080.565200000001"/>
    <n v="19034.97"/>
    <n v="19034.97"/>
    <n v="22080.565200000001"/>
    <n v="0"/>
    <n v="0"/>
    <d v="2025-12-26T00:00:00"/>
    <d v="2025-11-26T00:00:00"/>
    <x v="0"/>
    <x v="0"/>
  </r>
  <r>
    <n v="55"/>
    <s v="EUR"/>
    <n v="528"/>
    <n v="528"/>
    <n v="612.4799999999999"/>
    <n v="528"/>
    <n v="528"/>
    <n v="612.4799999999999"/>
    <n v="0"/>
    <n v="0"/>
    <d v="2025-10-29T00:00:00"/>
    <d v="2025-09-29T00:00:00"/>
    <x v="6"/>
    <x v="0"/>
  </r>
  <r>
    <n v="56"/>
    <s v="EUR"/>
    <n v="21010.47"/>
    <n v="21010.47"/>
    <n v="24372.145199999999"/>
    <n v="21010.47"/>
    <n v="21010.47"/>
    <n v="24372.145199999999"/>
    <n v="0"/>
    <n v="0"/>
    <d v="2025-11-14T00:00:00"/>
    <d v="2025-10-15T00:00:00"/>
    <x v="9"/>
    <x v="0"/>
  </r>
  <r>
    <n v="57"/>
    <s v="EUR"/>
    <n v="5099.01"/>
    <n v="5099.01"/>
    <n v="5914.8516"/>
    <n v="4838.3100000000004"/>
    <n v="4838.3100000000004"/>
    <n v="5612.4395999999997"/>
    <n v="260.69999999999982"/>
    <n v="302.41199999999975"/>
    <d v="2026-09-20T00:00:00"/>
    <d v="2026-08-21T00:00:00"/>
    <x v="7"/>
    <x v="1"/>
  </r>
  <r>
    <n v="58"/>
    <s v="EUR"/>
    <n v="374.44"/>
    <n v="374.44"/>
    <n v="434.35039999999998"/>
    <n v="374.44"/>
    <n v="374.44"/>
    <n v="434.35039999999998"/>
    <n v="0"/>
    <n v="0"/>
    <d v="2025-11-07T00:00:00"/>
    <d v="2025-10-08T00:00:00"/>
    <x v="9"/>
    <x v="0"/>
  </r>
  <r>
    <n v="59"/>
    <s v="EUR"/>
    <n v="129553.71"/>
    <n v="129553.71"/>
    <n v="150282.30359999998"/>
    <n v="129553.71"/>
    <n v="129553.71"/>
    <n v="150282.30359999998"/>
    <n v="0"/>
    <n v="0"/>
    <d v="2026-03-25T00:00:00"/>
    <d v="2026-02-23T00:00:00"/>
    <x v="10"/>
    <x v="1"/>
  </r>
  <r>
    <n v="60"/>
    <s v="EUR"/>
    <n v="6305.15"/>
    <n v="6305.15"/>
    <n v="7313.9739999999993"/>
    <n v="6305.15"/>
    <n v="6305.15"/>
    <n v="7313.9739999999993"/>
    <n v="0"/>
    <n v="0"/>
    <d v="2025-12-01T00:00:00"/>
    <d v="2025-11-01T00:00:00"/>
    <x v="0"/>
    <x v="0"/>
  </r>
  <r>
    <n v="61"/>
    <s v="EUR"/>
    <n v="3767.19"/>
    <n v="3767.19"/>
    <n v="4369.9403999999995"/>
    <n v="3767.19"/>
    <n v="3767.19"/>
    <n v="4369.9403999999995"/>
    <n v="0"/>
    <n v="0"/>
    <d v="2025-11-19T00:00:00"/>
    <d v="2025-10-20T00:00:00"/>
    <x v="9"/>
    <x v="0"/>
  </r>
  <r>
    <n v="62"/>
    <s v="EUR"/>
    <n v="10981.97"/>
    <n v="10981.97"/>
    <n v="12739.085199999998"/>
    <n v="10981.97"/>
    <n v="10981.97"/>
    <n v="12739.085199999998"/>
    <n v="0"/>
    <n v="0"/>
    <d v="2026-07-13T00:00:00"/>
    <d v="2026-06-13T00:00:00"/>
    <x v="3"/>
    <x v="1"/>
  </r>
  <r>
    <n v="63"/>
    <s v="EUR"/>
    <n v="1159.07"/>
    <n v="1159.07"/>
    <n v="1344.5211999999999"/>
    <n v="1159.07"/>
    <n v="1159.07"/>
    <n v="1344.5211999999999"/>
    <n v="0"/>
    <n v="0"/>
    <d v="2025-12-09T00:00:00"/>
    <d v="2025-11-09T00:00:00"/>
    <x v="0"/>
    <x v="0"/>
  </r>
  <r>
    <n v="64"/>
    <s v="EUR"/>
    <n v="1218.8499999999999"/>
    <n v="1218.8499999999999"/>
    <n v="1413.8659999999998"/>
    <n v="1218.8499999999999"/>
    <n v="1218.8499999999999"/>
    <n v="1413.8659999999998"/>
    <n v="0"/>
    <n v="0"/>
    <d v="2025-11-18T00:00:00"/>
    <d v="2025-10-19T00:00:00"/>
    <x v="9"/>
    <x v="0"/>
  </r>
  <r>
    <n v="65"/>
    <s v="EUR"/>
    <n v="1814.49"/>
    <n v="1814.49"/>
    <n v="2104.8083999999999"/>
    <n v="1814.49"/>
    <n v="1814.49"/>
    <n v="2104.8083999999999"/>
    <n v="0"/>
    <n v="0"/>
    <d v="2025-12-19T00:00:00"/>
    <d v="2025-11-19T00:00:00"/>
    <x v="0"/>
    <x v="0"/>
  </r>
  <r>
    <n v="66"/>
    <s v="EUR"/>
    <n v="21819.08"/>
    <n v="21819.08"/>
    <n v="25310.132799999999"/>
    <n v="21819.08"/>
    <n v="21819.08"/>
    <n v="25310.132799999999"/>
    <n v="0"/>
    <n v="0"/>
    <d v="2025-12-26T00:00:00"/>
    <d v="2025-11-26T00:00:00"/>
    <x v="0"/>
    <x v="0"/>
  </r>
  <r>
    <n v="67"/>
    <s v="EUR"/>
    <n v="12508.44"/>
    <n v="12508.44"/>
    <n v="14509.7904"/>
    <n v="12508.44"/>
    <n v="12508.44"/>
    <n v="14509.7904"/>
    <n v="0"/>
    <n v="0"/>
    <d v="2026-02-21T00:00:00"/>
    <d v="2026-01-22T00:00:00"/>
    <x v="11"/>
    <x v="1"/>
  </r>
  <r>
    <n v="69"/>
    <s v="EUR"/>
    <n v="5414.9"/>
    <n v="5414.9"/>
    <n v="6281.2839999999987"/>
    <n v="5414.9"/>
    <n v="5414.9"/>
    <n v="6281.2839999999987"/>
    <n v="0"/>
    <n v="0"/>
    <d v="2026-01-01T00:00:00"/>
    <d v="2025-12-02T00:00:00"/>
    <x v="8"/>
    <x v="0"/>
  </r>
  <r>
    <n v="70"/>
    <s v="EUR"/>
    <n v="9614.93"/>
    <n v="9614.93"/>
    <n v="11153.318799999999"/>
    <n v="9614.93"/>
    <n v="9614.93"/>
    <n v="11153.318799999999"/>
    <n v="0"/>
    <n v="0"/>
    <d v="2026-06-21T00:00:00"/>
    <d v="2026-05-22T00:00:00"/>
    <x v="5"/>
    <x v="1"/>
  </r>
  <r>
    <n v="71"/>
    <s v="EUR"/>
    <n v="3717.21"/>
    <n v="3717.21"/>
    <n v="4311.9636"/>
    <n v="3717.21"/>
    <n v="3717.21"/>
    <n v="4311.9636"/>
    <n v="0"/>
    <n v="0"/>
    <d v="2026-01-08T00:00:00"/>
    <d v="2025-12-09T00:00:00"/>
    <x v="8"/>
    <x v="0"/>
  </r>
  <r>
    <n v="72"/>
    <s v="EUR"/>
    <n v="2200"/>
    <n v="2200"/>
    <n v="2552"/>
    <n v="2200"/>
    <n v="2200"/>
    <n v="2552"/>
    <n v="0"/>
    <n v="0"/>
    <d v="2026-06-13T00:00:00"/>
    <d v="2026-05-14T00:00:00"/>
    <x v="5"/>
    <x v="1"/>
  </r>
  <r>
    <n v="73"/>
    <s v="EUR"/>
    <n v="6118.34"/>
    <n v="6118.34"/>
    <n v="7097.2743999999993"/>
    <n v="6118.34"/>
    <n v="6118.34"/>
    <n v="7097.2743999999993"/>
    <n v="0"/>
    <n v="0"/>
    <d v="2026-07-27T00:00:00"/>
    <d v="2026-06-27T00:00:00"/>
    <x v="3"/>
    <x v="1"/>
  </r>
  <r>
    <n v="75"/>
    <s v="EUR"/>
    <n v="1773"/>
    <n v="1773"/>
    <n v="2056.6799999999998"/>
    <n v="1773"/>
    <n v="1773"/>
    <n v="2056.6799999999998"/>
    <n v="0"/>
    <n v="0"/>
    <d v="2026-04-09T00:00:00"/>
    <d v="2026-03-10T00:00:00"/>
    <x v="1"/>
    <x v="1"/>
  </r>
  <r>
    <n v="76"/>
    <s v="EUR"/>
    <n v="7212.58"/>
    <n v="7212.58"/>
    <n v="8366.5927999999985"/>
    <n v="7212.58"/>
    <n v="7212.58"/>
    <n v="8366.5927999999985"/>
    <n v="0"/>
    <n v="0"/>
    <d v="2026-01-14T00:00:00"/>
    <d v="2025-12-15T00:00:00"/>
    <x v="8"/>
    <x v="0"/>
  </r>
  <r>
    <n v="78"/>
    <s v="EUR"/>
    <n v="44158.43"/>
    <n v="44158.43"/>
    <n v="51223.7788"/>
    <n v="44158.43"/>
    <n v="44158.43"/>
    <n v="51223.7788"/>
    <n v="0"/>
    <n v="0"/>
    <d v="2026-05-28T00:00:00"/>
    <d v="2026-04-28T00:00:00"/>
    <x v="2"/>
    <x v="1"/>
  </r>
  <r>
    <n v="79"/>
    <s v="EUR"/>
    <n v="24454.75"/>
    <n v="24454.75"/>
    <n v="28367.51"/>
    <n v="24454.75"/>
    <n v="24454.75"/>
    <n v="28367.51"/>
    <n v="0"/>
    <n v="0"/>
    <d v="2025-12-31T00:00:00"/>
    <d v="2025-12-01T00:00:00"/>
    <x v="8"/>
    <x v="0"/>
  </r>
  <r>
    <n v="80"/>
    <s v="EUR"/>
    <n v="5592.12"/>
    <n v="5592.12"/>
    <n v="6486.8591999999999"/>
    <n v="5592.12"/>
    <n v="5592.12"/>
    <n v="6486.8591999999999"/>
    <n v="0"/>
    <n v="0"/>
    <d v="2026-01-11T00:00:00"/>
    <d v="2025-12-12T00:00:00"/>
    <x v="8"/>
    <x v="0"/>
  </r>
  <r>
    <n v="81"/>
    <s v="EUR"/>
    <n v="5745.95"/>
    <n v="5745.95"/>
    <n v="6665.3019999999997"/>
    <n v="5499.35"/>
    <n v="5499.35"/>
    <n v="6379.2460000000001"/>
    <n v="246.59999999999945"/>
    <n v="286.05599999999936"/>
    <d v="2026-04-19T00:00:00"/>
    <d v="2026-03-20T00:00:00"/>
    <x v="1"/>
    <x v="1"/>
  </r>
  <r>
    <n v="82"/>
    <s v="EUR"/>
    <n v="494.56"/>
    <n v="494.56"/>
    <n v="573.68959999999993"/>
    <n v="494.56"/>
    <n v="494.56"/>
    <n v="573.68959999999993"/>
    <n v="0"/>
    <n v="0"/>
    <d v="2025-11-10T00:00:00"/>
    <d v="2025-10-11T00:00:00"/>
    <x v="9"/>
    <x v="0"/>
  </r>
  <r>
    <n v="83"/>
    <s v="EUR"/>
    <n v="2401.4299999999998"/>
    <n v="2401.4299999999998"/>
    <n v="2785.6587999999997"/>
    <n v="2401.4299999999998"/>
    <n v="2401.4299999999998"/>
    <n v="2785.6587999999997"/>
    <n v="0"/>
    <n v="0"/>
    <d v="2026-01-30T00:00:00"/>
    <d v="2025-12-31T00:00:00"/>
    <x v="8"/>
    <x v="0"/>
  </r>
  <r>
    <n v="85"/>
    <s v="EUR"/>
    <n v="653.41999999999996"/>
    <n v="653.41999999999996"/>
    <n v="757.96719999999993"/>
    <n v="653.41999999999996"/>
    <n v="653.41999999999996"/>
    <n v="757.96719999999993"/>
    <n v="0"/>
    <n v="0"/>
    <d v="2026-01-25T00:00:00"/>
    <d v="2025-12-26T00:00:00"/>
    <x v="8"/>
    <x v="0"/>
  </r>
  <r>
    <n v="86"/>
    <s v="EUR"/>
    <n v="7784.98"/>
    <n v="7784.98"/>
    <n v="9030.5767999999989"/>
    <n v="6993.36"/>
    <n v="6993.36"/>
    <n v="8112.297599999999"/>
    <n v="791.61999999999989"/>
    <n v="918.27919999999983"/>
    <d v="2026-02-08T00:00:00"/>
    <d v="2026-01-09T00:00:00"/>
    <x v="11"/>
    <x v="1"/>
  </r>
  <r>
    <n v="87"/>
    <s v="EUR"/>
    <n v="10230.299999999999"/>
    <n v="10230.299999999999"/>
    <n v="11867.147999999999"/>
    <n v="10230.299999999999"/>
    <n v="10230.299999999999"/>
    <n v="11867.147999999999"/>
    <n v="0"/>
    <n v="0"/>
    <d v="2026-01-11T00:00:00"/>
    <d v="2025-12-12T00:00:00"/>
    <x v="8"/>
    <x v="0"/>
  </r>
  <r>
    <n v="88"/>
    <s v="EUR"/>
    <n v="3563.28"/>
    <n v="3563.28"/>
    <n v="4133.4048000000003"/>
    <n v="3563.28"/>
    <n v="3563.28"/>
    <n v="4133.4048000000003"/>
    <n v="0"/>
    <n v="0"/>
    <d v="2026-09-20T00:00:00"/>
    <d v="2026-08-21T00:00:00"/>
    <x v="7"/>
    <x v="1"/>
  </r>
  <r>
    <n v="89"/>
    <s v="EUR"/>
    <n v="1098.56"/>
    <n v="1098.56"/>
    <n v="1274.3295999999998"/>
    <n v="1098.56"/>
    <n v="1098.56"/>
    <n v="1274.3295999999998"/>
    <n v="0"/>
    <n v="0"/>
    <d v="2026-09-23T00:00:00"/>
    <d v="2026-08-24T00:00:00"/>
    <x v="7"/>
    <x v="1"/>
  </r>
  <r>
    <n v="91"/>
    <s v="EUR"/>
    <n v="3209.6"/>
    <n v="3209.6"/>
    <n v="3723.1359999999995"/>
    <n v="3209.6"/>
    <n v="3209.6"/>
    <n v="3723.1359999999995"/>
    <n v="0"/>
    <n v="0"/>
    <d v="2026-02-19T00:00:00"/>
    <d v="2026-01-20T00:00:00"/>
    <x v="11"/>
    <x v="1"/>
  </r>
  <r>
    <n v="92"/>
    <s v="EUR"/>
    <n v="835.53"/>
    <n v="835.53"/>
    <n v="969.21479999999985"/>
    <n v="835.53"/>
    <n v="835.53"/>
    <n v="969.21479999999985"/>
    <n v="0"/>
    <n v="0"/>
    <d v="2026-02-06T00:00:00"/>
    <d v="2026-01-07T00:00:00"/>
    <x v="11"/>
    <x v="1"/>
  </r>
  <r>
    <n v="93"/>
    <s v="EUR"/>
    <n v="9843.7199999999993"/>
    <n v="9843.7199999999993"/>
    <n v="11418.715199999999"/>
    <n v="9583.02"/>
    <n v="9583.02"/>
    <n v="11116.3032"/>
    <n v="260.69999999999891"/>
    <n v="302.41199999999873"/>
    <d v="2026-07-13T00:00:00"/>
    <d v="2026-06-13T00:00:00"/>
    <x v="3"/>
    <x v="1"/>
  </r>
  <r>
    <n v="95"/>
    <s v="EUR"/>
    <n v="985.79"/>
    <n v="985.79"/>
    <n v="1143.5164"/>
    <n v="985.79"/>
    <n v="985.79"/>
    <n v="1143.5164"/>
    <n v="0"/>
    <n v="0"/>
    <d v="2026-02-11T00:00:00"/>
    <d v="2026-01-12T00:00:00"/>
    <x v="11"/>
    <x v="1"/>
  </r>
  <r>
    <n v="96"/>
    <s v="EUR"/>
    <n v="6563.4"/>
    <n v="6563.4"/>
    <n v="7613.543999999999"/>
    <n v="6497.68"/>
    <n v="6497.68"/>
    <n v="7537.3087999999998"/>
    <n v="65.719999999999345"/>
    <n v="76.235199999999239"/>
    <d v="2026-01-31T00:00:00"/>
    <d v="2026-01-01T00:00:00"/>
    <x v="11"/>
    <x v="1"/>
  </r>
  <r>
    <n v="97"/>
    <s v="EUR"/>
    <n v="26617.53"/>
    <n v="26617.53"/>
    <n v="30876.334799999997"/>
    <n v="13685.47"/>
    <n v="13685.47"/>
    <n v="15875.145199999999"/>
    <n v="12932.06"/>
    <n v="15001.189599999998"/>
    <d v="2026-10-30T00:00:00"/>
    <d v="2026-09-30T00:00:00"/>
    <x v="6"/>
    <x v="1"/>
  </r>
  <r>
    <n v="98"/>
    <s v="USD"/>
    <n v="7770"/>
    <n v="6682.2"/>
    <n v="7770"/>
    <n v="7770"/>
    <n v="6682.2"/>
    <n v="7770"/>
    <n v="0"/>
    <n v="0"/>
    <d v="2026-05-25T00:00:00"/>
    <d v="2026-04-25T00:00:00"/>
    <x v="2"/>
    <x v="1"/>
  </r>
  <r>
    <n v="99"/>
    <s v="EUR"/>
    <n v="4013.03"/>
    <n v="4013.03"/>
    <n v="4655.1148000000003"/>
    <n v="4013.03"/>
    <n v="4013.03"/>
    <n v="4655.1148000000003"/>
    <n v="0"/>
    <n v="0"/>
    <d v="2026-03-29T00:00:00"/>
    <d v="2026-02-27T00:00:00"/>
    <x v="10"/>
    <x v="1"/>
  </r>
  <r>
    <n v="101"/>
    <s v="EUR"/>
    <n v="4472.8100000000004"/>
    <n v="4472.8100000000004"/>
    <n v="5188.4596000000001"/>
    <n v="4472.8100000000004"/>
    <n v="4472.8100000000004"/>
    <n v="5188.4596000000001"/>
    <n v="0"/>
    <n v="0"/>
    <d v="2026-02-20T00:00:00"/>
    <d v="2026-01-21T00:00:00"/>
    <x v="11"/>
    <x v="1"/>
  </r>
  <r>
    <n v="102"/>
    <s v="EUR"/>
    <n v="22653.85"/>
    <n v="22653.85"/>
    <n v="26278.465999999997"/>
    <n v="22450.41"/>
    <n v="22450.41"/>
    <n v="26042.475599999998"/>
    <n v="203.43999999999869"/>
    <n v="235.99039999999846"/>
    <d v="2026-02-15T00:00:00"/>
    <d v="2026-01-16T00:00:00"/>
    <x v="11"/>
    <x v="1"/>
  </r>
  <r>
    <n v="103"/>
    <s v="EUR"/>
    <n v="1310.84"/>
    <n v="1310.84"/>
    <n v="1520.5743999999997"/>
    <n v="1310.84"/>
    <n v="1310.84"/>
    <n v="1520.5743999999997"/>
    <n v="0"/>
    <n v="0"/>
    <d v="2026-07-20T00:00:00"/>
    <d v="2026-06-20T00:00:00"/>
    <x v="3"/>
    <x v="1"/>
  </r>
  <r>
    <n v="105"/>
    <s v="EUR"/>
    <n v="792"/>
    <n v="792"/>
    <n v="918.71999999999991"/>
    <n v="792"/>
    <n v="792"/>
    <n v="918.71999999999991"/>
    <n v="0"/>
    <n v="0"/>
    <d v="2026-03-20T00:00:00"/>
    <d v="2026-02-18T00:00:00"/>
    <x v="10"/>
    <x v="1"/>
  </r>
  <r>
    <n v="106"/>
    <s v="EUR"/>
    <n v="3181.85"/>
    <n v="3181.85"/>
    <n v="3690.9459999999995"/>
    <n v="3181.85"/>
    <n v="3181.85"/>
    <n v="3690.9459999999995"/>
    <n v="0"/>
    <n v="0"/>
    <d v="2026-02-19T00:00:00"/>
    <d v="2026-01-20T00:00:00"/>
    <x v="11"/>
    <x v="1"/>
  </r>
  <r>
    <n v="107"/>
    <s v="EUR"/>
    <n v="1834.16"/>
    <n v="1834.16"/>
    <n v="2127.6255999999998"/>
    <n v="1834.16"/>
    <n v="1834.16"/>
    <n v="2127.6255999999998"/>
    <n v="0"/>
    <n v="0"/>
    <d v="2026-06-22T00:00:00"/>
    <d v="2026-05-23T00:00:00"/>
    <x v="5"/>
    <x v="1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n v="1922.62"/>
    <m/>
    <m/>
    <m/>
    <m/>
    <m/>
    <m/>
    <x v="12"/>
    <x v="2"/>
  </r>
  <r>
    <m/>
    <m/>
    <m/>
    <m/>
    <m/>
    <n v="2850.91"/>
    <m/>
    <m/>
    <m/>
    <m/>
    <m/>
    <m/>
    <x v="12"/>
    <x v="2"/>
  </r>
  <r>
    <m/>
    <m/>
    <m/>
    <m/>
    <m/>
    <n v="4135"/>
    <m/>
    <m/>
    <m/>
    <m/>
    <m/>
    <m/>
    <x v="12"/>
    <x v="2"/>
  </r>
  <r>
    <m/>
    <m/>
    <m/>
    <m/>
    <m/>
    <n v="18.18"/>
    <m/>
    <m/>
    <m/>
    <m/>
    <m/>
    <m/>
    <x v="12"/>
    <x v="2"/>
  </r>
  <r>
    <m/>
    <m/>
    <m/>
    <m/>
    <m/>
    <n v="330.35"/>
    <m/>
    <m/>
    <m/>
    <m/>
    <m/>
    <m/>
    <x v="12"/>
    <x v="2"/>
  </r>
  <r>
    <m/>
    <m/>
    <m/>
    <m/>
    <m/>
    <n v="3748.65"/>
    <m/>
    <m/>
    <m/>
    <m/>
    <m/>
    <m/>
    <x v="12"/>
    <x v="2"/>
  </r>
  <r>
    <m/>
    <m/>
    <m/>
    <m/>
    <m/>
    <n v="125.34"/>
    <m/>
    <m/>
    <m/>
    <m/>
    <m/>
    <m/>
    <x v="12"/>
    <x v="2"/>
  </r>
  <r>
    <m/>
    <m/>
    <m/>
    <m/>
    <m/>
    <n v="273.27999999999997"/>
    <m/>
    <m/>
    <m/>
    <m/>
    <m/>
    <m/>
    <x v="12"/>
    <x v="2"/>
  </r>
  <r>
    <m/>
    <m/>
    <m/>
    <m/>
    <m/>
    <n v="480.28"/>
    <m/>
    <m/>
    <m/>
    <m/>
    <m/>
    <m/>
    <x v="12"/>
    <x v="2"/>
  </r>
  <r>
    <m/>
    <m/>
    <m/>
    <m/>
    <m/>
    <n v="583.4"/>
    <m/>
    <m/>
    <m/>
    <m/>
    <m/>
    <m/>
    <x v="12"/>
    <x v="2"/>
  </r>
  <r>
    <m/>
    <m/>
    <m/>
    <m/>
    <m/>
    <n v="719.59"/>
    <m/>
    <m/>
    <m/>
    <m/>
    <m/>
    <m/>
    <x v="12"/>
    <x v="2"/>
  </r>
  <r>
    <m/>
    <m/>
    <m/>
    <m/>
    <m/>
    <n v="681.82"/>
    <m/>
    <m/>
    <m/>
    <m/>
    <m/>
    <m/>
    <x v="12"/>
    <x v="2"/>
  </r>
  <r>
    <m/>
    <m/>
    <m/>
    <m/>
    <m/>
    <n v="6662.28"/>
    <m/>
    <m/>
    <m/>
    <m/>
    <m/>
    <m/>
    <x v="12"/>
    <x v="2"/>
  </r>
  <r>
    <m/>
    <m/>
    <m/>
    <m/>
    <m/>
    <n v="13693.92"/>
    <m/>
    <m/>
    <m/>
    <m/>
    <m/>
    <m/>
    <x v="12"/>
    <x v="2"/>
  </r>
  <r>
    <m/>
    <m/>
    <m/>
    <m/>
    <m/>
    <n v="4223.95"/>
    <m/>
    <m/>
    <m/>
    <m/>
    <m/>
    <m/>
    <x v="12"/>
    <x v="2"/>
  </r>
  <r>
    <m/>
    <m/>
    <m/>
    <m/>
    <m/>
    <n v="17879.099999999999"/>
    <m/>
    <m/>
    <m/>
    <m/>
    <m/>
    <m/>
    <x v="12"/>
    <x v="2"/>
  </r>
  <r>
    <m/>
    <m/>
    <m/>
    <m/>
    <m/>
    <n v="1889.82"/>
    <m/>
    <m/>
    <m/>
    <m/>
    <m/>
    <m/>
    <x v="12"/>
    <x v="2"/>
  </r>
  <r>
    <m/>
    <m/>
    <m/>
    <m/>
    <m/>
    <n v="549.12"/>
    <m/>
    <m/>
    <m/>
    <m/>
    <m/>
    <m/>
    <x v="12"/>
    <x v="2"/>
  </r>
  <r>
    <m/>
    <m/>
    <m/>
    <m/>
    <m/>
    <n v="18485.849999999999"/>
    <m/>
    <m/>
    <m/>
    <m/>
    <m/>
    <m/>
    <x v="12"/>
    <x v="2"/>
  </r>
  <r>
    <m/>
    <m/>
    <m/>
    <m/>
    <m/>
    <n v="2918.5"/>
    <m/>
    <m/>
    <m/>
    <m/>
    <m/>
    <m/>
    <x v="12"/>
    <x v="2"/>
  </r>
  <r>
    <m/>
    <m/>
    <m/>
    <m/>
    <m/>
    <n v="4032.9"/>
    <m/>
    <m/>
    <m/>
    <m/>
    <m/>
    <m/>
    <x v="12"/>
    <x v="2"/>
  </r>
  <r>
    <m/>
    <m/>
    <m/>
    <m/>
    <m/>
    <n v="1485"/>
    <m/>
    <m/>
    <m/>
    <m/>
    <m/>
    <m/>
    <x v="12"/>
    <x v="2"/>
  </r>
  <r>
    <m/>
    <m/>
    <m/>
    <m/>
    <m/>
    <n v="1080"/>
    <m/>
    <m/>
    <m/>
    <m/>
    <m/>
    <m/>
    <x v="12"/>
    <x v="2"/>
  </r>
  <r>
    <m/>
    <m/>
    <m/>
    <m/>
    <m/>
    <n v="336"/>
    <m/>
    <m/>
    <m/>
    <m/>
    <m/>
    <m/>
    <x v="12"/>
    <x v="2"/>
  </r>
  <r>
    <m/>
    <m/>
    <m/>
    <m/>
    <m/>
    <n v="120"/>
    <m/>
    <m/>
    <m/>
    <m/>
    <m/>
    <m/>
    <x v="12"/>
    <x v="2"/>
  </r>
  <r>
    <m/>
    <m/>
    <m/>
    <m/>
    <m/>
    <n v="1692.4"/>
    <m/>
    <m/>
    <m/>
    <m/>
    <m/>
    <m/>
    <x v="12"/>
    <x v="2"/>
  </r>
  <r>
    <m/>
    <m/>
    <m/>
    <m/>
    <m/>
    <n v="1284.8699999999999"/>
    <m/>
    <m/>
    <m/>
    <m/>
    <m/>
    <m/>
    <x v="12"/>
    <x v="2"/>
  </r>
  <r>
    <m/>
    <m/>
    <m/>
    <m/>
    <m/>
    <n v="23250"/>
    <m/>
    <m/>
    <m/>
    <m/>
    <m/>
    <m/>
    <x v="12"/>
    <x v="2"/>
  </r>
  <r>
    <m/>
    <m/>
    <m/>
    <m/>
    <m/>
    <n v="94.85"/>
    <m/>
    <m/>
    <m/>
    <m/>
    <m/>
    <m/>
    <x v="12"/>
    <x v="2"/>
  </r>
  <r>
    <m/>
    <m/>
    <m/>
    <m/>
    <m/>
    <n v="16355.79"/>
    <m/>
    <m/>
    <m/>
    <m/>
    <m/>
    <m/>
    <x v="12"/>
    <x v="2"/>
  </r>
  <r>
    <m/>
    <m/>
    <m/>
    <m/>
    <m/>
    <n v="580.28"/>
    <m/>
    <m/>
    <m/>
    <m/>
    <m/>
    <m/>
    <x v="12"/>
    <x v="2"/>
  </r>
  <r>
    <m/>
    <m/>
    <m/>
    <m/>
    <m/>
    <n v="13336.98"/>
    <m/>
    <m/>
    <m/>
    <m/>
    <m/>
    <m/>
    <x v="12"/>
    <x v="2"/>
  </r>
  <r>
    <m/>
    <m/>
    <m/>
    <m/>
    <m/>
    <n v="7444.61"/>
    <m/>
    <m/>
    <m/>
    <m/>
    <m/>
    <m/>
    <x v="12"/>
    <x v="2"/>
  </r>
  <r>
    <m/>
    <m/>
    <m/>
    <m/>
    <m/>
    <n v="315.56"/>
    <m/>
    <m/>
    <m/>
    <m/>
    <m/>
    <m/>
    <x v="12"/>
    <x v="2"/>
  </r>
  <r>
    <m/>
    <m/>
    <m/>
    <m/>
    <m/>
    <n v="13399"/>
    <m/>
    <m/>
    <m/>
    <m/>
    <m/>
    <m/>
    <x v="12"/>
    <x v="2"/>
  </r>
  <r>
    <m/>
    <m/>
    <m/>
    <m/>
    <m/>
    <n v="730"/>
    <m/>
    <m/>
    <m/>
    <m/>
    <m/>
    <m/>
    <x v="12"/>
    <x v="2"/>
  </r>
  <r>
    <m/>
    <m/>
    <m/>
    <m/>
    <m/>
    <n v="396.26"/>
    <m/>
    <m/>
    <m/>
    <m/>
    <m/>
    <m/>
    <x v="12"/>
    <x v="2"/>
  </r>
  <r>
    <m/>
    <m/>
    <m/>
    <m/>
    <m/>
    <n v="8561"/>
    <m/>
    <m/>
    <m/>
    <m/>
    <m/>
    <m/>
    <x v="12"/>
    <x v="2"/>
  </r>
  <r>
    <m/>
    <m/>
    <m/>
    <m/>
    <m/>
    <n v="528"/>
    <m/>
    <m/>
    <m/>
    <m/>
    <m/>
    <m/>
    <x v="12"/>
    <x v="2"/>
  </r>
  <r>
    <m/>
    <m/>
    <m/>
    <m/>
    <m/>
    <n v="869.33"/>
    <m/>
    <m/>
    <m/>
    <m/>
    <m/>
    <m/>
    <x v="12"/>
    <x v="2"/>
  </r>
  <r>
    <m/>
    <m/>
    <m/>
    <m/>
    <m/>
    <n v="374.44"/>
    <m/>
    <m/>
    <m/>
    <m/>
    <m/>
    <m/>
    <x v="12"/>
    <x v="2"/>
  </r>
  <r>
    <m/>
    <m/>
    <m/>
    <m/>
    <m/>
    <n v="25"/>
    <m/>
    <m/>
    <m/>
    <m/>
    <m/>
    <m/>
    <x v="12"/>
    <x v="2"/>
  </r>
  <r>
    <m/>
    <m/>
    <m/>
    <m/>
    <m/>
    <n v="2812"/>
    <m/>
    <m/>
    <m/>
    <m/>
    <m/>
    <m/>
    <x v="12"/>
    <x v="2"/>
  </r>
  <r>
    <m/>
    <m/>
    <m/>
    <m/>
    <m/>
    <n v="18"/>
    <m/>
    <m/>
    <m/>
    <m/>
    <m/>
    <m/>
    <x v="12"/>
    <x v="2"/>
  </r>
  <r>
    <m/>
    <m/>
    <m/>
    <m/>
    <m/>
    <n v="6479.23"/>
    <m/>
    <m/>
    <m/>
    <m/>
    <m/>
    <m/>
    <x v="12"/>
    <x v="2"/>
  </r>
  <r>
    <m/>
    <m/>
    <m/>
    <m/>
    <m/>
    <n v="867.19"/>
    <m/>
    <m/>
    <m/>
    <m/>
    <m/>
    <m/>
    <x v="12"/>
    <x v="2"/>
  </r>
  <r>
    <m/>
    <m/>
    <m/>
    <m/>
    <m/>
    <n v="548.5"/>
    <m/>
    <m/>
    <m/>
    <m/>
    <m/>
    <m/>
    <x v="12"/>
    <x v="2"/>
  </r>
  <r>
    <m/>
    <m/>
    <m/>
    <m/>
    <m/>
    <n v="1159.07"/>
    <m/>
    <m/>
    <m/>
    <m/>
    <m/>
    <m/>
    <x v="12"/>
    <x v="2"/>
  </r>
  <r>
    <m/>
    <m/>
    <m/>
    <m/>
    <m/>
    <n v="5747.88"/>
    <m/>
    <m/>
    <m/>
    <m/>
    <m/>
    <m/>
    <x v="12"/>
    <x v="2"/>
  </r>
  <r>
    <m/>
    <m/>
    <m/>
    <m/>
    <m/>
    <n v="105"/>
    <m/>
    <m/>
    <m/>
    <m/>
    <m/>
    <m/>
    <x v="12"/>
    <x v="2"/>
  </r>
  <r>
    <m/>
    <m/>
    <m/>
    <m/>
    <m/>
    <n v="1218.8499999999999"/>
    <m/>
    <m/>
    <m/>
    <m/>
    <m/>
    <m/>
    <x v="12"/>
    <x v="2"/>
  </r>
  <r>
    <m/>
    <m/>
    <m/>
    <m/>
    <m/>
    <n v="2124.1999999999998"/>
    <m/>
    <m/>
    <m/>
    <m/>
    <m/>
    <m/>
    <x v="12"/>
    <x v="2"/>
  </r>
  <r>
    <m/>
    <m/>
    <m/>
    <m/>
    <m/>
    <n v="1814.49"/>
    <m/>
    <m/>
    <m/>
    <m/>
    <m/>
    <m/>
    <x v="12"/>
    <x v="2"/>
  </r>
  <r>
    <m/>
    <m/>
    <m/>
    <m/>
    <m/>
    <n v="17483.16"/>
    <m/>
    <m/>
    <m/>
    <m/>
    <m/>
    <m/>
    <x v="12"/>
    <x v="2"/>
  </r>
  <r>
    <m/>
    <m/>
    <m/>
    <m/>
    <m/>
    <n v="1387.08"/>
    <m/>
    <m/>
    <m/>
    <m/>
    <m/>
    <m/>
    <x v="12"/>
    <x v="2"/>
  </r>
  <r>
    <m/>
    <m/>
    <m/>
    <m/>
    <m/>
    <n v="311.88"/>
    <m/>
    <m/>
    <m/>
    <m/>
    <m/>
    <m/>
    <x v="12"/>
    <x v="2"/>
  </r>
  <r>
    <m/>
    <m/>
    <m/>
    <m/>
    <m/>
    <n v="72"/>
    <m/>
    <m/>
    <m/>
    <m/>
    <m/>
    <m/>
    <x v="12"/>
    <x v="2"/>
  </r>
  <r>
    <m/>
    <m/>
    <m/>
    <m/>
    <m/>
    <n v="5728"/>
    <m/>
    <m/>
    <m/>
    <m/>
    <m/>
    <m/>
    <x v="12"/>
    <x v="2"/>
  </r>
  <r>
    <m/>
    <m/>
    <m/>
    <m/>
    <m/>
    <n v="5414.9"/>
    <m/>
    <m/>
    <m/>
    <m/>
    <m/>
    <m/>
    <x v="12"/>
    <x v="2"/>
  </r>
  <r>
    <m/>
    <m/>
    <m/>
    <m/>
    <m/>
    <n v="580"/>
    <m/>
    <m/>
    <m/>
    <m/>
    <m/>
    <m/>
    <x v="12"/>
    <x v="2"/>
  </r>
  <r>
    <m/>
    <m/>
    <m/>
    <m/>
    <m/>
    <n v="2630"/>
    <m/>
    <m/>
    <m/>
    <m/>
    <m/>
    <m/>
    <x v="12"/>
    <x v="2"/>
  </r>
  <r>
    <m/>
    <m/>
    <m/>
    <m/>
    <m/>
    <n v="909.62"/>
    <m/>
    <m/>
    <m/>
    <m/>
    <m/>
    <m/>
    <x v="12"/>
    <x v="2"/>
  </r>
  <r>
    <m/>
    <m/>
    <m/>
    <m/>
    <m/>
    <n v="6386.29"/>
    <m/>
    <m/>
    <m/>
    <m/>
    <m/>
    <m/>
    <x v="12"/>
    <x v="2"/>
  </r>
  <r>
    <m/>
    <m/>
    <m/>
    <m/>
    <m/>
    <n v="2561.39"/>
    <m/>
    <m/>
    <m/>
    <m/>
    <m/>
    <m/>
    <x v="12"/>
    <x v="2"/>
  </r>
  <r>
    <m/>
    <m/>
    <m/>
    <m/>
    <m/>
    <n v="73561.89"/>
    <m/>
    <m/>
    <m/>
    <m/>
    <m/>
    <m/>
    <x v="12"/>
    <x v="2"/>
  </r>
  <r>
    <m/>
    <m/>
    <m/>
    <m/>
    <m/>
    <n v="4675"/>
    <m/>
    <m/>
    <m/>
    <m/>
    <m/>
    <m/>
    <x v="12"/>
    <x v="2"/>
  </r>
  <r>
    <m/>
    <m/>
    <m/>
    <m/>
    <m/>
    <n v="72.239999999999995"/>
    <m/>
    <m/>
    <m/>
    <m/>
    <m/>
    <m/>
    <x v="12"/>
    <x v="2"/>
  </r>
  <r>
    <m/>
    <m/>
    <m/>
    <m/>
    <m/>
    <n v="176"/>
    <m/>
    <m/>
    <m/>
    <m/>
    <m/>
    <m/>
    <x v="12"/>
    <x v="2"/>
  </r>
  <r>
    <m/>
    <m/>
    <m/>
    <m/>
    <m/>
    <n v="729"/>
    <m/>
    <m/>
    <m/>
    <m/>
    <m/>
    <m/>
    <x v="12"/>
    <x v="2"/>
  </r>
  <r>
    <m/>
    <m/>
    <m/>
    <m/>
    <m/>
    <n v="2200"/>
    <m/>
    <m/>
    <m/>
    <m/>
    <m/>
    <m/>
    <x v="12"/>
    <x v="2"/>
  </r>
  <r>
    <m/>
    <m/>
    <m/>
    <m/>
    <m/>
    <n v="20360"/>
    <m/>
    <m/>
    <m/>
    <m/>
    <m/>
    <m/>
    <x v="12"/>
    <x v="2"/>
  </r>
  <r>
    <m/>
    <m/>
    <m/>
    <m/>
    <m/>
    <n v="1773"/>
    <m/>
    <m/>
    <m/>
    <m/>
    <m/>
    <m/>
    <x v="12"/>
    <x v="2"/>
  </r>
  <r>
    <m/>
    <m/>
    <m/>
    <m/>
    <m/>
    <n v="39607"/>
    <m/>
    <m/>
    <m/>
    <m/>
    <m/>
    <m/>
    <x v="12"/>
    <x v="2"/>
  </r>
  <r>
    <m/>
    <m/>
    <m/>
    <m/>
    <m/>
    <n v="654.91"/>
    <m/>
    <m/>
    <m/>
    <m/>
    <m/>
    <m/>
    <x v="12"/>
    <x v="2"/>
  </r>
  <r>
    <m/>
    <m/>
    <m/>
    <m/>
    <m/>
    <n v="619.57000000000005"/>
    <m/>
    <m/>
    <m/>
    <m/>
    <m/>
    <m/>
    <x v="12"/>
    <x v="2"/>
  </r>
  <r>
    <m/>
    <m/>
    <m/>
    <m/>
    <m/>
    <n v="3364.52"/>
    <m/>
    <m/>
    <m/>
    <m/>
    <m/>
    <m/>
    <x v="12"/>
    <x v="2"/>
  </r>
  <r>
    <m/>
    <m/>
    <m/>
    <m/>
    <m/>
    <n v="1666.15"/>
    <m/>
    <m/>
    <m/>
    <m/>
    <m/>
    <m/>
    <x v="12"/>
    <x v="2"/>
  </r>
  <r>
    <m/>
    <m/>
    <m/>
    <m/>
    <m/>
    <n v="19790.169999999998"/>
    <m/>
    <m/>
    <m/>
    <m/>
    <m/>
    <m/>
    <x v="12"/>
    <x v="2"/>
  </r>
  <r>
    <m/>
    <m/>
    <m/>
    <m/>
    <m/>
    <n v="303.04000000000002"/>
    <m/>
    <m/>
    <m/>
    <m/>
    <m/>
    <m/>
    <x v="12"/>
    <x v="2"/>
  </r>
  <r>
    <m/>
    <m/>
    <m/>
    <m/>
    <m/>
    <n v="1835.45"/>
    <m/>
    <m/>
    <m/>
    <m/>
    <m/>
    <m/>
    <x v="12"/>
    <x v="2"/>
  </r>
  <r>
    <m/>
    <m/>
    <m/>
    <m/>
    <m/>
    <n v="1189.6400000000001"/>
    <m/>
    <m/>
    <m/>
    <m/>
    <m/>
    <m/>
    <x v="12"/>
    <x v="2"/>
  </r>
  <r>
    <m/>
    <m/>
    <m/>
    <m/>
    <m/>
    <n v="1465.96"/>
    <m/>
    <m/>
    <m/>
    <m/>
    <m/>
    <m/>
    <x v="12"/>
    <x v="2"/>
  </r>
  <r>
    <m/>
    <m/>
    <m/>
    <m/>
    <m/>
    <n v="331.6"/>
    <m/>
    <m/>
    <m/>
    <m/>
    <m/>
    <m/>
    <x v="12"/>
    <x v="2"/>
  </r>
  <r>
    <m/>
    <m/>
    <m/>
    <m/>
    <m/>
    <n v="727.06"/>
    <m/>
    <m/>
    <m/>
    <m/>
    <m/>
    <m/>
    <x v="12"/>
    <x v="2"/>
  </r>
  <r>
    <m/>
    <m/>
    <m/>
    <m/>
    <m/>
    <n v="46"/>
    <m/>
    <m/>
    <m/>
    <m/>
    <m/>
    <m/>
    <x v="12"/>
    <x v="2"/>
  </r>
  <r>
    <m/>
    <m/>
    <m/>
    <m/>
    <m/>
    <n v="44"/>
    <m/>
    <m/>
    <m/>
    <m/>
    <m/>
    <m/>
    <x v="12"/>
    <x v="2"/>
  </r>
  <r>
    <m/>
    <m/>
    <m/>
    <m/>
    <m/>
    <n v="44"/>
    <m/>
    <m/>
    <m/>
    <m/>
    <m/>
    <m/>
    <x v="12"/>
    <x v="2"/>
  </r>
  <r>
    <m/>
    <m/>
    <m/>
    <m/>
    <m/>
    <n v="1602.34"/>
    <m/>
    <m/>
    <m/>
    <m/>
    <m/>
    <m/>
    <x v="12"/>
    <x v="2"/>
  </r>
  <r>
    <m/>
    <m/>
    <m/>
    <m/>
    <m/>
    <n v="502.84"/>
    <m/>
    <m/>
    <m/>
    <m/>
    <m/>
    <m/>
    <x v="12"/>
    <x v="2"/>
  </r>
  <r>
    <m/>
    <m/>
    <m/>
    <m/>
    <m/>
    <n v="867.18"/>
    <m/>
    <m/>
    <m/>
    <m/>
    <m/>
    <m/>
    <x v="12"/>
    <x v="2"/>
  </r>
  <r>
    <m/>
    <m/>
    <m/>
    <m/>
    <m/>
    <n v="15774"/>
    <m/>
    <m/>
    <m/>
    <m/>
    <m/>
    <m/>
    <x v="12"/>
    <x v="2"/>
  </r>
  <r>
    <m/>
    <m/>
    <m/>
    <m/>
    <m/>
    <n v="2318.21"/>
    <m/>
    <m/>
    <m/>
    <m/>
    <m/>
    <m/>
    <x v="12"/>
    <x v="2"/>
  </r>
  <r>
    <m/>
    <m/>
    <m/>
    <m/>
    <m/>
    <n v="1357.76"/>
    <m/>
    <m/>
    <m/>
    <m/>
    <m/>
    <m/>
    <x v="12"/>
    <x v="2"/>
  </r>
  <r>
    <m/>
    <m/>
    <m/>
    <m/>
    <m/>
    <n v="36613.24"/>
    <m/>
    <m/>
    <m/>
    <m/>
    <m/>
    <m/>
    <x v="12"/>
    <x v="2"/>
  </r>
  <r>
    <m/>
    <m/>
    <m/>
    <m/>
    <m/>
    <n v="25108"/>
    <m/>
    <m/>
    <m/>
    <m/>
    <m/>
    <m/>
    <x v="12"/>
    <x v="2"/>
  </r>
  <r>
    <m/>
    <m/>
    <m/>
    <m/>
    <m/>
    <n v="442.45"/>
    <m/>
    <m/>
    <m/>
    <m/>
    <m/>
    <m/>
    <x v="12"/>
    <x v="2"/>
  </r>
  <r>
    <m/>
    <m/>
    <m/>
    <m/>
    <m/>
    <n v="575.51"/>
    <m/>
    <m/>
    <m/>
    <m/>
    <m/>
    <m/>
    <x v="12"/>
    <x v="2"/>
  </r>
  <r>
    <m/>
    <m/>
    <m/>
    <m/>
    <m/>
    <n v="13183.22"/>
    <m/>
    <m/>
    <m/>
    <m/>
    <m/>
    <m/>
    <x v="12"/>
    <x v="2"/>
  </r>
  <r>
    <m/>
    <m/>
    <m/>
    <m/>
    <m/>
    <n v="962.48"/>
    <m/>
    <m/>
    <m/>
    <m/>
    <m/>
    <m/>
    <x v="12"/>
    <x v="2"/>
  </r>
  <r>
    <m/>
    <m/>
    <m/>
    <m/>
    <m/>
    <n v="1958.38"/>
    <m/>
    <m/>
    <m/>
    <m/>
    <m/>
    <m/>
    <x v="12"/>
    <x v="2"/>
  </r>
  <r>
    <m/>
    <m/>
    <m/>
    <m/>
    <m/>
    <n v="615.28"/>
    <m/>
    <m/>
    <m/>
    <m/>
    <m/>
    <m/>
    <x v="12"/>
    <x v="2"/>
  </r>
  <r>
    <m/>
    <m/>
    <m/>
    <m/>
    <m/>
    <n v="3391.36"/>
    <m/>
    <m/>
    <m/>
    <m/>
    <m/>
    <m/>
    <x v="12"/>
    <x v="2"/>
  </r>
  <r>
    <m/>
    <m/>
    <m/>
    <m/>
    <m/>
    <n v="198.68"/>
    <m/>
    <m/>
    <m/>
    <m/>
    <m/>
    <m/>
    <x v="12"/>
    <x v="2"/>
  </r>
  <r>
    <m/>
    <m/>
    <m/>
    <m/>
    <m/>
    <n v="3717.21"/>
    <m/>
    <m/>
    <m/>
    <m/>
    <m/>
    <m/>
    <x v="12"/>
    <x v="2"/>
  </r>
  <r>
    <m/>
    <m/>
    <m/>
    <m/>
    <m/>
    <n v="311.88"/>
    <m/>
    <m/>
    <m/>
    <m/>
    <m/>
    <m/>
    <x v="12"/>
    <x v="2"/>
  </r>
  <r>
    <m/>
    <m/>
    <m/>
    <m/>
    <m/>
    <n v="854.73"/>
    <m/>
    <m/>
    <m/>
    <m/>
    <m/>
    <m/>
    <x v="12"/>
    <x v="2"/>
  </r>
  <r>
    <m/>
    <m/>
    <m/>
    <m/>
    <m/>
    <n v="250.68"/>
    <m/>
    <m/>
    <m/>
    <m/>
    <m/>
    <m/>
    <x v="12"/>
    <x v="2"/>
  </r>
  <r>
    <m/>
    <m/>
    <m/>
    <m/>
    <m/>
    <n v="290.14"/>
    <m/>
    <m/>
    <m/>
    <m/>
    <m/>
    <m/>
    <x v="12"/>
    <x v="2"/>
  </r>
  <r>
    <m/>
    <m/>
    <m/>
    <m/>
    <m/>
    <n v="250.68"/>
    <m/>
    <m/>
    <m/>
    <m/>
    <m/>
    <m/>
    <x v="12"/>
    <x v="2"/>
  </r>
  <r>
    <m/>
    <m/>
    <m/>
    <m/>
    <m/>
    <n v="290.14"/>
    <m/>
    <m/>
    <m/>
    <m/>
    <m/>
    <m/>
    <x v="12"/>
    <x v="2"/>
  </r>
  <r>
    <m/>
    <m/>
    <m/>
    <m/>
    <m/>
    <n v="2900"/>
    <m/>
    <m/>
    <m/>
    <m/>
    <m/>
    <m/>
    <x v="12"/>
    <x v="2"/>
  </r>
  <r>
    <m/>
    <m/>
    <m/>
    <m/>
    <m/>
    <n v="9010"/>
    <m/>
    <m/>
    <m/>
    <m/>
    <m/>
    <m/>
    <x v="12"/>
    <x v="2"/>
  </r>
  <r>
    <m/>
    <m/>
    <m/>
    <m/>
    <m/>
    <n v="78"/>
    <m/>
    <m/>
    <m/>
    <m/>
    <m/>
    <m/>
    <x v="12"/>
    <x v="2"/>
  </r>
  <r>
    <m/>
    <m/>
    <m/>
    <m/>
    <m/>
    <n v="496.2"/>
    <m/>
    <m/>
    <m/>
    <m/>
    <m/>
    <m/>
    <x v="12"/>
    <x v="2"/>
  </r>
  <r>
    <m/>
    <m/>
    <m/>
    <m/>
    <m/>
    <n v="15273"/>
    <m/>
    <m/>
    <m/>
    <m/>
    <m/>
    <m/>
    <x v="12"/>
    <x v="2"/>
  </r>
  <r>
    <m/>
    <m/>
    <m/>
    <m/>
    <m/>
    <n v="1320"/>
    <m/>
    <m/>
    <m/>
    <m/>
    <m/>
    <m/>
    <x v="12"/>
    <x v="2"/>
  </r>
  <r>
    <m/>
    <m/>
    <m/>
    <m/>
    <m/>
    <n v="1702"/>
    <m/>
    <m/>
    <m/>
    <m/>
    <m/>
    <m/>
    <x v="12"/>
    <x v="2"/>
  </r>
  <r>
    <m/>
    <m/>
    <m/>
    <m/>
    <m/>
    <n v="1642"/>
    <m/>
    <m/>
    <m/>
    <m/>
    <m/>
    <m/>
    <x v="12"/>
    <x v="2"/>
  </r>
  <r>
    <m/>
    <m/>
    <m/>
    <m/>
    <m/>
    <n v="868.91"/>
    <m/>
    <m/>
    <m/>
    <m/>
    <m/>
    <m/>
    <x v="12"/>
    <x v="2"/>
  </r>
  <r>
    <m/>
    <m/>
    <m/>
    <m/>
    <m/>
    <n v="872"/>
    <m/>
    <m/>
    <m/>
    <m/>
    <m/>
    <m/>
    <x v="12"/>
    <x v="2"/>
  </r>
  <r>
    <m/>
    <m/>
    <m/>
    <m/>
    <m/>
    <n v="15155"/>
    <m/>
    <m/>
    <m/>
    <m/>
    <m/>
    <m/>
    <x v="12"/>
    <x v="2"/>
  </r>
  <r>
    <m/>
    <m/>
    <m/>
    <m/>
    <m/>
    <n v="3451.64"/>
    <m/>
    <m/>
    <m/>
    <m/>
    <m/>
    <m/>
    <x v="12"/>
    <x v="2"/>
  </r>
  <r>
    <m/>
    <m/>
    <m/>
    <m/>
    <m/>
    <n v="5715"/>
    <m/>
    <m/>
    <m/>
    <m/>
    <m/>
    <m/>
    <x v="12"/>
    <x v="2"/>
  </r>
  <r>
    <m/>
    <m/>
    <m/>
    <m/>
    <m/>
    <n v="2944.42"/>
    <m/>
    <m/>
    <m/>
    <m/>
    <m/>
    <m/>
    <x v="12"/>
    <x v="2"/>
  </r>
  <r>
    <m/>
    <m/>
    <m/>
    <m/>
    <m/>
    <n v="92.47"/>
    <m/>
    <m/>
    <m/>
    <m/>
    <m/>
    <m/>
    <x v="12"/>
    <x v="2"/>
  </r>
  <r>
    <m/>
    <m/>
    <m/>
    <m/>
    <m/>
    <n v="53.61"/>
    <m/>
    <m/>
    <m/>
    <m/>
    <m/>
    <m/>
    <x v="12"/>
    <x v="2"/>
  </r>
  <r>
    <m/>
    <m/>
    <m/>
    <m/>
    <m/>
    <n v="5702.37"/>
    <m/>
    <m/>
    <m/>
    <m/>
    <m/>
    <m/>
    <x v="12"/>
    <x v="2"/>
  </r>
  <r>
    <m/>
    <m/>
    <m/>
    <m/>
    <m/>
    <n v="5702.49"/>
    <m/>
    <m/>
    <m/>
    <m/>
    <m/>
    <m/>
    <x v="12"/>
    <x v="2"/>
  </r>
  <r>
    <m/>
    <m/>
    <m/>
    <m/>
    <m/>
    <n v="5702.49"/>
    <m/>
    <m/>
    <m/>
    <m/>
    <m/>
    <m/>
    <x v="12"/>
    <x v="2"/>
  </r>
  <r>
    <m/>
    <m/>
    <m/>
    <m/>
    <m/>
    <n v="378.33"/>
    <m/>
    <m/>
    <m/>
    <m/>
    <m/>
    <m/>
    <x v="12"/>
    <x v="2"/>
  </r>
  <r>
    <m/>
    <m/>
    <m/>
    <m/>
    <m/>
    <n v="6927"/>
    <m/>
    <m/>
    <m/>
    <m/>
    <m/>
    <m/>
    <x v="12"/>
    <x v="2"/>
  </r>
  <r>
    <m/>
    <m/>
    <m/>
    <m/>
    <m/>
    <n v="5176.1000000000004"/>
    <m/>
    <m/>
    <m/>
    <m/>
    <m/>
    <m/>
    <x v="12"/>
    <x v="2"/>
  </r>
  <r>
    <m/>
    <m/>
    <m/>
    <m/>
    <m/>
    <n v="416.02"/>
    <m/>
    <m/>
    <m/>
    <m/>
    <m/>
    <m/>
    <x v="12"/>
    <x v="2"/>
  </r>
  <r>
    <m/>
    <m/>
    <m/>
    <m/>
    <m/>
    <n v="494.56"/>
    <m/>
    <m/>
    <m/>
    <m/>
    <m/>
    <m/>
    <x v="12"/>
    <x v="2"/>
  </r>
  <r>
    <m/>
    <m/>
    <m/>
    <m/>
    <m/>
    <n v="2234.64"/>
    <m/>
    <m/>
    <m/>
    <m/>
    <m/>
    <m/>
    <x v="12"/>
    <x v="2"/>
  </r>
  <r>
    <m/>
    <m/>
    <m/>
    <m/>
    <m/>
    <n v="2358"/>
    <m/>
    <m/>
    <m/>
    <m/>
    <m/>
    <m/>
    <x v="12"/>
    <x v="2"/>
  </r>
  <r>
    <m/>
    <m/>
    <m/>
    <m/>
    <m/>
    <n v="580"/>
    <m/>
    <m/>
    <m/>
    <m/>
    <m/>
    <m/>
    <x v="12"/>
    <x v="2"/>
  </r>
  <r>
    <m/>
    <m/>
    <m/>
    <m/>
    <m/>
    <n v="87.55"/>
    <m/>
    <m/>
    <m/>
    <m/>
    <m/>
    <m/>
    <x v="12"/>
    <x v="2"/>
  </r>
  <r>
    <m/>
    <m/>
    <m/>
    <m/>
    <m/>
    <n v="653.41999999999996"/>
    <m/>
    <m/>
    <m/>
    <m/>
    <m/>
    <m/>
    <x v="12"/>
    <x v="2"/>
  </r>
  <r>
    <m/>
    <m/>
    <m/>
    <m/>
    <m/>
    <n v="166.79"/>
    <m/>
    <m/>
    <m/>
    <m/>
    <m/>
    <m/>
    <x v="12"/>
    <x v="2"/>
  </r>
  <r>
    <m/>
    <m/>
    <m/>
    <m/>
    <m/>
    <n v="6345.4"/>
    <m/>
    <m/>
    <m/>
    <m/>
    <m/>
    <m/>
    <x v="12"/>
    <x v="2"/>
  </r>
  <r>
    <m/>
    <m/>
    <m/>
    <m/>
    <m/>
    <n v="872.96"/>
    <m/>
    <m/>
    <m/>
    <m/>
    <m/>
    <m/>
    <x v="12"/>
    <x v="2"/>
  </r>
  <r>
    <m/>
    <m/>
    <m/>
    <m/>
    <m/>
    <n v="128"/>
    <m/>
    <m/>
    <m/>
    <m/>
    <m/>
    <m/>
    <x v="12"/>
    <x v="2"/>
  </r>
  <r>
    <m/>
    <m/>
    <m/>
    <m/>
    <m/>
    <n v="290.14"/>
    <m/>
    <m/>
    <m/>
    <m/>
    <m/>
    <m/>
    <x v="12"/>
    <x v="2"/>
  </r>
  <r>
    <m/>
    <m/>
    <m/>
    <m/>
    <m/>
    <n v="1752.78"/>
    <m/>
    <m/>
    <m/>
    <m/>
    <m/>
    <m/>
    <x v="12"/>
    <x v="2"/>
  </r>
  <r>
    <m/>
    <m/>
    <m/>
    <m/>
    <m/>
    <n v="6927"/>
    <m/>
    <m/>
    <m/>
    <m/>
    <m/>
    <m/>
    <x v="12"/>
    <x v="2"/>
  </r>
  <r>
    <m/>
    <m/>
    <m/>
    <m/>
    <m/>
    <n v="15"/>
    <m/>
    <m/>
    <m/>
    <m/>
    <m/>
    <m/>
    <x v="12"/>
    <x v="2"/>
  </r>
  <r>
    <m/>
    <m/>
    <m/>
    <m/>
    <m/>
    <n v="215"/>
    <m/>
    <m/>
    <m/>
    <m/>
    <m/>
    <m/>
    <x v="12"/>
    <x v="2"/>
  </r>
  <r>
    <m/>
    <m/>
    <m/>
    <m/>
    <m/>
    <n v="2967.08"/>
    <m/>
    <m/>
    <m/>
    <m/>
    <m/>
    <m/>
    <x v="12"/>
    <x v="2"/>
  </r>
  <r>
    <m/>
    <m/>
    <m/>
    <m/>
    <m/>
    <n v="2858.3"/>
    <m/>
    <m/>
    <m/>
    <m/>
    <m/>
    <m/>
    <x v="12"/>
    <x v="2"/>
  </r>
  <r>
    <m/>
    <m/>
    <m/>
    <m/>
    <m/>
    <n v="242.52"/>
    <m/>
    <m/>
    <m/>
    <m/>
    <m/>
    <m/>
    <x v="12"/>
    <x v="2"/>
  </r>
  <r>
    <m/>
    <m/>
    <m/>
    <m/>
    <m/>
    <n v="215"/>
    <m/>
    <m/>
    <m/>
    <m/>
    <m/>
    <m/>
    <x v="12"/>
    <x v="2"/>
  </r>
  <r>
    <m/>
    <m/>
    <m/>
    <m/>
    <m/>
    <n v="835.53"/>
    <m/>
    <m/>
    <m/>
    <m/>
    <m/>
    <m/>
    <x v="12"/>
    <x v="2"/>
  </r>
  <r>
    <m/>
    <m/>
    <m/>
    <m/>
    <m/>
    <n v="1075.5"/>
    <m/>
    <m/>
    <m/>
    <m/>
    <m/>
    <m/>
    <x v="12"/>
    <x v="2"/>
  </r>
  <r>
    <m/>
    <m/>
    <m/>
    <m/>
    <m/>
    <n v="1485.85"/>
    <m/>
    <m/>
    <m/>
    <m/>
    <m/>
    <m/>
    <x v="12"/>
    <x v="2"/>
  </r>
  <r>
    <m/>
    <m/>
    <m/>
    <m/>
    <m/>
    <n v="1098.56"/>
    <m/>
    <m/>
    <m/>
    <m/>
    <m/>
    <m/>
    <x v="12"/>
    <x v="2"/>
  </r>
  <r>
    <m/>
    <m/>
    <m/>
    <m/>
    <m/>
    <n v="3563.28"/>
    <m/>
    <m/>
    <m/>
    <m/>
    <m/>
    <m/>
    <x v="12"/>
    <x v="2"/>
  </r>
  <r>
    <m/>
    <m/>
    <m/>
    <m/>
    <m/>
    <n v="2200"/>
    <m/>
    <m/>
    <m/>
    <m/>
    <m/>
    <m/>
    <x v="12"/>
    <x v="2"/>
  </r>
  <r>
    <m/>
    <m/>
    <m/>
    <m/>
    <m/>
    <n v="-230.83"/>
    <m/>
    <m/>
    <m/>
    <m/>
    <m/>
    <m/>
    <x v="12"/>
    <x v="2"/>
  </r>
  <r>
    <m/>
    <m/>
    <m/>
    <m/>
    <m/>
    <n v="-718.21"/>
    <m/>
    <m/>
    <m/>
    <m/>
    <m/>
    <m/>
    <x v="12"/>
    <x v="2"/>
  </r>
  <r>
    <m/>
    <m/>
    <m/>
    <m/>
    <m/>
    <n v="2858.3"/>
    <m/>
    <m/>
    <m/>
    <m/>
    <m/>
    <m/>
    <x v="12"/>
    <x v="2"/>
  </r>
  <r>
    <m/>
    <m/>
    <m/>
    <m/>
    <m/>
    <n v="2342.08"/>
    <m/>
    <m/>
    <m/>
    <m/>
    <m/>
    <m/>
    <x v="12"/>
    <x v="2"/>
  </r>
  <r>
    <m/>
    <m/>
    <m/>
    <m/>
    <m/>
    <n v="599"/>
    <m/>
    <m/>
    <m/>
    <m/>
    <m/>
    <m/>
    <x v="12"/>
    <x v="2"/>
  </r>
  <r>
    <m/>
    <m/>
    <m/>
    <m/>
    <m/>
    <n v="-125"/>
    <m/>
    <m/>
    <m/>
    <m/>
    <m/>
    <m/>
    <x v="12"/>
    <x v="2"/>
  </r>
  <r>
    <m/>
    <m/>
    <m/>
    <m/>
    <m/>
    <n v="3234"/>
    <m/>
    <m/>
    <m/>
    <m/>
    <m/>
    <m/>
    <x v="12"/>
    <x v="2"/>
  </r>
  <r>
    <m/>
    <m/>
    <m/>
    <m/>
    <m/>
    <n v="6924.6"/>
    <m/>
    <m/>
    <m/>
    <m/>
    <m/>
    <m/>
    <x v="12"/>
    <x v="2"/>
  </r>
  <r>
    <m/>
    <m/>
    <m/>
    <m/>
    <m/>
    <n v="1863.8"/>
    <m/>
    <m/>
    <m/>
    <m/>
    <m/>
    <m/>
    <x v="12"/>
    <x v="2"/>
  </r>
  <r>
    <m/>
    <m/>
    <m/>
    <m/>
    <m/>
    <n v="1614.62"/>
    <m/>
    <m/>
    <m/>
    <m/>
    <m/>
    <m/>
    <x v="12"/>
    <x v="2"/>
  </r>
  <r>
    <m/>
    <m/>
    <m/>
    <m/>
    <m/>
    <n v="1806.42"/>
    <m/>
    <m/>
    <m/>
    <m/>
    <m/>
    <m/>
    <x v="12"/>
    <x v="2"/>
  </r>
  <r>
    <m/>
    <m/>
    <m/>
    <m/>
    <m/>
    <n v="1483.72"/>
    <m/>
    <m/>
    <m/>
    <m/>
    <m/>
    <m/>
    <x v="12"/>
    <x v="2"/>
  </r>
  <r>
    <m/>
    <m/>
    <m/>
    <m/>
    <m/>
    <n v="299.12"/>
    <m/>
    <m/>
    <m/>
    <m/>
    <m/>
    <m/>
    <x v="12"/>
    <x v="2"/>
  </r>
  <r>
    <m/>
    <m/>
    <m/>
    <m/>
    <m/>
    <n v="8.58"/>
    <m/>
    <m/>
    <m/>
    <m/>
    <m/>
    <m/>
    <x v="12"/>
    <x v="2"/>
  </r>
  <r>
    <m/>
    <m/>
    <m/>
    <m/>
    <m/>
    <n v="1028.79"/>
    <m/>
    <m/>
    <m/>
    <m/>
    <m/>
    <m/>
    <x v="12"/>
    <x v="2"/>
  </r>
  <r>
    <m/>
    <m/>
    <m/>
    <m/>
    <m/>
    <n v="17814"/>
    <m/>
    <m/>
    <m/>
    <m/>
    <m/>
    <m/>
    <x v="12"/>
    <x v="2"/>
  </r>
  <r>
    <m/>
    <m/>
    <m/>
    <m/>
    <m/>
    <n v="288"/>
    <m/>
    <m/>
    <m/>
    <m/>
    <m/>
    <m/>
    <x v="12"/>
    <x v="2"/>
  </r>
  <r>
    <m/>
    <m/>
    <m/>
    <m/>
    <m/>
    <n v="152.94"/>
    <m/>
    <m/>
    <m/>
    <m/>
    <m/>
    <m/>
    <x v="12"/>
    <x v="2"/>
  </r>
  <r>
    <m/>
    <m/>
    <m/>
    <m/>
    <m/>
    <n v="5857.63"/>
    <m/>
    <m/>
    <m/>
    <m/>
    <m/>
    <m/>
    <x v="12"/>
    <x v="2"/>
  </r>
  <r>
    <m/>
    <m/>
    <m/>
    <m/>
    <m/>
    <n v="6000.5"/>
    <m/>
    <m/>
    <m/>
    <m/>
    <m/>
    <m/>
    <x v="12"/>
    <x v="2"/>
  </r>
  <r>
    <m/>
    <m/>
    <m/>
    <m/>
    <m/>
    <n v="6000.5"/>
    <m/>
    <m/>
    <m/>
    <m/>
    <m/>
    <m/>
    <x v="12"/>
    <x v="2"/>
  </r>
  <r>
    <m/>
    <m/>
    <m/>
    <m/>
    <m/>
    <n v="985.79"/>
    <m/>
    <m/>
    <m/>
    <m/>
    <m/>
    <m/>
    <x v="12"/>
    <x v="2"/>
  </r>
  <r>
    <m/>
    <m/>
    <m/>
    <m/>
    <m/>
    <n v="75"/>
    <m/>
    <m/>
    <m/>
    <m/>
    <m/>
    <m/>
    <x v="12"/>
    <x v="2"/>
  </r>
  <r>
    <m/>
    <m/>
    <m/>
    <m/>
    <m/>
    <n v="5857.63"/>
    <m/>
    <m/>
    <m/>
    <m/>
    <m/>
    <m/>
    <x v="12"/>
    <x v="2"/>
  </r>
  <r>
    <m/>
    <m/>
    <m/>
    <m/>
    <m/>
    <n v="115.2"/>
    <m/>
    <m/>
    <m/>
    <m/>
    <m/>
    <m/>
    <x v="12"/>
    <x v="2"/>
  </r>
  <r>
    <m/>
    <m/>
    <m/>
    <m/>
    <m/>
    <n v="5467"/>
    <m/>
    <m/>
    <m/>
    <m/>
    <m/>
    <m/>
    <x v="12"/>
    <x v="2"/>
  </r>
  <r>
    <m/>
    <m/>
    <m/>
    <m/>
    <m/>
    <n v="1030.68"/>
    <m/>
    <m/>
    <m/>
    <m/>
    <m/>
    <m/>
    <x v="12"/>
    <x v="2"/>
  </r>
  <r>
    <m/>
    <m/>
    <m/>
    <m/>
    <m/>
    <n v="215"/>
    <m/>
    <m/>
    <m/>
    <m/>
    <m/>
    <m/>
    <x v="12"/>
    <x v="2"/>
  </r>
  <r>
    <m/>
    <m/>
    <m/>
    <m/>
    <m/>
    <n v="1701.1"/>
    <m/>
    <m/>
    <m/>
    <m/>
    <m/>
    <m/>
    <x v="12"/>
    <x v="2"/>
  </r>
  <r>
    <m/>
    <m/>
    <m/>
    <m/>
    <m/>
    <n v="-161.6"/>
    <m/>
    <m/>
    <m/>
    <m/>
    <m/>
    <m/>
    <x v="12"/>
    <x v="2"/>
  </r>
  <r>
    <m/>
    <m/>
    <m/>
    <m/>
    <m/>
    <n v="-599.04"/>
    <m/>
    <m/>
    <m/>
    <m/>
    <m/>
    <m/>
    <x v="12"/>
    <x v="2"/>
  </r>
  <r>
    <m/>
    <m/>
    <m/>
    <m/>
    <m/>
    <n v="-540.67999999999995"/>
    <m/>
    <m/>
    <m/>
    <m/>
    <m/>
    <m/>
    <x v="12"/>
    <x v="2"/>
  </r>
  <r>
    <m/>
    <m/>
    <m/>
    <m/>
    <m/>
    <n v="635.08000000000004"/>
    <m/>
    <m/>
    <m/>
    <m/>
    <m/>
    <m/>
    <x v="12"/>
    <x v="2"/>
  </r>
  <r>
    <m/>
    <m/>
    <m/>
    <m/>
    <m/>
    <n v="7770"/>
    <m/>
    <m/>
    <m/>
    <m/>
    <m/>
    <m/>
    <x v="12"/>
    <x v="2"/>
  </r>
  <r>
    <m/>
    <m/>
    <m/>
    <m/>
    <m/>
    <n v="6632"/>
    <m/>
    <m/>
    <m/>
    <m/>
    <m/>
    <m/>
    <x v="12"/>
    <x v="2"/>
  </r>
  <r>
    <m/>
    <m/>
    <m/>
    <m/>
    <m/>
    <n v="4525"/>
    <m/>
    <m/>
    <m/>
    <m/>
    <m/>
    <m/>
    <x v="12"/>
    <x v="2"/>
  </r>
  <r>
    <m/>
    <m/>
    <m/>
    <m/>
    <m/>
    <n v="1810"/>
    <m/>
    <m/>
    <m/>
    <m/>
    <m/>
    <m/>
    <x v="12"/>
    <x v="2"/>
  </r>
  <r>
    <m/>
    <m/>
    <m/>
    <m/>
    <m/>
    <n v="4013.03"/>
    <m/>
    <m/>
    <m/>
    <m/>
    <m/>
    <m/>
    <x v="12"/>
    <x v="2"/>
  </r>
  <r>
    <m/>
    <m/>
    <m/>
    <m/>
    <m/>
    <n v="182.6"/>
    <m/>
    <m/>
    <m/>
    <m/>
    <m/>
    <m/>
    <x v="12"/>
    <x v="2"/>
  </r>
  <r>
    <m/>
    <m/>
    <m/>
    <m/>
    <m/>
    <n v="1968.88"/>
    <m/>
    <m/>
    <m/>
    <m/>
    <m/>
    <m/>
    <x v="12"/>
    <x v="2"/>
  </r>
  <r>
    <m/>
    <m/>
    <m/>
    <m/>
    <m/>
    <n v="337.81"/>
    <m/>
    <m/>
    <m/>
    <m/>
    <m/>
    <m/>
    <x v="12"/>
    <x v="2"/>
  </r>
  <r>
    <m/>
    <m/>
    <m/>
    <m/>
    <m/>
    <n v="1310.84"/>
    <m/>
    <m/>
    <m/>
    <m/>
    <m/>
    <m/>
    <x v="12"/>
    <x v="2"/>
  </r>
  <r>
    <m/>
    <m/>
    <m/>
    <m/>
    <m/>
    <n v="201.53"/>
    <m/>
    <m/>
    <m/>
    <m/>
    <m/>
    <m/>
    <x v="12"/>
    <x v="2"/>
  </r>
  <r>
    <m/>
    <m/>
    <m/>
    <m/>
    <m/>
    <n v="20280"/>
    <m/>
    <m/>
    <m/>
    <m/>
    <m/>
    <m/>
    <x v="12"/>
    <x v="2"/>
  </r>
  <r>
    <m/>
    <m/>
    <m/>
    <m/>
    <m/>
    <n v="4135"/>
    <m/>
    <m/>
    <m/>
    <m/>
    <m/>
    <m/>
    <x v="12"/>
    <x v="2"/>
  </r>
  <r>
    <m/>
    <m/>
    <m/>
    <m/>
    <m/>
    <n v="718.47"/>
    <m/>
    <m/>
    <m/>
    <m/>
    <m/>
    <m/>
    <x v="12"/>
    <x v="2"/>
  </r>
  <r>
    <m/>
    <m/>
    <m/>
    <m/>
    <m/>
    <n v="2920.5"/>
    <m/>
    <m/>
    <m/>
    <m/>
    <m/>
    <m/>
    <x v="12"/>
    <x v="2"/>
  </r>
  <r>
    <m/>
    <m/>
    <m/>
    <m/>
    <m/>
    <n v="122"/>
    <m/>
    <m/>
    <m/>
    <m/>
    <m/>
    <m/>
    <x v="12"/>
    <x v="2"/>
  </r>
  <r>
    <m/>
    <m/>
    <m/>
    <m/>
    <m/>
    <n v="2564.6"/>
    <m/>
    <m/>
    <m/>
    <m/>
    <m/>
    <m/>
    <x v="12"/>
    <x v="2"/>
  </r>
  <r>
    <m/>
    <m/>
    <m/>
    <m/>
    <m/>
    <n v="19790.169999999998"/>
    <m/>
    <m/>
    <m/>
    <m/>
    <m/>
    <m/>
    <x v="12"/>
    <x v="2"/>
  </r>
  <r>
    <m/>
    <m/>
    <m/>
    <m/>
    <m/>
    <n v="34044"/>
    <m/>
    <m/>
    <m/>
    <m/>
    <m/>
    <m/>
    <x v="12"/>
    <x v="2"/>
  </r>
  <r>
    <m/>
    <m/>
    <m/>
    <m/>
    <m/>
    <n v="43739.09"/>
    <m/>
    <m/>
    <m/>
    <m/>
    <m/>
    <m/>
    <x v="12"/>
    <x v="2"/>
  </r>
  <r>
    <m/>
    <m/>
    <m/>
    <m/>
    <m/>
    <n v="6000.5"/>
    <m/>
    <m/>
    <m/>
    <m/>
    <m/>
    <m/>
    <x v="12"/>
    <x v="2"/>
  </r>
  <r>
    <m/>
    <m/>
    <m/>
    <m/>
    <m/>
    <n v="6000.5"/>
    <m/>
    <m/>
    <m/>
    <m/>
    <m/>
    <m/>
    <x v="12"/>
    <x v="2"/>
  </r>
  <r>
    <m/>
    <m/>
    <m/>
    <m/>
    <m/>
    <n v="6240.44"/>
    <m/>
    <m/>
    <m/>
    <m/>
    <m/>
    <m/>
    <x v="12"/>
    <x v="2"/>
  </r>
  <r>
    <m/>
    <m/>
    <m/>
    <m/>
    <m/>
    <n v="792"/>
    <m/>
    <m/>
    <m/>
    <m/>
    <m/>
    <m/>
    <x v="12"/>
    <x v="2"/>
  </r>
  <r>
    <m/>
    <m/>
    <m/>
    <m/>
    <m/>
    <n v="1579.36"/>
    <m/>
    <m/>
    <m/>
    <m/>
    <m/>
    <m/>
    <x v="12"/>
    <x v="2"/>
  </r>
  <r>
    <m/>
    <m/>
    <m/>
    <m/>
    <m/>
    <n v="254.8"/>
    <m/>
    <m/>
    <m/>
    <m/>
    <m/>
    <m/>
    <x v="12"/>
    <x v="2"/>
  </r>
  <r>
    <m/>
    <m/>
    <m/>
    <m/>
    <m/>
    <n v="250"/>
    <m/>
    <m/>
    <m/>
    <m/>
    <m/>
    <m/>
    <x v="12"/>
    <x v="2"/>
  </r>
  <r>
    <m/>
    <m/>
    <m/>
    <m/>
    <m/>
    <n v="999.9"/>
    <m/>
    <m/>
    <m/>
    <m/>
    <m/>
    <m/>
    <x v="12"/>
    <x v="2"/>
  </r>
  <r>
    <m/>
    <m/>
    <m/>
    <m/>
    <m/>
    <n v="617.25"/>
    <m/>
    <m/>
    <m/>
    <m/>
    <m/>
    <m/>
    <x v="12"/>
    <x v="2"/>
  </r>
  <r>
    <m/>
    <m/>
    <m/>
    <m/>
    <m/>
    <n v="1577177.32"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  <r>
    <m/>
    <m/>
    <m/>
    <m/>
    <m/>
    <m/>
    <m/>
    <m/>
    <m/>
    <m/>
    <m/>
    <m/>
    <x v="1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n v="1"/>
    <s v="USD"/>
    <n v="116549.72"/>
    <n v="100232.7592"/>
    <n v="116549.72"/>
    <n v="116549.72"/>
    <n v="100232.7592"/>
    <n v="116549.72"/>
    <n v="0"/>
    <n v="0"/>
    <d v="2025-12-18T00:00:00"/>
    <d v="2025-11-18T00:00:00"/>
    <x v="0"/>
    <x v="0"/>
    <m/>
    <m/>
    <n v="1"/>
    <s v="USD"/>
    <d v="2025-12-18T00:00:00"/>
    <m/>
  </r>
  <r>
    <n v="2"/>
    <s v="EUR"/>
    <n v="14793.67"/>
    <n v="14793.67"/>
    <n v="17160.657199999998"/>
    <n v="14793.67"/>
    <n v="14793.67"/>
    <n v="17160.657199999998"/>
    <n v="0"/>
    <n v="0"/>
    <d v="2025-04-19T00:00:00"/>
    <d v="2025-03-20T00:00:00"/>
    <x v="1"/>
    <x v="0"/>
    <m/>
    <m/>
    <n v="2"/>
    <s v="EUR"/>
    <d v="2025-04-19T00:00:00"/>
    <m/>
  </r>
  <r>
    <n v="3"/>
    <s v="EUR"/>
    <n v="1164"/>
    <n v="1164"/>
    <n v="1350.24"/>
    <n v="1164"/>
    <n v="1164"/>
    <n v="1350.24"/>
    <n v="0"/>
    <n v="0"/>
    <d v="2025-05-02T00:00:00"/>
    <d v="2025-04-02T00:00:00"/>
    <x v="2"/>
    <x v="0"/>
    <m/>
    <m/>
    <n v="3"/>
    <s v="EUR"/>
    <d v="2025-05-02T00:00:00"/>
    <m/>
  </r>
  <r>
    <n v="4"/>
    <s v="EUR"/>
    <n v="9663"/>
    <n v="9663"/>
    <n v="11209.08"/>
    <n v="9663"/>
    <n v="9663"/>
    <n v="11209.08"/>
    <n v="0"/>
    <n v="0"/>
    <d v="2025-07-18T00:00:00"/>
    <d v="2025-06-18T00:00:00"/>
    <x v="3"/>
    <x v="0"/>
    <m/>
    <m/>
    <n v="4"/>
    <s v="EUR"/>
    <d v="2025-07-18T00:00:00"/>
    <m/>
  </r>
  <r>
    <n v="5"/>
    <s v="EUR"/>
    <n v="1490.21"/>
    <n v="1490.21"/>
    <n v="1728.6435999999999"/>
    <n v="1490.21"/>
    <n v="1490.21"/>
    <n v="1728.6435999999999"/>
    <n v="0"/>
    <n v="0"/>
    <d v="2025-05-11T00:00:00"/>
    <d v="2025-04-11T00:00:00"/>
    <x v="2"/>
    <x v="0"/>
    <m/>
    <m/>
    <n v="5"/>
    <s v="EUR"/>
    <d v="2025-05-11T00:00:00"/>
    <m/>
  </r>
  <r>
    <n v="6"/>
    <s v="EUR"/>
    <n v="5280"/>
    <n v="5280"/>
    <n v="6124.7999999999993"/>
    <n v="5280"/>
    <n v="5280"/>
    <n v="6124.7999999999993"/>
    <n v="0"/>
    <n v="0"/>
    <d v="2025-05-01T00:00:00"/>
    <d v="2025-04-01T00:00:00"/>
    <x v="2"/>
    <x v="0"/>
    <m/>
    <m/>
    <n v="6"/>
    <s v="EUR"/>
    <d v="2025-05-01T00:00:00"/>
    <m/>
  </r>
  <r>
    <n v="7"/>
    <s v="USD"/>
    <n v="74562.81"/>
    <n v="74562.81"/>
    <n v="74562.81"/>
    <n v="74562.81"/>
    <n v="64124.016599999995"/>
    <n v="74562.81"/>
    <n v="0"/>
    <n v="0"/>
    <d v="2025-07-21T00:00:00"/>
    <d v="2025-06-21T00:00:00"/>
    <x v="3"/>
    <x v="0"/>
    <m/>
    <m/>
    <n v="7"/>
    <s v="USD"/>
    <d v="2025-07-21T00:00:00"/>
    <m/>
  </r>
  <r>
    <n v="8"/>
    <s v="EUR"/>
    <n v="12244"/>
    <n v="12244"/>
    <n v="14203.039999999999"/>
    <n v="12244"/>
    <n v="12244"/>
    <n v="14203.039999999999"/>
    <n v="0"/>
    <n v="0"/>
    <d v="2025-12-05T00:00:00"/>
    <d v="2025-11-05T00:00:00"/>
    <x v="0"/>
    <x v="0"/>
    <m/>
    <m/>
    <n v="8"/>
    <s v="EUR"/>
    <d v="2025-12-05T00:00:00"/>
    <m/>
  </r>
  <r>
    <n v="9"/>
    <s v="EUR"/>
    <n v="25100.01"/>
    <n v="25100.01"/>
    <n v="29116.011599999994"/>
    <n v="25100.01"/>
    <n v="25100.01"/>
    <n v="29116.011599999994"/>
    <n v="0"/>
    <n v="0"/>
    <d v="2025-08-20T00:00:00"/>
    <d v="2025-07-21T00:00:00"/>
    <x v="4"/>
    <x v="0"/>
    <m/>
    <m/>
    <n v="9"/>
    <s v="EUR"/>
    <d v="2025-08-20T00:00:00"/>
    <m/>
  </r>
  <r>
    <n v="10"/>
    <s v="EUR"/>
    <n v="426.46"/>
    <n v="426.46"/>
    <n v="494.69359999999995"/>
    <n v="426.46"/>
    <n v="426.46"/>
    <n v="494.69359999999995"/>
    <n v="0"/>
    <n v="0"/>
    <d v="2025-05-15T00:00:00"/>
    <d v="2025-04-15T00:00:00"/>
    <x v="2"/>
    <x v="0"/>
    <m/>
    <m/>
    <n v="10"/>
    <s v="EUR"/>
    <d v="2025-05-15T00:00:00"/>
    <m/>
  </r>
  <r>
    <n v="11"/>
    <s v="EUR"/>
    <n v="577.36"/>
    <n v="577.36"/>
    <n v="669.73759999999993"/>
    <n v="577.36"/>
    <n v="577.36"/>
    <n v="669.73759999999993"/>
    <n v="0"/>
    <n v="0"/>
    <d v="2025-05-28T00:00:00"/>
    <d v="2025-04-28T00:00:00"/>
    <x v="2"/>
    <x v="0"/>
    <m/>
    <m/>
    <n v="11"/>
    <s v="EUR"/>
    <d v="2025-05-28T00:00:00"/>
    <m/>
  </r>
  <r>
    <n v="12"/>
    <s v="EUR"/>
    <n v="6617.36"/>
    <n v="6617.36"/>
    <n v="7676.1375999999991"/>
    <n v="6617.36"/>
    <n v="6617.36"/>
    <n v="7676.1375999999991"/>
    <n v="0"/>
    <n v="0"/>
    <d v="2025-05-24T00:00:00"/>
    <d v="2025-04-24T00:00:00"/>
    <x v="2"/>
    <x v="0"/>
    <m/>
    <m/>
    <n v="12"/>
    <s v="EUR"/>
    <d v="2025-05-24T00:00:00"/>
    <m/>
  </r>
  <r>
    <n v="13"/>
    <s v="EUR"/>
    <n v="27952"/>
    <n v="27952"/>
    <n v="32424.319999999996"/>
    <n v="27952"/>
    <n v="27952"/>
    <n v="32424.319999999996"/>
    <n v="0"/>
    <n v="0"/>
    <d v="2025-07-22T00:00:00"/>
    <d v="2025-06-22T00:00:00"/>
    <x v="3"/>
    <x v="0"/>
    <m/>
    <m/>
    <n v="13"/>
    <s v="EUR"/>
    <d v="2025-07-22T00:00:00"/>
    <m/>
  </r>
  <r>
    <n v="14"/>
    <s v="EUR"/>
    <n v="427.8"/>
    <n v="427.8"/>
    <n v="496.24799999999999"/>
    <n v="427.8"/>
    <n v="427.8"/>
    <n v="496.24799999999999"/>
    <n v="0"/>
    <n v="0"/>
    <d v="2025-06-06T00:00:00"/>
    <d v="2025-05-07T00:00:00"/>
    <x v="5"/>
    <x v="0"/>
    <m/>
    <m/>
    <n v="14"/>
    <s v="EUR"/>
    <d v="2025-06-06T00:00:00"/>
    <m/>
  </r>
  <r>
    <n v="16"/>
    <s v="USD"/>
    <n v="236061.45"/>
    <n v="236061.45"/>
    <n v="236061.45"/>
    <n v="236061.45"/>
    <n v="203012.84700000001"/>
    <n v="236061.45"/>
    <n v="0"/>
    <n v="0"/>
    <d v="2025-06-22T00:00:00"/>
    <d v="2025-05-23T00:00:00"/>
    <x v="5"/>
    <x v="0"/>
    <m/>
    <m/>
    <n v="15"/>
    <s v="EUR"/>
    <d v="2025-07-05T00:00:00"/>
    <m/>
  </r>
  <r>
    <n v="17"/>
    <s v="EUR"/>
    <n v="27467"/>
    <n v="27467"/>
    <n v="31861.719999999998"/>
    <n v="27467"/>
    <n v="27467"/>
    <n v="31861.719999999998"/>
    <n v="0"/>
    <n v="0"/>
    <d v="2025-08-23T00:00:00"/>
    <d v="2025-07-24T00:00:00"/>
    <x v="4"/>
    <x v="0"/>
    <m/>
    <m/>
    <n v="16"/>
    <s v="USD"/>
    <d v="2025-06-22T00:00:00"/>
    <m/>
  </r>
  <r>
    <n v="19"/>
    <s v="EUR"/>
    <n v="28496.6"/>
    <n v="28496.6"/>
    <n v="33056.055999999997"/>
    <n v="28496.6"/>
    <n v="28496.6"/>
    <n v="33056.055999999997"/>
    <n v="0"/>
    <n v="0"/>
    <d v="2025-07-03T00:00:00"/>
    <d v="2025-06-03T00:00:00"/>
    <x v="3"/>
    <x v="0"/>
    <m/>
    <m/>
    <n v="17"/>
    <s v="EUR"/>
    <d v="2025-08-23T00:00:00"/>
    <m/>
  </r>
  <r>
    <n v="20"/>
    <s v="GPB"/>
    <n v="7014"/>
    <n v="7014"/>
    <n v="9398.76"/>
    <n v="7014"/>
    <n v="8066.0999999999995"/>
    <n v="9398.76"/>
    <n v="0"/>
    <n v="0"/>
    <d v="2025-06-25T00:00:00"/>
    <d v="2025-05-26T00:00:00"/>
    <x v="5"/>
    <x v="0"/>
    <m/>
    <m/>
    <n v="19"/>
    <s v="EUR"/>
    <d v="2025-07-03T00:00:00"/>
    <m/>
  </r>
  <r>
    <n v="21"/>
    <s v="EUR"/>
    <n v="43616.26"/>
    <n v="43616.26"/>
    <n v="50594.861599999997"/>
    <n v="43616.26"/>
    <n v="43616.26"/>
    <n v="50594.861599999997"/>
    <n v="0"/>
    <n v="0"/>
    <d v="2025-10-20T00:00:00"/>
    <d v="2025-09-20T00:00:00"/>
    <x v="6"/>
    <x v="0"/>
    <m/>
    <m/>
    <n v="20"/>
    <s v="GPB"/>
    <d v="2025-06-25T00:00:00"/>
    <m/>
  </r>
  <r>
    <n v="22"/>
    <s v="EUR"/>
    <n v="6222"/>
    <n v="6222"/>
    <n v="7217.5199999999995"/>
    <n v="6222"/>
    <n v="6222"/>
    <n v="7217.5199999999995"/>
    <n v="0"/>
    <n v="0"/>
    <d v="2025-07-27T00:00:00"/>
    <d v="2025-06-27T00:00:00"/>
    <x v="3"/>
    <x v="0"/>
    <m/>
    <m/>
    <n v="21"/>
    <s v="EUR"/>
    <d v="2025-10-20T00:00:00"/>
    <m/>
  </r>
  <r>
    <n v="23"/>
    <s v="EUR"/>
    <n v="32543.83"/>
    <n v="32543.83"/>
    <n v="37750.842799999999"/>
    <n v="32543.83"/>
    <n v="32543.83"/>
    <n v="37750.842799999999"/>
    <n v="0"/>
    <n v="0"/>
    <d v="2025-12-26T00:00:00"/>
    <d v="2025-11-26T00:00:00"/>
    <x v="0"/>
    <x v="0"/>
    <m/>
    <m/>
    <n v="22"/>
    <s v="EUR"/>
    <d v="2025-07-27T00:00:00"/>
    <m/>
  </r>
  <r>
    <n v="24"/>
    <s v="EUR"/>
    <n v="2400"/>
    <n v="2400"/>
    <n v="2784"/>
    <n v="2400"/>
    <n v="2400"/>
    <n v="2784"/>
    <n v="0"/>
    <n v="0"/>
    <d v="2025-09-02T00:00:00"/>
    <d v="2025-08-03T00:00:00"/>
    <x v="7"/>
    <x v="0"/>
    <m/>
    <m/>
    <n v="23"/>
    <s v="EUR"/>
    <d v="2025-12-26T00:00:00"/>
    <m/>
  </r>
  <r>
    <n v="25"/>
    <s v="EUR"/>
    <n v="2600"/>
    <n v="2600"/>
    <n v="3016"/>
    <n v="2600"/>
    <n v="2600"/>
    <n v="3016"/>
    <n v="0"/>
    <n v="0"/>
    <d v="2025-07-17T00:00:00"/>
    <d v="2025-06-17T00:00:00"/>
    <x v="3"/>
    <x v="0"/>
    <m/>
    <m/>
    <n v="24"/>
    <s v="EUR"/>
    <d v="2025-09-02T00:00:00"/>
    <m/>
  </r>
  <r>
    <n v="26"/>
    <s v="EUR"/>
    <n v="1536"/>
    <n v="1536"/>
    <n v="1781.7599999999998"/>
    <n v="1536"/>
    <n v="1536"/>
    <n v="1781.7599999999998"/>
    <n v="0"/>
    <n v="0"/>
    <d v="2025-07-20T00:00:00"/>
    <d v="2025-06-20T00:00:00"/>
    <x v="3"/>
    <x v="0"/>
    <m/>
    <m/>
    <n v="25"/>
    <s v="EUR"/>
    <d v="2025-07-17T00:00:00"/>
    <m/>
  </r>
  <r>
    <n v="27"/>
    <s v="EUR"/>
    <n v="45963"/>
    <n v="45963"/>
    <n v="53317.079999999994"/>
    <n v="45963"/>
    <n v="45963"/>
    <n v="53317.079999999994"/>
    <n v="0"/>
    <n v="0"/>
    <d v="2025-09-24T00:00:00"/>
    <d v="2025-08-25T00:00:00"/>
    <x v="7"/>
    <x v="0"/>
    <m/>
    <m/>
    <n v="26"/>
    <s v="EUR"/>
    <d v="2025-07-20T00:00:00"/>
    <m/>
  </r>
  <r>
    <n v="28"/>
    <s v="EUR"/>
    <n v="5240"/>
    <n v="5240"/>
    <n v="6078.4"/>
    <n v="5240"/>
    <n v="5240"/>
    <n v="6078.4"/>
    <n v="0"/>
    <n v="0"/>
    <d v="2025-09-13T00:00:00"/>
    <d v="2025-08-14T00:00:00"/>
    <x v="7"/>
    <x v="0"/>
    <m/>
    <m/>
    <n v="27"/>
    <s v="EUR"/>
    <d v="2025-09-24T00:00:00"/>
    <m/>
  </r>
  <r>
    <n v="29"/>
    <s v="EUR"/>
    <n v="197.41"/>
    <n v="197.41"/>
    <n v="228.99559999999997"/>
    <n v="197.41"/>
    <n v="197.41"/>
    <n v="228.99559999999997"/>
    <n v="0"/>
    <n v="0"/>
    <d v="2025-07-19T00:00:00"/>
    <d v="2025-06-19T00:00:00"/>
    <x v="3"/>
    <x v="0"/>
    <m/>
    <m/>
    <n v="28"/>
    <s v="EUR"/>
    <d v="2025-09-13T00:00:00"/>
    <m/>
  </r>
  <r>
    <n v="30"/>
    <s v="EUR"/>
    <n v="79848.350000000006"/>
    <n v="79848.350000000006"/>
    <n v="92624.085999999996"/>
    <n v="79848.350000000006"/>
    <n v="79848.350000000006"/>
    <n v="92624.085999999996"/>
    <n v="0"/>
    <n v="0"/>
    <d v="2025-12-26T00:00:00"/>
    <d v="2025-11-26T00:00:00"/>
    <x v="0"/>
    <x v="0"/>
    <m/>
    <m/>
    <n v="29"/>
    <s v="EUR"/>
    <d v="2025-07-19T00:00:00"/>
    <m/>
  </r>
  <r>
    <n v="32"/>
    <s v="EUR"/>
    <n v="4782.34"/>
    <n v="4782.34"/>
    <n v="5547.5144"/>
    <n v="4782.34"/>
    <n v="4782.34"/>
    <n v="5547.5144"/>
    <n v="0"/>
    <n v="0"/>
    <d v="2025-12-09T00:00:00"/>
    <d v="2025-11-09T00:00:00"/>
    <x v="0"/>
    <x v="0"/>
    <m/>
    <m/>
    <n v="30"/>
    <s v="EUR"/>
    <d v="2025-12-26T00:00:00"/>
    <m/>
  </r>
  <r>
    <n v="33"/>
    <s v="USD"/>
    <n v="4815"/>
    <n v="4815"/>
    <n v="4815"/>
    <n v="4815"/>
    <n v="4140.8999999999996"/>
    <n v="4815"/>
    <n v="0"/>
    <n v="0"/>
    <d v="2025-07-31T00:00:00"/>
    <d v="2025-07-01T00:00:00"/>
    <x v="4"/>
    <x v="0"/>
    <m/>
    <m/>
    <n v="31"/>
    <s v="EUR"/>
    <d v="2025-10-20T00:00:00"/>
    <m/>
  </r>
  <r>
    <n v="34"/>
    <s v="EUR"/>
    <n v="32815"/>
    <n v="32815"/>
    <n v="38065.399999999994"/>
    <n v="32815"/>
    <n v="32815"/>
    <n v="38065.399999999994"/>
    <n v="0"/>
    <n v="0"/>
    <d v="2026-01-15T00:00:00"/>
    <d v="2025-12-16T00:00:00"/>
    <x v="8"/>
    <x v="0"/>
    <m/>
    <m/>
    <n v="32"/>
    <s v="EUR"/>
    <d v="2025-12-09T00:00:00"/>
    <m/>
  </r>
  <r>
    <n v="36"/>
    <s v="EUR"/>
    <n v="6545.7"/>
    <n v="6545.7"/>
    <n v="7593.0119999999997"/>
    <n v="6545.7"/>
    <n v="6545.7"/>
    <n v="7593.0119999999997"/>
    <n v="0"/>
    <n v="0"/>
    <d v="2025-11-16T00:00:00"/>
    <d v="2025-10-17T00:00:00"/>
    <x v="9"/>
    <x v="0"/>
    <m/>
    <m/>
    <n v="33"/>
    <s v="USD"/>
    <d v="2025-07-31T00:00:00"/>
    <m/>
  </r>
  <r>
    <n v="37"/>
    <s v="USD"/>
    <n v="41960.51"/>
    <n v="41960.51"/>
    <n v="41960.51"/>
    <n v="41960.51"/>
    <n v="36086.0386"/>
    <n v="41960.51"/>
    <n v="0"/>
    <n v="0"/>
    <d v="2025-12-18T00:00:00"/>
    <d v="2025-11-18T00:00:00"/>
    <x v="0"/>
    <x v="0"/>
    <m/>
    <m/>
    <n v="34"/>
    <s v="EUR"/>
    <d v="2026-01-15T00:00:00"/>
    <m/>
  </r>
  <r>
    <n v="38"/>
    <s v="EUR"/>
    <n v="26488.92"/>
    <n v="26488.92"/>
    <n v="30727.147199999996"/>
    <n v="26488.92"/>
    <n v="26488.92"/>
    <n v="30727.147199999996"/>
    <n v="0"/>
    <n v="0"/>
    <d v="2025-10-16T00:00:00"/>
    <d v="2025-09-16T00:00:00"/>
    <x v="6"/>
    <x v="0"/>
    <m/>
    <m/>
    <n v="36"/>
    <s v="EUR"/>
    <d v="2025-11-16T00:00:00"/>
    <m/>
  </r>
  <r>
    <n v="41"/>
    <s v="EUR"/>
    <n v="24603.599999999999"/>
    <n v="24603.599999999999"/>
    <n v="28540.175999999996"/>
    <n v="24603.599999999999"/>
    <n v="24603.599999999999"/>
    <n v="28540.175999999996"/>
    <n v="0"/>
    <n v="0"/>
    <d v="2025-12-29T00:00:00"/>
    <d v="2025-11-29T00:00:00"/>
    <x v="0"/>
    <x v="0"/>
    <m/>
    <m/>
    <n v="37"/>
    <s v="USD"/>
    <d v="2025-12-18T00:00:00"/>
    <m/>
  </r>
  <r>
    <n v="42"/>
    <s v="EUR"/>
    <n v="22610"/>
    <n v="22610"/>
    <n v="26227.599999999999"/>
    <n v="22610"/>
    <n v="22610"/>
    <n v="26227.599999999999"/>
    <n v="0"/>
    <n v="0"/>
    <d v="2025-11-24T00:00:00"/>
    <d v="2025-10-25T00:00:00"/>
    <x v="9"/>
    <x v="0"/>
    <m/>
    <m/>
    <n v="38"/>
    <s v="EUR"/>
    <d v="2025-10-16T00:00:00"/>
    <m/>
  </r>
  <r>
    <n v="44"/>
    <s v="EUR"/>
    <n v="16059.77"/>
    <n v="16059.77"/>
    <n v="18629.333200000001"/>
    <n v="16059.77"/>
    <n v="16059.77"/>
    <n v="18629.333200000001"/>
    <n v="0"/>
    <n v="0"/>
    <d v="2026-06-14T00:00:00"/>
    <d v="2026-05-15T00:00:00"/>
    <x v="5"/>
    <x v="1"/>
    <m/>
    <m/>
    <n v="39"/>
    <s v="EUR"/>
    <d v="2025-10-27T00:00:00"/>
    <m/>
  </r>
  <r>
    <n v="45"/>
    <s v="EUR"/>
    <n v="13911.75"/>
    <n v="13911.75"/>
    <n v="16137.63"/>
    <n v="13911.75"/>
    <n v="13911.75"/>
    <n v="16137.63"/>
    <n v="0"/>
    <n v="0"/>
    <d v="2026-06-01T00:00:00"/>
    <d v="2026-05-02T00:00:00"/>
    <x v="5"/>
    <x v="1"/>
    <m/>
    <m/>
    <n v="40"/>
    <s v="EUR"/>
    <d v="2025-12-01T00:00:00"/>
    <m/>
  </r>
  <r>
    <n v="48"/>
    <s v="EUR"/>
    <n v="21909"/>
    <n v="21909"/>
    <n v="25414.44"/>
    <n v="21909"/>
    <n v="21909"/>
    <n v="25414.44"/>
    <n v="0"/>
    <n v="0"/>
    <d v="2025-12-29T00:00:00"/>
    <d v="2025-11-29T00:00:00"/>
    <x v="0"/>
    <x v="0"/>
    <m/>
    <m/>
    <n v="41"/>
    <s v="EUR"/>
    <d v="2025-12-29T00:00:00"/>
    <m/>
  </r>
  <r>
    <n v="52"/>
    <s v="EUR"/>
    <n v="99592.57"/>
    <n v="99592.57"/>
    <n v="115527.3812"/>
    <n v="99592.57"/>
    <n v="99592.57"/>
    <n v="115527.3812"/>
    <n v="0"/>
    <n v="0"/>
    <d v="2025-12-18T00:00:00"/>
    <d v="2025-11-18T00:00:00"/>
    <x v="0"/>
    <x v="0"/>
    <m/>
    <m/>
    <n v="42"/>
    <s v="EUR"/>
    <d v="2025-11-24T00:00:00"/>
    <m/>
  </r>
  <r>
    <n v="53"/>
    <s v="EUR"/>
    <n v="53982.33"/>
    <n v="53982.33"/>
    <n v="62619.502799999995"/>
    <n v="53982.33"/>
    <n v="53982.33"/>
    <n v="62619.502799999995"/>
    <n v="0"/>
    <n v="0"/>
    <d v="2025-12-25T00:00:00"/>
    <d v="2025-11-25T00:00:00"/>
    <x v="0"/>
    <x v="0"/>
    <m/>
    <m/>
    <n v="43"/>
    <s v="EUR"/>
    <d v="2025-11-10T00:00:00"/>
    <m/>
  </r>
  <r>
    <n v="54"/>
    <s v="EUR"/>
    <n v="19458.79"/>
    <n v="19458.79"/>
    <n v="22572.196400000001"/>
    <n v="19458.79"/>
    <n v="19458.79"/>
    <n v="22572.196400000001"/>
    <n v="0"/>
    <n v="0"/>
    <d v="2025-12-26T00:00:00"/>
    <d v="2025-11-26T00:00:00"/>
    <x v="0"/>
    <x v="0"/>
    <m/>
    <m/>
    <n v="44"/>
    <s v="EUR"/>
    <d v="2026-06-14T00:00:00"/>
    <m/>
  </r>
  <r>
    <n v="55"/>
    <s v="EUR"/>
    <n v="528"/>
    <n v="607.19999999999993"/>
    <n v="612.4799999999999"/>
    <n v="528"/>
    <n v="528"/>
    <n v="612.4799999999999"/>
    <n v="0"/>
    <n v="0"/>
    <d v="2025-10-29T00:00:00"/>
    <d v="2025-09-29T00:00:00"/>
    <x v="6"/>
    <x v="0"/>
    <m/>
    <m/>
    <n v="45"/>
    <s v="EUR"/>
    <d v="2026-06-01T00:00:00"/>
    <m/>
  </r>
  <r>
    <n v="56"/>
    <s v="EUR"/>
    <n v="26253"/>
    <n v="22577.579999999998"/>
    <n v="30453.48"/>
    <n v="26253"/>
    <n v="26253"/>
    <n v="30453.48"/>
    <n v="0"/>
    <n v="0"/>
    <d v="2025-11-14T00:00:00"/>
    <d v="2025-10-15T00:00:00"/>
    <x v="9"/>
    <x v="0"/>
    <m/>
    <m/>
    <n v="46"/>
    <s v="EUR"/>
    <d v="2025-10-10T00:00:00"/>
    <m/>
  </r>
  <r>
    <n v="57"/>
    <s v="EUR"/>
    <n v="9331.23"/>
    <n v="8024.8577999999998"/>
    <n v="10824.226799999999"/>
    <n v="9331.23"/>
    <n v="9331.23"/>
    <n v="10824.226799999999"/>
    <n v="0"/>
    <n v="0"/>
    <d v="2026-09-20T00:00:00"/>
    <d v="2026-08-21T00:00:00"/>
    <x v="7"/>
    <x v="1"/>
    <m/>
    <m/>
    <n v="47"/>
    <s v="EUR"/>
    <d v="2025-11-07T00:00:00"/>
    <m/>
  </r>
  <r>
    <n v="58"/>
    <s v="EUR"/>
    <n v="533.6"/>
    <n v="458.89600000000002"/>
    <n v="618.976"/>
    <n v="533.6"/>
    <n v="533.6"/>
    <n v="618.976"/>
    <n v="0"/>
    <n v="0"/>
    <d v="2025-11-07T00:00:00"/>
    <d v="2025-10-08T00:00:00"/>
    <x v="9"/>
    <x v="0"/>
    <m/>
    <m/>
    <n v="48"/>
    <s v="EUR"/>
    <d v="2025-12-29T00:00:00"/>
    <m/>
  </r>
  <r>
    <n v="59"/>
    <s v="EUR"/>
    <n v="156765.9"/>
    <n v="134818.674"/>
    <n v="181848.44399999999"/>
    <n v="156765.9"/>
    <n v="156765.9"/>
    <n v="181848.44399999999"/>
    <n v="0"/>
    <n v="0"/>
    <d v="2026-03-25T00:00:00"/>
    <d v="2026-02-23T00:00:00"/>
    <x v="10"/>
    <x v="1"/>
    <m/>
    <m/>
    <n v="49"/>
    <s v="EUR"/>
    <d v="2025-11-07T00:00:00"/>
    <m/>
  </r>
  <r>
    <n v="60"/>
    <s v="EUR"/>
    <n v="6433.83"/>
    <n v="5533.0937999999996"/>
    <n v="7463.2427999999991"/>
    <n v="6433.83"/>
    <n v="6433.83"/>
    <n v="7463.2427999999991"/>
    <n v="0"/>
    <n v="0"/>
    <d v="2025-12-01T00:00:00"/>
    <d v="2025-11-01T00:00:00"/>
    <x v="0"/>
    <x v="0"/>
    <m/>
    <m/>
    <n v="51"/>
    <s v="EUR"/>
    <d v="2025-10-11T00:00:00"/>
    <m/>
  </r>
  <r>
    <n v="61"/>
    <s v="EUR"/>
    <n v="3820.1"/>
    <n v="3285.2860000000001"/>
    <n v="4431.3159999999998"/>
    <n v="3820.1"/>
    <n v="3820.1"/>
    <n v="4431.3159999999998"/>
    <n v="0"/>
    <n v="0"/>
    <d v="2025-11-19T00:00:00"/>
    <d v="2025-10-20T00:00:00"/>
    <x v="9"/>
    <x v="0"/>
    <m/>
    <m/>
    <n v="52"/>
    <s v="EUR"/>
    <d v="2025-12-18T00:00:00"/>
    <m/>
  </r>
  <r>
    <n v="62"/>
    <s v="EUR"/>
    <n v="12109.47"/>
    <n v="10414.144199999999"/>
    <n v="14046.985199999999"/>
    <n v="12109.47"/>
    <n v="12109.47"/>
    <n v="14046.985199999999"/>
    <n v="0"/>
    <n v="0"/>
    <d v="2026-07-13T00:00:00"/>
    <d v="2026-06-13T00:00:00"/>
    <x v="3"/>
    <x v="1"/>
    <m/>
    <m/>
    <n v="53"/>
    <s v="EUR"/>
    <d v="2025-12-25T00:00:00"/>
    <m/>
  </r>
  <r>
    <n v="63"/>
    <s v="EUR"/>
    <n v="1164"/>
    <n v="1001.04"/>
    <n v="1350.24"/>
    <n v="1164"/>
    <n v="1164"/>
    <n v="1350.24"/>
    <n v="0"/>
    <n v="0"/>
    <d v="2025-12-09T00:00:00"/>
    <d v="2025-11-09T00:00:00"/>
    <x v="0"/>
    <x v="0"/>
    <m/>
    <m/>
    <n v="54"/>
    <s v="EUR"/>
    <d v="2025-12-26T00:00:00"/>
    <m/>
  </r>
  <r>
    <n v="64"/>
    <s v="EUR"/>
    <n v="1034.6099999999999"/>
    <n v="889.76459999999986"/>
    <n v="1200.1475999999998"/>
    <n v="1034.6099999999999"/>
    <n v="1034.6099999999999"/>
    <n v="1200.1475999999998"/>
    <n v="0"/>
    <n v="0"/>
    <d v="2025-11-18T00:00:00"/>
    <d v="2025-10-19T00:00:00"/>
    <x v="9"/>
    <x v="0"/>
    <m/>
    <m/>
    <n v="55"/>
    <s v="EUR"/>
    <d v="2025-10-29T00:00:00"/>
    <m/>
  </r>
  <r>
    <n v="65"/>
    <s v="EUR"/>
    <n v="1907.5"/>
    <n v="1640.45"/>
    <n v="2212.6999999999998"/>
    <n v="1907.5"/>
    <n v="1907.5"/>
    <n v="2212.6999999999998"/>
    <n v="0"/>
    <n v="0"/>
    <d v="2025-12-19T00:00:00"/>
    <d v="2025-11-19T00:00:00"/>
    <x v="0"/>
    <x v="0"/>
    <m/>
    <m/>
    <n v="56"/>
    <s v="EUR"/>
    <d v="2025-11-14T00:00:00"/>
    <m/>
  </r>
  <r>
    <n v="66"/>
    <s v="EUR"/>
    <n v="21819.08"/>
    <n v="18764.408800000001"/>
    <n v="25310.132799999999"/>
    <n v="21819.08"/>
    <n v="21819.08"/>
    <n v="25310.132799999999"/>
    <n v="0"/>
    <n v="0"/>
    <d v="2025-12-26T00:00:00"/>
    <d v="2025-11-26T00:00:00"/>
    <x v="0"/>
    <x v="0"/>
    <m/>
    <m/>
    <n v="57"/>
    <s v="EUR"/>
    <d v="2026-09-20T00:00:00"/>
    <m/>
  </r>
  <r>
    <n v="67"/>
    <s v="EUR"/>
    <n v="12439.34"/>
    <n v="10697.832399999999"/>
    <n v="14429.634399999999"/>
    <n v="12439.34"/>
    <n v="12439.34"/>
    <n v="14429.634399999999"/>
    <n v="0"/>
    <n v="0"/>
    <d v="2026-02-21T00:00:00"/>
    <d v="2026-01-22T00:00:00"/>
    <x v="11"/>
    <x v="1"/>
    <m/>
    <m/>
    <n v="58"/>
    <s v="EUR"/>
    <d v="2025-11-07T00:00:00"/>
    <m/>
  </r>
  <r>
    <n v="69"/>
    <s v="EUR"/>
    <n v="6855"/>
    <n v="5895.3"/>
    <n v="7951.7999999999993"/>
    <n v="6855"/>
    <n v="6855"/>
    <n v="7951.7999999999993"/>
    <n v="0"/>
    <n v="0"/>
    <d v="2026-01-01T00:00:00"/>
    <d v="2025-12-02T00:00:00"/>
    <x v="8"/>
    <x v="0"/>
    <m/>
    <m/>
    <n v="59"/>
    <s v="EUR"/>
    <d v="2026-03-25T00:00:00"/>
    <m/>
  </r>
  <r>
    <n v="70"/>
    <s v="EUR"/>
    <n v="14546.28"/>
    <n v="12509.800800000001"/>
    <n v="16873.684799999999"/>
    <n v="14546.28"/>
    <n v="14546.28"/>
    <n v="16873.684799999999"/>
    <n v="0"/>
    <n v="0"/>
    <d v="2026-06-21T00:00:00"/>
    <d v="2026-05-22T00:00:00"/>
    <x v="5"/>
    <x v="1"/>
    <m/>
    <m/>
    <n v="60"/>
    <s v="EUR"/>
    <d v="2025-12-01T00:00:00"/>
    <m/>
  </r>
  <r>
    <n v="71"/>
    <s v="EUR"/>
    <n v="3978"/>
    <n v="3421.08"/>
    <n v="4614.4799999999996"/>
    <n v="3978"/>
    <n v="3978"/>
    <n v="4614.4799999999996"/>
    <n v="0"/>
    <n v="0"/>
    <d v="2026-01-08T00:00:00"/>
    <d v="2025-12-09T00:00:00"/>
    <x v="8"/>
    <x v="0"/>
    <m/>
    <m/>
    <n v="61"/>
    <s v="EUR"/>
    <d v="2025-11-19T00:00:00"/>
    <m/>
  </r>
  <r>
    <n v="72"/>
    <s v="EUR"/>
    <n v="2200"/>
    <n v="1892"/>
    <n v="2552"/>
    <n v="2200"/>
    <n v="2200"/>
    <n v="2552"/>
    <n v="0"/>
    <n v="0"/>
    <d v="2026-06-13T00:00:00"/>
    <d v="2026-05-14T00:00:00"/>
    <x v="5"/>
    <x v="1"/>
    <m/>
    <m/>
    <n v="62"/>
    <s v="EUR"/>
    <d v="2026-07-13T00:00:00"/>
    <m/>
  </r>
  <r>
    <n v="73"/>
    <s v="EUR"/>
    <n v="9302.02"/>
    <n v="7999.7372000000005"/>
    <n v="10790.343199999999"/>
    <n v="9302.02"/>
    <n v="9302.02"/>
    <n v="10790.343199999999"/>
    <n v="0"/>
    <n v="0"/>
    <d v="2026-07-27T00:00:00"/>
    <d v="2026-06-27T00:00:00"/>
    <x v="3"/>
    <x v="1"/>
    <m/>
    <m/>
    <n v="63"/>
    <s v="EUR"/>
    <d v="2025-12-09T00:00:00"/>
    <m/>
  </r>
  <r>
    <n v="75"/>
    <s v="EUR"/>
    <n v="1773"/>
    <n v="1524.78"/>
    <n v="2056.6799999999998"/>
    <n v="1773"/>
    <n v="1773"/>
    <n v="2056.6799999999998"/>
    <n v="0"/>
    <n v="0"/>
    <d v="2026-04-09T00:00:00"/>
    <d v="2026-03-10T00:00:00"/>
    <x v="1"/>
    <x v="1"/>
    <m/>
    <m/>
    <n v="64"/>
    <s v="EUR"/>
    <d v="2025-11-18T00:00:00"/>
    <m/>
  </r>
  <r>
    <n v="76"/>
    <s v="EUR"/>
    <n v="7401.4"/>
    <n v="6365.2039999999997"/>
    <n v="8585.6239999999998"/>
    <n v="7401.4"/>
    <n v="7401.4"/>
    <n v="8585.6239999999998"/>
    <n v="0"/>
    <n v="0"/>
    <d v="2026-01-14T00:00:00"/>
    <d v="2025-12-15T00:00:00"/>
    <x v="8"/>
    <x v="0"/>
    <m/>
    <m/>
    <n v="65"/>
    <s v="EUR"/>
    <d v="2025-12-19T00:00:00"/>
    <m/>
  </r>
  <r>
    <n v="78"/>
    <s v="EUR"/>
    <n v="54629"/>
    <n v="46980.94"/>
    <n v="63369.639999999992"/>
    <n v="54629"/>
    <n v="54629"/>
    <n v="63369.639999999992"/>
    <n v="0"/>
    <n v="0"/>
    <d v="2026-05-28T00:00:00"/>
    <d v="2026-04-28T00:00:00"/>
    <x v="2"/>
    <x v="1"/>
    <m/>
    <m/>
    <n v="66"/>
    <s v="EUR"/>
    <d v="2025-12-26T00:00:00"/>
    <m/>
  </r>
  <r>
    <n v="79"/>
    <s v="EUR"/>
    <n v="27211"/>
    <n v="23401.46"/>
    <n v="31564.76"/>
    <n v="27211"/>
    <n v="27211"/>
    <n v="31564.76"/>
    <n v="0"/>
    <n v="0"/>
    <d v="2025-12-31T00:00:00"/>
    <d v="2025-12-01T00:00:00"/>
    <x v="8"/>
    <x v="0"/>
    <m/>
    <m/>
    <n v="67"/>
    <s v="EUR"/>
    <d v="2026-02-21T00:00:00"/>
    <m/>
  </r>
  <r>
    <n v="80"/>
    <s v="EUR"/>
    <n v="5705"/>
    <n v="4906.3"/>
    <n v="6617.7999999999993"/>
    <n v="5705"/>
    <n v="5705"/>
    <n v="6617.7999999999993"/>
    <n v="0"/>
    <n v="0"/>
    <d v="2026-01-11T00:00:00"/>
    <d v="2025-12-12T00:00:00"/>
    <x v="8"/>
    <x v="0"/>
    <m/>
    <m/>
    <n v="68"/>
    <s v="EUR"/>
    <d v="2025-11-21T00:00:00"/>
    <m/>
  </r>
  <r>
    <n v="81"/>
    <s v="EUR"/>
    <n v="7000"/>
    <n v="6020"/>
    <n v="8119.9999999999991"/>
    <n v="7000"/>
    <n v="7000"/>
    <n v="8119.9999999999991"/>
    <n v="0"/>
    <n v="0"/>
    <d v="2026-04-19T00:00:00"/>
    <d v="2026-03-20T00:00:00"/>
    <x v="1"/>
    <x v="1"/>
    <m/>
    <m/>
    <n v="69"/>
    <s v="EUR"/>
    <d v="2026-01-01T00:00:00"/>
    <m/>
  </r>
  <r>
    <n v="86"/>
    <s v="EUR"/>
    <n v="6577"/>
    <n v="5656.22"/>
    <n v="7629.32"/>
    <n v="6577"/>
    <n v="6577"/>
    <n v="7629.32"/>
    <n v="0"/>
    <n v="0"/>
    <d v="2026-02-08T00:00:00"/>
    <d v="2026-01-09T00:00:00"/>
    <x v="11"/>
    <x v="1"/>
    <m/>
    <m/>
    <n v="70"/>
    <s v="EUR"/>
    <d v="2026-06-21T00:00:00"/>
    <m/>
  </r>
  <r>
    <n v="87"/>
    <s v="EUR"/>
    <n v="10495.25"/>
    <n v="9025.9149999999991"/>
    <n v="12174.49"/>
    <n v="10495.25"/>
    <n v="10495.25"/>
    <n v="12174.49"/>
    <n v="0"/>
    <n v="0"/>
    <d v="2026-01-11T00:00:00"/>
    <d v="2025-12-12T00:00:00"/>
    <x v="8"/>
    <x v="0"/>
    <m/>
    <m/>
    <n v="71"/>
    <s v="EUR"/>
    <d v="2026-01-08T00:00:00"/>
    <m/>
  </r>
  <r>
    <n v="88"/>
    <s v="EUR"/>
    <n v="3842.2"/>
    <n v="3304.2919999999999"/>
    <n v="4456.9519999999993"/>
    <n v="3842.2"/>
    <n v="3842.2"/>
    <n v="4456.9519999999993"/>
    <n v="0"/>
    <n v="0"/>
    <d v="2026-09-20T00:00:00"/>
    <d v="2026-08-21T00:00:00"/>
    <x v="7"/>
    <x v="1"/>
    <m/>
    <m/>
    <n v="72"/>
    <s v="EUR"/>
    <d v="2026-06-13T00:00:00"/>
    <m/>
  </r>
  <r>
    <n v="89"/>
    <s v="EUR"/>
    <n v="1116"/>
    <n v="959.76"/>
    <n v="1294.56"/>
    <n v="1116"/>
    <n v="1116"/>
    <n v="1294.56"/>
    <n v="0"/>
    <n v="0"/>
    <d v="2026-09-23T00:00:00"/>
    <d v="2026-08-24T00:00:00"/>
    <x v="7"/>
    <x v="1"/>
    <m/>
    <m/>
    <n v="73"/>
    <s v="EUR"/>
    <d v="2026-07-27T00:00:00"/>
    <m/>
  </r>
  <r>
    <n v="91"/>
    <s v="EUR"/>
    <n v="3209.6"/>
    <n v="2760.2559999999999"/>
    <n v="3723.1359999999995"/>
    <n v="3209.6"/>
    <n v="3209.6"/>
    <n v="3723.1359999999995"/>
    <n v="0"/>
    <n v="0"/>
    <d v="2026-02-19T00:00:00"/>
    <d v="2026-01-20T00:00:00"/>
    <x v="11"/>
    <x v="1"/>
    <m/>
    <m/>
    <n v="75"/>
    <s v="EUR"/>
    <d v="2026-04-09T00:00:00"/>
    <m/>
  </r>
  <r>
    <n v="92"/>
    <s v="EUR"/>
    <n v="918"/>
    <n v="789.48"/>
    <n v="1064.8799999999999"/>
    <n v="918"/>
    <n v="918"/>
    <n v="1064.8799999999999"/>
    <n v="0"/>
    <n v="0"/>
    <d v="2026-02-06T00:00:00"/>
    <d v="2026-01-07T00:00:00"/>
    <x v="11"/>
    <x v="1"/>
    <m/>
    <m/>
    <n v="76"/>
    <s v="EUR"/>
    <d v="2026-01-14T00:00:00"/>
    <m/>
  </r>
  <r>
    <n v="93"/>
    <s v="EUR"/>
    <n v="10000"/>
    <n v="8600"/>
    <n v="11600"/>
    <n v="10000"/>
    <n v="10000"/>
    <n v="11600"/>
    <n v="0"/>
    <n v="0"/>
    <d v="2026-07-13T00:00:00"/>
    <d v="2026-06-13T00:00:00"/>
    <x v="3"/>
    <x v="1"/>
    <m/>
    <m/>
    <n v="77"/>
    <s v="EUR"/>
    <d v="2026-02-03T00:00:00"/>
    <m/>
  </r>
  <r>
    <n v="95"/>
    <s v="EUR"/>
    <n v="985.79"/>
    <n v="847.77940000000001"/>
    <n v="1143.5164"/>
    <n v="985.79"/>
    <n v="985.79"/>
    <n v="1143.5164"/>
    <n v="0"/>
    <n v="0"/>
    <d v="2026-02-11T00:00:00"/>
    <d v="2026-01-12T00:00:00"/>
    <x v="11"/>
    <x v="1"/>
    <m/>
    <m/>
    <n v="78"/>
    <s v="EUR"/>
    <d v="2026-05-28T00:00:00"/>
    <m/>
  </r>
  <r>
    <n v="96"/>
    <s v="EUR"/>
    <n v="7874"/>
    <n v="6771.64"/>
    <n v="9133.84"/>
    <n v="7874"/>
    <n v="7874"/>
    <n v="9133.84"/>
    <n v="0"/>
    <n v="0"/>
    <d v="2026-01-31T00:00:00"/>
    <d v="2026-01-01T00:00:00"/>
    <x v="11"/>
    <x v="1"/>
    <m/>
    <m/>
    <n v="79"/>
    <s v="EUR"/>
    <d v="2025-12-31T00:00:00"/>
    <m/>
  </r>
  <r>
    <n v="97"/>
    <s v="EUR"/>
    <n v="46296.87"/>
    <n v="39815.308199999999"/>
    <n v="53704.369200000001"/>
    <n v="46296.87"/>
    <n v="46296.87"/>
    <n v="53704.369200000001"/>
    <n v="0"/>
    <n v="0"/>
    <d v="2026-10-30T00:00:00"/>
    <d v="2026-09-30T00:00:00"/>
    <x v="6"/>
    <x v="1"/>
    <m/>
    <m/>
    <n v="80"/>
    <s v="EUR"/>
    <d v="2026-01-11T00:00:00"/>
    <m/>
  </r>
  <r>
    <n v="98"/>
    <s v="USD"/>
    <n v="8701"/>
    <n v="7482.86"/>
    <n v="8701"/>
    <n v="8701"/>
    <n v="7482.86"/>
    <n v="8701"/>
    <n v="0"/>
    <n v="0"/>
    <d v="2026-05-25T00:00:00"/>
    <d v="2026-04-25T00:00:00"/>
    <x v="2"/>
    <x v="1"/>
    <m/>
    <m/>
    <n v="81"/>
    <s v="EUR"/>
    <d v="2026-04-19T00:00:00"/>
    <m/>
  </r>
  <r>
    <n v="99"/>
    <s v="EUR"/>
    <n v="49033.87"/>
    <n v="42169.128199999999"/>
    <n v="56879.289199999999"/>
    <n v="49033.87"/>
    <n v="49033.87"/>
    <n v="56879.289199999999"/>
    <n v="0"/>
    <n v="0"/>
    <d v="2026-04-13T00:00:00"/>
    <d v="2026-03-14T00:00:00"/>
    <x v="1"/>
    <x v="1"/>
    <m/>
    <m/>
    <n v="82"/>
    <s v="EUR"/>
    <d v="2025-11-10T00:00:00"/>
    <m/>
  </r>
  <r>
    <n v="100"/>
    <s v="EUR"/>
    <n v="4175"/>
    <n v="3590.5"/>
    <n v="4843"/>
    <n v="4175"/>
    <n v="4175"/>
    <n v="4843"/>
    <n v="0"/>
    <n v="0"/>
    <d v="2026-06-10T00:00:00"/>
    <d v="2026-05-11T00:00:00"/>
    <x v="5"/>
    <x v="1"/>
    <m/>
    <m/>
    <n v="83"/>
    <s v="EUR"/>
    <d v="2026-01-30T00:00:00"/>
    <m/>
  </r>
  <r>
    <n v="101"/>
    <s v="EUR"/>
    <n v="5539"/>
    <n v="4763.54"/>
    <n v="6425.24"/>
    <n v="5539"/>
    <n v="5539"/>
    <n v="6425.24"/>
    <n v="0"/>
    <n v="0"/>
    <d v="2026-02-20T00:00:00"/>
    <d v="2026-01-21T00:00:00"/>
    <x v="11"/>
    <x v="1"/>
    <m/>
    <m/>
    <n v="84"/>
    <s v="EUR"/>
    <d v="2025-11-21T00:00:00"/>
    <m/>
  </r>
  <r>
    <n v="102"/>
    <s v="EUR"/>
    <n v="29140"/>
    <n v="25060.399999999998"/>
    <n v="33802.399999999994"/>
    <n v="29140"/>
    <n v="29140"/>
    <n v="33802.399999999994"/>
    <n v="0"/>
    <n v="0"/>
    <d v="2026-02-15T00:00:00"/>
    <d v="2026-01-16T00:00:00"/>
    <x v="11"/>
    <x v="1"/>
    <m/>
    <m/>
    <n v="85"/>
    <s v="EUR"/>
    <d v="2026-01-25T00:00:00"/>
    <m/>
  </r>
  <r>
    <n v="103"/>
    <s v="EUR"/>
    <n v="9937"/>
    <n v="8545.82"/>
    <n v="11526.92"/>
    <n v="9937"/>
    <n v="9937"/>
    <n v="11526.92"/>
    <n v="0"/>
    <n v="0"/>
    <d v="2026-07-20T00:00:00"/>
    <d v="2026-06-20T00:00:00"/>
    <x v="3"/>
    <x v="1"/>
    <m/>
    <m/>
    <n v="86"/>
    <s v="EUR"/>
    <d v="2026-02-08T00:00:00"/>
    <m/>
  </r>
  <r>
    <n v="105"/>
    <s v="EUR"/>
    <n v="1584"/>
    <n v="1362.24"/>
    <n v="1837.4399999999998"/>
    <n v="1584"/>
    <n v="1584"/>
    <n v="1837.4399999999998"/>
    <n v="0"/>
    <n v="0"/>
    <d v="2026-03-20T00:00:00"/>
    <d v="2026-02-18T00:00:00"/>
    <x v="10"/>
    <x v="1"/>
    <m/>
    <m/>
    <n v="87"/>
    <s v="EUR"/>
    <d v="2026-01-11T00:00:00"/>
    <m/>
  </r>
  <r>
    <n v="106"/>
    <s v="EUR"/>
    <n v="3308"/>
    <n v="2844.88"/>
    <n v="3837.2799999999997"/>
    <n v="2650"/>
    <n v="2650"/>
    <n v="3074"/>
    <n v="658"/>
    <n v="763.28"/>
    <d v="2026-02-19T00:00:00"/>
    <d v="2026-01-20T00:00:00"/>
    <x v="11"/>
    <x v="1"/>
    <m/>
    <m/>
    <n v="88"/>
    <s v="EUR"/>
    <d v="2026-09-20T00:00:00"/>
    <m/>
  </r>
  <r>
    <n v="107"/>
    <s v="EUR"/>
    <n v="3630"/>
    <n v="3121.7999999999997"/>
    <n v="4210.7999999999993"/>
    <n v="3630"/>
    <n v="3630"/>
    <n v="4210.7999999999993"/>
    <n v="0"/>
    <n v="0"/>
    <d v="2026-06-22T00:00:00"/>
    <d v="2026-05-23T00:00:00"/>
    <x v="5"/>
    <x v="1"/>
    <m/>
    <m/>
    <n v="89"/>
    <s v="EUR"/>
    <d v="2026-09-23T00:00:00"/>
    <m/>
  </r>
  <r>
    <m/>
    <m/>
    <m/>
    <m/>
    <m/>
    <m/>
    <m/>
    <m/>
    <m/>
    <m/>
    <m/>
    <m/>
    <x v="12"/>
    <x v="2"/>
    <m/>
    <m/>
    <n v="91"/>
    <s v="EUR"/>
    <d v="2026-02-19T00:00:00"/>
    <m/>
  </r>
  <r>
    <m/>
    <m/>
    <m/>
    <m/>
    <m/>
    <m/>
    <m/>
    <m/>
    <m/>
    <m/>
    <m/>
    <m/>
    <x v="12"/>
    <x v="2"/>
    <m/>
    <m/>
    <n v="92"/>
    <s v="EUR"/>
    <d v="2026-02-06T00:00:00"/>
    <m/>
  </r>
  <r>
    <m/>
    <m/>
    <m/>
    <m/>
    <m/>
    <m/>
    <m/>
    <m/>
    <m/>
    <m/>
    <m/>
    <m/>
    <x v="12"/>
    <x v="2"/>
    <m/>
    <m/>
    <n v="93"/>
    <s v="EUR"/>
    <d v="2026-07-13T00:00:00"/>
    <m/>
  </r>
  <r>
    <m/>
    <m/>
    <m/>
    <m/>
    <m/>
    <m/>
    <m/>
    <m/>
    <m/>
    <m/>
    <m/>
    <m/>
    <x v="12"/>
    <x v="2"/>
    <m/>
    <m/>
    <n v="94"/>
    <s v="USD"/>
    <d v="2026-02-22T00:00:00"/>
    <m/>
  </r>
  <r>
    <m/>
    <m/>
    <m/>
    <m/>
    <m/>
    <m/>
    <m/>
    <m/>
    <m/>
    <m/>
    <m/>
    <m/>
    <x v="12"/>
    <x v="2"/>
    <m/>
    <m/>
    <n v="95"/>
    <s v="EUR"/>
    <d v="2026-02-11T00:00:00"/>
    <m/>
  </r>
  <r>
    <m/>
    <m/>
    <m/>
    <m/>
    <m/>
    <m/>
    <m/>
    <m/>
    <m/>
    <m/>
    <m/>
    <m/>
    <x v="12"/>
    <x v="2"/>
    <m/>
    <m/>
    <n v="96"/>
    <s v="EUR"/>
    <d v="2026-01-31T00:00:00"/>
    <m/>
  </r>
  <r>
    <m/>
    <m/>
    <m/>
    <m/>
    <m/>
    <m/>
    <m/>
    <m/>
    <m/>
    <m/>
    <m/>
    <m/>
    <x v="12"/>
    <x v="2"/>
    <m/>
    <m/>
    <n v="97"/>
    <s v="EUR"/>
    <d v="2026-10-30T00:00:00"/>
    <m/>
  </r>
  <r>
    <m/>
    <m/>
    <m/>
    <m/>
    <m/>
    <m/>
    <m/>
    <m/>
    <m/>
    <m/>
    <m/>
    <m/>
    <x v="12"/>
    <x v="2"/>
    <m/>
    <m/>
    <n v="98"/>
    <s v="USD"/>
    <d v="2026-05-25T00:00:00"/>
    <m/>
  </r>
  <r>
    <m/>
    <m/>
    <m/>
    <m/>
    <m/>
    <m/>
    <m/>
    <m/>
    <m/>
    <m/>
    <m/>
    <m/>
    <x v="12"/>
    <x v="2"/>
    <m/>
    <m/>
    <n v="99"/>
    <s v="EUR"/>
    <d v="2026-04-13T00:00:00"/>
    <m/>
  </r>
  <r>
    <m/>
    <m/>
    <m/>
    <m/>
    <m/>
    <m/>
    <m/>
    <m/>
    <m/>
    <m/>
    <m/>
    <m/>
    <x v="12"/>
    <x v="2"/>
    <m/>
    <m/>
    <n v="100"/>
    <s v="EUR"/>
    <d v="2026-06-10T00:00:00"/>
    <m/>
  </r>
  <r>
    <m/>
    <m/>
    <m/>
    <m/>
    <m/>
    <m/>
    <m/>
    <m/>
    <m/>
    <m/>
    <m/>
    <m/>
    <x v="12"/>
    <x v="2"/>
    <m/>
    <m/>
    <n v="101"/>
    <s v="EUR"/>
    <d v="2026-02-20T00:00:00"/>
    <m/>
  </r>
  <r>
    <m/>
    <m/>
    <m/>
    <m/>
    <m/>
    <m/>
    <m/>
    <m/>
    <m/>
    <m/>
    <m/>
    <m/>
    <x v="12"/>
    <x v="2"/>
    <m/>
    <m/>
    <n v="102"/>
    <s v="EUR"/>
    <d v="2026-02-15T00:00:00"/>
    <m/>
  </r>
  <r>
    <m/>
    <m/>
    <m/>
    <m/>
    <m/>
    <m/>
    <m/>
    <m/>
    <m/>
    <m/>
    <m/>
    <m/>
    <x v="12"/>
    <x v="2"/>
    <m/>
    <m/>
    <n v="103"/>
    <s v="EUR"/>
    <d v="2026-07-20T00:00:00"/>
    <m/>
  </r>
  <r>
    <m/>
    <m/>
    <m/>
    <m/>
    <m/>
    <m/>
    <m/>
    <m/>
    <m/>
    <m/>
    <m/>
    <m/>
    <x v="12"/>
    <x v="2"/>
    <m/>
    <m/>
    <n v="105"/>
    <s v="EUR"/>
    <d v="2026-03-20T00:00:00"/>
    <m/>
  </r>
  <r>
    <m/>
    <m/>
    <m/>
    <m/>
    <m/>
    <m/>
    <m/>
    <m/>
    <m/>
    <m/>
    <m/>
    <m/>
    <x v="12"/>
    <x v="2"/>
    <m/>
    <m/>
    <n v="106"/>
    <s v="EUR"/>
    <d v="2026-02-19T00:00:00"/>
    <m/>
  </r>
  <r>
    <m/>
    <m/>
    <m/>
    <m/>
    <m/>
    <m/>
    <m/>
    <m/>
    <m/>
    <m/>
    <m/>
    <m/>
    <x v="12"/>
    <x v="2"/>
    <m/>
    <m/>
    <n v="107"/>
    <s v="EUR"/>
    <d v="2026-06-22T00:00:00"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n v="349"/>
    <n v="2457.91"/>
    <m/>
    <m/>
  </r>
  <r>
    <m/>
    <m/>
    <m/>
    <m/>
    <m/>
    <m/>
    <m/>
    <m/>
    <m/>
    <m/>
    <m/>
    <m/>
    <x v="12"/>
    <x v="2"/>
    <m/>
    <m/>
    <n v="350"/>
    <n v="10989.27"/>
    <m/>
    <m/>
  </r>
  <r>
    <m/>
    <m/>
    <m/>
    <m/>
    <m/>
    <m/>
    <m/>
    <m/>
    <m/>
    <m/>
    <m/>
    <m/>
    <x v="12"/>
    <x v="2"/>
    <m/>
    <m/>
    <n v="351"/>
    <n v="2611.75"/>
    <m/>
    <m/>
  </r>
  <r>
    <m/>
    <m/>
    <m/>
    <m/>
    <m/>
    <m/>
    <m/>
    <m/>
    <m/>
    <m/>
    <m/>
    <m/>
    <x v="12"/>
    <x v="2"/>
    <m/>
    <m/>
    <n v="352"/>
    <n v="5205.8599999999997"/>
    <m/>
    <m/>
  </r>
  <r>
    <m/>
    <m/>
    <m/>
    <m/>
    <m/>
    <m/>
    <m/>
    <m/>
    <m/>
    <m/>
    <m/>
    <m/>
    <x v="12"/>
    <x v="2"/>
    <m/>
    <m/>
    <n v="353"/>
    <n v="7328.61"/>
    <m/>
    <m/>
  </r>
  <r>
    <m/>
    <m/>
    <m/>
    <m/>
    <m/>
    <m/>
    <m/>
    <m/>
    <m/>
    <m/>
    <m/>
    <m/>
    <x v="12"/>
    <x v="2"/>
    <m/>
    <m/>
    <n v="354"/>
    <n v="3154.96"/>
    <m/>
    <m/>
  </r>
  <r>
    <m/>
    <m/>
    <m/>
    <m/>
    <m/>
    <m/>
    <m/>
    <m/>
    <m/>
    <m/>
    <m/>
    <m/>
    <x v="12"/>
    <x v="2"/>
    <m/>
    <m/>
    <n v="355"/>
    <n v="360413.5"/>
    <m/>
    <m/>
  </r>
  <r>
    <m/>
    <m/>
    <m/>
    <m/>
    <m/>
    <m/>
    <m/>
    <m/>
    <m/>
    <m/>
    <m/>
    <m/>
    <x v="12"/>
    <x v="2"/>
    <m/>
    <m/>
    <n v="356"/>
    <n v="6906.08"/>
    <m/>
    <m/>
  </r>
  <r>
    <m/>
    <m/>
    <m/>
    <m/>
    <m/>
    <m/>
    <m/>
    <m/>
    <m/>
    <m/>
    <m/>
    <m/>
    <x v="12"/>
    <x v="2"/>
    <m/>
    <m/>
    <n v="359"/>
    <n v="25430.240000000002"/>
    <m/>
    <m/>
  </r>
  <r>
    <m/>
    <m/>
    <m/>
    <m/>
    <m/>
    <m/>
    <m/>
    <m/>
    <m/>
    <m/>
    <m/>
    <m/>
    <x v="12"/>
    <x v="2"/>
    <m/>
    <m/>
    <n v="360"/>
    <n v="1434"/>
    <m/>
    <m/>
  </r>
  <r>
    <m/>
    <m/>
    <m/>
    <m/>
    <m/>
    <m/>
    <m/>
    <m/>
    <m/>
    <m/>
    <m/>
    <m/>
    <x v="12"/>
    <x v="2"/>
    <m/>
    <m/>
    <n v="361"/>
    <n v="7124.67"/>
    <m/>
    <m/>
  </r>
  <r>
    <m/>
    <m/>
    <m/>
    <m/>
    <m/>
    <m/>
    <m/>
    <m/>
    <m/>
    <m/>
    <m/>
    <m/>
    <x v="12"/>
    <x v="2"/>
    <m/>
    <m/>
    <n v="362"/>
    <n v="268.77"/>
    <m/>
    <m/>
  </r>
  <r>
    <m/>
    <m/>
    <m/>
    <m/>
    <m/>
    <m/>
    <m/>
    <m/>
    <m/>
    <m/>
    <m/>
    <m/>
    <x v="12"/>
    <x v="2"/>
    <m/>
    <m/>
    <n v="363"/>
    <n v="20818"/>
    <m/>
    <m/>
  </r>
  <r>
    <m/>
    <m/>
    <m/>
    <m/>
    <m/>
    <m/>
    <m/>
    <m/>
    <m/>
    <m/>
    <m/>
    <m/>
    <x v="12"/>
    <x v="2"/>
    <m/>
    <m/>
    <n v="364"/>
    <n v="38882.410000000003"/>
    <m/>
    <m/>
  </r>
  <r>
    <m/>
    <m/>
    <m/>
    <m/>
    <m/>
    <m/>
    <m/>
    <m/>
    <m/>
    <m/>
    <m/>
    <m/>
    <x v="12"/>
    <x v="2"/>
    <m/>
    <m/>
    <n v="368"/>
    <n v="1680"/>
    <m/>
    <m/>
  </r>
  <r>
    <m/>
    <m/>
    <m/>
    <m/>
    <m/>
    <m/>
    <m/>
    <m/>
    <m/>
    <m/>
    <m/>
    <m/>
    <x v="12"/>
    <x v="2"/>
    <m/>
    <m/>
    <n v="369"/>
    <n v="21659.919999999998"/>
    <m/>
    <m/>
  </r>
  <r>
    <m/>
    <m/>
    <m/>
    <m/>
    <m/>
    <m/>
    <m/>
    <m/>
    <m/>
    <m/>
    <m/>
    <m/>
    <x v="12"/>
    <x v="2"/>
    <m/>
    <m/>
    <n v="370"/>
    <n v="4284.5200000000004"/>
    <m/>
    <m/>
  </r>
  <r>
    <m/>
    <m/>
    <m/>
    <m/>
    <m/>
    <m/>
    <m/>
    <m/>
    <m/>
    <m/>
    <m/>
    <m/>
    <x v="12"/>
    <x v="2"/>
    <m/>
    <m/>
    <n v="371"/>
    <n v="9757.16"/>
    <m/>
    <m/>
  </r>
  <r>
    <m/>
    <m/>
    <m/>
    <m/>
    <m/>
    <m/>
    <m/>
    <m/>
    <m/>
    <m/>
    <m/>
    <m/>
    <x v="12"/>
    <x v="2"/>
    <m/>
    <m/>
    <n v="372"/>
    <n v="3168.96"/>
    <m/>
    <m/>
  </r>
  <r>
    <m/>
    <m/>
    <m/>
    <m/>
    <m/>
    <m/>
    <m/>
    <m/>
    <m/>
    <m/>
    <m/>
    <m/>
    <x v="12"/>
    <x v="2"/>
    <m/>
    <m/>
    <n v="373"/>
    <n v="5439.63"/>
    <m/>
    <m/>
  </r>
  <r>
    <m/>
    <m/>
    <m/>
    <m/>
    <m/>
    <m/>
    <m/>
    <m/>
    <m/>
    <m/>
    <m/>
    <m/>
    <x v="12"/>
    <x v="2"/>
    <m/>
    <m/>
    <n v="374"/>
    <n v="138570"/>
    <m/>
    <m/>
  </r>
  <r>
    <m/>
    <m/>
    <m/>
    <m/>
    <m/>
    <m/>
    <m/>
    <m/>
    <m/>
    <m/>
    <m/>
    <m/>
    <x v="12"/>
    <x v="2"/>
    <m/>
    <m/>
    <n v="375"/>
    <n v="25529"/>
    <m/>
    <m/>
  </r>
  <r>
    <m/>
    <m/>
    <m/>
    <m/>
    <m/>
    <m/>
    <m/>
    <m/>
    <m/>
    <m/>
    <m/>
    <m/>
    <x v="12"/>
    <x v="2"/>
    <m/>
    <m/>
    <n v="376"/>
    <n v="1750"/>
    <m/>
    <m/>
  </r>
  <r>
    <m/>
    <m/>
    <m/>
    <m/>
    <m/>
    <m/>
    <m/>
    <m/>
    <m/>
    <m/>
    <m/>
    <m/>
    <x v="12"/>
    <x v="2"/>
    <m/>
    <m/>
    <n v="377"/>
    <n v="28779.599999999999"/>
    <m/>
    <m/>
  </r>
  <r>
    <m/>
    <m/>
    <m/>
    <m/>
    <m/>
    <m/>
    <m/>
    <m/>
    <m/>
    <m/>
    <m/>
    <m/>
    <x v="12"/>
    <x v="2"/>
    <m/>
    <m/>
    <n v="379"/>
    <n v="104274.67"/>
    <m/>
    <m/>
  </r>
  <r>
    <m/>
    <m/>
    <m/>
    <m/>
    <m/>
    <m/>
    <m/>
    <m/>
    <m/>
    <m/>
    <m/>
    <m/>
    <x v="12"/>
    <x v="2"/>
    <m/>
    <m/>
    <n v="380"/>
    <n v="7136.4"/>
    <m/>
    <m/>
  </r>
  <r>
    <m/>
    <m/>
    <m/>
    <m/>
    <m/>
    <m/>
    <m/>
    <m/>
    <m/>
    <m/>
    <m/>
    <m/>
    <x v="12"/>
    <x v="2"/>
    <m/>
    <m/>
    <n v="381"/>
    <n v="14250"/>
    <m/>
    <m/>
  </r>
  <r>
    <m/>
    <m/>
    <m/>
    <m/>
    <m/>
    <m/>
    <m/>
    <m/>
    <m/>
    <m/>
    <m/>
    <m/>
    <x v="12"/>
    <x v="2"/>
    <m/>
    <m/>
    <n v="382"/>
    <n v="17857.84"/>
    <m/>
    <m/>
  </r>
  <r>
    <m/>
    <m/>
    <m/>
    <m/>
    <m/>
    <m/>
    <m/>
    <m/>
    <m/>
    <m/>
    <m/>
    <m/>
    <x v="12"/>
    <x v="2"/>
    <m/>
    <m/>
    <n v="384"/>
    <n v="4324.59"/>
    <m/>
    <m/>
  </r>
  <r>
    <m/>
    <m/>
    <m/>
    <m/>
    <m/>
    <m/>
    <m/>
    <m/>
    <m/>
    <m/>
    <m/>
    <m/>
    <x v="12"/>
    <x v="2"/>
    <m/>
    <m/>
    <n v="385"/>
    <n v="3000"/>
    <m/>
    <m/>
  </r>
  <r>
    <m/>
    <m/>
    <m/>
    <m/>
    <m/>
    <m/>
    <m/>
    <m/>
    <m/>
    <m/>
    <m/>
    <m/>
    <x v="12"/>
    <x v="2"/>
    <m/>
    <m/>
    <n v="386"/>
    <n v="740"/>
    <m/>
    <m/>
  </r>
  <r>
    <m/>
    <m/>
    <m/>
    <m/>
    <m/>
    <m/>
    <m/>
    <m/>
    <m/>
    <m/>
    <m/>
    <m/>
    <x v="12"/>
    <x v="2"/>
    <m/>
    <m/>
    <n v="387"/>
    <n v="25787.64"/>
    <m/>
    <m/>
  </r>
  <r>
    <m/>
    <m/>
    <m/>
    <m/>
    <m/>
    <m/>
    <m/>
    <m/>
    <m/>
    <m/>
    <m/>
    <m/>
    <x v="12"/>
    <x v="2"/>
    <m/>
    <m/>
    <n v="388"/>
    <n v="27621.200000000001"/>
    <m/>
    <m/>
  </r>
  <r>
    <m/>
    <m/>
    <m/>
    <m/>
    <m/>
    <m/>
    <m/>
    <m/>
    <m/>
    <m/>
    <m/>
    <m/>
    <x v="12"/>
    <x v="2"/>
    <m/>
    <m/>
    <n v="389"/>
    <n v="29355.5"/>
    <m/>
    <m/>
  </r>
  <r>
    <m/>
    <m/>
    <m/>
    <m/>
    <m/>
    <m/>
    <m/>
    <m/>
    <m/>
    <m/>
    <m/>
    <m/>
    <x v="12"/>
    <x v="2"/>
    <m/>
    <m/>
    <n v="390"/>
    <n v="57819"/>
    <m/>
    <m/>
  </r>
  <r>
    <m/>
    <m/>
    <m/>
    <m/>
    <m/>
    <m/>
    <m/>
    <m/>
    <m/>
    <m/>
    <m/>
    <m/>
    <x v="12"/>
    <x v="2"/>
    <m/>
    <m/>
    <n v="391"/>
    <n v="27889.52"/>
    <m/>
    <m/>
  </r>
  <r>
    <m/>
    <m/>
    <m/>
    <m/>
    <m/>
    <m/>
    <m/>
    <m/>
    <m/>
    <m/>
    <m/>
    <m/>
    <x v="12"/>
    <x v="2"/>
    <m/>
    <m/>
    <n v="392"/>
    <n v="30757"/>
    <m/>
    <m/>
  </r>
  <r>
    <m/>
    <m/>
    <m/>
    <m/>
    <m/>
    <m/>
    <m/>
    <m/>
    <m/>
    <m/>
    <m/>
    <m/>
    <x v="12"/>
    <x v="2"/>
    <m/>
    <m/>
    <n v="393"/>
    <n v="36120.04"/>
    <m/>
    <m/>
  </r>
  <r>
    <m/>
    <m/>
    <m/>
    <m/>
    <m/>
    <m/>
    <m/>
    <m/>
    <m/>
    <m/>
    <m/>
    <m/>
    <x v="12"/>
    <x v="2"/>
    <m/>
    <m/>
    <n v="394"/>
    <n v="20307.32"/>
    <m/>
    <m/>
  </r>
  <r>
    <m/>
    <m/>
    <m/>
    <m/>
    <m/>
    <m/>
    <m/>
    <m/>
    <m/>
    <m/>
    <m/>
    <m/>
    <x v="12"/>
    <x v="2"/>
    <m/>
    <m/>
    <n v="395"/>
    <n v="4830.3599999999997"/>
    <m/>
    <m/>
  </r>
  <r>
    <m/>
    <m/>
    <m/>
    <m/>
    <m/>
    <m/>
    <m/>
    <m/>
    <m/>
    <m/>
    <m/>
    <m/>
    <x v="12"/>
    <x v="2"/>
    <m/>
    <m/>
    <n v="396"/>
    <n v="8265.9699999999993"/>
    <m/>
    <m/>
  </r>
  <r>
    <m/>
    <m/>
    <m/>
    <m/>
    <m/>
    <m/>
    <m/>
    <m/>
    <m/>
    <m/>
    <m/>
    <m/>
    <x v="12"/>
    <x v="2"/>
    <m/>
    <m/>
    <n v="397"/>
    <n v="60237.93"/>
    <m/>
    <m/>
  </r>
  <r>
    <m/>
    <m/>
    <m/>
    <m/>
    <m/>
    <m/>
    <m/>
    <m/>
    <m/>
    <m/>
    <m/>
    <m/>
    <x v="12"/>
    <x v="2"/>
    <m/>
    <m/>
    <n v="398"/>
    <n v="2120"/>
    <m/>
    <m/>
  </r>
  <r>
    <m/>
    <m/>
    <m/>
    <m/>
    <m/>
    <m/>
    <m/>
    <m/>
    <m/>
    <m/>
    <m/>
    <m/>
    <x v="12"/>
    <x v="2"/>
    <m/>
    <m/>
    <n v="399"/>
    <n v="5235"/>
    <m/>
    <m/>
  </r>
  <r>
    <m/>
    <m/>
    <m/>
    <m/>
    <m/>
    <m/>
    <m/>
    <m/>
    <m/>
    <m/>
    <m/>
    <m/>
    <x v="12"/>
    <x v="2"/>
    <m/>
    <m/>
    <n v="400"/>
    <n v="1740"/>
    <m/>
    <m/>
  </r>
  <r>
    <m/>
    <m/>
    <m/>
    <m/>
    <m/>
    <m/>
    <m/>
    <m/>
    <m/>
    <m/>
    <m/>
    <m/>
    <x v="12"/>
    <x v="2"/>
    <m/>
    <m/>
    <n v="401"/>
    <n v="4326"/>
    <m/>
    <m/>
  </r>
  <r>
    <m/>
    <m/>
    <m/>
    <m/>
    <m/>
    <m/>
    <m/>
    <m/>
    <m/>
    <m/>
    <m/>
    <m/>
    <x v="12"/>
    <x v="2"/>
    <m/>
    <m/>
    <n v="402"/>
    <n v="46687"/>
    <m/>
    <m/>
  </r>
  <r>
    <m/>
    <m/>
    <m/>
    <m/>
    <m/>
    <m/>
    <m/>
    <m/>
    <m/>
    <m/>
    <m/>
    <m/>
    <x v="12"/>
    <x v="2"/>
    <m/>
    <m/>
    <n v="403"/>
    <n v="3884.16"/>
    <m/>
    <m/>
  </r>
  <r>
    <m/>
    <m/>
    <m/>
    <m/>
    <m/>
    <m/>
    <m/>
    <m/>
    <m/>
    <m/>
    <m/>
    <m/>
    <x v="12"/>
    <x v="2"/>
    <m/>
    <m/>
    <n v="404"/>
    <n v="10352"/>
    <m/>
    <m/>
  </r>
  <r>
    <m/>
    <m/>
    <m/>
    <m/>
    <m/>
    <m/>
    <m/>
    <m/>
    <m/>
    <m/>
    <m/>
    <m/>
    <x v="12"/>
    <x v="2"/>
    <m/>
    <m/>
    <n v="405"/>
    <n v="13313"/>
    <m/>
    <m/>
  </r>
  <r>
    <m/>
    <m/>
    <m/>
    <m/>
    <m/>
    <m/>
    <m/>
    <m/>
    <m/>
    <m/>
    <m/>
    <m/>
    <x v="12"/>
    <x v="2"/>
    <m/>
    <m/>
    <n v="406"/>
    <n v="5772"/>
    <m/>
    <m/>
  </r>
  <r>
    <m/>
    <m/>
    <m/>
    <m/>
    <m/>
    <m/>
    <m/>
    <m/>
    <m/>
    <m/>
    <m/>
    <m/>
    <x v="12"/>
    <x v="2"/>
    <m/>
    <m/>
    <n v="407"/>
    <n v="8423.11"/>
    <m/>
    <m/>
  </r>
  <r>
    <m/>
    <m/>
    <m/>
    <m/>
    <m/>
    <m/>
    <m/>
    <m/>
    <m/>
    <m/>
    <m/>
    <m/>
    <x v="12"/>
    <x v="2"/>
    <m/>
    <m/>
    <n v="408"/>
    <n v="29331.26"/>
    <m/>
    <m/>
  </r>
  <r>
    <m/>
    <m/>
    <m/>
    <m/>
    <m/>
    <m/>
    <m/>
    <m/>
    <m/>
    <m/>
    <m/>
    <m/>
    <x v="12"/>
    <x v="2"/>
    <m/>
    <m/>
    <n v="409"/>
    <n v="2304.88"/>
    <m/>
    <m/>
  </r>
  <r>
    <m/>
    <m/>
    <m/>
    <m/>
    <m/>
    <m/>
    <m/>
    <m/>
    <m/>
    <m/>
    <m/>
    <m/>
    <x v="12"/>
    <x v="2"/>
    <m/>
    <m/>
    <n v="410"/>
    <n v="15617.36"/>
    <m/>
    <m/>
  </r>
  <r>
    <m/>
    <m/>
    <m/>
    <m/>
    <m/>
    <m/>
    <m/>
    <m/>
    <m/>
    <m/>
    <m/>
    <m/>
    <x v="12"/>
    <x v="2"/>
    <m/>
    <m/>
    <n v="412"/>
    <n v="2286.5"/>
    <m/>
    <m/>
  </r>
  <r>
    <m/>
    <m/>
    <m/>
    <m/>
    <m/>
    <m/>
    <m/>
    <m/>
    <m/>
    <m/>
    <m/>
    <m/>
    <x v="12"/>
    <x v="2"/>
    <m/>
    <m/>
    <n v="413"/>
    <n v="23160"/>
    <m/>
    <m/>
  </r>
  <r>
    <m/>
    <m/>
    <m/>
    <m/>
    <m/>
    <m/>
    <m/>
    <m/>
    <m/>
    <m/>
    <m/>
    <m/>
    <x v="12"/>
    <x v="2"/>
    <m/>
    <m/>
    <n v="416"/>
    <n v="472374.25"/>
    <m/>
    <m/>
  </r>
  <r>
    <m/>
    <m/>
    <m/>
    <m/>
    <m/>
    <m/>
    <m/>
    <m/>
    <m/>
    <m/>
    <m/>
    <m/>
    <x v="12"/>
    <x v="2"/>
    <m/>
    <m/>
    <n v="417"/>
    <n v="9035.74"/>
    <m/>
    <m/>
  </r>
  <r>
    <m/>
    <m/>
    <m/>
    <m/>
    <m/>
    <m/>
    <m/>
    <m/>
    <m/>
    <m/>
    <m/>
    <m/>
    <x v="12"/>
    <x v="2"/>
    <m/>
    <m/>
    <n v="418"/>
    <n v="5627281.4299999997"/>
    <m/>
    <m/>
  </r>
  <r>
    <m/>
    <m/>
    <m/>
    <m/>
    <m/>
    <m/>
    <m/>
    <m/>
    <m/>
    <m/>
    <m/>
    <m/>
    <x v="12"/>
    <x v="2"/>
    <m/>
    <m/>
    <n v="419"/>
    <n v="3396"/>
    <m/>
    <m/>
  </r>
  <r>
    <m/>
    <m/>
    <m/>
    <m/>
    <m/>
    <m/>
    <m/>
    <m/>
    <m/>
    <m/>
    <m/>
    <m/>
    <x v="12"/>
    <x v="2"/>
    <m/>
    <m/>
    <n v="420"/>
    <n v="3600"/>
    <m/>
    <m/>
  </r>
  <r>
    <m/>
    <m/>
    <m/>
    <m/>
    <m/>
    <m/>
    <m/>
    <m/>
    <m/>
    <m/>
    <m/>
    <m/>
    <x v="12"/>
    <x v="2"/>
    <m/>
    <m/>
    <n v="421"/>
    <n v="9503.92"/>
    <m/>
    <m/>
  </r>
  <r>
    <m/>
    <m/>
    <m/>
    <m/>
    <m/>
    <m/>
    <m/>
    <m/>
    <m/>
    <m/>
    <m/>
    <m/>
    <x v="12"/>
    <x v="2"/>
    <m/>
    <m/>
    <n v="422"/>
    <n v="540"/>
    <m/>
    <m/>
  </r>
  <r>
    <m/>
    <m/>
    <m/>
    <m/>
    <m/>
    <m/>
    <m/>
    <m/>
    <m/>
    <m/>
    <m/>
    <m/>
    <x v="12"/>
    <x v="2"/>
    <m/>
    <m/>
    <n v="423"/>
    <n v="3667.15"/>
    <m/>
    <m/>
  </r>
  <r>
    <m/>
    <m/>
    <m/>
    <m/>
    <m/>
    <m/>
    <m/>
    <m/>
    <m/>
    <m/>
    <m/>
    <m/>
    <x v="12"/>
    <x v="2"/>
    <m/>
    <m/>
    <n v="425"/>
    <n v="35000"/>
    <m/>
    <m/>
  </r>
  <r>
    <m/>
    <m/>
    <m/>
    <m/>
    <m/>
    <m/>
    <m/>
    <m/>
    <m/>
    <m/>
    <m/>
    <m/>
    <x v="12"/>
    <x v="2"/>
    <m/>
    <m/>
    <n v="426"/>
    <n v="23777.56"/>
    <m/>
    <m/>
  </r>
  <r>
    <m/>
    <m/>
    <m/>
    <m/>
    <m/>
    <m/>
    <m/>
    <m/>
    <m/>
    <m/>
    <m/>
    <m/>
    <x v="12"/>
    <x v="2"/>
    <m/>
    <m/>
    <n v="427"/>
    <n v="4960.26"/>
    <m/>
    <m/>
  </r>
  <r>
    <m/>
    <m/>
    <m/>
    <m/>
    <m/>
    <m/>
    <m/>
    <m/>
    <m/>
    <m/>
    <m/>
    <m/>
    <x v="12"/>
    <x v="2"/>
    <m/>
    <m/>
    <n v="428"/>
    <n v="1724.36"/>
    <m/>
    <m/>
  </r>
  <r>
    <m/>
    <m/>
    <m/>
    <m/>
    <m/>
    <m/>
    <m/>
    <m/>
    <m/>
    <m/>
    <m/>
    <m/>
    <x v="12"/>
    <x v="2"/>
    <m/>
    <m/>
    <n v="430"/>
    <n v="22284.04"/>
    <m/>
    <m/>
  </r>
  <r>
    <m/>
    <m/>
    <m/>
    <m/>
    <m/>
    <m/>
    <m/>
    <m/>
    <m/>
    <m/>
    <m/>
    <m/>
    <x v="12"/>
    <x v="2"/>
    <m/>
    <m/>
    <n v="431"/>
    <n v="2328.11"/>
    <m/>
    <m/>
  </r>
  <r>
    <m/>
    <m/>
    <m/>
    <m/>
    <m/>
    <m/>
    <m/>
    <m/>
    <m/>
    <m/>
    <m/>
    <m/>
    <x v="12"/>
    <x v="2"/>
    <m/>
    <m/>
    <n v="432"/>
    <n v="26949.24"/>
    <m/>
    <m/>
  </r>
  <r>
    <m/>
    <m/>
    <m/>
    <m/>
    <m/>
    <m/>
    <m/>
    <m/>
    <m/>
    <m/>
    <m/>
    <m/>
    <x v="12"/>
    <x v="2"/>
    <m/>
    <m/>
    <n v="433"/>
    <n v="4506"/>
    <m/>
    <m/>
  </r>
  <r>
    <m/>
    <m/>
    <m/>
    <m/>
    <m/>
    <m/>
    <m/>
    <m/>
    <m/>
    <m/>
    <m/>
    <m/>
    <x v="12"/>
    <x v="2"/>
    <m/>
    <m/>
    <n v="434"/>
    <n v="1445"/>
    <m/>
    <m/>
  </r>
  <r>
    <m/>
    <m/>
    <m/>
    <m/>
    <m/>
    <m/>
    <m/>
    <m/>
    <m/>
    <m/>
    <m/>
    <m/>
    <x v="12"/>
    <x v="2"/>
    <m/>
    <m/>
    <n v="435"/>
    <n v="21586"/>
    <m/>
    <m/>
  </r>
  <r>
    <m/>
    <m/>
    <m/>
    <m/>
    <m/>
    <m/>
    <m/>
    <m/>
    <m/>
    <m/>
    <m/>
    <m/>
    <x v="12"/>
    <x v="2"/>
    <m/>
    <m/>
    <n v="436"/>
    <n v="207379"/>
    <m/>
    <m/>
  </r>
  <r>
    <m/>
    <m/>
    <m/>
    <m/>
    <m/>
    <m/>
    <m/>
    <m/>
    <m/>
    <m/>
    <m/>
    <m/>
    <x v="12"/>
    <x v="2"/>
    <m/>
    <m/>
    <n v="437"/>
    <n v="25369.4"/>
    <m/>
    <m/>
  </r>
  <r>
    <m/>
    <m/>
    <m/>
    <m/>
    <m/>
    <m/>
    <m/>
    <m/>
    <m/>
    <m/>
    <m/>
    <m/>
    <x v="12"/>
    <x v="2"/>
    <m/>
    <m/>
    <n v="438"/>
    <n v="12164"/>
    <m/>
    <m/>
  </r>
  <r>
    <m/>
    <m/>
    <m/>
    <m/>
    <m/>
    <m/>
    <m/>
    <m/>
    <m/>
    <m/>
    <m/>
    <m/>
    <x v="12"/>
    <x v="2"/>
    <m/>
    <m/>
    <n v="440"/>
    <n v="1319971.8"/>
    <m/>
    <m/>
  </r>
  <r>
    <m/>
    <m/>
    <m/>
    <m/>
    <m/>
    <m/>
    <m/>
    <m/>
    <m/>
    <m/>
    <m/>
    <m/>
    <x v="12"/>
    <x v="2"/>
    <m/>
    <m/>
    <n v="442"/>
    <n v="672.41"/>
    <m/>
    <m/>
  </r>
  <r>
    <m/>
    <m/>
    <m/>
    <m/>
    <m/>
    <m/>
    <m/>
    <m/>
    <m/>
    <m/>
    <m/>
    <m/>
    <x v="12"/>
    <x v="2"/>
    <m/>
    <m/>
    <n v="443"/>
    <n v="16013"/>
    <m/>
    <m/>
  </r>
  <r>
    <m/>
    <m/>
    <m/>
    <m/>
    <m/>
    <m/>
    <m/>
    <m/>
    <m/>
    <m/>
    <m/>
    <m/>
    <x v="12"/>
    <x v="2"/>
    <m/>
    <m/>
    <n v="444"/>
    <n v="101859"/>
    <m/>
    <m/>
  </r>
  <r>
    <m/>
    <m/>
    <m/>
    <m/>
    <m/>
    <m/>
    <m/>
    <m/>
    <m/>
    <m/>
    <m/>
    <m/>
    <x v="12"/>
    <x v="2"/>
    <m/>
    <m/>
    <n v="445"/>
    <n v="24324.7"/>
    <m/>
    <m/>
  </r>
  <r>
    <m/>
    <m/>
    <m/>
    <m/>
    <m/>
    <m/>
    <m/>
    <m/>
    <m/>
    <m/>
    <m/>
    <m/>
    <x v="12"/>
    <x v="2"/>
    <m/>
    <m/>
    <n v="446"/>
    <n v="12011"/>
    <m/>
    <m/>
  </r>
  <r>
    <m/>
    <m/>
    <m/>
    <m/>
    <m/>
    <m/>
    <m/>
    <m/>
    <m/>
    <m/>
    <m/>
    <m/>
    <x v="12"/>
    <x v="2"/>
    <m/>
    <m/>
    <n v="448"/>
    <n v="6018.71"/>
    <m/>
    <m/>
  </r>
  <r>
    <m/>
    <m/>
    <m/>
    <m/>
    <m/>
    <m/>
    <m/>
    <m/>
    <m/>
    <m/>
    <m/>
    <m/>
    <x v="12"/>
    <x v="2"/>
    <m/>
    <m/>
    <n v="450"/>
    <n v="10000"/>
    <m/>
    <m/>
  </r>
  <r>
    <m/>
    <m/>
    <m/>
    <m/>
    <m/>
    <m/>
    <m/>
    <m/>
    <m/>
    <m/>
    <m/>
    <m/>
    <x v="12"/>
    <x v="2"/>
    <m/>
    <m/>
    <n v="451"/>
    <n v="0"/>
    <m/>
    <m/>
  </r>
  <r>
    <m/>
    <m/>
    <m/>
    <m/>
    <m/>
    <m/>
    <m/>
    <m/>
    <m/>
    <m/>
    <m/>
    <m/>
    <x v="12"/>
    <x v="2"/>
    <m/>
    <m/>
    <n v="452"/>
    <n v="18588"/>
    <m/>
    <m/>
  </r>
  <r>
    <m/>
    <m/>
    <m/>
    <m/>
    <m/>
    <m/>
    <m/>
    <m/>
    <m/>
    <m/>
    <m/>
    <m/>
    <x v="12"/>
    <x v="2"/>
    <m/>
    <m/>
    <n v="453"/>
    <n v="82243"/>
    <m/>
    <m/>
  </r>
  <r>
    <m/>
    <m/>
    <m/>
    <m/>
    <m/>
    <m/>
    <m/>
    <m/>
    <m/>
    <m/>
    <m/>
    <m/>
    <x v="12"/>
    <x v="2"/>
    <m/>
    <m/>
    <n v="454"/>
    <n v="34210"/>
    <m/>
    <m/>
  </r>
  <r>
    <m/>
    <m/>
    <m/>
    <m/>
    <m/>
    <m/>
    <m/>
    <m/>
    <m/>
    <m/>
    <m/>
    <m/>
    <x v="12"/>
    <x v="2"/>
    <m/>
    <m/>
    <n v="455"/>
    <n v="0"/>
    <m/>
    <m/>
  </r>
  <r>
    <m/>
    <m/>
    <m/>
    <m/>
    <m/>
    <m/>
    <m/>
    <m/>
    <m/>
    <m/>
    <m/>
    <m/>
    <x v="12"/>
    <x v="2"/>
    <m/>
    <m/>
    <n v="456"/>
    <n v="0"/>
    <m/>
    <m/>
  </r>
  <r>
    <m/>
    <m/>
    <m/>
    <m/>
    <m/>
    <m/>
    <m/>
    <m/>
    <m/>
    <m/>
    <m/>
    <m/>
    <x v="12"/>
    <x v="2"/>
    <m/>
    <m/>
    <n v="457"/>
    <n v="0"/>
    <m/>
    <m/>
  </r>
  <r>
    <m/>
    <m/>
    <m/>
    <m/>
    <m/>
    <m/>
    <m/>
    <m/>
    <m/>
    <m/>
    <m/>
    <m/>
    <x v="12"/>
    <x v="2"/>
    <m/>
    <m/>
    <n v="459"/>
    <n v="0"/>
    <m/>
    <m/>
  </r>
  <r>
    <m/>
    <m/>
    <m/>
    <m/>
    <m/>
    <m/>
    <m/>
    <m/>
    <m/>
    <m/>
    <m/>
    <m/>
    <x v="12"/>
    <x v="2"/>
    <m/>
    <m/>
    <s v="Suma total"/>
    <n v="26892875.309999999"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  <r>
    <m/>
    <m/>
    <m/>
    <m/>
    <m/>
    <m/>
    <m/>
    <m/>
    <m/>
    <m/>
    <m/>
    <m/>
    <x v="12"/>
    <x v="2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4">
  <r>
    <n v="1"/>
    <s v="USD"/>
    <n v="101527.9"/>
    <n v="87313.993999999992"/>
    <n v="101527.9"/>
    <n v="101527.9"/>
    <n v="87313.993999999992"/>
    <n v="101527.9"/>
    <n v="0"/>
    <n v="0"/>
    <d v="2025-12-18T00:00:00"/>
    <d v="2025-11-18T00:00:00"/>
    <x v="0"/>
    <x v="0"/>
    <m/>
    <m/>
    <n v="1"/>
    <s v="USD"/>
    <d v="2025-12-18T00:00:00"/>
    <m/>
    <m/>
    <m/>
    <m/>
    <m/>
  </r>
  <r>
    <n v="2"/>
    <s v="EUR"/>
    <n v="13433.85"/>
    <n v="13433.85"/>
    <n v="15583.266"/>
    <n v="13433.85"/>
    <n v="13433.85"/>
    <n v="15583.266"/>
    <n v="0"/>
    <n v="0"/>
    <d v="2025-04-19T00:00:00"/>
    <d v="2025-03-20T00:00:00"/>
    <x v="1"/>
    <x v="0"/>
    <m/>
    <m/>
    <n v="2"/>
    <s v="EUR"/>
    <d v="2025-04-19T00:00:00"/>
    <m/>
    <m/>
    <m/>
    <m/>
    <m/>
  </r>
  <r>
    <n v="3"/>
    <s v="EUR"/>
    <n v="950.4"/>
    <n v="950.4"/>
    <n v="1102.4639999999999"/>
    <n v="950.4"/>
    <n v="950.4"/>
    <n v="1102.4639999999999"/>
    <n v="0"/>
    <n v="0"/>
    <d v="2025-05-02T00:00:00"/>
    <d v="2025-04-02T00:00:00"/>
    <x v="2"/>
    <x v="0"/>
    <m/>
    <m/>
    <n v="3"/>
    <s v="EUR"/>
    <d v="2025-05-02T00:00:00"/>
    <m/>
    <m/>
    <m/>
    <m/>
    <m/>
  </r>
  <r>
    <n v="4"/>
    <s v="EUR"/>
    <n v="8227.5499999999993"/>
    <n v="8227.5499999999993"/>
    <n v="9543.9579999999987"/>
    <n v="8227.5499999999993"/>
    <n v="8227.5499999999993"/>
    <n v="9543.9579999999987"/>
    <n v="0"/>
    <n v="0"/>
    <d v="2025-07-18T00:00:00"/>
    <d v="2025-06-18T00:00:00"/>
    <x v="3"/>
    <x v="0"/>
    <m/>
    <m/>
    <n v="4"/>
    <s v="EUR"/>
    <d v="2025-07-18T00:00:00"/>
    <m/>
    <m/>
    <m/>
    <m/>
    <m/>
  </r>
  <r>
    <n v="5"/>
    <s v="EUR"/>
    <n v="1490.21"/>
    <n v="1490.21"/>
    <n v="1728.6435999999999"/>
    <n v="1490.21"/>
    <n v="1490.21"/>
    <n v="1728.6435999999999"/>
    <n v="0"/>
    <n v="0"/>
    <d v="2025-05-11T00:00:00"/>
    <d v="2025-04-11T00:00:00"/>
    <x v="2"/>
    <x v="0"/>
    <m/>
    <m/>
    <n v="5"/>
    <s v="EUR"/>
    <d v="2025-05-11T00:00:00"/>
    <m/>
    <m/>
    <m/>
    <m/>
    <m/>
  </r>
  <r>
    <n v="6"/>
    <s v="EUR"/>
    <n v="4957.62"/>
    <n v="4957.62"/>
    <n v="5750.8391999999994"/>
    <n v="4957.62"/>
    <n v="4957.62"/>
    <n v="5750.8391999999994"/>
    <n v="0"/>
    <n v="0"/>
    <d v="2025-05-01T00:00:00"/>
    <d v="2025-04-01T00:00:00"/>
    <x v="2"/>
    <x v="0"/>
    <m/>
    <m/>
    <n v="6"/>
    <s v="EUR"/>
    <d v="2025-05-01T00:00:00"/>
    <m/>
    <m/>
    <m/>
    <m/>
    <m/>
  </r>
  <r>
    <n v="7"/>
    <s v="USD"/>
    <n v="51968.04"/>
    <n v="44692.5144"/>
    <n v="51968.04"/>
    <n v="51968.04"/>
    <n v="44692.5144"/>
    <n v="51968.04"/>
    <n v="0"/>
    <n v="0"/>
    <d v="2025-07-21T00:00:00"/>
    <d v="2025-06-21T00:00:00"/>
    <x v="3"/>
    <x v="0"/>
    <m/>
    <m/>
    <n v="7"/>
    <s v="USD"/>
    <d v="2025-07-21T00:00:00"/>
    <m/>
    <m/>
    <m/>
    <m/>
    <m/>
  </r>
  <r>
    <n v="8"/>
    <s v="EUR"/>
    <n v="8968.68"/>
    <n v="8968.68"/>
    <n v="10403.668799999999"/>
    <n v="8968.68"/>
    <n v="8968.68"/>
    <n v="10403.668799999999"/>
    <n v="0"/>
    <n v="0"/>
    <d v="2025-12-05T00:00:00"/>
    <d v="2025-11-05T00:00:00"/>
    <x v="0"/>
    <x v="0"/>
    <m/>
    <m/>
    <n v="8"/>
    <s v="EUR"/>
    <d v="2025-12-05T00:00:00"/>
    <m/>
    <m/>
    <m/>
    <m/>
    <m/>
  </r>
  <r>
    <n v="9"/>
    <s v="EUR"/>
    <n v="21320.400000000001"/>
    <n v="21320.400000000001"/>
    <n v="24731.664000000001"/>
    <n v="21320.400000000001"/>
    <n v="21320.400000000001"/>
    <n v="24731.664000000001"/>
    <n v="0"/>
    <n v="0"/>
    <d v="2025-08-20T00:00:00"/>
    <d v="2025-07-21T00:00:00"/>
    <x v="4"/>
    <x v="0"/>
    <m/>
    <m/>
    <n v="9"/>
    <s v="EUR"/>
    <d v="2025-08-20T00:00:00"/>
    <m/>
    <m/>
    <m/>
    <m/>
    <m/>
  </r>
  <r>
    <n v="10"/>
    <s v="EUR"/>
    <n v="426.46"/>
    <n v="426.46"/>
    <n v="494.69359999999995"/>
    <n v="426.46"/>
    <n v="426.46"/>
    <n v="494.69359999999995"/>
    <n v="0"/>
    <n v="0"/>
    <d v="2025-05-15T00:00:00"/>
    <d v="2025-04-15T00:00:00"/>
    <x v="2"/>
    <x v="0"/>
    <m/>
    <m/>
    <n v="10"/>
    <s v="EUR"/>
    <d v="2025-05-15T00:00:00"/>
    <m/>
    <m/>
    <m/>
    <m/>
    <m/>
  </r>
  <r>
    <n v="11"/>
    <s v="EUR"/>
    <n v="497.36"/>
    <n v="497.36"/>
    <n v="576.93759999999997"/>
    <n v="497.36"/>
    <n v="497.36"/>
    <n v="576.93759999999997"/>
    <n v="0"/>
    <n v="0"/>
    <d v="2025-05-28T00:00:00"/>
    <d v="2025-04-28T00:00:00"/>
    <x v="2"/>
    <x v="0"/>
    <m/>
    <m/>
    <n v="11"/>
    <s v="EUR"/>
    <d v="2025-05-28T00:00:00"/>
    <m/>
    <m/>
    <m/>
    <m/>
    <m/>
  </r>
  <r>
    <n v="12"/>
    <s v="EUR"/>
    <n v="6617.36"/>
    <n v="6617.36"/>
    <n v="7676.1375999999991"/>
    <n v="6617.36"/>
    <n v="6617.36"/>
    <n v="7676.1375999999991"/>
    <n v="0"/>
    <n v="0"/>
    <d v="2025-05-24T00:00:00"/>
    <d v="2025-04-24T00:00:00"/>
    <x v="2"/>
    <x v="0"/>
    <m/>
    <m/>
    <n v="12"/>
    <s v="EUR"/>
    <d v="2025-05-24T00:00:00"/>
    <m/>
    <m/>
    <m/>
    <m/>
    <m/>
  </r>
  <r>
    <n v="13"/>
    <s v="EUR"/>
    <n v="21352.57"/>
    <n v="21352.57"/>
    <n v="24768.981199999998"/>
    <n v="21352.57"/>
    <n v="21352.57"/>
    <n v="24768.981199999998"/>
    <n v="0"/>
    <n v="0"/>
    <d v="2025-07-22T00:00:00"/>
    <d v="2025-06-22T00:00:00"/>
    <x v="3"/>
    <x v="0"/>
    <m/>
    <m/>
    <n v="13"/>
    <s v="EUR"/>
    <d v="2025-07-22T00:00:00"/>
    <m/>
    <m/>
    <m/>
    <m/>
    <m/>
  </r>
  <r>
    <n v="14"/>
    <s v="EUR"/>
    <n v="427.8"/>
    <n v="427.8"/>
    <n v="496.24799999999999"/>
    <n v="427.8"/>
    <n v="427.8"/>
    <n v="496.24799999999999"/>
    <n v="0"/>
    <n v="0"/>
    <d v="2025-06-06T00:00:00"/>
    <d v="2025-05-07T00:00:00"/>
    <x v="5"/>
    <x v="0"/>
    <m/>
    <m/>
    <n v="14"/>
    <s v="EUR"/>
    <d v="2025-06-06T00:00:00"/>
    <m/>
    <m/>
    <m/>
    <m/>
    <m/>
  </r>
  <r>
    <n v="15"/>
    <s v="EUR"/>
    <n v="1282.8399999999999"/>
    <n v="1282.8399999999999"/>
    <n v="1488.0943999999997"/>
    <n v="1282.8399999999999"/>
    <n v="1282.8399999999999"/>
    <n v="1488.0943999999997"/>
    <n v="0"/>
    <n v="0"/>
    <d v="2025-07-05T00:00:00"/>
    <d v="2025-06-05T00:00:00"/>
    <x v="3"/>
    <x v="0"/>
    <m/>
    <m/>
    <n v="15"/>
    <s v="EUR"/>
    <d v="2025-07-05T00:00:00"/>
    <m/>
    <m/>
    <m/>
    <m/>
    <m/>
  </r>
  <r>
    <n v="16"/>
    <s v="USD"/>
    <n v="206178.04"/>
    <n v="177313.11439999999"/>
    <n v="206178.04"/>
    <n v="206178.04"/>
    <n v="177313.11439999999"/>
    <n v="206178.04"/>
    <n v="0"/>
    <n v="0"/>
    <d v="2025-06-22T00:00:00"/>
    <d v="2025-05-23T00:00:00"/>
    <x v="5"/>
    <x v="0"/>
    <m/>
    <m/>
    <n v="16"/>
    <s v="USD"/>
    <d v="2025-06-22T00:00:00"/>
    <m/>
    <m/>
    <m/>
    <m/>
    <m/>
  </r>
  <r>
    <n v="17"/>
    <s v="EUR"/>
    <n v="22833.97"/>
    <n v="22833.97"/>
    <n v="26487.405200000001"/>
    <n v="22833.97"/>
    <n v="22833.97"/>
    <n v="26487.405200000001"/>
    <n v="0"/>
    <n v="0"/>
    <d v="2025-08-23T00:00:00"/>
    <d v="2025-07-24T00:00:00"/>
    <x v="4"/>
    <x v="0"/>
    <m/>
    <m/>
    <n v="17"/>
    <s v="EUR"/>
    <d v="2025-08-23T00:00:00"/>
    <m/>
    <m/>
    <m/>
    <m/>
    <m/>
  </r>
  <r>
    <n v="19"/>
    <s v="EUR"/>
    <n v="24566.799999999999"/>
    <n v="24566.799999999999"/>
    <n v="28497.487999999998"/>
    <n v="24566.799999999999"/>
    <n v="24566.799999999999"/>
    <n v="28497.487999999998"/>
    <n v="0"/>
    <n v="0"/>
    <d v="2025-07-03T00:00:00"/>
    <d v="2025-06-03T00:00:00"/>
    <x v="3"/>
    <x v="0"/>
    <m/>
    <m/>
    <n v="18"/>
    <s v="EUR"/>
    <s v="0000-00-00"/>
    <m/>
    <m/>
    <m/>
    <m/>
    <m/>
  </r>
  <r>
    <n v="20"/>
    <s v="GPB"/>
    <n v="7014"/>
    <n v="8066.0999999999995"/>
    <n v="9398.76"/>
    <n v="7014"/>
    <n v="8066.0999999999995"/>
    <n v="9398.76"/>
    <n v="0"/>
    <n v="0"/>
    <d v="2025-06-25T00:00:00"/>
    <d v="2025-05-26T00:00:00"/>
    <x v="5"/>
    <x v="0"/>
    <m/>
    <m/>
    <n v="19"/>
    <s v="EUR"/>
    <d v="2025-07-03T00:00:00"/>
    <m/>
    <m/>
    <m/>
    <m/>
    <m/>
  </r>
  <r>
    <n v="21"/>
    <s v="EUR"/>
    <n v="26211.15"/>
    <n v="26211.15"/>
    <n v="30404.934000000001"/>
    <n v="26211.15"/>
    <n v="26211.15"/>
    <n v="30404.934000000001"/>
    <n v="0"/>
    <n v="0"/>
    <d v="2025-10-20T00:00:00"/>
    <d v="2025-09-20T00:00:00"/>
    <x v="6"/>
    <x v="0"/>
    <m/>
    <m/>
    <n v="20"/>
    <s v="GPB"/>
    <d v="2025-06-25T00:00:00"/>
    <m/>
    <m/>
    <m/>
    <m/>
    <m/>
  </r>
  <r>
    <n v="22"/>
    <s v="EUR"/>
    <n v="5025.7"/>
    <n v="5025.7"/>
    <n v="5829.811999999999"/>
    <n v="5025.7"/>
    <n v="5025.7"/>
    <n v="5829.811999999999"/>
    <n v="0"/>
    <n v="0"/>
    <d v="2025-07-27T00:00:00"/>
    <d v="2025-06-27T00:00:00"/>
    <x v="3"/>
    <x v="0"/>
    <m/>
    <m/>
    <n v="21"/>
    <s v="EUR"/>
    <d v="2025-10-20T00:00:00"/>
    <m/>
    <m/>
    <m/>
    <m/>
    <m/>
  </r>
  <r>
    <n v="23"/>
    <s v="EUR"/>
    <n v="30818.87"/>
    <n v="30818.87"/>
    <n v="35749.889199999998"/>
    <n v="30818.87"/>
    <n v="30818.87"/>
    <n v="35749.889199999998"/>
    <n v="0"/>
    <n v="0"/>
    <d v="2025-12-26T00:00:00"/>
    <d v="2025-11-26T00:00:00"/>
    <x v="0"/>
    <x v="0"/>
    <m/>
    <m/>
    <n v="22"/>
    <s v="EUR"/>
    <d v="2025-07-27T00:00:00"/>
    <m/>
    <m/>
    <m/>
    <m/>
    <m/>
  </r>
  <r>
    <n v="24"/>
    <s v="EUR"/>
    <n v="2216.81"/>
    <n v="2216.81"/>
    <n v="2571.4995999999996"/>
    <n v="2216.81"/>
    <n v="2216.81"/>
    <n v="2571.4995999999996"/>
    <n v="0"/>
    <n v="0"/>
    <d v="2025-09-02T00:00:00"/>
    <d v="2025-08-03T00:00:00"/>
    <x v="7"/>
    <x v="0"/>
    <m/>
    <m/>
    <n v="23"/>
    <s v="EUR"/>
    <d v="2025-12-26T00:00:00"/>
    <m/>
    <m/>
    <m/>
    <m/>
    <m/>
  </r>
  <r>
    <n v="25"/>
    <s v="EUR"/>
    <n v="1485"/>
    <n v="1485"/>
    <n v="1722.6"/>
    <n v="1485"/>
    <n v="1485"/>
    <n v="1722.6"/>
    <n v="0"/>
    <n v="0"/>
    <d v="2025-07-17T00:00:00"/>
    <d v="2025-06-17T00:00:00"/>
    <x v="3"/>
    <x v="0"/>
    <m/>
    <m/>
    <n v="24"/>
    <s v="EUR"/>
    <d v="2025-09-02T00:00:00"/>
    <m/>
    <m/>
    <m/>
    <m/>
    <m/>
  </r>
  <r>
    <n v="26"/>
    <s v="EUR"/>
    <n v="1536"/>
    <n v="1536"/>
    <n v="1781.7599999999998"/>
    <n v="1536"/>
    <n v="1536"/>
    <n v="1781.7599999999998"/>
    <n v="0"/>
    <n v="0"/>
    <d v="2025-07-20T00:00:00"/>
    <d v="2025-06-20T00:00:00"/>
    <x v="3"/>
    <x v="0"/>
    <m/>
    <m/>
    <n v="25"/>
    <s v="EUR"/>
    <d v="2025-07-17T00:00:00"/>
    <m/>
    <m/>
    <m/>
    <m/>
    <m/>
  </r>
  <r>
    <n v="27"/>
    <s v="EUR"/>
    <n v="37367.31"/>
    <n v="37367.31"/>
    <n v="43346.079599999997"/>
    <n v="37367.31"/>
    <n v="37367.31"/>
    <n v="43346.079599999997"/>
    <n v="0"/>
    <n v="0"/>
    <d v="2025-09-24T00:00:00"/>
    <d v="2025-08-25T00:00:00"/>
    <x v="7"/>
    <x v="0"/>
    <m/>
    <m/>
    <n v="26"/>
    <s v="EUR"/>
    <d v="2025-07-20T00:00:00"/>
    <m/>
    <m/>
    <m/>
    <m/>
    <m/>
  </r>
  <r>
    <n v="28"/>
    <s v="EUR"/>
    <n v="4985.72"/>
    <n v="4985.72"/>
    <n v="5783.4351999999999"/>
    <n v="4985.72"/>
    <n v="4985.72"/>
    <n v="5783.4351999999999"/>
    <n v="0"/>
    <n v="0"/>
    <d v="2025-09-13T00:00:00"/>
    <d v="2025-08-14T00:00:00"/>
    <x v="7"/>
    <x v="0"/>
    <m/>
    <m/>
    <n v="27"/>
    <s v="EUR"/>
    <d v="2025-09-24T00:00:00"/>
    <m/>
    <m/>
    <m/>
    <m/>
    <m/>
  </r>
  <r>
    <n v="29"/>
    <s v="EUR"/>
    <n v="197.41"/>
    <n v="197.41"/>
    <n v="228.99559999999997"/>
    <n v="197.41"/>
    <n v="197.41"/>
    <n v="228.99559999999997"/>
    <n v="0"/>
    <n v="0"/>
    <d v="2025-07-19T00:00:00"/>
    <d v="2025-06-19T00:00:00"/>
    <x v="3"/>
    <x v="0"/>
    <m/>
    <m/>
    <n v="28"/>
    <s v="EUR"/>
    <d v="2025-09-13T00:00:00"/>
    <m/>
    <m/>
    <m/>
    <m/>
    <m/>
  </r>
  <r>
    <n v="30"/>
    <s v="EUR"/>
    <n v="67457.399999999994"/>
    <n v="67457.399999999994"/>
    <n v="78250.583999999988"/>
    <n v="67457.399999999994"/>
    <n v="67457.399999999994"/>
    <n v="78250.583999999988"/>
    <n v="0"/>
    <n v="0"/>
    <d v="2025-12-26T00:00:00"/>
    <d v="2025-11-26T00:00:00"/>
    <x v="0"/>
    <x v="0"/>
    <m/>
    <m/>
    <n v="29"/>
    <s v="EUR"/>
    <d v="2025-07-19T00:00:00"/>
    <m/>
    <m/>
    <m/>
    <m/>
    <m/>
  </r>
  <r>
    <n v="31"/>
    <s v="EUR"/>
    <n v="1894.45"/>
    <n v="1894.45"/>
    <n v="2197.5619999999999"/>
    <n v="1894.45"/>
    <n v="1894.45"/>
    <n v="2197.5619999999999"/>
    <n v="0"/>
    <n v="0"/>
    <d v="2025-10-20T00:00:00"/>
    <d v="2025-09-20T00:00:00"/>
    <x v="6"/>
    <x v="0"/>
    <m/>
    <m/>
    <n v="30"/>
    <s v="EUR"/>
    <d v="2025-12-26T00:00:00"/>
    <m/>
    <m/>
    <m/>
    <m/>
    <m/>
  </r>
  <r>
    <n v="32"/>
    <s v="EUR"/>
    <n v="4783.95"/>
    <n v="4783.95"/>
    <n v="5549.3819999999996"/>
    <n v="4783.95"/>
    <n v="4783.95"/>
    <n v="5549.3819999999996"/>
    <n v="0"/>
    <n v="0"/>
    <d v="2025-12-09T00:00:00"/>
    <d v="2025-11-09T00:00:00"/>
    <x v="0"/>
    <x v="0"/>
    <m/>
    <m/>
    <n v="31"/>
    <s v="EUR"/>
    <d v="2025-10-20T00:00:00"/>
    <m/>
    <m/>
    <m/>
    <m/>
    <m/>
  </r>
  <r>
    <n v="33"/>
    <s v="USD"/>
    <n v="4815"/>
    <n v="4140.8999999999996"/>
    <n v="4815"/>
    <n v="4815"/>
    <n v="4140.8999999999996"/>
    <n v="4815"/>
    <n v="0"/>
    <n v="0"/>
    <d v="2025-07-31T00:00:00"/>
    <d v="2025-07-01T00:00:00"/>
    <x v="4"/>
    <x v="0"/>
    <m/>
    <m/>
    <n v="32"/>
    <s v="EUR"/>
    <d v="2025-12-09T00:00:00"/>
    <m/>
    <m/>
    <m/>
    <m/>
    <m/>
  </r>
  <r>
    <n v="34"/>
    <s v="EUR"/>
    <n v="25510.87"/>
    <n v="25510.87"/>
    <n v="29592.609199999995"/>
    <n v="25510.87"/>
    <n v="25510.87"/>
    <n v="29592.609199999995"/>
    <n v="0"/>
    <n v="0"/>
    <d v="2026-01-15T00:00:00"/>
    <d v="2025-12-16T00:00:00"/>
    <x v="8"/>
    <x v="0"/>
    <m/>
    <m/>
    <n v="33"/>
    <s v="USD"/>
    <d v="2025-07-31T00:00:00"/>
    <m/>
    <m/>
    <m/>
    <m/>
    <m/>
  </r>
  <r>
    <n v="36"/>
    <s v="EUR"/>
    <n v="5680.7"/>
    <n v="5680.7"/>
    <n v="6589.6119999999992"/>
    <n v="5680.7"/>
    <n v="5680.7"/>
    <n v="6589.6119999999992"/>
    <n v="0"/>
    <n v="0"/>
    <d v="2025-11-16T00:00:00"/>
    <d v="2025-10-17T00:00:00"/>
    <x v="9"/>
    <x v="0"/>
    <m/>
    <m/>
    <n v="34"/>
    <s v="EUR"/>
    <d v="2026-01-15T00:00:00"/>
    <m/>
    <m/>
    <m/>
    <m/>
    <m/>
  </r>
  <r>
    <n v="37"/>
    <s v="USD"/>
    <n v="35893.449999999997"/>
    <n v="30868.366999999998"/>
    <n v="35893.449999999997"/>
    <n v="35893.449999999997"/>
    <n v="30868.366999999998"/>
    <n v="35893.449999999997"/>
    <n v="0"/>
    <n v="0"/>
    <d v="2025-12-18T00:00:00"/>
    <d v="2025-11-18T00:00:00"/>
    <x v="0"/>
    <x v="0"/>
    <m/>
    <m/>
    <n v="35"/>
    <s v="EUR"/>
    <s v="0000-00-00"/>
    <m/>
    <m/>
    <m/>
    <m/>
    <m/>
  </r>
  <r>
    <n v="38"/>
    <s v="EUR"/>
    <n v="22676.48"/>
    <n v="22676.48"/>
    <n v="26304.716799999998"/>
    <n v="22676.48"/>
    <n v="22676.48"/>
    <n v="26304.716799999998"/>
    <n v="0"/>
    <n v="0"/>
    <d v="2025-10-16T00:00:00"/>
    <d v="2025-09-16T00:00:00"/>
    <x v="6"/>
    <x v="0"/>
    <m/>
    <m/>
    <n v="36"/>
    <s v="EUR"/>
    <d v="2025-11-16T00:00:00"/>
    <m/>
    <m/>
    <m/>
    <m/>
    <m/>
  </r>
  <r>
    <n v="39"/>
    <s v="EUR"/>
    <n v="1347.28"/>
    <n v="1347.28"/>
    <n v="1562.8447999999999"/>
    <n v="1347.28"/>
    <n v="1347.28"/>
    <n v="1562.8447999999999"/>
    <n v="0"/>
    <n v="0"/>
    <d v="2025-10-27T00:00:00"/>
    <d v="2025-09-27T00:00:00"/>
    <x v="6"/>
    <x v="0"/>
    <m/>
    <m/>
    <n v="37"/>
    <s v="USD"/>
    <d v="2025-12-18T00:00:00"/>
    <m/>
    <m/>
    <m/>
    <m/>
    <m/>
  </r>
  <r>
    <n v="40"/>
    <s v="EUR"/>
    <n v="847.5"/>
    <n v="847.5"/>
    <n v="983.09999999999991"/>
    <n v="847.5"/>
    <n v="847.5"/>
    <n v="983.09999999999991"/>
    <n v="0"/>
    <n v="0"/>
    <d v="2025-12-01T00:00:00"/>
    <d v="2025-11-01T00:00:00"/>
    <x v="0"/>
    <x v="0"/>
    <m/>
    <m/>
    <n v="38"/>
    <s v="EUR"/>
    <d v="2025-10-16T00:00:00"/>
    <m/>
    <m/>
    <m/>
    <m/>
    <m/>
  </r>
  <r>
    <n v="41"/>
    <s v="EUR"/>
    <n v="40505.730000000003"/>
    <n v="40505.730000000003"/>
    <n v="46986.646800000002"/>
    <n v="40262.629999999997"/>
    <n v="40262.629999999997"/>
    <n v="46704.650799999996"/>
    <n v="243.10000000000582"/>
    <n v="281.99600000000675"/>
    <d v="2025-12-29T00:00:00"/>
    <d v="2025-11-29T00:00:00"/>
    <x v="0"/>
    <x v="0"/>
    <m/>
    <m/>
    <n v="39"/>
    <s v="EUR"/>
    <d v="2025-10-27T00:00:00"/>
    <m/>
    <m/>
    <m/>
    <m/>
    <m/>
  </r>
  <r>
    <n v="42"/>
    <s v="EUR"/>
    <n v="17348.5"/>
    <n v="17348.5"/>
    <n v="20124.259999999998"/>
    <n v="17348.5"/>
    <n v="17348.5"/>
    <n v="20124.259999999998"/>
    <n v="0"/>
    <n v="0"/>
    <d v="2025-11-24T00:00:00"/>
    <d v="2025-10-25T00:00:00"/>
    <x v="9"/>
    <x v="0"/>
    <m/>
    <m/>
    <n v="40"/>
    <s v="EUR"/>
    <d v="2025-12-01T00:00:00"/>
    <m/>
    <m/>
    <m/>
    <m/>
    <m/>
  </r>
  <r>
    <n v="43"/>
    <s v="EUR"/>
    <n v="410.33"/>
    <n v="410.33"/>
    <n v="475.98279999999994"/>
    <n v="410.33"/>
    <n v="410.33"/>
    <n v="475.98279999999994"/>
    <n v="0"/>
    <n v="0"/>
    <d v="2025-11-10T00:00:00"/>
    <d v="2025-10-11T00:00:00"/>
    <x v="9"/>
    <x v="0"/>
    <m/>
    <m/>
    <n v="41"/>
    <s v="EUR"/>
    <d v="2025-12-29T00:00:00"/>
    <m/>
    <m/>
    <m/>
    <m/>
    <m/>
  </r>
  <r>
    <n v="44"/>
    <s v="EUR"/>
    <n v="8870.1299999999992"/>
    <n v="8870.1299999999992"/>
    <n v="10289.350799999998"/>
    <n v="8646.58"/>
    <n v="8646.58"/>
    <n v="10030.032799999999"/>
    <n v="223.54999999999927"/>
    <n v="259.31799999999913"/>
    <d v="2026-06-14T00:00:00"/>
    <d v="2026-05-15T00:00:00"/>
    <x v="5"/>
    <x v="1"/>
    <m/>
    <m/>
    <n v="42"/>
    <s v="EUR"/>
    <d v="2025-11-24T00:00:00"/>
    <m/>
    <m/>
    <m/>
    <m/>
    <m/>
  </r>
  <r>
    <n v="45"/>
    <s v="EUR"/>
    <n v="9534.5499999999993"/>
    <n v="9534.5499999999993"/>
    <n v="11060.077999999998"/>
    <n v="9534.5499999999993"/>
    <n v="9534.5499999999993"/>
    <n v="11060.077999999998"/>
    <n v="0"/>
    <n v="0"/>
    <d v="2026-06-01T00:00:00"/>
    <d v="2026-05-02T00:00:00"/>
    <x v="5"/>
    <x v="1"/>
    <m/>
    <m/>
    <n v="43"/>
    <s v="EUR"/>
    <d v="2025-11-10T00:00:00"/>
    <m/>
    <m/>
    <m/>
    <m/>
    <m/>
  </r>
  <r>
    <n v="46"/>
    <s v="EUR"/>
    <n v="1508.38"/>
    <n v="1508.38"/>
    <n v="1749.7208000000001"/>
    <n v="1508.38"/>
    <n v="1508.38"/>
    <n v="1749.7208000000001"/>
    <n v="0"/>
    <n v="0"/>
    <d v="2025-10-10T00:00:00"/>
    <d v="2025-09-10T00:00:00"/>
    <x v="6"/>
    <x v="0"/>
    <m/>
    <m/>
    <n v="44"/>
    <s v="EUR"/>
    <d v="2026-06-14T00:00:00"/>
    <m/>
    <m/>
    <m/>
    <m/>
    <m/>
  </r>
  <r>
    <n v="47"/>
    <s v="EUR"/>
    <n v="5227.74"/>
    <n v="5227.74"/>
    <n v="6064.1783999999998"/>
    <n v="5227.74"/>
    <n v="5227.74"/>
    <n v="6064.1783999999998"/>
    <n v="0"/>
    <n v="0"/>
    <d v="2025-11-07T00:00:00"/>
    <d v="2025-10-08T00:00:00"/>
    <x v="9"/>
    <x v="0"/>
    <m/>
    <m/>
    <n v="45"/>
    <s v="EUR"/>
    <d v="2026-06-01T00:00:00"/>
    <m/>
    <m/>
    <m/>
    <m/>
    <m/>
  </r>
  <r>
    <n v="48"/>
    <s v="EUR"/>
    <n v="23665.34"/>
    <n v="23665.34"/>
    <n v="27451.794399999999"/>
    <n v="23665.34"/>
    <n v="23665.34"/>
    <n v="27451.794399999999"/>
    <n v="0"/>
    <n v="0"/>
    <d v="2025-12-29T00:00:00"/>
    <d v="2025-11-29T00:00:00"/>
    <x v="0"/>
    <x v="0"/>
    <m/>
    <m/>
    <n v="46"/>
    <s v="EUR"/>
    <d v="2025-10-10T00:00:00"/>
    <m/>
    <m/>
    <m/>
    <m/>
    <m/>
  </r>
  <r>
    <n v="49"/>
    <s v="EUR"/>
    <n v="3515.8"/>
    <n v="3515.8"/>
    <n v="4078.328"/>
    <n v="3515.8"/>
    <n v="3515.8"/>
    <n v="4078.328"/>
    <n v="0"/>
    <n v="0"/>
    <d v="2025-11-07T00:00:00"/>
    <d v="2025-10-08T00:00:00"/>
    <x v="9"/>
    <x v="0"/>
    <m/>
    <m/>
    <n v="47"/>
    <s v="EUR"/>
    <d v="2025-11-07T00:00:00"/>
    <m/>
    <m/>
    <m/>
    <m/>
    <m/>
  </r>
  <r>
    <n v="51"/>
    <s v="EUR"/>
    <n v="330.35"/>
    <n v="330.35"/>
    <n v="383.20600000000002"/>
    <n v="330.35"/>
    <n v="330.35"/>
    <n v="383.20600000000002"/>
    <n v="0"/>
    <n v="0"/>
    <d v="2025-10-11T00:00:00"/>
    <d v="2025-09-11T00:00:00"/>
    <x v="6"/>
    <x v="0"/>
    <m/>
    <m/>
    <n v="48"/>
    <s v="EUR"/>
    <d v="2025-12-29T00:00:00"/>
    <m/>
    <m/>
    <m/>
    <m/>
    <m/>
  </r>
  <r>
    <n v="52"/>
    <s v="EUR"/>
    <n v="81698.73"/>
    <n v="81698.73"/>
    <n v="94770.526799999992"/>
    <n v="81698.73"/>
    <n v="81698.73"/>
    <n v="94770.526799999992"/>
    <n v="0"/>
    <n v="0"/>
    <d v="2025-12-18T00:00:00"/>
    <d v="2025-11-18T00:00:00"/>
    <x v="0"/>
    <x v="0"/>
    <m/>
    <m/>
    <n v="49"/>
    <s v="EUR"/>
    <d v="2025-11-07T00:00:00"/>
    <m/>
    <m/>
    <m/>
    <m/>
    <m/>
  </r>
  <r>
    <n v="53"/>
    <s v="EUR"/>
    <n v="53332.7"/>
    <n v="53332.7"/>
    <n v="61865.931999999993"/>
    <n v="53332.7"/>
    <n v="53332.7"/>
    <n v="61865.931999999993"/>
    <n v="0"/>
    <n v="0"/>
    <d v="2025-12-25T00:00:00"/>
    <d v="2025-11-25T00:00:00"/>
    <x v="0"/>
    <x v="0"/>
    <m/>
    <m/>
    <n v="50"/>
    <s v="USD"/>
    <d v="2025-10-10T00:00:00"/>
    <m/>
    <m/>
    <m/>
    <m/>
    <m/>
  </r>
  <r>
    <n v="54"/>
    <s v="EUR"/>
    <n v="19034.97"/>
    <n v="19034.97"/>
    <n v="22080.565200000001"/>
    <n v="19034.97"/>
    <n v="19034.97"/>
    <n v="22080.565200000001"/>
    <n v="0"/>
    <n v="0"/>
    <d v="2025-12-26T00:00:00"/>
    <d v="2025-11-26T00:00:00"/>
    <x v="0"/>
    <x v="0"/>
    <m/>
    <m/>
    <n v="51"/>
    <s v="EUR"/>
    <d v="2025-10-11T00:00:00"/>
    <m/>
    <m/>
    <m/>
    <m/>
    <m/>
  </r>
  <r>
    <n v="55"/>
    <s v="EUR"/>
    <n v="528"/>
    <n v="528"/>
    <n v="612.4799999999999"/>
    <n v="528"/>
    <n v="528"/>
    <n v="612.4799999999999"/>
    <n v="0"/>
    <n v="0"/>
    <d v="2025-10-29T00:00:00"/>
    <d v="2025-09-29T00:00:00"/>
    <x v="6"/>
    <x v="0"/>
    <m/>
    <m/>
    <n v="52"/>
    <s v="EUR"/>
    <d v="2025-12-18T00:00:00"/>
    <m/>
    <m/>
    <m/>
    <m/>
    <m/>
  </r>
  <r>
    <n v="56"/>
    <s v="EUR"/>
    <n v="21010.47"/>
    <n v="21010.47"/>
    <n v="24372.145199999999"/>
    <n v="21010.47"/>
    <n v="21010.47"/>
    <n v="24372.145199999999"/>
    <n v="0"/>
    <n v="0"/>
    <d v="2025-11-14T00:00:00"/>
    <d v="2025-10-15T00:00:00"/>
    <x v="9"/>
    <x v="0"/>
    <m/>
    <m/>
    <n v="53"/>
    <s v="EUR"/>
    <d v="2025-12-25T00:00:00"/>
    <m/>
    <m/>
    <m/>
    <m/>
    <m/>
  </r>
  <r>
    <n v="57"/>
    <s v="EUR"/>
    <n v="5099.01"/>
    <n v="5099.01"/>
    <n v="5914.8516"/>
    <n v="4838.3100000000004"/>
    <n v="4838.3100000000004"/>
    <n v="5612.4395999999997"/>
    <n v="260.69999999999982"/>
    <n v="302.41199999999975"/>
    <d v="2026-09-20T00:00:00"/>
    <d v="2026-08-21T00:00:00"/>
    <x v="7"/>
    <x v="1"/>
    <m/>
    <m/>
    <n v="54"/>
    <s v="EUR"/>
    <d v="2025-12-26T00:00:00"/>
    <m/>
    <m/>
    <m/>
    <m/>
    <m/>
  </r>
  <r>
    <n v="58"/>
    <s v="EUR"/>
    <n v="374.44"/>
    <n v="374.44"/>
    <n v="434.35039999999998"/>
    <n v="374.44"/>
    <n v="374.44"/>
    <n v="434.35039999999998"/>
    <n v="0"/>
    <n v="0"/>
    <d v="2025-11-07T00:00:00"/>
    <d v="2025-10-08T00:00:00"/>
    <x v="9"/>
    <x v="0"/>
    <m/>
    <m/>
    <n v="55"/>
    <s v="EUR"/>
    <d v="2025-10-29T00:00:00"/>
    <m/>
    <m/>
    <m/>
    <m/>
    <m/>
  </r>
  <r>
    <n v="59"/>
    <s v="EUR"/>
    <n v="129553.71"/>
    <n v="129553.71"/>
    <n v="150282.30359999998"/>
    <n v="129553.71"/>
    <n v="129553.71"/>
    <n v="150282.30359999998"/>
    <n v="0"/>
    <n v="0"/>
    <d v="2026-03-25T00:00:00"/>
    <d v="2026-02-23T00:00:00"/>
    <x v="10"/>
    <x v="1"/>
    <m/>
    <m/>
    <n v="56"/>
    <s v="EUR"/>
    <d v="2025-11-14T00:00:00"/>
    <m/>
    <m/>
    <m/>
    <m/>
    <m/>
  </r>
  <r>
    <n v="60"/>
    <s v="EUR"/>
    <n v="6305.15"/>
    <n v="6305.15"/>
    <n v="7313.9739999999993"/>
    <n v="6305.15"/>
    <n v="6305.15"/>
    <n v="7313.9739999999993"/>
    <n v="0"/>
    <n v="0"/>
    <d v="2025-12-01T00:00:00"/>
    <d v="2025-11-01T00:00:00"/>
    <x v="0"/>
    <x v="0"/>
    <m/>
    <m/>
    <n v="57"/>
    <s v="EUR"/>
    <d v="2026-09-20T00:00:00"/>
    <m/>
    <m/>
    <m/>
    <m/>
    <m/>
  </r>
  <r>
    <n v="61"/>
    <s v="EUR"/>
    <n v="3767.19"/>
    <n v="3767.19"/>
    <n v="4369.9403999999995"/>
    <n v="3767.19"/>
    <n v="3767.19"/>
    <n v="4369.9403999999995"/>
    <n v="0"/>
    <n v="0"/>
    <d v="2025-11-19T00:00:00"/>
    <d v="2025-10-20T00:00:00"/>
    <x v="9"/>
    <x v="0"/>
    <m/>
    <m/>
    <n v="58"/>
    <s v="EUR"/>
    <d v="2025-11-07T00:00:00"/>
    <m/>
    <m/>
    <m/>
    <m/>
    <m/>
  </r>
  <r>
    <n v="62"/>
    <s v="EUR"/>
    <n v="10981.97"/>
    <n v="10981.97"/>
    <n v="12739.085199999998"/>
    <n v="10981.97"/>
    <n v="10981.97"/>
    <n v="12739.085199999998"/>
    <n v="0"/>
    <n v="0"/>
    <d v="2026-07-13T00:00:00"/>
    <d v="2026-06-13T00:00:00"/>
    <x v="3"/>
    <x v="1"/>
    <m/>
    <m/>
    <n v="59"/>
    <s v="EUR"/>
    <d v="2026-03-25T00:00:00"/>
    <m/>
    <m/>
    <m/>
    <m/>
    <m/>
  </r>
  <r>
    <n v="63"/>
    <s v="EUR"/>
    <n v="1159.07"/>
    <n v="1159.07"/>
    <n v="1344.5211999999999"/>
    <n v="1159.07"/>
    <n v="1159.07"/>
    <n v="1344.5211999999999"/>
    <n v="0"/>
    <n v="0"/>
    <d v="2025-12-09T00:00:00"/>
    <d v="2025-11-09T00:00:00"/>
    <x v="0"/>
    <x v="0"/>
    <m/>
    <m/>
    <n v="60"/>
    <s v="EUR"/>
    <d v="2025-12-01T00:00:00"/>
    <m/>
    <m/>
    <m/>
    <m/>
    <m/>
  </r>
  <r>
    <n v="64"/>
    <s v="EUR"/>
    <n v="1218.8499999999999"/>
    <n v="1218.8499999999999"/>
    <n v="1413.8659999999998"/>
    <n v="1218.8499999999999"/>
    <n v="1218.8499999999999"/>
    <n v="1413.8659999999998"/>
    <n v="0"/>
    <n v="0"/>
    <d v="2025-11-18T00:00:00"/>
    <d v="2025-10-19T00:00:00"/>
    <x v="9"/>
    <x v="0"/>
    <m/>
    <m/>
    <n v="61"/>
    <s v="EUR"/>
    <d v="2025-11-19T00:00:00"/>
    <m/>
    <m/>
    <m/>
    <m/>
    <m/>
  </r>
  <r>
    <n v="65"/>
    <s v="EUR"/>
    <n v="1814.49"/>
    <n v="1814.49"/>
    <n v="2104.8083999999999"/>
    <n v="1814.49"/>
    <n v="1814.49"/>
    <n v="2104.8083999999999"/>
    <n v="0"/>
    <n v="0"/>
    <d v="2025-12-19T00:00:00"/>
    <d v="2025-11-19T00:00:00"/>
    <x v="0"/>
    <x v="0"/>
    <m/>
    <m/>
    <n v="62"/>
    <s v="EUR"/>
    <d v="2026-07-13T00:00:00"/>
    <m/>
    <m/>
    <m/>
    <m/>
    <m/>
  </r>
  <r>
    <n v="66"/>
    <s v="EUR"/>
    <n v="21819.08"/>
    <n v="21819.08"/>
    <n v="25310.132799999999"/>
    <n v="21819.08"/>
    <n v="21819.08"/>
    <n v="25310.132799999999"/>
    <n v="0"/>
    <n v="0"/>
    <d v="2025-12-26T00:00:00"/>
    <d v="2025-11-26T00:00:00"/>
    <x v="0"/>
    <x v="0"/>
    <m/>
    <m/>
    <n v="63"/>
    <s v="EUR"/>
    <d v="2025-12-09T00:00:00"/>
    <m/>
    <m/>
    <m/>
    <m/>
    <m/>
  </r>
  <r>
    <n v="67"/>
    <s v="EUR"/>
    <n v="12508.44"/>
    <n v="12508.44"/>
    <n v="14509.7904"/>
    <n v="12508.44"/>
    <n v="12508.44"/>
    <n v="14509.7904"/>
    <n v="0"/>
    <n v="0"/>
    <d v="2026-02-21T00:00:00"/>
    <d v="2026-01-22T00:00:00"/>
    <x v="11"/>
    <x v="1"/>
    <m/>
    <m/>
    <n v="64"/>
    <s v="EUR"/>
    <d v="2025-11-18T00:00:00"/>
    <m/>
    <m/>
    <m/>
    <m/>
    <m/>
  </r>
  <r>
    <n v="69"/>
    <s v="EUR"/>
    <n v="5414.9"/>
    <n v="5414.9"/>
    <n v="6281.2839999999987"/>
    <n v="5414.9"/>
    <n v="5414.9"/>
    <n v="6281.2839999999987"/>
    <n v="0"/>
    <n v="0"/>
    <d v="2026-01-01T00:00:00"/>
    <d v="2025-12-02T00:00:00"/>
    <x v="8"/>
    <x v="0"/>
    <m/>
    <m/>
    <n v="65"/>
    <s v="EUR"/>
    <d v="2025-12-19T00:00:00"/>
    <m/>
    <m/>
    <m/>
    <m/>
    <m/>
  </r>
  <r>
    <n v="70"/>
    <s v="EUR"/>
    <n v="9614.93"/>
    <n v="9614.93"/>
    <n v="11153.318799999999"/>
    <n v="9614.93"/>
    <n v="9614.93"/>
    <n v="11153.318799999999"/>
    <n v="0"/>
    <n v="0"/>
    <d v="2026-06-21T00:00:00"/>
    <d v="2026-05-22T00:00:00"/>
    <x v="5"/>
    <x v="1"/>
    <m/>
    <m/>
    <n v="66"/>
    <s v="EUR"/>
    <d v="2025-12-26T00:00:00"/>
    <m/>
    <m/>
    <m/>
    <m/>
    <m/>
  </r>
  <r>
    <n v="71"/>
    <s v="EUR"/>
    <n v="3717.21"/>
    <n v="3717.21"/>
    <n v="4311.9636"/>
    <n v="3717.21"/>
    <n v="3717.21"/>
    <n v="4311.9636"/>
    <n v="0"/>
    <n v="0"/>
    <d v="2026-01-08T00:00:00"/>
    <d v="2025-12-09T00:00:00"/>
    <x v="8"/>
    <x v="0"/>
    <m/>
    <m/>
    <n v="67"/>
    <s v="EUR"/>
    <d v="2026-02-21T00:00:00"/>
    <m/>
    <m/>
    <m/>
    <m/>
    <m/>
  </r>
  <r>
    <n v="72"/>
    <s v="EUR"/>
    <n v="2200"/>
    <n v="2200"/>
    <n v="2552"/>
    <n v="2200"/>
    <n v="2200"/>
    <n v="2552"/>
    <n v="0"/>
    <n v="0"/>
    <d v="2026-06-13T00:00:00"/>
    <d v="2026-05-14T00:00:00"/>
    <x v="5"/>
    <x v="1"/>
    <m/>
    <m/>
    <n v="68"/>
    <s v="EUR"/>
    <d v="2025-11-21T00:00:00"/>
    <m/>
    <m/>
    <m/>
    <m/>
    <m/>
  </r>
  <r>
    <n v="73"/>
    <s v="EUR"/>
    <n v="6118.34"/>
    <n v="6118.34"/>
    <n v="7097.2743999999993"/>
    <n v="6118.34"/>
    <n v="6118.34"/>
    <n v="7097.2743999999993"/>
    <n v="0"/>
    <n v="0"/>
    <d v="2026-07-27T00:00:00"/>
    <d v="2026-06-27T00:00:00"/>
    <x v="3"/>
    <x v="1"/>
    <m/>
    <m/>
    <n v="69"/>
    <s v="EUR"/>
    <d v="2026-01-01T00:00:00"/>
    <m/>
    <m/>
    <m/>
    <m/>
    <m/>
  </r>
  <r>
    <n v="75"/>
    <s v="EUR"/>
    <n v="1773"/>
    <n v="1773"/>
    <n v="2056.6799999999998"/>
    <n v="1773"/>
    <n v="1773"/>
    <n v="2056.6799999999998"/>
    <n v="0"/>
    <n v="0"/>
    <d v="2026-04-09T00:00:00"/>
    <d v="2026-03-10T00:00:00"/>
    <x v="1"/>
    <x v="1"/>
    <m/>
    <m/>
    <n v="70"/>
    <s v="EUR"/>
    <d v="2026-06-21T00:00:00"/>
    <m/>
    <m/>
    <m/>
    <m/>
    <m/>
  </r>
  <r>
    <n v="76"/>
    <s v="EUR"/>
    <n v="7212.58"/>
    <n v="7212.58"/>
    <n v="8366.5927999999985"/>
    <n v="7212.58"/>
    <n v="7212.58"/>
    <n v="8366.5927999999985"/>
    <n v="0"/>
    <n v="0"/>
    <d v="2026-01-14T00:00:00"/>
    <d v="2025-12-15T00:00:00"/>
    <x v="8"/>
    <x v="0"/>
    <m/>
    <m/>
    <n v="71"/>
    <s v="EUR"/>
    <d v="2026-01-08T00:00:00"/>
    <m/>
    <m/>
    <m/>
    <m/>
    <m/>
  </r>
  <r>
    <n v="78"/>
    <s v="EUR"/>
    <n v="44158.43"/>
    <n v="44158.43"/>
    <n v="51223.7788"/>
    <n v="44158.43"/>
    <n v="44158.43"/>
    <n v="51223.7788"/>
    <n v="0"/>
    <n v="0"/>
    <d v="2026-05-28T00:00:00"/>
    <d v="2026-04-28T00:00:00"/>
    <x v="2"/>
    <x v="1"/>
    <m/>
    <m/>
    <n v="72"/>
    <s v="EUR"/>
    <d v="2026-06-13T00:00:00"/>
    <m/>
    <m/>
    <m/>
    <m/>
    <m/>
  </r>
  <r>
    <n v="79"/>
    <s v="EUR"/>
    <n v="24454.75"/>
    <n v="24454.75"/>
    <n v="28367.51"/>
    <n v="24454.75"/>
    <n v="24454.75"/>
    <n v="28367.51"/>
    <n v="0"/>
    <n v="0"/>
    <d v="2025-12-31T00:00:00"/>
    <d v="2025-12-01T00:00:00"/>
    <x v="8"/>
    <x v="0"/>
    <m/>
    <m/>
    <n v="73"/>
    <s v="EUR"/>
    <d v="2026-07-27T00:00:00"/>
    <m/>
    <m/>
    <m/>
    <m/>
    <m/>
  </r>
  <r>
    <n v="80"/>
    <s v="EUR"/>
    <n v="5592.12"/>
    <n v="5592.12"/>
    <n v="6486.8591999999999"/>
    <n v="5592.12"/>
    <n v="5592.12"/>
    <n v="6486.8591999999999"/>
    <n v="0"/>
    <n v="0"/>
    <d v="2026-01-11T00:00:00"/>
    <d v="2025-12-12T00:00:00"/>
    <x v="8"/>
    <x v="0"/>
    <m/>
    <m/>
    <n v="74"/>
    <s v="USD"/>
    <d v="2025-12-20T00:00:00"/>
    <m/>
    <m/>
    <m/>
    <m/>
    <m/>
  </r>
  <r>
    <n v="81"/>
    <s v="EUR"/>
    <n v="5745.95"/>
    <n v="5745.95"/>
    <n v="6665.3019999999997"/>
    <n v="5499.35"/>
    <n v="5499.35"/>
    <n v="6379.2460000000001"/>
    <n v="246.59999999999945"/>
    <n v="286.05599999999936"/>
    <d v="2026-04-19T00:00:00"/>
    <d v="2026-03-20T00:00:00"/>
    <x v="1"/>
    <x v="1"/>
    <m/>
    <m/>
    <n v="75"/>
    <s v="EUR"/>
    <d v="2026-04-09T00:00:00"/>
    <m/>
    <m/>
    <m/>
    <m/>
    <m/>
  </r>
  <r>
    <n v="82"/>
    <s v="EUR"/>
    <n v="494.56"/>
    <n v="494.56"/>
    <n v="573.68959999999993"/>
    <n v="494.56"/>
    <n v="494.56"/>
    <n v="573.68959999999993"/>
    <n v="0"/>
    <n v="0"/>
    <d v="2025-11-10T00:00:00"/>
    <d v="2025-10-11T00:00:00"/>
    <x v="9"/>
    <x v="0"/>
    <m/>
    <m/>
    <n v="76"/>
    <s v="EUR"/>
    <d v="2026-01-14T00:00:00"/>
    <m/>
    <m/>
    <m/>
    <m/>
    <m/>
  </r>
  <r>
    <n v="83"/>
    <s v="EUR"/>
    <n v="2401.4299999999998"/>
    <n v="2401.4299999999998"/>
    <n v="2785.6587999999997"/>
    <n v="2401.4299999999998"/>
    <n v="2401.4299999999998"/>
    <n v="2785.6587999999997"/>
    <n v="0"/>
    <n v="0"/>
    <d v="2026-01-30T00:00:00"/>
    <d v="2025-12-31T00:00:00"/>
    <x v="8"/>
    <x v="0"/>
    <m/>
    <m/>
    <n v="77"/>
    <s v="EUR"/>
    <d v="2026-02-03T00:00:00"/>
    <m/>
    <m/>
    <m/>
    <m/>
    <m/>
  </r>
  <r>
    <n v="85"/>
    <s v="EUR"/>
    <n v="653.41999999999996"/>
    <n v="653.41999999999996"/>
    <n v="757.96719999999993"/>
    <n v="653.41999999999996"/>
    <n v="653.41999999999996"/>
    <n v="757.96719999999993"/>
    <n v="0"/>
    <n v="0"/>
    <d v="2026-01-25T00:00:00"/>
    <d v="2025-12-26T00:00:00"/>
    <x v="8"/>
    <x v="0"/>
    <m/>
    <m/>
    <n v="78"/>
    <s v="EUR"/>
    <d v="2026-05-28T00:00:00"/>
    <m/>
    <m/>
    <m/>
    <m/>
    <m/>
  </r>
  <r>
    <n v="86"/>
    <s v="EUR"/>
    <n v="7784.98"/>
    <n v="7784.98"/>
    <n v="9030.5767999999989"/>
    <n v="6993.36"/>
    <n v="6993.36"/>
    <n v="8112.297599999999"/>
    <n v="791.61999999999989"/>
    <n v="918.27919999999983"/>
    <d v="2026-02-08T00:00:00"/>
    <d v="2026-01-09T00:00:00"/>
    <x v="11"/>
    <x v="1"/>
    <m/>
    <m/>
    <n v="79"/>
    <s v="EUR"/>
    <d v="2025-12-31T00:00:00"/>
    <m/>
    <m/>
    <m/>
    <m/>
    <m/>
  </r>
  <r>
    <n v="87"/>
    <s v="EUR"/>
    <n v="10230.299999999999"/>
    <n v="10230.299999999999"/>
    <n v="11867.147999999999"/>
    <n v="10230.299999999999"/>
    <n v="10230.299999999999"/>
    <n v="11867.147999999999"/>
    <n v="0"/>
    <n v="0"/>
    <d v="2026-01-11T00:00:00"/>
    <d v="2025-12-12T00:00:00"/>
    <x v="8"/>
    <x v="0"/>
    <m/>
    <m/>
    <n v="80"/>
    <s v="EUR"/>
    <d v="2026-01-11T00:00:00"/>
    <m/>
    <m/>
    <m/>
    <m/>
    <m/>
  </r>
  <r>
    <n v="88"/>
    <s v="EUR"/>
    <n v="3563.28"/>
    <n v="3563.28"/>
    <n v="4133.4048000000003"/>
    <n v="3563.28"/>
    <n v="3563.28"/>
    <n v="4133.4048000000003"/>
    <n v="0"/>
    <n v="0"/>
    <d v="2026-09-20T00:00:00"/>
    <d v="2026-08-21T00:00:00"/>
    <x v="7"/>
    <x v="1"/>
    <m/>
    <m/>
    <n v="81"/>
    <s v="EUR"/>
    <d v="2026-04-19T00:00:00"/>
    <m/>
    <m/>
    <m/>
    <m/>
    <m/>
  </r>
  <r>
    <n v="89"/>
    <s v="EUR"/>
    <n v="1098.56"/>
    <n v="1098.56"/>
    <n v="1274.3295999999998"/>
    <n v="1098.56"/>
    <n v="1098.56"/>
    <n v="1274.3295999999998"/>
    <n v="0"/>
    <n v="0"/>
    <d v="2026-09-23T00:00:00"/>
    <d v="2026-08-24T00:00:00"/>
    <x v="7"/>
    <x v="1"/>
    <m/>
    <m/>
    <n v="82"/>
    <s v="EUR"/>
    <d v="2025-11-10T00:00:00"/>
    <m/>
    <m/>
    <m/>
    <m/>
    <m/>
  </r>
  <r>
    <n v="91"/>
    <s v="EUR"/>
    <n v="3209.6"/>
    <n v="3209.6"/>
    <n v="3723.1359999999995"/>
    <n v="3209.6"/>
    <n v="3209.6"/>
    <n v="3723.1359999999995"/>
    <n v="0"/>
    <n v="0"/>
    <d v="2026-02-19T00:00:00"/>
    <d v="2026-01-20T00:00:00"/>
    <x v="11"/>
    <x v="1"/>
    <m/>
    <m/>
    <n v="83"/>
    <s v="EUR"/>
    <d v="2026-01-30T00:00:00"/>
    <m/>
    <m/>
    <m/>
    <m/>
    <m/>
  </r>
  <r>
    <n v="92"/>
    <s v="EUR"/>
    <n v="835.53"/>
    <n v="835.53"/>
    <n v="969.21479999999985"/>
    <n v="835.53"/>
    <n v="835.53"/>
    <n v="969.21479999999985"/>
    <n v="0"/>
    <n v="0"/>
    <d v="2026-02-06T00:00:00"/>
    <d v="2026-01-07T00:00:00"/>
    <x v="11"/>
    <x v="1"/>
    <m/>
    <m/>
    <n v="84"/>
    <s v="EUR"/>
    <d v="2025-11-21T00:00:00"/>
    <m/>
    <m/>
    <m/>
    <m/>
    <m/>
  </r>
  <r>
    <n v="93"/>
    <s v="EUR"/>
    <n v="9843.7199999999993"/>
    <n v="9843.7199999999993"/>
    <n v="11418.715199999999"/>
    <n v="9583.02"/>
    <n v="9583.02"/>
    <n v="11116.3032"/>
    <n v="260.69999999999891"/>
    <n v="302.41199999999873"/>
    <d v="2026-07-13T00:00:00"/>
    <d v="2026-06-13T00:00:00"/>
    <x v="3"/>
    <x v="1"/>
    <m/>
    <m/>
    <n v="85"/>
    <s v="EUR"/>
    <d v="2026-01-25T00:00:00"/>
    <m/>
    <m/>
    <m/>
    <m/>
    <m/>
  </r>
  <r>
    <n v="95"/>
    <s v="EUR"/>
    <n v="985.79"/>
    <n v="985.79"/>
    <n v="1143.5164"/>
    <n v="985.79"/>
    <n v="985.79"/>
    <n v="1143.5164"/>
    <n v="0"/>
    <n v="0"/>
    <d v="2026-02-11T00:00:00"/>
    <d v="2026-01-12T00:00:00"/>
    <x v="11"/>
    <x v="1"/>
    <m/>
    <m/>
    <n v="86"/>
    <s v="EUR"/>
    <d v="2026-02-08T00:00:00"/>
    <m/>
    <m/>
    <m/>
    <m/>
    <m/>
  </r>
  <r>
    <n v="96"/>
    <s v="EUR"/>
    <n v="6563.4"/>
    <n v="6563.4"/>
    <n v="7613.543999999999"/>
    <n v="6497.68"/>
    <n v="6497.68"/>
    <n v="7537.3087999999998"/>
    <n v="65.719999999999345"/>
    <n v="76.235199999999239"/>
    <d v="2026-01-31T00:00:00"/>
    <d v="2026-01-01T00:00:00"/>
    <x v="11"/>
    <x v="1"/>
    <m/>
    <m/>
    <n v="87"/>
    <s v="EUR"/>
    <d v="2026-01-11T00:00:00"/>
    <m/>
    <m/>
    <m/>
    <m/>
    <m/>
  </r>
  <r>
    <n v="97"/>
    <s v="EUR"/>
    <n v="26617.53"/>
    <n v="26617.53"/>
    <n v="30876.334799999997"/>
    <n v="13685.47"/>
    <n v="13685.47"/>
    <n v="15875.145199999999"/>
    <n v="12932.06"/>
    <n v="15001.189599999998"/>
    <d v="2026-10-30T00:00:00"/>
    <d v="2026-09-30T00:00:00"/>
    <x v="6"/>
    <x v="1"/>
    <m/>
    <m/>
    <n v="88"/>
    <s v="EUR"/>
    <d v="2026-09-20T00:00:00"/>
    <m/>
    <m/>
    <m/>
    <m/>
    <m/>
  </r>
  <r>
    <n v="98"/>
    <s v="USD"/>
    <n v="7770"/>
    <n v="6682.2"/>
    <n v="7770"/>
    <n v="7770"/>
    <n v="6682.2"/>
    <n v="7770"/>
    <n v="0"/>
    <n v="0"/>
    <d v="2026-05-25T00:00:00"/>
    <d v="2026-04-25T00:00:00"/>
    <x v="2"/>
    <x v="1"/>
    <m/>
    <m/>
    <n v="89"/>
    <s v="EUR"/>
    <d v="2026-09-23T00:00:00"/>
    <m/>
    <m/>
    <m/>
    <m/>
    <m/>
  </r>
  <r>
    <n v="99"/>
    <s v="EUR"/>
    <n v="4013.03"/>
    <n v="4013.03"/>
    <n v="4655.1148000000003"/>
    <n v="4013.03"/>
    <n v="4013.03"/>
    <n v="4655.1148000000003"/>
    <n v="0"/>
    <n v="0"/>
    <d v="2026-03-29T00:00:00"/>
    <d v="2026-02-27T00:00:00"/>
    <x v="10"/>
    <x v="1"/>
    <m/>
    <m/>
    <n v="90"/>
    <s v="EUR"/>
    <d v="2026-02-21T00:00:00"/>
    <m/>
    <m/>
    <m/>
    <m/>
    <m/>
  </r>
  <r>
    <n v="101"/>
    <s v="EUR"/>
    <n v="4472.8100000000004"/>
    <n v="4472.8100000000004"/>
    <n v="5188.4596000000001"/>
    <n v="4472.8100000000004"/>
    <n v="4472.8100000000004"/>
    <n v="5188.4596000000001"/>
    <n v="0"/>
    <n v="0"/>
    <d v="2026-02-20T00:00:00"/>
    <d v="2026-01-21T00:00:00"/>
    <x v="11"/>
    <x v="1"/>
    <m/>
    <m/>
    <n v="91"/>
    <s v="EUR"/>
    <d v="2026-02-19T00:00:00"/>
    <m/>
    <m/>
    <m/>
    <m/>
    <m/>
  </r>
  <r>
    <n v="102"/>
    <s v="EUR"/>
    <n v="22653.85"/>
    <n v="22653.85"/>
    <n v="26278.465999999997"/>
    <n v="22450.41"/>
    <n v="22450.41"/>
    <n v="26042.475599999998"/>
    <n v="203.43999999999869"/>
    <n v="235.99039999999846"/>
    <d v="2026-02-15T00:00:00"/>
    <d v="2026-01-16T00:00:00"/>
    <x v="11"/>
    <x v="1"/>
    <m/>
    <m/>
    <n v="92"/>
    <s v="EUR"/>
    <d v="2026-02-06T00:00:00"/>
    <m/>
    <m/>
    <m/>
    <m/>
    <m/>
  </r>
  <r>
    <n v="103"/>
    <s v="EUR"/>
    <n v="1310.84"/>
    <n v="1310.84"/>
    <n v="1520.5743999999997"/>
    <n v="1310.84"/>
    <n v="1310.84"/>
    <n v="1520.5743999999997"/>
    <n v="0"/>
    <n v="0"/>
    <d v="2026-07-20T00:00:00"/>
    <d v="2026-06-20T00:00:00"/>
    <x v="3"/>
    <x v="1"/>
    <m/>
    <m/>
    <n v="93"/>
    <s v="EUR"/>
    <d v="2026-07-13T00:00:00"/>
    <m/>
    <m/>
    <m/>
    <m/>
    <m/>
  </r>
  <r>
    <n v="105"/>
    <s v="EUR"/>
    <n v="792"/>
    <n v="792"/>
    <n v="918.71999999999991"/>
    <n v="792"/>
    <n v="792"/>
    <n v="918.71999999999991"/>
    <n v="0"/>
    <n v="0"/>
    <d v="2026-03-20T00:00:00"/>
    <d v="2026-02-18T00:00:00"/>
    <x v="10"/>
    <x v="1"/>
    <m/>
    <m/>
    <n v="94"/>
    <s v="USD"/>
    <d v="2026-02-22T00:00:00"/>
    <m/>
    <m/>
    <m/>
    <m/>
    <m/>
  </r>
  <r>
    <n v="106"/>
    <s v="EUR"/>
    <n v="3181.85"/>
    <n v="3181.85"/>
    <n v="3690.9459999999995"/>
    <n v="3181.85"/>
    <n v="3181.85"/>
    <n v="3690.9459999999995"/>
    <n v="0"/>
    <n v="0"/>
    <d v="2026-02-19T00:00:00"/>
    <d v="2026-01-20T00:00:00"/>
    <x v="11"/>
    <x v="1"/>
    <m/>
    <m/>
    <n v="95"/>
    <s v="EUR"/>
    <d v="2026-02-11T00:00:00"/>
    <m/>
    <m/>
    <m/>
    <m/>
    <m/>
  </r>
  <r>
    <n v="107"/>
    <s v="EUR"/>
    <n v="1834.16"/>
    <n v="1834.16"/>
    <n v="2127.6255999999998"/>
    <n v="1834.16"/>
    <n v="1834.16"/>
    <n v="2127.6255999999998"/>
    <n v="0"/>
    <n v="0"/>
    <d v="2026-06-22T00:00:00"/>
    <d v="2026-05-23T00:00:00"/>
    <x v="5"/>
    <x v="1"/>
    <m/>
    <m/>
    <n v="96"/>
    <s v="EUR"/>
    <d v="2026-01-31T00:00:00"/>
    <m/>
    <m/>
    <m/>
    <m/>
    <m/>
  </r>
  <r>
    <m/>
    <m/>
    <m/>
    <m/>
    <m/>
    <m/>
    <m/>
    <m/>
    <m/>
    <m/>
    <m/>
    <m/>
    <x v="12"/>
    <x v="2"/>
    <m/>
    <m/>
    <n v="97"/>
    <s v="EUR"/>
    <d v="2026-10-30T00:00:00"/>
    <m/>
    <m/>
    <m/>
    <m/>
    <m/>
  </r>
  <r>
    <m/>
    <m/>
    <m/>
    <m/>
    <m/>
    <m/>
    <m/>
    <m/>
    <m/>
    <m/>
    <m/>
    <m/>
    <x v="12"/>
    <x v="2"/>
    <m/>
    <m/>
    <n v="98"/>
    <s v="USD"/>
    <d v="2026-05-25T00:00:00"/>
    <m/>
    <m/>
    <m/>
    <m/>
    <m/>
  </r>
  <r>
    <m/>
    <m/>
    <m/>
    <m/>
    <m/>
    <m/>
    <m/>
    <m/>
    <m/>
    <m/>
    <m/>
    <m/>
    <x v="12"/>
    <x v="2"/>
    <m/>
    <m/>
    <n v="99"/>
    <s v="EUR"/>
    <d v="2026-03-29T00:00:00"/>
    <m/>
    <m/>
    <m/>
    <m/>
    <m/>
  </r>
  <r>
    <m/>
    <m/>
    <m/>
    <m/>
    <m/>
    <m/>
    <m/>
    <m/>
    <m/>
    <m/>
    <m/>
    <m/>
    <x v="12"/>
    <x v="2"/>
    <m/>
    <m/>
    <n v="100"/>
    <s v="EUR"/>
    <d v="2026-06-10T00:00:00"/>
    <m/>
    <m/>
    <m/>
    <m/>
    <m/>
  </r>
  <r>
    <m/>
    <m/>
    <m/>
    <m/>
    <m/>
    <m/>
    <m/>
    <m/>
    <m/>
    <m/>
    <m/>
    <m/>
    <x v="12"/>
    <x v="2"/>
    <m/>
    <m/>
    <n v="101"/>
    <s v="EUR"/>
    <d v="2026-02-20T00:00:00"/>
    <m/>
    <m/>
    <m/>
    <m/>
    <m/>
  </r>
  <r>
    <m/>
    <m/>
    <m/>
    <m/>
    <m/>
    <m/>
    <m/>
    <m/>
    <m/>
    <m/>
    <m/>
    <m/>
    <x v="12"/>
    <x v="2"/>
    <m/>
    <m/>
    <n v="102"/>
    <s v="EUR"/>
    <d v="2026-02-15T00:00:00"/>
    <m/>
    <m/>
    <m/>
    <m/>
    <m/>
  </r>
  <r>
    <m/>
    <m/>
    <m/>
    <m/>
    <m/>
    <m/>
    <m/>
    <m/>
    <m/>
    <m/>
    <m/>
    <m/>
    <x v="12"/>
    <x v="2"/>
    <m/>
    <m/>
    <n v="103"/>
    <s v="EUR"/>
    <d v="2026-07-20T00:00:00"/>
    <m/>
    <m/>
    <m/>
    <m/>
    <m/>
  </r>
  <r>
    <m/>
    <m/>
    <m/>
    <m/>
    <m/>
    <m/>
    <m/>
    <m/>
    <m/>
    <m/>
    <m/>
    <m/>
    <x v="12"/>
    <x v="2"/>
    <m/>
    <m/>
    <n v="104"/>
    <s v="EUR"/>
    <d v="2026-04-24T00:00:00"/>
    <m/>
    <m/>
    <m/>
    <m/>
    <m/>
  </r>
  <r>
    <m/>
    <m/>
    <m/>
    <m/>
    <m/>
    <m/>
    <m/>
    <m/>
    <m/>
    <m/>
    <m/>
    <m/>
    <x v="12"/>
    <x v="2"/>
    <m/>
    <m/>
    <n v="105"/>
    <s v="EUR"/>
    <d v="2026-03-20T00:00:00"/>
    <m/>
    <m/>
    <m/>
    <m/>
    <m/>
  </r>
  <r>
    <m/>
    <m/>
    <m/>
    <m/>
    <m/>
    <m/>
    <m/>
    <m/>
    <m/>
    <m/>
    <m/>
    <m/>
    <x v="12"/>
    <x v="2"/>
    <m/>
    <m/>
    <n v="106"/>
    <s v="EUR"/>
    <d v="2026-02-19T00:00:00"/>
    <m/>
    <m/>
    <m/>
    <m/>
    <m/>
  </r>
  <r>
    <m/>
    <m/>
    <m/>
    <m/>
    <m/>
    <m/>
    <m/>
    <m/>
    <m/>
    <m/>
    <m/>
    <m/>
    <x v="12"/>
    <x v="2"/>
    <m/>
    <m/>
    <n v="107"/>
    <s v="EUR"/>
    <d v="2026-06-22T00:00:00"/>
    <m/>
    <m/>
    <m/>
    <m/>
    <m/>
  </r>
  <r>
    <m/>
    <m/>
    <m/>
    <m/>
    <m/>
    <m/>
    <m/>
    <m/>
    <m/>
    <m/>
    <m/>
    <m/>
    <x v="12"/>
    <x v="2"/>
    <m/>
    <m/>
    <n v="108"/>
    <s v="EUR"/>
    <d v="2026-04-09T00:00:00"/>
    <m/>
    <m/>
    <m/>
    <m/>
    <m/>
  </r>
  <r>
    <m/>
    <m/>
    <m/>
    <m/>
    <m/>
    <m/>
    <m/>
    <m/>
    <m/>
    <m/>
    <m/>
    <m/>
    <x v="12"/>
    <x v="2"/>
    <m/>
    <m/>
    <n v="109"/>
    <s v="EUR"/>
    <d v="2026-10-12T00:00:00"/>
    <m/>
    <m/>
    <m/>
    <m/>
    <m/>
  </r>
  <r>
    <m/>
    <m/>
    <m/>
    <m/>
    <m/>
    <m/>
    <m/>
    <m/>
    <m/>
    <m/>
    <m/>
    <m/>
    <x v="12"/>
    <x v="2"/>
    <m/>
    <m/>
    <n v="110"/>
    <s v="EUR"/>
    <d v="2026-05-21T00:00:00"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n v="1922.62"/>
    <m/>
    <m/>
    <m/>
    <m/>
    <m/>
    <m/>
    <x v="12"/>
    <x v="2"/>
    <m/>
    <m/>
    <m/>
    <m/>
    <m/>
    <m/>
    <m/>
    <m/>
    <m/>
    <m/>
  </r>
  <r>
    <m/>
    <m/>
    <m/>
    <m/>
    <m/>
    <n v="2850.91"/>
    <m/>
    <m/>
    <m/>
    <m/>
    <m/>
    <m/>
    <x v="12"/>
    <x v="2"/>
    <m/>
    <m/>
    <m/>
    <m/>
    <m/>
    <m/>
    <m/>
    <m/>
    <m/>
    <m/>
  </r>
  <r>
    <m/>
    <m/>
    <m/>
    <m/>
    <m/>
    <n v="4135"/>
    <m/>
    <m/>
    <m/>
    <m/>
    <m/>
    <m/>
    <x v="12"/>
    <x v="2"/>
    <m/>
    <m/>
    <m/>
    <m/>
    <m/>
    <m/>
    <m/>
    <m/>
    <m/>
    <m/>
  </r>
  <r>
    <m/>
    <m/>
    <m/>
    <m/>
    <m/>
    <n v="18.18"/>
    <m/>
    <m/>
    <m/>
    <m/>
    <m/>
    <m/>
    <x v="12"/>
    <x v="2"/>
    <m/>
    <m/>
    <m/>
    <m/>
    <m/>
    <m/>
    <m/>
    <m/>
    <m/>
    <m/>
  </r>
  <r>
    <m/>
    <m/>
    <m/>
    <m/>
    <m/>
    <n v="330.35"/>
    <m/>
    <m/>
    <m/>
    <m/>
    <m/>
    <m/>
    <x v="12"/>
    <x v="2"/>
    <m/>
    <m/>
    <m/>
    <m/>
    <m/>
    <m/>
    <m/>
    <m/>
    <m/>
    <m/>
  </r>
  <r>
    <m/>
    <m/>
    <m/>
    <m/>
    <m/>
    <n v="3748.65"/>
    <m/>
    <m/>
    <m/>
    <m/>
    <m/>
    <m/>
    <x v="12"/>
    <x v="2"/>
    <m/>
    <m/>
    <m/>
    <m/>
    <m/>
    <m/>
    <m/>
    <m/>
    <m/>
    <m/>
  </r>
  <r>
    <m/>
    <m/>
    <m/>
    <m/>
    <m/>
    <n v="125.34"/>
    <m/>
    <m/>
    <m/>
    <m/>
    <m/>
    <m/>
    <x v="12"/>
    <x v="2"/>
    <m/>
    <m/>
    <m/>
    <m/>
    <m/>
    <m/>
    <m/>
    <m/>
    <m/>
    <m/>
  </r>
  <r>
    <m/>
    <m/>
    <m/>
    <m/>
    <m/>
    <n v="273.27999999999997"/>
    <m/>
    <m/>
    <m/>
    <m/>
    <m/>
    <m/>
    <x v="12"/>
    <x v="2"/>
    <m/>
    <m/>
    <m/>
    <m/>
    <m/>
    <m/>
    <m/>
    <m/>
    <m/>
    <m/>
  </r>
  <r>
    <m/>
    <m/>
    <m/>
    <m/>
    <m/>
    <n v="480.28"/>
    <m/>
    <m/>
    <m/>
    <m/>
    <m/>
    <m/>
    <x v="12"/>
    <x v="2"/>
    <m/>
    <m/>
    <m/>
    <m/>
    <m/>
    <m/>
    <m/>
    <m/>
    <m/>
    <m/>
  </r>
  <r>
    <m/>
    <m/>
    <m/>
    <m/>
    <m/>
    <n v="583.4"/>
    <m/>
    <m/>
    <m/>
    <m/>
    <m/>
    <m/>
    <x v="12"/>
    <x v="2"/>
    <m/>
    <m/>
    <m/>
    <m/>
    <m/>
    <m/>
    <m/>
    <m/>
    <m/>
    <m/>
  </r>
  <r>
    <m/>
    <m/>
    <m/>
    <m/>
    <m/>
    <n v="719.59"/>
    <m/>
    <m/>
    <m/>
    <m/>
    <m/>
    <m/>
    <x v="12"/>
    <x v="2"/>
    <m/>
    <m/>
    <m/>
    <m/>
    <m/>
    <m/>
    <m/>
    <m/>
    <m/>
    <m/>
  </r>
  <r>
    <m/>
    <m/>
    <m/>
    <m/>
    <m/>
    <n v="681.82"/>
    <m/>
    <m/>
    <m/>
    <m/>
    <m/>
    <m/>
    <x v="12"/>
    <x v="2"/>
    <m/>
    <m/>
    <m/>
    <m/>
    <m/>
    <m/>
    <m/>
    <m/>
    <m/>
    <m/>
  </r>
  <r>
    <m/>
    <m/>
    <m/>
    <m/>
    <m/>
    <n v="6662.28"/>
    <m/>
    <m/>
    <m/>
    <m/>
    <m/>
    <m/>
    <x v="12"/>
    <x v="2"/>
    <m/>
    <m/>
    <m/>
    <m/>
    <m/>
    <m/>
    <m/>
    <m/>
    <m/>
    <m/>
  </r>
  <r>
    <m/>
    <m/>
    <m/>
    <m/>
    <m/>
    <n v="13693.92"/>
    <m/>
    <m/>
    <m/>
    <m/>
    <m/>
    <m/>
    <x v="12"/>
    <x v="2"/>
    <m/>
    <m/>
    <m/>
    <m/>
    <m/>
    <m/>
    <m/>
    <m/>
    <m/>
    <m/>
  </r>
  <r>
    <m/>
    <m/>
    <m/>
    <m/>
    <m/>
    <n v="4223.95"/>
    <m/>
    <m/>
    <m/>
    <m/>
    <m/>
    <m/>
    <x v="12"/>
    <x v="2"/>
    <m/>
    <m/>
    <m/>
    <m/>
    <m/>
    <m/>
    <m/>
    <m/>
    <m/>
    <m/>
  </r>
  <r>
    <m/>
    <m/>
    <m/>
    <m/>
    <m/>
    <n v="17879.099999999999"/>
    <m/>
    <m/>
    <m/>
    <m/>
    <m/>
    <m/>
    <x v="12"/>
    <x v="2"/>
    <m/>
    <m/>
    <m/>
    <m/>
    <m/>
    <m/>
    <m/>
    <m/>
    <m/>
    <m/>
  </r>
  <r>
    <m/>
    <m/>
    <m/>
    <m/>
    <m/>
    <n v="1889.82"/>
    <m/>
    <m/>
    <m/>
    <m/>
    <m/>
    <m/>
    <x v="12"/>
    <x v="2"/>
    <m/>
    <m/>
    <m/>
    <m/>
    <m/>
    <m/>
    <m/>
    <m/>
    <m/>
    <m/>
  </r>
  <r>
    <m/>
    <m/>
    <m/>
    <m/>
    <m/>
    <n v="549.12"/>
    <m/>
    <m/>
    <m/>
    <m/>
    <m/>
    <m/>
    <x v="12"/>
    <x v="2"/>
    <m/>
    <m/>
    <m/>
    <m/>
    <m/>
    <m/>
    <m/>
    <m/>
    <m/>
    <m/>
  </r>
  <r>
    <m/>
    <m/>
    <m/>
    <m/>
    <m/>
    <n v="18485.849999999999"/>
    <m/>
    <m/>
    <m/>
    <m/>
    <m/>
    <m/>
    <x v="12"/>
    <x v="2"/>
    <m/>
    <m/>
    <m/>
    <m/>
    <m/>
    <m/>
    <m/>
    <m/>
    <m/>
    <m/>
  </r>
  <r>
    <m/>
    <m/>
    <m/>
    <m/>
    <m/>
    <n v="2918.5"/>
    <m/>
    <m/>
    <m/>
    <m/>
    <m/>
    <m/>
    <x v="12"/>
    <x v="2"/>
    <m/>
    <m/>
    <m/>
    <m/>
    <m/>
    <m/>
    <m/>
    <m/>
    <m/>
    <m/>
  </r>
  <r>
    <m/>
    <m/>
    <m/>
    <m/>
    <m/>
    <n v="4032.9"/>
    <m/>
    <m/>
    <m/>
    <m/>
    <m/>
    <m/>
    <x v="12"/>
    <x v="2"/>
    <m/>
    <m/>
    <m/>
    <m/>
    <m/>
    <m/>
    <m/>
    <m/>
    <m/>
    <m/>
  </r>
  <r>
    <m/>
    <m/>
    <m/>
    <m/>
    <m/>
    <n v="1485"/>
    <m/>
    <m/>
    <m/>
    <m/>
    <m/>
    <m/>
    <x v="12"/>
    <x v="2"/>
    <m/>
    <m/>
    <m/>
    <m/>
    <m/>
    <m/>
    <m/>
    <m/>
    <m/>
    <m/>
  </r>
  <r>
    <m/>
    <m/>
    <m/>
    <m/>
    <m/>
    <n v="1080"/>
    <m/>
    <m/>
    <m/>
    <m/>
    <m/>
    <m/>
    <x v="12"/>
    <x v="2"/>
    <m/>
    <m/>
    <m/>
    <m/>
    <m/>
    <m/>
    <m/>
    <m/>
    <m/>
    <m/>
  </r>
  <r>
    <m/>
    <m/>
    <m/>
    <m/>
    <m/>
    <n v="336"/>
    <m/>
    <m/>
    <m/>
    <m/>
    <m/>
    <m/>
    <x v="12"/>
    <x v="2"/>
    <m/>
    <m/>
    <m/>
    <m/>
    <m/>
    <m/>
    <m/>
    <m/>
    <m/>
    <m/>
  </r>
  <r>
    <m/>
    <m/>
    <m/>
    <m/>
    <m/>
    <n v="120"/>
    <m/>
    <m/>
    <m/>
    <m/>
    <m/>
    <m/>
    <x v="12"/>
    <x v="2"/>
    <m/>
    <m/>
    <m/>
    <m/>
    <m/>
    <m/>
    <m/>
    <m/>
    <m/>
    <m/>
  </r>
  <r>
    <m/>
    <m/>
    <m/>
    <m/>
    <m/>
    <n v="1692.4"/>
    <m/>
    <m/>
    <m/>
    <m/>
    <m/>
    <m/>
    <x v="12"/>
    <x v="2"/>
    <m/>
    <m/>
    <m/>
    <m/>
    <m/>
    <m/>
    <m/>
    <m/>
    <m/>
    <m/>
  </r>
  <r>
    <m/>
    <m/>
    <m/>
    <m/>
    <m/>
    <n v="1284.8699999999999"/>
    <m/>
    <m/>
    <m/>
    <m/>
    <m/>
    <m/>
    <x v="12"/>
    <x v="2"/>
    <m/>
    <m/>
    <m/>
    <m/>
    <m/>
    <m/>
    <m/>
    <m/>
    <m/>
    <m/>
  </r>
  <r>
    <m/>
    <m/>
    <m/>
    <m/>
    <m/>
    <n v="23250"/>
    <m/>
    <m/>
    <m/>
    <m/>
    <m/>
    <m/>
    <x v="12"/>
    <x v="2"/>
    <m/>
    <m/>
    <m/>
    <m/>
    <m/>
    <m/>
    <m/>
    <m/>
    <m/>
    <m/>
  </r>
  <r>
    <m/>
    <m/>
    <m/>
    <m/>
    <m/>
    <n v="94.85"/>
    <m/>
    <m/>
    <m/>
    <m/>
    <m/>
    <m/>
    <x v="12"/>
    <x v="2"/>
    <m/>
    <m/>
    <m/>
    <m/>
    <m/>
    <m/>
    <m/>
    <m/>
    <m/>
    <m/>
  </r>
  <r>
    <m/>
    <m/>
    <m/>
    <m/>
    <m/>
    <n v="16355.79"/>
    <m/>
    <m/>
    <m/>
    <m/>
    <m/>
    <m/>
    <x v="12"/>
    <x v="2"/>
    <m/>
    <m/>
    <m/>
    <m/>
    <m/>
    <m/>
    <m/>
    <m/>
    <m/>
    <m/>
  </r>
  <r>
    <m/>
    <m/>
    <m/>
    <m/>
    <m/>
    <n v="580.28"/>
    <m/>
    <m/>
    <m/>
    <m/>
    <m/>
    <m/>
    <x v="12"/>
    <x v="2"/>
    <m/>
    <m/>
    <m/>
    <m/>
    <m/>
    <m/>
    <m/>
    <m/>
    <m/>
    <m/>
  </r>
  <r>
    <m/>
    <m/>
    <m/>
    <m/>
    <m/>
    <n v="13336.98"/>
    <m/>
    <m/>
    <m/>
    <m/>
    <m/>
    <m/>
    <x v="12"/>
    <x v="2"/>
    <m/>
    <m/>
    <m/>
    <m/>
    <m/>
    <m/>
    <m/>
    <m/>
    <m/>
    <m/>
  </r>
  <r>
    <m/>
    <m/>
    <m/>
    <m/>
    <m/>
    <n v="7444.61"/>
    <m/>
    <m/>
    <m/>
    <m/>
    <m/>
    <m/>
    <x v="12"/>
    <x v="2"/>
    <m/>
    <m/>
    <m/>
    <m/>
    <m/>
    <m/>
    <m/>
    <m/>
    <m/>
    <m/>
  </r>
  <r>
    <m/>
    <m/>
    <m/>
    <m/>
    <m/>
    <n v="315.56"/>
    <m/>
    <m/>
    <m/>
    <m/>
    <m/>
    <m/>
    <x v="12"/>
    <x v="2"/>
    <m/>
    <m/>
    <m/>
    <m/>
    <m/>
    <m/>
    <m/>
    <m/>
    <m/>
    <m/>
  </r>
  <r>
    <m/>
    <m/>
    <m/>
    <m/>
    <m/>
    <n v="13399"/>
    <m/>
    <m/>
    <m/>
    <m/>
    <m/>
    <m/>
    <x v="12"/>
    <x v="2"/>
    <m/>
    <m/>
    <m/>
    <m/>
    <m/>
    <m/>
    <m/>
    <m/>
    <m/>
    <m/>
  </r>
  <r>
    <m/>
    <m/>
    <m/>
    <m/>
    <m/>
    <n v="730"/>
    <m/>
    <m/>
    <m/>
    <m/>
    <m/>
    <m/>
    <x v="12"/>
    <x v="2"/>
    <m/>
    <m/>
    <m/>
    <m/>
    <m/>
    <m/>
    <m/>
    <m/>
    <m/>
    <m/>
  </r>
  <r>
    <m/>
    <m/>
    <m/>
    <m/>
    <m/>
    <n v="396.26"/>
    <m/>
    <m/>
    <m/>
    <m/>
    <m/>
    <m/>
    <x v="12"/>
    <x v="2"/>
    <m/>
    <m/>
    <m/>
    <m/>
    <m/>
    <m/>
    <m/>
    <m/>
    <m/>
    <m/>
  </r>
  <r>
    <m/>
    <m/>
    <m/>
    <m/>
    <m/>
    <n v="8561"/>
    <m/>
    <m/>
    <m/>
    <m/>
    <m/>
    <m/>
    <x v="12"/>
    <x v="2"/>
    <m/>
    <m/>
    <m/>
    <m/>
    <m/>
    <m/>
    <m/>
    <m/>
    <m/>
    <m/>
  </r>
  <r>
    <m/>
    <m/>
    <m/>
    <m/>
    <m/>
    <n v="528"/>
    <m/>
    <m/>
    <m/>
    <m/>
    <m/>
    <m/>
    <x v="12"/>
    <x v="2"/>
    <m/>
    <m/>
    <m/>
    <m/>
    <m/>
    <m/>
    <m/>
    <m/>
    <m/>
    <m/>
  </r>
  <r>
    <m/>
    <m/>
    <m/>
    <m/>
    <m/>
    <n v="869.33"/>
    <m/>
    <m/>
    <m/>
    <m/>
    <m/>
    <m/>
    <x v="12"/>
    <x v="2"/>
    <m/>
    <m/>
    <m/>
    <m/>
    <m/>
    <m/>
    <m/>
    <m/>
    <m/>
    <m/>
  </r>
  <r>
    <m/>
    <m/>
    <m/>
    <m/>
    <m/>
    <n v="374.44"/>
    <m/>
    <m/>
    <m/>
    <m/>
    <m/>
    <m/>
    <x v="12"/>
    <x v="2"/>
    <m/>
    <m/>
    <m/>
    <m/>
    <m/>
    <m/>
    <m/>
    <m/>
    <m/>
    <m/>
  </r>
  <r>
    <m/>
    <m/>
    <m/>
    <m/>
    <m/>
    <n v="25"/>
    <m/>
    <m/>
    <m/>
    <m/>
    <m/>
    <m/>
    <x v="12"/>
    <x v="2"/>
    <m/>
    <m/>
    <m/>
    <m/>
    <m/>
    <m/>
    <m/>
    <m/>
    <m/>
    <m/>
  </r>
  <r>
    <m/>
    <m/>
    <m/>
    <m/>
    <m/>
    <n v="2812"/>
    <m/>
    <m/>
    <m/>
    <m/>
    <m/>
    <m/>
    <x v="12"/>
    <x v="2"/>
    <m/>
    <m/>
    <m/>
    <m/>
    <m/>
    <m/>
    <m/>
    <m/>
    <m/>
    <m/>
  </r>
  <r>
    <m/>
    <m/>
    <m/>
    <m/>
    <m/>
    <n v="18"/>
    <m/>
    <m/>
    <m/>
    <m/>
    <m/>
    <m/>
    <x v="12"/>
    <x v="2"/>
    <m/>
    <m/>
    <m/>
    <m/>
    <m/>
    <m/>
    <m/>
    <m/>
    <m/>
    <m/>
  </r>
  <r>
    <m/>
    <m/>
    <m/>
    <m/>
    <m/>
    <n v="6479.23"/>
    <m/>
    <m/>
    <m/>
    <m/>
    <m/>
    <m/>
    <x v="12"/>
    <x v="2"/>
    <m/>
    <m/>
    <m/>
    <m/>
    <m/>
    <m/>
    <m/>
    <m/>
    <m/>
    <m/>
  </r>
  <r>
    <m/>
    <m/>
    <m/>
    <m/>
    <m/>
    <n v="867.19"/>
    <m/>
    <m/>
    <m/>
    <m/>
    <m/>
    <m/>
    <x v="12"/>
    <x v="2"/>
    <m/>
    <m/>
    <m/>
    <m/>
    <m/>
    <m/>
    <m/>
    <m/>
    <m/>
    <m/>
  </r>
  <r>
    <m/>
    <m/>
    <m/>
    <m/>
    <m/>
    <n v="548.5"/>
    <m/>
    <m/>
    <m/>
    <m/>
    <m/>
    <m/>
    <x v="12"/>
    <x v="2"/>
    <m/>
    <m/>
    <m/>
    <m/>
    <m/>
    <m/>
    <m/>
    <m/>
    <m/>
    <m/>
  </r>
  <r>
    <m/>
    <m/>
    <m/>
    <m/>
    <m/>
    <n v="1159.07"/>
    <m/>
    <m/>
    <m/>
    <m/>
    <m/>
    <m/>
    <x v="12"/>
    <x v="2"/>
    <m/>
    <m/>
    <m/>
    <m/>
    <m/>
    <m/>
    <m/>
    <m/>
    <m/>
    <m/>
  </r>
  <r>
    <m/>
    <m/>
    <m/>
    <m/>
    <m/>
    <n v="5747.88"/>
    <m/>
    <m/>
    <m/>
    <m/>
    <m/>
    <m/>
    <x v="12"/>
    <x v="2"/>
    <m/>
    <m/>
    <m/>
    <m/>
    <m/>
    <m/>
    <m/>
    <m/>
    <m/>
    <m/>
  </r>
  <r>
    <m/>
    <m/>
    <m/>
    <m/>
    <m/>
    <n v="105"/>
    <m/>
    <m/>
    <m/>
    <m/>
    <m/>
    <m/>
    <x v="12"/>
    <x v="2"/>
    <m/>
    <m/>
    <m/>
    <m/>
    <m/>
    <m/>
    <m/>
    <m/>
    <m/>
    <m/>
  </r>
  <r>
    <m/>
    <m/>
    <m/>
    <m/>
    <m/>
    <n v="1218.8499999999999"/>
    <m/>
    <m/>
    <m/>
    <m/>
    <m/>
    <m/>
    <x v="12"/>
    <x v="2"/>
    <m/>
    <m/>
    <m/>
    <m/>
    <m/>
    <m/>
    <m/>
    <m/>
    <m/>
    <m/>
  </r>
  <r>
    <m/>
    <m/>
    <m/>
    <m/>
    <m/>
    <n v="2124.1999999999998"/>
    <m/>
    <m/>
    <m/>
    <m/>
    <m/>
    <m/>
    <x v="12"/>
    <x v="2"/>
    <m/>
    <m/>
    <m/>
    <m/>
    <m/>
    <m/>
    <m/>
    <m/>
    <m/>
    <m/>
  </r>
  <r>
    <m/>
    <m/>
    <m/>
    <m/>
    <m/>
    <n v="1814.49"/>
    <m/>
    <m/>
    <m/>
    <m/>
    <m/>
    <m/>
    <x v="12"/>
    <x v="2"/>
    <m/>
    <m/>
    <m/>
    <m/>
    <m/>
    <m/>
    <m/>
    <m/>
    <m/>
    <m/>
  </r>
  <r>
    <m/>
    <m/>
    <m/>
    <m/>
    <m/>
    <n v="17483.16"/>
    <m/>
    <m/>
    <m/>
    <m/>
    <m/>
    <m/>
    <x v="12"/>
    <x v="2"/>
    <m/>
    <m/>
    <m/>
    <m/>
    <m/>
    <m/>
    <m/>
    <m/>
    <m/>
    <m/>
  </r>
  <r>
    <m/>
    <m/>
    <m/>
    <m/>
    <m/>
    <n v="1387.08"/>
    <m/>
    <m/>
    <m/>
    <m/>
    <m/>
    <m/>
    <x v="12"/>
    <x v="2"/>
    <m/>
    <m/>
    <m/>
    <m/>
    <m/>
    <m/>
    <m/>
    <m/>
    <m/>
    <m/>
  </r>
  <r>
    <m/>
    <m/>
    <m/>
    <m/>
    <m/>
    <n v="311.88"/>
    <m/>
    <m/>
    <m/>
    <m/>
    <m/>
    <m/>
    <x v="12"/>
    <x v="2"/>
    <m/>
    <m/>
    <m/>
    <m/>
    <m/>
    <m/>
    <m/>
    <m/>
    <m/>
    <m/>
  </r>
  <r>
    <m/>
    <m/>
    <m/>
    <m/>
    <m/>
    <n v="72"/>
    <m/>
    <m/>
    <m/>
    <m/>
    <m/>
    <m/>
    <x v="12"/>
    <x v="2"/>
    <m/>
    <m/>
    <m/>
    <m/>
    <m/>
    <m/>
    <m/>
    <m/>
    <m/>
    <m/>
  </r>
  <r>
    <m/>
    <m/>
    <m/>
    <m/>
    <m/>
    <n v="5728"/>
    <m/>
    <m/>
    <m/>
    <m/>
    <m/>
    <m/>
    <x v="12"/>
    <x v="2"/>
    <m/>
    <m/>
    <m/>
    <m/>
    <m/>
    <m/>
    <m/>
    <m/>
    <m/>
    <m/>
  </r>
  <r>
    <m/>
    <m/>
    <m/>
    <m/>
    <m/>
    <n v="5414.9"/>
    <m/>
    <m/>
    <m/>
    <m/>
    <m/>
    <m/>
    <x v="12"/>
    <x v="2"/>
    <m/>
    <m/>
    <m/>
    <m/>
    <m/>
    <m/>
    <m/>
    <m/>
    <m/>
    <m/>
  </r>
  <r>
    <m/>
    <m/>
    <m/>
    <m/>
    <m/>
    <n v="580"/>
    <m/>
    <m/>
    <m/>
    <m/>
    <m/>
    <m/>
    <x v="12"/>
    <x v="2"/>
    <m/>
    <m/>
    <m/>
    <m/>
    <m/>
    <m/>
    <m/>
    <m/>
    <m/>
    <m/>
  </r>
  <r>
    <m/>
    <m/>
    <m/>
    <m/>
    <m/>
    <n v="2630"/>
    <m/>
    <m/>
    <m/>
    <m/>
    <m/>
    <m/>
    <x v="12"/>
    <x v="2"/>
    <m/>
    <m/>
    <m/>
    <m/>
    <m/>
    <m/>
    <m/>
    <m/>
    <m/>
    <m/>
  </r>
  <r>
    <m/>
    <m/>
    <m/>
    <m/>
    <m/>
    <n v="909.62"/>
    <m/>
    <m/>
    <m/>
    <m/>
    <m/>
    <m/>
    <x v="12"/>
    <x v="2"/>
    <m/>
    <m/>
    <m/>
    <m/>
    <m/>
    <m/>
    <m/>
    <m/>
    <m/>
    <m/>
  </r>
  <r>
    <m/>
    <m/>
    <m/>
    <m/>
    <m/>
    <n v="6386.29"/>
    <m/>
    <m/>
    <m/>
    <m/>
    <m/>
    <m/>
    <x v="12"/>
    <x v="2"/>
    <m/>
    <m/>
    <m/>
    <m/>
    <m/>
    <m/>
    <m/>
    <m/>
    <m/>
    <m/>
  </r>
  <r>
    <m/>
    <m/>
    <m/>
    <m/>
    <m/>
    <n v="2561.39"/>
    <m/>
    <m/>
    <m/>
    <m/>
    <m/>
    <m/>
    <x v="12"/>
    <x v="2"/>
    <m/>
    <m/>
    <m/>
    <m/>
    <m/>
    <m/>
    <m/>
    <m/>
    <m/>
    <m/>
  </r>
  <r>
    <m/>
    <m/>
    <m/>
    <m/>
    <m/>
    <n v="73561.89"/>
    <m/>
    <m/>
    <m/>
    <m/>
    <m/>
    <m/>
    <x v="12"/>
    <x v="2"/>
    <m/>
    <m/>
    <m/>
    <m/>
    <m/>
    <m/>
    <m/>
    <m/>
    <m/>
    <m/>
  </r>
  <r>
    <m/>
    <m/>
    <m/>
    <m/>
    <m/>
    <n v="4675"/>
    <m/>
    <m/>
    <m/>
    <m/>
    <m/>
    <m/>
    <x v="12"/>
    <x v="2"/>
    <m/>
    <m/>
    <m/>
    <m/>
    <m/>
    <m/>
    <m/>
    <m/>
    <m/>
    <m/>
  </r>
  <r>
    <m/>
    <m/>
    <m/>
    <m/>
    <m/>
    <n v="72.239999999999995"/>
    <m/>
    <m/>
    <m/>
    <m/>
    <m/>
    <m/>
    <x v="12"/>
    <x v="2"/>
    <m/>
    <m/>
    <m/>
    <m/>
    <m/>
    <m/>
    <m/>
    <m/>
    <m/>
    <m/>
  </r>
  <r>
    <m/>
    <m/>
    <m/>
    <m/>
    <m/>
    <n v="176"/>
    <m/>
    <m/>
    <m/>
    <m/>
    <m/>
    <m/>
    <x v="12"/>
    <x v="2"/>
    <m/>
    <m/>
    <m/>
    <m/>
    <m/>
    <m/>
    <m/>
    <m/>
    <m/>
    <m/>
  </r>
  <r>
    <m/>
    <m/>
    <m/>
    <m/>
    <m/>
    <n v="729"/>
    <m/>
    <m/>
    <m/>
    <m/>
    <m/>
    <m/>
    <x v="12"/>
    <x v="2"/>
    <m/>
    <m/>
    <m/>
    <m/>
    <m/>
    <m/>
    <m/>
    <m/>
    <m/>
    <m/>
  </r>
  <r>
    <m/>
    <m/>
    <m/>
    <m/>
    <m/>
    <n v="2200"/>
    <m/>
    <m/>
    <m/>
    <m/>
    <m/>
    <m/>
    <x v="12"/>
    <x v="2"/>
    <m/>
    <m/>
    <m/>
    <m/>
    <m/>
    <m/>
    <m/>
    <m/>
    <m/>
    <m/>
  </r>
  <r>
    <m/>
    <m/>
    <m/>
    <m/>
    <m/>
    <n v="20360"/>
    <m/>
    <m/>
    <m/>
    <m/>
    <m/>
    <m/>
    <x v="12"/>
    <x v="2"/>
    <m/>
    <m/>
    <m/>
    <m/>
    <m/>
    <m/>
    <m/>
    <m/>
    <m/>
    <m/>
  </r>
  <r>
    <m/>
    <m/>
    <m/>
    <m/>
    <m/>
    <n v="1773"/>
    <m/>
    <m/>
    <m/>
    <m/>
    <m/>
    <m/>
    <x v="12"/>
    <x v="2"/>
    <m/>
    <m/>
    <m/>
    <m/>
    <m/>
    <m/>
    <m/>
    <m/>
    <m/>
    <m/>
  </r>
  <r>
    <m/>
    <m/>
    <m/>
    <m/>
    <m/>
    <n v="39607"/>
    <m/>
    <m/>
    <m/>
    <m/>
    <m/>
    <m/>
    <x v="12"/>
    <x v="2"/>
    <m/>
    <m/>
    <m/>
    <m/>
    <m/>
    <m/>
    <m/>
    <m/>
    <m/>
    <m/>
  </r>
  <r>
    <m/>
    <m/>
    <m/>
    <m/>
    <m/>
    <n v="654.91"/>
    <m/>
    <m/>
    <m/>
    <m/>
    <m/>
    <m/>
    <x v="12"/>
    <x v="2"/>
    <m/>
    <m/>
    <m/>
    <m/>
    <m/>
    <m/>
    <m/>
    <m/>
    <m/>
    <m/>
  </r>
  <r>
    <m/>
    <m/>
    <m/>
    <m/>
    <m/>
    <n v="619.57000000000005"/>
    <m/>
    <m/>
    <m/>
    <m/>
    <m/>
    <m/>
    <x v="12"/>
    <x v="2"/>
    <m/>
    <m/>
    <m/>
    <m/>
    <m/>
    <m/>
    <m/>
    <m/>
    <m/>
    <m/>
  </r>
  <r>
    <m/>
    <m/>
    <m/>
    <m/>
    <m/>
    <n v="3364.52"/>
    <m/>
    <m/>
    <m/>
    <m/>
    <m/>
    <m/>
    <x v="12"/>
    <x v="2"/>
    <m/>
    <m/>
    <m/>
    <m/>
    <m/>
    <m/>
    <m/>
    <m/>
    <m/>
    <m/>
  </r>
  <r>
    <m/>
    <m/>
    <m/>
    <m/>
    <m/>
    <n v="1666.15"/>
    <m/>
    <m/>
    <m/>
    <m/>
    <m/>
    <m/>
    <x v="12"/>
    <x v="2"/>
    <m/>
    <m/>
    <m/>
    <m/>
    <m/>
    <m/>
    <m/>
    <m/>
    <m/>
    <m/>
  </r>
  <r>
    <m/>
    <m/>
    <m/>
    <m/>
    <m/>
    <n v="19790.169999999998"/>
    <m/>
    <m/>
    <m/>
    <m/>
    <m/>
    <m/>
    <x v="12"/>
    <x v="2"/>
    <m/>
    <m/>
    <m/>
    <m/>
    <m/>
    <m/>
    <m/>
    <m/>
    <m/>
    <m/>
  </r>
  <r>
    <m/>
    <m/>
    <m/>
    <m/>
    <m/>
    <n v="303.04000000000002"/>
    <m/>
    <m/>
    <m/>
    <m/>
    <m/>
    <m/>
    <x v="12"/>
    <x v="2"/>
    <m/>
    <m/>
    <m/>
    <m/>
    <m/>
    <m/>
    <m/>
    <m/>
    <m/>
    <m/>
  </r>
  <r>
    <m/>
    <m/>
    <m/>
    <m/>
    <m/>
    <n v="1835.45"/>
    <m/>
    <m/>
    <m/>
    <m/>
    <m/>
    <m/>
    <x v="12"/>
    <x v="2"/>
    <m/>
    <m/>
    <m/>
    <m/>
    <m/>
    <m/>
    <m/>
    <m/>
    <m/>
    <m/>
  </r>
  <r>
    <m/>
    <m/>
    <m/>
    <m/>
    <m/>
    <n v="1189.6400000000001"/>
    <m/>
    <m/>
    <m/>
    <m/>
    <m/>
    <m/>
    <x v="12"/>
    <x v="2"/>
    <m/>
    <m/>
    <m/>
    <m/>
    <m/>
    <m/>
    <m/>
    <m/>
    <m/>
    <m/>
  </r>
  <r>
    <m/>
    <m/>
    <m/>
    <m/>
    <m/>
    <n v="1465.96"/>
    <m/>
    <m/>
    <m/>
    <m/>
    <m/>
    <m/>
    <x v="12"/>
    <x v="2"/>
    <m/>
    <m/>
    <m/>
    <m/>
    <m/>
    <m/>
    <m/>
    <m/>
    <m/>
    <m/>
  </r>
  <r>
    <m/>
    <m/>
    <m/>
    <m/>
    <m/>
    <n v="331.6"/>
    <m/>
    <m/>
    <m/>
    <m/>
    <m/>
    <m/>
    <x v="12"/>
    <x v="2"/>
    <m/>
    <m/>
    <m/>
    <m/>
    <m/>
    <m/>
    <m/>
    <m/>
    <m/>
    <m/>
  </r>
  <r>
    <m/>
    <m/>
    <m/>
    <m/>
    <m/>
    <n v="727.06"/>
    <m/>
    <m/>
    <m/>
    <m/>
    <m/>
    <m/>
    <x v="12"/>
    <x v="2"/>
    <m/>
    <m/>
    <m/>
    <m/>
    <m/>
    <m/>
    <m/>
    <m/>
    <m/>
    <m/>
  </r>
  <r>
    <m/>
    <m/>
    <m/>
    <m/>
    <m/>
    <n v="46"/>
    <m/>
    <m/>
    <m/>
    <m/>
    <m/>
    <m/>
    <x v="12"/>
    <x v="2"/>
    <m/>
    <m/>
    <m/>
    <m/>
    <m/>
    <m/>
    <m/>
    <m/>
    <m/>
    <m/>
  </r>
  <r>
    <m/>
    <m/>
    <m/>
    <m/>
    <m/>
    <n v="44"/>
    <m/>
    <m/>
    <m/>
    <m/>
    <m/>
    <m/>
    <x v="12"/>
    <x v="2"/>
    <m/>
    <m/>
    <m/>
    <m/>
    <m/>
    <m/>
    <m/>
    <m/>
    <m/>
    <m/>
  </r>
  <r>
    <m/>
    <m/>
    <m/>
    <m/>
    <m/>
    <n v="44"/>
    <m/>
    <m/>
    <m/>
    <m/>
    <m/>
    <m/>
    <x v="12"/>
    <x v="2"/>
    <m/>
    <m/>
    <m/>
    <m/>
    <m/>
    <m/>
    <m/>
    <m/>
    <m/>
    <m/>
  </r>
  <r>
    <m/>
    <m/>
    <m/>
    <m/>
    <m/>
    <n v="1602.34"/>
    <m/>
    <m/>
    <m/>
    <m/>
    <m/>
    <m/>
    <x v="12"/>
    <x v="2"/>
    <m/>
    <m/>
    <m/>
    <m/>
    <m/>
    <m/>
    <m/>
    <m/>
    <m/>
    <m/>
  </r>
  <r>
    <m/>
    <m/>
    <m/>
    <m/>
    <m/>
    <n v="502.84"/>
    <m/>
    <m/>
    <m/>
    <m/>
    <m/>
    <m/>
    <x v="12"/>
    <x v="2"/>
    <m/>
    <m/>
    <m/>
    <m/>
    <m/>
    <m/>
    <m/>
    <m/>
    <m/>
    <m/>
  </r>
  <r>
    <m/>
    <m/>
    <m/>
    <m/>
    <m/>
    <n v="867.18"/>
    <m/>
    <m/>
    <m/>
    <m/>
    <m/>
    <m/>
    <x v="12"/>
    <x v="2"/>
    <m/>
    <m/>
    <m/>
    <m/>
    <m/>
    <m/>
    <m/>
    <m/>
    <m/>
    <m/>
  </r>
  <r>
    <m/>
    <m/>
    <m/>
    <m/>
    <m/>
    <n v="15774"/>
    <m/>
    <m/>
    <m/>
    <m/>
    <m/>
    <m/>
    <x v="12"/>
    <x v="2"/>
    <m/>
    <m/>
    <m/>
    <m/>
    <m/>
    <m/>
    <m/>
    <m/>
    <m/>
    <m/>
  </r>
  <r>
    <m/>
    <m/>
    <m/>
    <m/>
    <m/>
    <n v="2318.21"/>
    <m/>
    <m/>
    <m/>
    <m/>
    <m/>
    <m/>
    <x v="12"/>
    <x v="2"/>
    <m/>
    <m/>
    <m/>
    <m/>
    <m/>
    <m/>
    <m/>
    <m/>
    <m/>
    <m/>
  </r>
  <r>
    <m/>
    <m/>
    <m/>
    <m/>
    <m/>
    <n v="1357.76"/>
    <m/>
    <m/>
    <m/>
    <m/>
    <m/>
    <m/>
    <x v="12"/>
    <x v="2"/>
    <m/>
    <m/>
    <m/>
    <m/>
    <m/>
    <m/>
    <m/>
    <m/>
    <m/>
    <m/>
  </r>
  <r>
    <m/>
    <m/>
    <m/>
    <m/>
    <m/>
    <n v="36613.24"/>
    <m/>
    <m/>
    <m/>
    <m/>
    <m/>
    <m/>
    <x v="12"/>
    <x v="2"/>
    <m/>
    <m/>
    <m/>
    <m/>
    <m/>
    <m/>
    <m/>
    <m/>
    <m/>
    <m/>
  </r>
  <r>
    <m/>
    <m/>
    <m/>
    <m/>
    <m/>
    <n v="25108"/>
    <m/>
    <m/>
    <m/>
    <m/>
    <m/>
    <m/>
    <x v="12"/>
    <x v="2"/>
    <m/>
    <m/>
    <m/>
    <m/>
    <m/>
    <m/>
    <m/>
    <m/>
    <m/>
    <m/>
  </r>
  <r>
    <m/>
    <m/>
    <m/>
    <m/>
    <m/>
    <n v="442.45"/>
    <m/>
    <m/>
    <m/>
    <m/>
    <m/>
    <m/>
    <x v="12"/>
    <x v="2"/>
    <m/>
    <m/>
    <m/>
    <m/>
    <m/>
    <m/>
    <m/>
    <m/>
    <m/>
    <m/>
  </r>
  <r>
    <m/>
    <m/>
    <m/>
    <m/>
    <m/>
    <n v="575.51"/>
    <m/>
    <m/>
    <m/>
    <m/>
    <m/>
    <m/>
    <x v="12"/>
    <x v="2"/>
    <m/>
    <m/>
    <m/>
    <m/>
    <m/>
    <m/>
    <m/>
    <m/>
    <m/>
    <m/>
  </r>
  <r>
    <m/>
    <m/>
    <m/>
    <m/>
    <m/>
    <n v="13183.22"/>
    <m/>
    <m/>
    <m/>
    <m/>
    <m/>
    <m/>
    <x v="12"/>
    <x v="2"/>
    <m/>
    <m/>
    <m/>
    <m/>
    <m/>
    <m/>
    <m/>
    <m/>
    <m/>
    <m/>
  </r>
  <r>
    <m/>
    <m/>
    <m/>
    <m/>
    <m/>
    <n v="962.48"/>
    <m/>
    <m/>
    <m/>
    <m/>
    <m/>
    <m/>
    <x v="12"/>
    <x v="2"/>
    <m/>
    <m/>
    <m/>
    <m/>
    <m/>
    <m/>
    <m/>
    <m/>
    <m/>
    <m/>
  </r>
  <r>
    <m/>
    <m/>
    <m/>
    <m/>
    <m/>
    <n v="1958.38"/>
    <m/>
    <m/>
    <m/>
    <m/>
    <m/>
    <m/>
    <x v="12"/>
    <x v="2"/>
    <m/>
    <m/>
    <m/>
    <m/>
    <m/>
    <m/>
    <m/>
    <m/>
    <m/>
    <m/>
  </r>
  <r>
    <m/>
    <m/>
    <m/>
    <m/>
    <m/>
    <n v="615.28"/>
    <m/>
    <m/>
    <m/>
    <m/>
    <m/>
    <m/>
    <x v="12"/>
    <x v="2"/>
    <m/>
    <m/>
    <m/>
    <m/>
    <m/>
    <m/>
    <m/>
    <m/>
    <m/>
    <m/>
  </r>
  <r>
    <m/>
    <m/>
    <m/>
    <m/>
    <m/>
    <n v="3391.36"/>
    <m/>
    <m/>
    <m/>
    <m/>
    <m/>
    <m/>
    <x v="12"/>
    <x v="2"/>
    <m/>
    <m/>
    <m/>
    <m/>
    <m/>
    <m/>
    <m/>
    <m/>
    <m/>
    <m/>
  </r>
  <r>
    <m/>
    <m/>
    <m/>
    <m/>
    <m/>
    <n v="198.68"/>
    <m/>
    <m/>
    <m/>
    <m/>
    <m/>
    <m/>
    <x v="12"/>
    <x v="2"/>
    <m/>
    <m/>
    <m/>
    <m/>
    <m/>
    <m/>
    <m/>
    <m/>
    <m/>
    <m/>
  </r>
  <r>
    <m/>
    <m/>
    <m/>
    <m/>
    <m/>
    <n v="3717.21"/>
    <m/>
    <m/>
    <m/>
    <m/>
    <m/>
    <m/>
    <x v="12"/>
    <x v="2"/>
    <m/>
    <m/>
    <m/>
    <m/>
    <m/>
    <m/>
    <m/>
    <m/>
    <m/>
    <m/>
  </r>
  <r>
    <m/>
    <m/>
    <m/>
    <m/>
    <m/>
    <n v="311.88"/>
    <m/>
    <m/>
    <m/>
    <m/>
    <m/>
    <m/>
    <x v="12"/>
    <x v="2"/>
    <m/>
    <m/>
    <m/>
    <m/>
    <m/>
    <m/>
    <m/>
    <m/>
    <m/>
    <m/>
  </r>
  <r>
    <m/>
    <m/>
    <m/>
    <m/>
    <m/>
    <n v="854.73"/>
    <m/>
    <m/>
    <m/>
    <m/>
    <m/>
    <m/>
    <x v="12"/>
    <x v="2"/>
    <m/>
    <m/>
    <m/>
    <m/>
    <m/>
    <m/>
    <m/>
    <m/>
    <m/>
    <m/>
  </r>
  <r>
    <m/>
    <m/>
    <m/>
    <m/>
    <m/>
    <n v="250.68"/>
    <m/>
    <m/>
    <m/>
    <m/>
    <m/>
    <m/>
    <x v="12"/>
    <x v="2"/>
    <m/>
    <m/>
    <m/>
    <m/>
    <m/>
    <m/>
    <m/>
    <m/>
    <m/>
    <m/>
  </r>
  <r>
    <m/>
    <m/>
    <m/>
    <m/>
    <m/>
    <n v="290.14"/>
    <m/>
    <m/>
    <m/>
    <m/>
    <m/>
    <m/>
    <x v="12"/>
    <x v="2"/>
    <m/>
    <m/>
    <m/>
    <m/>
    <m/>
    <m/>
    <m/>
    <m/>
    <m/>
    <m/>
  </r>
  <r>
    <m/>
    <m/>
    <m/>
    <m/>
    <m/>
    <n v="250.68"/>
    <m/>
    <m/>
    <m/>
    <m/>
    <m/>
    <m/>
    <x v="12"/>
    <x v="2"/>
    <m/>
    <m/>
    <m/>
    <m/>
    <m/>
    <m/>
    <m/>
    <m/>
    <m/>
    <m/>
  </r>
  <r>
    <m/>
    <m/>
    <m/>
    <m/>
    <m/>
    <n v="290.14"/>
    <m/>
    <m/>
    <m/>
    <m/>
    <m/>
    <m/>
    <x v="12"/>
    <x v="2"/>
    <m/>
    <m/>
    <m/>
    <m/>
    <m/>
    <m/>
    <m/>
    <m/>
    <m/>
    <m/>
  </r>
  <r>
    <m/>
    <m/>
    <m/>
    <m/>
    <m/>
    <n v="2900"/>
    <m/>
    <m/>
    <m/>
    <m/>
    <m/>
    <m/>
    <x v="12"/>
    <x v="2"/>
    <m/>
    <m/>
    <m/>
    <m/>
    <m/>
    <m/>
    <m/>
    <m/>
    <m/>
    <m/>
  </r>
  <r>
    <m/>
    <m/>
    <m/>
    <m/>
    <m/>
    <n v="9010"/>
    <m/>
    <m/>
    <m/>
    <m/>
    <m/>
    <m/>
    <x v="12"/>
    <x v="2"/>
    <m/>
    <m/>
    <m/>
    <m/>
    <m/>
    <m/>
    <m/>
    <m/>
    <m/>
    <m/>
  </r>
  <r>
    <m/>
    <m/>
    <m/>
    <m/>
    <m/>
    <n v="78"/>
    <m/>
    <m/>
    <m/>
    <m/>
    <m/>
    <m/>
    <x v="12"/>
    <x v="2"/>
    <m/>
    <m/>
    <m/>
    <m/>
    <m/>
    <m/>
    <m/>
    <m/>
    <m/>
    <m/>
  </r>
  <r>
    <m/>
    <m/>
    <m/>
    <m/>
    <m/>
    <n v="496.2"/>
    <m/>
    <m/>
    <m/>
    <m/>
    <m/>
    <m/>
    <x v="12"/>
    <x v="2"/>
    <m/>
    <m/>
    <m/>
    <m/>
    <m/>
    <m/>
    <m/>
    <m/>
    <m/>
    <m/>
  </r>
  <r>
    <m/>
    <m/>
    <m/>
    <m/>
    <m/>
    <n v="15273"/>
    <m/>
    <m/>
    <m/>
    <m/>
    <m/>
    <m/>
    <x v="12"/>
    <x v="2"/>
    <m/>
    <m/>
    <m/>
    <m/>
    <m/>
    <m/>
    <m/>
    <m/>
    <m/>
    <m/>
  </r>
  <r>
    <m/>
    <m/>
    <m/>
    <m/>
    <m/>
    <n v="1320"/>
    <m/>
    <m/>
    <m/>
    <m/>
    <m/>
    <m/>
    <x v="12"/>
    <x v="2"/>
    <m/>
    <m/>
    <m/>
    <m/>
    <m/>
    <m/>
    <m/>
    <m/>
    <m/>
    <m/>
  </r>
  <r>
    <m/>
    <m/>
    <m/>
    <m/>
    <m/>
    <n v="1702"/>
    <m/>
    <m/>
    <m/>
    <m/>
    <m/>
    <m/>
    <x v="12"/>
    <x v="2"/>
    <m/>
    <m/>
    <m/>
    <m/>
    <m/>
    <m/>
    <m/>
    <m/>
    <m/>
    <m/>
  </r>
  <r>
    <m/>
    <m/>
    <m/>
    <m/>
    <m/>
    <n v="1642"/>
    <m/>
    <m/>
    <m/>
    <m/>
    <m/>
    <m/>
    <x v="12"/>
    <x v="2"/>
    <m/>
    <m/>
    <m/>
    <m/>
    <m/>
    <m/>
    <m/>
    <m/>
    <m/>
    <m/>
  </r>
  <r>
    <m/>
    <m/>
    <m/>
    <m/>
    <m/>
    <n v="868.91"/>
    <m/>
    <m/>
    <m/>
    <m/>
    <m/>
    <m/>
    <x v="12"/>
    <x v="2"/>
    <m/>
    <m/>
    <m/>
    <m/>
    <m/>
    <m/>
    <m/>
    <m/>
    <m/>
    <m/>
  </r>
  <r>
    <m/>
    <m/>
    <m/>
    <m/>
    <m/>
    <n v="872"/>
    <m/>
    <m/>
    <m/>
    <m/>
    <m/>
    <m/>
    <x v="12"/>
    <x v="2"/>
    <m/>
    <m/>
    <m/>
    <m/>
    <m/>
    <m/>
    <m/>
    <m/>
    <m/>
    <m/>
  </r>
  <r>
    <m/>
    <m/>
    <m/>
    <m/>
    <m/>
    <n v="15155"/>
    <m/>
    <m/>
    <m/>
    <m/>
    <m/>
    <m/>
    <x v="12"/>
    <x v="2"/>
    <m/>
    <m/>
    <m/>
    <m/>
    <m/>
    <m/>
    <m/>
    <m/>
    <m/>
    <m/>
  </r>
  <r>
    <m/>
    <m/>
    <m/>
    <m/>
    <m/>
    <n v="3451.64"/>
    <m/>
    <m/>
    <m/>
    <m/>
    <m/>
    <m/>
    <x v="12"/>
    <x v="2"/>
    <m/>
    <m/>
    <m/>
    <m/>
    <m/>
    <m/>
    <m/>
    <m/>
    <m/>
    <m/>
  </r>
  <r>
    <m/>
    <m/>
    <m/>
    <m/>
    <m/>
    <n v="5715"/>
    <m/>
    <m/>
    <m/>
    <m/>
    <m/>
    <m/>
    <x v="12"/>
    <x v="2"/>
    <m/>
    <m/>
    <m/>
    <m/>
    <m/>
    <m/>
    <m/>
    <m/>
    <m/>
    <m/>
  </r>
  <r>
    <m/>
    <m/>
    <m/>
    <m/>
    <m/>
    <n v="2944.42"/>
    <m/>
    <m/>
    <m/>
    <m/>
    <m/>
    <m/>
    <x v="12"/>
    <x v="2"/>
    <m/>
    <m/>
    <m/>
    <m/>
    <m/>
    <m/>
    <m/>
    <m/>
    <m/>
    <m/>
  </r>
  <r>
    <m/>
    <m/>
    <m/>
    <m/>
    <m/>
    <n v="92.47"/>
    <m/>
    <m/>
    <m/>
    <m/>
    <m/>
    <m/>
    <x v="12"/>
    <x v="2"/>
    <m/>
    <m/>
    <m/>
    <m/>
    <m/>
    <m/>
    <m/>
    <m/>
    <m/>
    <m/>
  </r>
  <r>
    <m/>
    <m/>
    <m/>
    <m/>
    <m/>
    <n v="53.61"/>
    <m/>
    <m/>
    <m/>
    <m/>
    <m/>
    <m/>
    <x v="12"/>
    <x v="2"/>
    <m/>
    <m/>
    <m/>
    <m/>
    <m/>
    <m/>
    <m/>
    <m/>
    <m/>
    <m/>
  </r>
  <r>
    <m/>
    <m/>
    <m/>
    <m/>
    <m/>
    <n v="5702.37"/>
    <m/>
    <m/>
    <m/>
    <m/>
    <m/>
    <m/>
    <x v="12"/>
    <x v="2"/>
    <m/>
    <m/>
    <m/>
    <m/>
    <m/>
    <m/>
    <m/>
    <m/>
    <m/>
    <m/>
  </r>
  <r>
    <m/>
    <m/>
    <m/>
    <m/>
    <m/>
    <n v="5702.49"/>
    <m/>
    <m/>
    <m/>
    <m/>
    <m/>
    <m/>
    <x v="12"/>
    <x v="2"/>
    <m/>
    <m/>
    <m/>
    <m/>
    <m/>
    <m/>
    <m/>
    <m/>
    <m/>
    <m/>
  </r>
  <r>
    <m/>
    <m/>
    <m/>
    <m/>
    <m/>
    <n v="5702.49"/>
    <m/>
    <m/>
    <m/>
    <m/>
    <m/>
    <m/>
    <x v="12"/>
    <x v="2"/>
    <m/>
    <m/>
    <m/>
    <m/>
    <m/>
    <m/>
    <m/>
    <m/>
    <m/>
    <m/>
  </r>
  <r>
    <m/>
    <m/>
    <m/>
    <m/>
    <m/>
    <n v="378.33"/>
    <m/>
    <m/>
    <m/>
    <m/>
    <m/>
    <m/>
    <x v="12"/>
    <x v="2"/>
    <m/>
    <m/>
    <m/>
    <m/>
    <m/>
    <m/>
    <m/>
    <m/>
    <m/>
    <m/>
  </r>
  <r>
    <m/>
    <m/>
    <m/>
    <m/>
    <m/>
    <n v="6927"/>
    <m/>
    <m/>
    <m/>
    <m/>
    <m/>
    <m/>
    <x v="12"/>
    <x v="2"/>
    <m/>
    <m/>
    <m/>
    <m/>
    <m/>
    <m/>
    <m/>
    <m/>
    <m/>
    <m/>
  </r>
  <r>
    <m/>
    <m/>
    <m/>
    <m/>
    <m/>
    <n v="5176.1000000000004"/>
    <m/>
    <m/>
    <m/>
    <m/>
    <m/>
    <m/>
    <x v="12"/>
    <x v="2"/>
    <m/>
    <m/>
    <m/>
    <m/>
    <m/>
    <m/>
    <m/>
    <m/>
    <m/>
    <m/>
  </r>
  <r>
    <m/>
    <m/>
    <m/>
    <m/>
    <m/>
    <n v="416.02"/>
    <m/>
    <m/>
    <m/>
    <m/>
    <m/>
    <m/>
    <x v="12"/>
    <x v="2"/>
    <m/>
    <m/>
    <m/>
    <m/>
    <m/>
    <m/>
    <m/>
    <m/>
    <m/>
    <m/>
  </r>
  <r>
    <m/>
    <m/>
    <m/>
    <m/>
    <m/>
    <n v="494.56"/>
    <m/>
    <m/>
    <m/>
    <m/>
    <m/>
    <m/>
    <x v="12"/>
    <x v="2"/>
    <m/>
    <m/>
    <m/>
    <m/>
    <m/>
    <m/>
    <m/>
    <m/>
    <m/>
    <m/>
  </r>
  <r>
    <m/>
    <m/>
    <m/>
    <m/>
    <m/>
    <n v="2234.64"/>
    <m/>
    <m/>
    <m/>
    <m/>
    <m/>
    <m/>
    <x v="12"/>
    <x v="2"/>
    <m/>
    <m/>
    <m/>
    <m/>
    <m/>
    <m/>
    <m/>
    <m/>
    <m/>
    <m/>
  </r>
  <r>
    <m/>
    <m/>
    <m/>
    <m/>
    <m/>
    <n v="2358"/>
    <m/>
    <m/>
    <m/>
    <m/>
    <m/>
    <m/>
    <x v="12"/>
    <x v="2"/>
    <m/>
    <m/>
    <m/>
    <m/>
    <m/>
    <m/>
    <m/>
    <m/>
    <m/>
    <m/>
  </r>
  <r>
    <m/>
    <m/>
    <m/>
    <m/>
    <m/>
    <n v="580"/>
    <m/>
    <m/>
    <m/>
    <m/>
    <m/>
    <m/>
    <x v="12"/>
    <x v="2"/>
    <m/>
    <m/>
    <m/>
    <m/>
    <m/>
    <m/>
    <m/>
    <m/>
    <m/>
    <m/>
  </r>
  <r>
    <m/>
    <m/>
    <m/>
    <m/>
    <m/>
    <n v="87.55"/>
    <m/>
    <m/>
    <m/>
    <m/>
    <m/>
    <m/>
    <x v="12"/>
    <x v="2"/>
    <m/>
    <m/>
    <m/>
    <m/>
    <m/>
    <m/>
    <m/>
    <m/>
    <m/>
    <m/>
  </r>
  <r>
    <m/>
    <m/>
    <m/>
    <m/>
    <m/>
    <n v="653.41999999999996"/>
    <m/>
    <m/>
    <m/>
    <m/>
    <m/>
    <m/>
    <x v="12"/>
    <x v="2"/>
    <m/>
    <m/>
    <m/>
    <m/>
    <m/>
    <m/>
    <m/>
    <m/>
    <m/>
    <m/>
  </r>
  <r>
    <m/>
    <m/>
    <m/>
    <m/>
    <m/>
    <n v="166.79"/>
    <m/>
    <m/>
    <m/>
    <m/>
    <m/>
    <m/>
    <x v="12"/>
    <x v="2"/>
    <m/>
    <m/>
    <m/>
    <m/>
    <m/>
    <m/>
    <m/>
    <m/>
    <m/>
    <m/>
  </r>
  <r>
    <m/>
    <m/>
    <m/>
    <m/>
    <m/>
    <n v="6345.4"/>
    <m/>
    <m/>
    <m/>
    <m/>
    <m/>
    <m/>
    <x v="12"/>
    <x v="2"/>
    <m/>
    <m/>
    <m/>
    <m/>
    <m/>
    <m/>
    <m/>
    <m/>
    <m/>
    <m/>
  </r>
  <r>
    <m/>
    <m/>
    <m/>
    <m/>
    <m/>
    <n v="872.96"/>
    <m/>
    <m/>
    <m/>
    <m/>
    <m/>
    <m/>
    <x v="12"/>
    <x v="2"/>
    <m/>
    <m/>
    <m/>
    <m/>
    <m/>
    <m/>
    <m/>
    <m/>
    <m/>
    <m/>
  </r>
  <r>
    <m/>
    <m/>
    <m/>
    <m/>
    <m/>
    <n v="128"/>
    <m/>
    <m/>
    <m/>
    <m/>
    <m/>
    <m/>
    <x v="12"/>
    <x v="2"/>
    <m/>
    <m/>
    <m/>
    <m/>
    <m/>
    <m/>
    <m/>
    <m/>
    <m/>
    <m/>
  </r>
  <r>
    <m/>
    <m/>
    <m/>
    <m/>
    <m/>
    <n v="290.14"/>
    <m/>
    <m/>
    <m/>
    <m/>
    <m/>
    <m/>
    <x v="12"/>
    <x v="2"/>
    <m/>
    <m/>
    <m/>
    <m/>
    <m/>
    <m/>
    <m/>
    <m/>
    <m/>
    <m/>
  </r>
  <r>
    <m/>
    <m/>
    <m/>
    <m/>
    <m/>
    <n v="1752.78"/>
    <m/>
    <m/>
    <m/>
    <m/>
    <m/>
    <m/>
    <x v="12"/>
    <x v="2"/>
    <m/>
    <m/>
    <m/>
    <m/>
    <m/>
    <m/>
    <m/>
    <m/>
    <m/>
    <m/>
  </r>
  <r>
    <m/>
    <m/>
    <m/>
    <m/>
    <m/>
    <n v="6927"/>
    <m/>
    <m/>
    <m/>
    <m/>
    <m/>
    <m/>
    <x v="12"/>
    <x v="2"/>
    <m/>
    <m/>
    <m/>
    <m/>
    <m/>
    <m/>
    <m/>
    <m/>
    <m/>
    <m/>
  </r>
  <r>
    <m/>
    <m/>
    <m/>
    <m/>
    <m/>
    <n v="15"/>
    <m/>
    <m/>
    <m/>
    <m/>
    <m/>
    <m/>
    <x v="12"/>
    <x v="2"/>
    <m/>
    <m/>
    <m/>
    <m/>
    <m/>
    <m/>
    <m/>
    <m/>
    <m/>
    <m/>
  </r>
  <r>
    <m/>
    <m/>
    <m/>
    <m/>
    <m/>
    <n v="215"/>
    <m/>
    <m/>
    <m/>
    <m/>
    <m/>
    <m/>
    <x v="12"/>
    <x v="2"/>
    <m/>
    <m/>
    <m/>
    <m/>
    <m/>
    <m/>
    <m/>
    <m/>
    <m/>
    <m/>
  </r>
  <r>
    <m/>
    <m/>
    <m/>
    <m/>
    <m/>
    <n v="2967.08"/>
    <m/>
    <m/>
    <m/>
    <m/>
    <m/>
    <m/>
    <x v="12"/>
    <x v="2"/>
    <m/>
    <m/>
    <m/>
    <m/>
    <m/>
    <m/>
    <m/>
    <m/>
    <m/>
    <m/>
  </r>
  <r>
    <m/>
    <m/>
    <m/>
    <m/>
    <m/>
    <n v="2858.3"/>
    <m/>
    <m/>
    <m/>
    <m/>
    <m/>
    <m/>
    <x v="12"/>
    <x v="2"/>
    <m/>
    <m/>
    <m/>
    <m/>
    <m/>
    <m/>
    <m/>
    <m/>
    <m/>
    <m/>
  </r>
  <r>
    <m/>
    <m/>
    <m/>
    <m/>
    <m/>
    <n v="242.52"/>
    <m/>
    <m/>
    <m/>
    <m/>
    <m/>
    <m/>
    <x v="12"/>
    <x v="2"/>
    <m/>
    <m/>
    <m/>
    <m/>
    <m/>
    <m/>
    <m/>
    <m/>
    <m/>
    <m/>
  </r>
  <r>
    <m/>
    <m/>
    <m/>
    <m/>
    <m/>
    <n v="215"/>
    <m/>
    <m/>
    <m/>
    <m/>
    <m/>
    <m/>
    <x v="12"/>
    <x v="2"/>
    <m/>
    <m/>
    <m/>
    <m/>
    <m/>
    <m/>
    <m/>
    <m/>
    <m/>
    <m/>
  </r>
  <r>
    <m/>
    <m/>
    <m/>
    <m/>
    <m/>
    <n v="835.53"/>
    <m/>
    <m/>
    <m/>
    <m/>
    <m/>
    <m/>
    <x v="12"/>
    <x v="2"/>
    <m/>
    <m/>
    <m/>
    <m/>
    <m/>
    <m/>
    <m/>
    <m/>
    <m/>
    <m/>
  </r>
  <r>
    <m/>
    <m/>
    <m/>
    <m/>
    <m/>
    <n v="1075.5"/>
    <m/>
    <m/>
    <m/>
    <m/>
    <m/>
    <m/>
    <x v="12"/>
    <x v="2"/>
    <m/>
    <m/>
    <m/>
    <m/>
    <m/>
    <m/>
    <m/>
    <m/>
    <m/>
    <m/>
  </r>
  <r>
    <m/>
    <m/>
    <m/>
    <m/>
    <m/>
    <n v="1485.85"/>
    <m/>
    <m/>
    <m/>
    <m/>
    <m/>
    <m/>
    <x v="12"/>
    <x v="2"/>
    <m/>
    <m/>
    <m/>
    <m/>
    <m/>
    <m/>
    <m/>
    <m/>
    <m/>
    <m/>
  </r>
  <r>
    <m/>
    <m/>
    <m/>
    <m/>
    <m/>
    <n v="1098.56"/>
    <m/>
    <m/>
    <m/>
    <m/>
    <m/>
    <m/>
    <x v="12"/>
    <x v="2"/>
    <m/>
    <m/>
    <m/>
    <m/>
    <m/>
    <m/>
    <m/>
    <m/>
    <m/>
    <m/>
  </r>
  <r>
    <m/>
    <m/>
    <m/>
    <m/>
    <m/>
    <n v="3563.28"/>
    <m/>
    <m/>
    <m/>
    <m/>
    <m/>
    <m/>
    <x v="12"/>
    <x v="2"/>
    <m/>
    <m/>
    <m/>
    <m/>
    <m/>
    <m/>
    <m/>
    <m/>
    <m/>
    <m/>
  </r>
  <r>
    <m/>
    <m/>
    <m/>
    <m/>
    <m/>
    <n v="2200"/>
    <m/>
    <m/>
    <m/>
    <m/>
    <m/>
    <m/>
    <x v="12"/>
    <x v="2"/>
    <m/>
    <m/>
    <m/>
    <m/>
    <m/>
    <m/>
    <m/>
    <m/>
    <m/>
    <m/>
  </r>
  <r>
    <m/>
    <m/>
    <m/>
    <m/>
    <m/>
    <n v="-230.83"/>
    <m/>
    <m/>
    <m/>
    <m/>
    <m/>
    <m/>
    <x v="12"/>
    <x v="2"/>
    <m/>
    <m/>
    <m/>
    <m/>
    <m/>
    <m/>
    <m/>
    <m/>
    <m/>
    <m/>
  </r>
  <r>
    <m/>
    <m/>
    <m/>
    <m/>
    <m/>
    <n v="-718.21"/>
    <m/>
    <m/>
    <m/>
    <m/>
    <m/>
    <m/>
    <x v="12"/>
    <x v="2"/>
    <m/>
    <m/>
    <m/>
    <m/>
    <m/>
    <m/>
    <m/>
    <m/>
    <m/>
    <m/>
  </r>
  <r>
    <m/>
    <m/>
    <m/>
    <m/>
    <m/>
    <n v="2858.3"/>
    <m/>
    <m/>
    <m/>
    <m/>
    <m/>
    <m/>
    <x v="12"/>
    <x v="2"/>
    <m/>
    <m/>
    <m/>
    <m/>
    <m/>
    <m/>
    <m/>
    <m/>
    <m/>
    <m/>
  </r>
  <r>
    <m/>
    <m/>
    <m/>
    <m/>
    <m/>
    <n v="2342.08"/>
    <m/>
    <m/>
    <m/>
    <m/>
    <m/>
    <m/>
    <x v="12"/>
    <x v="2"/>
    <m/>
    <m/>
    <m/>
    <m/>
    <m/>
    <m/>
    <m/>
    <m/>
    <m/>
    <m/>
  </r>
  <r>
    <m/>
    <m/>
    <m/>
    <m/>
    <m/>
    <n v="599"/>
    <m/>
    <m/>
    <m/>
    <m/>
    <m/>
    <m/>
    <x v="12"/>
    <x v="2"/>
    <m/>
    <m/>
    <m/>
    <m/>
    <m/>
    <m/>
    <m/>
    <m/>
    <m/>
    <m/>
  </r>
  <r>
    <m/>
    <m/>
    <m/>
    <m/>
    <m/>
    <n v="-125"/>
    <m/>
    <m/>
    <m/>
    <m/>
    <m/>
    <m/>
    <x v="12"/>
    <x v="2"/>
    <m/>
    <m/>
    <m/>
    <m/>
    <m/>
    <m/>
    <m/>
    <m/>
    <m/>
    <m/>
  </r>
  <r>
    <m/>
    <m/>
    <m/>
    <m/>
    <m/>
    <n v="3234"/>
    <m/>
    <m/>
    <m/>
    <m/>
    <m/>
    <m/>
    <x v="12"/>
    <x v="2"/>
    <m/>
    <m/>
    <m/>
    <m/>
    <m/>
    <m/>
    <m/>
    <m/>
    <m/>
    <m/>
  </r>
  <r>
    <m/>
    <m/>
    <m/>
    <m/>
    <m/>
    <n v="6924.6"/>
    <m/>
    <m/>
    <m/>
    <m/>
    <m/>
    <m/>
    <x v="12"/>
    <x v="2"/>
    <m/>
    <m/>
    <m/>
    <m/>
    <m/>
    <m/>
    <m/>
    <m/>
    <m/>
    <m/>
  </r>
  <r>
    <m/>
    <m/>
    <m/>
    <m/>
    <m/>
    <n v="1863.8"/>
    <m/>
    <m/>
    <m/>
    <m/>
    <m/>
    <m/>
    <x v="12"/>
    <x v="2"/>
    <m/>
    <m/>
    <m/>
    <m/>
    <m/>
    <m/>
    <m/>
    <m/>
    <m/>
    <m/>
  </r>
  <r>
    <m/>
    <m/>
    <m/>
    <m/>
    <m/>
    <n v="1614.62"/>
    <m/>
    <m/>
    <m/>
    <m/>
    <m/>
    <m/>
    <x v="12"/>
    <x v="2"/>
    <m/>
    <m/>
    <m/>
    <m/>
    <m/>
    <m/>
    <m/>
    <m/>
    <m/>
    <m/>
  </r>
  <r>
    <m/>
    <m/>
    <m/>
    <m/>
    <m/>
    <n v="1806.42"/>
    <m/>
    <m/>
    <m/>
    <m/>
    <m/>
    <m/>
    <x v="12"/>
    <x v="2"/>
    <m/>
    <m/>
    <m/>
    <m/>
    <m/>
    <m/>
    <m/>
    <m/>
    <m/>
    <m/>
  </r>
  <r>
    <m/>
    <m/>
    <m/>
    <m/>
    <m/>
    <n v="1483.72"/>
    <m/>
    <m/>
    <m/>
    <m/>
    <m/>
    <m/>
    <x v="12"/>
    <x v="2"/>
    <m/>
    <m/>
    <m/>
    <m/>
    <m/>
    <m/>
    <m/>
    <m/>
    <m/>
    <m/>
  </r>
  <r>
    <m/>
    <m/>
    <m/>
    <m/>
    <m/>
    <n v="299.12"/>
    <m/>
    <m/>
    <m/>
    <m/>
    <m/>
    <m/>
    <x v="12"/>
    <x v="2"/>
    <m/>
    <m/>
    <m/>
    <m/>
    <m/>
    <m/>
    <m/>
    <m/>
    <m/>
    <m/>
  </r>
  <r>
    <m/>
    <m/>
    <m/>
    <m/>
    <m/>
    <n v="8.58"/>
    <m/>
    <m/>
    <m/>
    <m/>
    <m/>
    <m/>
    <x v="12"/>
    <x v="2"/>
    <m/>
    <m/>
    <m/>
    <m/>
    <m/>
    <m/>
    <m/>
    <m/>
    <m/>
    <m/>
  </r>
  <r>
    <m/>
    <m/>
    <m/>
    <m/>
    <m/>
    <n v="1028.79"/>
    <m/>
    <m/>
    <m/>
    <m/>
    <m/>
    <m/>
    <x v="12"/>
    <x v="2"/>
    <m/>
    <m/>
    <m/>
    <m/>
    <m/>
    <m/>
    <m/>
    <m/>
    <m/>
    <m/>
  </r>
  <r>
    <m/>
    <m/>
    <m/>
    <m/>
    <m/>
    <n v="17814"/>
    <m/>
    <m/>
    <m/>
    <m/>
    <m/>
    <m/>
    <x v="12"/>
    <x v="2"/>
    <m/>
    <m/>
    <m/>
    <m/>
    <m/>
    <m/>
    <m/>
    <m/>
    <m/>
    <m/>
  </r>
  <r>
    <m/>
    <m/>
    <m/>
    <m/>
    <m/>
    <n v="288"/>
    <m/>
    <m/>
    <m/>
    <m/>
    <m/>
    <m/>
    <x v="12"/>
    <x v="2"/>
    <m/>
    <m/>
    <m/>
    <m/>
    <m/>
    <m/>
    <m/>
    <m/>
    <m/>
    <m/>
  </r>
  <r>
    <m/>
    <m/>
    <m/>
    <m/>
    <m/>
    <n v="152.94"/>
    <m/>
    <m/>
    <m/>
    <m/>
    <m/>
    <m/>
    <x v="12"/>
    <x v="2"/>
    <m/>
    <m/>
    <m/>
    <m/>
    <m/>
    <m/>
    <m/>
    <m/>
    <m/>
    <m/>
  </r>
  <r>
    <m/>
    <m/>
    <m/>
    <m/>
    <m/>
    <n v="5857.63"/>
    <m/>
    <m/>
    <m/>
    <m/>
    <m/>
    <m/>
    <x v="12"/>
    <x v="2"/>
    <m/>
    <m/>
    <m/>
    <m/>
    <m/>
    <m/>
    <m/>
    <m/>
    <m/>
    <m/>
  </r>
  <r>
    <m/>
    <m/>
    <m/>
    <m/>
    <m/>
    <n v="6000.5"/>
    <m/>
    <m/>
    <m/>
    <m/>
    <m/>
    <m/>
    <x v="12"/>
    <x v="2"/>
    <m/>
    <m/>
    <m/>
    <m/>
    <m/>
    <m/>
    <m/>
    <m/>
    <m/>
    <m/>
  </r>
  <r>
    <m/>
    <m/>
    <m/>
    <m/>
    <m/>
    <n v="6000.5"/>
    <m/>
    <m/>
    <m/>
    <m/>
    <m/>
    <m/>
    <x v="12"/>
    <x v="2"/>
    <m/>
    <m/>
    <n v="349"/>
    <n v="2457.91"/>
    <m/>
    <m/>
    <m/>
    <m/>
    <m/>
    <m/>
  </r>
  <r>
    <m/>
    <m/>
    <m/>
    <m/>
    <m/>
    <n v="985.79"/>
    <m/>
    <m/>
    <m/>
    <m/>
    <m/>
    <m/>
    <x v="12"/>
    <x v="2"/>
    <m/>
    <m/>
    <n v="350"/>
    <n v="10989.27"/>
    <m/>
    <m/>
    <m/>
    <m/>
    <m/>
    <m/>
  </r>
  <r>
    <m/>
    <m/>
    <m/>
    <m/>
    <m/>
    <n v="75"/>
    <m/>
    <m/>
    <m/>
    <m/>
    <m/>
    <m/>
    <x v="12"/>
    <x v="2"/>
    <m/>
    <m/>
    <n v="351"/>
    <n v="2611.75"/>
    <m/>
    <m/>
    <m/>
    <m/>
    <m/>
    <m/>
  </r>
  <r>
    <m/>
    <m/>
    <m/>
    <m/>
    <m/>
    <n v="5857.63"/>
    <m/>
    <m/>
    <m/>
    <m/>
    <m/>
    <m/>
    <x v="12"/>
    <x v="2"/>
    <m/>
    <m/>
    <n v="352"/>
    <n v="5205.8599999999997"/>
    <m/>
    <m/>
    <m/>
    <m/>
    <m/>
    <m/>
  </r>
  <r>
    <m/>
    <m/>
    <m/>
    <m/>
    <m/>
    <n v="115.2"/>
    <m/>
    <m/>
    <m/>
    <m/>
    <m/>
    <m/>
    <x v="12"/>
    <x v="2"/>
    <m/>
    <m/>
    <n v="353"/>
    <n v="7328.61"/>
    <m/>
    <m/>
    <m/>
    <m/>
    <m/>
    <m/>
  </r>
  <r>
    <m/>
    <m/>
    <m/>
    <m/>
    <m/>
    <n v="5467"/>
    <m/>
    <m/>
    <m/>
    <m/>
    <m/>
    <m/>
    <x v="12"/>
    <x v="2"/>
    <m/>
    <m/>
    <n v="354"/>
    <n v="3154.96"/>
    <m/>
    <m/>
    <m/>
    <m/>
    <m/>
    <m/>
  </r>
  <r>
    <m/>
    <m/>
    <m/>
    <m/>
    <m/>
    <n v="1030.68"/>
    <m/>
    <m/>
    <m/>
    <m/>
    <m/>
    <m/>
    <x v="12"/>
    <x v="2"/>
    <m/>
    <m/>
    <n v="355"/>
    <n v="360413.5"/>
    <m/>
    <m/>
    <m/>
    <m/>
    <m/>
    <m/>
  </r>
  <r>
    <m/>
    <m/>
    <m/>
    <m/>
    <m/>
    <n v="215"/>
    <m/>
    <m/>
    <m/>
    <m/>
    <m/>
    <m/>
    <x v="12"/>
    <x v="2"/>
    <m/>
    <m/>
    <n v="356"/>
    <n v="6906.08"/>
    <m/>
    <m/>
    <m/>
    <m/>
    <m/>
    <m/>
  </r>
  <r>
    <m/>
    <m/>
    <m/>
    <m/>
    <m/>
    <n v="1701.1"/>
    <m/>
    <m/>
    <m/>
    <m/>
    <m/>
    <m/>
    <x v="12"/>
    <x v="2"/>
    <m/>
    <m/>
    <n v="359"/>
    <n v="25430.240000000002"/>
    <m/>
    <m/>
    <m/>
    <m/>
    <m/>
    <m/>
  </r>
  <r>
    <m/>
    <m/>
    <m/>
    <m/>
    <m/>
    <n v="-161.6"/>
    <m/>
    <m/>
    <m/>
    <m/>
    <m/>
    <m/>
    <x v="12"/>
    <x v="2"/>
    <m/>
    <m/>
    <n v="360"/>
    <n v="1434"/>
    <m/>
    <m/>
    <m/>
    <m/>
    <m/>
    <m/>
  </r>
  <r>
    <m/>
    <m/>
    <m/>
    <m/>
    <m/>
    <n v="-599.04"/>
    <m/>
    <m/>
    <m/>
    <m/>
    <m/>
    <m/>
    <x v="12"/>
    <x v="2"/>
    <m/>
    <m/>
    <n v="361"/>
    <n v="7124.67"/>
    <m/>
    <m/>
    <m/>
    <m/>
    <m/>
    <m/>
  </r>
  <r>
    <m/>
    <m/>
    <m/>
    <m/>
    <m/>
    <n v="-540.67999999999995"/>
    <m/>
    <m/>
    <m/>
    <m/>
    <m/>
    <m/>
    <x v="12"/>
    <x v="2"/>
    <m/>
    <m/>
    <n v="362"/>
    <n v="268.77"/>
    <m/>
    <m/>
    <m/>
    <m/>
    <m/>
    <m/>
  </r>
  <r>
    <m/>
    <m/>
    <m/>
    <m/>
    <m/>
    <n v="635.08000000000004"/>
    <m/>
    <m/>
    <m/>
    <m/>
    <m/>
    <m/>
    <x v="12"/>
    <x v="2"/>
    <m/>
    <m/>
    <n v="363"/>
    <n v="20818"/>
    <m/>
    <m/>
    <m/>
    <m/>
    <m/>
    <m/>
  </r>
  <r>
    <m/>
    <m/>
    <m/>
    <m/>
    <m/>
    <n v="7770"/>
    <m/>
    <m/>
    <m/>
    <m/>
    <m/>
    <m/>
    <x v="12"/>
    <x v="2"/>
    <m/>
    <m/>
    <n v="364"/>
    <n v="38882.410000000003"/>
    <m/>
    <m/>
    <m/>
    <m/>
    <m/>
    <m/>
  </r>
  <r>
    <m/>
    <m/>
    <m/>
    <m/>
    <m/>
    <n v="6632"/>
    <m/>
    <m/>
    <m/>
    <m/>
    <m/>
    <m/>
    <x v="12"/>
    <x v="2"/>
    <m/>
    <m/>
    <n v="368"/>
    <n v="1680"/>
    <m/>
    <m/>
    <m/>
    <m/>
    <m/>
    <m/>
  </r>
  <r>
    <m/>
    <m/>
    <m/>
    <m/>
    <m/>
    <n v="4525"/>
    <m/>
    <m/>
    <m/>
    <m/>
    <m/>
    <m/>
    <x v="12"/>
    <x v="2"/>
    <m/>
    <m/>
    <n v="369"/>
    <n v="21659.919999999998"/>
    <m/>
    <m/>
    <m/>
    <m/>
    <m/>
    <m/>
  </r>
  <r>
    <m/>
    <m/>
    <m/>
    <m/>
    <m/>
    <n v="1810"/>
    <m/>
    <m/>
    <m/>
    <m/>
    <m/>
    <m/>
    <x v="12"/>
    <x v="2"/>
    <m/>
    <m/>
    <n v="370"/>
    <n v="4284.5200000000004"/>
    <m/>
    <m/>
    <m/>
    <m/>
    <m/>
    <m/>
  </r>
  <r>
    <m/>
    <m/>
    <m/>
    <m/>
    <m/>
    <n v="4013.03"/>
    <m/>
    <m/>
    <m/>
    <m/>
    <m/>
    <m/>
    <x v="12"/>
    <x v="2"/>
    <m/>
    <m/>
    <n v="371"/>
    <n v="9757.16"/>
    <m/>
    <m/>
    <m/>
    <m/>
    <m/>
    <m/>
  </r>
  <r>
    <m/>
    <m/>
    <m/>
    <m/>
    <m/>
    <n v="182.6"/>
    <m/>
    <m/>
    <m/>
    <m/>
    <m/>
    <m/>
    <x v="12"/>
    <x v="2"/>
    <m/>
    <m/>
    <n v="372"/>
    <n v="3168.96"/>
    <m/>
    <m/>
    <m/>
    <m/>
    <m/>
    <m/>
  </r>
  <r>
    <m/>
    <m/>
    <m/>
    <m/>
    <m/>
    <n v="1968.88"/>
    <m/>
    <m/>
    <m/>
    <m/>
    <m/>
    <m/>
    <x v="12"/>
    <x v="2"/>
    <m/>
    <m/>
    <n v="373"/>
    <n v="5439.63"/>
    <m/>
    <m/>
    <m/>
    <m/>
    <m/>
    <m/>
  </r>
  <r>
    <m/>
    <m/>
    <m/>
    <m/>
    <m/>
    <n v="337.81"/>
    <m/>
    <m/>
    <m/>
    <m/>
    <m/>
    <m/>
    <x v="12"/>
    <x v="2"/>
    <m/>
    <m/>
    <n v="374"/>
    <n v="138570"/>
    <m/>
    <m/>
    <m/>
    <m/>
    <m/>
    <m/>
  </r>
  <r>
    <m/>
    <m/>
    <m/>
    <m/>
    <m/>
    <n v="1310.84"/>
    <m/>
    <m/>
    <m/>
    <m/>
    <m/>
    <m/>
    <x v="12"/>
    <x v="2"/>
    <m/>
    <m/>
    <n v="375"/>
    <n v="25529"/>
    <m/>
    <m/>
    <m/>
    <m/>
    <m/>
    <m/>
  </r>
  <r>
    <m/>
    <m/>
    <m/>
    <m/>
    <m/>
    <n v="201.53"/>
    <m/>
    <m/>
    <m/>
    <m/>
    <m/>
    <m/>
    <x v="12"/>
    <x v="2"/>
    <m/>
    <m/>
    <n v="376"/>
    <n v="1750"/>
    <m/>
    <m/>
    <m/>
    <m/>
    <m/>
    <m/>
  </r>
  <r>
    <m/>
    <m/>
    <m/>
    <m/>
    <m/>
    <n v="20280"/>
    <m/>
    <m/>
    <m/>
    <m/>
    <m/>
    <m/>
    <x v="12"/>
    <x v="2"/>
    <m/>
    <m/>
    <n v="377"/>
    <n v="28779.599999999999"/>
    <m/>
    <m/>
    <m/>
    <m/>
    <m/>
    <m/>
  </r>
  <r>
    <m/>
    <m/>
    <m/>
    <m/>
    <m/>
    <n v="4135"/>
    <m/>
    <m/>
    <m/>
    <m/>
    <m/>
    <m/>
    <x v="12"/>
    <x v="2"/>
    <m/>
    <m/>
    <n v="379"/>
    <n v="104274.67"/>
    <m/>
    <m/>
    <m/>
    <m/>
    <m/>
    <m/>
  </r>
  <r>
    <m/>
    <m/>
    <m/>
    <m/>
    <m/>
    <n v="718.47"/>
    <m/>
    <m/>
    <m/>
    <m/>
    <m/>
    <m/>
    <x v="12"/>
    <x v="2"/>
    <m/>
    <m/>
    <n v="380"/>
    <n v="7136.4"/>
    <m/>
    <m/>
    <m/>
    <m/>
    <m/>
    <m/>
  </r>
  <r>
    <m/>
    <m/>
    <m/>
    <m/>
    <m/>
    <n v="2920.5"/>
    <m/>
    <m/>
    <m/>
    <m/>
    <m/>
    <m/>
    <x v="12"/>
    <x v="2"/>
    <m/>
    <m/>
    <n v="381"/>
    <n v="14250"/>
    <m/>
    <m/>
    <m/>
    <m/>
    <m/>
    <m/>
  </r>
  <r>
    <m/>
    <m/>
    <m/>
    <m/>
    <m/>
    <n v="122"/>
    <m/>
    <m/>
    <m/>
    <m/>
    <m/>
    <m/>
    <x v="12"/>
    <x v="2"/>
    <m/>
    <m/>
    <n v="382"/>
    <n v="17857.84"/>
    <m/>
    <m/>
    <m/>
    <m/>
    <m/>
    <m/>
  </r>
  <r>
    <m/>
    <m/>
    <m/>
    <m/>
    <m/>
    <n v="2564.6"/>
    <m/>
    <m/>
    <m/>
    <m/>
    <m/>
    <m/>
    <x v="12"/>
    <x v="2"/>
    <m/>
    <m/>
    <n v="384"/>
    <n v="4324.59"/>
    <m/>
    <m/>
    <m/>
    <m/>
    <m/>
    <m/>
  </r>
  <r>
    <m/>
    <m/>
    <m/>
    <m/>
    <m/>
    <n v="19790.169999999998"/>
    <m/>
    <m/>
    <m/>
    <m/>
    <m/>
    <m/>
    <x v="12"/>
    <x v="2"/>
    <m/>
    <m/>
    <n v="385"/>
    <n v="3000"/>
    <m/>
    <m/>
    <m/>
    <m/>
    <m/>
    <m/>
  </r>
  <r>
    <m/>
    <m/>
    <m/>
    <m/>
    <m/>
    <n v="34044"/>
    <m/>
    <m/>
    <m/>
    <m/>
    <m/>
    <m/>
    <x v="12"/>
    <x v="2"/>
    <m/>
    <m/>
    <n v="386"/>
    <n v="740"/>
    <m/>
    <m/>
    <m/>
    <m/>
    <m/>
    <m/>
  </r>
  <r>
    <m/>
    <m/>
    <m/>
    <m/>
    <m/>
    <n v="43739.09"/>
    <m/>
    <m/>
    <m/>
    <m/>
    <m/>
    <m/>
    <x v="12"/>
    <x v="2"/>
    <m/>
    <m/>
    <n v="387"/>
    <n v="25787.64"/>
    <m/>
    <m/>
    <m/>
    <m/>
    <m/>
    <m/>
  </r>
  <r>
    <m/>
    <m/>
    <m/>
    <m/>
    <m/>
    <n v="6000.5"/>
    <m/>
    <m/>
    <m/>
    <m/>
    <m/>
    <m/>
    <x v="12"/>
    <x v="2"/>
    <m/>
    <m/>
    <n v="388"/>
    <n v="27621.200000000001"/>
    <m/>
    <m/>
    <m/>
    <m/>
    <m/>
    <m/>
  </r>
  <r>
    <m/>
    <m/>
    <m/>
    <m/>
    <m/>
    <n v="6000.5"/>
    <m/>
    <m/>
    <m/>
    <m/>
    <m/>
    <m/>
    <x v="12"/>
    <x v="2"/>
    <m/>
    <m/>
    <n v="389"/>
    <n v="29355.5"/>
    <m/>
    <m/>
    <m/>
    <m/>
    <m/>
    <m/>
  </r>
  <r>
    <m/>
    <m/>
    <m/>
    <m/>
    <m/>
    <n v="6240.44"/>
    <m/>
    <m/>
    <m/>
    <m/>
    <m/>
    <m/>
    <x v="12"/>
    <x v="2"/>
    <m/>
    <m/>
    <n v="390"/>
    <n v="57819"/>
    <m/>
    <m/>
    <m/>
    <m/>
    <m/>
    <m/>
  </r>
  <r>
    <m/>
    <m/>
    <m/>
    <m/>
    <m/>
    <n v="792"/>
    <m/>
    <m/>
    <m/>
    <m/>
    <m/>
    <m/>
    <x v="12"/>
    <x v="2"/>
    <m/>
    <m/>
    <n v="391"/>
    <n v="27889.52"/>
    <m/>
    <m/>
    <m/>
    <m/>
    <m/>
    <m/>
  </r>
  <r>
    <m/>
    <m/>
    <m/>
    <m/>
    <m/>
    <n v="1579.36"/>
    <m/>
    <m/>
    <m/>
    <m/>
    <m/>
    <m/>
    <x v="12"/>
    <x v="2"/>
    <m/>
    <m/>
    <n v="392"/>
    <n v="30757"/>
    <m/>
    <m/>
    <m/>
    <m/>
    <m/>
    <m/>
  </r>
  <r>
    <m/>
    <m/>
    <m/>
    <m/>
    <m/>
    <n v="254.8"/>
    <m/>
    <m/>
    <m/>
    <m/>
    <m/>
    <m/>
    <x v="12"/>
    <x v="2"/>
    <m/>
    <m/>
    <n v="393"/>
    <n v="36120.04"/>
    <m/>
    <m/>
    <m/>
    <m/>
    <m/>
    <m/>
  </r>
  <r>
    <m/>
    <m/>
    <m/>
    <m/>
    <m/>
    <n v="250"/>
    <m/>
    <m/>
    <m/>
    <m/>
    <m/>
    <m/>
    <x v="12"/>
    <x v="2"/>
    <m/>
    <m/>
    <n v="394"/>
    <n v="20307.32"/>
    <m/>
    <m/>
    <m/>
    <m/>
    <m/>
    <m/>
  </r>
  <r>
    <m/>
    <m/>
    <m/>
    <m/>
    <m/>
    <n v="999.9"/>
    <m/>
    <m/>
    <m/>
    <m/>
    <m/>
    <m/>
    <x v="12"/>
    <x v="2"/>
    <m/>
    <m/>
    <n v="395"/>
    <n v="4830.3599999999997"/>
    <m/>
    <m/>
    <m/>
    <m/>
    <m/>
    <m/>
  </r>
  <r>
    <m/>
    <m/>
    <m/>
    <m/>
    <m/>
    <n v="617.25"/>
    <m/>
    <m/>
    <m/>
    <m/>
    <m/>
    <m/>
    <x v="12"/>
    <x v="2"/>
    <m/>
    <m/>
    <n v="396"/>
    <n v="8265.9699999999993"/>
    <m/>
    <m/>
    <m/>
    <m/>
    <m/>
    <m/>
  </r>
  <r>
    <m/>
    <m/>
    <m/>
    <m/>
    <m/>
    <n v="1577177.32"/>
    <m/>
    <m/>
    <m/>
    <m/>
    <m/>
    <m/>
    <x v="12"/>
    <x v="2"/>
    <m/>
    <m/>
    <n v="397"/>
    <n v="60237.93"/>
    <m/>
    <m/>
    <m/>
    <m/>
    <m/>
    <m/>
  </r>
  <r>
    <m/>
    <m/>
    <m/>
    <m/>
    <m/>
    <m/>
    <m/>
    <m/>
    <m/>
    <m/>
    <m/>
    <m/>
    <x v="12"/>
    <x v="2"/>
    <m/>
    <m/>
    <n v="398"/>
    <n v="2120"/>
    <m/>
    <m/>
    <m/>
    <m/>
    <m/>
    <m/>
  </r>
  <r>
    <m/>
    <m/>
    <m/>
    <m/>
    <m/>
    <m/>
    <m/>
    <m/>
    <m/>
    <m/>
    <m/>
    <m/>
    <x v="12"/>
    <x v="2"/>
    <m/>
    <m/>
    <n v="399"/>
    <n v="5235"/>
    <m/>
    <m/>
    <m/>
    <m/>
    <m/>
    <m/>
  </r>
  <r>
    <m/>
    <m/>
    <m/>
    <m/>
    <m/>
    <m/>
    <m/>
    <m/>
    <m/>
    <m/>
    <m/>
    <m/>
    <x v="12"/>
    <x v="2"/>
    <m/>
    <m/>
    <n v="400"/>
    <n v="1740"/>
    <m/>
    <m/>
    <m/>
    <m/>
    <m/>
    <m/>
  </r>
  <r>
    <m/>
    <m/>
    <m/>
    <m/>
    <m/>
    <m/>
    <m/>
    <m/>
    <m/>
    <m/>
    <m/>
    <m/>
    <x v="12"/>
    <x v="2"/>
    <m/>
    <m/>
    <n v="401"/>
    <n v="4326"/>
    <m/>
    <m/>
    <m/>
    <m/>
    <m/>
    <m/>
  </r>
  <r>
    <m/>
    <m/>
    <m/>
    <m/>
    <m/>
    <m/>
    <m/>
    <m/>
    <m/>
    <m/>
    <m/>
    <m/>
    <x v="12"/>
    <x v="2"/>
    <m/>
    <m/>
    <n v="402"/>
    <n v="46687"/>
    <m/>
    <m/>
    <m/>
    <m/>
    <m/>
    <m/>
  </r>
  <r>
    <m/>
    <m/>
    <m/>
    <m/>
    <m/>
    <m/>
    <m/>
    <m/>
    <m/>
    <m/>
    <m/>
    <m/>
    <x v="12"/>
    <x v="2"/>
    <m/>
    <m/>
    <n v="403"/>
    <n v="3884.16"/>
    <m/>
    <m/>
    <m/>
    <m/>
    <m/>
    <m/>
  </r>
  <r>
    <m/>
    <m/>
    <m/>
    <m/>
    <m/>
    <m/>
    <m/>
    <m/>
    <m/>
    <m/>
    <m/>
    <m/>
    <x v="12"/>
    <x v="2"/>
    <m/>
    <m/>
    <n v="404"/>
    <n v="10352"/>
    <m/>
    <m/>
    <m/>
    <m/>
    <m/>
    <m/>
  </r>
  <r>
    <m/>
    <m/>
    <m/>
    <m/>
    <m/>
    <m/>
    <m/>
    <m/>
    <m/>
    <m/>
    <m/>
    <m/>
    <x v="12"/>
    <x v="2"/>
    <m/>
    <m/>
    <n v="405"/>
    <n v="13313"/>
    <m/>
    <m/>
    <m/>
    <m/>
    <m/>
    <m/>
  </r>
  <r>
    <m/>
    <m/>
    <m/>
    <m/>
    <m/>
    <m/>
    <m/>
    <m/>
    <m/>
    <m/>
    <m/>
    <m/>
    <x v="12"/>
    <x v="2"/>
    <m/>
    <m/>
    <n v="406"/>
    <n v="5772"/>
    <m/>
    <m/>
    <m/>
    <m/>
    <m/>
    <m/>
  </r>
  <r>
    <m/>
    <m/>
    <m/>
    <m/>
    <m/>
    <m/>
    <m/>
    <m/>
    <m/>
    <m/>
    <m/>
    <m/>
    <x v="12"/>
    <x v="2"/>
    <m/>
    <m/>
    <n v="407"/>
    <n v="8423.11"/>
    <m/>
    <m/>
    <m/>
    <m/>
    <m/>
    <m/>
  </r>
  <r>
    <m/>
    <m/>
    <m/>
    <m/>
    <m/>
    <m/>
    <m/>
    <m/>
    <m/>
    <m/>
    <m/>
    <m/>
    <x v="12"/>
    <x v="2"/>
    <m/>
    <m/>
    <n v="408"/>
    <n v="29331.26"/>
    <m/>
    <m/>
    <m/>
    <m/>
    <m/>
    <m/>
  </r>
  <r>
    <m/>
    <m/>
    <m/>
    <m/>
    <m/>
    <m/>
    <m/>
    <m/>
    <m/>
    <m/>
    <m/>
    <m/>
    <x v="12"/>
    <x v="2"/>
    <m/>
    <m/>
    <n v="409"/>
    <n v="2304.88"/>
    <m/>
    <m/>
    <m/>
    <m/>
    <m/>
    <m/>
  </r>
  <r>
    <m/>
    <m/>
    <m/>
    <m/>
    <m/>
    <m/>
    <m/>
    <m/>
    <m/>
    <m/>
    <m/>
    <m/>
    <x v="12"/>
    <x v="2"/>
    <m/>
    <m/>
    <n v="410"/>
    <n v="15617.36"/>
    <m/>
    <m/>
    <m/>
    <m/>
    <m/>
    <m/>
  </r>
  <r>
    <m/>
    <m/>
    <m/>
    <m/>
    <m/>
    <m/>
    <m/>
    <m/>
    <m/>
    <m/>
    <m/>
    <m/>
    <x v="12"/>
    <x v="2"/>
    <m/>
    <m/>
    <n v="412"/>
    <n v="2286.5"/>
    <m/>
    <m/>
    <m/>
    <m/>
    <m/>
    <m/>
  </r>
  <r>
    <m/>
    <m/>
    <m/>
    <m/>
    <m/>
    <m/>
    <m/>
    <m/>
    <m/>
    <m/>
    <m/>
    <m/>
    <x v="12"/>
    <x v="2"/>
    <m/>
    <m/>
    <n v="413"/>
    <n v="23160"/>
    <m/>
    <m/>
    <m/>
    <m/>
    <m/>
    <m/>
  </r>
  <r>
    <m/>
    <m/>
    <m/>
    <m/>
    <m/>
    <m/>
    <m/>
    <m/>
    <m/>
    <m/>
    <m/>
    <m/>
    <x v="12"/>
    <x v="2"/>
    <m/>
    <m/>
    <n v="416"/>
    <n v="472374.25"/>
    <m/>
    <m/>
    <m/>
    <m/>
    <m/>
    <m/>
  </r>
  <r>
    <m/>
    <m/>
    <m/>
    <m/>
    <m/>
    <m/>
    <m/>
    <m/>
    <m/>
    <m/>
    <m/>
    <m/>
    <x v="12"/>
    <x v="2"/>
    <m/>
    <m/>
    <n v="417"/>
    <n v="9035.74"/>
    <m/>
    <m/>
    <m/>
    <m/>
    <m/>
    <m/>
  </r>
  <r>
    <m/>
    <m/>
    <m/>
    <m/>
    <m/>
    <m/>
    <m/>
    <m/>
    <m/>
    <m/>
    <m/>
    <m/>
    <x v="12"/>
    <x v="2"/>
    <m/>
    <m/>
    <n v="418"/>
    <n v="5627281.4299999997"/>
    <m/>
    <m/>
    <m/>
    <m/>
    <m/>
    <m/>
  </r>
  <r>
    <m/>
    <m/>
    <m/>
    <m/>
    <m/>
    <m/>
    <m/>
    <m/>
    <m/>
    <m/>
    <m/>
    <m/>
    <x v="12"/>
    <x v="2"/>
    <m/>
    <m/>
    <n v="419"/>
    <n v="3396"/>
    <m/>
    <m/>
    <m/>
    <m/>
    <m/>
    <m/>
  </r>
  <r>
    <m/>
    <m/>
    <m/>
    <m/>
    <m/>
    <m/>
    <m/>
    <m/>
    <m/>
    <m/>
    <m/>
    <m/>
    <x v="12"/>
    <x v="2"/>
    <m/>
    <m/>
    <n v="420"/>
    <n v="3600"/>
    <m/>
    <m/>
    <m/>
    <m/>
    <m/>
    <m/>
  </r>
  <r>
    <m/>
    <m/>
    <m/>
    <m/>
    <m/>
    <m/>
    <m/>
    <m/>
    <m/>
    <m/>
    <m/>
    <m/>
    <x v="12"/>
    <x v="2"/>
    <m/>
    <m/>
    <n v="421"/>
    <n v="9503.92"/>
    <m/>
    <m/>
    <m/>
    <m/>
    <m/>
    <m/>
  </r>
  <r>
    <m/>
    <m/>
    <m/>
    <m/>
    <m/>
    <m/>
    <m/>
    <m/>
    <m/>
    <m/>
    <m/>
    <m/>
    <x v="12"/>
    <x v="2"/>
    <m/>
    <m/>
    <n v="422"/>
    <n v="540"/>
    <m/>
    <m/>
    <m/>
    <m/>
    <m/>
    <m/>
  </r>
  <r>
    <m/>
    <m/>
    <m/>
    <m/>
    <m/>
    <m/>
    <m/>
    <m/>
    <m/>
    <m/>
    <m/>
    <m/>
    <x v="12"/>
    <x v="2"/>
    <m/>
    <m/>
    <n v="423"/>
    <n v="3667.15"/>
    <m/>
    <m/>
    <m/>
    <m/>
    <m/>
    <m/>
  </r>
  <r>
    <m/>
    <m/>
    <m/>
    <m/>
    <m/>
    <m/>
    <m/>
    <m/>
    <m/>
    <m/>
    <m/>
    <m/>
    <x v="12"/>
    <x v="2"/>
    <m/>
    <m/>
    <n v="425"/>
    <n v="35000"/>
    <m/>
    <m/>
    <m/>
    <m/>
    <m/>
    <m/>
  </r>
  <r>
    <m/>
    <m/>
    <m/>
    <m/>
    <m/>
    <m/>
    <m/>
    <m/>
    <m/>
    <m/>
    <m/>
    <m/>
    <x v="12"/>
    <x v="2"/>
    <m/>
    <m/>
    <n v="426"/>
    <n v="23777.56"/>
    <m/>
    <m/>
    <m/>
    <m/>
    <m/>
    <m/>
  </r>
  <r>
    <m/>
    <m/>
    <m/>
    <m/>
    <m/>
    <m/>
    <m/>
    <m/>
    <m/>
    <m/>
    <m/>
    <m/>
    <x v="12"/>
    <x v="2"/>
    <m/>
    <m/>
    <n v="427"/>
    <n v="4960.26"/>
    <m/>
    <m/>
    <m/>
    <m/>
    <m/>
    <m/>
  </r>
  <r>
    <m/>
    <m/>
    <m/>
    <m/>
    <m/>
    <m/>
    <m/>
    <m/>
    <m/>
    <m/>
    <m/>
    <m/>
    <x v="12"/>
    <x v="2"/>
    <m/>
    <m/>
    <n v="428"/>
    <n v="1724.36"/>
    <m/>
    <m/>
    <m/>
    <m/>
    <m/>
    <m/>
  </r>
  <r>
    <m/>
    <m/>
    <m/>
    <m/>
    <m/>
    <m/>
    <m/>
    <m/>
    <m/>
    <m/>
    <m/>
    <m/>
    <x v="12"/>
    <x v="2"/>
    <m/>
    <m/>
    <n v="430"/>
    <n v="22284.04"/>
    <m/>
    <m/>
    <m/>
    <m/>
    <m/>
    <m/>
  </r>
  <r>
    <m/>
    <m/>
    <m/>
    <m/>
    <m/>
    <m/>
    <m/>
    <m/>
    <m/>
    <m/>
    <m/>
    <m/>
    <x v="12"/>
    <x v="2"/>
    <m/>
    <m/>
    <n v="431"/>
    <n v="2328.11"/>
    <m/>
    <m/>
    <m/>
    <m/>
    <m/>
    <m/>
  </r>
  <r>
    <m/>
    <m/>
    <m/>
    <m/>
    <m/>
    <m/>
    <m/>
    <m/>
    <m/>
    <m/>
    <m/>
    <m/>
    <x v="12"/>
    <x v="2"/>
    <m/>
    <m/>
    <n v="432"/>
    <n v="26949.24"/>
    <m/>
    <m/>
    <m/>
    <m/>
    <m/>
    <m/>
  </r>
  <r>
    <m/>
    <m/>
    <m/>
    <m/>
    <m/>
    <m/>
    <m/>
    <m/>
    <m/>
    <m/>
    <m/>
    <m/>
    <x v="12"/>
    <x v="2"/>
    <m/>
    <m/>
    <n v="433"/>
    <n v="4506"/>
    <m/>
    <m/>
    <m/>
    <m/>
    <m/>
    <m/>
  </r>
  <r>
    <m/>
    <m/>
    <m/>
    <m/>
    <m/>
    <m/>
    <m/>
    <m/>
    <m/>
    <m/>
    <m/>
    <m/>
    <x v="12"/>
    <x v="2"/>
    <m/>
    <m/>
    <n v="434"/>
    <n v="1445"/>
    <m/>
    <m/>
    <m/>
    <m/>
    <m/>
    <m/>
  </r>
  <r>
    <m/>
    <m/>
    <m/>
    <m/>
    <m/>
    <m/>
    <m/>
    <m/>
    <m/>
    <m/>
    <m/>
    <m/>
    <x v="12"/>
    <x v="2"/>
    <m/>
    <m/>
    <n v="435"/>
    <n v="21586"/>
    <m/>
    <m/>
    <m/>
    <m/>
    <m/>
    <m/>
  </r>
  <r>
    <m/>
    <m/>
    <m/>
    <m/>
    <m/>
    <m/>
    <m/>
    <m/>
    <m/>
    <m/>
    <m/>
    <m/>
    <x v="12"/>
    <x v="2"/>
    <m/>
    <m/>
    <n v="436"/>
    <n v="207379"/>
    <m/>
    <m/>
    <m/>
    <m/>
    <m/>
    <m/>
  </r>
  <r>
    <m/>
    <m/>
    <m/>
    <m/>
    <m/>
    <m/>
    <m/>
    <m/>
    <m/>
    <m/>
    <m/>
    <m/>
    <x v="12"/>
    <x v="2"/>
    <m/>
    <m/>
    <n v="437"/>
    <n v="25369.4"/>
    <m/>
    <m/>
    <m/>
    <m/>
    <m/>
    <m/>
  </r>
  <r>
    <m/>
    <m/>
    <m/>
    <m/>
    <m/>
    <m/>
    <m/>
    <m/>
    <m/>
    <m/>
    <m/>
    <m/>
    <x v="12"/>
    <x v="2"/>
    <m/>
    <m/>
    <n v="438"/>
    <n v="12164"/>
    <m/>
    <m/>
    <m/>
    <m/>
    <m/>
    <m/>
  </r>
  <r>
    <m/>
    <m/>
    <m/>
    <m/>
    <m/>
    <m/>
    <m/>
    <m/>
    <m/>
    <m/>
    <m/>
    <m/>
    <x v="12"/>
    <x v="2"/>
    <m/>
    <m/>
    <n v="440"/>
    <n v="1319971.8"/>
    <m/>
    <m/>
    <m/>
    <m/>
    <m/>
    <m/>
  </r>
  <r>
    <m/>
    <m/>
    <m/>
    <m/>
    <m/>
    <m/>
    <m/>
    <m/>
    <m/>
    <m/>
    <m/>
    <m/>
    <x v="12"/>
    <x v="2"/>
    <m/>
    <m/>
    <n v="442"/>
    <n v="672.41"/>
    <m/>
    <m/>
    <m/>
    <m/>
    <m/>
    <m/>
  </r>
  <r>
    <m/>
    <m/>
    <m/>
    <m/>
    <m/>
    <m/>
    <m/>
    <m/>
    <m/>
    <m/>
    <m/>
    <m/>
    <x v="12"/>
    <x v="2"/>
    <m/>
    <m/>
    <n v="443"/>
    <n v="16013"/>
    <m/>
    <m/>
    <m/>
    <m/>
    <m/>
    <m/>
  </r>
  <r>
    <m/>
    <m/>
    <m/>
    <m/>
    <m/>
    <m/>
    <m/>
    <m/>
    <m/>
    <m/>
    <m/>
    <m/>
    <x v="12"/>
    <x v="2"/>
    <m/>
    <m/>
    <n v="444"/>
    <n v="101859"/>
    <m/>
    <m/>
    <m/>
    <m/>
    <m/>
    <m/>
  </r>
  <r>
    <m/>
    <m/>
    <m/>
    <m/>
    <m/>
    <m/>
    <m/>
    <m/>
    <m/>
    <m/>
    <m/>
    <m/>
    <x v="12"/>
    <x v="2"/>
    <m/>
    <m/>
    <n v="445"/>
    <n v="24324.7"/>
    <m/>
    <m/>
    <m/>
    <m/>
    <m/>
    <m/>
  </r>
  <r>
    <m/>
    <m/>
    <m/>
    <m/>
    <m/>
    <m/>
    <m/>
    <m/>
    <m/>
    <m/>
    <m/>
    <m/>
    <x v="12"/>
    <x v="2"/>
    <m/>
    <m/>
    <n v="446"/>
    <n v="12011"/>
    <m/>
    <m/>
    <m/>
    <m/>
    <m/>
    <m/>
  </r>
  <r>
    <m/>
    <m/>
    <m/>
    <m/>
    <m/>
    <m/>
    <m/>
    <m/>
    <m/>
    <m/>
    <m/>
    <m/>
    <x v="12"/>
    <x v="2"/>
    <m/>
    <m/>
    <n v="448"/>
    <n v="6018.71"/>
    <m/>
    <m/>
    <m/>
    <m/>
    <m/>
    <m/>
  </r>
  <r>
    <m/>
    <m/>
    <m/>
    <m/>
    <m/>
    <m/>
    <m/>
    <m/>
    <m/>
    <m/>
    <m/>
    <m/>
    <x v="12"/>
    <x v="2"/>
    <m/>
    <m/>
    <n v="450"/>
    <n v="10000"/>
    <m/>
    <m/>
    <m/>
    <m/>
    <m/>
    <m/>
  </r>
  <r>
    <m/>
    <m/>
    <m/>
    <m/>
    <m/>
    <m/>
    <m/>
    <m/>
    <m/>
    <m/>
    <m/>
    <m/>
    <x v="12"/>
    <x v="2"/>
    <m/>
    <m/>
    <n v="451"/>
    <n v="0"/>
    <m/>
    <m/>
    <m/>
    <m/>
    <m/>
    <m/>
  </r>
  <r>
    <m/>
    <m/>
    <m/>
    <m/>
    <m/>
    <m/>
    <m/>
    <m/>
    <m/>
    <m/>
    <m/>
    <m/>
    <x v="12"/>
    <x v="2"/>
    <m/>
    <m/>
    <n v="452"/>
    <n v="18588"/>
    <m/>
    <m/>
    <m/>
    <m/>
    <m/>
    <m/>
  </r>
  <r>
    <m/>
    <m/>
    <m/>
    <m/>
    <m/>
    <m/>
    <m/>
    <m/>
    <m/>
    <m/>
    <m/>
    <m/>
    <x v="12"/>
    <x v="2"/>
    <m/>
    <m/>
    <n v="453"/>
    <n v="82243"/>
    <m/>
    <m/>
    <m/>
    <m/>
    <m/>
    <m/>
  </r>
  <r>
    <m/>
    <m/>
    <m/>
    <m/>
    <m/>
    <m/>
    <m/>
    <m/>
    <m/>
    <m/>
    <m/>
    <m/>
    <x v="12"/>
    <x v="2"/>
    <m/>
    <m/>
    <n v="454"/>
    <n v="34210"/>
    <m/>
    <m/>
    <m/>
    <m/>
    <m/>
    <m/>
  </r>
  <r>
    <m/>
    <m/>
    <m/>
    <m/>
    <m/>
    <m/>
    <m/>
    <m/>
    <m/>
    <m/>
    <m/>
    <m/>
    <x v="12"/>
    <x v="2"/>
    <m/>
    <m/>
    <n v="455"/>
    <n v="0"/>
    <m/>
    <m/>
    <m/>
    <m/>
    <m/>
    <m/>
  </r>
  <r>
    <m/>
    <m/>
    <m/>
    <m/>
    <m/>
    <m/>
    <m/>
    <m/>
    <m/>
    <m/>
    <m/>
    <m/>
    <x v="12"/>
    <x v="2"/>
    <m/>
    <m/>
    <n v="456"/>
    <n v="0"/>
    <m/>
    <m/>
    <m/>
    <m/>
    <m/>
    <m/>
  </r>
  <r>
    <m/>
    <m/>
    <m/>
    <m/>
    <m/>
    <m/>
    <m/>
    <m/>
    <m/>
    <m/>
    <m/>
    <m/>
    <x v="12"/>
    <x v="2"/>
    <m/>
    <m/>
    <n v="457"/>
    <n v="0"/>
    <m/>
    <m/>
    <m/>
    <m/>
    <m/>
    <m/>
  </r>
  <r>
    <m/>
    <m/>
    <m/>
    <m/>
    <m/>
    <m/>
    <m/>
    <m/>
    <m/>
    <m/>
    <m/>
    <m/>
    <x v="12"/>
    <x v="2"/>
    <m/>
    <m/>
    <n v="459"/>
    <n v="0"/>
    <m/>
    <m/>
    <m/>
    <m/>
    <m/>
    <m/>
  </r>
  <r>
    <m/>
    <m/>
    <m/>
    <m/>
    <m/>
    <m/>
    <m/>
    <m/>
    <m/>
    <m/>
    <m/>
    <m/>
    <x v="12"/>
    <x v="2"/>
    <m/>
    <m/>
    <s v="Suma total"/>
    <n v="26892875.309999999"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  <r>
    <m/>
    <m/>
    <m/>
    <m/>
    <m/>
    <m/>
    <m/>
    <m/>
    <m/>
    <m/>
    <m/>
    <m/>
    <x v="12"/>
    <x v="2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95BE5-C58E-4BB1-BBC6-CF5379C919B2}" name="Tabla dinámica1" cacheId="5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V5" firstHeaderRow="1" firstDataRow="3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14">
        <item x="11"/>
        <item x="10"/>
        <item x="1"/>
        <item x="2"/>
        <item x="5"/>
        <item x="3"/>
        <item x="4"/>
        <item x="7"/>
        <item x="6"/>
        <item x="9"/>
        <item x="0"/>
        <item x="8"/>
        <item h="1" x="12"/>
        <item t="default"/>
      </items>
    </pivotField>
    <pivotField axis="axisCol" compact="0" outline="0" showAll="0">
      <items count="4">
        <item x="0"/>
        <item x="1"/>
        <item h="1" x="2"/>
        <item t="default"/>
      </items>
    </pivotField>
  </pivotFields>
  <rowItems count="1">
    <i/>
  </rowItems>
  <colFields count="2">
    <field x="13"/>
    <field x="12"/>
  </colFields>
  <colItems count="21">
    <i>
      <x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t="default">
      <x v="1"/>
    </i>
    <i t="grand">
      <x/>
    </i>
  </colItems>
  <dataFields count="1">
    <dataField name="Suma de Restante por pagar prov USD" fld="9" baseField="0" baseItem="0"/>
  </dataFields>
  <formats count="3">
    <format dxfId="9">
      <pivotArea outline="0" fieldPosition="0">
        <references count="2">
          <reference field="12" count="10" selected="0"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3" count="1" selected="0">
            <x v="0"/>
          </reference>
        </references>
      </pivotArea>
    </format>
    <format dxfId="10">
      <pivotArea outline="0" fieldPosition="0">
        <references count="2">
          <reference field="12" count="8" selected="0">
            <x v="0"/>
            <x v="1"/>
            <x v="2"/>
            <x v="3"/>
            <x v="4"/>
            <x v="5"/>
            <x v="7"/>
            <x v="8"/>
          </reference>
          <reference field="13" count="1" selected="0">
            <x v="1"/>
          </reference>
        </references>
      </pivotArea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P Pivot" cacheId="514" applyNumberFormats="0" applyBorderFormats="0" applyFontFormats="0" applyPatternFormats="0" applyAlignmentFormats="0" applyWidthHeightFormats="0" dataCaption="" updatedVersion="8" compact="0" compactData="0">
  <location ref="A1:W4" firstHeaderRow="1" firstDataRow="3" firstDataCol="1"/>
  <pivotFields count="24">
    <pivotField name="reserva" compact="0" outline="0" multipleItemSelectionAllowed="1" showAll="0"/>
    <pivotField name="AP Moneda" compact="0" numFmtId="1" outline="0" multipleItemSelectionAllowed="1" showAll="0"/>
    <pivotField compact="0" outline="0" showAll="0" includeNewItemsInFilter="1"/>
    <pivotField name="Total  prov en eur" compact="0" numFmtId="1" outline="0" multipleItemSelectionAllowed="1" showAll="0"/>
    <pivotField compact="0" outline="0" showAll="0" includeNewItemsInFilter="1"/>
    <pivotField compact="0" outline="0" showAll="0" includeNewItemsInFilter="1"/>
    <pivotField name="Pago prov en eur" compact="0" numFmtId="1" outline="0" multipleItemSelectionAllowed="1" showAll="0"/>
    <pivotField compact="0" outline="0" showAll="0" includeNewItemsInFilter="1"/>
    <pivotField name="Restante por pagar prov" dataField="1" compact="0" numFmtId="1" outline="0" multipleItemSelectionAllowed="1" showAll="0"/>
    <pivotField compact="0" outline="0" showAll="0" includeNewItemsInFilter="1"/>
    <pivotField name="AP fecha_inicio" compact="0" numFmtId="164" outline="0" multipleItemSelectionAllowed="1" showAll="0"/>
    <pivotField name="AP fecha salida 30 dias antes" compact="0" numFmtId="164" outline="0" multipleItemSelectionAllowed="1" showAll="0"/>
    <pivotField name="AP mes 30 dias antes" axis="axisCol" compact="0" outline="0" multipleItemSelectionAllowed="1" showAll="0" sortType="ascending">
      <items count="14">
        <item x="11"/>
        <item x="10"/>
        <item x="1"/>
        <item x="2"/>
        <item x="5"/>
        <item x="3"/>
        <item x="4"/>
        <item x="7"/>
        <item x="6"/>
        <item x="9"/>
        <item x="0"/>
        <item x="8"/>
        <item x="12"/>
        <item t="default"/>
      </items>
    </pivotField>
    <pivotField name="AP año 30 dias antes" axis="axisCol" compact="0" outline="0" multipleItemSelectionAllowed="1" showAll="0" sortType="ascending">
      <items count="4">
        <item x="0"/>
        <item x="1"/>
        <item sd="0" x="2"/>
        <item t="default"/>
      </items>
    </pivotField>
    <pivotField name=" " compact="0" outline="0" multipleItemSelectionAllowed="1" showAll="0"/>
    <pivotField compact="0" outline="0" showAll="0" includeNewItemsInFilter="1"/>
    <pivotField name="folio" compact="0" outline="0" multipleItemSelectionAllowed="1" showAll="0"/>
    <pivotField name="moneda" compact="0" outline="0" multipleItemSelectionAllowed="1" showAll="0"/>
    <pivotField name="fecha_inicio" compact="0" numFmtId="164" outline="0" multipleItemSelectionAllowed="1" showAl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name=" 2" compact="0" outline="0" multipleItemSelectionAllowed="1" showAll="0"/>
  </pivotFields>
  <rowItems count="1">
    <i/>
  </rowItems>
  <colFields count="2">
    <field x="13"/>
    <field x="12"/>
  </colFields>
  <colItems count="22">
    <i>
      <x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t="default">
      <x v="1"/>
    </i>
    <i>
      <x v="2"/>
    </i>
    <i t="grand">
      <x/>
    </i>
  </colItems>
  <dataFields count="1">
    <dataField name="SUM of Restante por pagar prov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AR Pivot" cacheId="509" applyNumberFormats="0" applyBorderFormats="0" applyFontFormats="0" applyPatternFormats="0" applyAlignmentFormats="0" applyWidthHeightFormats="0" dataCaption="" updatedVersion="8" compact="0" compactData="0">
  <location ref="A1:W4" firstHeaderRow="1" firstDataRow="3" firstDataCol="1"/>
  <pivotFields count="20">
    <pivotField name="reserva" compact="0" outline="0" multipleItemSelectionAllowed="1" showAll="0"/>
    <pivotField name="AR Moneda" compact="0" outline="0" multipleItemSelectionAllowed="1" showAll="0"/>
    <pivotField compact="0" outline="0" showAll="0" includeNewItemsInFilter="1"/>
    <pivotField name="Tot en eur" compact="0" outline="0" multipleItemSelectionAllowed="1" showAll="0"/>
    <pivotField compact="0" outline="0" showAll="0" includeNewItemsInFilter="1"/>
    <pivotField compact="0" outline="0" showAll="0" includeNewItemsInFilter="1"/>
    <pivotField name="Pago cliente eur" compact="0" numFmtId="1" outline="0" multipleItemSelectionAllowed="1" showAll="0"/>
    <pivotField compact="0" outline="0" showAll="0" includeNewItemsInFilter="1"/>
    <pivotField name="Restante por pagar cliente" dataField="1" compact="0" numFmtId="1" outline="0" multipleItemSelectionAllowed="1" showAll="0"/>
    <pivotField compact="0" outline="0" showAll="0" includeNewItemsInFilter="1"/>
    <pivotField name="AR fecha_inicio" compact="0" numFmtId="164" outline="0" multipleItemSelectionAllowed="1" showAll="0"/>
    <pivotField name="AR fecha salida 30 dias antes" compact="0" numFmtId="164" outline="0" multipleItemSelectionAllowed="1" showAll="0"/>
    <pivotField name="AR mes 30 dias antes" axis="axisCol" compact="0" outline="0" multipleItemSelectionAllowed="1" showAll="0" sortType="ascending">
      <items count="14">
        <item x="11"/>
        <item x="10"/>
        <item x="1"/>
        <item x="2"/>
        <item x="5"/>
        <item x="3"/>
        <item x="4"/>
        <item x="7"/>
        <item x="6"/>
        <item x="9"/>
        <item x="0"/>
        <item x="8"/>
        <item x="12"/>
        <item t="default"/>
      </items>
    </pivotField>
    <pivotField name="AR año 30 dias antes" axis="axisCol" compact="0" outline="0" multipleItemSelectionAllowed="1" showAll="0" sortType="ascending">
      <items count="4">
        <item x="0"/>
        <item x="1"/>
        <item sd="0" x="2"/>
        <item t="default"/>
      </items>
    </pivotField>
    <pivotField name=" " compact="0" outline="0" multipleItemSelectionAllowed="1" showAll="0"/>
    <pivotField name=" 2" compact="0" outline="0" multipleItemSelectionAllowed="1" showAll="0"/>
    <pivotField name="folio" compact="0" outline="0" multipleItemSelectionAllowed="1" showAll="0"/>
    <pivotField name="moneda" compact="0" outline="0" multipleItemSelectionAllowed="1" showAll="0"/>
    <pivotField name="fecha_inicio" compact="0" numFmtId="164" outline="0" multipleItemSelectionAllowed="1" showAll="0"/>
    <pivotField name=" 3" compact="0" outline="0" multipleItemSelectionAllowed="1" showAll="0"/>
  </pivotFields>
  <rowItems count="1">
    <i/>
  </rowItems>
  <colFields count="2">
    <field x="13"/>
    <field x="12"/>
  </colFields>
  <colItems count="22">
    <i>
      <x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t="default">
      <x v="1"/>
    </i>
    <i>
      <x v="2"/>
    </i>
    <i t="grand">
      <x/>
    </i>
  </colItems>
  <dataFields count="1">
    <dataField name="SUM of Restante por pagar client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F3AB6-32B8-4EFE-9F2D-B1F93FB726EC}" name="Tabla dinámica2" cacheId="5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V5" firstHeaderRow="1" firstDataRow="3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14">
        <item x="11"/>
        <item x="10"/>
        <item x="1"/>
        <item x="2"/>
        <item x="5"/>
        <item x="3"/>
        <item x="4"/>
        <item x="7"/>
        <item x="6"/>
        <item x="9"/>
        <item x="0"/>
        <item x="8"/>
        <item h="1" x="12"/>
        <item t="default"/>
      </items>
    </pivotField>
    <pivotField axis="axisCol" compact="0" outline="0" showAll="0">
      <items count="4">
        <item x="0"/>
        <item x="1"/>
        <item h="1" x="2"/>
        <item t="default"/>
      </items>
    </pivotField>
  </pivotFields>
  <rowItems count="1">
    <i/>
  </rowItems>
  <colFields count="2">
    <field x="13"/>
    <field x="12"/>
  </colFields>
  <colItems count="21">
    <i>
      <x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t="default">
      <x v="1"/>
    </i>
    <i t="grand">
      <x/>
    </i>
  </colItems>
  <dataFields count="1">
    <dataField name="Suma de Restante por pagar cliente USD" fld="9" baseField="0" baseItem="0"/>
  </dataFields>
  <formats count="3">
    <format dxfId="6">
      <pivotArea outline="0" fieldPosition="0">
        <references count="2">
          <reference field="12" count="10" selected="0"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3" count="1" selected="0">
            <x v="0"/>
          </reference>
        </references>
      </pivotArea>
    </format>
    <format dxfId="7">
      <pivotArea outline="0" fieldPosition="0">
        <references count="2">
          <reference field="12" count="7" selected="0">
            <x v="0"/>
            <x v="1"/>
            <x v="2"/>
            <x v="3"/>
            <x v="4"/>
            <x v="5"/>
            <x v="7"/>
          </reference>
          <reference field="13" count="1" selected="0">
            <x v="1"/>
          </reference>
        </references>
      </pivotArea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DEA74C-FCA5-437E-8906-AFD6DB104F30}" name="Table2" displayName="Table2" ref="A3:M12" totalsRowShown="0">
  <autoFilter ref="A3:M12" xr:uid="{35DEA74C-FCA5-437E-8906-AFD6DB104F30}"/>
  <tableColumns count="13">
    <tableColumn id="1" xr3:uid="{ABFB4F10-2955-4F01-9D9F-0342A4729C25}" name="AP Reserva"/>
    <tableColumn id="2" xr3:uid="{89AC989E-79D1-492F-988E-1410979EB9DD}" name="AP Moneda"/>
    <tableColumn id="3" xr3:uid="{974ABD9C-BDC2-4FC1-8832-2C9A026B5A77}" name="Total Provedor"/>
    <tableColumn id="4" xr3:uid="{7D011564-2037-45B8-9099-A28526DF0B2C}" name="Total  prov en eur"/>
    <tableColumn id="5" xr3:uid="{4364F853-242A-4D60-82ED-A18AB3443E04}" name="Total  prov en usd"/>
    <tableColumn id="6" xr3:uid="{5D676530-798B-43DE-B7C9-24FC1136363D}" name="Pago prov (monto)"/>
    <tableColumn id="7" xr3:uid="{662E07EA-5617-42DD-A82F-CE90656C2C3C}" name="Pago prov en eur"/>
    <tableColumn id="8" xr3:uid="{F059DA72-E02E-4C71-914F-6537B9059A09}" name="Pago prov en usd"/>
    <tableColumn id="9" xr3:uid="{16BA330D-9A04-48AA-A06E-C0DDF5B57AF8}" name="Restante por pagar prov"/>
    <tableColumn id="10" xr3:uid="{818EF74E-84F2-416C-BC1A-A9552CACCA73}" name="AP fecha_inicio" dataDxfId="5"/>
    <tableColumn id="11" xr3:uid="{71195298-9068-4BA4-A5EE-F41A8FC6D218}" name="AP fecha salida 30 dias antes" dataDxfId="4"/>
    <tableColumn id="12" xr3:uid="{1506EAFA-56CF-44A7-A136-B4B4954E6732}" name="AP mes 30 dias antes"/>
    <tableColumn id="13" xr3:uid="{E6606B3D-8676-472C-BDF2-2CE0897FD44E}" name="AP año 30 dias an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52144-6FEA-41A4-9A86-8CD77066BD69}" name="Tabla1" displayName="Tabla1" ref="A3:M12" totalsRowShown="0">
  <autoFilter ref="A3:M12" xr:uid="{A0A52144-6FEA-41A4-9A86-8CD77066BD69}"/>
  <tableColumns count="13">
    <tableColumn id="1" xr3:uid="{C2649218-5F4C-4396-A24F-F3EC2F4C5F7D}" name="AP Reserva"/>
    <tableColumn id="2" xr3:uid="{467247E5-4241-42FB-9531-D4BD9D5CBBEA}" name="AP Moneda"/>
    <tableColumn id="3" xr3:uid="{A39F2FC3-592D-465B-96EC-0B25792C2743}" name="Total Provedor"/>
    <tableColumn id="4" xr3:uid="{666A3066-CAE0-489C-8E05-3D5F779EECC0}" name="Total  prov en eur"/>
    <tableColumn id="5" xr3:uid="{0DA891AE-CA48-4040-97D3-6F1D1A436784}" name="Total  prov en usd"/>
    <tableColumn id="6" xr3:uid="{A8B6C1C9-8D0F-45A7-A24A-63E069985AF5}" name="Pago prov (monto)"/>
    <tableColumn id="7" xr3:uid="{91E09CB8-A113-4915-9DBD-9C71D3179E62}" name="Pago prov en eur"/>
    <tableColumn id="8" xr3:uid="{AA220DD8-786E-47F1-ABE3-627851934E1E}" name="Pago prov en usd"/>
    <tableColumn id="9" xr3:uid="{70930C67-52CD-4282-BE10-A46E8F0A6905}" name="Restante por pagar prov"/>
    <tableColumn id="10" xr3:uid="{558AF339-4B45-4C49-A1FF-A38C35488A09}" name="AP fecha_inicio" dataDxfId="3"/>
    <tableColumn id="11" xr3:uid="{03BAB810-1290-4059-BA43-5C2DCCA2C08D}" name="AP fecha salida 30 dias antes" dataDxfId="2"/>
    <tableColumn id="12" xr3:uid="{530E620C-AEC0-47D8-BE81-D79EB0E2EA28}" name="AP mes 30 dias antes"/>
    <tableColumn id="13" xr3:uid="{59CD7E8A-2B6A-4AC4-83ED-87C377E964D3}" name="AP año 30 dias an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6E12CA-7F88-49BD-A053-9252C59D66E4}" name="Table3" displayName="Table3" ref="A3:M8" totalsRowShown="0">
  <autoFilter ref="A3:M8" xr:uid="{446E12CA-7F88-49BD-A053-9252C59D66E4}"/>
  <tableColumns count="13">
    <tableColumn id="1" xr3:uid="{4E1925FC-89F5-428F-9327-A76B9BE8B47F}" name="AR Reserva"/>
    <tableColumn id="2" xr3:uid="{59A3E12B-35AA-44A0-A742-16423D78D8C8}" name="AR Moneda"/>
    <tableColumn id="3" xr3:uid="{F3A7FA25-FF0B-445F-AA9E-E112B99391A1}" name="Total cliente"/>
    <tableColumn id="4" xr3:uid="{0944BEA8-B925-43F2-8CA6-90DC578D97E7}" name="Tot en eur"/>
    <tableColumn id="5" xr3:uid="{C8BA3A68-3205-45EF-B7E8-BD03F9C33105}" name="Tot en usd"/>
    <tableColumn id="6" xr3:uid="{FFF0221C-D449-4470-B062-77A37EB00852}" name="Pago cliente (monto)"/>
    <tableColumn id="7" xr3:uid="{4C3D98CB-3960-479E-87DC-2314A62D5F53}" name="Pago cliente eur"/>
    <tableColumn id="8" xr3:uid="{71352A7A-A8F3-4BF1-BC69-6DAD201ACF43}" name="Pago cliente usd"/>
    <tableColumn id="9" xr3:uid="{807CF317-28E8-45CC-AC2C-430CF72426BD}" name="Restante por pagar cliente"/>
    <tableColumn id="10" xr3:uid="{98A8FB15-1C16-46B8-A523-BFA5D346FB0C}" name="AR fecha_inicio" dataDxfId="1"/>
    <tableColumn id="11" xr3:uid="{1567A6CB-ACB4-4E7D-917B-3D5590201663}" name="AR fecha salida 30 dias antes" dataDxfId="0"/>
    <tableColumn id="12" xr3:uid="{035E5AD5-FD44-47F7-B429-630482418B12}" name="AR mes 30 dias antes"/>
    <tableColumn id="13" xr3:uid="{03EB6AF0-7EFF-428C-A626-E3849CBD2EBA}" name="AR año 30 dias an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pane ySplit="1" topLeftCell="A2" activePane="bottomLeft" state="frozen"/>
      <selection pane="bottomLeft" activeCell="F2" sqref="F2"/>
    </sheetView>
  </sheetViews>
  <sheetFormatPr defaultColWidth="12.7109375" defaultRowHeight="15" customHeight="1"/>
  <cols>
    <col min="1" max="3" width="15.140625" customWidth="1"/>
    <col min="4" max="5" width="17.28515625" customWidth="1"/>
    <col min="6" max="6" width="19" bestFit="1" customWidth="1"/>
    <col min="7" max="7" width="17.140625" customWidth="1"/>
    <col min="8" max="8" width="18.140625" bestFit="1" customWidth="1"/>
    <col min="9" max="9" width="22.7109375" customWidth="1"/>
    <col min="10" max="10" width="27.42578125" bestFit="1" customWidth="1"/>
    <col min="11" max="11" width="17.28515625" customWidth="1"/>
    <col min="12" max="12" width="29.85546875" bestFit="1" customWidth="1"/>
    <col min="13" max="13" width="22.7109375" bestFit="1" customWidth="1"/>
    <col min="14" max="14" width="22.28515625" bestFit="1" customWidth="1"/>
    <col min="15" max="15" width="2.28515625" style="26" customWidth="1"/>
    <col min="17" max="17" width="10.7109375" customWidth="1"/>
    <col min="19" max="19" width="12" bestFit="1" customWidth="1"/>
    <col min="20" max="20" width="14.5703125" bestFit="1" customWidth="1"/>
    <col min="22" max="22" width="14.140625" bestFit="1" customWidth="1"/>
    <col min="24" max="24" width="23.140625" bestFit="1" customWidth="1"/>
  </cols>
  <sheetData>
    <row r="1" spans="1:28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5" t="s">
        <v>14</v>
      </c>
      <c r="Q1" s="5" t="s">
        <v>15</v>
      </c>
      <c r="R1" s="5" t="s">
        <v>16</v>
      </c>
      <c r="S1" s="5" t="s">
        <v>17</v>
      </c>
      <c r="U1" t="s">
        <v>0</v>
      </c>
      <c r="V1" t="s">
        <v>18</v>
      </c>
      <c r="W1" s="43" t="s">
        <v>0</v>
      </c>
      <c r="X1" s="44" t="s">
        <v>19</v>
      </c>
    </row>
    <row r="2" spans="1:28" ht="15.75" customHeight="1">
      <c r="A2" s="6">
        <v>1</v>
      </c>
      <c r="B2" s="6" t="str">
        <f t="shared" ref="B2:B33" si="0">_xlfn.XLOOKUP(A2,Q:Q,R:R,"not found")</f>
        <v>USD</v>
      </c>
      <c r="C2" s="6">
        <f>_xlfn.XLOOKUP(A2,U:U,V:V)</f>
        <v>101527.9</v>
      </c>
      <c r="D2" s="6">
        <f t="shared" ref="D2:D33" si="1">C2*_xlfn.XLOOKUP(B2,Z:Z,AA:AA)</f>
        <v>87313.993999999992</v>
      </c>
      <c r="E2" s="6">
        <f t="shared" ref="E2:E33" si="2">C2*_xlfn.XLOOKUP(B2,Z:Z,AB:AB)</f>
        <v>101527.9</v>
      </c>
      <c r="F2" s="6">
        <f>_xlfn.XLOOKUP(A2,W:W,X:X)</f>
        <v>101527.9</v>
      </c>
      <c r="G2" s="15">
        <f t="shared" ref="G2:G33" si="3">F2*_xlfn.XLOOKUP(B2,Z:Z,AA:AA)</f>
        <v>87313.993999999992</v>
      </c>
      <c r="H2" s="15">
        <f t="shared" ref="H2:H33" si="4">F2*_xlfn.XLOOKUP(B2,Z:Z,AB:AB)</f>
        <v>101527.9</v>
      </c>
      <c r="I2" s="6">
        <f>C2-F2</f>
        <v>0</v>
      </c>
      <c r="J2" s="6">
        <f t="shared" ref="J2:J33" si="5">I2*_xlfn.XLOOKUP(B2,Z:Z,AB:AB)</f>
        <v>0</v>
      </c>
      <c r="K2" s="7">
        <f t="shared" ref="K2:K33" si="6">_xlfn.XLOOKUP(A2,Q:Q,S:S,"NO")</f>
        <v>46009</v>
      </c>
      <c r="L2" s="7">
        <f t="shared" ref="L2:L65" si="7">K2-30</f>
        <v>45979</v>
      </c>
      <c r="M2" s="8">
        <f t="shared" ref="M2:M65" si="8">MONTH(L2)</f>
        <v>11</v>
      </c>
      <c r="N2" s="8">
        <f>YEAR(L2)</f>
        <v>2025</v>
      </c>
      <c r="Q2">
        <v>1</v>
      </c>
      <c r="R2" s="8" t="s">
        <v>20</v>
      </c>
      <c r="S2" s="9">
        <v>46009</v>
      </c>
      <c r="U2">
        <v>1</v>
      </c>
      <c r="V2">
        <v>101527.9</v>
      </c>
      <c r="W2" s="45">
        <v>1</v>
      </c>
      <c r="X2" s="46">
        <v>101527.9</v>
      </c>
    </row>
    <row r="3" spans="1:28" ht="15.75" customHeight="1">
      <c r="A3" s="6">
        <v>2</v>
      </c>
      <c r="B3" s="6" t="str">
        <f t="shared" si="0"/>
        <v>EUR</v>
      </c>
      <c r="C3" s="6">
        <f t="shared" ref="C3:C66" si="9">_xlfn.XLOOKUP(A3,U:U,V:V)</f>
        <v>13433.85</v>
      </c>
      <c r="D3" s="6">
        <f t="shared" si="1"/>
        <v>13433.85</v>
      </c>
      <c r="E3" s="6">
        <f t="shared" si="2"/>
        <v>15583.266</v>
      </c>
      <c r="F3" s="6">
        <f t="shared" ref="F3:F66" si="10">_xlfn.XLOOKUP(A3,W:W,X:X)</f>
        <v>13433.85</v>
      </c>
      <c r="G3" s="15">
        <f t="shared" si="3"/>
        <v>13433.85</v>
      </c>
      <c r="H3" s="15">
        <f t="shared" si="4"/>
        <v>15583.266</v>
      </c>
      <c r="I3" s="6">
        <f t="shared" ref="I3:I66" si="11">C3-F3</f>
        <v>0</v>
      </c>
      <c r="J3" s="6">
        <f t="shared" si="5"/>
        <v>0</v>
      </c>
      <c r="K3" s="7">
        <f t="shared" si="6"/>
        <v>45766</v>
      </c>
      <c r="L3" s="7">
        <f t="shared" si="7"/>
        <v>45736</v>
      </c>
      <c r="M3" s="8">
        <f t="shared" si="8"/>
        <v>3</v>
      </c>
      <c r="N3" s="8">
        <f t="shared" ref="N3:N66" si="12">YEAR(L3)</f>
        <v>2025</v>
      </c>
      <c r="Q3">
        <v>2</v>
      </c>
      <c r="R3" s="8" t="s">
        <v>21</v>
      </c>
      <c r="S3" s="9">
        <v>45766</v>
      </c>
      <c r="U3">
        <v>2</v>
      </c>
      <c r="V3">
        <v>13433.85</v>
      </c>
      <c r="W3" s="45">
        <v>2</v>
      </c>
      <c r="X3" s="46">
        <v>13433.85</v>
      </c>
      <c r="Z3" s="16" t="s">
        <v>22</v>
      </c>
      <c r="AA3" s="16" t="s">
        <v>23</v>
      </c>
      <c r="AB3" s="16" t="s">
        <v>24</v>
      </c>
    </row>
    <row r="4" spans="1:28" ht="15.75" customHeight="1">
      <c r="A4" s="6">
        <v>3</v>
      </c>
      <c r="B4" s="6" t="str">
        <f t="shared" si="0"/>
        <v>EUR</v>
      </c>
      <c r="C4" s="6">
        <f t="shared" si="9"/>
        <v>950.4</v>
      </c>
      <c r="D4" s="6">
        <f t="shared" si="1"/>
        <v>950.4</v>
      </c>
      <c r="E4" s="6">
        <f t="shared" si="2"/>
        <v>1102.4639999999999</v>
      </c>
      <c r="F4" s="6">
        <f t="shared" si="10"/>
        <v>950.4</v>
      </c>
      <c r="G4" s="15">
        <f t="shared" si="3"/>
        <v>950.4</v>
      </c>
      <c r="H4" s="15">
        <f t="shared" si="4"/>
        <v>1102.4639999999999</v>
      </c>
      <c r="I4" s="6">
        <f t="shared" si="11"/>
        <v>0</v>
      </c>
      <c r="J4" s="6">
        <f t="shared" si="5"/>
        <v>0</v>
      </c>
      <c r="K4" s="7">
        <f t="shared" si="6"/>
        <v>45779</v>
      </c>
      <c r="L4" s="7">
        <f t="shared" si="7"/>
        <v>45749</v>
      </c>
      <c r="M4" s="8">
        <f t="shared" si="8"/>
        <v>4</v>
      </c>
      <c r="N4" s="8">
        <f t="shared" si="12"/>
        <v>2025</v>
      </c>
      <c r="Q4">
        <v>3</v>
      </c>
      <c r="R4" s="8" t="s">
        <v>21</v>
      </c>
      <c r="S4" s="9">
        <v>45779</v>
      </c>
      <c r="U4">
        <v>3</v>
      </c>
      <c r="V4">
        <v>950.4</v>
      </c>
      <c r="W4" s="45">
        <v>3</v>
      </c>
      <c r="X4" s="46">
        <v>950.4</v>
      </c>
      <c r="Z4" s="16" t="s">
        <v>21</v>
      </c>
      <c r="AA4" s="16">
        <v>1</v>
      </c>
      <c r="AB4" s="16">
        <v>1.1599999999999999</v>
      </c>
    </row>
    <row r="5" spans="1:28" ht="15.75" customHeight="1">
      <c r="A5" s="6">
        <v>4</v>
      </c>
      <c r="B5" s="6" t="str">
        <f t="shared" si="0"/>
        <v>EUR</v>
      </c>
      <c r="C5" s="6">
        <f t="shared" si="9"/>
        <v>8227.5499999999993</v>
      </c>
      <c r="D5" s="6">
        <f t="shared" si="1"/>
        <v>8227.5499999999993</v>
      </c>
      <c r="E5" s="6">
        <f t="shared" si="2"/>
        <v>9543.9579999999987</v>
      </c>
      <c r="F5" s="6">
        <f t="shared" si="10"/>
        <v>8227.5499999999993</v>
      </c>
      <c r="G5" s="15">
        <f t="shared" si="3"/>
        <v>8227.5499999999993</v>
      </c>
      <c r="H5" s="15">
        <f t="shared" si="4"/>
        <v>9543.9579999999987</v>
      </c>
      <c r="I5" s="6">
        <f t="shared" si="11"/>
        <v>0</v>
      </c>
      <c r="J5" s="6">
        <f t="shared" si="5"/>
        <v>0</v>
      </c>
      <c r="K5" s="7">
        <f t="shared" si="6"/>
        <v>45856</v>
      </c>
      <c r="L5" s="7">
        <f t="shared" si="7"/>
        <v>45826</v>
      </c>
      <c r="M5" s="8">
        <f t="shared" si="8"/>
        <v>6</v>
      </c>
      <c r="N5" s="8">
        <f t="shared" si="12"/>
        <v>2025</v>
      </c>
      <c r="Q5">
        <v>4</v>
      </c>
      <c r="R5" s="8" t="s">
        <v>21</v>
      </c>
      <c r="S5" s="9">
        <v>45856</v>
      </c>
      <c r="U5">
        <v>4</v>
      </c>
      <c r="V5">
        <v>8227.5499999999993</v>
      </c>
      <c r="W5" s="45">
        <v>4</v>
      </c>
      <c r="X5" s="46">
        <v>8227.5499999999993</v>
      </c>
      <c r="Z5" s="16" t="s">
        <v>20</v>
      </c>
      <c r="AA5" s="16">
        <v>0.86</v>
      </c>
      <c r="AB5" s="16">
        <v>1</v>
      </c>
    </row>
    <row r="6" spans="1:28" ht="15.75" customHeight="1">
      <c r="A6" s="6">
        <v>5</v>
      </c>
      <c r="B6" s="6" t="str">
        <f t="shared" si="0"/>
        <v>EUR</v>
      </c>
      <c r="C6" s="6">
        <f t="shared" si="9"/>
        <v>1490.21</v>
      </c>
      <c r="D6" s="6">
        <f t="shared" si="1"/>
        <v>1490.21</v>
      </c>
      <c r="E6" s="6">
        <f t="shared" si="2"/>
        <v>1728.6435999999999</v>
      </c>
      <c r="F6" s="6">
        <f t="shared" si="10"/>
        <v>1490.21</v>
      </c>
      <c r="G6" s="15">
        <f t="shared" si="3"/>
        <v>1490.21</v>
      </c>
      <c r="H6" s="15">
        <f t="shared" si="4"/>
        <v>1728.6435999999999</v>
      </c>
      <c r="I6" s="6">
        <f t="shared" si="11"/>
        <v>0</v>
      </c>
      <c r="J6" s="6">
        <f t="shared" si="5"/>
        <v>0</v>
      </c>
      <c r="K6" s="7">
        <f t="shared" si="6"/>
        <v>45788</v>
      </c>
      <c r="L6" s="7">
        <f t="shared" si="7"/>
        <v>45758</v>
      </c>
      <c r="M6" s="8">
        <f t="shared" si="8"/>
        <v>4</v>
      </c>
      <c r="N6" s="8">
        <f t="shared" si="12"/>
        <v>2025</v>
      </c>
      <c r="Q6">
        <v>5</v>
      </c>
      <c r="R6" s="8" t="s">
        <v>21</v>
      </c>
      <c r="S6" s="9">
        <v>45788</v>
      </c>
      <c r="U6">
        <v>5</v>
      </c>
      <c r="V6">
        <v>1490.21</v>
      </c>
      <c r="W6" s="45">
        <v>5</v>
      </c>
      <c r="X6" s="46">
        <v>1490.21</v>
      </c>
      <c r="Z6" s="16" t="s">
        <v>25</v>
      </c>
      <c r="AA6" s="16">
        <v>1.07</v>
      </c>
      <c r="AB6" s="16">
        <v>1.25</v>
      </c>
    </row>
    <row r="7" spans="1:28" ht="15.75" customHeight="1">
      <c r="A7" s="6">
        <v>6</v>
      </c>
      <c r="B7" s="6" t="str">
        <f t="shared" si="0"/>
        <v>EUR</v>
      </c>
      <c r="C7" s="6">
        <f t="shared" si="9"/>
        <v>4957.62</v>
      </c>
      <c r="D7" s="6">
        <f t="shared" si="1"/>
        <v>4957.62</v>
      </c>
      <c r="E7" s="6">
        <f t="shared" si="2"/>
        <v>5750.8391999999994</v>
      </c>
      <c r="F7" s="6">
        <f t="shared" si="10"/>
        <v>4957.62</v>
      </c>
      <c r="G7" s="15">
        <f t="shared" si="3"/>
        <v>4957.62</v>
      </c>
      <c r="H7" s="15">
        <f t="shared" si="4"/>
        <v>5750.8391999999994</v>
      </c>
      <c r="I7" s="6">
        <f t="shared" si="11"/>
        <v>0</v>
      </c>
      <c r="J7" s="6">
        <f t="shared" si="5"/>
        <v>0</v>
      </c>
      <c r="K7" s="7">
        <f t="shared" si="6"/>
        <v>45778</v>
      </c>
      <c r="L7" s="7">
        <f t="shared" si="7"/>
        <v>45748</v>
      </c>
      <c r="M7" s="8">
        <f t="shared" si="8"/>
        <v>4</v>
      </c>
      <c r="N7" s="8">
        <f t="shared" si="12"/>
        <v>2025</v>
      </c>
      <c r="Q7">
        <v>6</v>
      </c>
      <c r="R7" s="8" t="s">
        <v>21</v>
      </c>
      <c r="S7" s="9">
        <v>45778</v>
      </c>
      <c r="U7">
        <v>6</v>
      </c>
      <c r="V7">
        <v>4957.62</v>
      </c>
      <c r="W7" s="45">
        <v>6</v>
      </c>
      <c r="X7" s="46">
        <v>4957.62</v>
      </c>
      <c r="Z7" s="16" t="s">
        <v>26</v>
      </c>
      <c r="AA7" s="16">
        <v>1.1499999999999999</v>
      </c>
      <c r="AB7" s="16">
        <v>1.34</v>
      </c>
    </row>
    <row r="8" spans="1:28" ht="15.75" customHeight="1">
      <c r="A8" s="6">
        <v>7</v>
      </c>
      <c r="B8" s="6" t="str">
        <f t="shared" si="0"/>
        <v>USD</v>
      </c>
      <c r="C8" s="6">
        <f t="shared" si="9"/>
        <v>51968.04</v>
      </c>
      <c r="D8" s="6">
        <f t="shared" si="1"/>
        <v>44692.5144</v>
      </c>
      <c r="E8" s="6">
        <f t="shared" si="2"/>
        <v>51968.04</v>
      </c>
      <c r="F8" s="6">
        <f t="shared" si="10"/>
        <v>51968.04</v>
      </c>
      <c r="G8" s="15">
        <f t="shared" si="3"/>
        <v>44692.5144</v>
      </c>
      <c r="H8" s="15">
        <f t="shared" si="4"/>
        <v>51968.04</v>
      </c>
      <c r="I8" s="6">
        <f t="shared" si="11"/>
        <v>0</v>
      </c>
      <c r="J8" s="6">
        <f t="shared" si="5"/>
        <v>0</v>
      </c>
      <c r="K8" s="7">
        <f t="shared" si="6"/>
        <v>45859</v>
      </c>
      <c r="L8" s="7">
        <f t="shared" si="7"/>
        <v>45829</v>
      </c>
      <c r="M8" s="8">
        <f t="shared" si="8"/>
        <v>6</v>
      </c>
      <c r="N8" s="8">
        <f t="shared" si="12"/>
        <v>2025</v>
      </c>
      <c r="Q8">
        <v>7</v>
      </c>
      <c r="R8" s="8" t="s">
        <v>20</v>
      </c>
      <c r="S8" s="9">
        <v>45859</v>
      </c>
      <c r="U8">
        <v>7</v>
      </c>
      <c r="V8">
        <v>51968.04</v>
      </c>
      <c r="W8" s="45">
        <v>7</v>
      </c>
      <c r="X8" s="46">
        <v>51968.04</v>
      </c>
      <c r="Z8" s="16" t="s">
        <v>27</v>
      </c>
      <c r="AA8" s="16">
        <v>1.1499999999999999</v>
      </c>
      <c r="AB8" s="16">
        <v>1.34</v>
      </c>
    </row>
    <row r="9" spans="1:28" ht="15.75" customHeight="1">
      <c r="A9" s="6">
        <v>8</v>
      </c>
      <c r="B9" s="6" t="str">
        <f t="shared" si="0"/>
        <v>EUR</v>
      </c>
      <c r="C9" s="6">
        <f t="shared" si="9"/>
        <v>8968.68</v>
      </c>
      <c r="D9" s="6">
        <f t="shared" si="1"/>
        <v>8968.68</v>
      </c>
      <c r="E9" s="6">
        <f t="shared" si="2"/>
        <v>10403.668799999999</v>
      </c>
      <c r="F9" s="6">
        <f t="shared" si="10"/>
        <v>8968.68</v>
      </c>
      <c r="G9" s="15">
        <f t="shared" si="3"/>
        <v>8968.68</v>
      </c>
      <c r="H9" s="15">
        <f t="shared" si="4"/>
        <v>10403.668799999999</v>
      </c>
      <c r="I9" s="6">
        <f t="shared" si="11"/>
        <v>0</v>
      </c>
      <c r="J9" s="6">
        <f t="shared" si="5"/>
        <v>0</v>
      </c>
      <c r="K9" s="7">
        <f t="shared" si="6"/>
        <v>45996</v>
      </c>
      <c r="L9" s="7">
        <f t="shared" si="7"/>
        <v>45966</v>
      </c>
      <c r="M9" s="8">
        <f t="shared" si="8"/>
        <v>11</v>
      </c>
      <c r="N9" s="8">
        <f t="shared" si="12"/>
        <v>2025</v>
      </c>
      <c r="Q9">
        <v>8</v>
      </c>
      <c r="R9" s="8" t="s">
        <v>21</v>
      </c>
      <c r="S9" s="9">
        <v>45996</v>
      </c>
      <c r="U9">
        <v>8</v>
      </c>
      <c r="V9">
        <v>8968.68</v>
      </c>
      <c r="W9" s="45">
        <v>8</v>
      </c>
      <c r="X9" s="46">
        <v>8968.68</v>
      </c>
      <c r="Z9" s="16" t="s">
        <v>28</v>
      </c>
      <c r="AA9" s="16">
        <v>5.4999999999999997E-3</v>
      </c>
      <c r="AB9" s="16">
        <v>6.4000000000000003E-3</v>
      </c>
    </row>
    <row r="10" spans="1:28" ht="15.75" customHeight="1">
      <c r="A10" s="6">
        <v>9</v>
      </c>
      <c r="B10" s="6" t="str">
        <f t="shared" si="0"/>
        <v>EUR</v>
      </c>
      <c r="C10" s="6">
        <f t="shared" si="9"/>
        <v>21320.400000000001</v>
      </c>
      <c r="D10" s="6">
        <f t="shared" si="1"/>
        <v>21320.400000000001</v>
      </c>
      <c r="E10" s="6">
        <f t="shared" si="2"/>
        <v>24731.664000000001</v>
      </c>
      <c r="F10" s="6">
        <f t="shared" si="10"/>
        <v>21320.400000000001</v>
      </c>
      <c r="G10" s="15">
        <f t="shared" si="3"/>
        <v>21320.400000000001</v>
      </c>
      <c r="H10" s="15">
        <f t="shared" si="4"/>
        <v>24731.664000000001</v>
      </c>
      <c r="I10" s="6">
        <f t="shared" si="11"/>
        <v>0</v>
      </c>
      <c r="J10" s="6">
        <f t="shared" si="5"/>
        <v>0</v>
      </c>
      <c r="K10" s="7">
        <f t="shared" si="6"/>
        <v>45889</v>
      </c>
      <c r="L10" s="7">
        <f t="shared" si="7"/>
        <v>45859</v>
      </c>
      <c r="M10" s="8">
        <f t="shared" si="8"/>
        <v>7</v>
      </c>
      <c r="N10" s="8">
        <f t="shared" si="12"/>
        <v>2025</v>
      </c>
      <c r="Q10">
        <v>9</v>
      </c>
      <c r="R10" s="8" t="s">
        <v>21</v>
      </c>
      <c r="S10" s="9">
        <v>45889</v>
      </c>
      <c r="U10">
        <v>9</v>
      </c>
      <c r="V10">
        <v>21320.400000000001</v>
      </c>
      <c r="W10" s="45">
        <v>9</v>
      </c>
      <c r="X10" s="46">
        <v>21320.400000000001</v>
      </c>
      <c r="Z10" s="16" t="s">
        <v>29</v>
      </c>
      <c r="AA10" s="16">
        <v>4.8000000000000001E-2</v>
      </c>
      <c r="AB10" s="16">
        <v>5.6000000000000001E-2</v>
      </c>
    </row>
    <row r="11" spans="1:28" ht="15.75" customHeight="1">
      <c r="A11" s="6">
        <v>10</v>
      </c>
      <c r="B11" s="6" t="str">
        <f t="shared" si="0"/>
        <v>EUR</v>
      </c>
      <c r="C11" s="6">
        <f t="shared" si="9"/>
        <v>426.46</v>
      </c>
      <c r="D11" s="6">
        <f t="shared" si="1"/>
        <v>426.46</v>
      </c>
      <c r="E11" s="6">
        <f t="shared" si="2"/>
        <v>494.69359999999995</v>
      </c>
      <c r="F11" s="6">
        <f t="shared" si="10"/>
        <v>426.46</v>
      </c>
      <c r="G11" s="15">
        <f t="shared" si="3"/>
        <v>426.46</v>
      </c>
      <c r="H11" s="15">
        <f t="shared" si="4"/>
        <v>494.69359999999995</v>
      </c>
      <c r="I11" s="6">
        <f t="shared" si="11"/>
        <v>0</v>
      </c>
      <c r="J11" s="6">
        <f t="shared" si="5"/>
        <v>0</v>
      </c>
      <c r="K11" s="7">
        <f t="shared" si="6"/>
        <v>45792</v>
      </c>
      <c r="L11" s="7">
        <f t="shared" si="7"/>
        <v>45762</v>
      </c>
      <c r="M11" s="8">
        <f t="shared" si="8"/>
        <v>4</v>
      </c>
      <c r="N11" s="8">
        <f t="shared" si="12"/>
        <v>2025</v>
      </c>
      <c r="Q11">
        <v>10</v>
      </c>
      <c r="R11" s="8" t="s">
        <v>21</v>
      </c>
      <c r="S11" s="9">
        <v>45792</v>
      </c>
      <c r="U11">
        <v>10</v>
      </c>
      <c r="V11">
        <v>426.46</v>
      </c>
      <c r="W11" s="45">
        <v>10</v>
      </c>
      <c r="X11" s="46">
        <v>426.46</v>
      </c>
    </row>
    <row r="12" spans="1:28" ht="15.75" customHeight="1">
      <c r="A12" s="6">
        <v>11</v>
      </c>
      <c r="B12" s="6" t="str">
        <f t="shared" si="0"/>
        <v>EUR</v>
      </c>
      <c r="C12" s="6">
        <f t="shared" si="9"/>
        <v>497.36</v>
      </c>
      <c r="D12" s="6">
        <f t="shared" si="1"/>
        <v>497.36</v>
      </c>
      <c r="E12" s="6">
        <f t="shared" si="2"/>
        <v>576.93759999999997</v>
      </c>
      <c r="F12" s="6">
        <f t="shared" si="10"/>
        <v>497.36</v>
      </c>
      <c r="G12" s="15">
        <f t="shared" si="3"/>
        <v>497.36</v>
      </c>
      <c r="H12" s="15">
        <f t="shared" si="4"/>
        <v>576.93759999999997</v>
      </c>
      <c r="I12" s="6">
        <f t="shared" si="11"/>
        <v>0</v>
      </c>
      <c r="J12" s="6">
        <f t="shared" si="5"/>
        <v>0</v>
      </c>
      <c r="K12" s="7">
        <f t="shared" si="6"/>
        <v>45805</v>
      </c>
      <c r="L12" s="7">
        <f t="shared" si="7"/>
        <v>45775</v>
      </c>
      <c r="M12" s="8">
        <f t="shared" si="8"/>
        <v>4</v>
      </c>
      <c r="N12" s="8">
        <f t="shared" si="12"/>
        <v>2025</v>
      </c>
      <c r="Q12">
        <v>11</v>
      </c>
      <c r="R12" s="8" t="s">
        <v>21</v>
      </c>
      <c r="S12" s="9">
        <v>45805</v>
      </c>
      <c r="U12">
        <v>11</v>
      </c>
      <c r="V12">
        <v>497.36</v>
      </c>
      <c r="W12" s="45">
        <v>11</v>
      </c>
      <c r="X12" s="46">
        <v>497.36</v>
      </c>
    </row>
    <row r="13" spans="1:28" ht="15.75" customHeight="1">
      <c r="A13" s="6">
        <v>12</v>
      </c>
      <c r="B13" s="6" t="str">
        <f t="shared" si="0"/>
        <v>EUR</v>
      </c>
      <c r="C13" s="6">
        <f t="shared" si="9"/>
        <v>6617.36</v>
      </c>
      <c r="D13" s="6">
        <f t="shared" si="1"/>
        <v>6617.36</v>
      </c>
      <c r="E13" s="6">
        <f t="shared" si="2"/>
        <v>7676.1375999999991</v>
      </c>
      <c r="F13" s="6">
        <f t="shared" si="10"/>
        <v>6617.36</v>
      </c>
      <c r="G13" s="15">
        <f t="shared" si="3"/>
        <v>6617.36</v>
      </c>
      <c r="H13" s="15">
        <f t="shared" si="4"/>
        <v>7676.1375999999991</v>
      </c>
      <c r="I13" s="6">
        <f t="shared" si="11"/>
        <v>0</v>
      </c>
      <c r="J13" s="6">
        <f t="shared" si="5"/>
        <v>0</v>
      </c>
      <c r="K13" s="7">
        <f t="shared" si="6"/>
        <v>45801</v>
      </c>
      <c r="L13" s="7">
        <f t="shared" si="7"/>
        <v>45771</v>
      </c>
      <c r="M13" s="8">
        <f t="shared" si="8"/>
        <v>4</v>
      </c>
      <c r="N13" s="8">
        <f t="shared" si="12"/>
        <v>2025</v>
      </c>
      <c r="Q13">
        <v>12</v>
      </c>
      <c r="R13" s="8" t="s">
        <v>21</v>
      </c>
      <c r="S13" s="9">
        <v>45801</v>
      </c>
      <c r="U13">
        <v>12</v>
      </c>
      <c r="V13">
        <v>6617.36</v>
      </c>
      <c r="W13" s="45">
        <v>12</v>
      </c>
      <c r="X13" s="46">
        <v>6617.36</v>
      </c>
    </row>
    <row r="14" spans="1:28" ht="15.75" customHeight="1">
      <c r="A14" s="6">
        <v>13</v>
      </c>
      <c r="B14" s="6" t="str">
        <f t="shared" si="0"/>
        <v>EUR</v>
      </c>
      <c r="C14" s="6">
        <f t="shared" si="9"/>
        <v>21352.57</v>
      </c>
      <c r="D14" s="6">
        <f t="shared" si="1"/>
        <v>21352.57</v>
      </c>
      <c r="E14" s="6">
        <f t="shared" si="2"/>
        <v>24768.981199999998</v>
      </c>
      <c r="F14" s="6">
        <f t="shared" si="10"/>
        <v>21352.57</v>
      </c>
      <c r="G14" s="15">
        <f t="shared" si="3"/>
        <v>21352.57</v>
      </c>
      <c r="H14" s="15">
        <f t="shared" si="4"/>
        <v>24768.981199999998</v>
      </c>
      <c r="I14" s="6">
        <f t="shared" si="11"/>
        <v>0</v>
      </c>
      <c r="J14" s="6">
        <f t="shared" si="5"/>
        <v>0</v>
      </c>
      <c r="K14" s="7">
        <f t="shared" si="6"/>
        <v>45860</v>
      </c>
      <c r="L14" s="7">
        <f t="shared" si="7"/>
        <v>45830</v>
      </c>
      <c r="M14" s="8">
        <f t="shared" si="8"/>
        <v>6</v>
      </c>
      <c r="N14" s="8">
        <f t="shared" si="12"/>
        <v>2025</v>
      </c>
      <c r="Q14">
        <v>13</v>
      </c>
      <c r="R14" s="8" t="s">
        <v>21</v>
      </c>
      <c r="S14" s="9">
        <v>45860</v>
      </c>
      <c r="U14">
        <v>13</v>
      </c>
      <c r="V14">
        <v>21352.57</v>
      </c>
      <c r="W14" s="45">
        <v>13</v>
      </c>
      <c r="X14" s="46">
        <v>21352.57</v>
      </c>
    </row>
    <row r="15" spans="1:28" ht="15.75" customHeight="1">
      <c r="A15" s="6">
        <v>14</v>
      </c>
      <c r="B15" s="6" t="str">
        <f t="shared" si="0"/>
        <v>EUR</v>
      </c>
      <c r="C15" s="6">
        <f t="shared" si="9"/>
        <v>427.8</v>
      </c>
      <c r="D15" s="6">
        <f t="shared" si="1"/>
        <v>427.8</v>
      </c>
      <c r="E15" s="6">
        <f t="shared" si="2"/>
        <v>496.24799999999999</v>
      </c>
      <c r="F15" s="6">
        <f t="shared" si="10"/>
        <v>427.8</v>
      </c>
      <c r="G15" s="15">
        <f t="shared" si="3"/>
        <v>427.8</v>
      </c>
      <c r="H15" s="15">
        <f t="shared" si="4"/>
        <v>496.24799999999999</v>
      </c>
      <c r="I15" s="6">
        <f t="shared" si="11"/>
        <v>0</v>
      </c>
      <c r="J15" s="6">
        <f t="shared" si="5"/>
        <v>0</v>
      </c>
      <c r="K15" s="7">
        <f t="shared" si="6"/>
        <v>45814</v>
      </c>
      <c r="L15" s="7">
        <f t="shared" si="7"/>
        <v>45784</v>
      </c>
      <c r="M15" s="8">
        <f t="shared" si="8"/>
        <v>5</v>
      </c>
      <c r="N15" s="8">
        <f t="shared" si="12"/>
        <v>2025</v>
      </c>
      <c r="Q15">
        <v>14</v>
      </c>
      <c r="R15" s="8" t="s">
        <v>21</v>
      </c>
      <c r="S15" s="9">
        <v>45814</v>
      </c>
      <c r="U15">
        <v>14</v>
      </c>
      <c r="V15">
        <v>427.8</v>
      </c>
      <c r="W15" s="45">
        <v>14</v>
      </c>
      <c r="X15" s="46">
        <v>427.8</v>
      </c>
    </row>
    <row r="16" spans="1:28" ht="15.75" customHeight="1">
      <c r="A16" s="6">
        <v>15</v>
      </c>
      <c r="B16" s="6" t="str">
        <f t="shared" si="0"/>
        <v>EUR</v>
      </c>
      <c r="C16" s="6">
        <f t="shared" si="9"/>
        <v>1282.8399999999999</v>
      </c>
      <c r="D16" s="6">
        <f t="shared" si="1"/>
        <v>1282.8399999999999</v>
      </c>
      <c r="E16" s="6">
        <f t="shared" si="2"/>
        <v>1488.0943999999997</v>
      </c>
      <c r="F16" s="6">
        <f t="shared" si="10"/>
        <v>1282.8399999999999</v>
      </c>
      <c r="G16" s="15">
        <f t="shared" si="3"/>
        <v>1282.8399999999999</v>
      </c>
      <c r="H16" s="15">
        <f t="shared" si="4"/>
        <v>1488.0943999999997</v>
      </c>
      <c r="I16" s="6">
        <f t="shared" si="11"/>
        <v>0</v>
      </c>
      <c r="J16" s="6">
        <f t="shared" si="5"/>
        <v>0</v>
      </c>
      <c r="K16" s="7">
        <f t="shared" si="6"/>
        <v>45843</v>
      </c>
      <c r="L16" s="7">
        <f t="shared" si="7"/>
        <v>45813</v>
      </c>
      <c r="M16" s="8">
        <f t="shared" si="8"/>
        <v>6</v>
      </c>
      <c r="N16" s="8">
        <f t="shared" si="12"/>
        <v>2025</v>
      </c>
      <c r="Q16">
        <v>15</v>
      </c>
      <c r="R16" s="8" t="s">
        <v>21</v>
      </c>
      <c r="S16" s="9">
        <v>45843</v>
      </c>
      <c r="U16">
        <v>15</v>
      </c>
      <c r="V16">
        <v>1282.8399999999999</v>
      </c>
      <c r="W16" s="45">
        <v>15</v>
      </c>
      <c r="X16" s="46">
        <v>1282.8399999999999</v>
      </c>
    </row>
    <row r="17" spans="1:24" ht="15.75" customHeight="1">
      <c r="A17" s="6">
        <v>16</v>
      </c>
      <c r="B17" s="6" t="str">
        <f t="shared" si="0"/>
        <v>USD</v>
      </c>
      <c r="C17" s="6">
        <f t="shared" si="9"/>
        <v>206178.04</v>
      </c>
      <c r="D17" s="6">
        <f t="shared" si="1"/>
        <v>177313.11439999999</v>
      </c>
      <c r="E17" s="6">
        <f t="shared" si="2"/>
        <v>206178.04</v>
      </c>
      <c r="F17" s="6">
        <f t="shared" si="10"/>
        <v>206178.04</v>
      </c>
      <c r="G17" s="15">
        <f t="shared" si="3"/>
        <v>177313.11439999999</v>
      </c>
      <c r="H17" s="15">
        <f t="shared" si="4"/>
        <v>206178.04</v>
      </c>
      <c r="I17" s="6">
        <f t="shared" si="11"/>
        <v>0</v>
      </c>
      <c r="J17" s="6">
        <f t="shared" si="5"/>
        <v>0</v>
      </c>
      <c r="K17" s="7">
        <f t="shared" si="6"/>
        <v>45830</v>
      </c>
      <c r="L17" s="7">
        <f t="shared" si="7"/>
        <v>45800</v>
      </c>
      <c r="M17" s="8">
        <f t="shared" si="8"/>
        <v>5</v>
      </c>
      <c r="N17" s="8">
        <f t="shared" si="12"/>
        <v>2025</v>
      </c>
      <c r="Q17">
        <v>16</v>
      </c>
      <c r="R17" s="8" t="s">
        <v>20</v>
      </c>
      <c r="S17" s="9">
        <v>45830</v>
      </c>
      <c r="U17">
        <v>16</v>
      </c>
      <c r="V17">
        <v>206178.04</v>
      </c>
      <c r="W17" s="45">
        <v>16</v>
      </c>
      <c r="X17" s="46">
        <v>206178.04</v>
      </c>
    </row>
    <row r="18" spans="1:24" ht="15.75" customHeight="1">
      <c r="A18" s="6">
        <v>17</v>
      </c>
      <c r="B18" s="6" t="str">
        <f t="shared" si="0"/>
        <v>EUR</v>
      </c>
      <c r="C18" s="6">
        <f t="shared" si="9"/>
        <v>22833.97</v>
      </c>
      <c r="D18" s="6">
        <f t="shared" si="1"/>
        <v>22833.97</v>
      </c>
      <c r="E18" s="6">
        <f t="shared" si="2"/>
        <v>26487.405200000001</v>
      </c>
      <c r="F18" s="6">
        <f t="shared" si="10"/>
        <v>22833.97</v>
      </c>
      <c r="G18" s="15">
        <f t="shared" si="3"/>
        <v>22833.97</v>
      </c>
      <c r="H18" s="15">
        <f t="shared" si="4"/>
        <v>26487.405200000001</v>
      </c>
      <c r="I18" s="6">
        <f t="shared" si="11"/>
        <v>0</v>
      </c>
      <c r="J18" s="6">
        <f t="shared" si="5"/>
        <v>0</v>
      </c>
      <c r="K18" s="7">
        <f t="shared" si="6"/>
        <v>45892</v>
      </c>
      <c r="L18" s="7">
        <f t="shared" si="7"/>
        <v>45862</v>
      </c>
      <c r="M18" s="8">
        <f t="shared" si="8"/>
        <v>7</v>
      </c>
      <c r="N18" s="8">
        <f t="shared" si="12"/>
        <v>2025</v>
      </c>
      <c r="Q18">
        <v>17</v>
      </c>
      <c r="R18" s="8" t="s">
        <v>21</v>
      </c>
      <c r="S18" s="9">
        <v>45892</v>
      </c>
      <c r="U18">
        <v>17</v>
      </c>
      <c r="V18">
        <v>22833.97</v>
      </c>
      <c r="W18" s="45">
        <v>17</v>
      </c>
      <c r="X18" s="46">
        <v>22833.97</v>
      </c>
    </row>
    <row r="19" spans="1:24" ht="15.75" customHeight="1">
      <c r="A19" s="6">
        <v>19</v>
      </c>
      <c r="B19" s="6" t="str">
        <f t="shared" si="0"/>
        <v>EUR</v>
      </c>
      <c r="C19" s="6">
        <f t="shared" si="9"/>
        <v>24566.799999999999</v>
      </c>
      <c r="D19" s="6">
        <f t="shared" si="1"/>
        <v>24566.799999999999</v>
      </c>
      <c r="E19" s="6">
        <f t="shared" si="2"/>
        <v>28497.487999999998</v>
      </c>
      <c r="F19" s="6">
        <f t="shared" si="10"/>
        <v>24566.799999999999</v>
      </c>
      <c r="G19" s="15">
        <f t="shared" si="3"/>
        <v>24566.799999999999</v>
      </c>
      <c r="H19" s="15">
        <f t="shared" si="4"/>
        <v>28497.487999999998</v>
      </c>
      <c r="I19" s="6">
        <f t="shared" si="11"/>
        <v>0</v>
      </c>
      <c r="J19" s="6">
        <f t="shared" si="5"/>
        <v>0</v>
      </c>
      <c r="K19" s="7">
        <f t="shared" si="6"/>
        <v>45841</v>
      </c>
      <c r="L19" s="7">
        <f t="shared" si="7"/>
        <v>45811</v>
      </c>
      <c r="M19" s="8">
        <f t="shared" si="8"/>
        <v>6</v>
      </c>
      <c r="N19" s="8">
        <f t="shared" si="12"/>
        <v>2025</v>
      </c>
      <c r="Q19">
        <v>18</v>
      </c>
      <c r="R19" s="8" t="s">
        <v>21</v>
      </c>
      <c r="S19" s="9" t="s">
        <v>30</v>
      </c>
      <c r="U19">
        <v>19</v>
      </c>
      <c r="V19">
        <v>24566.799999999999</v>
      </c>
      <c r="W19" s="45">
        <v>19</v>
      </c>
      <c r="X19" s="46">
        <v>24566.799999999999</v>
      </c>
    </row>
    <row r="20" spans="1:24" ht="15.75" customHeight="1">
      <c r="A20" s="6">
        <v>20</v>
      </c>
      <c r="B20" s="6" t="str">
        <f t="shared" si="0"/>
        <v>GPB</v>
      </c>
      <c r="C20" s="6">
        <f t="shared" si="9"/>
        <v>7014</v>
      </c>
      <c r="D20" s="6">
        <f t="shared" si="1"/>
        <v>8066.0999999999995</v>
      </c>
      <c r="E20" s="6">
        <f t="shared" si="2"/>
        <v>9398.76</v>
      </c>
      <c r="F20" s="6">
        <f t="shared" si="10"/>
        <v>7014</v>
      </c>
      <c r="G20" s="15">
        <f t="shared" si="3"/>
        <v>8066.0999999999995</v>
      </c>
      <c r="H20" s="15">
        <f t="shared" si="4"/>
        <v>9398.76</v>
      </c>
      <c r="I20" s="6">
        <f t="shared" si="11"/>
        <v>0</v>
      </c>
      <c r="J20" s="6">
        <f t="shared" si="5"/>
        <v>0</v>
      </c>
      <c r="K20" s="7">
        <f t="shared" si="6"/>
        <v>45833</v>
      </c>
      <c r="L20" s="7">
        <f t="shared" si="7"/>
        <v>45803</v>
      </c>
      <c r="M20" s="8">
        <f t="shared" si="8"/>
        <v>5</v>
      </c>
      <c r="N20" s="8">
        <f t="shared" si="12"/>
        <v>2025</v>
      </c>
      <c r="Q20">
        <v>19</v>
      </c>
      <c r="R20" s="8" t="s">
        <v>21</v>
      </c>
      <c r="S20" s="9">
        <v>45841</v>
      </c>
      <c r="U20">
        <v>20</v>
      </c>
      <c r="V20">
        <v>7014</v>
      </c>
      <c r="W20" s="45">
        <v>20</v>
      </c>
      <c r="X20" s="46">
        <v>7014</v>
      </c>
    </row>
    <row r="21" spans="1:24" ht="15.75" customHeight="1">
      <c r="A21" s="6">
        <v>21</v>
      </c>
      <c r="B21" s="6" t="str">
        <f t="shared" si="0"/>
        <v>EUR</v>
      </c>
      <c r="C21" s="6">
        <f t="shared" si="9"/>
        <v>26211.15</v>
      </c>
      <c r="D21" s="6">
        <f t="shared" si="1"/>
        <v>26211.15</v>
      </c>
      <c r="E21" s="6">
        <f t="shared" si="2"/>
        <v>30404.934000000001</v>
      </c>
      <c r="F21" s="6">
        <f t="shared" si="10"/>
        <v>26211.15</v>
      </c>
      <c r="G21" s="15">
        <f t="shared" si="3"/>
        <v>26211.15</v>
      </c>
      <c r="H21" s="15">
        <f t="shared" si="4"/>
        <v>30404.934000000001</v>
      </c>
      <c r="I21" s="6">
        <f t="shared" si="11"/>
        <v>0</v>
      </c>
      <c r="J21" s="6">
        <f t="shared" si="5"/>
        <v>0</v>
      </c>
      <c r="K21" s="7">
        <f t="shared" si="6"/>
        <v>45950</v>
      </c>
      <c r="L21" s="7">
        <f t="shared" si="7"/>
        <v>45920</v>
      </c>
      <c r="M21" s="8">
        <f t="shared" si="8"/>
        <v>9</v>
      </c>
      <c r="N21" s="8">
        <f t="shared" si="12"/>
        <v>2025</v>
      </c>
      <c r="Q21">
        <v>20</v>
      </c>
      <c r="R21" s="8" t="s">
        <v>27</v>
      </c>
      <c r="S21" s="9">
        <v>45833</v>
      </c>
      <c r="U21">
        <v>21</v>
      </c>
      <c r="V21">
        <v>26211.15</v>
      </c>
      <c r="W21" s="45">
        <v>21</v>
      </c>
      <c r="X21" s="46">
        <v>26211.15</v>
      </c>
    </row>
    <row r="22" spans="1:24" ht="15.75" customHeight="1">
      <c r="A22" s="6">
        <v>22</v>
      </c>
      <c r="B22" s="6" t="str">
        <f t="shared" si="0"/>
        <v>EUR</v>
      </c>
      <c r="C22" s="6">
        <f t="shared" si="9"/>
        <v>5025.7</v>
      </c>
      <c r="D22" s="6">
        <f t="shared" si="1"/>
        <v>5025.7</v>
      </c>
      <c r="E22" s="6">
        <f t="shared" si="2"/>
        <v>5829.811999999999</v>
      </c>
      <c r="F22" s="6">
        <f t="shared" si="10"/>
        <v>5025.7</v>
      </c>
      <c r="G22" s="15">
        <f t="shared" si="3"/>
        <v>5025.7</v>
      </c>
      <c r="H22" s="15">
        <f t="shared" si="4"/>
        <v>5829.811999999999</v>
      </c>
      <c r="I22" s="6">
        <f t="shared" si="11"/>
        <v>0</v>
      </c>
      <c r="J22" s="6">
        <f t="shared" si="5"/>
        <v>0</v>
      </c>
      <c r="K22" s="7">
        <f t="shared" si="6"/>
        <v>45865</v>
      </c>
      <c r="L22" s="7">
        <f t="shared" si="7"/>
        <v>45835</v>
      </c>
      <c r="M22" s="8">
        <f t="shared" si="8"/>
        <v>6</v>
      </c>
      <c r="N22" s="8">
        <f t="shared" si="12"/>
        <v>2025</v>
      </c>
      <c r="Q22">
        <v>21</v>
      </c>
      <c r="R22" s="8" t="s">
        <v>21</v>
      </c>
      <c r="S22" s="9">
        <v>45950</v>
      </c>
      <c r="U22">
        <v>22</v>
      </c>
      <c r="V22">
        <v>5025.7</v>
      </c>
      <c r="W22" s="45">
        <v>22</v>
      </c>
      <c r="X22" s="46">
        <v>5025.7</v>
      </c>
    </row>
    <row r="23" spans="1:24" ht="15.75" customHeight="1">
      <c r="A23" s="6">
        <v>23</v>
      </c>
      <c r="B23" s="6" t="str">
        <f t="shared" si="0"/>
        <v>EUR</v>
      </c>
      <c r="C23" s="6">
        <f t="shared" si="9"/>
        <v>30818.87</v>
      </c>
      <c r="D23" s="6">
        <f t="shared" si="1"/>
        <v>30818.87</v>
      </c>
      <c r="E23" s="6">
        <f t="shared" si="2"/>
        <v>35749.889199999998</v>
      </c>
      <c r="F23" s="6">
        <f t="shared" si="10"/>
        <v>30818.87</v>
      </c>
      <c r="G23" s="15">
        <f t="shared" si="3"/>
        <v>30818.87</v>
      </c>
      <c r="H23" s="15">
        <f t="shared" si="4"/>
        <v>35749.889199999998</v>
      </c>
      <c r="I23" s="6">
        <f t="shared" si="11"/>
        <v>0</v>
      </c>
      <c r="J23" s="6">
        <f t="shared" si="5"/>
        <v>0</v>
      </c>
      <c r="K23" s="7">
        <f t="shared" si="6"/>
        <v>46017</v>
      </c>
      <c r="L23" s="7">
        <f t="shared" si="7"/>
        <v>45987</v>
      </c>
      <c r="M23" s="8">
        <f t="shared" si="8"/>
        <v>11</v>
      </c>
      <c r="N23" s="8">
        <f t="shared" si="12"/>
        <v>2025</v>
      </c>
      <c r="Q23">
        <v>22</v>
      </c>
      <c r="R23" s="8" t="s">
        <v>21</v>
      </c>
      <c r="S23" s="9">
        <v>45865</v>
      </c>
      <c r="U23">
        <v>23</v>
      </c>
      <c r="V23">
        <v>30818.87</v>
      </c>
      <c r="W23" s="45">
        <v>23</v>
      </c>
      <c r="X23" s="46">
        <v>30818.87</v>
      </c>
    </row>
    <row r="24" spans="1:24" ht="15.75" customHeight="1">
      <c r="A24" s="6">
        <v>24</v>
      </c>
      <c r="B24" s="6" t="str">
        <f t="shared" si="0"/>
        <v>EUR</v>
      </c>
      <c r="C24" s="6">
        <f t="shared" si="9"/>
        <v>2216.81</v>
      </c>
      <c r="D24" s="6">
        <f t="shared" si="1"/>
        <v>2216.81</v>
      </c>
      <c r="E24" s="6">
        <f t="shared" si="2"/>
        <v>2571.4995999999996</v>
      </c>
      <c r="F24" s="6">
        <f t="shared" si="10"/>
        <v>2216.81</v>
      </c>
      <c r="G24" s="15">
        <f t="shared" si="3"/>
        <v>2216.81</v>
      </c>
      <c r="H24" s="15">
        <f t="shared" si="4"/>
        <v>2571.4995999999996</v>
      </c>
      <c r="I24" s="6">
        <f t="shared" si="11"/>
        <v>0</v>
      </c>
      <c r="J24" s="6">
        <f t="shared" si="5"/>
        <v>0</v>
      </c>
      <c r="K24" s="7">
        <f t="shared" si="6"/>
        <v>45902</v>
      </c>
      <c r="L24" s="7">
        <f t="shared" si="7"/>
        <v>45872</v>
      </c>
      <c r="M24" s="8">
        <f t="shared" si="8"/>
        <v>8</v>
      </c>
      <c r="N24" s="8">
        <f t="shared" si="12"/>
        <v>2025</v>
      </c>
      <c r="Q24">
        <v>23</v>
      </c>
      <c r="R24" s="8" t="s">
        <v>21</v>
      </c>
      <c r="S24" s="9">
        <v>46017</v>
      </c>
      <c r="U24">
        <v>24</v>
      </c>
      <c r="V24">
        <v>2216.81</v>
      </c>
      <c r="W24" s="45">
        <v>24</v>
      </c>
      <c r="X24" s="46">
        <v>2216.81</v>
      </c>
    </row>
    <row r="25" spans="1:24" ht="15.75" customHeight="1">
      <c r="A25" s="6">
        <v>25</v>
      </c>
      <c r="B25" s="6" t="str">
        <f t="shared" si="0"/>
        <v>EUR</v>
      </c>
      <c r="C25" s="6">
        <f t="shared" si="9"/>
        <v>1485</v>
      </c>
      <c r="D25" s="6">
        <f t="shared" si="1"/>
        <v>1485</v>
      </c>
      <c r="E25" s="6">
        <f t="shared" si="2"/>
        <v>1722.6</v>
      </c>
      <c r="F25" s="6">
        <f t="shared" si="10"/>
        <v>1485</v>
      </c>
      <c r="G25" s="15">
        <f t="shared" si="3"/>
        <v>1485</v>
      </c>
      <c r="H25" s="15">
        <f t="shared" si="4"/>
        <v>1722.6</v>
      </c>
      <c r="I25" s="6">
        <f t="shared" si="11"/>
        <v>0</v>
      </c>
      <c r="J25" s="6">
        <f t="shared" si="5"/>
        <v>0</v>
      </c>
      <c r="K25" s="7">
        <f t="shared" si="6"/>
        <v>45855</v>
      </c>
      <c r="L25" s="7">
        <f t="shared" si="7"/>
        <v>45825</v>
      </c>
      <c r="M25" s="8">
        <f t="shared" si="8"/>
        <v>6</v>
      </c>
      <c r="N25" s="8">
        <f t="shared" si="12"/>
        <v>2025</v>
      </c>
      <c r="Q25">
        <v>24</v>
      </c>
      <c r="R25" s="8" t="s">
        <v>21</v>
      </c>
      <c r="S25" s="9">
        <v>45902</v>
      </c>
      <c r="U25">
        <v>25</v>
      </c>
      <c r="V25">
        <v>1485</v>
      </c>
      <c r="W25" s="45">
        <v>25</v>
      </c>
      <c r="X25" s="46">
        <v>1485</v>
      </c>
    </row>
    <row r="26" spans="1:24" ht="15.75" customHeight="1">
      <c r="A26" s="6">
        <v>26</v>
      </c>
      <c r="B26" s="6" t="str">
        <f t="shared" si="0"/>
        <v>EUR</v>
      </c>
      <c r="C26" s="6">
        <f t="shared" si="9"/>
        <v>1536</v>
      </c>
      <c r="D26" s="6">
        <f t="shared" si="1"/>
        <v>1536</v>
      </c>
      <c r="E26" s="6">
        <f t="shared" si="2"/>
        <v>1781.7599999999998</v>
      </c>
      <c r="F26" s="6">
        <f t="shared" si="10"/>
        <v>1536</v>
      </c>
      <c r="G26" s="15">
        <f t="shared" si="3"/>
        <v>1536</v>
      </c>
      <c r="H26" s="15">
        <f t="shared" si="4"/>
        <v>1781.7599999999998</v>
      </c>
      <c r="I26" s="6">
        <f t="shared" si="11"/>
        <v>0</v>
      </c>
      <c r="J26" s="6">
        <f t="shared" si="5"/>
        <v>0</v>
      </c>
      <c r="K26" s="7">
        <f t="shared" si="6"/>
        <v>45858</v>
      </c>
      <c r="L26" s="7">
        <f t="shared" si="7"/>
        <v>45828</v>
      </c>
      <c r="M26" s="8">
        <f t="shared" si="8"/>
        <v>6</v>
      </c>
      <c r="N26" s="8">
        <f t="shared" si="12"/>
        <v>2025</v>
      </c>
      <c r="Q26">
        <v>25</v>
      </c>
      <c r="R26" s="8" t="s">
        <v>21</v>
      </c>
      <c r="S26" s="9">
        <v>45855</v>
      </c>
      <c r="U26">
        <v>26</v>
      </c>
      <c r="V26">
        <v>1536</v>
      </c>
      <c r="W26" s="45">
        <v>26</v>
      </c>
      <c r="X26" s="46">
        <v>1536</v>
      </c>
    </row>
    <row r="27" spans="1:24" ht="15.75" customHeight="1">
      <c r="A27" s="6">
        <v>27</v>
      </c>
      <c r="B27" s="6" t="str">
        <f t="shared" si="0"/>
        <v>EUR</v>
      </c>
      <c r="C27" s="6">
        <f t="shared" si="9"/>
        <v>37367.31</v>
      </c>
      <c r="D27" s="6">
        <f t="shared" si="1"/>
        <v>37367.31</v>
      </c>
      <c r="E27" s="6">
        <f t="shared" si="2"/>
        <v>43346.079599999997</v>
      </c>
      <c r="F27" s="6">
        <f t="shared" si="10"/>
        <v>37367.31</v>
      </c>
      <c r="G27" s="15">
        <f t="shared" si="3"/>
        <v>37367.31</v>
      </c>
      <c r="H27" s="15">
        <f t="shared" si="4"/>
        <v>43346.079599999997</v>
      </c>
      <c r="I27" s="6">
        <f t="shared" si="11"/>
        <v>0</v>
      </c>
      <c r="J27" s="6">
        <f t="shared" si="5"/>
        <v>0</v>
      </c>
      <c r="K27" s="7">
        <f t="shared" si="6"/>
        <v>45924</v>
      </c>
      <c r="L27" s="7">
        <f t="shared" si="7"/>
        <v>45894</v>
      </c>
      <c r="M27" s="8">
        <f t="shared" si="8"/>
        <v>8</v>
      </c>
      <c r="N27" s="8">
        <f t="shared" si="12"/>
        <v>2025</v>
      </c>
      <c r="Q27">
        <v>26</v>
      </c>
      <c r="R27" s="8" t="s">
        <v>21</v>
      </c>
      <c r="S27" s="9">
        <v>45858</v>
      </c>
      <c r="U27">
        <v>27</v>
      </c>
      <c r="V27">
        <v>37367.31</v>
      </c>
      <c r="W27" s="45">
        <v>27</v>
      </c>
      <c r="X27" s="46">
        <v>37367.31</v>
      </c>
    </row>
    <row r="28" spans="1:24" ht="15.75" customHeight="1">
      <c r="A28" s="6">
        <v>28</v>
      </c>
      <c r="B28" s="6" t="str">
        <f t="shared" si="0"/>
        <v>EUR</v>
      </c>
      <c r="C28" s="6">
        <f t="shared" si="9"/>
        <v>4985.72</v>
      </c>
      <c r="D28" s="6">
        <f t="shared" si="1"/>
        <v>4985.72</v>
      </c>
      <c r="E28" s="6">
        <f t="shared" si="2"/>
        <v>5783.4351999999999</v>
      </c>
      <c r="F28" s="6">
        <f t="shared" si="10"/>
        <v>4985.72</v>
      </c>
      <c r="G28" s="15">
        <f t="shared" si="3"/>
        <v>4985.72</v>
      </c>
      <c r="H28" s="15">
        <f t="shared" si="4"/>
        <v>5783.4351999999999</v>
      </c>
      <c r="I28" s="6">
        <f t="shared" si="11"/>
        <v>0</v>
      </c>
      <c r="J28" s="6">
        <f t="shared" si="5"/>
        <v>0</v>
      </c>
      <c r="K28" s="7">
        <f t="shared" si="6"/>
        <v>45913</v>
      </c>
      <c r="L28" s="7">
        <f t="shared" si="7"/>
        <v>45883</v>
      </c>
      <c r="M28" s="8">
        <f t="shared" si="8"/>
        <v>8</v>
      </c>
      <c r="N28" s="8">
        <f t="shared" si="12"/>
        <v>2025</v>
      </c>
      <c r="Q28">
        <v>27</v>
      </c>
      <c r="R28" s="8" t="s">
        <v>21</v>
      </c>
      <c r="S28" s="9">
        <v>45924</v>
      </c>
      <c r="U28">
        <v>28</v>
      </c>
      <c r="V28">
        <v>4985.72</v>
      </c>
      <c r="W28" s="45">
        <v>28</v>
      </c>
      <c r="X28" s="46">
        <v>4985.72</v>
      </c>
    </row>
    <row r="29" spans="1:24" ht="15.75" customHeight="1">
      <c r="A29" s="6">
        <v>29</v>
      </c>
      <c r="B29" s="6" t="str">
        <f t="shared" si="0"/>
        <v>EUR</v>
      </c>
      <c r="C29" s="6">
        <f t="shared" si="9"/>
        <v>197.41</v>
      </c>
      <c r="D29" s="6">
        <f t="shared" si="1"/>
        <v>197.41</v>
      </c>
      <c r="E29" s="6">
        <f t="shared" si="2"/>
        <v>228.99559999999997</v>
      </c>
      <c r="F29" s="6">
        <f t="shared" si="10"/>
        <v>197.41</v>
      </c>
      <c r="G29" s="15">
        <f t="shared" si="3"/>
        <v>197.41</v>
      </c>
      <c r="H29" s="15">
        <f t="shared" si="4"/>
        <v>228.99559999999997</v>
      </c>
      <c r="I29" s="6">
        <f t="shared" si="11"/>
        <v>0</v>
      </c>
      <c r="J29" s="6">
        <f t="shared" si="5"/>
        <v>0</v>
      </c>
      <c r="K29" s="7">
        <f t="shared" si="6"/>
        <v>45857</v>
      </c>
      <c r="L29" s="7">
        <f t="shared" si="7"/>
        <v>45827</v>
      </c>
      <c r="M29" s="8">
        <f t="shared" si="8"/>
        <v>6</v>
      </c>
      <c r="N29" s="8">
        <f t="shared" si="12"/>
        <v>2025</v>
      </c>
      <c r="Q29">
        <v>28</v>
      </c>
      <c r="R29" s="8" t="s">
        <v>21</v>
      </c>
      <c r="S29" s="9">
        <v>45913</v>
      </c>
      <c r="U29">
        <v>29</v>
      </c>
      <c r="V29">
        <v>197.41</v>
      </c>
      <c r="W29" s="45">
        <v>29</v>
      </c>
      <c r="X29" s="46">
        <v>197.41</v>
      </c>
    </row>
    <row r="30" spans="1:24" ht="15.75" customHeight="1">
      <c r="A30" s="6">
        <v>30</v>
      </c>
      <c r="B30" s="6" t="str">
        <f t="shared" si="0"/>
        <v>EUR</v>
      </c>
      <c r="C30" s="6">
        <f t="shared" si="9"/>
        <v>67457.399999999994</v>
      </c>
      <c r="D30" s="6">
        <f t="shared" si="1"/>
        <v>67457.399999999994</v>
      </c>
      <c r="E30" s="6">
        <f t="shared" si="2"/>
        <v>78250.583999999988</v>
      </c>
      <c r="F30" s="6">
        <f t="shared" si="10"/>
        <v>67457.399999999994</v>
      </c>
      <c r="G30" s="15">
        <f t="shared" si="3"/>
        <v>67457.399999999994</v>
      </c>
      <c r="H30" s="15">
        <f t="shared" si="4"/>
        <v>78250.583999999988</v>
      </c>
      <c r="I30" s="6">
        <f t="shared" si="11"/>
        <v>0</v>
      </c>
      <c r="J30" s="6">
        <f t="shared" si="5"/>
        <v>0</v>
      </c>
      <c r="K30" s="7">
        <f t="shared" si="6"/>
        <v>46017</v>
      </c>
      <c r="L30" s="7">
        <f t="shared" si="7"/>
        <v>45987</v>
      </c>
      <c r="M30" s="8">
        <f t="shared" si="8"/>
        <v>11</v>
      </c>
      <c r="N30" s="8">
        <f t="shared" si="12"/>
        <v>2025</v>
      </c>
      <c r="Q30">
        <v>29</v>
      </c>
      <c r="R30" s="8" t="s">
        <v>21</v>
      </c>
      <c r="S30" s="9">
        <v>45857</v>
      </c>
      <c r="U30">
        <v>30</v>
      </c>
      <c r="V30">
        <v>67457.399999999994</v>
      </c>
      <c r="W30" s="45">
        <v>30</v>
      </c>
      <c r="X30" s="46">
        <v>67457.399999999994</v>
      </c>
    </row>
    <row r="31" spans="1:24" ht="15.75" customHeight="1">
      <c r="A31" s="6">
        <v>31</v>
      </c>
      <c r="B31" s="6" t="str">
        <f t="shared" si="0"/>
        <v>EUR</v>
      </c>
      <c r="C31" s="6">
        <f t="shared" si="9"/>
        <v>1894.45</v>
      </c>
      <c r="D31" s="6">
        <f t="shared" si="1"/>
        <v>1894.45</v>
      </c>
      <c r="E31" s="6">
        <f t="shared" si="2"/>
        <v>2197.5619999999999</v>
      </c>
      <c r="F31" s="6">
        <f t="shared" si="10"/>
        <v>1894.45</v>
      </c>
      <c r="G31" s="15">
        <f t="shared" si="3"/>
        <v>1894.45</v>
      </c>
      <c r="H31" s="15">
        <f t="shared" si="4"/>
        <v>2197.5619999999999</v>
      </c>
      <c r="I31" s="6">
        <f t="shared" si="11"/>
        <v>0</v>
      </c>
      <c r="J31" s="6">
        <f t="shared" si="5"/>
        <v>0</v>
      </c>
      <c r="K31" s="7">
        <f t="shared" si="6"/>
        <v>45950</v>
      </c>
      <c r="L31" s="7">
        <f t="shared" si="7"/>
        <v>45920</v>
      </c>
      <c r="M31" s="8">
        <f t="shared" si="8"/>
        <v>9</v>
      </c>
      <c r="N31" s="8">
        <f t="shared" si="12"/>
        <v>2025</v>
      </c>
      <c r="Q31">
        <v>30</v>
      </c>
      <c r="R31" s="8" t="s">
        <v>21</v>
      </c>
      <c r="S31" s="9">
        <v>46017</v>
      </c>
      <c r="U31">
        <v>31</v>
      </c>
      <c r="V31">
        <v>1894.45</v>
      </c>
      <c r="W31" s="45">
        <v>31</v>
      </c>
      <c r="X31" s="46">
        <v>1894.45</v>
      </c>
    </row>
    <row r="32" spans="1:24" ht="15.75" customHeight="1">
      <c r="A32" s="6">
        <v>32</v>
      </c>
      <c r="B32" s="6" t="str">
        <f t="shared" si="0"/>
        <v>EUR</v>
      </c>
      <c r="C32" s="6">
        <f t="shared" si="9"/>
        <v>4783.95</v>
      </c>
      <c r="D32" s="6">
        <f t="shared" si="1"/>
        <v>4783.95</v>
      </c>
      <c r="E32" s="6">
        <f t="shared" si="2"/>
        <v>5549.3819999999996</v>
      </c>
      <c r="F32" s="6">
        <f t="shared" si="10"/>
        <v>4783.95</v>
      </c>
      <c r="G32" s="15">
        <f t="shared" si="3"/>
        <v>4783.95</v>
      </c>
      <c r="H32" s="15">
        <f t="shared" si="4"/>
        <v>5549.3819999999996</v>
      </c>
      <c r="I32" s="6">
        <f t="shared" si="11"/>
        <v>0</v>
      </c>
      <c r="J32" s="6">
        <f t="shared" si="5"/>
        <v>0</v>
      </c>
      <c r="K32" s="7">
        <f t="shared" si="6"/>
        <v>46000</v>
      </c>
      <c r="L32" s="7">
        <f t="shared" si="7"/>
        <v>45970</v>
      </c>
      <c r="M32" s="8">
        <f t="shared" si="8"/>
        <v>11</v>
      </c>
      <c r="N32" s="8">
        <f t="shared" si="12"/>
        <v>2025</v>
      </c>
      <c r="Q32">
        <v>31</v>
      </c>
      <c r="R32" s="8" t="s">
        <v>21</v>
      </c>
      <c r="S32" s="9">
        <v>45950</v>
      </c>
      <c r="U32">
        <v>32</v>
      </c>
      <c r="V32">
        <v>4783.95</v>
      </c>
      <c r="W32" s="45">
        <v>32</v>
      </c>
      <c r="X32" s="46">
        <v>4783.95</v>
      </c>
    </row>
    <row r="33" spans="1:24" ht="15.75" customHeight="1">
      <c r="A33" s="6">
        <v>33</v>
      </c>
      <c r="B33" s="6" t="str">
        <f t="shared" si="0"/>
        <v>USD</v>
      </c>
      <c r="C33" s="6">
        <f t="shared" si="9"/>
        <v>4815</v>
      </c>
      <c r="D33" s="6">
        <f t="shared" si="1"/>
        <v>4140.8999999999996</v>
      </c>
      <c r="E33" s="6">
        <f t="shared" si="2"/>
        <v>4815</v>
      </c>
      <c r="F33" s="6">
        <f t="shared" si="10"/>
        <v>4815</v>
      </c>
      <c r="G33" s="15">
        <f t="shared" si="3"/>
        <v>4140.8999999999996</v>
      </c>
      <c r="H33" s="15">
        <f t="shared" si="4"/>
        <v>4815</v>
      </c>
      <c r="I33" s="6">
        <f t="shared" si="11"/>
        <v>0</v>
      </c>
      <c r="J33" s="6">
        <f t="shared" si="5"/>
        <v>0</v>
      </c>
      <c r="K33" s="7">
        <f t="shared" si="6"/>
        <v>45869</v>
      </c>
      <c r="L33" s="7">
        <f t="shared" si="7"/>
        <v>45839</v>
      </c>
      <c r="M33" s="8">
        <f t="shared" si="8"/>
        <v>7</v>
      </c>
      <c r="N33" s="8">
        <f t="shared" si="12"/>
        <v>2025</v>
      </c>
      <c r="Q33">
        <v>32</v>
      </c>
      <c r="R33" s="8" t="s">
        <v>21</v>
      </c>
      <c r="S33" s="9">
        <v>46000</v>
      </c>
      <c r="U33">
        <v>33</v>
      </c>
      <c r="V33">
        <v>4815</v>
      </c>
      <c r="W33" s="45">
        <v>33</v>
      </c>
      <c r="X33" s="46">
        <v>4815</v>
      </c>
    </row>
    <row r="34" spans="1:24" ht="15.75" customHeight="1">
      <c r="A34" s="6">
        <v>34</v>
      </c>
      <c r="B34" s="6" t="str">
        <f t="shared" ref="B34:B65" si="13">_xlfn.XLOOKUP(A34,Q:Q,R:R,"not found")</f>
        <v>EUR</v>
      </c>
      <c r="C34" s="6">
        <f t="shared" si="9"/>
        <v>25510.87</v>
      </c>
      <c r="D34" s="6">
        <f t="shared" ref="D34:D65" si="14">C34*_xlfn.XLOOKUP(B34,Z:Z,AA:AA)</f>
        <v>25510.87</v>
      </c>
      <c r="E34" s="6">
        <f t="shared" ref="E34:E65" si="15">C34*_xlfn.XLOOKUP(B34,Z:Z,AB:AB)</f>
        <v>29592.609199999995</v>
      </c>
      <c r="F34" s="6">
        <f t="shared" si="10"/>
        <v>25510.87</v>
      </c>
      <c r="G34" s="15">
        <f t="shared" ref="G34:G65" si="16">F34*_xlfn.XLOOKUP(B34,Z:Z,AA:AA)</f>
        <v>25510.87</v>
      </c>
      <c r="H34" s="15">
        <f t="shared" ref="H34:H65" si="17">F34*_xlfn.XLOOKUP(B34,Z:Z,AB:AB)</f>
        <v>29592.609199999995</v>
      </c>
      <c r="I34" s="6">
        <f t="shared" si="11"/>
        <v>0</v>
      </c>
      <c r="J34" s="6">
        <f t="shared" ref="J34:J65" si="18">I34*_xlfn.XLOOKUP(B34,Z:Z,AB:AB)</f>
        <v>0</v>
      </c>
      <c r="K34" s="7">
        <f t="shared" ref="K34:K65" si="19">_xlfn.XLOOKUP(A34,Q:Q,S:S,"NO")</f>
        <v>46037</v>
      </c>
      <c r="L34" s="7">
        <f t="shared" si="7"/>
        <v>46007</v>
      </c>
      <c r="M34" s="8">
        <f t="shared" si="8"/>
        <v>12</v>
      </c>
      <c r="N34" s="8">
        <f t="shared" si="12"/>
        <v>2025</v>
      </c>
      <c r="Q34">
        <v>33</v>
      </c>
      <c r="R34" s="8" t="s">
        <v>20</v>
      </c>
      <c r="S34" s="9">
        <v>45869</v>
      </c>
      <c r="U34">
        <v>34</v>
      </c>
      <c r="V34">
        <v>25510.87</v>
      </c>
      <c r="W34" s="45">
        <v>34</v>
      </c>
      <c r="X34" s="46">
        <v>25510.87</v>
      </c>
    </row>
    <row r="35" spans="1:24" ht="15.75" customHeight="1">
      <c r="A35" s="6">
        <v>36</v>
      </c>
      <c r="B35" s="6" t="str">
        <f t="shared" si="13"/>
        <v>EUR</v>
      </c>
      <c r="C35" s="6">
        <f t="shared" si="9"/>
        <v>5680.7</v>
      </c>
      <c r="D35" s="6">
        <f t="shared" si="14"/>
        <v>5680.7</v>
      </c>
      <c r="E35" s="6">
        <f t="shared" si="15"/>
        <v>6589.6119999999992</v>
      </c>
      <c r="F35" s="6">
        <f t="shared" si="10"/>
        <v>5680.7</v>
      </c>
      <c r="G35" s="15">
        <f t="shared" si="16"/>
        <v>5680.7</v>
      </c>
      <c r="H35" s="15">
        <f t="shared" si="17"/>
        <v>6589.6119999999992</v>
      </c>
      <c r="I35" s="6">
        <f t="shared" si="11"/>
        <v>0</v>
      </c>
      <c r="J35" s="6">
        <f t="shared" si="18"/>
        <v>0</v>
      </c>
      <c r="K35" s="7">
        <f t="shared" si="19"/>
        <v>45977</v>
      </c>
      <c r="L35" s="7">
        <f t="shared" si="7"/>
        <v>45947</v>
      </c>
      <c r="M35" s="8">
        <f t="shared" si="8"/>
        <v>10</v>
      </c>
      <c r="N35" s="8">
        <f t="shared" si="12"/>
        <v>2025</v>
      </c>
      <c r="Q35">
        <v>34</v>
      </c>
      <c r="R35" s="8" t="s">
        <v>21</v>
      </c>
      <c r="S35" s="9">
        <v>46037</v>
      </c>
      <c r="U35">
        <v>36</v>
      </c>
      <c r="V35">
        <v>5680.7</v>
      </c>
      <c r="W35" s="45">
        <v>36</v>
      </c>
      <c r="X35" s="46">
        <v>5680.7</v>
      </c>
    </row>
    <row r="36" spans="1:24" ht="15.75" customHeight="1">
      <c r="A36" s="6">
        <v>37</v>
      </c>
      <c r="B36" s="6" t="str">
        <f t="shared" si="13"/>
        <v>USD</v>
      </c>
      <c r="C36" s="6">
        <f t="shared" si="9"/>
        <v>35893.449999999997</v>
      </c>
      <c r="D36" s="6">
        <f t="shared" si="14"/>
        <v>30868.366999999998</v>
      </c>
      <c r="E36" s="6">
        <f t="shared" si="15"/>
        <v>35893.449999999997</v>
      </c>
      <c r="F36" s="6">
        <f t="shared" si="10"/>
        <v>35893.449999999997</v>
      </c>
      <c r="G36" s="15">
        <f t="shared" si="16"/>
        <v>30868.366999999998</v>
      </c>
      <c r="H36" s="15">
        <f t="shared" si="17"/>
        <v>35893.449999999997</v>
      </c>
      <c r="I36" s="6">
        <f t="shared" si="11"/>
        <v>0</v>
      </c>
      <c r="J36" s="6">
        <f t="shared" si="18"/>
        <v>0</v>
      </c>
      <c r="K36" s="7">
        <f t="shared" si="19"/>
        <v>46009</v>
      </c>
      <c r="L36" s="7">
        <f t="shared" si="7"/>
        <v>45979</v>
      </c>
      <c r="M36" s="8">
        <f t="shared" si="8"/>
        <v>11</v>
      </c>
      <c r="N36" s="8">
        <f t="shared" si="12"/>
        <v>2025</v>
      </c>
      <c r="Q36">
        <v>35</v>
      </c>
      <c r="R36" s="8" t="s">
        <v>21</v>
      </c>
      <c r="S36" s="9" t="s">
        <v>30</v>
      </c>
      <c r="U36">
        <v>37</v>
      </c>
      <c r="V36">
        <v>35893.449999999997</v>
      </c>
      <c r="W36" s="45">
        <v>37</v>
      </c>
      <c r="X36" s="46">
        <v>35893.449999999997</v>
      </c>
    </row>
    <row r="37" spans="1:24" ht="15.75" customHeight="1">
      <c r="A37" s="6">
        <v>38</v>
      </c>
      <c r="B37" s="6" t="str">
        <f t="shared" si="13"/>
        <v>EUR</v>
      </c>
      <c r="C37" s="6">
        <f t="shared" si="9"/>
        <v>22676.48</v>
      </c>
      <c r="D37" s="6">
        <f t="shared" si="14"/>
        <v>22676.48</v>
      </c>
      <c r="E37" s="6">
        <f t="shared" si="15"/>
        <v>26304.716799999998</v>
      </c>
      <c r="F37" s="6">
        <f t="shared" si="10"/>
        <v>22676.48</v>
      </c>
      <c r="G37" s="15">
        <f t="shared" si="16"/>
        <v>22676.48</v>
      </c>
      <c r="H37" s="15">
        <f t="shared" si="17"/>
        <v>26304.716799999998</v>
      </c>
      <c r="I37" s="6">
        <f t="shared" si="11"/>
        <v>0</v>
      </c>
      <c r="J37" s="6">
        <f t="shared" si="18"/>
        <v>0</v>
      </c>
      <c r="K37" s="7">
        <f t="shared" si="19"/>
        <v>45946</v>
      </c>
      <c r="L37" s="7">
        <f t="shared" si="7"/>
        <v>45916</v>
      </c>
      <c r="M37" s="8">
        <f t="shared" si="8"/>
        <v>9</v>
      </c>
      <c r="N37" s="8">
        <f t="shared" si="12"/>
        <v>2025</v>
      </c>
      <c r="Q37">
        <v>36</v>
      </c>
      <c r="R37" s="8" t="s">
        <v>21</v>
      </c>
      <c r="S37" s="9">
        <v>45977</v>
      </c>
      <c r="U37">
        <v>38</v>
      </c>
      <c r="V37">
        <v>22676.48</v>
      </c>
      <c r="W37" s="45">
        <v>38</v>
      </c>
      <c r="X37" s="46">
        <v>22676.48</v>
      </c>
    </row>
    <row r="38" spans="1:24" ht="15.75" customHeight="1">
      <c r="A38" s="6">
        <v>39</v>
      </c>
      <c r="B38" s="6" t="str">
        <f t="shared" si="13"/>
        <v>EUR</v>
      </c>
      <c r="C38" s="6">
        <f t="shared" si="9"/>
        <v>1347.28</v>
      </c>
      <c r="D38" s="6">
        <f t="shared" si="14"/>
        <v>1347.28</v>
      </c>
      <c r="E38" s="6">
        <f t="shared" si="15"/>
        <v>1562.8447999999999</v>
      </c>
      <c r="F38" s="6">
        <f t="shared" si="10"/>
        <v>1347.28</v>
      </c>
      <c r="G38" s="15">
        <f t="shared" si="16"/>
        <v>1347.28</v>
      </c>
      <c r="H38" s="15">
        <f t="shared" si="17"/>
        <v>1562.8447999999999</v>
      </c>
      <c r="I38" s="6">
        <f t="shared" si="11"/>
        <v>0</v>
      </c>
      <c r="J38" s="6">
        <f t="shared" si="18"/>
        <v>0</v>
      </c>
      <c r="K38" s="7">
        <f t="shared" si="19"/>
        <v>45957</v>
      </c>
      <c r="L38" s="7">
        <f t="shared" si="7"/>
        <v>45927</v>
      </c>
      <c r="M38" s="8">
        <f t="shared" si="8"/>
        <v>9</v>
      </c>
      <c r="N38" s="8">
        <f t="shared" si="12"/>
        <v>2025</v>
      </c>
      <c r="Q38">
        <v>37</v>
      </c>
      <c r="R38" s="8" t="s">
        <v>20</v>
      </c>
      <c r="S38" s="9">
        <v>46009</v>
      </c>
      <c r="U38">
        <v>39</v>
      </c>
      <c r="V38">
        <v>1347.28</v>
      </c>
      <c r="W38" s="45">
        <v>39</v>
      </c>
      <c r="X38" s="46">
        <v>1347.28</v>
      </c>
    </row>
    <row r="39" spans="1:24" ht="15.75" customHeight="1">
      <c r="A39" s="6">
        <v>40</v>
      </c>
      <c r="B39" s="6" t="str">
        <f t="shared" si="13"/>
        <v>EUR</v>
      </c>
      <c r="C39" s="6">
        <f t="shared" si="9"/>
        <v>847.5</v>
      </c>
      <c r="D39" s="6">
        <f t="shared" si="14"/>
        <v>847.5</v>
      </c>
      <c r="E39" s="6">
        <f t="shared" si="15"/>
        <v>983.09999999999991</v>
      </c>
      <c r="F39" s="6">
        <f t="shared" si="10"/>
        <v>847.5</v>
      </c>
      <c r="G39" s="15">
        <f t="shared" si="16"/>
        <v>847.5</v>
      </c>
      <c r="H39" s="15">
        <f t="shared" si="17"/>
        <v>983.09999999999991</v>
      </c>
      <c r="I39" s="6">
        <f t="shared" si="11"/>
        <v>0</v>
      </c>
      <c r="J39" s="6">
        <f t="shared" si="18"/>
        <v>0</v>
      </c>
      <c r="K39" s="7">
        <f t="shared" si="19"/>
        <v>45992</v>
      </c>
      <c r="L39" s="7">
        <f t="shared" si="7"/>
        <v>45962</v>
      </c>
      <c r="M39" s="8">
        <f t="shared" si="8"/>
        <v>11</v>
      </c>
      <c r="N39" s="8">
        <f t="shared" si="12"/>
        <v>2025</v>
      </c>
      <c r="Q39">
        <v>38</v>
      </c>
      <c r="R39" s="8" t="s">
        <v>21</v>
      </c>
      <c r="S39" s="9">
        <v>45946</v>
      </c>
      <c r="U39">
        <v>40</v>
      </c>
      <c r="V39">
        <v>847.5</v>
      </c>
      <c r="W39" s="45">
        <v>40</v>
      </c>
      <c r="X39" s="46">
        <v>847.5</v>
      </c>
    </row>
    <row r="40" spans="1:24" ht="15.75" customHeight="1">
      <c r="A40" s="6">
        <v>41</v>
      </c>
      <c r="B40" s="6" t="str">
        <f t="shared" si="13"/>
        <v>EUR</v>
      </c>
      <c r="C40" s="6">
        <f t="shared" si="9"/>
        <v>40505.730000000003</v>
      </c>
      <c r="D40" s="6">
        <f t="shared" si="14"/>
        <v>40505.730000000003</v>
      </c>
      <c r="E40" s="6">
        <f t="shared" si="15"/>
        <v>46986.646800000002</v>
      </c>
      <c r="F40" s="6">
        <f t="shared" si="10"/>
        <v>40262.629999999997</v>
      </c>
      <c r="G40" s="15">
        <f t="shared" si="16"/>
        <v>40262.629999999997</v>
      </c>
      <c r="H40" s="15">
        <f t="shared" si="17"/>
        <v>46704.650799999996</v>
      </c>
      <c r="I40" s="6">
        <f t="shared" si="11"/>
        <v>243.10000000000582</v>
      </c>
      <c r="J40" s="6">
        <f t="shared" si="18"/>
        <v>281.99600000000675</v>
      </c>
      <c r="K40" s="7">
        <f t="shared" si="19"/>
        <v>46020</v>
      </c>
      <c r="L40" s="7">
        <f t="shared" si="7"/>
        <v>45990</v>
      </c>
      <c r="M40" s="8">
        <f t="shared" si="8"/>
        <v>11</v>
      </c>
      <c r="N40" s="8">
        <f t="shared" si="12"/>
        <v>2025</v>
      </c>
      <c r="Q40">
        <v>39</v>
      </c>
      <c r="R40" s="8" t="s">
        <v>21</v>
      </c>
      <c r="S40" s="9">
        <v>45957</v>
      </c>
      <c r="U40">
        <v>41</v>
      </c>
      <c r="V40">
        <v>40505.730000000003</v>
      </c>
      <c r="W40" s="45">
        <v>41</v>
      </c>
      <c r="X40" s="46">
        <v>40262.629999999997</v>
      </c>
    </row>
    <row r="41" spans="1:24" ht="15.75" customHeight="1">
      <c r="A41" s="6">
        <v>42</v>
      </c>
      <c r="B41" s="6" t="str">
        <f t="shared" si="13"/>
        <v>EUR</v>
      </c>
      <c r="C41" s="6">
        <f t="shared" si="9"/>
        <v>17348.5</v>
      </c>
      <c r="D41" s="6">
        <f t="shared" si="14"/>
        <v>17348.5</v>
      </c>
      <c r="E41" s="6">
        <f t="shared" si="15"/>
        <v>20124.259999999998</v>
      </c>
      <c r="F41" s="6">
        <f t="shared" si="10"/>
        <v>17348.5</v>
      </c>
      <c r="G41" s="15">
        <f t="shared" si="16"/>
        <v>17348.5</v>
      </c>
      <c r="H41" s="15">
        <f t="shared" si="17"/>
        <v>20124.259999999998</v>
      </c>
      <c r="I41" s="6">
        <f t="shared" si="11"/>
        <v>0</v>
      </c>
      <c r="J41" s="6">
        <f t="shared" si="18"/>
        <v>0</v>
      </c>
      <c r="K41" s="7">
        <f t="shared" si="19"/>
        <v>45985</v>
      </c>
      <c r="L41" s="7">
        <f t="shared" si="7"/>
        <v>45955</v>
      </c>
      <c r="M41" s="8">
        <f t="shared" si="8"/>
        <v>10</v>
      </c>
      <c r="N41" s="8">
        <f t="shared" si="12"/>
        <v>2025</v>
      </c>
      <c r="Q41">
        <v>40</v>
      </c>
      <c r="R41" s="8" t="s">
        <v>21</v>
      </c>
      <c r="S41" s="9">
        <v>45992</v>
      </c>
      <c r="U41">
        <v>42</v>
      </c>
      <c r="V41">
        <v>17348.5</v>
      </c>
      <c r="W41" s="45">
        <v>42</v>
      </c>
      <c r="X41" s="46">
        <v>17348.5</v>
      </c>
    </row>
    <row r="42" spans="1:24" ht="15.75" customHeight="1">
      <c r="A42" s="6">
        <v>43</v>
      </c>
      <c r="B42" s="6" t="str">
        <f t="shared" si="13"/>
        <v>EUR</v>
      </c>
      <c r="C42" s="6">
        <f t="shared" si="9"/>
        <v>410.33</v>
      </c>
      <c r="D42" s="6">
        <f t="shared" si="14"/>
        <v>410.33</v>
      </c>
      <c r="E42" s="6">
        <f t="shared" si="15"/>
        <v>475.98279999999994</v>
      </c>
      <c r="F42" s="6">
        <f t="shared" si="10"/>
        <v>410.33</v>
      </c>
      <c r="G42" s="15">
        <f t="shared" si="16"/>
        <v>410.33</v>
      </c>
      <c r="H42" s="15">
        <f t="shared" si="17"/>
        <v>475.98279999999994</v>
      </c>
      <c r="I42" s="6">
        <f t="shared" si="11"/>
        <v>0</v>
      </c>
      <c r="J42" s="6">
        <f t="shared" si="18"/>
        <v>0</v>
      </c>
      <c r="K42" s="7">
        <f t="shared" si="19"/>
        <v>45971</v>
      </c>
      <c r="L42" s="7">
        <f t="shared" si="7"/>
        <v>45941</v>
      </c>
      <c r="M42" s="8">
        <f t="shared" si="8"/>
        <v>10</v>
      </c>
      <c r="N42" s="8">
        <f t="shared" si="12"/>
        <v>2025</v>
      </c>
      <c r="Q42">
        <v>41</v>
      </c>
      <c r="R42" s="8" t="s">
        <v>21</v>
      </c>
      <c r="S42" s="9">
        <v>46020</v>
      </c>
      <c r="U42">
        <v>43</v>
      </c>
      <c r="V42">
        <v>410.33</v>
      </c>
      <c r="W42" s="45">
        <v>43</v>
      </c>
      <c r="X42" s="46">
        <v>410.33</v>
      </c>
    </row>
    <row r="43" spans="1:24" ht="15.75" customHeight="1">
      <c r="A43" s="6">
        <v>44</v>
      </c>
      <c r="B43" s="6" t="str">
        <f t="shared" si="13"/>
        <v>EUR</v>
      </c>
      <c r="C43" s="6">
        <f t="shared" si="9"/>
        <v>8870.1299999999992</v>
      </c>
      <c r="D43" s="6">
        <f t="shared" si="14"/>
        <v>8870.1299999999992</v>
      </c>
      <c r="E43" s="6">
        <f t="shared" si="15"/>
        <v>10289.350799999998</v>
      </c>
      <c r="F43" s="6">
        <f t="shared" si="10"/>
        <v>8646.58</v>
      </c>
      <c r="G43" s="15">
        <f t="shared" si="16"/>
        <v>8646.58</v>
      </c>
      <c r="H43" s="15">
        <f t="shared" si="17"/>
        <v>10030.032799999999</v>
      </c>
      <c r="I43" s="6">
        <f t="shared" si="11"/>
        <v>223.54999999999927</v>
      </c>
      <c r="J43" s="6">
        <f t="shared" si="18"/>
        <v>259.31799999999913</v>
      </c>
      <c r="K43" s="7">
        <f t="shared" si="19"/>
        <v>46187</v>
      </c>
      <c r="L43" s="7">
        <f t="shared" si="7"/>
        <v>46157</v>
      </c>
      <c r="M43" s="8">
        <f t="shared" si="8"/>
        <v>5</v>
      </c>
      <c r="N43" s="8">
        <f t="shared" si="12"/>
        <v>2026</v>
      </c>
      <c r="Q43">
        <v>42</v>
      </c>
      <c r="R43" s="8" t="s">
        <v>21</v>
      </c>
      <c r="S43" s="9">
        <v>45985</v>
      </c>
      <c r="U43">
        <v>44</v>
      </c>
      <c r="V43">
        <v>8870.1299999999992</v>
      </c>
      <c r="W43" s="45">
        <v>44</v>
      </c>
      <c r="X43" s="46">
        <v>8646.58</v>
      </c>
    </row>
    <row r="44" spans="1:24" ht="15.75" customHeight="1">
      <c r="A44" s="6">
        <v>45</v>
      </c>
      <c r="B44" s="6" t="str">
        <f t="shared" si="13"/>
        <v>EUR</v>
      </c>
      <c r="C44" s="6">
        <f t="shared" si="9"/>
        <v>9534.5499999999993</v>
      </c>
      <c r="D44" s="6">
        <f t="shared" si="14"/>
        <v>9534.5499999999993</v>
      </c>
      <c r="E44" s="6">
        <f t="shared" si="15"/>
        <v>11060.077999999998</v>
      </c>
      <c r="F44" s="6">
        <f t="shared" si="10"/>
        <v>9534.5499999999993</v>
      </c>
      <c r="G44" s="15">
        <f t="shared" si="16"/>
        <v>9534.5499999999993</v>
      </c>
      <c r="H44" s="15">
        <f t="shared" si="17"/>
        <v>11060.077999999998</v>
      </c>
      <c r="I44" s="6">
        <f t="shared" si="11"/>
        <v>0</v>
      </c>
      <c r="J44" s="6">
        <f t="shared" si="18"/>
        <v>0</v>
      </c>
      <c r="K44" s="7">
        <f t="shared" si="19"/>
        <v>46174</v>
      </c>
      <c r="L44" s="7">
        <f t="shared" si="7"/>
        <v>46144</v>
      </c>
      <c r="M44" s="8">
        <f t="shared" si="8"/>
        <v>5</v>
      </c>
      <c r="N44" s="8">
        <f t="shared" si="12"/>
        <v>2026</v>
      </c>
      <c r="Q44">
        <v>43</v>
      </c>
      <c r="R44" s="8" t="s">
        <v>21</v>
      </c>
      <c r="S44" s="9">
        <v>45971</v>
      </c>
      <c r="U44">
        <v>45</v>
      </c>
      <c r="V44">
        <v>9534.5499999999993</v>
      </c>
      <c r="W44" s="45">
        <v>45</v>
      </c>
      <c r="X44" s="46">
        <v>9534.5499999999993</v>
      </c>
    </row>
    <row r="45" spans="1:24" ht="15.75" customHeight="1">
      <c r="A45" s="6">
        <v>46</v>
      </c>
      <c r="B45" s="6" t="str">
        <f t="shared" si="13"/>
        <v>EUR</v>
      </c>
      <c r="C45" s="6">
        <f t="shared" si="9"/>
        <v>1508.38</v>
      </c>
      <c r="D45" s="6">
        <f t="shared" si="14"/>
        <v>1508.38</v>
      </c>
      <c r="E45" s="6">
        <f t="shared" si="15"/>
        <v>1749.7208000000001</v>
      </c>
      <c r="F45" s="6">
        <f t="shared" si="10"/>
        <v>1508.38</v>
      </c>
      <c r="G45" s="15">
        <f t="shared" si="16"/>
        <v>1508.38</v>
      </c>
      <c r="H45" s="15">
        <f t="shared" si="17"/>
        <v>1749.7208000000001</v>
      </c>
      <c r="I45" s="6">
        <f t="shared" si="11"/>
        <v>0</v>
      </c>
      <c r="J45" s="6">
        <f t="shared" si="18"/>
        <v>0</v>
      </c>
      <c r="K45" s="7">
        <f t="shared" si="19"/>
        <v>45940</v>
      </c>
      <c r="L45" s="7">
        <f t="shared" si="7"/>
        <v>45910</v>
      </c>
      <c r="M45" s="8">
        <f t="shared" si="8"/>
        <v>9</v>
      </c>
      <c r="N45" s="8">
        <f t="shared" si="12"/>
        <v>2025</v>
      </c>
      <c r="Q45">
        <v>44</v>
      </c>
      <c r="R45" s="8" t="s">
        <v>21</v>
      </c>
      <c r="S45" s="9">
        <v>46187</v>
      </c>
      <c r="U45">
        <v>46</v>
      </c>
      <c r="V45">
        <v>1508.38</v>
      </c>
      <c r="W45" s="45">
        <v>46</v>
      </c>
      <c r="X45" s="46">
        <v>1508.38</v>
      </c>
    </row>
    <row r="46" spans="1:24" ht="15.75" customHeight="1">
      <c r="A46" s="6">
        <v>47</v>
      </c>
      <c r="B46" s="6" t="str">
        <f t="shared" si="13"/>
        <v>EUR</v>
      </c>
      <c r="C46" s="6">
        <f t="shared" si="9"/>
        <v>5227.74</v>
      </c>
      <c r="D46" s="6">
        <f t="shared" si="14"/>
        <v>5227.74</v>
      </c>
      <c r="E46" s="6">
        <f t="shared" si="15"/>
        <v>6064.1783999999998</v>
      </c>
      <c r="F46" s="6">
        <f t="shared" si="10"/>
        <v>5227.74</v>
      </c>
      <c r="G46" s="15">
        <f t="shared" si="16"/>
        <v>5227.74</v>
      </c>
      <c r="H46" s="15">
        <f t="shared" si="17"/>
        <v>6064.1783999999998</v>
      </c>
      <c r="I46" s="6">
        <f t="shared" si="11"/>
        <v>0</v>
      </c>
      <c r="J46" s="6">
        <f t="shared" si="18"/>
        <v>0</v>
      </c>
      <c r="K46" s="7">
        <f t="shared" si="19"/>
        <v>45968</v>
      </c>
      <c r="L46" s="7">
        <f t="shared" si="7"/>
        <v>45938</v>
      </c>
      <c r="M46" s="8">
        <f t="shared" si="8"/>
        <v>10</v>
      </c>
      <c r="N46" s="8">
        <f t="shared" si="12"/>
        <v>2025</v>
      </c>
      <c r="Q46">
        <v>45</v>
      </c>
      <c r="R46" s="8" t="s">
        <v>21</v>
      </c>
      <c r="S46" s="9">
        <v>46174</v>
      </c>
      <c r="U46">
        <v>47</v>
      </c>
      <c r="V46">
        <v>5227.74</v>
      </c>
      <c r="W46" s="45">
        <v>47</v>
      </c>
      <c r="X46" s="46">
        <v>5227.74</v>
      </c>
    </row>
    <row r="47" spans="1:24" ht="15.75" customHeight="1">
      <c r="A47" s="6">
        <v>48</v>
      </c>
      <c r="B47" s="6" t="str">
        <f t="shared" si="13"/>
        <v>EUR</v>
      </c>
      <c r="C47" s="6">
        <f t="shared" si="9"/>
        <v>23665.34</v>
      </c>
      <c r="D47" s="6">
        <f t="shared" si="14"/>
        <v>23665.34</v>
      </c>
      <c r="E47" s="6">
        <f t="shared" si="15"/>
        <v>27451.794399999999</v>
      </c>
      <c r="F47" s="6">
        <f t="shared" si="10"/>
        <v>23665.34</v>
      </c>
      <c r="G47" s="15">
        <f t="shared" si="16"/>
        <v>23665.34</v>
      </c>
      <c r="H47" s="15">
        <f t="shared" si="17"/>
        <v>27451.794399999999</v>
      </c>
      <c r="I47" s="6">
        <f t="shared" si="11"/>
        <v>0</v>
      </c>
      <c r="J47" s="6">
        <f t="shared" si="18"/>
        <v>0</v>
      </c>
      <c r="K47" s="7">
        <f t="shared" si="19"/>
        <v>46020</v>
      </c>
      <c r="L47" s="7">
        <f t="shared" si="7"/>
        <v>45990</v>
      </c>
      <c r="M47" s="8">
        <f t="shared" si="8"/>
        <v>11</v>
      </c>
      <c r="N47" s="8">
        <f t="shared" si="12"/>
        <v>2025</v>
      </c>
      <c r="Q47">
        <v>46</v>
      </c>
      <c r="R47" s="8" t="s">
        <v>21</v>
      </c>
      <c r="S47" s="9">
        <v>45940</v>
      </c>
      <c r="U47">
        <v>48</v>
      </c>
      <c r="V47">
        <v>23665.34</v>
      </c>
      <c r="W47" s="45">
        <v>48</v>
      </c>
      <c r="X47" s="46">
        <v>23665.34</v>
      </c>
    </row>
    <row r="48" spans="1:24" ht="15.75" customHeight="1">
      <c r="A48" s="6">
        <v>49</v>
      </c>
      <c r="B48" s="6" t="str">
        <f t="shared" si="13"/>
        <v>EUR</v>
      </c>
      <c r="C48" s="6">
        <f t="shared" si="9"/>
        <v>3515.8</v>
      </c>
      <c r="D48" s="6">
        <f t="shared" si="14"/>
        <v>3515.8</v>
      </c>
      <c r="E48" s="6">
        <f t="shared" si="15"/>
        <v>4078.328</v>
      </c>
      <c r="F48" s="6">
        <f t="shared" si="10"/>
        <v>3515.8</v>
      </c>
      <c r="G48" s="15">
        <f t="shared" si="16"/>
        <v>3515.8</v>
      </c>
      <c r="H48" s="15">
        <f t="shared" si="17"/>
        <v>4078.328</v>
      </c>
      <c r="I48" s="6">
        <f t="shared" si="11"/>
        <v>0</v>
      </c>
      <c r="J48" s="6">
        <f t="shared" si="18"/>
        <v>0</v>
      </c>
      <c r="K48" s="7">
        <f t="shared" si="19"/>
        <v>45968</v>
      </c>
      <c r="L48" s="7">
        <f t="shared" si="7"/>
        <v>45938</v>
      </c>
      <c r="M48" s="8">
        <f t="shared" si="8"/>
        <v>10</v>
      </c>
      <c r="N48" s="8">
        <f t="shared" si="12"/>
        <v>2025</v>
      </c>
      <c r="Q48">
        <v>47</v>
      </c>
      <c r="R48" s="8" t="s">
        <v>21</v>
      </c>
      <c r="S48" s="9">
        <v>45968</v>
      </c>
      <c r="U48">
        <v>49</v>
      </c>
      <c r="V48">
        <v>3515.8</v>
      </c>
      <c r="W48" s="45">
        <v>49</v>
      </c>
      <c r="X48" s="46">
        <v>3515.8</v>
      </c>
    </row>
    <row r="49" spans="1:24" ht="15.75" customHeight="1">
      <c r="A49" s="6">
        <v>51</v>
      </c>
      <c r="B49" s="6" t="str">
        <f t="shared" si="13"/>
        <v>EUR</v>
      </c>
      <c r="C49" s="6">
        <f t="shared" si="9"/>
        <v>330.35</v>
      </c>
      <c r="D49" s="6">
        <f t="shared" si="14"/>
        <v>330.35</v>
      </c>
      <c r="E49" s="6">
        <f t="shared" si="15"/>
        <v>383.20600000000002</v>
      </c>
      <c r="F49" s="6">
        <f t="shared" si="10"/>
        <v>330.35</v>
      </c>
      <c r="G49" s="15">
        <f t="shared" si="16"/>
        <v>330.35</v>
      </c>
      <c r="H49" s="15">
        <f t="shared" si="17"/>
        <v>383.20600000000002</v>
      </c>
      <c r="I49" s="6">
        <f t="shared" si="11"/>
        <v>0</v>
      </c>
      <c r="J49" s="6">
        <f t="shared" si="18"/>
        <v>0</v>
      </c>
      <c r="K49" s="7">
        <f t="shared" si="19"/>
        <v>45941</v>
      </c>
      <c r="L49" s="7">
        <f t="shared" si="7"/>
        <v>45911</v>
      </c>
      <c r="M49" s="8">
        <f t="shared" si="8"/>
        <v>9</v>
      </c>
      <c r="N49" s="8">
        <f t="shared" si="12"/>
        <v>2025</v>
      </c>
      <c r="Q49">
        <v>48</v>
      </c>
      <c r="R49" s="8" t="s">
        <v>21</v>
      </c>
      <c r="S49" s="9">
        <v>46020</v>
      </c>
      <c r="U49">
        <v>51</v>
      </c>
      <c r="V49">
        <v>330.35</v>
      </c>
      <c r="W49" s="45">
        <v>51</v>
      </c>
      <c r="X49" s="46">
        <v>330.35</v>
      </c>
    </row>
    <row r="50" spans="1:24" ht="15.75" customHeight="1">
      <c r="A50" s="6">
        <v>52</v>
      </c>
      <c r="B50" s="6" t="str">
        <f t="shared" si="13"/>
        <v>EUR</v>
      </c>
      <c r="C50" s="6">
        <f t="shared" si="9"/>
        <v>81698.73</v>
      </c>
      <c r="D50" s="6">
        <f t="shared" si="14"/>
        <v>81698.73</v>
      </c>
      <c r="E50" s="6">
        <f t="shared" si="15"/>
        <v>94770.526799999992</v>
      </c>
      <c r="F50" s="6">
        <f t="shared" si="10"/>
        <v>81698.73</v>
      </c>
      <c r="G50" s="15">
        <f t="shared" si="16"/>
        <v>81698.73</v>
      </c>
      <c r="H50" s="15">
        <f t="shared" si="17"/>
        <v>94770.526799999992</v>
      </c>
      <c r="I50" s="6">
        <f t="shared" si="11"/>
        <v>0</v>
      </c>
      <c r="J50" s="6">
        <f t="shared" si="18"/>
        <v>0</v>
      </c>
      <c r="K50" s="7">
        <f t="shared" si="19"/>
        <v>46009</v>
      </c>
      <c r="L50" s="7">
        <f t="shared" si="7"/>
        <v>45979</v>
      </c>
      <c r="M50" s="8">
        <f t="shared" si="8"/>
        <v>11</v>
      </c>
      <c r="N50" s="8">
        <f t="shared" si="12"/>
        <v>2025</v>
      </c>
      <c r="Q50">
        <v>49</v>
      </c>
      <c r="R50" s="8" t="s">
        <v>21</v>
      </c>
      <c r="S50" s="9">
        <v>45968</v>
      </c>
      <c r="U50">
        <v>52</v>
      </c>
      <c r="V50">
        <v>81698.73</v>
      </c>
      <c r="W50" s="45">
        <v>52</v>
      </c>
      <c r="X50" s="46">
        <v>81698.73</v>
      </c>
    </row>
    <row r="51" spans="1:24" ht="15.75" customHeight="1">
      <c r="A51" s="6">
        <v>53</v>
      </c>
      <c r="B51" s="6" t="str">
        <f t="shared" si="13"/>
        <v>EUR</v>
      </c>
      <c r="C51" s="6">
        <f t="shared" si="9"/>
        <v>53332.7</v>
      </c>
      <c r="D51" s="6">
        <f t="shared" si="14"/>
        <v>53332.7</v>
      </c>
      <c r="E51" s="6">
        <f t="shared" si="15"/>
        <v>61865.931999999993</v>
      </c>
      <c r="F51" s="6">
        <f t="shared" si="10"/>
        <v>53332.7</v>
      </c>
      <c r="G51" s="15">
        <f t="shared" si="16"/>
        <v>53332.7</v>
      </c>
      <c r="H51" s="15">
        <f t="shared" si="17"/>
        <v>61865.931999999993</v>
      </c>
      <c r="I51" s="6">
        <f t="shared" si="11"/>
        <v>0</v>
      </c>
      <c r="J51" s="6">
        <f t="shared" si="18"/>
        <v>0</v>
      </c>
      <c r="K51" s="7">
        <f t="shared" si="19"/>
        <v>46016</v>
      </c>
      <c r="L51" s="7">
        <f t="shared" si="7"/>
        <v>45986</v>
      </c>
      <c r="M51" s="8">
        <f t="shared" si="8"/>
        <v>11</v>
      </c>
      <c r="N51" s="8">
        <f t="shared" si="12"/>
        <v>2025</v>
      </c>
      <c r="Q51">
        <v>50</v>
      </c>
      <c r="R51" s="8" t="s">
        <v>20</v>
      </c>
      <c r="S51" s="9">
        <v>45940</v>
      </c>
      <c r="U51">
        <v>53</v>
      </c>
      <c r="V51">
        <v>53332.7</v>
      </c>
      <c r="W51" s="45">
        <v>53</v>
      </c>
      <c r="X51" s="46">
        <v>53332.7</v>
      </c>
    </row>
    <row r="52" spans="1:24" ht="15.75" customHeight="1">
      <c r="A52" s="6">
        <v>54</v>
      </c>
      <c r="B52" s="6" t="str">
        <f t="shared" si="13"/>
        <v>EUR</v>
      </c>
      <c r="C52" s="6">
        <f t="shared" si="9"/>
        <v>19034.97</v>
      </c>
      <c r="D52" s="6">
        <f t="shared" si="14"/>
        <v>19034.97</v>
      </c>
      <c r="E52" s="6">
        <f t="shared" si="15"/>
        <v>22080.565200000001</v>
      </c>
      <c r="F52" s="6">
        <f t="shared" si="10"/>
        <v>19034.97</v>
      </c>
      <c r="G52" s="15">
        <f t="shared" si="16"/>
        <v>19034.97</v>
      </c>
      <c r="H52" s="15">
        <f t="shared" si="17"/>
        <v>22080.565200000001</v>
      </c>
      <c r="I52" s="6">
        <f t="shared" si="11"/>
        <v>0</v>
      </c>
      <c r="J52" s="6">
        <f t="shared" si="18"/>
        <v>0</v>
      </c>
      <c r="K52" s="7">
        <f t="shared" si="19"/>
        <v>46017</v>
      </c>
      <c r="L52" s="7">
        <f t="shared" si="7"/>
        <v>45987</v>
      </c>
      <c r="M52" s="8">
        <f t="shared" si="8"/>
        <v>11</v>
      </c>
      <c r="N52" s="8">
        <f t="shared" si="12"/>
        <v>2025</v>
      </c>
      <c r="Q52">
        <v>51</v>
      </c>
      <c r="R52" s="8" t="s">
        <v>21</v>
      </c>
      <c r="S52" s="9">
        <v>45941</v>
      </c>
      <c r="U52">
        <v>54</v>
      </c>
      <c r="V52">
        <v>19034.97</v>
      </c>
      <c r="W52" s="45">
        <v>54</v>
      </c>
      <c r="X52" s="46">
        <v>19034.97</v>
      </c>
    </row>
    <row r="53" spans="1:24" ht="15.75" customHeight="1">
      <c r="A53" s="6">
        <v>55</v>
      </c>
      <c r="B53" s="6" t="str">
        <f t="shared" si="13"/>
        <v>EUR</v>
      </c>
      <c r="C53" s="6">
        <f t="shared" si="9"/>
        <v>528</v>
      </c>
      <c r="D53" s="6">
        <f t="shared" si="14"/>
        <v>528</v>
      </c>
      <c r="E53" s="6">
        <f t="shared" si="15"/>
        <v>612.4799999999999</v>
      </c>
      <c r="F53" s="6">
        <f t="shared" si="10"/>
        <v>528</v>
      </c>
      <c r="G53" s="15">
        <f t="shared" si="16"/>
        <v>528</v>
      </c>
      <c r="H53" s="15">
        <f t="shared" si="17"/>
        <v>612.4799999999999</v>
      </c>
      <c r="I53" s="6">
        <f t="shared" si="11"/>
        <v>0</v>
      </c>
      <c r="J53" s="6">
        <f t="shared" si="18"/>
        <v>0</v>
      </c>
      <c r="K53" s="7">
        <f t="shared" si="19"/>
        <v>45959</v>
      </c>
      <c r="L53" s="7">
        <f t="shared" si="7"/>
        <v>45929</v>
      </c>
      <c r="M53" s="8">
        <f t="shared" si="8"/>
        <v>9</v>
      </c>
      <c r="N53" s="8">
        <f t="shared" si="12"/>
        <v>2025</v>
      </c>
      <c r="Q53">
        <v>52</v>
      </c>
      <c r="R53" s="8" t="s">
        <v>21</v>
      </c>
      <c r="S53" s="9">
        <v>46009</v>
      </c>
      <c r="U53">
        <v>55</v>
      </c>
      <c r="V53">
        <v>528</v>
      </c>
      <c r="W53" s="45">
        <v>55</v>
      </c>
      <c r="X53" s="46">
        <v>528</v>
      </c>
    </row>
    <row r="54" spans="1:24" ht="15.75" customHeight="1">
      <c r="A54" s="6">
        <v>56</v>
      </c>
      <c r="B54" s="6" t="str">
        <f t="shared" si="13"/>
        <v>EUR</v>
      </c>
      <c r="C54" s="6">
        <f t="shared" si="9"/>
        <v>21010.47</v>
      </c>
      <c r="D54" s="6">
        <f t="shared" si="14"/>
        <v>21010.47</v>
      </c>
      <c r="E54" s="6">
        <f t="shared" si="15"/>
        <v>24372.145199999999</v>
      </c>
      <c r="F54" s="6">
        <f t="shared" si="10"/>
        <v>21010.47</v>
      </c>
      <c r="G54" s="15">
        <f t="shared" si="16"/>
        <v>21010.47</v>
      </c>
      <c r="H54" s="15">
        <f t="shared" si="17"/>
        <v>24372.145199999999</v>
      </c>
      <c r="I54" s="6">
        <f t="shared" si="11"/>
        <v>0</v>
      </c>
      <c r="J54" s="6">
        <f t="shared" si="18"/>
        <v>0</v>
      </c>
      <c r="K54" s="7">
        <f t="shared" si="19"/>
        <v>45975</v>
      </c>
      <c r="L54" s="7">
        <f t="shared" si="7"/>
        <v>45945</v>
      </c>
      <c r="M54" s="8">
        <f t="shared" si="8"/>
        <v>10</v>
      </c>
      <c r="N54" s="8">
        <f t="shared" si="12"/>
        <v>2025</v>
      </c>
      <c r="Q54">
        <v>53</v>
      </c>
      <c r="R54" s="8" t="s">
        <v>21</v>
      </c>
      <c r="S54" s="9">
        <v>46016</v>
      </c>
      <c r="U54">
        <v>56</v>
      </c>
      <c r="V54">
        <v>21010.47</v>
      </c>
      <c r="W54" s="45">
        <v>56</v>
      </c>
      <c r="X54" s="46">
        <v>21010.47</v>
      </c>
    </row>
    <row r="55" spans="1:24" ht="15.75" customHeight="1">
      <c r="A55" s="6">
        <v>57</v>
      </c>
      <c r="B55" s="6" t="str">
        <f t="shared" si="13"/>
        <v>EUR</v>
      </c>
      <c r="C55" s="6">
        <f t="shared" si="9"/>
        <v>5099.01</v>
      </c>
      <c r="D55" s="6">
        <f t="shared" si="14"/>
        <v>5099.01</v>
      </c>
      <c r="E55" s="6">
        <f t="shared" si="15"/>
        <v>5914.8516</v>
      </c>
      <c r="F55" s="6">
        <f t="shared" si="10"/>
        <v>4838.3100000000004</v>
      </c>
      <c r="G55" s="15">
        <f t="shared" si="16"/>
        <v>4838.3100000000004</v>
      </c>
      <c r="H55" s="15">
        <f t="shared" si="17"/>
        <v>5612.4395999999997</v>
      </c>
      <c r="I55" s="6">
        <f t="shared" si="11"/>
        <v>260.69999999999982</v>
      </c>
      <c r="J55" s="6">
        <f t="shared" si="18"/>
        <v>302.41199999999975</v>
      </c>
      <c r="K55" s="7">
        <f t="shared" si="19"/>
        <v>46285</v>
      </c>
      <c r="L55" s="7">
        <f t="shared" si="7"/>
        <v>46255</v>
      </c>
      <c r="M55" s="8">
        <f t="shared" si="8"/>
        <v>8</v>
      </c>
      <c r="N55" s="8">
        <f t="shared" si="12"/>
        <v>2026</v>
      </c>
      <c r="Q55">
        <v>54</v>
      </c>
      <c r="R55" s="8" t="s">
        <v>21</v>
      </c>
      <c r="S55" s="9">
        <v>46017</v>
      </c>
      <c r="U55">
        <v>57</v>
      </c>
      <c r="V55">
        <v>5099.01</v>
      </c>
      <c r="W55" s="45">
        <v>57</v>
      </c>
      <c r="X55" s="46">
        <v>4838.3100000000004</v>
      </c>
    </row>
    <row r="56" spans="1:24" ht="15.75" customHeight="1">
      <c r="A56" s="6">
        <v>58</v>
      </c>
      <c r="B56" s="6" t="str">
        <f t="shared" si="13"/>
        <v>EUR</v>
      </c>
      <c r="C56" s="6">
        <f t="shared" si="9"/>
        <v>374.44</v>
      </c>
      <c r="D56" s="6">
        <f t="shared" si="14"/>
        <v>374.44</v>
      </c>
      <c r="E56" s="6">
        <f t="shared" si="15"/>
        <v>434.35039999999998</v>
      </c>
      <c r="F56" s="6">
        <f t="shared" si="10"/>
        <v>374.44</v>
      </c>
      <c r="G56" s="15">
        <f t="shared" si="16"/>
        <v>374.44</v>
      </c>
      <c r="H56" s="15">
        <f t="shared" si="17"/>
        <v>434.35039999999998</v>
      </c>
      <c r="I56" s="6">
        <f t="shared" si="11"/>
        <v>0</v>
      </c>
      <c r="J56" s="6">
        <f t="shared" si="18"/>
        <v>0</v>
      </c>
      <c r="K56" s="7">
        <f t="shared" si="19"/>
        <v>45968</v>
      </c>
      <c r="L56" s="7">
        <f t="shared" si="7"/>
        <v>45938</v>
      </c>
      <c r="M56" s="8">
        <f t="shared" si="8"/>
        <v>10</v>
      </c>
      <c r="N56" s="8">
        <f t="shared" si="12"/>
        <v>2025</v>
      </c>
      <c r="Q56">
        <v>55</v>
      </c>
      <c r="R56" s="8" t="s">
        <v>21</v>
      </c>
      <c r="S56" s="9">
        <v>45959</v>
      </c>
      <c r="U56">
        <v>58</v>
      </c>
      <c r="V56">
        <v>374.44</v>
      </c>
      <c r="W56" s="45">
        <v>58</v>
      </c>
      <c r="X56" s="46">
        <v>374.44</v>
      </c>
    </row>
    <row r="57" spans="1:24" ht="15.75" customHeight="1">
      <c r="A57" s="6">
        <v>59</v>
      </c>
      <c r="B57" s="6" t="str">
        <f t="shared" si="13"/>
        <v>EUR</v>
      </c>
      <c r="C57" s="6">
        <f t="shared" si="9"/>
        <v>129553.71</v>
      </c>
      <c r="D57" s="6">
        <f t="shared" si="14"/>
        <v>129553.71</v>
      </c>
      <c r="E57" s="6">
        <f t="shared" si="15"/>
        <v>150282.30359999998</v>
      </c>
      <c r="F57" s="6">
        <f t="shared" si="10"/>
        <v>129553.71</v>
      </c>
      <c r="G57" s="15">
        <f t="shared" si="16"/>
        <v>129553.71</v>
      </c>
      <c r="H57" s="15">
        <f t="shared" si="17"/>
        <v>150282.30359999998</v>
      </c>
      <c r="I57" s="6">
        <f t="shared" si="11"/>
        <v>0</v>
      </c>
      <c r="J57" s="6">
        <f t="shared" si="18"/>
        <v>0</v>
      </c>
      <c r="K57" s="7">
        <f t="shared" si="19"/>
        <v>46106</v>
      </c>
      <c r="L57" s="7">
        <f t="shared" si="7"/>
        <v>46076</v>
      </c>
      <c r="M57" s="8">
        <f t="shared" si="8"/>
        <v>2</v>
      </c>
      <c r="N57" s="8">
        <f t="shared" si="12"/>
        <v>2026</v>
      </c>
      <c r="Q57">
        <v>56</v>
      </c>
      <c r="R57" s="8" t="s">
        <v>21</v>
      </c>
      <c r="S57" s="9">
        <v>45975</v>
      </c>
      <c r="U57">
        <v>59</v>
      </c>
      <c r="V57">
        <v>129553.71</v>
      </c>
      <c r="W57" s="45">
        <v>59</v>
      </c>
      <c r="X57" s="46">
        <v>129553.71</v>
      </c>
    </row>
    <row r="58" spans="1:24" ht="15.75" customHeight="1">
      <c r="A58" s="6">
        <v>60</v>
      </c>
      <c r="B58" s="6" t="str">
        <f t="shared" si="13"/>
        <v>EUR</v>
      </c>
      <c r="C58" s="6">
        <f t="shared" si="9"/>
        <v>6305.15</v>
      </c>
      <c r="D58" s="6">
        <f t="shared" si="14"/>
        <v>6305.15</v>
      </c>
      <c r="E58" s="6">
        <f t="shared" si="15"/>
        <v>7313.9739999999993</v>
      </c>
      <c r="F58" s="6">
        <f t="shared" si="10"/>
        <v>6305.15</v>
      </c>
      <c r="G58" s="15">
        <f t="shared" si="16"/>
        <v>6305.15</v>
      </c>
      <c r="H58" s="15">
        <f t="shared" si="17"/>
        <v>7313.9739999999993</v>
      </c>
      <c r="I58" s="6">
        <f t="shared" si="11"/>
        <v>0</v>
      </c>
      <c r="J58" s="6">
        <f t="shared" si="18"/>
        <v>0</v>
      </c>
      <c r="K58" s="7">
        <f t="shared" si="19"/>
        <v>45992</v>
      </c>
      <c r="L58" s="7">
        <f t="shared" si="7"/>
        <v>45962</v>
      </c>
      <c r="M58" s="8">
        <f t="shared" si="8"/>
        <v>11</v>
      </c>
      <c r="N58" s="8">
        <f t="shared" si="12"/>
        <v>2025</v>
      </c>
      <c r="Q58">
        <v>57</v>
      </c>
      <c r="R58" s="8" t="s">
        <v>21</v>
      </c>
      <c r="S58" s="9">
        <v>46285</v>
      </c>
      <c r="U58">
        <v>60</v>
      </c>
      <c r="V58">
        <v>6305.15</v>
      </c>
      <c r="W58" s="45">
        <v>60</v>
      </c>
      <c r="X58" s="46">
        <v>6305.15</v>
      </c>
    </row>
    <row r="59" spans="1:24" ht="15.75" customHeight="1">
      <c r="A59" s="6">
        <v>61</v>
      </c>
      <c r="B59" s="6" t="str">
        <f t="shared" si="13"/>
        <v>EUR</v>
      </c>
      <c r="C59" s="6">
        <f t="shared" si="9"/>
        <v>3767.19</v>
      </c>
      <c r="D59" s="6">
        <f t="shared" si="14"/>
        <v>3767.19</v>
      </c>
      <c r="E59" s="6">
        <f t="shared" si="15"/>
        <v>4369.9403999999995</v>
      </c>
      <c r="F59" s="6">
        <f t="shared" si="10"/>
        <v>3767.19</v>
      </c>
      <c r="G59" s="15">
        <f t="shared" si="16"/>
        <v>3767.19</v>
      </c>
      <c r="H59" s="15">
        <f t="shared" si="17"/>
        <v>4369.9403999999995</v>
      </c>
      <c r="I59" s="6">
        <f t="shared" si="11"/>
        <v>0</v>
      </c>
      <c r="J59" s="6">
        <f t="shared" si="18"/>
        <v>0</v>
      </c>
      <c r="K59" s="7">
        <f t="shared" si="19"/>
        <v>45980</v>
      </c>
      <c r="L59" s="7">
        <f t="shared" si="7"/>
        <v>45950</v>
      </c>
      <c r="M59" s="8">
        <f t="shared" si="8"/>
        <v>10</v>
      </c>
      <c r="N59" s="8">
        <f t="shared" si="12"/>
        <v>2025</v>
      </c>
      <c r="Q59">
        <v>58</v>
      </c>
      <c r="R59" s="8" t="s">
        <v>21</v>
      </c>
      <c r="S59" s="9">
        <v>45968</v>
      </c>
      <c r="U59">
        <v>61</v>
      </c>
      <c r="V59">
        <v>3767.19</v>
      </c>
      <c r="W59" s="45">
        <v>61</v>
      </c>
      <c r="X59" s="46">
        <v>3767.19</v>
      </c>
    </row>
    <row r="60" spans="1:24" ht="15.75" customHeight="1">
      <c r="A60" s="6">
        <v>62</v>
      </c>
      <c r="B60" s="6" t="str">
        <f t="shared" si="13"/>
        <v>EUR</v>
      </c>
      <c r="C60" s="6">
        <f t="shared" si="9"/>
        <v>10981.97</v>
      </c>
      <c r="D60" s="6">
        <f t="shared" si="14"/>
        <v>10981.97</v>
      </c>
      <c r="E60" s="6">
        <f t="shared" si="15"/>
        <v>12739.085199999998</v>
      </c>
      <c r="F60" s="6">
        <f t="shared" si="10"/>
        <v>10981.97</v>
      </c>
      <c r="G60" s="15">
        <f t="shared" si="16"/>
        <v>10981.97</v>
      </c>
      <c r="H60" s="15">
        <f t="shared" si="17"/>
        <v>12739.085199999998</v>
      </c>
      <c r="I60" s="6">
        <f t="shared" si="11"/>
        <v>0</v>
      </c>
      <c r="J60" s="6">
        <f t="shared" si="18"/>
        <v>0</v>
      </c>
      <c r="K60" s="7">
        <f t="shared" si="19"/>
        <v>46216</v>
      </c>
      <c r="L60" s="7">
        <f t="shared" si="7"/>
        <v>46186</v>
      </c>
      <c r="M60" s="8">
        <f t="shared" si="8"/>
        <v>6</v>
      </c>
      <c r="N60" s="8">
        <f t="shared" si="12"/>
        <v>2026</v>
      </c>
      <c r="Q60">
        <v>59</v>
      </c>
      <c r="R60" s="8" t="s">
        <v>21</v>
      </c>
      <c r="S60" s="9">
        <v>46106</v>
      </c>
      <c r="U60">
        <v>62</v>
      </c>
      <c r="V60">
        <v>10981.97</v>
      </c>
      <c r="W60" s="45">
        <v>62</v>
      </c>
      <c r="X60" s="46">
        <v>10981.97</v>
      </c>
    </row>
    <row r="61" spans="1:24" ht="15.75" customHeight="1">
      <c r="A61" s="6">
        <v>63</v>
      </c>
      <c r="B61" s="6" t="str">
        <f t="shared" si="13"/>
        <v>EUR</v>
      </c>
      <c r="C61" s="6">
        <f t="shared" si="9"/>
        <v>1159.07</v>
      </c>
      <c r="D61" s="6">
        <f t="shared" si="14"/>
        <v>1159.07</v>
      </c>
      <c r="E61" s="6">
        <f t="shared" si="15"/>
        <v>1344.5211999999999</v>
      </c>
      <c r="F61" s="6">
        <f t="shared" si="10"/>
        <v>1159.07</v>
      </c>
      <c r="G61" s="15">
        <f t="shared" si="16"/>
        <v>1159.07</v>
      </c>
      <c r="H61" s="15">
        <f t="shared" si="17"/>
        <v>1344.5211999999999</v>
      </c>
      <c r="I61" s="6">
        <f t="shared" si="11"/>
        <v>0</v>
      </c>
      <c r="J61" s="6">
        <f t="shared" si="18"/>
        <v>0</v>
      </c>
      <c r="K61" s="7">
        <f t="shared" si="19"/>
        <v>46000</v>
      </c>
      <c r="L61" s="7">
        <f t="shared" si="7"/>
        <v>45970</v>
      </c>
      <c r="M61" s="8">
        <f t="shared" si="8"/>
        <v>11</v>
      </c>
      <c r="N61" s="8">
        <f t="shared" si="12"/>
        <v>2025</v>
      </c>
      <c r="Q61">
        <v>60</v>
      </c>
      <c r="R61" s="8" t="s">
        <v>21</v>
      </c>
      <c r="S61" s="9">
        <v>45992</v>
      </c>
      <c r="U61">
        <v>63</v>
      </c>
      <c r="V61">
        <v>1159.07</v>
      </c>
      <c r="W61" s="45">
        <v>63</v>
      </c>
      <c r="X61" s="46">
        <v>1159.07</v>
      </c>
    </row>
    <row r="62" spans="1:24" ht="15.75" customHeight="1">
      <c r="A62" s="6">
        <v>64</v>
      </c>
      <c r="B62" s="6" t="str">
        <f t="shared" si="13"/>
        <v>EUR</v>
      </c>
      <c r="C62" s="6">
        <f t="shared" si="9"/>
        <v>1218.8499999999999</v>
      </c>
      <c r="D62" s="6">
        <f t="shared" si="14"/>
        <v>1218.8499999999999</v>
      </c>
      <c r="E62" s="6">
        <f t="shared" si="15"/>
        <v>1413.8659999999998</v>
      </c>
      <c r="F62" s="6">
        <f t="shared" si="10"/>
        <v>1218.8499999999999</v>
      </c>
      <c r="G62" s="15">
        <f t="shared" si="16"/>
        <v>1218.8499999999999</v>
      </c>
      <c r="H62" s="15">
        <f t="shared" si="17"/>
        <v>1413.8659999999998</v>
      </c>
      <c r="I62" s="6">
        <f t="shared" si="11"/>
        <v>0</v>
      </c>
      <c r="J62" s="6">
        <f t="shared" si="18"/>
        <v>0</v>
      </c>
      <c r="K62" s="7">
        <f t="shared" si="19"/>
        <v>45979</v>
      </c>
      <c r="L62" s="7">
        <f t="shared" si="7"/>
        <v>45949</v>
      </c>
      <c r="M62" s="8">
        <f t="shared" si="8"/>
        <v>10</v>
      </c>
      <c r="N62" s="8">
        <f t="shared" si="12"/>
        <v>2025</v>
      </c>
      <c r="Q62">
        <v>61</v>
      </c>
      <c r="R62" s="8" t="s">
        <v>21</v>
      </c>
      <c r="S62" s="9">
        <v>45980</v>
      </c>
      <c r="U62">
        <v>64</v>
      </c>
      <c r="V62">
        <v>1218.8499999999999</v>
      </c>
      <c r="W62" s="45">
        <v>64</v>
      </c>
      <c r="X62" s="46">
        <v>1218.8499999999999</v>
      </c>
    </row>
    <row r="63" spans="1:24" ht="15.75" customHeight="1">
      <c r="A63" s="6">
        <v>65</v>
      </c>
      <c r="B63" s="6" t="str">
        <f t="shared" si="13"/>
        <v>EUR</v>
      </c>
      <c r="C63" s="6">
        <f t="shared" si="9"/>
        <v>1814.49</v>
      </c>
      <c r="D63" s="6">
        <f t="shared" si="14"/>
        <v>1814.49</v>
      </c>
      <c r="E63" s="6">
        <f t="shared" si="15"/>
        <v>2104.8083999999999</v>
      </c>
      <c r="F63" s="6">
        <f t="shared" si="10"/>
        <v>1814.49</v>
      </c>
      <c r="G63" s="15">
        <f t="shared" si="16"/>
        <v>1814.49</v>
      </c>
      <c r="H63" s="15">
        <f t="shared" si="17"/>
        <v>2104.8083999999999</v>
      </c>
      <c r="I63" s="6">
        <f t="shared" si="11"/>
        <v>0</v>
      </c>
      <c r="J63" s="6">
        <f t="shared" si="18"/>
        <v>0</v>
      </c>
      <c r="K63" s="7">
        <f t="shared" si="19"/>
        <v>46010</v>
      </c>
      <c r="L63" s="7">
        <f t="shared" si="7"/>
        <v>45980</v>
      </c>
      <c r="M63" s="8">
        <f t="shared" si="8"/>
        <v>11</v>
      </c>
      <c r="N63" s="8">
        <f t="shared" si="12"/>
        <v>2025</v>
      </c>
      <c r="Q63">
        <v>62</v>
      </c>
      <c r="R63" s="8" t="s">
        <v>21</v>
      </c>
      <c r="S63" s="9">
        <v>46216</v>
      </c>
      <c r="U63">
        <v>65</v>
      </c>
      <c r="V63">
        <v>1814.49</v>
      </c>
      <c r="W63" s="45">
        <v>65</v>
      </c>
      <c r="X63" s="46">
        <v>1814.49</v>
      </c>
    </row>
    <row r="64" spans="1:24" ht="15.75" customHeight="1">
      <c r="A64" s="6">
        <v>66</v>
      </c>
      <c r="B64" s="6" t="str">
        <f t="shared" si="13"/>
        <v>EUR</v>
      </c>
      <c r="C64" s="6">
        <f t="shared" si="9"/>
        <v>21819.08</v>
      </c>
      <c r="D64" s="6">
        <f t="shared" si="14"/>
        <v>21819.08</v>
      </c>
      <c r="E64" s="6">
        <f t="shared" si="15"/>
        <v>25310.132799999999</v>
      </c>
      <c r="F64" s="6">
        <f t="shared" si="10"/>
        <v>21819.08</v>
      </c>
      <c r="G64" s="15">
        <f t="shared" si="16"/>
        <v>21819.08</v>
      </c>
      <c r="H64" s="15">
        <f t="shared" si="17"/>
        <v>25310.132799999999</v>
      </c>
      <c r="I64" s="6">
        <f t="shared" si="11"/>
        <v>0</v>
      </c>
      <c r="J64" s="6">
        <f t="shared" si="18"/>
        <v>0</v>
      </c>
      <c r="K64" s="7">
        <f t="shared" si="19"/>
        <v>46017</v>
      </c>
      <c r="L64" s="7">
        <f t="shared" si="7"/>
        <v>45987</v>
      </c>
      <c r="M64" s="8">
        <f t="shared" si="8"/>
        <v>11</v>
      </c>
      <c r="N64" s="8">
        <f t="shared" si="12"/>
        <v>2025</v>
      </c>
      <c r="Q64">
        <v>63</v>
      </c>
      <c r="R64" s="8" t="s">
        <v>21</v>
      </c>
      <c r="S64" s="9">
        <v>46000</v>
      </c>
      <c r="U64">
        <v>66</v>
      </c>
      <c r="V64">
        <v>21819.08</v>
      </c>
      <c r="W64" s="45">
        <v>66</v>
      </c>
      <c r="X64" s="46">
        <v>21819.08</v>
      </c>
    </row>
    <row r="65" spans="1:24" ht="15.75" customHeight="1">
      <c r="A65" s="6">
        <v>67</v>
      </c>
      <c r="B65" s="6" t="str">
        <f t="shared" si="13"/>
        <v>EUR</v>
      </c>
      <c r="C65" s="6">
        <f t="shared" si="9"/>
        <v>12508.44</v>
      </c>
      <c r="D65" s="6">
        <f t="shared" si="14"/>
        <v>12508.44</v>
      </c>
      <c r="E65" s="6">
        <f t="shared" si="15"/>
        <v>14509.7904</v>
      </c>
      <c r="F65" s="6">
        <f t="shared" si="10"/>
        <v>12508.44</v>
      </c>
      <c r="G65" s="15">
        <f t="shared" si="16"/>
        <v>12508.44</v>
      </c>
      <c r="H65" s="15">
        <f t="shared" si="17"/>
        <v>14509.7904</v>
      </c>
      <c r="I65" s="6">
        <f t="shared" si="11"/>
        <v>0</v>
      </c>
      <c r="J65" s="6">
        <f t="shared" si="18"/>
        <v>0</v>
      </c>
      <c r="K65" s="7">
        <f t="shared" si="19"/>
        <v>46074</v>
      </c>
      <c r="L65" s="7">
        <f t="shared" si="7"/>
        <v>46044</v>
      </c>
      <c r="M65" s="8">
        <f t="shared" si="8"/>
        <v>1</v>
      </c>
      <c r="N65" s="8">
        <f t="shared" si="12"/>
        <v>2026</v>
      </c>
      <c r="Q65">
        <v>64</v>
      </c>
      <c r="R65" s="8" t="s">
        <v>21</v>
      </c>
      <c r="S65" s="9">
        <v>45979</v>
      </c>
      <c r="U65">
        <v>67</v>
      </c>
      <c r="V65">
        <v>12508.44</v>
      </c>
      <c r="W65" s="45">
        <v>67</v>
      </c>
      <c r="X65" s="46">
        <v>12508.44</v>
      </c>
    </row>
    <row r="66" spans="1:24" ht="15.75" customHeight="1">
      <c r="A66" s="6">
        <v>69</v>
      </c>
      <c r="B66" s="6" t="str">
        <f t="shared" ref="B66:B97" si="20">_xlfn.XLOOKUP(A66,Q:Q,R:R,"not found")</f>
        <v>EUR</v>
      </c>
      <c r="C66" s="6">
        <f t="shared" si="9"/>
        <v>5414.9</v>
      </c>
      <c r="D66" s="6">
        <f t="shared" ref="D66:D97" si="21">C66*_xlfn.XLOOKUP(B66,Z:Z,AA:AA)</f>
        <v>5414.9</v>
      </c>
      <c r="E66" s="6">
        <f t="shared" ref="E66:E97" si="22">C66*_xlfn.XLOOKUP(B66,Z:Z,AB:AB)</f>
        <v>6281.2839999999987</v>
      </c>
      <c r="F66" s="6">
        <f t="shared" si="10"/>
        <v>5414.9</v>
      </c>
      <c r="G66" s="15">
        <f t="shared" ref="G66:G97" si="23">F66*_xlfn.XLOOKUP(B66,Z:Z,AA:AA)</f>
        <v>5414.9</v>
      </c>
      <c r="H66" s="15">
        <f t="shared" ref="H66:H97" si="24">F66*_xlfn.XLOOKUP(B66,Z:Z,AB:AB)</f>
        <v>6281.2839999999987</v>
      </c>
      <c r="I66" s="6">
        <f t="shared" si="11"/>
        <v>0</v>
      </c>
      <c r="J66" s="6">
        <f t="shared" ref="J66:J97" si="25">I66*_xlfn.XLOOKUP(B66,Z:Z,AB:AB)</f>
        <v>0</v>
      </c>
      <c r="K66" s="7">
        <f t="shared" ref="K66:K97" si="26">_xlfn.XLOOKUP(A66,Q:Q,S:S,"NO")</f>
        <v>46023</v>
      </c>
      <c r="L66" s="7">
        <f t="shared" ref="L66:L97" si="27">K66-30</f>
        <v>45993</v>
      </c>
      <c r="M66" s="8">
        <f t="shared" ref="M66:M97" si="28">MONTH(L66)</f>
        <v>12</v>
      </c>
      <c r="N66" s="8">
        <f t="shared" si="12"/>
        <v>2025</v>
      </c>
      <c r="Q66">
        <v>65</v>
      </c>
      <c r="R66" t="s">
        <v>21</v>
      </c>
      <c r="S66" s="14">
        <v>46010</v>
      </c>
      <c r="U66">
        <v>69</v>
      </c>
      <c r="V66">
        <v>5414.9</v>
      </c>
      <c r="W66" s="45">
        <v>69</v>
      </c>
      <c r="X66" s="46">
        <v>5414.9</v>
      </c>
    </row>
    <row r="67" spans="1:24" ht="15.75" customHeight="1">
      <c r="A67" s="6">
        <v>70</v>
      </c>
      <c r="B67" s="6" t="str">
        <f t="shared" si="20"/>
        <v>EUR</v>
      </c>
      <c r="C67" s="6">
        <f t="shared" ref="C67:C97" si="29">_xlfn.XLOOKUP(A67,U:U,V:V)</f>
        <v>9614.93</v>
      </c>
      <c r="D67" s="6">
        <f t="shared" si="21"/>
        <v>9614.93</v>
      </c>
      <c r="E67" s="6">
        <f t="shared" si="22"/>
        <v>11153.318799999999</v>
      </c>
      <c r="F67" s="6">
        <f t="shared" ref="F67:F97" si="30">_xlfn.XLOOKUP(A67,W:W,X:X)</f>
        <v>9614.93</v>
      </c>
      <c r="G67" s="15">
        <f t="shared" si="23"/>
        <v>9614.93</v>
      </c>
      <c r="H67" s="15">
        <f t="shared" si="24"/>
        <v>11153.318799999999</v>
      </c>
      <c r="I67" s="6">
        <f t="shared" ref="I67:I97" si="31">C67-F67</f>
        <v>0</v>
      </c>
      <c r="J67" s="6">
        <f t="shared" si="25"/>
        <v>0</v>
      </c>
      <c r="K67" s="7">
        <f t="shared" si="26"/>
        <v>46194</v>
      </c>
      <c r="L67" s="7">
        <f t="shared" si="27"/>
        <v>46164</v>
      </c>
      <c r="M67" s="8">
        <f t="shared" si="28"/>
        <v>5</v>
      </c>
      <c r="N67" s="8">
        <f t="shared" ref="N67:N97" si="32">YEAR(L67)</f>
        <v>2026</v>
      </c>
      <c r="Q67">
        <v>66</v>
      </c>
      <c r="R67" t="s">
        <v>21</v>
      </c>
      <c r="S67" s="14">
        <v>46017</v>
      </c>
      <c r="U67">
        <v>70</v>
      </c>
      <c r="V67">
        <v>9614.93</v>
      </c>
      <c r="W67" s="45">
        <v>70</v>
      </c>
      <c r="X67" s="46">
        <v>9614.93</v>
      </c>
    </row>
    <row r="68" spans="1:24" ht="15.75" customHeight="1">
      <c r="A68" s="6">
        <v>71</v>
      </c>
      <c r="B68" s="6" t="str">
        <f t="shared" si="20"/>
        <v>EUR</v>
      </c>
      <c r="C68" s="6">
        <f t="shared" si="29"/>
        <v>3717.21</v>
      </c>
      <c r="D68" s="6">
        <f t="shared" si="21"/>
        <v>3717.21</v>
      </c>
      <c r="E68" s="6">
        <f t="shared" si="22"/>
        <v>4311.9636</v>
      </c>
      <c r="F68" s="6">
        <f t="shared" si="30"/>
        <v>3717.21</v>
      </c>
      <c r="G68" s="15">
        <f t="shared" si="23"/>
        <v>3717.21</v>
      </c>
      <c r="H68" s="15">
        <f t="shared" si="24"/>
        <v>4311.9636</v>
      </c>
      <c r="I68" s="6">
        <f t="shared" si="31"/>
        <v>0</v>
      </c>
      <c r="J68" s="6">
        <f t="shared" si="25"/>
        <v>0</v>
      </c>
      <c r="K68" s="7">
        <f t="shared" si="26"/>
        <v>46030</v>
      </c>
      <c r="L68" s="7">
        <f t="shared" si="27"/>
        <v>46000</v>
      </c>
      <c r="M68" s="8">
        <f t="shared" si="28"/>
        <v>12</v>
      </c>
      <c r="N68" s="8">
        <f t="shared" si="32"/>
        <v>2025</v>
      </c>
      <c r="Q68">
        <v>67</v>
      </c>
      <c r="R68" t="s">
        <v>21</v>
      </c>
      <c r="S68" s="14">
        <v>46074</v>
      </c>
      <c r="U68">
        <v>71</v>
      </c>
      <c r="V68">
        <v>3717.21</v>
      </c>
      <c r="W68" s="45">
        <v>71</v>
      </c>
      <c r="X68" s="46">
        <v>3717.21</v>
      </c>
    </row>
    <row r="69" spans="1:24" ht="15.75" customHeight="1">
      <c r="A69" s="6">
        <v>72</v>
      </c>
      <c r="B69" s="6" t="str">
        <f t="shared" si="20"/>
        <v>EUR</v>
      </c>
      <c r="C69" s="6">
        <f t="shared" si="29"/>
        <v>2200</v>
      </c>
      <c r="D69" s="6">
        <f t="shared" si="21"/>
        <v>2200</v>
      </c>
      <c r="E69" s="6">
        <f t="shared" si="22"/>
        <v>2552</v>
      </c>
      <c r="F69" s="6">
        <f t="shared" si="30"/>
        <v>2200</v>
      </c>
      <c r="G69" s="15">
        <f t="shared" si="23"/>
        <v>2200</v>
      </c>
      <c r="H69" s="15">
        <f t="shared" si="24"/>
        <v>2552</v>
      </c>
      <c r="I69" s="6">
        <f t="shared" si="31"/>
        <v>0</v>
      </c>
      <c r="J69" s="6">
        <f t="shared" si="25"/>
        <v>0</v>
      </c>
      <c r="K69" s="7">
        <f t="shared" si="26"/>
        <v>46186</v>
      </c>
      <c r="L69" s="7">
        <f t="shared" si="27"/>
        <v>46156</v>
      </c>
      <c r="M69" s="8">
        <f t="shared" si="28"/>
        <v>5</v>
      </c>
      <c r="N69" s="8">
        <f t="shared" si="32"/>
        <v>2026</v>
      </c>
      <c r="Q69">
        <v>68</v>
      </c>
      <c r="R69" t="s">
        <v>21</v>
      </c>
      <c r="S69" s="14">
        <v>45982</v>
      </c>
      <c r="U69">
        <v>72</v>
      </c>
      <c r="V69">
        <v>2200</v>
      </c>
      <c r="W69" s="45">
        <v>72</v>
      </c>
      <c r="X69" s="46">
        <v>2200</v>
      </c>
    </row>
    <row r="70" spans="1:24" ht="15.75" customHeight="1">
      <c r="A70" s="6">
        <v>73</v>
      </c>
      <c r="B70" s="6" t="str">
        <f t="shared" si="20"/>
        <v>EUR</v>
      </c>
      <c r="C70" s="6">
        <f t="shared" si="29"/>
        <v>6118.34</v>
      </c>
      <c r="D70" s="6">
        <f t="shared" si="21"/>
        <v>6118.34</v>
      </c>
      <c r="E70" s="6">
        <f t="shared" si="22"/>
        <v>7097.2743999999993</v>
      </c>
      <c r="F70" s="6">
        <f t="shared" si="30"/>
        <v>6118.34</v>
      </c>
      <c r="G70" s="15">
        <f t="shared" si="23"/>
        <v>6118.34</v>
      </c>
      <c r="H70" s="15">
        <f t="shared" si="24"/>
        <v>7097.2743999999993</v>
      </c>
      <c r="I70" s="6">
        <f t="shared" si="31"/>
        <v>0</v>
      </c>
      <c r="J70" s="6">
        <f t="shared" si="25"/>
        <v>0</v>
      </c>
      <c r="K70" s="7">
        <f t="shared" si="26"/>
        <v>46230</v>
      </c>
      <c r="L70" s="7">
        <f t="shared" si="27"/>
        <v>46200</v>
      </c>
      <c r="M70" s="8">
        <f t="shared" si="28"/>
        <v>6</v>
      </c>
      <c r="N70" s="8">
        <f t="shared" si="32"/>
        <v>2026</v>
      </c>
      <c r="Q70">
        <v>69</v>
      </c>
      <c r="R70" t="s">
        <v>21</v>
      </c>
      <c r="S70" s="14">
        <v>46023</v>
      </c>
      <c r="U70">
        <v>73</v>
      </c>
      <c r="V70">
        <v>6118.34</v>
      </c>
      <c r="W70" s="45">
        <v>73</v>
      </c>
      <c r="X70" s="46">
        <v>6118.34</v>
      </c>
    </row>
    <row r="71" spans="1:24" ht="15.75" customHeight="1">
      <c r="A71" s="6">
        <v>75</v>
      </c>
      <c r="B71" s="6" t="str">
        <f t="shared" si="20"/>
        <v>EUR</v>
      </c>
      <c r="C71" s="6">
        <f t="shared" si="29"/>
        <v>1773</v>
      </c>
      <c r="D71" s="6">
        <f t="shared" si="21"/>
        <v>1773</v>
      </c>
      <c r="E71" s="6">
        <f t="shared" si="22"/>
        <v>2056.6799999999998</v>
      </c>
      <c r="F71" s="6">
        <f t="shared" si="30"/>
        <v>1773</v>
      </c>
      <c r="G71" s="15">
        <f t="shared" si="23"/>
        <v>1773</v>
      </c>
      <c r="H71" s="15">
        <f t="shared" si="24"/>
        <v>2056.6799999999998</v>
      </c>
      <c r="I71" s="6">
        <f t="shared" si="31"/>
        <v>0</v>
      </c>
      <c r="J71" s="6">
        <f t="shared" si="25"/>
        <v>0</v>
      </c>
      <c r="K71" s="7">
        <f t="shared" si="26"/>
        <v>46121</v>
      </c>
      <c r="L71" s="7">
        <f t="shared" si="27"/>
        <v>46091</v>
      </c>
      <c r="M71" s="8">
        <f t="shared" si="28"/>
        <v>3</v>
      </c>
      <c r="N71" s="8">
        <f t="shared" si="32"/>
        <v>2026</v>
      </c>
      <c r="Q71">
        <v>70</v>
      </c>
      <c r="R71" t="s">
        <v>21</v>
      </c>
      <c r="S71" s="14">
        <v>46194</v>
      </c>
      <c r="U71">
        <v>75</v>
      </c>
      <c r="V71">
        <v>1773</v>
      </c>
      <c r="W71" s="45">
        <v>75</v>
      </c>
      <c r="X71" s="46">
        <v>1773</v>
      </c>
    </row>
    <row r="72" spans="1:24" ht="15.75" customHeight="1">
      <c r="A72" s="6">
        <v>76</v>
      </c>
      <c r="B72" s="6" t="str">
        <f t="shared" si="20"/>
        <v>EUR</v>
      </c>
      <c r="C72" s="6">
        <f t="shared" si="29"/>
        <v>7212.58</v>
      </c>
      <c r="D72" s="6">
        <f t="shared" si="21"/>
        <v>7212.58</v>
      </c>
      <c r="E72" s="6">
        <f t="shared" si="22"/>
        <v>8366.5927999999985</v>
      </c>
      <c r="F72" s="6">
        <f t="shared" si="30"/>
        <v>7212.58</v>
      </c>
      <c r="G72" s="15">
        <f t="shared" si="23"/>
        <v>7212.58</v>
      </c>
      <c r="H72" s="15">
        <f t="shared" si="24"/>
        <v>8366.5927999999985</v>
      </c>
      <c r="I72" s="6">
        <f t="shared" si="31"/>
        <v>0</v>
      </c>
      <c r="J72" s="6">
        <f t="shared" si="25"/>
        <v>0</v>
      </c>
      <c r="K72" s="7">
        <f t="shared" si="26"/>
        <v>46036</v>
      </c>
      <c r="L72" s="7">
        <f t="shared" si="27"/>
        <v>46006</v>
      </c>
      <c r="M72" s="8">
        <f t="shared" si="28"/>
        <v>12</v>
      </c>
      <c r="N72" s="8">
        <f t="shared" si="32"/>
        <v>2025</v>
      </c>
      <c r="Q72">
        <v>71</v>
      </c>
      <c r="R72" t="s">
        <v>21</v>
      </c>
      <c r="S72" s="14">
        <v>46030</v>
      </c>
      <c r="U72">
        <v>76</v>
      </c>
      <c r="V72">
        <v>7212.58</v>
      </c>
      <c r="W72" s="45">
        <v>76</v>
      </c>
      <c r="X72" s="46">
        <v>7212.58</v>
      </c>
    </row>
    <row r="73" spans="1:24" ht="15.75" customHeight="1">
      <c r="A73" s="6">
        <v>78</v>
      </c>
      <c r="B73" s="6" t="str">
        <f t="shared" si="20"/>
        <v>EUR</v>
      </c>
      <c r="C73" s="6">
        <f t="shared" si="29"/>
        <v>44158.43</v>
      </c>
      <c r="D73" s="6">
        <f t="shared" si="21"/>
        <v>44158.43</v>
      </c>
      <c r="E73" s="6">
        <f t="shared" si="22"/>
        <v>51223.7788</v>
      </c>
      <c r="F73" s="6">
        <f t="shared" si="30"/>
        <v>44158.43</v>
      </c>
      <c r="G73" s="15">
        <f t="shared" si="23"/>
        <v>44158.43</v>
      </c>
      <c r="H73" s="15">
        <f t="shared" si="24"/>
        <v>51223.7788</v>
      </c>
      <c r="I73" s="6">
        <f t="shared" si="31"/>
        <v>0</v>
      </c>
      <c r="J73" s="6">
        <f t="shared" si="25"/>
        <v>0</v>
      </c>
      <c r="K73" s="7">
        <f t="shared" si="26"/>
        <v>46170</v>
      </c>
      <c r="L73" s="7">
        <f t="shared" si="27"/>
        <v>46140</v>
      </c>
      <c r="M73" s="8">
        <f t="shared" si="28"/>
        <v>4</v>
      </c>
      <c r="N73" s="8">
        <f t="shared" si="32"/>
        <v>2026</v>
      </c>
      <c r="Q73">
        <v>72</v>
      </c>
      <c r="R73" t="s">
        <v>21</v>
      </c>
      <c r="S73" s="14">
        <v>46186</v>
      </c>
      <c r="U73">
        <v>78</v>
      </c>
      <c r="V73">
        <v>44158.43</v>
      </c>
      <c r="W73" s="45">
        <v>78</v>
      </c>
      <c r="X73" s="46">
        <v>44158.43</v>
      </c>
    </row>
    <row r="74" spans="1:24" ht="15.75" customHeight="1">
      <c r="A74" s="6">
        <v>79</v>
      </c>
      <c r="B74" s="6" t="str">
        <f t="shared" si="20"/>
        <v>EUR</v>
      </c>
      <c r="C74" s="6">
        <f t="shared" si="29"/>
        <v>24454.75</v>
      </c>
      <c r="D74" s="6">
        <f t="shared" si="21"/>
        <v>24454.75</v>
      </c>
      <c r="E74" s="6">
        <f t="shared" si="22"/>
        <v>28367.51</v>
      </c>
      <c r="F74" s="6">
        <f t="shared" si="30"/>
        <v>24454.75</v>
      </c>
      <c r="G74" s="15">
        <f t="shared" si="23"/>
        <v>24454.75</v>
      </c>
      <c r="H74" s="15">
        <f t="shared" si="24"/>
        <v>28367.51</v>
      </c>
      <c r="I74" s="6">
        <f t="shared" si="31"/>
        <v>0</v>
      </c>
      <c r="J74" s="6">
        <f t="shared" si="25"/>
        <v>0</v>
      </c>
      <c r="K74" s="7">
        <f t="shared" si="26"/>
        <v>46022</v>
      </c>
      <c r="L74" s="7">
        <f t="shared" si="27"/>
        <v>45992</v>
      </c>
      <c r="M74" s="8">
        <f t="shared" si="28"/>
        <v>12</v>
      </c>
      <c r="N74" s="8">
        <f t="shared" si="32"/>
        <v>2025</v>
      </c>
      <c r="Q74">
        <v>73</v>
      </c>
      <c r="R74" t="s">
        <v>21</v>
      </c>
      <c r="S74" s="14">
        <v>46230</v>
      </c>
      <c r="U74">
        <v>79</v>
      </c>
      <c r="V74">
        <v>24454.75</v>
      </c>
      <c r="W74" s="45">
        <v>79</v>
      </c>
      <c r="X74" s="46">
        <v>24454.75</v>
      </c>
    </row>
    <row r="75" spans="1:24" ht="15.75" customHeight="1">
      <c r="A75" s="6">
        <v>80</v>
      </c>
      <c r="B75" s="6" t="str">
        <f t="shared" si="20"/>
        <v>EUR</v>
      </c>
      <c r="C75" s="6">
        <f t="shared" si="29"/>
        <v>5592.12</v>
      </c>
      <c r="D75" s="6">
        <f t="shared" si="21"/>
        <v>5592.12</v>
      </c>
      <c r="E75" s="6">
        <f t="shared" si="22"/>
        <v>6486.8591999999999</v>
      </c>
      <c r="F75" s="6">
        <f t="shared" si="30"/>
        <v>5592.12</v>
      </c>
      <c r="G75" s="15">
        <f t="shared" si="23"/>
        <v>5592.12</v>
      </c>
      <c r="H75" s="15">
        <f t="shared" si="24"/>
        <v>6486.8591999999999</v>
      </c>
      <c r="I75" s="6">
        <f t="shared" si="31"/>
        <v>0</v>
      </c>
      <c r="J75" s="6">
        <f t="shared" si="25"/>
        <v>0</v>
      </c>
      <c r="K75" s="7">
        <f t="shared" si="26"/>
        <v>46033</v>
      </c>
      <c r="L75" s="7">
        <f t="shared" si="27"/>
        <v>46003</v>
      </c>
      <c r="M75" s="8">
        <f t="shared" si="28"/>
        <v>12</v>
      </c>
      <c r="N75" s="8">
        <f t="shared" si="32"/>
        <v>2025</v>
      </c>
      <c r="Q75">
        <v>74</v>
      </c>
      <c r="R75" t="s">
        <v>20</v>
      </c>
      <c r="S75" s="14">
        <v>46011</v>
      </c>
      <c r="U75">
        <v>80</v>
      </c>
      <c r="V75">
        <v>5592.12</v>
      </c>
      <c r="W75" s="45">
        <v>80</v>
      </c>
      <c r="X75" s="46">
        <v>5592.12</v>
      </c>
    </row>
    <row r="76" spans="1:24" ht="15.75" customHeight="1">
      <c r="A76" s="6">
        <v>81</v>
      </c>
      <c r="B76" s="6" t="str">
        <f t="shared" si="20"/>
        <v>EUR</v>
      </c>
      <c r="C76" s="6">
        <f t="shared" si="29"/>
        <v>5745.95</v>
      </c>
      <c r="D76" s="6">
        <f t="shared" si="21"/>
        <v>5745.95</v>
      </c>
      <c r="E76" s="6">
        <f t="shared" si="22"/>
        <v>6665.3019999999997</v>
      </c>
      <c r="F76" s="6">
        <f t="shared" si="30"/>
        <v>5499.35</v>
      </c>
      <c r="G76" s="15">
        <f t="shared" si="23"/>
        <v>5499.35</v>
      </c>
      <c r="H76" s="15">
        <f t="shared" si="24"/>
        <v>6379.2460000000001</v>
      </c>
      <c r="I76" s="6">
        <f t="shared" si="31"/>
        <v>246.59999999999945</v>
      </c>
      <c r="J76" s="6">
        <f t="shared" si="25"/>
        <v>286.05599999999936</v>
      </c>
      <c r="K76" s="7">
        <f t="shared" si="26"/>
        <v>46131</v>
      </c>
      <c r="L76" s="7">
        <f t="shared" si="27"/>
        <v>46101</v>
      </c>
      <c r="M76" s="8">
        <f t="shared" si="28"/>
        <v>3</v>
      </c>
      <c r="N76" s="8">
        <f t="shared" si="32"/>
        <v>2026</v>
      </c>
      <c r="Q76">
        <v>75</v>
      </c>
      <c r="R76" t="s">
        <v>21</v>
      </c>
      <c r="S76" s="14">
        <v>46121</v>
      </c>
      <c r="U76">
        <v>81</v>
      </c>
      <c r="V76">
        <v>5745.95</v>
      </c>
      <c r="W76" s="45">
        <v>81</v>
      </c>
      <c r="X76" s="46">
        <v>5499.35</v>
      </c>
    </row>
    <row r="77" spans="1:24" ht="15.75" customHeight="1">
      <c r="A77" s="6">
        <v>82</v>
      </c>
      <c r="B77" s="6" t="str">
        <f t="shared" si="20"/>
        <v>EUR</v>
      </c>
      <c r="C77" s="6">
        <f t="shared" si="29"/>
        <v>494.56</v>
      </c>
      <c r="D77" s="6">
        <f t="shared" si="21"/>
        <v>494.56</v>
      </c>
      <c r="E77" s="6">
        <f t="shared" si="22"/>
        <v>573.68959999999993</v>
      </c>
      <c r="F77" s="6">
        <f t="shared" si="30"/>
        <v>494.56</v>
      </c>
      <c r="G77" s="15">
        <f t="shared" si="23"/>
        <v>494.56</v>
      </c>
      <c r="H77" s="15">
        <f t="shared" si="24"/>
        <v>573.68959999999993</v>
      </c>
      <c r="I77" s="6">
        <f t="shared" si="31"/>
        <v>0</v>
      </c>
      <c r="J77" s="6">
        <f t="shared" si="25"/>
        <v>0</v>
      </c>
      <c r="K77" s="7">
        <f t="shared" si="26"/>
        <v>45971</v>
      </c>
      <c r="L77" s="7">
        <f t="shared" si="27"/>
        <v>45941</v>
      </c>
      <c r="M77" s="8">
        <f t="shared" si="28"/>
        <v>10</v>
      </c>
      <c r="N77" s="8">
        <f t="shared" si="32"/>
        <v>2025</v>
      </c>
      <c r="Q77">
        <v>76</v>
      </c>
      <c r="R77" t="s">
        <v>21</v>
      </c>
      <c r="S77" s="14">
        <v>46036</v>
      </c>
      <c r="U77">
        <v>82</v>
      </c>
      <c r="V77">
        <v>494.56</v>
      </c>
      <c r="W77" s="45">
        <v>82</v>
      </c>
      <c r="X77" s="46">
        <v>494.56</v>
      </c>
    </row>
    <row r="78" spans="1:24" ht="15.75" customHeight="1">
      <c r="A78" s="6">
        <v>83</v>
      </c>
      <c r="B78" s="6" t="str">
        <f t="shared" si="20"/>
        <v>EUR</v>
      </c>
      <c r="C78" s="6">
        <f t="shared" si="29"/>
        <v>2401.4299999999998</v>
      </c>
      <c r="D78" s="6">
        <f t="shared" si="21"/>
        <v>2401.4299999999998</v>
      </c>
      <c r="E78" s="6">
        <f t="shared" si="22"/>
        <v>2785.6587999999997</v>
      </c>
      <c r="F78" s="6">
        <f t="shared" si="30"/>
        <v>2401.4299999999998</v>
      </c>
      <c r="G78" s="15">
        <f t="shared" si="23"/>
        <v>2401.4299999999998</v>
      </c>
      <c r="H78" s="15">
        <f t="shared" si="24"/>
        <v>2785.6587999999997</v>
      </c>
      <c r="I78" s="6">
        <f t="shared" si="31"/>
        <v>0</v>
      </c>
      <c r="J78" s="6">
        <f t="shared" si="25"/>
        <v>0</v>
      </c>
      <c r="K78" s="7">
        <f t="shared" si="26"/>
        <v>46052</v>
      </c>
      <c r="L78" s="7">
        <f t="shared" si="27"/>
        <v>46022</v>
      </c>
      <c r="M78" s="8">
        <f t="shared" si="28"/>
        <v>12</v>
      </c>
      <c r="N78" s="8">
        <f t="shared" si="32"/>
        <v>2025</v>
      </c>
      <c r="Q78">
        <v>77</v>
      </c>
      <c r="R78" t="s">
        <v>21</v>
      </c>
      <c r="S78" s="14">
        <v>46056</v>
      </c>
      <c r="U78">
        <v>83</v>
      </c>
      <c r="V78">
        <v>2401.4299999999998</v>
      </c>
      <c r="W78" s="45">
        <v>83</v>
      </c>
      <c r="X78" s="46">
        <v>2401.4299999999998</v>
      </c>
    </row>
    <row r="79" spans="1:24" ht="15.75" customHeight="1">
      <c r="A79" s="6">
        <v>85</v>
      </c>
      <c r="B79" s="6" t="str">
        <f t="shared" si="20"/>
        <v>EUR</v>
      </c>
      <c r="C79" s="6">
        <f t="shared" si="29"/>
        <v>653.41999999999996</v>
      </c>
      <c r="D79" s="6">
        <f t="shared" si="21"/>
        <v>653.41999999999996</v>
      </c>
      <c r="E79" s="6">
        <f t="shared" si="22"/>
        <v>757.96719999999993</v>
      </c>
      <c r="F79" s="6">
        <f t="shared" si="30"/>
        <v>653.41999999999996</v>
      </c>
      <c r="G79" s="15">
        <f t="shared" si="23"/>
        <v>653.41999999999996</v>
      </c>
      <c r="H79" s="15">
        <f t="shared" si="24"/>
        <v>757.96719999999993</v>
      </c>
      <c r="I79" s="6">
        <f t="shared" si="31"/>
        <v>0</v>
      </c>
      <c r="J79" s="6">
        <f t="shared" si="25"/>
        <v>0</v>
      </c>
      <c r="K79" s="7">
        <f t="shared" si="26"/>
        <v>46047</v>
      </c>
      <c r="L79" s="7">
        <f t="shared" si="27"/>
        <v>46017</v>
      </c>
      <c r="M79" s="8">
        <f t="shared" si="28"/>
        <v>12</v>
      </c>
      <c r="N79" s="8">
        <f t="shared" si="32"/>
        <v>2025</v>
      </c>
      <c r="Q79">
        <v>78</v>
      </c>
      <c r="R79" t="s">
        <v>21</v>
      </c>
      <c r="S79" s="14">
        <v>46170</v>
      </c>
      <c r="U79">
        <v>85</v>
      </c>
      <c r="V79">
        <v>653.41999999999996</v>
      </c>
      <c r="W79" s="45">
        <v>85</v>
      </c>
      <c r="X79" s="46">
        <v>653.41999999999996</v>
      </c>
    </row>
    <row r="80" spans="1:24" ht="15.75" customHeight="1">
      <c r="A80" s="6">
        <v>86</v>
      </c>
      <c r="B80" s="6" t="str">
        <f t="shared" si="20"/>
        <v>EUR</v>
      </c>
      <c r="C80" s="6">
        <f t="shared" si="29"/>
        <v>7784.98</v>
      </c>
      <c r="D80" s="6">
        <f t="shared" si="21"/>
        <v>7784.98</v>
      </c>
      <c r="E80" s="6">
        <f t="shared" si="22"/>
        <v>9030.5767999999989</v>
      </c>
      <c r="F80" s="6">
        <f t="shared" si="30"/>
        <v>6993.36</v>
      </c>
      <c r="G80" s="15">
        <f t="shared" si="23"/>
        <v>6993.36</v>
      </c>
      <c r="H80" s="15">
        <f t="shared" si="24"/>
        <v>8112.297599999999</v>
      </c>
      <c r="I80" s="6">
        <f t="shared" si="31"/>
        <v>791.61999999999989</v>
      </c>
      <c r="J80" s="6">
        <f t="shared" si="25"/>
        <v>918.27919999999983</v>
      </c>
      <c r="K80" s="7">
        <f t="shared" si="26"/>
        <v>46061</v>
      </c>
      <c r="L80" s="7">
        <f t="shared" si="27"/>
        <v>46031</v>
      </c>
      <c r="M80" s="8">
        <f t="shared" si="28"/>
        <v>1</v>
      </c>
      <c r="N80" s="8">
        <f t="shared" si="32"/>
        <v>2026</v>
      </c>
      <c r="Q80">
        <v>79</v>
      </c>
      <c r="R80" t="s">
        <v>21</v>
      </c>
      <c r="S80" s="14">
        <v>46022</v>
      </c>
      <c r="U80">
        <v>86</v>
      </c>
      <c r="V80">
        <v>7784.98</v>
      </c>
      <c r="W80" s="45">
        <v>86</v>
      </c>
      <c r="X80" s="46">
        <v>6993.36</v>
      </c>
    </row>
    <row r="81" spans="1:24" ht="15.75" customHeight="1">
      <c r="A81" s="6">
        <v>87</v>
      </c>
      <c r="B81" s="6" t="str">
        <f t="shared" si="20"/>
        <v>EUR</v>
      </c>
      <c r="C81" s="6">
        <f t="shared" si="29"/>
        <v>10230.299999999999</v>
      </c>
      <c r="D81" s="6">
        <f t="shared" si="21"/>
        <v>10230.299999999999</v>
      </c>
      <c r="E81" s="6">
        <f t="shared" si="22"/>
        <v>11867.147999999999</v>
      </c>
      <c r="F81" s="6">
        <f t="shared" si="30"/>
        <v>10230.299999999999</v>
      </c>
      <c r="G81" s="15">
        <f t="shared" si="23"/>
        <v>10230.299999999999</v>
      </c>
      <c r="H81" s="15">
        <f t="shared" si="24"/>
        <v>11867.147999999999</v>
      </c>
      <c r="I81" s="6">
        <f t="shared" si="31"/>
        <v>0</v>
      </c>
      <c r="J81" s="6">
        <f t="shared" si="25"/>
        <v>0</v>
      </c>
      <c r="K81" s="7">
        <f t="shared" si="26"/>
        <v>46033</v>
      </c>
      <c r="L81" s="7">
        <f t="shared" si="27"/>
        <v>46003</v>
      </c>
      <c r="M81" s="8">
        <f t="shared" si="28"/>
        <v>12</v>
      </c>
      <c r="N81" s="8">
        <f t="shared" si="32"/>
        <v>2025</v>
      </c>
      <c r="Q81">
        <v>80</v>
      </c>
      <c r="R81" t="s">
        <v>21</v>
      </c>
      <c r="S81" s="14">
        <v>46033</v>
      </c>
      <c r="U81">
        <v>87</v>
      </c>
      <c r="V81">
        <v>10230.299999999999</v>
      </c>
      <c r="W81" s="45">
        <v>87</v>
      </c>
      <c r="X81" s="46">
        <v>10230.299999999999</v>
      </c>
    </row>
    <row r="82" spans="1:24" ht="15.75" customHeight="1">
      <c r="A82" s="6">
        <v>88</v>
      </c>
      <c r="B82" s="6" t="str">
        <f t="shared" si="20"/>
        <v>EUR</v>
      </c>
      <c r="C82" s="6">
        <f t="shared" si="29"/>
        <v>3563.28</v>
      </c>
      <c r="D82" s="6">
        <f t="shared" si="21"/>
        <v>3563.28</v>
      </c>
      <c r="E82" s="6">
        <f t="shared" si="22"/>
        <v>4133.4048000000003</v>
      </c>
      <c r="F82" s="6">
        <f t="shared" si="30"/>
        <v>3563.28</v>
      </c>
      <c r="G82" s="15">
        <f t="shared" si="23"/>
        <v>3563.28</v>
      </c>
      <c r="H82" s="15">
        <f t="shared" si="24"/>
        <v>4133.4048000000003</v>
      </c>
      <c r="I82" s="6">
        <f t="shared" si="31"/>
        <v>0</v>
      </c>
      <c r="J82" s="6">
        <f t="shared" si="25"/>
        <v>0</v>
      </c>
      <c r="K82" s="7">
        <f t="shared" si="26"/>
        <v>46285</v>
      </c>
      <c r="L82" s="7">
        <f t="shared" si="27"/>
        <v>46255</v>
      </c>
      <c r="M82" s="8">
        <f t="shared" si="28"/>
        <v>8</v>
      </c>
      <c r="N82" s="8">
        <f t="shared" si="32"/>
        <v>2026</v>
      </c>
      <c r="Q82">
        <v>81</v>
      </c>
      <c r="R82" t="s">
        <v>21</v>
      </c>
      <c r="S82" s="14">
        <v>46131</v>
      </c>
      <c r="U82">
        <v>88</v>
      </c>
      <c r="V82">
        <v>3563.28</v>
      </c>
      <c r="W82" s="45">
        <v>88</v>
      </c>
      <c r="X82" s="46">
        <v>3563.28</v>
      </c>
    </row>
    <row r="83" spans="1:24" ht="15.75" customHeight="1">
      <c r="A83" s="6">
        <v>89</v>
      </c>
      <c r="B83" s="6" t="str">
        <f t="shared" si="20"/>
        <v>EUR</v>
      </c>
      <c r="C83" s="6">
        <f t="shared" si="29"/>
        <v>1098.56</v>
      </c>
      <c r="D83" s="6">
        <f t="shared" si="21"/>
        <v>1098.56</v>
      </c>
      <c r="E83" s="6">
        <f t="shared" si="22"/>
        <v>1274.3295999999998</v>
      </c>
      <c r="F83" s="6">
        <f t="shared" si="30"/>
        <v>1098.56</v>
      </c>
      <c r="G83" s="15">
        <f t="shared" si="23"/>
        <v>1098.56</v>
      </c>
      <c r="H83" s="15">
        <f t="shared" si="24"/>
        <v>1274.3295999999998</v>
      </c>
      <c r="I83" s="6">
        <f t="shared" si="31"/>
        <v>0</v>
      </c>
      <c r="J83" s="6">
        <f t="shared" si="25"/>
        <v>0</v>
      </c>
      <c r="K83" s="7">
        <f t="shared" si="26"/>
        <v>46288</v>
      </c>
      <c r="L83" s="7">
        <f t="shared" si="27"/>
        <v>46258</v>
      </c>
      <c r="M83" s="8">
        <f t="shared" si="28"/>
        <v>8</v>
      </c>
      <c r="N83" s="8">
        <f t="shared" si="32"/>
        <v>2026</v>
      </c>
      <c r="Q83">
        <v>82</v>
      </c>
      <c r="R83" t="s">
        <v>21</v>
      </c>
      <c r="S83" s="14">
        <v>45971</v>
      </c>
      <c r="U83">
        <v>89</v>
      </c>
      <c r="V83">
        <v>1098.56</v>
      </c>
      <c r="W83" s="45">
        <v>89</v>
      </c>
      <c r="X83" s="46">
        <v>1098.56</v>
      </c>
    </row>
    <row r="84" spans="1:24" ht="15.75" customHeight="1">
      <c r="A84" s="6">
        <v>91</v>
      </c>
      <c r="B84" s="6" t="str">
        <f t="shared" si="20"/>
        <v>EUR</v>
      </c>
      <c r="C84" s="6">
        <f t="shared" si="29"/>
        <v>3209.6</v>
      </c>
      <c r="D84" s="6">
        <f t="shared" si="21"/>
        <v>3209.6</v>
      </c>
      <c r="E84" s="6">
        <f t="shared" si="22"/>
        <v>3723.1359999999995</v>
      </c>
      <c r="F84" s="6">
        <f t="shared" si="30"/>
        <v>3209.6</v>
      </c>
      <c r="G84" s="15">
        <f t="shared" si="23"/>
        <v>3209.6</v>
      </c>
      <c r="H84" s="15">
        <f t="shared" si="24"/>
        <v>3723.1359999999995</v>
      </c>
      <c r="I84" s="6">
        <f t="shared" si="31"/>
        <v>0</v>
      </c>
      <c r="J84" s="6">
        <f t="shared" si="25"/>
        <v>0</v>
      </c>
      <c r="K84" s="7">
        <f t="shared" si="26"/>
        <v>46072</v>
      </c>
      <c r="L84" s="7">
        <f t="shared" si="27"/>
        <v>46042</v>
      </c>
      <c r="M84" s="8">
        <f t="shared" si="28"/>
        <v>1</v>
      </c>
      <c r="N84" s="8">
        <f t="shared" si="32"/>
        <v>2026</v>
      </c>
      <c r="Q84">
        <v>83</v>
      </c>
      <c r="R84" t="s">
        <v>21</v>
      </c>
      <c r="S84" s="14">
        <v>46052</v>
      </c>
      <c r="U84">
        <v>91</v>
      </c>
      <c r="V84">
        <v>3209.6</v>
      </c>
      <c r="W84" s="45">
        <v>91</v>
      </c>
      <c r="X84" s="46">
        <v>3209.6</v>
      </c>
    </row>
    <row r="85" spans="1:24" ht="15.75" customHeight="1">
      <c r="A85" s="6">
        <v>92</v>
      </c>
      <c r="B85" s="6" t="str">
        <f t="shared" si="20"/>
        <v>EUR</v>
      </c>
      <c r="C85" s="6">
        <f t="shared" si="29"/>
        <v>835.53</v>
      </c>
      <c r="D85" s="6">
        <f t="shared" si="21"/>
        <v>835.53</v>
      </c>
      <c r="E85" s="6">
        <f t="shared" si="22"/>
        <v>969.21479999999985</v>
      </c>
      <c r="F85" s="6">
        <f t="shared" si="30"/>
        <v>835.53</v>
      </c>
      <c r="G85" s="15">
        <f t="shared" si="23"/>
        <v>835.53</v>
      </c>
      <c r="H85" s="15">
        <f t="shared" si="24"/>
        <v>969.21479999999985</v>
      </c>
      <c r="I85" s="6">
        <f t="shared" si="31"/>
        <v>0</v>
      </c>
      <c r="J85" s="6">
        <f t="shared" si="25"/>
        <v>0</v>
      </c>
      <c r="K85" s="7">
        <f t="shared" si="26"/>
        <v>46059</v>
      </c>
      <c r="L85" s="7">
        <f t="shared" si="27"/>
        <v>46029</v>
      </c>
      <c r="M85" s="8">
        <f t="shared" si="28"/>
        <v>1</v>
      </c>
      <c r="N85" s="8">
        <f t="shared" si="32"/>
        <v>2026</v>
      </c>
      <c r="Q85">
        <v>84</v>
      </c>
      <c r="R85" t="s">
        <v>21</v>
      </c>
      <c r="S85" s="14">
        <v>45982</v>
      </c>
      <c r="U85">
        <v>92</v>
      </c>
      <c r="V85">
        <v>835.53</v>
      </c>
      <c r="W85" s="45">
        <v>92</v>
      </c>
      <c r="X85" s="46">
        <v>835.53</v>
      </c>
    </row>
    <row r="86" spans="1:24" ht="15.75" customHeight="1">
      <c r="A86" s="6">
        <v>93</v>
      </c>
      <c r="B86" s="6" t="str">
        <f t="shared" si="20"/>
        <v>EUR</v>
      </c>
      <c r="C86" s="6">
        <f t="shared" si="29"/>
        <v>9843.7199999999993</v>
      </c>
      <c r="D86" s="6">
        <f t="shared" si="21"/>
        <v>9843.7199999999993</v>
      </c>
      <c r="E86" s="6">
        <f t="shared" si="22"/>
        <v>11418.715199999999</v>
      </c>
      <c r="F86" s="6">
        <f t="shared" si="30"/>
        <v>9583.02</v>
      </c>
      <c r="G86" s="15">
        <f t="shared" si="23"/>
        <v>9583.02</v>
      </c>
      <c r="H86" s="15">
        <f t="shared" si="24"/>
        <v>11116.3032</v>
      </c>
      <c r="I86" s="6">
        <f t="shared" si="31"/>
        <v>260.69999999999891</v>
      </c>
      <c r="J86" s="6">
        <f t="shared" si="25"/>
        <v>302.41199999999873</v>
      </c>
      <c r="K86" s="7">
        <f t="shared" si="26"/>
        <v>46216</v>
      </c>
      <c r="L86" s="7">
        <f t="shared" si="27"/>
        <v>46186</v>
      </c>
      <c r="M86" s="8">
        <f t="shared" si="28"/>
        <v>6</v>
      </c>
      <c r="N86" s="8">
        <f t="shared" si="32"/>
        <v>2026</v>
      </c>
      <c r="Q86">
        <v>85</v>
      </c>
      <c r="R86" t="s">
        <v>21</v>
      </c>
      <c r="S86" s="14">
        <v>46047</v>
      </c>
      <c r="U86">
        <v>93</v>
      </c>
      <c r="V86">
        <v>9843.7199999999993</v>
      </c>
      <c r="W86" s="45">
        <v>93</v>
      </c>
      <c r="X86" s="46">
        <v>9583.02</v>
      </c>
    </row>
    <row r="87" spans="1:24" ht="15.75" customHeight="1">
      <c r="A87" s="6">
        <v>95</v>
      </c>
      <c r="B87" s="6" t="str">
        <f t="shared" si="20"/>
        <v>EUR</v>
      </c>
      <c r="C87" s="6">
        <f t="shared" si="29"/>
        <v>985.79</v>
      </c>
      <c r="D87" s="6">
        <f t="shared" si="21"/>
        <v>985.79</v>
      </c>
      <c r="E87" s="6">
        <f t="shared" si="22"/>
        <v>1143.5164</v>
      </c>
      <c r="F87" s="6">
        <f t="shared" si="30"/>
        <v>985.79</v>
      </c>
      <c r="G87" s="15">
        <f t="shared" si="23"/>
        <v>985.79</v>
      </c>
      <c r="H87" s="15">
        <f t="shared" si="24"/>
        <v>1143.5164</v>
      </c>
      <c r="I87" s="6">
        <f t="shared" si="31"/>
        <v>0</v>
      </c>
      <c r="J87" s="6">
        <f t="shared" si="25"/>
        <v>0</v>
      </c>
      <c r="K87" s="7">
        <f t="shared" si="26"/>
        <v>46064</v>
      </c>
      <c r="L87" s="7">
        <f t="shared" si="27"/>
        <v>46034</v>
      </c>
      <c r="M87" s="8">
        <f t="shared" si="28"/>
        <v>1</v>
      </c>
      <c r="N87" s="8">
        <f t="shared" si="32"/>
        <v>2026</v>
      </c>
      <c r="Q87">
        <v>86</v>
      </c>
      <c r="R87" t="s">
        <v>21</v>
      </c>
      <c r="S87" s="14">
        <v>46061</v>
      </c>
      <c r="U87">
        <v>95</v>
      </c>
      <c r="V87">
        <v>985.79</v>
      </c>
      <c r="W87" s="45">
        <v>95</v>
      </c>
      <c r="X87" s="46">
        <v>985.79</v>
      </c>
    </row>
    <row r="88" spans="1:24" ht="15.75" customHeight="1">
      <c r="A88" s="6">
        <v>96</v>
      </c>
      <c r="B88" s="6" t="str">
        <f t="shared" si="20"/>
        <v>EUR</v>
      </c>
      <c r="C88" s="6">
        <f t="shared" si="29"/>
        <v>6563.4</v>
      </c>
      <c r="D88" s="6">
        <f t="shared" si="21"/>
        <v>6563.4</v>
      </c>
      <c r="E88" s="6">
        <f t="shared" si="22"/>
        <v>7613.543999999999</v>
      </c>
      <c r="F88" s="6">
        <f t="shared" si="30"/>
        <v>6497.68</v>
      </c>
      <c r="G88" s="15">
        <f t="shared" si="23"/>
        <v>6497.68</v>
      </c>
      <c r="H88" s="15">
        <f t="shared" si="24"/>
        <v>7537.3087999999998</v>
      </c>
      <c r="I88" s="6">
        <f t="shared" si="31"/>
        <v>65.719999999999345</v>
      </c>
      <c r="J88" s="6">
        <f t="shared" si="25"/>
        <v>76.235199999999239</v>
      </c>
      <c r="K88" s="7">
        <f t="shared" si="26"/>
        <v>46053</v>
      </c>
      <c r="L88" s="7">
        <f t="shared" si="27"/>
        <v>46023</v>
      </c>
      <c r="M88" s="8">
        <f t="shared" si="28"/>
        <v>1</v>
      </c>
      <c r="N88" s="8">
        <f t="shared" si="32"/>
        <v>2026</v>
      </c>
      <c r="Q88">
        <v>87</v>
      </c>
      <c r="R88" t="s">
        <v>21</v>
      </c>
      <c r="S88" s="14">
        <v>46033</v>
      </c>
      <c r="U88">
        <v>96</v>
      </c>
      <c r="V88">
        <v>6563.4</v>
      </c>
      <c r="W88" s="45">
        <v>96</v>
      </c>
      <c r="X88" s="46">
        <v>6497.68</v>
      </c>
    </row>
    <row r="89" spans="1:24" ht="15.75" customHeight="1">
      <c r="A89" s="6">
        <v>97</v>
      </c>
      <c r="B89" s="6" t="str">
        <f t="shared" si="20"/>
        <v>EUR</v>
      </c>
      <c r="C89" s="6">
        <f t="shared" si="29"/>
        <v>26617.53</v>
      </c>
      <c r="D89" s="6">
        <f t="shared" si="21"/>
        <v>26617.53</v>
      </c>
      <c r="E89" s="6">
        <f t="shared" si="22"/>
        <v>30876.334799999997</v>
      </c>
      <c r="F89" s="6">
        <f t="shared" si="30"/>
        <v>13685.47</v>
      </c>
      <c r="G89" s="15">
        <f t="shared" si="23"/>
        <v>13685.47</v>
      </c>
      <c r="H89" s="15">
        <f t="shared" si="24"/>
        <v>15875.145199999999</v>
      </c>
      <c r="I89" s="6">
        <f t="shared" si="31"/>
        <v>12932.06</v>
      </c>
      <c r="J89" s="6">
        <f t="shared" si="25"/>
        <v>15001.189599999998</v>
      </c>
      <c r="K89" s="7">
        <f t="shared" si="26"/>
        <v>46325</v>
      </c>
      <c r="L89" s="7">
        <f t="shared" si="27"/>
        <v>46295</v>
      </c>
      <c r="M89" s="8">
        <f t="shared" si="28"/>
        <v>9</v>
      </c>
      <c r="N89" s="8">
        <f t="shared" si="32"/>
        <v>2026</v>
      </c>
      <c r="Q89">
        <v>88</v>
      </c>
      <c r="R89" t="s">
        <v>21</v>
      </c>
      <c r="S89" s="14">
        <v>46285</v>
      </c>
      <c r="U89">
        <v>97</v>
      </c>
      <c r="V89">
        <v>26617.53</v>
      </c>
      <c r="W89" s="45">
        <v>97</v>
      </c>
      <c r="X89" s="46">
        <v>13685.47</v>
      </c>
    </row>
    <row r="90" spans="1:24" ht="15.75" customHeight="1">
      <c r="A90" s="6">
        <v>98</v>
      </c>
      <c r="B90" s="6" t="str">
        <f t="shared" si="20"/>
        <v>USD</v>
      </c>
      <c r="C90" s="6">
        <f t="shared" si="29"/>
        <v>7770</v>
      </c>
      <c r="D90" s="6">
        <f t="shared" si="21"/>
        <v>6682.2</v>
      </c>
      <c r="E90" s="6">
        <f t="shared" si="22"/>
        <v>7770</v>
      </c>
      <c r="F90" s="6">
        <f t="shared" si="30"/>
        <v>7770</v>
      </c>
      <c r="G90" s="15">
        <f t="shared" si="23"/>
        <v>6682.2</v>
      </c>
      <c r="H90" s="15">
        <f t="shared" si="24"/>
        <v>7770</v>
      </c>
      <c r="I90" s="6">
        <f t="shared" si="31"/>
        <v>0</v>
      </c>
      <c r="J90" s="6">
        <f t="shared" si="25"/>
        <v>0</v>
      </c>
      <c r="K90" s="7">
        <f t="shared" si="26"/>
        <v>46167</v>
      </c>
      <c r="L90" s="7">
        <f t="shared" si="27"/>
        <v>46137</v>
      </c>
      <c r="M90" s="8">
        <f t="shared" si="28"/>
        <v>4</v>
      </c>
      <c r="N90" s="8">
        <f t="shared" si="32"/>
        <v>2026</v>
      </c>
      <c r="Q90">
        <v>89</v>
      </c>
      <c r="R90" t="s">
        <v>21</v>
      </c>
      <c r="S90" s="14">
        <v>46288</v>
      </c>
      <c r="U90">
        <v>98</v>
      </c>
      <c r="V90">
        <v>7770</v>
      </c>
      <c r="W90" s="45">
        <v>98</v>
      </c>
      <c r="X90" s="46">
        <v>7770</v>
      </c>
    </row>
    <row r="91" spans="1:24" ht="15.75" customHeight="1">
      <c r="A91" s="6">
        <v>99</v>
      </c>
      <c r="B91" s="6" t="str">
        <f t="shared" si="20"/>
        <v>EUR</v>
      </c>
      <c r="C91" s="6">
        <f t="shared" si="29"/>
        <v>4013.03</v>
      </c>
      <c r="D91" s="6">
        <f t="shared" si="21"/>
        <v>4013.03</v>
      </c>
      <c r="E91" s="6">
        <f t="shared" si="22"/>
        <v>4655.1148000000003</v>
      </c>
      <c r="F91" s="6">
        <f t="shared" si="30"/>
        <v>4013.03</v>
      </c>
      <c r="G91" s="15">
        <f t="shared" si="23"/>
        <v>4013.03</v>
      </c>
      <c r="H91" s="15">
        <f t="shared" si="24"/>
        <v>4655.1148000000003</v>
      </c>
      <c r="I91" s="6">
        <f t="shared" si="31"/>
        <v>0</v>
      </c>
      <c r="J91" s="6">
        <f t="shared" si="25"/>
        <v>0</v>
      </c>
      <c r="K91" s="7">
        <f t="shared" si="26"/>
        <v>46110</v>
      </c>
      <c r="L91" s="7">
        <f t="shared" si="27"/>
        <v>46080</v>
      </c>
      <c r="M91" s="8">
        <f t="shared" si="28"/>
        <v>2</v>
      </c>
      <c r="N91" s="8">
        <f t="shared" si="32"/>
        <v>2026</v>
      </c>
      <c r="Q91">
        <v>90</v>
      </c>
      <c r="R91" t="s">
        <v>21</v>
      </c>
      <c r="S91" s="14">
        <v>46074</v>
      </c>
      <c r="U91">
        <v>99</v>
      </c>
      <c r="V91">
        <v>4013.03</v>
      </c>
      <c r="W91" s="45">
        <v>99</v>
      </c>
      <c r="X91" s="46">
        <v>4013.03</v>
      </c>
    </row>
    <row r="92" spans="1:24" ht="15.75" customHeight="1">
      <c r="A92" s="6">
        <v>101</v>
      </c>
      <c r="B92" s="6" t="str">
        <f t="shared" si="20"/>
        <v>EUR</v>
      </c>
      <c r="C92" s="6">
        <f t="shared" si="29"/>
        <v>4472.8100000000004</v>
      </c>
      <c r="D92" s="6">
        <f t="shared" si="21"/>
        <v>4472.8100000000004</v>
      </c>
      <c r="E92" s="6">
        <f t="shared" si="22"/>
        <v>5188.4596000000001</v>
      </c>
      <c r="F92" s="6">
        <f t="shared" si="30"/>
        <v>4472.8100000000004</v>
      </c>
      <c r="G92" s="15">
        <f t="shared" si="23"/>
        <v>4472.8100000000004</v>
      </c>
      <c r="H92" s="15">
        <f t="shared" si="24"/>
        <v>5188.4596000000001</v>
      </c>
      <c r="I92" s="6">
        <f t="shared" si="31"/>
        <v>0</v>
      </c>
      <c r="J92" s="6">
        <f t="shared" si="25"/>
        <v>0</v>
      </c>
      <c r="K92" s="7">
        <f t="shared" si="26"/>
        <v>46073</v>
      </c>
      <c r="L92" s="7">
        <f t="shared" si="27"/>
        <v>46043</v>
      </c>
      <c r="M92" s="8">
        <f t="shared" si="28"/>
        <v>1</v>
      </c>
      <c r="N92" s="8">
        <f t="shared" si="32"/>
        <v>2026</v>
      </c>
      <c r="Q92">
        <v>91</v>
      </c>
      <c r="R92" t="s">
        <v>21</v>
      </c>
      <c r="S92" s="14">
        <v>46072</v>
      </c>
      <c r="U92">
        <v>101</v>
      </c>
      <c r="V92">
        <v>4472.8100000000004</v>
      </c>
      <c r="W92" s="45">
        <v>101</v>
      </c>
      <c r="X92" s="46">
        <v>4472.8100000000004</v>
      </c>
    </row>
    <row r="93" spans="1:24" ht="15.75" customHeight="1">
      <c r="A93" s="6">
        <v>102</v>
      </c>
      <c r="B93" s="6" t="str">
        <f t="shared" si="20"/>
        <v>EUR</v>
      </c>
      <c r="C93" s="6">
        <f t="shared" si="29"/>
        <v>22653.85</v>
      </c>
      <c r="D93" s="6">
        <f t="shared" si="21"/>
        <v>22653.85</v>
      </c>
      <c r="E93" s="6">
        <f t="shared" si="22"/>
        <v>26278.465999999997</v>
      </c>
      <c r="F93" s="6">
        <f t="shared" si="30"/>
        <v>22450.41</v>
      </c>
      <c r="G93" s="15">
        <f t="shared" si="23"/>
        <v>22450.41</v>
      </c>
      <c r="H93" s="15">
        <f t="shared" si="24"/>
        <v>26042.475599999998</v>
      </c>
      <c r="I93" s="6">
        <f>C93-F93</f>
        <v>203.43999999999869</v>
      </c>
      <c r="J93" s="6">
        <f t="shared" si="25"/>
        <v>235.99039999999846</v>
      </c>
      <c r="K93" s="7">
        <f t="shared" si="26"/>
        <v>46068</v>
      </c>
      <c r="L93" s="7">
        <f t="shared" si="27"/>
        <v>46038</v>
      </c>
      <c r="M93" s="8">
        <f t="shared" si="28"/>
        <v>1</v>
      </c>
      <c r="N93" s="8">
        <f t="shared" si="32"/>
        <v>2026</v>
      </c>
      <c r="Q93">
        <v>92</v>
      </c>
      <c r="R93" t="s">
        <v>21</v>
      </c>
      <c r="S93" s="14">
        <v>46059</v>
      </c>
      <c r="U93">
        <v>102</v>
      </c>
      <c r="V93">
        <v>22653.85</v>
      </c>
      <c r="W93" s="45">
        <v>102</v>
      </c>
      <c r="X93" s="46">
        <v>22450.41</v>
      </c>
    </row>
    <row r="94" spans="1:24" ht="15.75" customHeight="1">
      <c r="A94" s="6">
        <v>103</v>
      </c>
      <c r="B94" s="6" t="str">
        <f t="shared" si="20"/>
        <v>EUR</v>
      </c>
      <c r="C94" s="6">
        <f t="shared" si="29"/>
        <v>1310.84</v>
      </c>
      <c r="D94" s="6">
        <f t="shared" si="21"/>
        <v>1310.84</v>
      </c>
      <c r="E94" s="6">
        <f t="shared" si="22"/>
        <v>1520.5743999999997</v>
      </c>
      <c r="F94" s="6">
        <f t="shared" si="30"/>
        <v>1310.84</v>
      </c>
      <c r="G94" s="15">
        <f t="shared" si="23"/>
        <v>1310.84</v>
      </c>
      <c r="H94" s="15">
        <f t="shared" si="24"/>
        <v>1520.5743999999997</v>
      </c>
      <c r="I94" s="6">
        <f t="shared" si="31"/>
        <v>0</v>
      </c>
      <c r="J94" s="6">
        <f t="shared" si="25"/>
        <v>0</v>
      </c>
      <c r="K94" s="7">
        <f t="shared" si="26"/>
        <v>46223</v>
      </c>
      <c r="L94" s="7">
        <f t="shared" si="27"/>
        <v>46193</v>
      </c>
      <c r="M94" s="8">
        <f t="shared" si="28"/>
        <v>6</v>
      </c>
      <c r="N94" s="8">
        <f t="shared" si="32"/>
        <v>2026</v>
      </c>
      <c r="Q94">
        <v>93</v>
      </c>
      <c r="R94" t="s">
        <v>21</v>
      </c>
      <c r="S94" s="14">
        <v>46216</v>
      </c>
      <c r="U94">
        <v>103</v>
      </c>
      <c r="V94">
        <v>1310.84</v>
      </c>
      <c r="W94" s="45">
        <v>103</v>
      </c>
      <c r="X94" s="46">
        <v>1310.84</v>
      </c>
    </row>
    <row r="95" spans="1:24" ht="15.75" customHeight="1">
      <c r="A95" s="6">
        <v>105</v>
      </c>
      <c r="B95" s="6" t="str">
        <f t="shared" si="20"/>
        <v>EUR</v>
      </c>
      <c r="C95" s="6">
        <f t="shared" si="29"/>
        <v>792</v>
      </c>
      <c r="D95" s="6">
        <f t="shared" si="21"/>
        <v>792</v>
      </c>
      <c r="E95" s="6">
        <f t="shared" si="22"/>
        <v>918.71999999999991</v>
      </c>
      <c r="F95" s="6">
        <f t="shared" si="30"/>
        <v>792</v>
      </c>
      <c r="G95" s="15">
        <f t="shared" si="23"/>
        <v>792</v>
      </c>
      <c r="H95" s="15">
        <f t="shared" si="24"/>
        <v>918.71999999999991</v>
      </c>
      <c r="I95" s="6">
        <f t="shared" si="31"/>
        <v>0</v>
      </c>
      <c r="J95" s="6">
        <f t="shared" si="25"/>
        <v>0</v>
      </c>
      <c r="K95" s="7">
        <f t="shared" si="26"/>
        <v>46101</v>
      </c>
      <c r="L95" s="7">
        <f t="shared" si="27"/>
        <v>46071</v>
      </c>
      <c r="M95" s="8">
        <f t="shared" si="28"/>
        <v>2</v>
      </c>
      <c r="N95" s="8">
        <f t="shared" si="32"/>
        <v>2026</v>
      </c>
      <c r="Q95">
        <v>94</v>
      </c>
      <c r="R95" t="s">
        <v>20</v>
      </c>
      <c r="S95" s="14">
        <v>46075</v>
      </c>
      <c r="U95">
        <v>105</v>
      </c>
      <c r="V95">
        <v>792</v>
      </c>
      <c r="W95" s="45">
        <v>105</v>
      </c>
      <c r="X95" s="46">
        <v>792</v>
      </c>
    </row>
    <row r="96" spans="1:24" ht="15.75" customHeight="1">
      <c r="A96" s="6">
        <v>106</v>
      </c>
      <c r="B96" s="6" t="str">
        <f t="shared" si="20"/>
        <v>EUR</v>
      </c>
      <c r="C96" s="6">
        <f t="shared" si="29"/>
        <v>3181.85</v>
      </c>
      <c r="D96" s="6">
        <f t="shared" si="21"/>
        <v>3181.85</v>
      </c>
      <c r="E96" s="6">
        <f t="shared" si="22"/>
        <v>3690.9459999999995</v>
      </c>
      <c r="F96" s="6">
        <f t="shared" si="30"/>
        <v>3181.85</v>
      </c>
      <c r="G96" s="15">
        <f t="shared" si="23"/>
        <v>3181.85</v>
      </c>
      <c r="H96" s="15">
        <f t="shared" si="24"/>
        <v>3690.9459999999995</v>
      </c>
      <c r="I96" s="6">
        <f t="shared" si="31"/>
        <v>0</v>
      </c>
      <c r="J96" s="6">
        <f t="shared" si="25"/>
        <v>0</v>
      </c>
      <c r="K96" s="7">
        <f t="shared" si="26"/>
        <v>46072</v>
      </c>
      <c r="L96" s="7">
        <f t="shared" si="27"/>
        <v>46042</v>
      </c>
      <c r="M96" s="8">
        <f t="shared" si="28"/>
        <v>1</v>
      </c>
      <c r="N96" s="8">
        <f t="shared" si="32"/>
        <v>2026</v>
      </c>
      <c r="Q96">
        <v>95</v>
      </c>
      <c r="R96" t="s">
        <v>21</v>
      </c>
      <c r="S96" s="14">
        <v>46064</v>
      </c>
      <c r="U96">
        <v>106</v>
      </c>
      <c r="V96">
        <v>3181.85</v>
      </c>
      <c r="W96" s="45">
        <v>106</v>
      </c>
      <c r="X96" s="46">
        <v>3181.85</v>
      </c>
    </row>
    <row r="97" spans="1:24" ht="15.75" customHeight="1">
      <c r="A97" s="6">
        <v>107</v>
      </c>
      <c r="B97" s="6" t="str">
        <f t="shared" si="20"/>
        <v>EUR</v>
      </c>
      <c r="C97" s="6">
        <f t="shared" si="29"/>
        <v>1834.16</v>
      </c>
      <c r="D97" s="6">
        <f t="shared" si="21"/>
        <v>1834.16</v>
      </c>
      <c r="E97" s="6">
        <f t="shared" si="22"/>
        <v>2127.6255999999998</v>
      </c>
      <c r="F97" s="6">
        <f t="shared" si="30"/>
        <v>1834.16</v>
      </c>
      <c r="G97" s="15">
        <f t="shared" si="23"/>
        <v>1834.16</v>
      </c>
      <c r="H97" s="15">
        <f t="shared" si="24"/>
        <v>2127.6255999999998</v>
      </c>
      <c r="I97" s="6">
        <f t="shared" si="31"/>
        <v>0</v>
      </c>
      <c r="J97" s="6">
        <f t="shared" si="25"/>
        <v>0</v>
      </c>
      <c r="K97" s="7">
        <f t="shared" si="26"/>
        <v>46195</v>
      </c>
      <c r="L97" s="7">
        <f t="shared" si="27"/>
        <v>46165</v>
      </c>
      <c r="M97" s="8">
        <f t="shared" si="28"/>
        <v>5</v>
      </c>
      <c r="N97" s="8">
        <f t="shared" si="32"/>
        <v>2026</v>
      </c>
      <c r="Q97">
        <v>96</v>
      </c>
      <c r="R97" t="s">
        <v>21</v>
      </c>
      <c r="S97" s="14">
        <v>46053</v>
      </c>
      <c r="U97">
        <v>107</v>
      </c>
      <c r="V97">
        <v>1834.16</v>
      </c>
      <c r="W97" s="47">
        <v>107</v>
      </c>
      <c r="X97" s="48">
        <v>1834.16</v>
      </c>
    </row>
    <row r="98" spans="1:24" ht="15.75" customHeight="1">
      <c r="A98" s="6"/>
      <c r="B98" s="6"/>
      <c r="C98" s="6"/>
      <c r="D98" s="6"/>
      <c r="E98" s="6"/>
      <c r="F98" s="6"/>
      <c r="J98" s="6"/>
      <c r="Q98">
        <v>97</v>
      </c>
      <c r="R98" t="s">
        <v>21</v>
      </c>
      <c r="S98" s="14">
        <v>46325</v>
      </c>
      <c r="U98">
        <v>111</v>
      </c>
      <c r="V98">
        <v>8640.9</v>
      </c>
      <c r="W98" s="49"/>
      <c r="X98" s="49"/>
    </row>
    <row r="99" spans="1:24" ht="15.75" customHeight="1">
      <c r="A99" s="6"/>
      <c r="B99" s="6"/>
      <c r="C99" s="6"/>
      <c r="D99" s="6"/>
      <c r="E99" s="6"/>
      <c r="F99" s="6"/>
      <c r="J99" s="6"/>
      <c r="Q99">
        <v>98</v>
      </c>
      <c r="R99" t="s">
        <v>20</v>
      </c>
      <c r="S99" s="14">
        <v>46167</v>
      </c>
      <c r="W99" s="50"/>
      <c r="X99" s="50"/>
    </row>
    <row r="100" spans="1:24" ht="15.75" customHeight="1">
      <c r="A100" s="6"/>
      <c r="B100" s="6"/>
      <c r="C100" s="6"/>
      <c r="D100" s="6"/>
      <c r="E100" s="6"/>
      <c r="F100" s="6"/>
      <c r="J100" s="6"/>
      <c r="Q100">
        <v>99</v>
      </c>
      <c r="R100" t="s">
        <v>21</v>
      </c>
      <c r="S100" s="14">
        <v>46110</v>
      </c>
      <c r="W100" s="50"/>
      <c r="X100" s="50"/>
    </row>
    <row r="101" spans="1:24" ht="15.75" customHeight="1">
      <c r="A101" s="6"/>
      <c r="B101" s="6"/>
      <c r="C101" s="6"/>
      <c r="D101" s="6"/>
      <c r="E101" s="6"/>
      <c r="F101" s="6"/>
      <c r="J101" s="6"/>
      <c r="Q101">
        <v>100</v>
      </c>
      <c r="R101" t="s">
        <v>21</v>
      </c>
      <c r="S101" s="14">
        <v>46183</v>
      </c>
      <c r="W101" s="50"/>
      <c r="X101" s="50"/>
    </row>
    <row r="102" spans="1:24" ht="15.75" customHeight="1">
      <c r="A102" s="6"/>
      <c r="B102" s="6"/>
      <c r="C102" s="6"/>
      <c r="D102" s="6"/>
      <c r="E102" s="6"/>
      <c r="F102" s="6"/>
      <c r="J102" s="6"/>
      <c r="Q102">
        <v>101</v>
      </c>
      <c r="R102" t="s">
        <v>21</v>
      </c>
      <c r="S102" s="14">
        <v>46073</v>
      </c>
      <c r="W102" s="50"/>
      <c r="X102" s="50"/>
    </row>
    <row r="103" spans="1:24" ht="15.75" customHeight="1">
      <c r="A103" s="6"/>
      <c r="B103" s="6"/>
      <c r="C103" s="6"/>
      <c r="D103" s="6"/>
      <c r="E103" s="6"/>
      <c r="F103" s="6"/>
      <c r="Q103">
        <v>102</v>
      </c>
      <c r="R103" t="s">
        <v>21</v>
      </c>
      <c r="S103" s="14">
        <v>46068</v>
      </c>
      <c r="W103" s="50"/>
      <c r="X103" s="50"/>
    </row>
    <row r="104" spans="1:24" ht="15.75" customHeight="1">
      <c r="A104" s="6"/>
      <c r="B104" s="6"/>
      <c r="C104" s="6"/>
      <c r="D104" s="6"/>
      <c r="E104" s="6"/>
      <c r="F104" s="6"/>
      <c r="Q104">
        <v>103</v>
      </c>
      <c r="R104" t="s">
        <v>21</v>
      </c>
      <c r="S104" s="14">
        <v>46223</v>
      </c>
      <c r="W104" s="50"/>
      <c r="X104" s="50"/>
    </row>
    <row r="105" spans="1:24" ht="15.75" customHeight="1">
      <c r="A105" s="6"/>
      <c r="B105" s="6"/>
      <c r="C105" s="6"/>
      <c r="D105" s="6"/>
      <c r="E105" s="6"/>
      <c r="F105" s="6"/>
      <c r="Q105">
        <v>104</v>
      </c>
      <c r="R105" t="s">
        <v>21</v>
      </c>
      <c r="S105" s="14">
        <v>46136</v>
      </c>
      <c r="W105" s="50"/>
      <c r="X105" s="50"/>
    </row>
    <row r="106" spans="1:24" ht="15.75" customHeight="1">
      <c r="A106" s="6"/>
      <c r="B106" s="6"/>
      <c r="C106" s="6"/>
      <c r="D106" s="6"/>
      <c r="E106" s="6"/>
      <c r="F106" s="6"/>
      <c r="Q106">
        <v>105</v>
      </c>
      <c r="R106" t="s">
        <v>21</v>
      </c>
      <c r="S106" s="14">
        <v>46101</v>
      </c>
      <c r="W106" s="50"/>
      <c r="X106" s="50"/>
    </row>
    <row r="107" spans="1:24" ht="15.75" customHeight="1">
      <c r="A107" s="6"/>
      <c r="B107" s="6"/>
      <c r="C107" s="6"/>
      <c r="D107" s="6"/>
      <c r="E107" s="6"/>
      <c r="F107" s="6"/>
      <c r="Q107">
        <v>106</v>
      </c>
      <c r="R107" t="s">
        <v>21</v>
      </c>
      <c r="S107" s="14">
        <v>46072</v>
      </c>
      <c r="W107" s="50"/>
      <c r="X107" s="50"/>
    </row>
    <row r="108" spans="1:24" ht="15.75" customHeight="1">
      <c r="A108" s="6"/>
      <c r="B108" s="6"/>
      <c r="C108" s="6"/>
      <c r="D108" s="6"/>
      <c r="E108" s="6"/>
      <c r="F108" s="6"/>
      <c r="Q108">
        <v>107</v>
      </c>
      <c r="R108" t="s">
        <v>21</v>
      </c>
      <c r="S108" s="14">
        <v>46195</v>
      </c>
      <c r="W108" s="50"/>
      <c r="X108" s="50"/>
    </row>
    <row r="109" spans="1:24" ht="15.75" customHeight="1">
      <c r="A109" s="6"/>
      <c r="B109" s="6"/>
      <c r="C109" s="6"/>
      <c r="D109" s="6"/>
      <c r="E109" s="6"/>
      <c r="F109" s="6"/>
      <c r="Q109">
        <v>108</v>
      </c>
      <c r="R109" t="s">
        <v>21</v>
      </c>
      <c r="S109" s="14">
        <v>46121</v>
      </c>
      <c r="W109" s="50"/>
      <c r="X109" s="50"/>
    </row>
    <row r="110" spans="1:24" ht="15.75" customHeight="1">
      <c r="A110" s="6"/>
      <c r="B110" s="6"/>
      <c r="C110" s="6"/>
      <c r="D110" s="6"/>
      <c r="E110" s="6"/>
      <c r="F110" s="6"/>
      <c r="Q110">
        <v>109</v>
      </c>
      <c r="R110" t="s">
        <v>21</v>
      </c>
      <c r="S110" s="14">
        <v>46307</v>
      </c>
      <c r="W110" s="50"/>
      <c r="X110" s="50"/>
    </row>
    <row r="111" spans="1:24" ht="15.75" customHeight="1">
      <c r="A111" s="6"/>
      <c r="B111" s="6"/>
      <c r="C111" s="6"/>
      <c r="D111" s="6"/>
      <c r="E111" s="6"/>
      <c r="F111" s="6"/>
      <c r="Q111">
        <v>110</v>
      </c>
      <c r="R111" t="s">
        <v>21</v>
      </c>
      <c r="S111" s="14">
        <v>46163</v>
      </c>
      <c r="W111" s="50"/>
      <c r="X111" s="50"/>
    </row>
    <row r="112" spans="1:24" ht="15.75" customHeight="1">
      <c r="A112" s="6"/>
      <c r="B112" s="6"/>
      <c r="C112" s="6"/>
      <c r="D112" s="6"/>
      <c r="E112" s="6"/>
      <c r="F112" s="6"/>
      <c r="W112" s="50"/>
      <c r="X112" s="50"/>
    </row>
    <row r="113" spans="1:24" ht="15.75" customHeight="1">
      <c r="A113" s="6"/>
      <c r="B113" s="6"/>
      <c r="C113" s="6"/>
      <c r="D113" s="6"/>
      <c r="E113" s="6"/>
      <c r="F113" s="6"/>
      <c r="W113" s="50"/>
      <c r="X113" s="50"/>
    </row>
    <row r="114" spans="1:24" ht="15.75" customHeight="1">
      <c r="A114" s="6"/>
      <c r="B114" s="6"/>
      <c r="C114" s="6"/>
      <c r="D114" s="6"/>
      <c r="E114" s="6"/>
      <c r="F114" s="6"/>
      <c r="W114" s="50"/>
      <c r="X114" s="50"/>
    </row>
    <row r="115" spans="1:24" ht="15.75" customHeight="1">
      <c r="A115" s="6"/>
      <c r="B115" s="6"/>
      <c r="C115" s="6"/>
      <c r="D115" s="6"/>
      <c r="E115" s="6"/>
      <c r="F115" s="6"/>
      <c r="W115" s="50"/>
      <c r="X115" s="50"/>
    </row>
    <row r="116" spans="1:24" ht="15.75" customHeight="1">
      <c r="A116" s="6"/>
      <c r="B116" s="6"/>
      <c r="C116" s="6"/>
      <c r="D116" s="6"/>
      <c r="E116" s="6"/>
      <c r="F116" s="6"/>
      <c r="W116" s="50"/>
      <c r="X116" s="50"/>
    </row>
    <row r="117" spans="1:24" ht="15.75" customHeight="1">
      <c r="A117" s="6"/>
      <c r="B117" s="6"/>
      <c r="C117" s="6"/>
      <c r="D117" s="6"/>
      <c r="E117" s="6"/>
      <c r="F117" s="6"/>
      <c r="W117" s="50"/>
      <c r="X117" s="50"/>
    </row>
    <row r="118" spans="1:24" ht="15.75" customHeight="1">
      <c r="A118" s="6"/>
      <c r="B118" s="6"/>
      <c r="C118" s="6"/>
      <c r="D118" s="6"/>
      <c r="E118" s="6"/>
      <c r="F118" s="6"/>
      <c r="W118" s="50"/>
      <c r="X118" s="50"/>
    </row>
    <row r="119" spans="1:24" ht="15.75" customHeight="1">
      <c r="A119" s="6"/>
      <c r="B119" s="6"/>
      <c r="C119" s="6"/>
      <c r="D119" s="6"/>
      <c r="E119" s="6"/>
      <c r="F119" s="6"/>
      <c r="W119" s="50"/>
      <c r="X119" s="50"/>
    </row>
    <row r="120" spans="1:24" ht="15.75" customHeight="1">
      <c r="A120" s="6"/>
      <c r="B120" s="6"/>
      <c r="C120" s="6"/>
      <c r="D120" s="6"/>
      <c r="E120" s="6"/>
      <c r="F120" s="6"/>
      <c r="W120" s="50"/>
      <c r="X120" s="50"/>
    </row>
    <row r="121" spans="1:24" ht="15.75" customHeight="1">
      <c r="A121" s="6"/>
      <c r="B121" s="6"/>
      <c r="C121" s="6"/>
      <c r="D121" s="6"/>
      <c r="E121" s="6"/>
      <c r="F121" s="6"/>
      <c r="W121" s="50"/>
      <c r="X121" s="50"/>
    </row>
    <row r="122" spans="1:24" ht="15.75" customHeight="1">
      <c r="A122" s="6"/>
      <c r="B122" s="6"/>
      <c r="C122" s="6"/>
      <c r="D122" s="6"/>
      <c r="E122" s="6"/>
      <c r="F122" s="6"/>
      <c r="W122" s="50"/>
      <c r="X122" s="50"/>
    </row>
    <row r="123" spans="1:24" ht="15.75" customHeight="1">
      <c r="A123" s="6"/>
      <c r="B123" s="6"/>
      <c r="C123" s="6"/>
      <c r="D123" s="6"/>
      <c r="E123" s="6"/>
      <c r="F123" s="6"/>
      <c r="W123" s="50"/>
      <c r="X123" s="50"/>
    </row>
    <row r="124" spans="1:24" ht="15.75" customHeight="1">
      <c r="A124" s="6"/>
      <c r="B124" s="6"/>
      <c r="C124" s="6"/>
      <c r="D124" s="6"/>
      <c r="E124" s="6"/>
      <c r="F124" s="6"/>
      <c r="W124" s="50"/>
      <c r="X124" s="50"/>
    </row>
    <row r="125" spans="1:24" ht="15.75" customHeight="1">
      <c r="A125" s="6"/>
      <c r="B125" s="6"/>
      <c r="C125" s="6"/>
      <c r="D125" s="6"/>
      <c r="E125" s="6"/>
      <c r="F125" s="6"/>
      <c r="W125" s="50"/>
      <c r="X125" s="50"/>
    </row>
    <row r="126" spans="1:24" ht="15.75" customHeight="1">
      <c r="A126" s="6"/>
      <c r="B126" s="6"/>
      <c r="C126" s="6"/>
      <c r="D126" s="6"/>
      <c r="E126" s="6"/>
      <c r="F126" s="6"/>
      <c r="W126" s="50"/>
      <c r="X126" s="50"/>
    </row>
    <row r="127" spans="1:24" ht="15.75" customHeight="1">
      <c r="A127" s="6"/>
      <c r="B127" s="6"/>
      <c r="C127" s="6"/>
      <c r="D127" s="6"/>
      <c r="E127" s="6"/>
      <c r="F127" s="6"/>
      <c r="W127" s="50"/>
      <c r="X127" s="50"/>
    </row>
    <row r="128" spans="1:24" ht="15.75" customHeight="1">
      <c r="A128" s="6"/>
      <c r="B128" s="6"/>
      <c r="C128" s="6"/>
      <c r="D128" s="6"/>
      <c r="E128" s="6"/>
      <c r="F128" s="6"/>
      <c r="W128" s="50"/>
      <c r="X128" s="50"/>
    </row>
    <row r="129" spans="1:24" ht="15.75" customHeight="1">
      <c r="A129" s="6"/>
      <c r="B129" s="6"/>
      <c r="C129" s="6"/>
      <c r="D129" s="6"/>
      <c r="E129" s="6"/>
      <c r="F129" s="6"/>
      <c r="W129" s="50"/>
      <c r="X129" s="50"/>
    </row>
    <row r="130" spans="1:24" ht="15.75" customHeight="1">
      <c r="A130" s="6"/>
      <c r="B130" s="6"/>
      <c r="C130" s="6"/>
      <c r="D130" s="6"/>
      <c r="E130" s="6"/>
      <c r="F130" s="6"/>
      <c r="W130" s="50"/>
      <c r="X130" s="50"/>
    </row>
    <row r="131" spans="1:24" ht="15.75" customHeight="1">
      <c r="A131" s="6"/>
      <c r="B131" s="6"/>
      <c r="C131" s="6"/>
      <c r="D131" s="6"/>
      <c r="E131" s="6"/>
      <c r="F131" s="6"/>
      <c r="W131" s="50"/>
      <c r="X131" s="50"/>
    </row>
    <row r="132" spans="1:24" ht="15.75" customHeight="1">
      <c r="A132" s="6"/>
      <c r="B132" s="6"/>
      <c r="C132" s="6"/>
      <c r="D132" s="6"/>
      <c r="E132" s="6"/>
      <c r="F132" s="6"/>
      <c r="W132" s="50"/>
      <c r="X132" s="50"/>
    </row>
    <row r="133" spans="1:24" ht="15.75" customHeight="1">
      <c r="A133" s="6"/>
      <c r="B133" s="6"/>
      <c r="C133" s="6"/>
      <c r="D133" s="6"/>
      <c r="E133" s="6"/>
      <c r="F133" s="6"/>
      <c r="W133" s="50"/>
      <c r="X133" s="50"/>
    </row>
    <row r="134" spans="1:24" ht="15.75" customHeight="1">
      <c r="A134" s="6"/>
      <c r="B134" s="6"/>
      <c r="C134" s="6"/>
      <c r="D134" s="6"/>
      <c r="E134" s="6"/>
      <c r="F134" s="6"/>
      <c r="W134" s="50"/>
      <c r="X134" s="50"/>
    </row>
    <row r="135" spans="1:24" ht="15.75" customHeight="1">
      <c r="A135" s="6"/>
      <c r="B135" s="6"/>
      <c r="C135" s="6"/>
      <c r="D135" s="6"/>
      <c r="E135" s="6"/>
      <c r="F135" s="6"/>
      <c r="W135" s="50"/>
      <c r="X135" s="50"/>
    </row>
    <row r="136" spans="1:24" ht="15.75" customHeight="1">
      <c r="A136" s="6"/>
      <c r="B136" s="6"/>
      <c r="C136" s="6"/>
      <c r="D136" s="6"/>
      <c r="E136" s="6"/>
      <c r="F136" s="6"/>
      <c r="W136" s="50"/>
      <c r="X136" s="50"/>
    </row>
    <row r="137" spans="1:24" ht="15.75" customHeight="1">
      <c r="A137" s="6"/>
      <c r="B137" s="6"/>
      <c r="C137" s="6"/>
      <c r="D137" s="6"/>
      <c r="E137" s="6"/>
      <c r="F137" s="6"/>
      <c r="W137" s="50"/>
      <c r="X137" s="50"/>
    </row>
    <row r="138" spans="1:24" ht="15.75" customHeight="1">
      <c r="A138" s="6"/>
      <c r="B138" s="6"/>
      <c r="C138" s="6"/>
      <c r="D138" s="6"/>
      <c r="E138" s="6"/>
      <c r="F138" s="6"/>
      <c r="W138" s="50"/>
      <c r="X138" s="50"/>
    </row>
    <row r="139" spans="1:24" ht="15.75" customHeight="1">
      <c r="A139" s="6"/>
      <c r="B139" s="6"/>
      <c r="C139" s="6"/>
      <c r="D139" s="6"/>
      <c r="E139" s="6"/>
      <c r="F139" s="6"/>
      <c r="W139" s="50"/>
      <c r="X139" s="50"/>
    </row>
    <row r="140" spans="1:24" ht="15.75" customHeight="1">
      <c r="A140" s="6"/>
      <c r="B140" s="6"/>
      <c r="C140" s="6"/>
      <c r="D140" s="6"/>
      <c r="E140" s="6"/>
      <c r="F140" s="6"/>
      <c r="W140" s="50"/>
      <c r="X140" s="50"/>
    </row>
    <row r="141" spans="1:24" ht="15.75" customHeight="1">
      <c r="A141" s="6"/>
      <c r="B141" s="6"/>
      <c r="C141" s="6"/>
      <c r="D141" s="6"/>
      <c r="E141" s="6"/>
      <c r="F141" s="6"/>
      <c r="W141" s="50"/>
      <c r="X141" s="50"/>
    </row>
    <row r="142" spans="1:24" ht="15.75" customHeight="1">
      <c r="A142" s="6"/>
      <c r="B142" s="6"/>
      <c r="C142" s="6"/>
      <c r="D142" s="6"/>
      <c r="E142" s="6"/>
      <c r="F142" s="6"/>
      <c r="W142" s="50"/>
      <c r="X142" s="50"/>
    </row>
    <row r="143" spans="1:24" ht="15.75" customHeight="1">
      <c r="A143" s="6"/>
      <c r="B143" s="6"/>
      <c r="C143" s="6"/>
      <c r="D143" s="6"/>
      <c r="E143" s="6"/>
      <c r="F143" s="6"/>
      <c r="W143" s="50"/>
      <c r="X143" s="50"/>
    </row>
    <row r="144" spans="1:24" ht="15.75" customHeight="1">
      <c r="A144" s="6"/>
      <c r="B144" s="6"/>
      <c r="C144" s="6"/>
      <c r="D144" s="6"/>
      <c r="E144" s="6"/>
      <c r="F144" s="6"/>
      <c r="W144" s="50"/>
      <c r="X144" s="50"/>
    </row>
    <row r="145" spans="1:24" ht="15.75" customHeight="1">
      <c r="A145" s="6"/>
      <c r="B145" s="6"/>
      <c r="C145" s="6"/>
      <c r="D145" s="6"/>
      <c r="E145" s="6"/>
      <c r="F145" s="6"/>
      <c r="W145" s="50"/>
      <c r="X145" s="50"/>
    </row>
    <row r="146" spans="1:24" ht="15.75" customHeight="1">
      <c r="A146" s="6"/>
      <c r="B146" s="6"/>
      <c r="C146" s="6"/>
      <c r="D146" s="6"/>
      <c r="E146" s="6"/>
      <c r="F146" s="6"/>
      <c r="W146" s="50"/>
      <c r="X146" s="50"/>
    </row>
    <row r="147" spans="1:24" ht="15.75" customHeight="1">
      <c r="A147" s="6"/>
      <c r="B147" s="6"/>
      <c r="C147" s="6"/>
      <c r="D147" s="6"/>
      <c r="E147" s="6"/>
      <c r="F147" s="6"/>
      <c r="W147" s="50"/>
      <c r="X147" s="50"/>
    </row>
    <row r="148" spans="1:24" ht="15.75" customHeight="1">
      <c r="A148" s="6"/>
      <c r="B148" s="6"/>
      <c r="C148" s="6"/>
      <c r="D148" s="6"/>
      <c r="E148" s="6"/>
      <c r="F148" s="6"/>
      <c r="W148" s="50"/>
      <c r="X148" s="50"/>
    </row>
    <row r="149" spans="1:24" ht="15.75" customHeight="1">
      <c r="A149" s="6"/>
      <c r="B149" s="6"/>
      <c r="C149" s="6"/>
      <c r="D149" s="6"/>
      <c r="E149" s="6"/>
      <c r="F149" s="6"/>
      <c r="W149" s="50"/>
      <c r="X149" s="50"/>
    </row>
    <row r="150" spans="1:24" ht="15.75" customHeight="1">
      <c r="A150" s="6"/>
      <c r="B150" s="6"/>
      <c r="C150" s="6"/>
      <c r="D150" s="6"/>
      <c r="E150" s="6"/>
      <c r="F150" s="6">
        <v>1922.62</v>
      </c>
      <c r="W150" s="50"/>
      <c r="X150" s="50"/>
    </row>
    <row r="151" spans="1:24" ht="15.75" customHeight="1">
      <c r="A151" s="6"/>
      <c r="B151" s="6"/>
      <c r="C151" s="6"/>
      <c r="D151" s="6"/>
      <c r="E151" s="6"/>
      <c r="F151" s="6">
        <v>2850.91</v>
      </c>
      <c r="W151" s="50"/>
      <c r="X151" s="50"/>
    </row>
    <row r="152" spans="1:24" ht="15.75" customHeight="1">
      <c r="A152" s="6"/>
      <c r="B152" s="6"/>
      <c r="C152" s="6"/>
      <c r="D152" s="6"/>
      <c r="E152" s="6"/>
      <c r="F152" s="6">
        <v>4135</v>
      </c>
      <c r="W152" s="50"/>
      <c r="X152" s="50"/>
    </row>
    <row r="153" spans="1:24" ht="15.75" customHeight="1">
      <c r="A153" s="6"/>
      <c r="B153" s="6"/>
      <c r="C153" s="6"/>
      <c r="D153" s="6"/>
      <c r="E153" s="6"/>
      <c r="F153" s="6">
        <v>18.18</v>
      </c>
      <c r="W153" s="50"/>
      <c r="X153" s="50"/>
    </row>
    <row r="154" spans="1:24" ht="15.75" customHeight="1">
      <c r="A154" s="6"/>
      <c r="B154" s="6"/>
      <c r="C154" s="6"/>
      <c r="D154" s="6"/>
      <c r="E154" s="6"/>
      <c r="F154" s="6">
        <v>330.35</v>
      </c>
      <c r="W154" s="50"/>
      <c r="X154" s="50"/>
    </row>
    <row r="155" spans="1:24" ht="15.75" customHeight="1">
      <c r="A155" s="6"/>
      <c r="B155" s="6"/>
      <c r="C155" s="6"/>
      <c r="D155" s="6"/>
      <c r="E155" s="6"/>
      <c r="F155" s="6">
        <v>3748.65</v>
      </c>
      <c r="W155" s="50"/>
      <c r="X155" s="50"/>
    </row>
    <row r="156" spans="1:24" ht="15.75" customHeight="1">
      <c r="A156" s="6"/>
      <c r="B156" s="6"/>
      <c r="C156" s="6"/>
      <c r="D156" s="6"/>
      <c r="E156" s="6"/>
      <c r="F156" s="6">
        <v>125.34</v>
      </c>
      <c r="W156" s="50"/>
      <c r="X156" s="50"/>
    </row>
    <row r="157" spans="1:24" ht="15.75" customHeight="1">
      <c r="A157" s="6"/>
      <c r="B157" s="6"/>
      <c r="C157" s="6"/>
      <c r="D157" s="6"/>
      <c r="E157" s="6"/>
      <c r="F157" s="6">
        <v>273.27999999999997</v>
      </c>
      <c r="W157" s="50"/>
      <c r="X157" s="50"/>
    </row>
    <row r="158" spans="1:24" ht="15.75" customHeight="1">
      <c r="A158" s="6"/>
      <c r="B158" s="6"/>
      <c r="C158" s="6"/>
      <c r="D158" s="6"/>
      <c r="E158" s="6"/>
      <c r="F158" s="6">
        <v>480.28</v>
      </c>
      <c r="W158" s="50"/>
      <c r="X158" s="50"/>
    </row>
    <row r="159" spans="1:24" ht="15.75" customHeight="1">
      <c r="A159" s="6"/>
      <c r="B159" s="6"/>
      <c r="C159" s="6"/>
      <c r="D159" s="6"/>
      <c r="E159" s="6"/>
      <c r="F159" s="6">
        <v>583.4</v>
      </c>
      <c r="W159" s="50"/>
      <c r="X159" s="50"/>
    </row>
    <row r="160" spans="1:24" ht="15.75" customHeight="1">
      <c r="A160" s="6"/>
      <c r="B160" s="6"/>
      <c r="C160" s="6"/>
      <c r="D160" s="6"/>
      <c r="E160" s="6"/>
      <c r="F160" s="6">
        <v>719.59</v>
      </c>
      <c r="W160" s="50"/>
      <c r="X160" s="50"/>
    </row>
    <row r="161" spans="1:24" ht="15.75" customHeight="1">
      <c r="A161" s="6"/>
      <c r="B161" s="6"/>
      <c r="C161" s="6"/>
      <c r="D161" s="6"/>
      <c r="E161" s="6"/>
      <c r="F161" s="6">
        <v>681.82</v>
      </c>
      <c r="W161" s="50"/>
      <c r="X161" s="50"/>
    </row>
    <row r="162" spans="1:24" ht="15.75" customHeight="1">
      <c r="A162" s="6"/>
      <c r="B162" s="6"/>
      <c r="C162" s="6"/>
      <c r="D162" s="6"/>
      <c r="E162" s="6"/>
      <c r="F162" s="6">
        <v>6662.28</v>
      </c>
      <c r="W162" s="50"/>
      <c r="X162" s="50"/>
    </row>
    <row r="163" spans="1:24" ht="15.75" customHeight="1">
      <c r="A163" s="6"/>
      <c r="B163" s="6"/>
      <c r="C163" s="6"/>
      <c r="D163" s="6"/>
      <c r="E163" s="6"/>
      <c r="F163" s="6">
        <v>13693.92</v>
      </c>
      <c r="W163" s="50"/>
      <c r="X163" s="50"/>
    </row>
    <row r="164" spans="1:24" ht="15.75" customHeight="1">
      <c r="A164" s="6"/>
      <c r="B164" s="6"/>
      <c r="C164" s="6"/>
      <c r="D164" s="6"/>
      <c r="E164" s="6"/>
      <c r="F164" s="6">
        <v>4223.95</v>
      </c>
      <c r="W164" s="50"/>
      <c r="X164" s="50"/>
    </row>
    <row r="165" spans="1:24" ht="15.75" customHeight="1">
      <c r="A165" s="6"/>
      <c r="B165" s="6"/>
      <c r="C165" s="6"/>
      <c r="D165" s="6"/>
      <c r="E165" s="6"/>
      <c r="F165" s="6">
        <v>17879.099999999999</v>
      </c>
      <c r="W165" s="50"/>
      <c r="X165" s="50"/>
    </row>
    <row r="166" spans="1:24" ht="15.75" customHeight="1">
      <c r="A166" s="6"/>
      <c r="B166" s="6"/>
      <c r="C166" s="6"/>
      <c r="D166" s="6"/>
      <c r="E166" s="6"/>
      <c r="F166" s="6">
        <v>1889.82</v>
      </c>
      <c r="W166" s="50"/>
      <c r="X166" s="50"/>
    </row>
    <row r="167" spans="1:24" ht="15.75" customHeight="1">
      <c r="A167" s="6"/>
      <c r="B167" s="6"/>
      <c r="C167" s="6"/>
      <c r="D167" s="6"/>
      <c r="E167" s="6"/>
      <c r="F167" s="6">
        <v>549.12</v>
      </c>
      <c r="W167" s="50"/>
      <c r="X167" s="50"/>
    </row>
    <row r="168" spans="1:24" ht="15.75" customHeight="1">
      <c r="A168" s="6"/>
      <c r="B168" s="6"/>
      <c r="C168" s="6"/>
      <c r="D168" s="6"/>
      <c r="E168" s="6"/>
      <c r="F168" s="6">
        <v>18485.849999999999</v>
      </c>
      <c r="W168" s="50"/>
      <c r="X168" s="50"/>
    </row>
    <row r="169" spans="1:24" ht="15.75" customHeight="1">
      <c r="A169" s="6"/>
      <c r="B169" s="6"/>
      <c r="C169" s="6"/>
      <c r="D169" s="6"/>
      <c r="E169" s="6"/>
      <c r="F169" s="6">
        <v>2918.5</v>
      </c>
      <c r="W169" s="50"/>
      <c r="X169" s="50"/>
    </row>
    <row r="170" spans="1:24" ht="15.75" customHeight="1">
      <c r="A170" s="6"/>
      <c r="B170" s="6"/>
      <c r="C170" s="6"/>
      <c r="D170" s="6"/>
      <c r="E170" s="6"/>
      <c r="F170" s="6">
        <v>4032.9</v>
      </c>
      <c r="W170" s="50"/>
      <c r="X170" s="50"/>
    </row>
    <row r="171" spans="1:24" ht="15.75" customHeight="1">
      <c r="A171" s="6"/>
      <c r="B171" s="6"/>
      <c r="C171" s="6"/>
      <c r="D171" s="6"/>
      <c r="E171" s="6"/>
      <c r="F171" s="6">
        <v>1485</v>
      </c>
      <c r="W171" s="50"/>
      <c r="X171" s="50"/>
    </row>
    <row r="172" spans="1:24" ht="15.75" customHeight="1">
      <c r="A172" s="6"/>
      <c r="B172" s="6"/>
      <c r="C172" s="6"/>
      <c r="D172" s="6"/>
      <c r="E172" s="6"/>
      <c r="F172" s="6">
        <v>1080</v>
      </c>
      <c r="W172" s="50"/>
      <c r="X172" s="50"/>
    </row>
    <row r="173" spans="1:24" ht="15.75" customHeight="1">
      <c r="A173" s="6"/>
      <c r="B173" s="6"/>
      <c r="C173" s="6"/>
      <c r="D173" s="6"/>
      <c r="E173" s="6"/>
      <c r="F173" s="6">
        <v>336</v>
      </c>
      <c r="W173" s="50"/>
      <c r="X173" s="50"/>
    </row>
    <row r="174" spans="1:24" ht="15.75" customHeight="1">
      <c r="A174" s="6"/>
      <c r="B174" s="6"/>
      <c r="C174" s="6"/>
      <c r="D174" s="6"/>
      <c r="E174" s="6"/>
      <c r="F174" s="6">
        <v>120</v>
      </c>
      <c r="W174" s="50"/>
      <c r="X174" s="50"/>
    </row>
    <row r="175" spans="1:24" ht="15.75" customHeight="1">
      <c r="A175" s="6"/>
      <c r="B175" s="6"/>
      <c r="C175" s="6"/>
      <c r="D175" s="6"/>
      <c r="E175" s="6"/>
      <c r="F175" s="6">
        <v>1692.4</v>
      </c>
      <c r="W175" s="50"/>
      <c r="X175" s="50"/>
    </row>
    <row r="176" spans="1:24" ht="15.75" customHeight="1">
      <c r="A176" s="6"/>
      <c r="B176" s="6"/>
      <c r="C176" s="6"/>
      <c r="D176" s="6"/>
      <c r="E176" s="6"/>
      <c r="F176" s="6">
        <v>1284.8699999999999</v>
      </c>
      <c r="W176" s="50"/>
      <c r="X176" s="50"/>
    </row>
    <row r="177" spans="1:24" ht="15.75" customHeight="1">
      <c r="A177" s="6"/>
      <c r="B177" s="6"/>
      <c r="C177" s="6"/>
      <c r="D177" s="6"/>
      <c r="E177" s="6"/>
      <c r="F177" s="6">
        <v>23250</v>
      </c>
      <c r="W177" s="50"/>
      <c r="X177" s="50"/>
    </row>
    <row r="178" spans="1:24" ht="15.75" customHeight="1">
      <c r="A178" s="6"/>
      <c r="B178" s="6"/>
      <c r="C178" s="6"/>
      <c r="D178" s="6"/>
      <c r="E178" s="6"/>
      <c r="F178" s="6">
        <v>94.85</v>
      </c>
      <c r="W178" s="50"/>
      <c r="X178" s="50"/>
    </row>
    <row r="179" spans="1:24" ht="15.75" customHeight="1">
      <c r="A179" s="6"/>
      <c r="B179" s="6"/>
      <c r="C179" s="6"/>
      <c r="D179" s="6"/>
      <c r="E179" s="6"/>
      <c r="F179" s="6">
        <v>16355.79</v>
      </c>
      <c r="W179" s="50"/>
      <c r="X179" s="50"/>
    </row>
    <row r="180" spans="1:24" ht="15.75" customHeight="1">
      <c r="A180" s="6"/>
      <c r="B180" s="6"/>
      <c r="C180" s="6"/>
      <c r="D180" s="6"/>
      <c r="E180" s="6"/>
      <c r="F180" s="6">
        <v>580.28</v>
      </c>
      <c r="W180" s="50"/>
      <c r="X180" s="50"/>
    </row>
    <row r="181" spans="1:24" ht="15.75" customHeight="1">
      <c r="A181" s="6"/>
      <c r="B181" s="6"/>
      <c r="C181" s="6"/>
      <c r="D181" s="6"/>
      <c r="E181" s="6"/>
      <c r="F181" s="6">
        <v>13336.98</v>
      </c>
      <c r="W181" s="50"/>
      <c r="X181" s="50"/>
    </row>
    <row r="182" spans="1:24" ht="15.75" customHeight="1">
      <c r="A182" s="6"/>
      <c r="B182" s="6"/>
      <c r="C182" s="6"/>
      <c r="D182" s="6"/>
      <c r="E182" s="6"/>
      <c r="F182" s="6">
        <v>7444.61</v>
      </c>
      <c r="W182" s="50"/>
      <c r="X182" s="50"/>
    </row>
    <row r="183" spans="1:24" ht="15.75" customHeight="1">
      <c r="A183" s="6"/>
      <c r="B183" s="6"/>
      <c r="C183" s="6"/>
      <c r="D183" s="6"/>
      <c r="E183" s="6"/>
      <c r="F183" s="6">
        <v>315.56</v>
      </c>
      <c r="W183" s="50"/>
      <c r="X183" s="50"/>
    </row>
    <row r="184" spans="1:24" ht="15.75" customHeight="1">
      <c r="A184" s="6"/>
      <c r="B184" s="6"/>
      <c r="C184" s="6"/>
      <c r="D184" s="6"/>
      <c r="E184" s="6"/>
      <c r="F184" s="6">
        <v>13399</v>
      </c>
      <c r="W184" s="50"/>
      <c r="X184" s="50"/>
    </row>
    <row r="185" spans="1:24" ht="15.75" customHeight="1">
      <c r="A185" s="6"/>
      <c r="B185" s="6"/>
      <c r="C185" s="6"/>
      <c r="D185" s="6"/>
      <c r="E185" s="6"/>
      <c r="F185" s="6">
        <v>730</v>
      </c>
      <c r="W185" s="50"/>
      <c r="X185" s="50"/>
    </row>
    <row r="186" spans="1:24" ht="15.75" customHeight="1">
      <c r="A186" s="6"/>
      <c r="B186" s="6"/>
      <c r="C186" s="6"/>
      <c r="D186" s="6"/>
      <c r="E186" s="6"/>
      <c r="F186" s="6">
        <v>396.26</v>
      </c>
      <c r="W186" s="50"/>
      <c r="X186" s="50"/>
    </row>
    <row r="187" spans="1:24" ht="15.75" customHeight="1">
      <c r="A187" s="6"/>
      <c r="B187" s="6"/>
      <c r="C187" s="6"/>
      <c r="D187" s="6"/>
      <c r="E187" s="6"/>
      <c r="F187" s="6">
        <v>8561</v>
      </c>
      <c r="W187" s="50"/>
      <c r="X187" s="50"/>
    </row>
    <row r="188" spans="1:24" ht="15.75" customHeight="1">
      <c r="A188" s="6"/>
      <c r="B188" s="6"/>
      <c r="C188" s="6"/>
      <c r="D188" s="6"/>
      <c r="E188" s="6"/>
      <c r="F188" s="6">
        <v>528</v>
      </c>
      <c r="W188" s="50"/>
      <c r="X188" s="50"/>
    </row>
    <row r="189" spans="1:24" ht="15.75" customHeight="1">
      <c r="A189" s="6"/>
      <c r="B189" s="6"/>
      <c r="C189" s="6"/>
      <c r="D189" s="6"/>
      <c r="E189" s="6"/>
      <c r="F189" s="6">
        <v>869.33</v>
      </c>
      <c r="W189" s="50"/>
      <c r="X189" s="50"/>
    </row>
    <row r="190" spans="1:24" ht="15.75" customHeight="1">
      <c r="A190" s="6"/>
      <c r="B190" s="6"/>
      <c r="C190" s="6"/>
      <c r="D190" s="6"/>
      <c r="E190" s="6"/>
      <c r="F190" s="6">
        <v>374.44</v>
      </c>
      <c r="W190" s="50"/>
      <c r="X190" s="50"/>
    </row>
    <row r="191" spans="1:24" ht="15.75" customHeight="1">
      <c r="A191" s="6"/>
      <c r="B191" s="6"/>
      <c r="C191" s="6"/>
      <c r="D191" s="6"/>
      <c r="E191" s="6"/>
      <c r="F191" s="6">
        <v>25</v>
      </c>
      <c r="W191" s="50"/>
      <c r="X191" s="50"/>
    </row>
    <row r="192" spans="1:24" ht="15.75" customHeight="1">
      <c r="A192" s="6"/>
      <c r="B192" s="6"/>
      <c r="C192" s="6"/>
      <c r="D192" s="6"/>
      <c r="E192" s="6"/>
      <c r="F192" s="6">
        <v>2812</v>
      </c>
      <c r="W192" s="50"/>
      <c r="X192" s="50"/>
    </row>
    <row r="193" spans="1:24" ht="15.75" customHeight="1">
      <c r="A193" s="6"/>
      <c r="B193" s="6"/>
      <c r="C193" s="6"/>
      <c r="D193" s="6"/>
      <c r="E193" s="6"/>
      <c r="F193" s="6">
        <v>18</v>
      </c>
      <c r="W193" s="50"/>
      <c r="X193" s="50"/>
    </row>
    <row r="194" spans="1:24" ht="15.75" customHeight="1">
      <c r="A194" s="6"/>
      <c r="B194" s="6"/>
      <c r="C194" s="6"/>
      <c r="D194" s="6"/>
      <c r="E194" s="6"/>
      <c r="F194" s="6">
        <v>6479.23</v>
      </c>
      <c r="W194" s="50"/>
      <c r="X194" s="50"/>
    </row>
    <row r="195" spans="1:24" ht="15.75" customHeight="1">
      <c r="A195" s="6"/>
      <c r="B195" s="6"/>
      <c r="C195" s="6"/>
      <c r="D195" s="6"/>
      <c r="E195" s="6"/>
      <c r="F195" s="6">
        <v>867.19</v>
      </c>
      <c r="W195" s="50"/>
      <c r="X195" s="50"/>
    </row>
    <row r="196" spans="1:24" ht="15.75" customHeight="1">
      <c r="A196" s="6"/>
      <c r="B196" s="6"/>
      <c r="C196" s="6"/>
      <c r="D196" s="6"/>
      <c r="E196" s="6"/>
      <c r="F196" s="6">
        <v>548.5</v>
      </c>
      <c r="W196" s="50"/>
      <c r="X196" s="50"/>
    </row>
    <row r="197" spans="1:24" ht="15.75" customHeight="1">
      <c r="A197" s="6"/>
      <c r="B197" s="6"/>
      <c r="C197" s="6"/>
      <c r="D197" s="6"/>
      <c r="E197" s="6"/>
      <c r="F197" s="6">
        <v>1159.07</v>
      </c>
      <c r="W197" s="50"/>
      <c r="X197" s="50"/>
    </row>
    <row r="198" spans="1:24" ht="15.75" customHeight="1">
      <c r="A198" s="6"/>
      <c r="B198" s="6"/>
      <c r="C198" s="6"/>
      <c r="D198" s="6"/>
      <c r="E198" s="6"/>
      <c r="F198" s="6">
        <v>5747.88</v>
      </c>
      <c r="W198" s="50"/>
      <c r="X198" s="50"/>
    </row>
    <row r="199" spans="1:24" ht="15.75" customHeight="1">
      <c r="A199" s="6"/>
      <c r="B199" s="6"/>
      <c r="C199" s="6"/>
      <c r="D199" s="6"/>
      <c r="E199" s="6"/>
      <c r="F199" s="6">
        <v>105</v>
      </c>
      <c r="W199" s="50"/>
      <c r="X199" s="50"/>
    </row>
    <row r="200" spans="1:24" ht="15.75" customHeight="1">
      <c r="A200" s="6"/>
      <c r="B200" s="6"/>
      <c r="C200" s="6"/>
      <c r="D200" s="6"/>
      <c r="E200" s="6"/>
      <c r="F200" s="6">
        <v>1218.8499999999999</v>
      </c>
      <c r="W200" s="50"/>
      <c r="X200" s="50"/>
    </row>
    <row r="201" spans="1:24" ht="15.75" customHeight="1">
      <c r="A201" s="6"/>
      <c r="B201" s="6"/>
      <c r="C201" s="6"/>
      <c r="D201" s="6"/>
      <c r="E201" s="6"/>
      <c r="F201" s="6">
        <v>2124.1999999999998</v>
      </c>
      <c r="W201" s="50"/>
      <c r="X201" s="50"/>
    </row>
    <row r="202" spans="1:24" ht="15.75" customHeight="1">
      <c r="A202" s="6"/>
      <c r="B202" s="6"/>
      <c r="C202" s="6"/>
      <c r="D202" s="6"/>
      <c r="E202" s="6"/>
      <c r="F202" s="6">
        <v>1814.49</v>
      </c>
      <c r="W202" s="50"/>
      <c r="X202" s="50"/>
    </row>
    <row r="203" spans="1:24" ht="15.75" customHeight="1">
      <c r="A203" s="6"/>
      <c r="B203" s="6"/>
      <c r="C203" s="6"/>
      <c r="D203" s="6"/>
      <c r="E203" s="6"/>
      <c r="F203" s="6">
        <v>17483.16</v>
      </c>
      <c r="W203" s="50"/>
      <c r="X203" s="50"/>
    </row>
    <row r="204" spans="1:24" ht="15.75" customHeight="1">
      <c r="A204" s="6"/>
      <c r="B204" s="6"/>
      <c r="C204" s="6"/>
      <c r="D204" s="6"/>
      <c r="E204" s="6"/>
      <c r="F204" s="6">
        <v>1387.08</v>
      </c>
      <c r="W204" s="50"/>
      <c r="X204" s="50"/>
    </row>
    <row r="205" spans="1:24" ht="15.75" customHeight="1">
      <c r="A205" s="6"/>
      <c r="B205" s="6"/>
      <c r="C205" s="6"/>
      <c r="D205" s="6"/>
      <c r="E205" s="6"/>
      <c r="F205" s="6">
        <v>311.88</v>
      </c>
      <c r="W205" s="50"/>
      <c r="X205" s="50"/>
    </row>
    <row r="206" spans="1:24" ht="15.75" customHeight="1">
      <c r="A206" s="6"/>
      <c r="B206" s="6"/>
      <c r="C206" s="6"/>
      <c r="D206" s="6"/>
      <c r="E206" s="6"/>
      <c r="F206" s="6">
        <v>72</v>
      </c>
      <c r="W206" s="50"/>
      <c r="X206" s="50"/>
    </row>
    <row r="207" spans="1:24" ht="15.75" customHeight="1">
      <c r="A207" s="6"/>
      <c r="B207" s="6"/>
      <c r="C207" s="6"/>
      <c r="D207" s="6"/>
      <c r="E207" s="6"/>
      <c r="F207" s="6">
        <v>5728</v>
      </c>
      <c r="W207" s="50"/>
      <c r="X207" s="50"/>
    </row>
    <row r="208" spans="1:24" ht="15.75" customHeight="1">
      <c r="A208" s="6"/>
      <c r="B208" s="6"/>
      <c r="C208" s="6"/>
      <c r="D208" s="6"/>
      <c r="E208" s="6"/>
      <c r="F208" s="6">
        <v>5414.9</v>
      </c>
      <c r="W208" s="50"/>
      <c r="X208" s="50"/>
    </row>
    <row r="209" spans="1:24" ht="15.75" customHeight="1">
      <c r="A209" s="6"/>
      <c r="B209" s="6"/>
      <c r="C209" s="6"/>
      <c r="D209" s="6"/>
      <c r="E209" s="6"/>
      <c r="F209" s="6">
        <v>580</v>
      </c>
      <c r="W209" s="50"/>
      <c r="X209" s="50"/>
    </row>
    <row r="210" spans="1:24" ht="15.75" customHeight="1">
      <c r="A210" s="6"/>
      <c r="B210" s="6"/>
      <c r="C210" s="6"/>
      <c r="D210" s="6"/>
      <c r="E210" s="6"/>
      <c r="F210" s="6">
        <v>2630</v>
      </c>
      <c r="W210" s="50"/>
      <c r="X210" s="50"/>
    </row>
    <row r="211" spans="1:24" ht="15.75" customHeight="1">
      <c r="A211" s="6"/>
      <c r="B211" s="6"/>
      <c r="C211" s="6"/>
      <c r="D211" s="6"/>
      <c r="E211" s="6"/>
      <c r="F211" s="6">
        <v>909.62</v>
      </c>
      <c r="W211" s="50"/>
      <c r="X211" s="50"/>
    </row>
    <row r="212" spans="1:24" ht="15.75" customHeight="1">
      <c r="A212" s="6"/>
      <c r="B212" s="6"/>
      <c r="C212" s="6"/>
      <c r="D212" s="6"/>
      <c r="E212" s="6"/>
      <c r="F212" s="6">
        <v>6386.29</v>
      </c>
      <c r="W212" s="50"/>
      <c r="X212" s="50"/>
    </row>
    <row r="213" spans="1:24" ht="15.75" customHeight="1">
      <c r="A213" s="6"/>
      <c r="B213" s="6"/>
      <c r="C213" s="6"/>
      <c r="D213" s="6"/>
      <c r="E213" s="6"/>
      <c r="F213" s="6">
        <v>2561.39</v>
      </c>
      <c r="W213" s="50"/>
      <c r="X213" s="50"/>
    </row>
    <row r="214" spans="1:24" ht="15.75" customHeight="1">
      <c r="A214" s="6"/>
      <c r="B214" s="6"/>
      <c r="C214" s="6"/>
      <c r="D214" s="6"/>
      <c r="E214" s="6"/>
      <c r="F214" s="6">
        <v>73561.89</v>
      </c>
      <c r="W214" s="50"/>
      <c r="X214" s="50"/>
    </row>
    <row r="215" spans="1:24" ht="15.75" customHeight="1">
      <c r="A215" s="6"/>
      <c r="B215" s="6"/>
      <c r="C215" s="6"/>
      <c r="D215" s="6"/>
      <c r="E215" s="6"/>
      <c r="F215" s="6">
        <v>4675</v>
      </c>
      <c r="W215" s="50"/>
      <c r="X215" s="50"/>
    </row>
    <row r="216" spans="1:24" ht="15.75" customHeight="1">
      <c r="A216" s="6"/>
      <c r="B216" s="6"/>
      <c r="C216" s="6"/>
      <c r="D216" s="6"/>
      <c r="E216" s="6"/>
      <c r="F216" s="6">
        <v>72.239999999999995</v>
      </c>
      <c r="W216" s="50"/>
      <c r="X216" s="50"/>
    </row>
    <row r="217" spans="1:24" ht="15.75" customHeight="1">
      <c r="A217" s="6"/>
      <c r="B217" s="6"/>
      <c r="C217" s="6"/>
      <c r="D217" s="6"/>
      <c r="E217" s="6"/>
      <c r="F217" s="6">
        <v>176</v>
      </c>
      <c r="W217" s="50"/>
      <c r="X217" s="50"/>
    </row>
    <row r="218" spans="1:24" ht="15.75" customHeight="1">
      <c r="A218" s="6"/>
      <c r="B218" s="6"/>
      <c r="C218" s="6"/>
      <c r="D218" s="6"/>
      <c r="E218" s="6"/>
      <c r="F218" s="6">
        <v>729</v>
      </c>
      <c r="W218" s="50"/>
      <c r="X218" s="50"/>
    </row>
    <row r="219" spans="1:24" ht="15.75" customHeight="1">
      <c r="A219" s="6"/>
      <c r="B219" s="6"/>
      <c r="C219" s="6"/>
      <c r="D219" s="6"/>
      <c r="E219" s="6"/>
      <c r="F219" s="6">
        <v>2200</v>
      </c>
      <c r="W219" s="50"/>
      <c r="X219" s="50"/>
    </row>
    <row r="220" spans="1:24" ht="15.75" customHeight="1">
      <c r="A220" s="6"/>
      <c r="B220" s="6"/>
      <c r="C220" s="6"/>
      <c r="D220" s="6"/>
      <c r="E220" s="6"/>
      <c r="F220" s="6">
        <v>20360</v>
      </c>
      <c r="W220" s="50"/>
      <c r="X220" s="50"/>
    </row>
    <row r="221" spans="1:24" ht="15.75" customHeight="1">
      <c r="A221" s="6"/>
      <c r="B221" s="6"/>
      <c r="C221" s="6"/>
      <c r="D221" s="6"/>
      <c r="E221" s="6"/>
      <c r="F221" s="6">
        <v>1773</v>
      </c>
      <c r="W221" s="50"/>
      <c r="X221" s="50"/>
    </row>
    <row r="222" spans="1:24" ht="15.75" customHeight="1">
      <c r="A222" s="6"/>
      <c r="B222" s="6"/>
      <c r="C222" s="6"/>
      <c r="D222" s="6"/>
      <c r="E222" s="6"/>
      <c r="F222" s="6">
        <v>39607</v>
      </c>
      <c r="W222" s="50"/>
      <c r="X222" s="50"/>
    </row>
    <row r="223" spans="1:24" ht="15.75" customHeight="1">
      <c r="A223" s="6"/>
      <c r="B223" s="6"/>
      <c r="C223" s="6"/>
      <c r="D223" s="6"/>
      <c r="E223" s="6"/>
      <c r="F223" s="6">
        <v>654.91</v>
      </c>
      <c r="W223" s="50"/>
      <c r="X223" s="50"/>
    </row>
    <row r="224" spans="1:24" ht="15.75" customHeight="1">
      <c r="A224" s="6"/>
      <c r="B224" s="6"/>
      <c r="C224" s="6"/>
      <c r="D224" s="6"/>
      <c r="E224" s="6"/>
      <c r="F224" s="6">
        <v>619.57000000000005</v>
      </c>
      <c r="W224" s="50"/>
      <c r="X224" s="50"/>
    </row>
    <row r="225" spans="1:24" ht="15.75" customHeight="1">
      <c r="A225" s="6"/>
      <c r="B225" s="6"/>
      <c r="C225" s="6"/>
      <c r="D225" s="6"/>
      <c r="E225" s="6"/>
      <c r="F225" s="6">
        <v>3364.52</v>
      </c>
      <c r="W225" s="50"/>
      <c r="X225" s="50"/>
    </row>
    <row r="226" spans="1:24" ht="15.75" customHeight="1">
      <c r="A226" s="6"/>
      <c r="B226" s="6"/>
      <c r="C226" s="6"/>
      <c r="D226" s="6"/>
      <c r="E226" s="6"/>
      <c r="F226" s="6">
        <v>1666.15</v>
      </c>
      <c r="W226" s="50"/>
      <c r="X226" s="50"/>
    </row>
    <row r="227" spans="1:24" ht="15.75" customHeight="1">
      <c r="A227" s="6"/>
      <c r="B227" s="6"/>
      <c r="C227" s="6"/>
      <c r="D227" s="6"/>
      <c r="E227" s="6"/>
      <c r="F227" s="6">
        <v>19790.169999999998</v>
      </c>
      <c r="W227" s="50"/>
      <c r="X227" s="50"/>
    </row>
    <row r="228" spans="1:24" ht="15.75" customHeight="1">
      <c r="A228" s="6"/>
      <c r="B228" s="6"/>
      <c r="C228" s="6"/>
      <c r="D228" s="6"/>
      <c r="E228" s="6"/>
      <c r="F228" s="6">
        <v>303.04000000000002</v>
      </c>
      <c r="W228" s="50"/>
      <c r="X228" s="50"/>
    </row>
    <row r="229" spans="1:24" ht="15.75" customHeight="1">
      <c r="A229" s="6"/>
      <c r="B229" s="6"/>
      <c r="C229" s="6"/>
      <c r="D229" s="6"/>
      <c r="E229" s="6"/>
      <c r="F229" s="6">
        <v>1835.45</v>
      </c>
      <c r="W229" s="50"/>
      <c r="X229" s="50"/>
    </row>
    <row r="230" spans="1:24" ht="15.75" customHeight="1">
      <c r="A230" s="6"/>
      <c r="B230" s="6"/>
      <c r="C230" s="6"/>
      <c r="D230" s="6"/>
      <c r="E230" s="6"/>
      <c r="F230" s="6">
        <v>1189.6400000000001</v>
      </c>
      <c r="W230" s="50"/>
      <c r="X230" s="50"/>
    </row>
    <row r="231" spans="1:24" ht="15.75" customHeight="1">
      <c r="A231" s="6"/>
      <c r="B231" s="6"/>
      <c r="C231" s="6"/>
      <c r="D231" s="6"/>
      <c r="E231" s="6"/>
      <c r="F231" s="6">
        <v>1465.96</v>
      </c>
      <c r="W231" s="50"/>
      <c r="X231" s="50"/>
    </row>
    <row r="232" spans="1:24" ht="15.75" customHeight="1">
      <c r="A232" s="6"/>
      <c r="B232" s="6"/>
      <c r="C232" s="6"/>
      <c r="D232" s="6"/>
      <c r="E232" s="6"/>
      <c r="F232" s="6">
        <v>331.6</v>
      </c>
      <c r="W232" s="50"/>
      <c r="X232" s="50"/>
    </row>
    <row r="233" spans="1:24" ht="15.75" customHeight="1">
      <c r="A233" s="6"/>
      <c r="B233" s="6"/>
      <c r="C233" s="6"/>
      <c r="D233" s="6"/>
      <c r="E233" s="6"/>
      <c r="F233" s="6">
        <v>727.06</v>
      </c>
      <c r="W233" s="50"/>
      <c r="X233" s="50"/>
    </row>
    <row r="234" spans="1:24" ht="15.75" customHeight="1">
      <c r="A234" s="6"/>
      <c r="B234" s="6"/>
      <c r="C234" s="6"/>
      <c r="D234" s="6"/>
      <c r="E234" s="6"/>
      <c r="F234" s="6">
        <v>46</v>
      </c>
      <c r="W234" s="50"/>
      <c r="X234" s="50"/>
    </row>
    <row r="235" spans="1:24" ht="15.75" customHeight="1">
      <c r="A235" s="6"/>
      <c r="B235" s="6"/>
      <c r="C235" s="6"/>
      <c r="D235" s="6"/>
      <c r="E235" s="6"/>
      <c r="F235" s="6">
        <v>44</v>
      </c>
      <c r="W235" s="50"/>
      <c r="X235" s="50"/>
    </row>
    <row r="236" spans="1:24" ht="15.75" customHeight="1">
      <c r="A236" s="6"/>
      <c r="B236" s="6"/>
      <c r="C236" s="6"/>
      <c r="D236" s="6"/>
      <c r="E236" s="6"/>
      <c r="F236" s="6">
        <v>44</v>
      </c>
      <c r="W236" s="50"/>
      <c r="X236" s="50"/>
    </row>
    <row r="237" spans="1:24" ht="15.75" customHeight="1">
      <c r="A237" s="6"/>
      <c r="B237" s="6"/>
      <c r="C237" s="6"/>
      <c r="D237" s="6"/>
      <c r="E237" s="6"/>
      <c r="F237" s="6">
        <v>1602.34</v>
      </c>
      <c r="W237" s="50"/>
      <c r="X237" s="50"/>
    </row>
    <row r="238" spans="1:24" ht="15.75" customHeight="1">
      <c r="A238" s="6"/>
      <c r="B238" s="6"/>
      <c r="C238" s="6"/>
      <c r="D238" s="6"/>
      <c r="E238" s="6"/>
      <c r="F238" s="6">
        <v>502.84</v>
      </c>
      <c r="W238" s="50"/>
      <c r="X238" s="50"/>
    </row>
    <row r="239" spans="1:24" ht="15.75" customHeight="1">
      <c r="A239" s="6"/>
      <c r="B239" s="6"/>
      <c r="C239" s="6"/>
      <c r="D239" s="6"/>
      <c r="E239" s="6"/>
      <c r="F239" s="6">
        <v>867.18</v>
      </c>
      <c r="W239" s="50"/>
      <c r="X239" s="50"/>
    </row>
    <row r="240" spans="1:24" ht="15.75" customHeight="1">
      <c r="A240" s="6"/>
      <c r="B240" s="6"/>
      <c r="C240" s="6"/>
      <c r="D240" s="6"/>
      <c r="E240" s="6"/>
      <c r="F240" s="6">
        <v>15774</v>
      </c>
      <c r="W240" s="50"/>
      <c r="X240" s="50"/>
    </row>
    <row r="241" spans="1:24" ht="15.75" customHeight="1">
      <c r="A241" s="6"/>
      <c r="B241" s="6"/>
      <c r="C241" s="6"/>
      <c r="D241" s="6"/>
      <c r="E241" s="6"/>
      <c r="F241" s="6">
        <v>2318.21</v>
      </c>
      <c r="W241" s="50"/>
      <c r="X241" s="50"/>
    </row>
    <row r="242" spans="1:24" ht="15.75" customHeight="1">
      <c r="A242" s="6"/>
      <c r="B242" s="6"/>
      <c r="C242" s="6"/>
      <c r="D242" s="6"/>
      <c r="E242" s="6"/>
      <c r="F242" s="6">
        <v>1357.76</v>
      </c>
      <c r="W242" s="50"/>
      <c r="X242" s="50"/>
    </row>
    <row r="243" spans="1:24" ht="15.75" customHeight="1">
      <c r="A243" s="6"/>
      <c r="B243" s="6"/>
      <c r="C243" s="6"/>
      <c r="D243" s="6"/>
      <c r="E243" s="6"/>
      <c r="F243" s="6">
        <v>36613.24</v>
      </c>
      <c r="W243" s="50"/>
      <c r="X243" s="50"/>
    </row>
    <row r="244" spans="1:24" ht="15.75" customHeight="1">
      <c r="A244" s="6"/>
      <c r="B244" s="6"/>
      <c r="C244" s="6"/>
      <c r="D244" s="6"/>
      <c r="E244" s="6"/>
      <c r="F244" s="6">
        <v>25108</v>
      </c>
      <c r="W244" s="50"/>
      <c r="X244" s="50"/>
    </row>
    <row r="245" spans="1:24" ht="15.75" customHeight="1">
      <c r="A245" s="6"/>
      <c r="B245" s="6"/>
      <c r="C245" s="6"/>
      <c r="D245" s="6"/>
      <c r="E245" s="6"/>
      <c r="F245" s="6">
        <v>442.45</v>
      </c>
      <c r="W245" s="50"/>
      <c r="X245" s="50"/>
    </row>
    <row r="246" spans="1:24" ht="15.75" customHeight="1">
      <c r="A246" s="6"/>
      <c r="B246" s="6"/>
      <c r="C246" s="6"/>
      <c r="D246" s="6"/>
      <c r="E246" s="6"/>
      <c r="F246" s="6">
        <v>575.51</v>
      </c>
      <c r="W246" s="50"/>
      <c r="X246" s="50"/>
    </row>
    <row r="247" spans="1:24" ht="15.75" customHeight="1">
      <c r="A247" s="6"/>
      <c r="B247" s="6"/>
      <c r="C247" s="6"/>
      <c r="D247" s="6"/>
      <c r="E247" s="6"/>
      <c r="F247" s="6">
        <v>13183.22</v>
      </c>
      <c r="W247" s="50"/>
      <c r="X247" s="50"/>
    </row>
    <row r="248" spans="1:24" ht="15.75" customHeight="1">
      <c r="A248" s="6"/>
      <c r="B248" s="6"/>
      <c r="C248" s="6"/>
      <c r="D248" s="6"/>
      <c r="E248" s="6"/>
      <c r="F248" s="6">
        <v>962.48</v>
      </c>
      <c r="W248" s="50"/>
      <c r="X248" s="50"/>
    </row>
    <row r="249" spans="1:24" ht="15.75" customHeight="1">
      <c r="A249" s="6"/>
      <c r="B249" s="6"/>
      <c r="C249" s="6"/>
      <c r="D249" s="6"/>
      <c r="E249" s="6"/>
      <c r="F249" s="6">
        <v>1958.38</v>
      </c>
      <c r="W249" s="50"/>
      <c r="X249" s="50"/>
    </row>
    <row r="250" spans="1:24" ht="15.75" customHeight="1">
      <c r="A250" s="6"/>
      <c r="B250" s="6"/>
      <c r="C250" s="6"/>
      <c r="D250" s="6"/>
      <c r="E250" s="6"/>
      <c r="F250" s="6">
        <v>615.28</v>
      </c>
      <c r="W250" s="50"/>
      <c r="X250" s="50"/>
    </row>
    <row r="251" spans="1:24" ht="15.75" customHeight="1">
      <c r="A251" s="6"/>
      <c r="B251" s="6"/>
      <c r="C251" s="6"/>
      <c r="D251" s="6"/>
      <c r="E251" s="6"/>
      <c r="F251" s="6">
        <v>3391.36</v>
      </c>
      <c r="W251" s="50"/>
      <c r="X251" s="50"/>
    </row>
    <row r="252" spans="1:24" ht="15.75" customHeight="1">
      <c r="A252" s="6"/>
      <c r="B252" s="6"/>
      <c r="C252" s="6"/>
      <c r="D252" s="6"/>
      <c r="E252" s="6"/>
      <c r="F252" s="6">
        <v>198.68</v>
      </c>
      <c r="W252" s="50"/>
      <c r="X252" s="50"/>
    </row>
    <row r="253" spans="1:24" ht="15.75" customHeight="1">
      <c r="A253" s="6"/>
      <c r="B253" s="6"/>
      <c r="C253" s="6"/>
      <c r="D253" s="6"/>
      <c r="E253" s="6"/>
      <c r="F253" s="6">
        <v>3717.21</v>
      </c>
      <c r="W253" s="50"/>
      <c r="X253" s="50"/>
    </row>
    <row r="254" spans="1:24" ht="15.75" customHeight="1">
      <c r="A254" s="6"/>
      <c r="B254" s="6"/>
      <c r="C254" s="6"/>
      <c r="D254" s="6"/>
      <c r="E254" s="6"/>
      <c r="F254" s="6">
        <v>311.88</v>
      </c>
      <c r="W254" s="50"/>
      <c r="X254" s="50"/>
    </row>
    <row r="255" spans="1:24" ht="15.75" customHeight="1">
      <c r="A255" s="6"/>
      <c r="B255" s="6"/>
      <c r="C255" s="6"/>
      <c r="D255" s="6"/>
      <c r="E255" s="6"/>
      <c r="F255" s="6">
        <v>854.73</v>
      </c>
      <c r="W255" s="50"/>
      <c r="X255" s="50"/>
    </row>
    <row r="256" spans="1:24" ht="15.75" customHeight="1">
      <c r="A256" s="6"/>
      <c r="B256" s="6"/>
      <c r="C256" s="6"/>
      <c r="D256" s="6"/>
      <c r="E256" s="6"/>
      <c r="F256" s="6">
        <v>250.68</v>
      </c>
      <c r="W256" s="50"/>
      <c r="X256" s="50"/>
    </row>
    <row r="257" spans="1:24" ht="15.75" customHeight="1">
      <c r="A257" s="6"/>
      <c r="B257" s="6"/>
      <c r="C257" s="6"/>
      <c r="D257" s="6"/>
      <c r="E257" s="6"/>
      <c r="F257" s="6">
        <v>290.14</v>
      </c>
      <c r="W257" s="50"/>
      <c r="X257" s="50"/>
    </row>
    <row r="258" spans="1:24" ht="15.75" customHeight="1">
      <c r="A258" s="6"/>
      <c r="B258" s="6"/>
      <c r="C258" s="6"/>
      <c r="D258" s="6"/>
      <c r="E258" s="6"/>
      <c r="F258" s="6">
        <v>250.68</v>
      </c>
      <c r="W258" s="50"/>
      <c r="X258" s="50"/>
    </row>
    <row r="259" spans="1:24" ht="15.75" customHeight="1">
      <c r="A259" s="6"/>
      <c r="B259" s="6"/>
      <c r="C259" s="6"/>
      <c r="D259" s="6"/>
      <c r="E259" s="6"/>
      <c r="F259" s="6">
        <v>290.14</v>
      </c>
      <c r="W259" s="50"/>
      <c r="X259" s="50"/>
    </row>
    <row r="260" spans="1:24" ht="15.75" customHeight="1">
      <c r="A260" s="6"/>
      <c r="B260" s="6"/>
      <c r="C260" s="6"/>
      <c r="D260" s="6"/>
      <c r="E260" s="6"/>
      <c r="F260" s="6">
        <v>2900</v>
      </c>
      <c r="W260" s="50"/>
      <c r="X260" s="50"/>
    </row>
    <row r="261" spans="1:24" ht="15.75" customHeight="1">
      <c r="A261" s="6"/>
      <c r="B261" s="6"/>
      <c r="C261" s="6"/>
      <c r="D261" s="6"/>
      <c r="E261" s="6"/>
      <c r="F261" s="6">
        <v>9010</v>
      </c>
      <c r="W261" s="50"/>
      <c r="X261" s="50"/>
    </row>
    <row r="262" spans="1:24" ht="15.75" customHeight="1">
      <c r="A262" s="6"/>
      <c r="B262" s="6"/>
      <c r="C262" s="6"/>
      <c r="D262" s="6"/>
      <c r="E262" s="6"/>
      <c r="F262" s="6">
        <v>78</v>
      </c>
      <c r="W262" s="50"/>
      <c r="X262" s="50"/>
    </row>
    <row r="263" spans="1:24" ht="15.75" customHeight="1">
      <c r="A263" s="6"/>
      <c r="B263" s="6"/>
      <c r="C263" s="6"/>
      <c r="D263" s="6"/>
      <c r="E263" s="6"/>
      <c r="F263" s="6">
        <v>496.2</v>
      </c>
      <c r="W263" s="50"/>
      <c r="X263" s="50"/>
    </row>
    <row r="264" spans="1:24" ht="15.75" customHeight="1">
      <c r="A264" s="6"/>
      <c r="B264" s="6"/>
      <c r="C264" s="6"/>
      <c r="D264" s="6"/>
      <c r="E264" s="6"/>
      <c r="F264" s="6">
        <v>15273</v>
      </c>
      <c r="W264" s="50"/>
      <c r="X264" s="50"/>
    </row>
    <row r="265" spans="1:24" ht="15.75" customHeight="1">
      <c r="A265" s="6"/>
      <c r="B265" s="6"/>
      <c r="C265" s="6"/>
      <c r="D265" s="6"/>
      <c r="E265" s="6"/>
      <c r="F265" s="6">
        <v>1320</v>
      </c>
      <c r="W265" s="50"/>
      <c r="X265" s="50"/>
    </row>
    <row r="266" spans="1:24" ht="15.75" customHeight="1">
      <c r="A266" s="6"/>
      <c r="B266" s="6"/>
      <c r="C266" s="6"/>
      <c r="D266" s="6"/>
      <c r="E266" s="6"/>
      <c r="F266" s="6">
        <v>1702</v>
      </c>
      <c r="W266" s="50"/>
      <c r="X266" s="50"/>
    </row>
    <row r="267" spans="1:24" ht="15.75" customHeight="1">
      <c r="A267" s="6"/>
      <c r="B267" s="6"/>
      <c r="C267" s="6"/>
      <c r="D267" s="6"/>
      <c r="E267" s="6"/>
      <c r="F267" s="6">
        <v>1642</v>
      </c>
      <c r="W267" s="50"/>
      <c r="X267" s="50"/>
    </row>
    <row r="268" spans="1:24" ht="15.75" customHeight="1">
      <c r="A268" s="6"/>
      <c r="B268" s="6"/>
      <c r="C268" s="6"/>
      <c r="D268" s="6"/>
      <c r="E268" s="6"/>
      <c r="F268" s="6">
        <v>868.91</v>
      </c>
      <c r="W268" s="50"/>
      <c r="X268" s="50"/>
    </row>
    <row r="269" spans="1:24" ht="15.75" customHeight="1">
      <c r="A269" s="6"/>
      <c r="B269" s="6"/>
      <c r="C269" s="6"/>
      <c r="D269" s="6"/>
      <c r="E269" s="6"/>
      <c r="F269" s="6">
        <v>872</v>
      </c>
      <c r="W269" s="50"/>
      <c r="X269" s="50"/>
    </row>
    <row r="270" spans="1:24" ht="15.75" customHeight="1">
      <c r="A270" s="6"/>
      <c r="B270" s="6"/>
      <c r="C270" s="6"/>
      <c r="D270" s="6"/>
      <c r="E270" s="6"/>
      <c r="F270" s="6">
        <v>15155</v>
      </c>
      <c r="W270" s="50"/>
      <c r="X270" s="50"/>
    </row>
    <row r="271" spans="1:24" ht="15.75" customHeight="1">
      <c r="A271" s="6"/>
      <c r="B271" s="6"/>
      <c r="C271" s="6"/>
      <c r="D271" s="6"/>
      <c r="E271" s="6"/>
      <c r="F271" s="6">
        <v>3451.64</v>
      </c>
      <c r="W271" s="50"/>
      <c r="X271" s="50"/>
    </row>
    <row r="272" spans="1:24" ht="15.75" customHeight="1">
      <c r="A272" s="6"/>
      <c r="B272" s="6"/>
      <c r="C272" s="6"/>
      <c r="D272" s="6"/>
      <c r="E272" s="6"/>
      <c r="F272" s="6">
        <v>5715</v>
      </c>
      <c r="W272" s="50"/>
      <c r="X272" s="50"/>
    </row>
    <row r="273" spans="1:24" ht="15.75" customHeight="1">
      <c r="A273" s="6"/>
      <c r="B273" s="6"/>
      <c r="C273" s="6"/>
      <c r="D273" s="6"/>
      <c r="E273" s="6"/>
      <c r="F273" s="6">
        <v>2944.42</v>
      </c>
      <c r="W273" s="50"/>
      <c r="X273" s="50"/>
    </row>
    <row r="274" spans="1:24" ht="15.75" customHeight="1">
      <c r="A274" s="6"/>
      <c r="B274" s="6"/>
      <c r="C274" s="6"/>
      <c r="D274" s="6"/>
      <c r="E274" s="6"/>
      <c r="F274" s="6">
        <v>92.47</v>
      </c>
      <c r="W274" s="50"/>
      <c r="X274" s="50"/>
    </row>
    <row r="275" spans="1:24" ht="15.75" customHeight="1">
      <c r="A275" s="6"/>
      <c r="B275" s="6"/>
      <c r="C275" s="6"/>
      <c r="D275" s="6"/>
      <c r="E275" s="6"/>
      <c r="F275" s="6">
        <v>53.61</v>
      </c>
      <c r="W275" s="50"/>
      <c r="X275" s="50"/>
    </row>
    <row r="276" spans="1:24" ht="15.75" customHeight="1">
      <c r="A276" s="6"/>
      <c r="B276" s="6"/>
      <c r="C276" s="6"/>
      <c r="D276" s="6"/>
      <c r="E276" s="6"/>
      <c r="F276" s="6">
        <v>5702.37</v>
      </c>
      <c r="W276" s="50"/>
      <c r="X276" s="50"/>
    </row>
    <row r="277" spans="1:24" ht="15.75" customHeight="1">
      <c r="A277" s="6"/>
      <c r="B277" s="6"/>
      <c r="C277" s="6"/>
      <c r="D277" s="6"/>
      <c r="E277" s="6"/>
      <c r="F277" s="6">
        <v>5702.49</v>
      </c>
      <c r="W277" s="50"/>
      <c r="X277" s="50"/>
    </row>
    <row r="278" spans="1:24" ht="15.75" customHeight="1">
      <c r="A278" s="6"/>
      <c r="B278" s="6"/>
      <c r="C278" s="6"/>
      <c r="D278" s="6"/>
      <c r="E278" s="6"/>
      <c r="F278" s="6">
        <v>5702.49</v>
      </c>
      <c r="W278" s="50"/>
      <c r="X278" s="50"/>
    </row>
    <row r="279" spans="1:24" ht="15.75" customHeight="1">
      <c r="A279" s="6"/>
      <c r="B279" s="6"/>
      <c r="C279" s="6"/>
      <c r="D279" s="6"/>
      <c r="E279" s="6"/>
      <c r="F279" s="6">
        <v>378.33</v>
      </c>
      <c r="W279" s="50"/>
      <c r="X279" s="50"/>
    </row>
    <row r="280" spans="1:24" ht="15.75" customHeight="1">
      <c r="A280" s="6"/>
      <c r="B280" s="6"/>
      <c r="C280" s="6"/>
      <c r="D280" s="6"/>
      <c r="E280" s="6"/>
      <c r="F280" s="6">
        <v>6927</v>
      </c>
      <c r="W280" s="50"/>
      <c r="X280" s="50"/>
    </row>
    <row r="281" spans="1:24" ht="15.75" customHeight="1">
      <c r="A281" s="6"/>
      <c r="B281" s="6"/>
      <c r="C281" s="6"/>
      <c r="D281" s="6"/>
      <c r="E281" s="6"/>
      <c r="F281" s="6">
        <v>5176.1000000000004</v>
      </c>
      <c r="W281" s="50"/>
      <c r="X281" s="50"/>
    </row>
    <row r="282" spans="1:24" ht="15.75" customHeight="1">
      <c r="A282" s="6"/>
      <c r="B282" s="6"/>
      <c r="C282" s="6"/>
      <c r="D282" s="6"/>
      <c r="E282" s="6"/>
      <c r="F282" s="6">
        <v>416.02</v>
      </c>
      <c r="W282" s="50"/>
      <c r="X282" s="50"/>
    </row>
    <row r="283" spans="1:24" ht="15.75" customHeight="1">
      <c r="A283" s="6"/>
      <c r="B283" s="6"/>
      <c r="C283" s="6"/>
      <c r="D283" s="6"/>
      <c r="E283" s="6"/>
      <c r="F283" s="6">
        <v>494.56</v>
      </c>
      <c r="W283" s="50"/>
      <c r="X283" s="50"/>
    </row>
    <row r="284" spans="1:24" ht="15.75" customHeight="1">
      <c r="A284" s="6"/>
      <c r="B284" s="6"/>
      <c r="C284" s="6"/>
      <c r="D284" s="6"/>
      <c r="E284" s="6"/>
      <c r="F284" s="6">
        <v>2234.64</v>
      </c>
      <c r="W284" s="50"/>
      <c r="X284" s="50"/>
    </row>
    <row r="285" spans="1:24" ht="15.75" customHeight="1">
      <c r="A285" s="6"/>
      <c r="B285" s="6"/>
      <c r="C285" s="6"/>
      <c r="D285" s="6"/>
      <c r="E285" s="6"/>
      <c r="F285" s="6">
        <v>2358</v>
      </c>
      <c r="W285" s="50"/>
      <c r="X285" s="50"/>
    </row>
    <row r="286" spans="1:24" ht="15.75" customHeight="1">
      <c r="A286" s="6"/>
      <c r="B286" s="6"/>
      <c r="C286" s="6"/>
      <c r="D286" s="6"/>
      <c r="E286" s="6"/>
      <c r="F286" s="6">
        <v>580</v>
      </c>
      <c r="W286" s="50"/>
      <c r="X286" s="50"/>
    </row>
    <row r="287" spans="1:24" ht="15.75" customHeight="1">
      <c r="A287" s="6"/>
      <c r="B287" s="6"/>
      <c r="C287" s="6"/>
      <c r="D287" s="6"/>
      <c r="E287" s="6"/>
      <c r="F287" s="6">
        <v>87.55</v>
      </c>
      <c r="W287" s="50"/>
      <c r="X287" s="50"/>
    </row>
    <row r="288" spans="1:24" ht="15.75" customHeight="1">
      <c r="A288" s="6"/>
      <c r="B288" s="6"/>
      <c r="C288" s="6"/>
      <c r="D288" s="6"/>
      <c r="E288" s="6"/>
      <c r="F288" s="6">
        <v>653.41999999999996</v>
      </c>
      <c r="W288" s="50"/>
      <c r="X288" s="50"/>
    </row>
    <row r="289" spans="1:24" ht="15.75" customHeight="1">
      <c r="A289" s="6"/>
      <c r="B289" s="6"/>
      <c r="C289" s="6"/>
      <c r="D289" s="6"/>
      <c r="E289" s="6"/>
      <c r="F289" s="6">
        <v>166.79</v>
      </c>
      <c r="W289" s="50"/>
      <c r="X289" s="50"/>
    </row>
    <row r="290" spans="1:24" ht="15.75" customHeight="1">
      <c r="A290" s="6"/>
      <c r="B290" s="6"/>
      <c r="C290" s="6"/>
      <c r="D290" s="6"/>
      <c r="E290" s="6"/>
      <c r="F290" s="6">
        <v>6345.4</v>
      </c>
      <c r="W290" s="50"/>
      <c r="X290" s="50"/>
    </row>
    <row r="291" spans="1:24" ht="15.75" customHeight="1">
      <c r="A291" s="6"/>
      <c r="B291" s="6"/>
      <c r="C291" s="6"/>
      <c r="D291" s="6"/>
      <c r="E291" s="6"/>
      <c r="F291" s="6">
        <v>872.96</v>
      </c>
      <c r="W291" s="50"/>
      <c r="X291" s="50"/>
    </row>
    <row r="292" spans="1:24" ht="15.75" customHeight="1">
      <c r="A292" s="6"/>
      <c r="B292" s="6"/>
      <c r="C292" s="6"/>
      <c r="D292" s="6"/>
      <c r="E292" s="6"/>
      <c r="F292" s="6">
        <v>128</v>
      </c>
      <c r="W292" s="50"/>
      <c r="X292" s="50"/>
    </row>
    <row r="293" spans="1:24" ht="15.75" customHeight="1">
      <c r="A293" s="6"/>
      <c r="B293" s="6"/>
      <c r="C293" s="6"/>
      <c r="D293" s="6"/>
      <c r="E293" s="6"/>
      <c r="F293" s="6">
        <v>290.14</v>
      </c>
      <c r="W293" s="50"/>
      <c r="X293" s="50"/>
    </row>
    <row r="294" spans="1:24" ht="15.75" customHeight="1">
      <c r="A294" s="6"/>
      <c r="B294" s="6"/>
      <c r="C294" s="6"/>
      <c r="D294" s="6"/>
      <c r="E294" s="6"/>
      <c r="F294" s="6">
        <v>1752.78</v>
      </c>
      <c r="W294" s="50"/>
      <c r="X294" s="50"/>
    </row>
    <row r="295" spans="1:24" ht="15.75" customHeight="1">
      <c r="A295" s="6"/>
      <c r="B295" s="6"/>
      <c r="C295" s="6"/>
      <c r="D295" s="6"/>
      <c r="E295" s="6"/>
      <c r="F295" s="6">
        <v>6927</v>
      </c>
      <c r="W295" s="50"/>
      <c r="X295" s="50"/>
    </row>
    <row r="296" spans="1:24" ht="15.75" customHeight="1">
      <c r="A296" s="6"/>
      <c r="B296" s="6"/>
      <c r="C296" s="6"/>
      <c r="D296" s="6"/>
      <c r="E296" s="6"/>
      <c r="F296" s="6">
        <v>15</v>
      </c>
      <c r="W296" s="50"/>
      <c r="X296" s="50"/>
    </row>
    <row r="297" spans="1:24" ht="15.75" customHeight="1">
      <c r="A297" s="6"/>
      <c r="B297" s="6"/>
      <c r="C297" s="6"/>
      <c r="D297" s="6"/>
      <c r="E297" s="6"/>
      <c r="F297" s="6">
        <v>215</v>
      </c>
      <c r="W297" s="50"/>
      <c r="X297" s="50"/>
    </row>
    <row r="298" spans="1:24" ht="15.75" customHeight="1">
      <c r="A298" s="6"/>
      <c r="B298" s="6"/>
      <c r="C298" s="6"/>
      <c r="D298" s="6"/>
      <c r="E298" s="6"/>
      <c r="F298" s="6">
        <v>2967.08</v>
      </c>
      <c r="W298" s="50"/>
      <c r="X298" s="50"/>
    </row>
    <row r="299" spans="1:24" ht="15.75" customHeight="1">
      <c r="A299" s="6"/>
      <c r="B299" s="6"/>
      <c r="C299" s="6"/>
      <c r="D299" s="6"/>
      <c r="E299" s="6"/>
      <c r="F299" s="6">
        <v>2858.3</v>
      </c>
      <c r="W299" s="50"/>
      <c r="X299" s="50"/>
    </row>
    <row r="300" spans="1:24" ht="15.75" customHeight="1">
      <c r="A300" s="6"/>
      <c r="B300" s="6"/>
      <c r="C300" s="6"/>
      <c r="D300" s="6"/>
      <c r="E300" s="6"/>
      <c r="F300" s="6">
        <v>242.52</v>
      </c>
      <c r="W300" s="50"/>
      <c r="X300" s="50"/>
    </row>
    <row r="301" spans="1:24" ht="15.75" customHeight="1">
      <c r="A301" s="6"/>
      <c r="B301" s="6"/>
      <c r="C301" s="6"/>
      <c r="D301" s="6"/>
      <c r="E301" s="6"/>
      <c r="F301" s="6">
        <v>215</v>
      </c>
      <c r="W301" s="50"/>
      <c r="X301" s="50"/>
    </row>
    <row r="302" spans="1:24" ht="15.75" customHeight="1">
      <c r="A302" s="6"/>
      <c r="B302" s="6"/>
      <c r="C302" s="6"/>
      <c r="D302" s="6"/>
      <c r="E302" s="6"/>
      <c r="F302" s="6">
        <v>835.53</v>
      </c>
      <c r="W302" s="50"/>
      <c r="X302" s="50"/>
    </row>
    <row r="303" spans="1:24" ht="15.75" customHeight="1">
      <c r="A303" s="6"/>
      <c r="B303" s="6"/>
      <c r="C303" s="6"/>
      <c r="D303" s="6"/>
      <c r="E303" s="6"/>
      <c r="F303" s="6">
        <v>1075.5</v>
      </c>
      <c r="W303" s="50"/>
      <c r="X303" s="50"/>
    </row>
    <row r="304" spans="1:24" ht="15.75" customHeight="1">
      <c r="A304" s="6"/>
      <c r="B304" s="6"/>
      <c r="C304" s="6"/>
      <c r="D304" s="6"/>
      <c r="E304" s="6"/>
      <c r="F304" s="6">
        <v>1485.85</v>
      </c>
      <c r="W304" s="50"/>
      <c r="X304" s="50"/>
    </row>
    <row r="305" spans="1:24" ht="15.75" customHeight="1">
      <c r="A305" s="6"/>
      <c r="B305" s="6"/>
      <c r="C305" s="6"/>
      <c r="D305" s="6"/>
      <c r="E305" s="6"/>
      <c r="F305" s="6">
        <v>1098.56</v>
      </c>
      <c r="W305" s="50"/>
      <c r="X305" s="50"/>
    </row>
    <row r="306" spans="1:24" ht="15.75" customHeight="1">
      <c r="A306" s="6"/>
      <c r="B306" s="6"/>
      <c r="C306" s="6"/>
      <c r="D306" s="6"/>
      <c r="E306" s="6"/>
      <c r="F306" s="6">
        <v>3563.28</v>
      </c>
      <c r="W306" s="50"/>
      <c r="X306" s="50"/>
    </row>
    <row r="307" spans="1:24" ht="15.75" customHeight="1">
      <c r="A307" s="6"/>
      <c r="B307" s="6"/>
      <c r="C307" s="6"/>
      <c r="D307" s="6"/>
      <c r="E307" s="6"/>
      <c r="F307" s="6">
        <v>2200</v>
      </c>
      <c r="W307" s="50"/>
      <c r="X307" s="50"/>
    </row>
    <row r="308" spans="1:24" ht="15.75" customHeight="1">
      <c r="A308" s="6"/>
      <c r="B308" s="6"/>
      <c r="C308" s="6"/>
      <c r="D308" s="6"/>
      <c r="E308" s="6"/>
      <c r="F308" s="6">
        <v>-230.83</v>
      </c>
      <c r="W308" s="50"/>
      <c r="X308" s="50"/>
    </row>
    <row r="309" spans="1:24" ht="15.75" customHeight="1">
      <c r="A309" s="6"/>
      <c r="B309" s="6"/>
      <c r="C309" s="6"/>
      <c r="D309" s="6"/>
      <c r="E309" s="6"/>
      <c r="F309" s="6">
        <v>-718.21</v>
      </c>
      <c r="W309" s="50"/>
      <c r="X309" s="50"/>
    </row>
    <row r="310" spans="1:24" ht="15.75" customHeight="1">
      <c r="A310" s="6"/>
      <c r="B310" s="6"/>
      <c r="C310" s="6"/>
      <c r="D310" s="6"/>
      <c r="E310" s="6"/>
      <c r="F310" s="6">
        <v>2858.3</v>
      </c>
      <c r="W310" s="50"/>
      <c r="X310" s="50"/>
    </row>
    <row r="311" spans="1:24" ht="15.75" customHeight="1">
      <c r="A311" s="6"/>
      <c r="B311" s="6"/>
      <c r="C311" s="6"/>
      <c r="D311" s="6"/>
      <c r="E311" s="6"/>
      <c r="F311" s="6">
        <v>2342.08</v>
      </c>
      <c r="W311" s="50"/>
      <c r="X311" s="50"/>
    </row>
    <row r="312" spans="1:24" ht="15.75" customHeight="1">
      <c r="A312" s="6"/>
      <c r="B312" s="6"/>
      <c r="C312" s="6"/>
      <c r="D312" s="6"/>
      <c r="E312" s="6"/>
      <c r="F312" s="6">
        <v>599</v>
      </c>
      <c r="W312" s="50"/>
      <c r="X312" s="50"/>
    </row>
    <row r="313" spans="1:24" ht="15.75" customHeight="1">
      <c r="A313" s="6"/>
      <c r="B313" s="6"/>
      <c r="C313" s="6"/>
      <c r="D313" s="6"/>
      <c r="E313" s="6"/>
      <c r="F313" s="6">
        <v>-125</v>
      </c>
      <c r="W313" s="50"/>
      <c r="X313" s="50"/>
    </row>
    <row r="314" spans="1:24" ht="15.75" customHeight="1">
      <c r="A314" s="6"/>
      <c r="B314" s="6"/>
      <c r="C314" s="6"/>
      <c r="D314" s="6"/>
      <c r="E314" s="6"/>
      <c r="F314" s="6">
        <v>3234</v>
      </c>
      <c r="W314" s="50"/>
      <c r="X314" s="50"/>
    </row>
    <row r="315" spans="1:24" ht="15.75" customHeight="1">
      <c r="A315" s="6"/>
      <c r="B315" s="6"/>
      <c r="C315" s="6"/>
      <c r="D315" s="6"/>
      <c r="E315" s="6"/>
      <c r="F315" s="6">
        <v>6924.6</v>
      </c>
      <c r="W315" s="50"/>
      <c r="X315" s="50"/>
    </row>
    <row r="316" spans="1:24" ht="15.75" customHeight="1">
      <c r="A316" s="6"/>
      <c r="B316" s="6"/>
      <c r="C316" s="6"/>
      <c r="D316" s="6"/>
      <c r="E316" s="6"/>
      <c r="F316" s="6">
        <v>1863.8</v>
      </c>
      <c r="W316" s="50"/>
      <c r="X316" s="50"/>
    </row>
    <row r="317" spans="1:24" ht="15.75" customHeight="1">
      <c r="A317" s="6"/>
      <c r="B317" s="6"/>
      <c r="C317" s="6"/>
      <c r="D317" s="6"/>
      <c r="E317" s="6"/>
      <c r="F317" s="6">
        <v>1614.62</v>
      </c>
      <c r="W317" s="50"/>
      <c r="X317" s="50"/>
    </row>
    <row r="318" spans="1:24" ht="15.75" customHeight="1">
      <c r="A318" s="6"/>
      <c r="B318" s="6"/>
      <c r="C318" s="6"/>
      <c r="D318" s="6"/>
      <c r="E318" s="6"/>
      <c r="F318" s="6">
        <v>1806.42</v>
      </c>
      <c r="W318" s="50"/>
      <c r="X318" s="50"/>
    </row>
    <row r="319" spans="1:24" ht="15.75" customHeight="1">
      <c r="A319" s="6"/>
      <c r="B319" s="6"/>
      <c r="C319" s="6"/>
      <c r="D319" s="6"/>
      <c r="E319" s="6"/>
      <c r="F319" s="6">
        <v>1483.72</v>
      </c>
      <c r="W319" s="50"/>
      <c r="X319" s="50"/>
    </row>
    <row r="320" spans="1:24" ht="15.75" customHeight="1">
      <c r="A320" s="6"/>
      <c r="B320" s="6"/>
      <c r="C320" s="6"/>
      <c r="D320" s="6"/>
      <c r="E320" s="6"/>
      <c r="F320" s="6">
        <v>299.12</v>
      </c>
      <c r="W320" s="50"/>
      <c r="X320" s="50"/>
    </row>
    <row r="321" spans="1:24" ht="15.75" customHeight="1">
      <c r="A321" s="6"/>
      <c r="B321" s="6"/>
      <c r="C321" s="6"/>
      <c r="D321" s="6"/>
      <c r="E321" s="6"/>
      <c r="F321" s="6">
        <v>8.58</v>
      </c>
      <c r="W321" s="50"/>
      <c r="X321" s="50"/>
    </row>
    <row r="322" spans="1:24" ht="15.75" customHeight="1">
      <c r="A322" s="6"/>
      <c r="B322" s="6"/>
      <c r="C322" s="6"/>
      <c r="D322" s="6"/>
      <c r="E322" s="6"/>
      <c r="F322" s="6">
        <v>1028.79</v>
      </c>
      <c r="W322" s="50"/>
      <c r="X322" s="50"/>
    </row>
    <row r="323" spans="1:24" ht="15.75" customHeight="1">
      <c r="A323" s="6"/>
      <c r="B323" s="6"/>
      <c r="C323" s="6"/>
      <c r="D323" s="6"/>
      <c r="E323" s="6"/>
      <c r="F323" s="6">
        <v>17814</v>
      </c>
      <c r="W323" s="50"/>
      <c r="X323" s="50"/>
    </row>
    <row r="324" spans="1:24" ht="15.75" customHeight="1">
      <c r="A324" s="6"/>
      <c r="B324" s="6"/>
      <c r="C324" s="6"/>
      <c r="D324" s="6"/>
      <c r="E324" s="6"/>
      <c r="F324" s="6">
        <v>288</v>
      </c>
      <c r="W324" s="50"/>
      <c r="X324" s="50"/>
    </row>
    <row r="325" spans="1:24" ht="15.75" customHeight="1">
      <c r="A325" s="6"/>
      <c r="B325" s="6"/>
      <c r="C325" s="6"/>
      <c r="D325" s="6"/>
      <c r="E325" s="6"/>
      <c r="F325" s="6">
        <v>152.94</v>
      </c>
      <c r="W325" s="50"/>
      <c r="X325" s="50"/>
    </row>
    <row r="326" spans="1:24" ht="15.75" customHeight="1">
      <c r="B326" s="6"/>
      <c r="F326">
        <v>5857.63</v>
      </c>
      <c r="W326" s="50"/>
      <c r="X326" s="50"/>
    </row>
    <row r="327" spans="1:24" ht="15.75" customHeight="1">
      <c r="B327" s="6"/>
      <c r="F327">
        <v>6000.5</v>
      </c>
      <c r="W327" s="50"/>
      <c r="X327" s="50"/>
    </row>
    <row r="328" spans="1:24" ht="15.75" customHeight="1">
      <c r="B328" s="6"/>
      <c r="F328">
        <v>6000.5</v>
      </c>
      <c r="Q328">
        <v>349</v>
      </c>
      <c r="R328" s="8">
        <v>2457.91</v>
      </c>
      <c r="W328" s="50"/>
      <c r="X328" s="50"/>
    </row>
    <row r="329" spans="1:24" ht="15.75" customHeight="1">
      <c r="B329" s="6"/>
      <c r="F329">
        <v>985.79</v>
      </c>
      <c r="Q329">
        <v>350</v>
      </c>
      <c r="R329" s="8">
        <v>10989.27</v>
      </c>
      <c r="W329" s="50"/>
      <c r="X329" s="50"/>
    </row>
    <row r="330" spans="1:24" ht="15.75" customHeight="1">
      <c r="B330" s="6"/>
      <c r="F330">
        <v>75</v>
      </c>
      <c r="Q330">
        <v>351</v>
      </c>
      <c r="R330" s="8">
        <v>2611.75</v>
      </c>
      <c r="W330" s="50"/>
      <c r="X330" s="50"/>
    </row>
    <row r="331" spans="1:24" ht="15.75" customHeight="1">
      <c r="B331" s="6"/>
      <c r="F331">
        <v>5857.63</v>
      </c>
      <c r="Q331">
        <v>352</v>
      </c>
      <c r="R331" s="8">
        <v>5205.8599999999997</v>
      </c>
      <c r="W331" s="50"/>
      <c r="X331" s="50"/>
    </row>
    <row r="332" spans="1:24" ht="15.75" customHeight="1">
      <c r="B332" s="6"/>
      <c r="F332">
        <v>115.2</v>
      </c>
      <c r="Q332">
        <v>353</v>
      </c>
      <c r="R332" s="8">
        <v>7328.61</v>
      </c>
      <c r="W332" s="50"/>
      <c r="X332" s="50"/>
    </row>
    <row r="333" spans="1:24" ht="15.75" customHeight="1">
      <c r="B333" s="6"/>
      <c r="F333">
        <v>5467</v>
      </c>
      <c r="Q333">
        <v>354</v>
      </c>
      <c r="R333" s="8">
        <v>3154.96</v>
      </c>
      <c r="W333" s="50"/>
      <c r="X333" s="50"/>
    </row>
    <row r="334" spans="1:24" ht="15.75" customHeight="1">
      <c r="B334" s="6"/>
      <c r="F334">
        <v>1030.68</v>
      </c>
      <c r="Q334">
        <v>355</v>
      </c>
      <c r="R334" s="8">
        <v>360413.5</v>
      </c>
      <c r="W334" s="50"/>
      <c r="X334" s="50"/>
    </row>
    <row r="335" spans="1:24" ht="15.75" customHeight="1">
      <c r="B335" s="6"/>
      <c r="F335">
        <v>215</v>
      </c>
      <c r="Q335">
        <v>356</v>
      </c>
      <c r="R335" s="8">
        <v>6906.08</v>
      </c>
      <c r="W335" s="50"/>
      <c r="X335" s="50"/>
    </row>
    <row r="336" spans="1:24" ht="15.75" customHeight="1">
      <c r="B336" s="6"/>
      <c r="F336">
        <v>1701.1</v>
      </c>
      <c r="Q336">
        <v>359</v>
      </c>
      <c r="R336" s="8">
        <v>25430.240000000002</v>
      </c>
      <c r="W336" s="50"/>
      <c r="X336" s="50"/>
    </row>
    <row r="337" spans="2:24" ht="15.75" customHeight="1">
      <c r="B337" s="6"/>
      <c r="F337">
        <v>-161.6</v>
      </c>
      <c r="Q337">
        <v>360</v>
      </c>
      <c r="R337" s="8">
        <v>1434</v>
      </c>
      <c r="W337" s="50"/>
      <c r="X337" s="50"/>
    </row>
    <row r="338" spans="2:24" ht="15.75" customHeight="1">
      <c r="B338" s="6"/>
      <c r="F338">
        <v>-599.04</v>
      </c>
      <c r="Q338">
        <v>361</v>
      </c>
      <c r="R338" s="8">
        <v>7124.67</v>
      </c>
      <c r="W338" s="50"/>
      <c r="X338" s="50"/>
    </row>
    <row r="339" spans="2:24" ht="15.75" customHeight="1">
      <c r="B339" s="6"/>
      <c r="F339">
        <v>-540.67999999999995</v>
      </c>
      <c r="Q339">
        <v>362</v>
      </c>
      <c r="R339" s="8">
        <v>268.77</v>
      </c>
      <c r="W339" s="50"/>
      <c r="X339" s="50"/>
    </row>
    <row r="340" spans="2:24" ht="15.75" customHeight="1">
      <c r="B340" s="6"/>
      <c r="F340">
        <v>635.08000000000004</v>
      </c>
      <c r="Q340">
        <v>363</v>
      </c>
      <c r="R340" s="8">
        <v>20818</v>
      </c>
      <c r="W340" s="50"/>
      <c r="X340" s="50"/>
    </row>
    <row r="341" spans="2:24" ht="15.75" customHeight="1">
      <c r="B341" s="6"/>
      <c r="F341">
        <v>7770</v>
      </c>
      <c r="Q341">
        <v>364</v>
      </c>
      <c r="R341" s="8">
        <v>38882.410000000003</v>
      </c>
      <c r="W341" s="50"/>
      <c r="X341" s="50"/>
    </row>
    <row r="342" spans="2:24" ht="15.75" customHeight="1">
      <c r="B342" s="6"/>
      <c r="F342">
        <v>6632</v>
      </c>
      <c r="Q342">
        <v>368</v>
      </c>
      <c r="R342" s="8">
        <v>1680</v>
      </c>
      <c r="W342" s="50"/>
      <c r="X342" s="50"/>
    </row>
    <row r="343" spans="2:24" ht="15.75" customHeight="1">
      <c r="B343" s="6"/>
      <c r="F343">
        <v>4525</v>
      </c>
      <c r="Q343">
        <v>369</v>
      </c>
      <c r="R343" s="8">
        <v>21659.919999999998</v>
      </c>
      <c r="W343" s="50"/>
      <c r="X343" s="50"/>
    </row>
    <row r="344" spans="2:24" ht="15.75" customHeight="1">
      <c r="B344" s="6"/>
      <c r="F344">
        <v>1810</v>
      </c>
      <c r="Q344">
        <v>370</v>
      </c>
      <c r="R344" s="8">
        <v>4284.5200000000004</v>
      </c>
      <c r="W344" s="50"/>
      <c r="X344" s="50"/>
    </row>
    <row r="345" spans="2:24" ht="15.75" customHeight="1">
      <c r="B345" s="6"/>
      <c r="F345">
        <v>4013.03</v>
      </c>
      <c r="Q345">
        <v>371</v>
      </c>
      <c r="R345" s="8">
        <v>9757.16</v>
      </c>
      <c r="W345" s="50"/>
      <c r="X345" s="50"/>
    </row>
    <row r="346" spans="2:24" ht="15.75" customHeight="1">
      <c r="B346" s="6"/>
      <c r="F346">
        <v>182.6</v>
      </c>
      <c r="Q346">
        <v>372</v>
      </c>
      <c r="R346" s="8">
        <v>3168.96</v>
      </c>
      <c r="W346" s="50"/>
      <c r="X346" s="50"/>
    </row>
    <row r="347" spans="2:24" ht="15.75" customHeight="1">
      <c r="B347" s="6"/>
      <c r="F347">
        <v>1968.88</v>
      </c>
      <c r="Q347">
        <v>373</v>
      </c>
      <c r="R347" s="8">
        <v>5439.63</v>
      </c>
      <c r="W347" s="50"/>
      <c r="X347" s="50"/>
    </row>
    <row r="348" spans="2:24" ht="15.75" customHeight="1">
      <c r="B348" s="6"/>
      <c r="F348">
        <v>337.81</v>
      </c>
      <c r="Q348">
        <v>374</v>
      </c>
      <c r="R348" s="8">
        <v>138570</v>
      </c>
      <c r="W348" s="50"/>
      <c r="X348" s="50"/>
    </row>
    <row r="349" spans="2:24" ht="15.75" customHeight="1">
      <c r="B349" s="6"/>
      <c r="F349">
        <v>1310.84</v>
      </c>
      <c r="Q349">
        <v>375</v>
      </c>
      <c r="R349" s="8">
        <v>25529</v>
      </c>
      <c r="W349" s="50"/>
      <c r="X349" s="50"/>
    </row>
    <row r="350" spans="2:24" ht="15.75" customHeight="1">
      <c r="B350" s="6"/>
      <c r="F350">
        <v>201.53</v>
      </c>
      <c r="Q350">
        <v>376</v>
      </c>
      <c r="R350" s="8">
        <v>1750</v>
      </c>
      <c r="W350" s="50"/>
      <c r="X350" s="50"/>
    </row>
    <row r="351" spans="2:24" ht="15.75" customHeight="1">
      <c r="B351" s="6"/>
      <c r="F351">
        <v>20280</v>
      </c>
      <c r="Q351">
        <v>377</v>
      </c>
      <c r="R351" s="8">
        <v>28779.599999999999</v>
      </c>
      <c r="W351" s="50"/>
      <c r="X351" s="50"/>
    </row>
    <row r="352" spans="2:24" ht="15.75" customHeight="1">
      <c r="B352" s="6"/>
      <c r="F352">
        <v>4135</v>
      </c>
      <c r="Q352">
        <v>379</v>
      </c>
      <c r="R352" s="8">
        <v>104274.67</v>
      </c>
      <c r="W352" s="50"/>
      <c r="X352" s="50"/>
    </row>
    <row r="353" spans="2:24" ht="15.75" customHeight="1">
      <c r="B353" s="6"/>
      <c r="F353">
        <v>718.47</v>
      </c>
      <c r="Q353">
        <v>380</v>
      </c>
      <c r="R353" s="8">
        <v>7136.4</v>
      </c>
      <c r="W353" s="50"/>
      <c r="X353" s="50"/>
    </row>
    <row r="354" spans="2:24" ht="15.75" customHeight="1">
      <c r="B354" s="6"/>
      <c r="F354">
        <v>2920.5</v>
      </c>
      <c r="Q354">
        <v>381</v>
      </c>
      <c r="R354" s="8">
        <v>14250</v>
      </c>
      <c r="W354" s="50"/>
      <c r="X354" s="50"/>
    </row>
    <row r="355" spans="2:24" ht="15.75" customHeight="1">
      <c r="B355" s="6"/>
      <c r="F355">
        <v>122</v>
      </c>
      <c r="Q355">
        <v>382</v>
      </c>
      <c r="R355" s="8">
        <v>17857.84</v>
      </c>
      <c r="W355" s="50"/>
      <c r="X355" s="50"/>
    </row>
    <row r="356" spans="2:24" ht="15.75" customHeight="1">
      <c r="B356" s="6"/>
      <c r="F356">
        <v>2564.6</v>
      </c>
      <c r="Q356">
        <v>384</v>
      </c>
      <c r="R356" s="8">
        <v>4324.59</v>
      </c>
      <c r="W356" s="50"/>
      <c r="X356" s="50"/>
    </row>
    <row r="357" spans="2:24" ht="15.75" customHeight="1">
      <c r="B357" s="6"/>
      <c r="F357">
        <v>19790.169999999998</v>
      </c>
      <c r="Q357">
        <v>385</v>
      </c>
      <c r="R357" s="8">
        <v>3000</v>
      </c>
      <c r="W357" s="50"/>
      <c r="X357" s="50"/>
    </row>
    <row r="358" spans="2:24" ht="15.75" customHeight="1">
      <c r="B358" s="6"/>
      <c r="F358">
        <v>34044</v>
      </c>
      <c r="Q358">
        <v>386</v>
      </c>
      <c r="R358" s="8">
        <v>740</v>
      </c>
      <c r="W358" s="50"/>
      <c r="X358" s="50"/>
    </row>
    <row r="359" spans="2:24" ht="15.75" customHeight="1">
      <c r="B359" s="6"/>
      <c r="F359">
        <v>43739.09</v>
      </c>
      <c r="Q359">
        <v>387</v>
      </c>
      <c r="R359" s="8">
        <v>25787.64</v>
      </c>
      <c r="W359" s="50"/>
      <c r="X359" s="50"/>
    </row>
    <row r="360" spans="2:24" ht="15.75" customHeight="1">
      <c r="B360" s="6"/>
      <c r="F360">
        <v>6000.5</v>
      </c>
      <c r="Q360">
        <v>388</v>
      </c>
      <c r="R360" s="8">
        <v>27621.200000000001</v>
      </c>
      <c r="W360" s="50"/>
      <c r="X360" s="50"/>
    </row>
    <row r="361" spans="2:24" ht="15.75" customHeight="1">
      <c r="B361" s="6"/>
      <c r="F361">
        <v>6000.5</v>
      </c>
      <c r="Q361">
        <v>389</v>
      </c>
      <c r="R361" s="8">
        <v>29355.5</v>
      </c>
      <c r="W361" s="50"/>
      <c r="X361" s="50"/>
    </row>
    <row r="362" spans="2:24" ht="15.75" customHeight="1">
      <c r="B362" s="6"/>
      <c r="F362">
        <v>6240.44</v>
      </c>
      <c r="Q362">
        <v>390</v>
      </c>
      <c r="R362" s="8">
        <v>57819</v>
      </c>
      <c r="W362" s="50"/>
      <c r="X362" s="50"/>
    </row>
    <row r="363" spans="2:24" ht="15.75" customHeight="1">
      <c r="B363" s="6"/>
      <c r="F363">
        <v>792</v>
      </c>
      <c r="Q363">
        <v>391</v>
      </c>
      <c r="R363" s="8">
        <v>27889.52</v>
      </c>
      <c r="W363" s="50"/>
      <c r="X363" s="50"/>
    </row>
    <row r="364" spans="2:24" ht="15.75" customHeight="1">
      <c r="B364" s="6"/>
      <c r="F364">
        <v>1579.36</v>
      </c>
      <c r="Q364">
        <v>392</v>
      </c>
      <c r="R364" s="8">
        <v>30757</v>
      </c>
      <c r="W364" s="50"/>
      <c r="X364" s="50"/>
    </row>
    <row r="365" spans="2:24" ht="15.75" customHeight="1">
      <c r="B365" s="6"/>
      <c r="F365">
        <v>254.8</v>
      </c>
      <c r="Q365">
        <v>393</v>
      </c>
      <c r="R365" s="8">
        <v>36120.04</v>
      </c>
      <c r="W365" s="50"/>
      <c r="X365" s="50"/>
    </row>
    <row r="366" spans="2:24" ht="15.75" customHeight="1">
      <c r="B366" s="6"/>
      <c r="F366">
        <v>250</v>
      </c>
      <c r="Q366">
        <v>394</v>
      </c>
      <c r="R366" s="8">
        <v>20307.32</v>
      </c>
      <c r="W366" s="50"/>
      <c r="X366" s="50"/>
    </row>
    <row r="367" spans="2:24" ht="15.75" customHeight="1">
      <c r="B367" s="6"/>
      <c r="F367">
        <v>999.9</v>
      </c>
      <c r="Q367">
        <v>395</v>
      </c>
      <c r="R367" s="8">
        <v>4830.3599999999997</v>
      </c>
      <c r="W367" s="50"/>
      <c r="X367" s="50"/>
    </row>
    <row r="368" spans="2:24" ht="15.75" customHeight="1">
      <c r="B368" s="6"/>
      <c r="F368">
        <v>617.25</v>
      </c>
      <c r="Q368">
        <v>396</v>
      </c>
      <c r="R368" s="8">
        <v>8265.9699999999993</v>
      </c>
      <c r="W368" s="50"/>
      <c r="X368" s="50"/>
    </row>
    <row r="369" spans="2:24" ht="15.75" customHeight="1">
      <c r="B369" s="6"/>
      <c r="F369">
        <v>1577177.32</v>
      </c>
      <c r="Q369">
        <v>397</v>
      </c>
      <c r="R369" s="8">
        <v>60237.93</v>
      </c>
      <c r="W369" s="50"/>
      <c r="X369" s="50"/>
    </row>
    <row r="370" spans="2:24" ht="15.75" customHeight="1">
      <c r="B370" s="6"/>
      <c r="Q370">
        <v>398</v>
      </c>
      <c r="R370" s="8">
        <v>2120</v>
      </c>
      <c r="W370" s="50"/>
      <c r="X370" s="50"/>
    </row>
    <row r="371" spans="2:24" ht="15.75" customHeight="1">
      <c r="B371" s="6"/>
      <c r="Q371">
        <v>399</v>
      </c>
      <c r="R371" s="8">
        <v>5235</v>
      </c>
      <c r="W371" s="50"/>
      <c r="X371" s="50"/>
    </row>
    <row r="372" spans="2:24" ht="15.75" customHeight="1">
      <c r="B372" s="6"/>
      <c r="Q372">
        <v>400</v>
      </c>
      <c r="R372" s="8">
        <v>1740</v>
      </c>
      <c r="W372" s="50"/>
      <c r="X372" s="50"/>
    </row>
    <row r="373" spans="2:24" ht="15.75" customHeight="1">
      <c r="B373" s="6"/>
      <c r="Q373">
        <v>401</v>
      </c>
      <c r="R373" s="8">
        <v>4326</v>
      </c>
      <c r="W373" s="50"/>
      <c r="X373" s="50"/>
    </row>
    <row r="374" spans="2:24" ht="15.75" customHeight="1">
      <c r="B374" s="6"/>
      <c r="Q374">
        <v>402</v>
      </c>
      <c r="R374" s="8">
        <v>46687</v>
      </c>
      <c r="W374" s="50"/>
      <c r="X374" s="50"/>
    </row>
    <row r="375" spans="2:24" ht="15.75" customHeight="1">
      <c r="B375" s="6"/>
      <c r="Q375">
        <v>403</v>
      </c>
      <c r="R375" s="8">
        <v>3884.16</v>
      </c>
      <c r="W375" s="50"/>
      <c r="X375" s="50"/>
    </row>
    <row r="376" spans="2:24" ht="15.75" customHeight="1">
      <c r="B376" s="6"/>
      <c r="Q376">
        <v>404</v>
      </c>
      <c r="R376" s="8">
        <v>10352</v>
      </c>
      <c r="W376" s="50"/>
      <c r="X376" s="50"/>
    </row>
    <row r="377" spans="2:24" ht="15.75" customHeight="1">
      <c r="B377" s="6"/>
      <c r="Q377">
        <v>405</v>
      </c>
      <c r="R377" s="8">
        <v>13313</v>
      </c>
      <c r="W377" s="50"/>
      <c r="X377" s="50"/>
    </row>
    <row r="378" spans="2:24" ht="15.75" customHeight="1">
      <c r="B378" s="6"/>
      <c r="Q378">
        <v>406</v>
      </c>
      <c r="R378" s="8">
        <v>5772</v>
      </c>
      <c r="W378" s="50"/>
      <c r="X378" s="50"/>
    </row>
    <row r="379" spans="2:24" ht="15.75" customHeight="1">
      <c r="B379" s="6"/>
      <c r="Q379">
        <v>407</v>
      </c>
      <c r="R379" s="8">
        <v>8423.11</v>
      </c>
      <c r="W379" s="50"/>
      <c r="X379" s="50"/>
    </row>
    <row r="380" spans="2:24" ht="15.75" customHeight="1">
      <c r="B380" s="6"/>
      <c r="Q380">
        <v>408</v>
      </c>
      <c r="R380" s="8">
        <v>29331.26</v>
      </c>
      <c r="W380" s="50"/>
      <c r="X380" s="50"/>
    </row>
    <row r="381" spans="2:24" ht="15.75" customHeight="1">
      <c r="B381" s="6"/>
      <c r="Q381">
        <v>409</v>
      </c>
      <c r="R381" s="8">
        <v>2304.88</v>
      </c>
      <c r="W381" s="50"/>
      <c r="X381" s="50"/>
    </row>
    <row r="382" spans="2:24" ht="15.75" customHeight="1">
      <c r="B382" s="6"/>
      <c r="Q382">
        <v>410</v>
      </c>
      <c r="R382" s="8">
        <v>15617.36</v>
      </c>
      <c r="W382" s="50"/>
      <c r="X382" s="50"/>
    </row>
    <row r="383" spans="2:24" ht="15.75" customHeight="1">
      <c r="B383" s="6"/>
      <c r="Q383">
        <v>412</v>
      </c>
      <c r="R383" s="8">
        <v>2286.5</v>
      </c>
      <c r="W383" s="50"/>
      <c r="X383" s="50"/>
    </row>
    <row r="384" spans="2:24" ht="15.75" customHeight="1">
      <c r="B384" s="6"/>
      <c r="Q384">
        <v>413</v>
      </c>
      <c r="R384" s="8">
        <v>23160</v>
      </c>
      <c r="W384" s="50"/>
      <c r="X384" s="50"/>
    </row>
    <row r="385" spans="2:24" ht="15.75" customHeight="1">
      <c r="B385" s="6"/>
      <c r="Q385">
        <v>416</v>
      </c>
      <c r="R385" s="8">
        <v>472374.25</v>
      </c>
      <c r="W385" s="50"/>
      <c r="X385" s="50"/>
    </row>
    <row r="386" spans="2:24" ht="15.75" customHeight="1">
      <c r="B386" s="6"/>
      <c r="Q386">
        <v>417</v>
      </c>
      <c r="R386" s="8">
        <v>9035.74</v>
      </c>
      <c r="W386" s="50"/>
      <c r="X386" s="50"/>
    </row>
    <row r="387" spans="2:24" ht="15.75" customHeight="1">
      <c r="B387" s="6"/>
      <c r="Q387">
        <v>418</v>
      </c>
      <c r="R387" s="8">
        <v>5627281.4299999997</v>
      </c>
      <c r="W387" s="50"/>
      <c r="X387" s="50"/>
    </row>
    <row r="388" spans="2:24" ht="15.75" customHeight="1">
      <c r="B388" s="6"/>
      <c r="Q388">
        <v>419</v>
      </c>
      <c r="R388" s="8">
        <v>3396</v>
      </c>
      <c r="W388" s="50"/>
      <c r="X388" s="50"/>
    </row>
    <row r="389" spans="2:24" ht="15.75" customHeight="1">
      <c r="B389" s="6"/>
      <c r="Q389">
        <v>420</v>
      </c>
      <c r="R389" s="8">
        <v>3600</v>
      </c>
      <c r="W389" s="50"/>
      <c r="X389" s="50"/>
    </row>
    <row r="390" spans="2:24" ht="15.75" customHeight="1">
      <c r="B390" s="6"/>
      <c r="Q390">
        <v>421</v>
      </c>
      <c r="R390" s="8">
        <v>9503.92</v>
      </c>
      <c r="W390" s="50"/>
      <c r="X390" s="50"/>
    </row>
    <row r="391" spans="2:24" ht="15.75" customHeight="1">
      <c r="B391" s="6"/>
      <c r="Q391">
        <v>422</v>
      </c>
      <c r="R391" s="8">
        <v>540</v>
      </c>
      <c r="W391" s="50"/>
      <c r="X391" s="50"/>
    </row>
    <row r="392" spans="2:24" ht="15.75" customHeight="1">
      <c r="B392" s="6"/>
      <c r="Q392">
        <v>423</v>
      </c>
      <c r="R392" s="8">
        <v>3667.15</v>
      </c>
      <c r="W392" s="50"/>
      <c r="X392" s="50"/>
    </row>
    <row r="393" spans="2:24" ht="15.75" customHeight="1">
      <c r="B393" s="6"/>
      <c r="Q393">
        <v>425</v>
      </c>
      <c r="R393" s="8">
        <v>35000</v>
      </c>
      <c r="W393" s="50"/>
      <c r="X393" s="50"/>
    </row>
    <row r="394" spans="2:24" ht="15.75" customHeight="1">
      <c r="B394" s="6"/>
      <c r="Q394">
        <v>426</v>
      </c>
      <c r="R394" s="8">
        <v>23777.56</v>
      </c>
      <c r="W394" s="50"/>
      <c r="X394" s="50"/>
    </row>
    <row r="395" spans="2:24" ht="15.75" customHeight="1">
      <c r="B395" s="6"/>
      <c r="Q395">
        <v>427</v>
      </c>
      <c r="R395" s="8">
        <v>4960.26</v>
      </c>
      <c r="W395" s="50"/>
      <c r="X395" s="50"/>
    </row>
    <row r="396" spans="2:24" ht="15.75" customHeight="1">
      <c r="B396" s="6"/>
      <c r="Q396">
        <v>428</v>
      </c>
      <c r="R396" s="8">
        <v>1724.36</v>
      </c>
      <c r="W396" s="50"/>
      <c r="X396" s="50"/>
    </row>
    <row r="397" spans="2:24" ht="15.75" customHeight="1">
      <c r="B397" s="6"/>
      <c r="Q397">
        <v>430</v>
      </c>
      <c r="R397" s="8">
        <v>22284.04</v>
      </c>
      <c r="W397" s="50"/>
      <c r="X397" s="50"/>
    </row>
    <row r="398" spans="2:24" ht="15.75" customHeight="1">
      <c r="B398" s="6"/>
      <c r="Q398">
        <v>431</v>
      </c>
      <c r="R398" s="8">
        <v>2328.11</v>
      </c>
      <c r="W398" s="50"/>
      <c r="X398" s="50"/>
    </row>
    <row r="399" spans="2:24" ht="15.75" customHeight="1">
      <c r="B399" s="6"/>
      <c r="Q399">
        <v>432</v>
      </c>
      <c r="R399" s="8">
        <v>26949.24</v>
      </c>
      <c r="W399" s="50"/>
      <c r="X399" s="50"/>
    </row>
    <row r="400" spans="2:24" ht="15.75" customHeight="1">
      <c r="B400" s="6"/>
      <c r="Q400">
        <v>433</v>
      </c>
      <c r="R400" s="8">
        <v>4506</v>
      </c>
      <c r="W400" s="50"/>
      <c r="X400" s="50"/>
    </row>
    <row r="401" spans="2:24" ht="15.75" customHeight="1">
      <c r="B401" s="6"/>
      <c r="Q401">
        <v>434</v>
      </c>
      <c r="R401" s="8">
        <v>1445</v>
      </c>
      <c r="W401" s="50"/>
      <c r="X401" s="50"/>
    </row>
    <row r="402" spans="2:24" ht="15.75" customHeight="1">
      <c r="B402" s="6"/>
      <c r="Q402">
        <v>435</v>
      </c>
      <c r="R402" s="8">
        <v>21586</v>
      </c>
      <c r="W402" s="50"/>
      <c r="X402" s="50"/>
    </row>
    <row r="403" spans="2:24" ht="15.75" customHeight="1">
      <c r="B403" s="6"/>
      <c r="Q403">
        <v>436</v>
      </c>
      <c r="R403" s="8">
        <v>207379</v>
      </c>
      <c r="W403" s="50"/>
      <c r="X403" s="50"/>
    </row>
    <row r="404" spans="2:24" ht="15.75" customHeight="1">
      <c r="B404" s="6"/>
      <c r="Q404">
        <v>437</v>
      </c>
      <c r="R404" s="8">
        <v>25369.4</v>
      </c>
      <c r="W404" s="50"/>
      <c r="X404" s="50"/>
    </row>
    <row r="405" spans="2:24" ht="15.75" customHeight="1">
      <c r="B405" s="6"/>
      <c r="Q405">
        <v>438</v>
      </c>
      <c r="R405" s="8">
        <v>12164</v>
      </c>
      <c r="W405" s="50"/>
      <c r="X405" s="50"/>
    </row>
    <row r="406" spans="2:24" ht="15.75" customHeight="1">
      <c r="B406" s="6"/>
      <c r="Q406">
        <v>440</v>
      </c>
      <c r="R406" s="8">
        <v>1319971.8</v>
      </c>
      <c r="W406" s="50"/>
      <c r="X406" s="50"/>
    </row>
    <row r="407" spans="2:24" ht="15.75" customHeight="1">
      <c r="B407" s="6"/>
      <c r="Q407">
        <v>442</v>
      </c>
      <c r="R407" s="8">
        <v>672.41</v>
      </c>
      <c r="W407" s="50"/>
      <c r="X407" s="50"/>
    </row>
    <row r="408" spans="2:24" ht="15.75" customHeight="1">
      <c r="B408" s="6"/>
      <c r="Q408">
        <v>443</v>
      </c>
      <c r="R408" s="8">
        <v>16013</v>
      </c>
      <c r="W408" s="50"/>
      <c r="X408" s="50"/>
    </row>
    <row r="409" spans="2:24" ht="15.75" customHeight="1">
      <c r="B409" s="6"/>
      <c r="Q409">
        <v>444</v>
      </c>
      <c r="R409" s="8">
        <v>101859</v>
      </c>
      <c r="W409" s="50"/>
      <c r="X409" s="50"/>
    </row>
    <row r="410" spans="2:24" ht="15.75" customHeight="1">
      <c r="B410" s="6"/>
      <c r="Q410">
        <v>445</v>
      </c>
      <c r="R410" s="8">
        <v>24324.7</v>
      </c>
      <c r="W410" s="50"/>
      <c r="X410" s="50"/>
    </row>
    <row r="411" spans="2:24" ht="15.75" customHeight="1">
      <c r="B411" s="6"/>
      <c r="Q411">
        <v>446</v>
      </c>
      <c r="R411" s="8">
        <v>12011</v>
      </c>
      <c r="W411" s="50"/>
      <c r="X411" s="50"/>
    </row>
    <row r="412" spans="2:24" ht="15.75" customHeight="1">
      <c r="B412" s="6"/>
      <c r="Q412">
        <v>448</v>
      </c>
      <c r="R412" s="8">
        <v>6018.71</v>
      </c>
      <c r="W412" s="50"/>
      <c r="X412" s="50"/>
    </row>
    <row r="413" spans="2:24" ht="15.75" customHeight="1">
      <c r="B413" s="6"/>
      <c r="Q413">
        <v>450</v>
      </c>
      <c r="R413" s="8">
        <v>10000</v>
      </c>
      <c r="W413" s="50"/>
      <c r="X413" s="50"/>
    </row>
    <row r="414" spans="2:24" ht="15.75" customHeight="1">
      <c r="B414" s="6"/>
      <c r="Q414">
        <v>451</v>
      </c>
      <c r="R414" s="8">
        <v>0</v>
      </c>
      <c r="W414" s="50"/>
      <c r="X414" s="50"/>
    </row>
    <row r="415" spans="2:24" ht="15.75" customHeight="1">
      <c r="B415" s="6"/>
      <c r="Q415">
        <v>452</v>
      </c>
      <c r="R415" s="8">
        <v>18588</v>
      </c>
      <c r="W415" s="50"/>
      <c r="X415" s="50"/>
    </row>
    <row r="416" spans="2:24" ht="15.75" customHeight="1">
      <c r="B416" s="6"/>
      <c r="Q416">
        <v>453</v>
      </c>
      <c r="R416" s="8">
        <v>82243</v>
      </c>
      <c r="W416" s="50"/>
      <c r="X416" s="50"/>
    </row>
    <row r="417" spans="2:24" ht="15.75" customHeight="1">
      <c r="B417" s="6"/>
      <c r="Q417">
        <v>454</v>
      </c>
      <c r="R417" s="8">
        <v>34210</v>
      </c>
      <c r="W417" s="50"/>
      <c r="X417" s="50"/>
    </row>
    <row r="418" spans="2:24" ht="15.75" customHeight="1">
      <c r="B418" s="6"/>
      <c r="Q418">
        <v>455</v>
      </c>
      <c r="R418" s="8">
        <v>0</v>
      </c>
      <c r="W418" s="50"/>
      <c r="X418" s="50"/>
    </row>
    <row r="419" spans="2:24" ht="15.75" customHeight="1">
      <c r="B419" s="6"/>
      <c r="Q419">
        <v>456</v>
      </c>
      <c r="R419" s="8">
        <v>0</v>
      </c>
      <c r="W419" s="50"/>
      <c r="X419" s="50"/>
    </row>
    <row r="420" spans="2:24" ht="15.75" customHeight="1">
      <c r="B420" s="6"/>
      <c r="Q420">
        <v>457</v>
      </c>
      <c r="R420" s="8">
        <v>0</v>
      </c>
      <c r="W420" s="50"/>
      <c r="X420" s="50"/>
    </row>
    <row r="421" spans="2:24" ht="15.75" customHeight="1">
      <c r="B421" s="6"/>
      <c r="Q421">
        <v>459</v>
      </c>
      <c r="R421" s="8">
        <v>0</v>
      </c>
      <c r="W421" s="50"/>
      <c r="X421" s="50"/>
    </row>
    <row r="422" spans="2:24" ht="15.75" customHeight="1">
      <c r="B422" s="6"/>
      <c r="Q422" t="s">
        <v>31</v>
      </c>
      <c r="R422" s="8">
        <v>26892875.309999999</v>
      </c>
      <c r="W422" s="50"/>
      <c r="X422" s="50"/>
    </row>
    <row r="423" spans="2:24" ht="15.75" customHeight="1">
      <c r="B423" s="6"/>
      <c r="W423" s="50"/>
      <c r="X423" s="50"/>
    </row>
    <row r="424" spans="2:24" ht="15.75" customHeight="1">
      <c r="B424" s="6"/>
      <c r="W424" s="50"/>
      <c r="X424" s="50"/>
    </row>
    <row r="425" spans="2:24" ht="15.75" customHeight="1">
      <c r="B425" s="6"/>
      <c r="W425" s="50"/>
      <c r="X425" s="50"/>
    </row>
    <row r="426" spans="2:24" ht="15.75" customHeight="1">
      <c r="B426" s="6"/>
      <c r="W426" s="50"/>
      <c r="X426" s="50"/>
    </row>
    <row r="427" spans="2:24" ht="15.75" customHeight="1">
      <c r="B427" s="6"/>
      <c r="W427" s="50"/>
      <c r="X427" s="50"/>
    </row>
    <row r="428" spans="2:24" ht="15.75" customHeight="1">
      <c r="B428" s="6"/>
      <c r="W428" s="50"/>
      <c r="X428" s="50"/>
    </row>
    <row r="429" spans="2:24" ht="15.75" customHeight="1">
      <c r="B429" s="6"/>
      <c r="W429" s="50"/>
      <c r="X429" s="50"/>
    </row>
    <row r="430" spans="2:24" ht="15.75" customHeight="1">
      <c r="B430" s="6"/>
      <c r="W430" s="50"/>
      <c r="X430" s="50"/>
    </row>
    <row r="431" spans="2:24" ht="15.75" customHeight="1">
      <c r="B431" s="6"/>
      <c r="W431" s="50"/>
      <c r="X431" s="50"/>
    </row>
    <row r="432" spans="2:24" ht="15.75" customHeight="1">
      <c r="B432" s="6"/>
      <c r="W432" s="50"/>
      <c r="X432" s="50"/>
    </row>
    <row r="433" spans="2:24" ht="15.75" customHeight="1">
      <c r="B433" s="6"/>
      <c r="W433" s="50"/>
      <c r="X433" s="50"/>
    </row>
    <row r="434" spans="2:24" ht="15.75" customHeight="1">
      <c r="B434" s="6"/>
      <c r="W434" s="50"/>
      <c r="X434" s="50"/>
    </row>
    <row r="435" spans="2:24" ht="15.75" customHeight="1">
      <c r="B435" s="6"/>
      <c r="W435" s="50"/>
      <c r="X435" s="50"/>
    </row>
    <row r="436" spans="2:24" ht="15.75" customHeight="1">
      <c r="B436" s="6"/>
      <c r="W436" s="50"/>
      <c r="X436" s="50"/>
    </row>
    <row r="437" spans="2:24" ht="15.75" customHeight="1">
      <c r="B437" s="6"/>
      <c r="W437" s="50"/>
      <c r="X437" s="50"/>
    </row>
    <row r="438" spans="2:24" ht="15.75" customHeight="1">
      <c r="B438" s="6"/>
      <c r="W438" s="50"/>
      <c r="X438" s="50"/>
    </row>
    <row r="439" spans="2:24" ht="15.75" customHeight="1">
      <c r="B439" s="6"/>
      <c r="W439" s="50"/>
      <c r="X439" s="50"/>
    </row>
    <row r="440" spans="2:24" ht="15.75" customHeight="1">
      <c r="B440" s="6"/>
      <c r="W440" s="50"/>
      <c r="X440" s="50"/>
    </row>
    <row r="441" spans="2:24" ht="15.75" customHeight="1">
      <c r="B441" s="6"/>
      <c r="W441" s="50"/>
      <c r="X441" s="50"/>
    </row>
    <row r="442" spans="2:24" ht="15.75" customHeight="1">
      <c r="B442" s="6"/>
      <c r="W442" s="50"/>
      <c r="X442" s="50"/>
    </row>
    <row r="443" spans="2:24" ht="15.75" customHeight="1">
      <c r="B443" s="6"/>
      <c r="W443" s="50"/>
      <c r="X443" s="50"/>
    </row>
    <row r="444" spans="2:24" ht="15.75" customHeight="1">
      <c r="B444" s="6"/>
      <c r="W444" s="50"/>
      <c r="X444" s="50"/>
    </row>
    <row r="445" spans="2:24" ht="15.75" customHeight="1">
      <c r="B445" s="6"/>
      <c r="W445" s="50"/>
      <c r="X445" s="50"/>
    </row>
    <row r="446" spans="2:24" ht="15.75" customHeight="1">
      <c r="B446" s="6"/>
      <c r="W446" s="50"/>
      <c r="X446" s="50"/>
    </row>
    <row r="447" spans="2:24" ht="15.75" customHeight="1">
      <c r="B447" s="6"/>
      <c r="W447" s="50"/>
      <c r="X447" s="50"/>
    </row>
    <row r="448" spans="2:24" ht="15.75" customHeight="1">
      <c r="B448" s="6"/>
      <c r="W448" s="50"/>
      <c r="X448" s="50"/>
    </row>
    <row r="449" spans="2:24" ht="15.75" customHeight="1">
      <c r="B449" s="6"/>
      <c r="W449" s="50"/>
      <c r="X449" s="50"/>
    </row>
    <row r="450" spans="2:24" ht="15.75" customHeight="1">
      <c r="B450" s="6"/>
      <c r="W450" s="50"/>
      <c r="X450" s="50"/>
    </row>
    <row r="451" spans="2:24" ht="15.75" customHeight="1">
      <c r="B451" s="6"/>
      <c r="W451" s="50"/>
      <c r="X451" s="50"/>
    </row>
    <row r="452" spans="2:24" ht="15.75" customHeight="1">
      <c r="B452" s="6"/>
      <c r="W452" s="50"/>
      <c r="X452" s="50"/>
    </row>
    <row r="453" spans="2:24" ht="15.75" customHeight="1">
      <c r="B453" s="6"/>
      <c r="W453" s="50"/>
      <c r="X453" s="50"/>
    </row>
    <row r="454" spans="2:24" ht="15.75" customHeight="1">
      <c r="B454" s="6"/>
      <c r="W454" s="50"/>
      <c r="X454" s="50"/>
    </row>
    <row r="455" spans="2:24" ht="15.75" customHeight="1">
      <c r="B455" s="6"/>
      <c r="W455" s="50"/>
      <c r="X455" s="50"/>
    </row>
    <row r="456" spans="2:24" ht="15.75" customHeight="1">
      <c r="B456" s="6"/>
      <c r="W456" s="50"/>
      <c r="X456" s="50"/>
    </row>
    <row r="457" spans="2:24" ht="15.75" customHeight="1">
      <c r="B457" s="6"/>
      <c r="W457" s="50"/>
      <c r="X457" s="50"/>
    </row>
    <row r="458" spans="2:24" ht="15.75" customHeight="1">
      <c r="B458" s="6"/>
      <c r="W458" s="50"/>
      <c r="X458" s="50"/>
    </row>
    <row r="459" spans="2:24" ht="15.75" customHeight="1">
      <c r="B459" s="6"/>
      <c r="W459" s="50"/>
      <c r="X459" s="50"/>
    </row>
    <row r="460" spans="2:24" ht="15.75" customHeight="1">
      <c r="B460" s="6"/>
      <c r="W460" s="50"/>
      <c r="X460" s="50"/>
    </row>
    <row r="461" spans="2:24" ht="15.75" customHeight="1">
      <c r="B461" s="6"/>
      <c r="W461" s="50"/>
      <c r="X461" s="50"/>
    </row>
    <row r="462" spans="2:24" ht="15.75" customHeight="1">
      <c r="B462" s="6"/>
      <c r="W462" s="50"/>
      <c r="X462" s="50"/>
    </row>
    <row r="463" spans="2:24" ht="15.75" customHeight="1">
      <c r="B463" s="6"/>
      <c r="W463" s="50"/>
      <c r="X463" s="50"/>
    </row>
    <row r="464" spans="2:24" ht="15.75" customHeight="1">
      <c r="B464" s="6"/>
      <c r="W464" s="50"/>
      <c r="X464" s="50"/>
    </row>
    <row r="465" spans="2:24" ht="15.75" customHeight="1">
      <c r="B465" s="6"/>
      <c r="W465" s="50"/>
      <c r="X465" s="50"/>
    </row>
    <row r="466" spans="2:24" ht="15.75" customHeight="1">
      <c r="B466" s="6"/>
      <c r="W466" s="50"/>
      <c r="X466" s="50"/>
    </row>
    <row r="467" spans="2:24" ht="15.75" customHeight="1">
      <c r="B467" s="6"/>
      <c r="W467" s="50"/>
      <c r="X467" s="50"/>
    </row>
    <row r="468" spans="2:24" ht="15.75" customHeight="1">
      <c r="B468" s="6"/>
      <c r="W468" s="50"/>
      <c r="X468" s="50"/>
    </row>
    <row r="469" spans="2:24" ht="15.75" customHeight="1">
      <c r="B469" s="6"/>
      <c r="W469" s="50"/>
      <c r="X469" s="50"/>
    </row>
    <row r="470" spans="2:24" ht="15.75" customHeight="1">
      <c r="B470" s="6"/>
      <c r="W470" s="50"/>
      <c r="X470" s="50"/>
    </row>
    <row r="471" spans="2:24" ht="15.75" customHeight="1">
      <c r="B471" s="6"/>
      <c r="W471" s="50"/>
      <c r="X471" s="50"/>
    </row>
    <row r="472" spans="2:24" ht="15.75" customHeight="1">
      <c r="B472" s="6"/>
      <c r="W472" s="50"/>
      <c r="X472" s="50"/>
    </row>
    <row r="473" spans="2:24" ht="15.75" customHeight="1">
      <c r="B473" s="6"/>
      <c r="W473" s="50"/>
      <c r="X473" s="50"/>
    </row>
    <row r="474" spans="2:24" ht="15.75" customHeight="1">
      <c r="B474" s="6"/>
      <c r="W474" s="50"/>
      <c r="X474" s="50"/>
    </row>
    <row r="475" spans="2:24" ht="15.75" customHeight="1">
      <c r="B475" s="6"/>
      <c r="W475" s="50"/>
      <c r="X475" s="50"/>
    </row>
    <row r="476" spans="2:24" ht="15.75" customHeight="1">
      <c r="B476" s="6"/>
      <c r="W476" s="50"/>
      <c r="X476" s="50"/>
    </row>
    <row r="477" spans="2:24" ht="15.75" customHeight="1">
      <c r="B477" s="6"/>
      <c r="W477" s="50"/>
      <c r="X477" s="50"/>
    </row>
    <row r="478" spans="2:24" ht="15.75" customHeight="1">
      <c r="B478" s="6"/>
      <c r="W478" s="50"/>
      <c r="X478" s="50"/>
    </row>
    <row r="479" spans="2:24" ht="15.75" customHeight="1">
      <c r="B479" s="6"/>
      <c r="W479" s="50"/>
      <c r="X479" s="50"/>
    </row>
    <row r="480" spans="2:24" ht="15.75" customHeight="1">
      <c r="B480" s="6"/>
      <c r="W480" s="50"/>
      <c r="X480" s="50"/>
    </row>
    <row r="481" spans="2:24" ht="15.75" customHeight="1">
      <c r="B481" s="6"/>
      <c r="W481" s="50"/>
      <c r="X481" s="50"/>
    </row>
    <row r="482" spans="2:24" ht="15.75" customHeight="1">
      <c r="B482" s="6"/>
      <c r="W482" s="50"/>
      <c r="X482" s="50"/>
    </row>
    <row r="483" spans="2:24" ht="15.75" customHeight="1">
      <c r="B483" s="6"/>
      <c r="W483" s="50"/>
      <c r="X483" s="50"/>
    </row>
    <row r="484" spans="2:24" ht="15.75" customHeight="1">
      <c r="B484" s="6"/>
      <c r="W484" s="50"/>
      <c r="X484" s="50"/>
    </row>
    <row r="485" spans="2:24" ht="15.75" customHeight="1">
      <c r="B485" s="6"/>
      <c r="W485" s="50"/>
      <c r="X485" s="50"/>
    </row>
    <row r="486" spans="2:24" ht="15.75" customHeight="1">
      <c r="B486" s="6"/>
      <c r="W486" s="50"/>
      <c r="X486" s="50"/>
    </row>
    <row r="487" spans="2:24" ht="15.75" customHeight="1">
      <c r="B487" s="6"/>
      <c r="W487" s="50"/>
      <c r="X487" s="50"/>
    </row>
    <row r="488" spans="2:24" ht="15.75" customHeight="1">
      <c r="B488" s="6"/>
      <c r="W488" s="50"/>
      <c r="X488" s="50"/>
    </row>
    <row r="489" spans="2:24" ht="15.75" customHeight="1">
      <c r="B489" s="6"/>
      <c r="W489" s="50"/>
      <c r="X489" s="50"/>
    </row>
    <row r="490" spans="2:24" ht="15.75" customHeight="1">
      <c r="B490" s="6"/>
      <c r="W490" s="50"/>
      <c r="X490" s="50"/>
    </row>
    <row r="491" spans="2:24" ht="15.75" customHeight="1">
      <c r="B491" s="6"/>
      <c r="W491" s="50"/>
      <c r="X491" s="50"/>
    </row>
    <row r="492" spans="2:24" ht="15.75" customHeight="1">
      <c r="B492" s="6"/>
      <c r="W492" s="50"/>
      <c r="X492" s="50"/>
    </row>
    <row r="493" spans="2:24" ht="15.75" customHeight="1">
      <c r="B493" s="6"/>
      <c r="W493" s="50"/>
      <c r="X493" s="50"/>
    </row>
    <row r="494" spans="2:24" ht="15.75" customHeight="1">
      <c r="B494" s="6"/>
      <c r="W494" s="50"/>
      <c r="X494" s="50"/>
    </row>
    <row r="495" spans="2:24" ht="15.75" customHeight="1">
      <c r="B495" s="6"/>
      <c r="W495" s="50"/>
      <c r="X495" s="50"/>
    </row>
    <row r="496" spans="2:24" ht="15.75" customHeight="1">
      <c r="B496" s="6"/>
      <c r="W496" s="50"/>
      <c r="X496" s="50"/>
    </row>
    <row r="497" spans="2:24" ht="15.75" customHeight="1">
      <c r="B497" s="6"/>
      <c r="W497" s="50"/>
      <c r="X497" s="50"/>
    </row>
    <row r="498" spans="2:24" ht="15.75" customHeight="1">
      <c r="B498" s="6"/>
      <c r="W498" s="50"/>
      <c r="X498" s="50"/>
    </row>
    <row r="499" spans="2:24" ht="15.75" customHeight="1">
      <c r="B499" s="6"/>
      <c r="W499" s="50"/>
      <c r="X499" s="50"/>
    </row>
    <row r="500" spans="2:24" ht="15.75" customHeight="1">
      <c r="B500" s="6"/>
      <c r="W500" s="50"/>
      <c r="X500" s="50"/>
    </row>
    <row r="501" spans="2:24" ht="15.75" customHeight="1">
      <c r="B501" s="6"/>
      <c r="W501" s="50"/>
      <c r="X501" s="50"/>
    </row>
    <row r="502" spans="2:24" ht="15.75" customHeight="1">
      <c r="B502" s="6"/>
      <c r="W502" s="50"/>
      <c r="X502" s="50"/>
    </row>
    <row r="503" spans="2:24" ht="15.75" customHeight="1">
      <c r="B503" s="6"/>
      <c r="W503" s="50"/>
      <c r="X503" s="50"/>
    </row>
    <row r="504" spans="2:24" ht="15.75" customHeight="1">
      <c r="B504" s="6"/>
      <c r="W504" s="50"/>
      <c r="X504" s="50"/>
    </row>
    <row r="505" spans="2:24" ht="15.75" customHeight="1">
      <c r="B505" s="6"/>
      <c r="W505" s="50"/>
      <c r="X505" s="50"/>
    </row>
    <row r="506" spans="2:24" ht="15.75" customHeight="1">
      <c r="B506" s="6"/>
      <c r="W506" s="50"/>
      <c r="X506" s="50"/>
    </row>
    <row r="507" spans="2:24" ht="15.75" customHeight="1">
      <c r="B507" s="6"/>
      <c r="W507" s="50"/>
      <c r="X507" s="50"/>
    </row>
    <row r="508" spans="2:24" ht="15.75" customHeight="1">
      <c r="B508" s="6"/>
      <c r="W508" s="50"/>
      <c r="X508" s="50"/>
    </row>
    <row r="509" spans="2:24" ht="15.75" customHeight="1">
      <c r="B509" s="6"/>
      <c r="W509" s="50"/>
      <c r="X509" s="50"/>
    </row>
    <row r="510" spans="2:24" ht="15.75" customHeight="1">
      <c r="B510" s="6"/>
      <c r="W510" s="50"/>
      <c r="X510" s="50"/>
    </row>
    <row r="511" spans="2:24" ht="15.75" customHeight="1">
      <c r="B511" s="6"/>
      <c r="W511" s="50"/>
      <c r="X511" s="50"/>
    </row>
    <row r="512" spans="2:24" ht="15.75" customHeight="1">
      <c r="B512" s="6"/>
      <c r="W512" s="50"/>
      <c r="X512" s="50"/>
    </row>
    <row r="513" spans="2:24" ht="15.75" customHeight="1">
      <c r="B513" s="6"/>
      <c r="W513" s="50"/>
      <c r="X513" s="50"/>
    </row>
    <row r="514" spans="2:24" ht="15.75" customHeight="1">
      <c r="B514" s="6"/>
      <c r="W514" s="50"/>
      <c r="X514" s="50"/>
    </row>
    <row r="515" spans="2:24" ht="15.75" customHeight="1">
      <c r="B515" s="6"/>
      <c r="W515" s="50"/>
      <c r="X515" s="50"/>
    </row>
    <row r="516" spans="2:24" ht="15.75" customHeight="1">
      <c r="B516" s="6"/>
      <c r="W516" s="50"/>
      <c r="X516" s="50"/>
    </row>
    <row r="517" spans="2:24" ht="15.75" customHeight="1">
      <c r="B517" s="6"/>
      <c r="W517" s="50"/>
      <c r="X517" s="50"/>
    </row>
    <row r="518" spans="2:24" ht="15.75" customHeight="1">
      <c r="B518" s="6"/>
      <c r="W518" s="50"/>
      <c r="X518" s="50"/>
    </row>
    <row r="519" spans="2:24" ht="15.75" customHeight="1">
      <c r="B519" s="6"/>
      <c r="W519" s="50"/>
      <c r="X519" s="50"/>
    </row>
    <row r="520" spans="2:24" ht="15.75" customHeight="1">
      <c r="B520" s="6"/>
      <c r="W520" s="50"/>
      <c r="X520" s="50"/>
    </row>
    <row r="521" spans="2:24" ht="15.75" customHeight="1">
      <c r="B521" s="6"/>
      <c r="W521" s="50"/>
      <c r="X521" s="50"/>
    </row>
    <row r="522" spans="2:24" ht="15.75" customHeight="1">
      <c r="B522" s="6"/>
      <c r="W522" s="50"/>
      <c r="X522" s="50"/>
    </row>
    <row r="523" spans="2:24" ht="15.75" customHeight="1">
      <c r="B523" s="6"/>
      <c r="W523" s="50"/>
      <c r="X523" s="50"/>
    </row>
    <row r="524" spans="2:24" ht="15.75" customHeight="1">
      <c r="B524" s="6"/>
      <c r="W524" s="50"/>
      <c r="X524" s="50"/>
    </row>
    <row r="525" spans="2:24" ht="15.75" customHeight="1">
      <c r="B525" s="6"/>
      <c r="W525" s="50"/>
      <c r="X525" s="50"/>
    </row>
    <row r="526" spans="2:24" ht="15.75" customHeight="1">
      <c r="B526" s="6"/>
      <c r="W526" s="50"/>
      <c r="X526" s="50"/>
    </row>
    <row r="527" spans="2:24" ht="15.75" customHeight="1">
      <c r="B527" s="6"/>
      <c r="W527" s="50"/>
      <c r="X527" s="50"/>
    </row>
    <row r="528" spans="2:24" ht="15.75" customHeight="1">
      <c r="B528" s="6"/>
      <c r="W528" s="50"/>
      <c r="X528" s="50"/>
    </row>
    <row r="529" spans="2:24" ht="15.75" customHeight="1">
      <c r="B529" s="6"/>
      <c r="W529" s="50"/>
      <c r="X529" s="50"/>
    </row>
    <row r="530" spans="2:24" ht="15.75" customHeight="1">
      <c r="B530" s="6"/>
      <c r="W530" s="50"/>
      <c r="X530" s="50"/>
    </row>
    <row r="531" spans="2:24" ht="15.75" customHeight="1">
      <c r="B531" s="6"/>
      <c r="W531" s="50"/>
      <c r="X531" s="50"/>
    </row>
    <row r="532" spans="2:24" ht="15.75" customHeight="1">
      <c r="B532" s="6"/>
      <c r="W532" s="50"/>
      <c r="X532" s="50"/>
    </row>
    <row r="533" spans="2:24" ht="15.75" customHeight="1">
      <c r="B533" s="6"/>
      <c r="W533" s="50"/>
      <c r="X533" s="50"/>
    </row>
    <row r="534" spans="2:24" ht="15.75" customHeight="1">
      <c r="B534" s="6"/>
      <c r="W534" s="50"/>
      <c r="X534" s="50"/>
    </row>
    <row r="535" spans="2:24" ht="15.75" customHeight="1">
      <c r="B535" s="6"/>
      <c r="W535" s="50"/>
      <c r="X535" s="50"/>
    </row>
    <row r="536" spans="2:24" ht="15.75" customHeight="1">
      <c r="B536" s="6"/>
      <c r="W536" s="50"/>
      <c r="X536" s="50"/>
    </row>
    <row r="537" spans="2:24" ht="15.75" customHeight="1">
      <c r="B537" s="6"/>
      <c r="W537" s="50"/>
      <c r="X537" s="50"/>
    </row>
    <row r="538" spans="2:24" ht="15.75" customHeight="1">
      <c r="B538" s="6"/>
      <c r="W538" s="50"/>
      <c r="X538" s="50"/>
    </row>
    <row r="539" spans="2:24" ht="15.75" customHeight="1">
      <c r="B539" s="6"/>
      <c r="W539" s="50"/>
      <c r="X539" s="50"/>
    </row>
    <row r="540" spans="2:24" ht="15.75" customHeight="1">
      <c r="B540" s="6"/>
      <c r="W540" s="50"/>
      <c r="X540" s="50"/>
    </row>
    <row r="541" spans="2:24" ht="15.75" customHeight="1">
      <c r="B541" s="6"/>
      <c r="W541" s="50"/>
      <c r="X541" s="50"/>
    </row>
    <row r="542" spans="2:24" ht="15.75" customHeight="1">
      <c r="B542" s="6"/>
      <c r="W542" s="50"/>
      <c r="X542" s="50"/>
    </row>
    <row r="543" spans="2:24" ht="15.75" customHeight="1">
      <c r="B543" s="6"/>
      <c r="W543" s="50"/>
      <c r="X543" s="50"/>
    </row>
    <row r="544" spans="2:24" ht="15.75" customHeight="1">
      <c r="B544" s="6"/>
      <c r="W544" s="50"/>
      <c r="X544" s="50"/>
    </row>
    <row r="545" spans="2:24" ht="15.75" customHeight="1">
      <c r="B545" s="6"/>
      <c r="W545" s="50"/>
      <c r="X545" s="50"/>
    </row>
    <row r="546" spans="2:24" ht="15.75" customHeight="1">
      <c r="B546" s="6"/>
      <c r="W546" s="50"/>
      <c r="X546" s="50"/>
    </row>
    <row r="547" spans="2:24" ht="15.75" customHeight="1">
      <c r="B547" s="6"/>
      <c r="W547" s="50"/>
      <c r="X547" s="50"/>
    </row>
    <row r="548" spans="2:24" ht="15.75" customHeight="1">
      <c r="B548" s="6"/>
      <c r="W548" s="50"/>
      <c r="X548" s="50"/>
    </row>
    <row r="549" spans="2:24" ht="15.75" customHeight="1">
      <c r="B549" s="6"/>
      <c r="W549" s="50"/>
      <c r="X549" s="50"/>
    </row>
    <row r="550" spans="2:24" ht="15.75" customHeight="1">
      <c r="B550" s="6"/>
      <c r="W550" s="50"/>
      <c r="X550" s="50"/>
    </row>
    <row r="551" spans="2:24" ht="15.75" customHeight="1">
      <c r="B551" s="6"/>
      <c r="W551" s="50"/>
      <c r="X551" s="50"/>
    </row>
    <row r="552" spans="2:24" ht="15.75" customHeight="1">
      <c r="B552" s="6"/>
      <c r="W552" s="50"/>
      <c r="X552" s="50"/>
    </row>
    <row r="553" spans="2:24" ht="15.75" customHeight="1">
      <c r="B553" s="6"/>
      <c r="W553" s="50"/>
      <c r="X553" s="50"/>
    </row>
    <row r="554" spans="2:24" ht="15.75" customHeight="1">
      <c r="B554" s="6"/>
      <c r="W554" s="50"/>
      <c r="X554" s="50"/>
    </row>
    <row r="555" spans="2:24" ht="15.75" customHeight="1">
      <c r="B555" s="6"/>
      <c r="W555" s="50"/>
      <c r="X555" s="50"/>
    </row>
    <row r="556" spans="2:24" ht="15.75" customHeight="1">
      <c r="B556" s="6"/>
      <c r="W556" s="50"/>
      <c r="X556" s="50"/>
    </row>
    <row r="557" spans="2:24" ht="15.75" customHeight="1">
      <c r="B557" s="6"/>
      <c r="W557" s="50"/>
      <c r="X557" s="50"/>
    </row>
    <row r="558" spans="2:24" ht="15.75" customHeight="1">
      <c r="B558" s="6"/>
      <c r="W558" s="50"/>
      <c r="X558" s="50"/>
    </row>
    <row r="559" spans="2:24" ht="15.75" customHeight="1">
      <c r="B559" s="6"/>
      <c r="W559" s="50"/>
      <c r="X559" s="50"/>
    </row>
    <row r="560" spans="2:24" ht="15.75" customHeight="1">
      <c r="B560" s="6"/>
      <c r="W560" s="50"/>
      <c r="X560" s="50"/>
    </row>
    <row r="561" spans="2:24" ht="15.75" customHeight="1">
      <c r="B561" s="6"/>
      <c r="W561" s="50"/>
      <c r="X561" s="50"/>
    </row>
    <row r="562" spans="2:24" ht="15.75" customHeight="1">
      <c r="B562" s="6"/>
      <c r="W562" s="50"/>
      <c r="X562" s="50"/>
    </row>
    <row r="563" spans="2:24" ht="15.75" customHeight="1">
      <c r="B563" s="6"/>
      <c r="W563" s="50"/>
      <c r="X563" s="50"/>
    </row>
    <row r="564" spans="2:24" ht="15.75" customHeight="1">
      <c r="B564" s="6"/>
      <c r="W564" s="50"/>
      <c r="X564" s="50"/>
    </row>
    <row r="565" spans="2:24" ht="15.75" customHeight="1">
      <c r="B565" s="6"/>
      <c r="W565" s="50"/>
      <c r="X565" s="50"/>
    </row>
    <row r="566" spans="2:24" ht="15.75" customHeight="1">
      <c r="B566" s="6"/>
      <c r="W566" s="50"/>
      <c r="X566" s="50"/>
    </row>
    <row r="567" spans="2:24" ht="15.75" customHeight="1">
      <c r="B567" s="6"/>
      <c r="W567" s="50"/>
      <c r="X567" s="50"/>
    </row>
    <row r="568" spans="2:24" ht="15.75" customHeight="1">
      <c r="B568" s="6"/>
      <c r="W568" s="50"/>
      <c r="X568" s="50"/>
    </row>
    <row r="569" spans="2:24" ht="15.75" customHeight="1">
      <c r="B569" s="6"/>
      <c r="W569" s="50"/>
      <c r="X569" s="50"/>
    </row>
    <row r="570" spans="2:24" ht="15.75" customHeight="1">
      <c r="B570" s="6"/>
      <c r="W570" s="50"/>
      <c r="X570" s="50"/>
    </row>
    <row r="571" spans="2:24" ht="15.75" customHeight="1">
      <c r="B571" s="6"/>
      <c r="W571" s="50"/>
      <c r="X571" s="50"/>
    </row>
    <row r="572" spans="2:24" ht="15.75" customHeight="1">
      <c r="B572" s="6"/>
      <c r="W572" s="50"/>
      <c r="X572" s="50"/>
    </row>
    <row r="573" spans="2:24" ht="15.75" customHeight="1">
      <c r="B573" s="6"/>
      <c r="W573" s="50"/>
      <c r="X573" s="50"/>
    </row>
    <row r="574" spans="2:24" ht="15.75" customHeight="1">
      <c r="B574" s="6"/>
      <c r="W574" s="50"/>
      <c r="X574" s="50"/>
    </row>
    <row r="575" spans="2:24" ht="15.75" customHeight="1">
      <c r="B575" s="6"/>
      <c r="W575" s="50"/>
      <c r="X575" s="50"/>
    </row>
    <row r="576" spans="2:24" ht="15.75" customHeight="1">
      <c r="B576" s="6"/>
      <c r="W576" s="50"/>
      <c r="X576" s="50"/>
    </row>
    <row r="577" spans="2:24" ht="15.75" customHeight="1">
      <c r="B577" s="6"/>
      <c r="W577" s="50"/>
      <c r="X577" s="50"/>
    </row>
    <row r="578" spans="2:24" ht="15.75" customHeight="1">
      <c r="B578" s="6"/>
      <c r="W578" s="50"/>
      <c r="X578" s="50"/>
    </row>
    <row r="579" spans="2:24" ht="15.75" customHeight="1">
      <c r="B579" s="6"/>
      <c r="W579" s="50"/>
      <c r="X579" s="50"/>
    </row>
    <row r="580" spans="2:24" ht="15.75" customHeight="1">
      <c r="B580" s="6"/>
      <c r="W580" s="50"/>
      <c r="X580" s="50"/>
    </row>
    <row r="581" spans="2:24" ht="15.75" customHeight="1">
      <c r="B581" s="6"/>
      <c r="W581" s="50"/>
      <c r="X581" s="50"/>
    </row>
    <row r="582" spans="2:24" ht="15.75" customHeight="1">
      <c r="B582" s="6"/>
      <c r="W582" s="50"/>
      <c r="X582" s="50"/>
    </row>
    <row r="583" spans="2:24" ht="15.75" customHeight="1">
      <c r="B583" s="6"/>
      <c r="W583" s="50"/>
      <c r="X583" s="50"/>
    </row>
    <row r="584" spans="2:24" ht="15.75" customHeight="1">
      <c r="B584" s="6"/>
      <c r="W584" s="50"/>
      <c r="X584" s="50"/>
    </row>
    <row r="585" spans="2:24" ht="15.75" customHeight="1">
      <c r="B585" s="6"/>
      <c r="W585" s="50"/>
      <c r="X585" s="50"/>
    </row>
    <row r="586" spans="2:24" ht="15.75" customHeight="1">
      <c r="B586" s="6"/>
      <c r="W586" s="50"/>
      <c r="X586" s="50"/>
    </row>
    <row r="587" spans="2:24" ht="15.75" customHeight="1">
      <c r="B587" s="6"/>
      <c r="W587" s="50"/>
      <c r="X587" s="50"/>
    </row>
    <row r="588" spans="2:24" ht="15.75" customHeight="1">
      <c r="B588" s="6"/>
      <c r="W588" s="50"/>
      <c r="X588" s="50"/>
    </row>
    <row r="589" spans="2:24" ht="15.75" customHeight="1">
      <c r="B589" s="6"/>
      <c r="W589" s="50"/>
      <c r="X589" s="50"/>
    </row>
    <row r="590" spans="2:24" ht="15.75" customHeight="1">
      <c r="B590" s="6"/>
      <c r="W590" s="50"/>
      <c r="X590" s="50"/>
    </row>
    <row r="591" spans="2:24" ht="15.75" customHeight="1">
      <c r="B591" s="6"/>
      <c r="W591" s="50"/>
      <c r="X591" s="50"/>
    </row>
    <row r="592" spans="2:24" ht="15.75" customHeight="1">
      <c r="B592" s="6"/>
      <c r="W592" s="50"/>
      <c r="X592" s="50"/>
    </row>
    <row r="593" spans="2:24" ht="15.75" customHeight="1">
      <c r="B593" s="6"/>
      <c r="W593" s="50"/>
      <c r="X593" s="50"/>
    </row>
    <row r="594" spans="2:24" ht="15.75" customHeight="1">
      <c r="B594" s="6"/>
      <c r="W594" s="50"/>
      <c r="X594" s="50"/>
    </row>
    <row r="595" spans="2:24" ht="15.75" customHeight="1">
      <c r="B595" s="6"/>
      <c r="W595" s="50"/>
      <c r="X595" s="50"/>
    </row>
    <row r="596" spans="2:24" ht="15.75" customHeight="1">
      <c r="B596" s="6"/>
      <c r="W596" s="50"/>
      <c r="X596" s="50"/>
    </row>
    <row r="597" spans="2:24" ht="15.75" customHeight="1">
      <c r="B597" s="6"/>
      <c r="W597" s="50"/>
      <c r="X597" s="50"/>
    </row>
    <row r="598" spans="2:24" ht="15.75" customHeight="1">
      <c r="B598" s="6"/>
      <c r="W598" s="50"/>
      <c r="X598" s="50"/>
    </row>
    <row r="599" spans="2:24" ht="15.75" customHeight="1">
      <c r="B599" s="6"/>
      <c r="W599" s="50"/>
      <c r="X599" s="50"/>
    </row>
    <row r="600" spans="2:24" ht="15.75" customHeight="1">
      <c r="B600" s="6"/>
      <c r="W600" s="50"/>
      <c r="X600" s="50"/>
    </row>
    <row r="601" spans="2:24" ht="15.75" customHeight="1">
      <c r="B601" s="6"/>
      <c r="W601" s="50"/>
      <c r="X601" s="50"/>
    </row>
    <row r="602" spans="2:24" ht="15.75" customHeight="1">
      <c r="B602" s="6"/>
      <c r="W602" s="50"/>
      <c r="X602" s="50"/>
    </row>
    <row r="603" spans="2:24" ht="15.75" customHeight="1">
      <c r="B603" s="6"/>
      <c r="W603" s="50"/>
      <c r="X603" s="50"/>
    </row>
    <row r="604" spans="2:24" ht="15.75" customHeight="1">
      <c r="B604" s="6"/>
      <c r="W604" s="50"/>
      <c r="X604" s="50"/>
    </row>
    <row r="605" spans="2:24" ht="15.75" customHeight="1">
      <c r="B605" s="6"/>
      <c r="W605" s="50"/>
      <c r="X605" s="50"/>
    </row>
    <row r="606" spans="2:24" ht="15.75" customHeight="1">
      <c r="B606" s="6"/>
      <c r="W606" s="50"/>
      <c r="X606" s="50"/>
    </row>
    <row r="607" spans="2:24" ht="15.75" customHeight="1">
      <c r="B607" s="6"/>
      <c r="W607" s="50"/>
      <c r="X607" s="50"/>
    </row>
    <row r="608" spans="2:24" ht="15.75" customHeight="1">
      <c r="B608" s="6"/>
      <c r="W608" s="50"/>
      <c r="X608" s="50"/>
    </row>
    <row r="609" spans="2:24" ht="15.75" customHeight="1">
      <c r="B609" s="6"/>
      <c r="W609" s="50"/>
      <c r="X609" s="50"/>
    </row>
    <row r="610" spans="2:24" ht="15.75" customHeight="1">
      <c r="B610" s="6"/>
      <c r="W610" s="50"/>
      <c r="X610" s="50"/>
    </row>
    <row r="611" spans="2:24" ht="15.75" customHeight="1">
      <c r="B611" s="6"/>
      <c r="W611" s="50"/>
      <c r="X611" s="50"/>
    </row>
    <row r="612" spans="2:24" ht="15.75" customHeight="1">
      <c r="B612" s="6"/>
      <c r="W612" s="50"/>
      <c r="X612" s="50"/>
    </row>
    <row r="613" spans="2:24" ht="15.75" customHeight="1">
      <c r="B613" s="6"/>
      <c r="W613" s="50"/>
      <c r="X613" s="50"/>
    </row>
    <row r="614" spans="2:24" ht="15.75" customHeight="1">
      <c r="B614" s="6"/>
      <c r="W614" s="50"/>
      <c r="X614" s="50"/>
    </row>
    <row r="615" spans="2:24" ht="15.75" customHeight="1">
      <c r="B615" s="6"/>
      <c r="W615" s="50"/>
      <c r="X615" s="50"/>
    </row>
    <row r="616" spans="2:24" ht="15.75" customHeight="1">
      <c r="B616" s="6"/>
      <c r="W616" s="50"/>
      <c r="X616" s="50"/>
    </row>
    <row r="617" spans="2:24" ht="15.75" customHeight="1">
      <c r="B617" s="6"/>
      <c r="W617" s="50"/>
      <c r="X617" s="50"/>
    </row>
    <row r="618" spans="2:24" ht="15.75" customHeight="1">
      <c r="B618" s="6"/>
      <c r="W618" s="50"/>
      <c r="X618" s="50"/>
    </row>
    <row r="619" spans="2:24" ht="15.75" customHeight="1">
      <c r="B619" s="6"/>
      <c r="W619" s="50"/>
      <c r="X619" s="50"/>
    </row>
    <row r="620" spans="2:24" ht="15.75" customHeight="1">
      <c r="B620" s="6"/>
      <c r="W620" s="50"/>
      <c r="X620" s="50"/>
    </row>
    <row r="621" spans="2:24" ht="15.75" customHeight="1">
      <c r="B621" s="6"/>
      <c r="W621" s="50"/>
      <c r="X621" s="50"/>
    </row>
    <row r="622" spans="2:24" ht="15.75" customHeight="1">
      <c r="B622" s="6"/>
      <c r="W622" s="50"/>
      <c r="X622" s="50"/>
    </row>
    <row r="623" spans="2:24" ht="15.75" customHeight="1">
      <c r="B623" s="6"/>
      <c r="W623" s="50"/>
      <c r="X623" s="50"/>
    </row>
    <row r="624" spans="2:24" ht="15.75" customHeight="1">
      <c r="B624" s="6"/>
      <c r="W624" s="50"/>
      <c r="X624" s="50"/>
    </row>
    <row r="625" spans="23:24" ht="15.75" customHeight="1">
      <c r="W625" s="50"/>
      <c r="X625" s="50"/>
    </row>
    <row r="626" spans="23:24" ht="15.75" customHeight="1">
      <c r="W626" s="50"/>
      <c r="X626" s="50"/>
    </row>
    <row r="627" spans="23:24" ht="15.75" customHeight="1">
      <c r="W627" s="50"/>
      <c r="X627" s="50"/>
    </row>
    <row r="628" spans="23:24" ht="15.75" customHeight="1">
      <c r="W628" s="50"/>
      <c r="X628" s="50"/>
    </row>
    <row r="629" spans="23:24" ht="15.75" customHeight="1">
      <c r="W629" s="50"/>
      <c r="X629" s="50"/>
    </row>
    <row r="630" spans="23:24" ht="15.75" customHeight="1">
      <c r="W630" s="50"/>
      <c r="X630" s="50"/>
    </row>
    <row r="631" spans="23:24" ht="15.75" customHeight="1">
      <c r="W631" s="50"/>
      <c r="X631" s="50"/>
    </row>
    <row r="632" spans="23:24" ht="15.75" customHeight="1">
      <c r="W632" s="50"/>
      <c r="X632" s="50"/>
    </row>
    <row r="633" spans="23:24" ht="15.75" customHeight="1">
      <c r="W633" s="50"/>
      <c r="X633" s="50"/>
    </row>
    <row r="634" spans="23:24" ht="15.75" customHeight="1">
      <c r="W634" s="50"/>
      <c r="X634" s="50"/>
    </row>
    <row r="635" spans="23:24" ht="15.75" customHeight="1">
      <c r="W635" s="50"/>
      <c r="X635" s="50"/>
    </row>
    <row r="636" spans="23:24" ht="15.75" customHeight="1">
      <c r="W636" s="50"/>
      <c r="X636" s="50"/>
    </row>
    <row r="637" spans="23:24" ht="15.75" customHeight="1">
      <c r="W637" s="50"/>
      <c r="X637" s="50"/>
    </row>
    <row r="638" spans="23:24" ht="15.75" customHeight="1">
      <c r="W638" s="50"/>
      <c r="X638" s="50"/>
    </row>
    <row r="639" spans="23:24" ht="15.75" customHeight="1">
      <c r="W639" s="50"/>
      <c r="X639" s="50"/>
    </row>
    <row r="640" spans="23:24" ht="15.75" customHeight="1">
      <c r="W640" s="50"/>
      <c r="X640" s="50"/>
    </row>
    <row r="641" spans="23:24" ht="15.75" customHeight="1">
      <c r="W641" s="50"/>
      <c r="X641" s="50"/>
    </row>
    <row r="642" spans="23:24" ht="15.75" customHeight="1">
      <c r="W642" s="50"/>
      <c r="X642" s="50"/>
    </row>
    <row r="643" spans="23:24" ht="15.75" customHeight="1">
      <c r="W643" s="50"/>
      <c r="X643" s="50"/>
    </row>
    <row r="644" spans="23:24" ht="15.75" customHeight="1">
      <c r="W644" s="50"/>
      <c r="X644" s="50"/>
    </row>
    <row r="645" spans="23:24" ht="15.75" customHeight="1">
      <c r="W645" s="50"/>
      <c r="X645" s="50"/>
    </row>
    <row r="646" spans="23:24" ht="15.75" customHeight="1">
      <c r="W646" s="50"/>
      <c r="X646" s="50"/>
    </row>
    <row r="647" spans="23:24" ht="15.75" customHeight="1">
      <c r="W647" s="50"/>
      <c r="X647" s="50"/>
    </row>
    <row r="648" spans="23:24" ht="15.75" customHeight="1">
      <c r="W648" s="50"/>
      <c r="X648" s="50"/>
    </row>
    <row r="649" spans="23:24" ht="15.75" customHeight="1">
      <c r="W649" s="50"/>
      <c r="X649" s="50"/>
    </row>
    <row r="650" spans="23:24" ht="15.75" customHeight="1">
      <c r="W650" s="50"/>
      <c r="X650" s="50"/>
    </row>
    <row r="651" spans="23:24" ht="15.75" customHeight="1">
      <c r="W651" s="50"/>
      <c r="X651" s="50"/>
    </row>
    <row r="652" spans="23:24" ht="15.75" customHeight="1">
      <c r="W652" s="50"/>
      <c r="X652" s="50"/>
    </row>
    <row r="653" spans="23:24" ht="15.75" customHeight="1">
      <c r="W653" s="50"/>
      <c r="X653" s="50"/>
    </row>
    <row r="654" spans="23:24" ht="15.75" customHeight="1">
      <c r="W654" s="50"/>
      <c r="X654" s="50"/>
    </row>
    <row r="655" spans="23:24" ht="15.75" customHeight="1">
      <c r="W655" s="50"/>
      <c r="X655" s="50"/>
    </row>
    <row r="656" spans="23:24" ht="15.75" customHeight="1">
      <c r="W656" s="50"/>
      <c r="X656" s="50"/>
    </row>
    <row r="657" spans="23:24" ht="15.75" customHeight="1">
      <c r="W657" s="50"/>
      <c r="X657" s="50"/>
    </row>
    <row r="658" spans="23:24" ht="15.75" customHeight="1">
      <c r="W658" s="50"/>
      <c r="X658" s="50"/>
    </row>
    <row r="659" spans="23:24" ht="15.75" customHeight="1">
      <c r="W659" s="50"/>
      <c r="X659" s="50"/>
    </row>
    <row r="660" spans="23:24" ht="15.75" customHeight="1">
      <c r="W660" s="50"/>
      <c r="X660" s="50"/>
    </row>
    <row r="661" spans="23:24" ht="15.75" customHeight="1">
      <c r="W661" s="50"/>
      <c r="X661" s="50"/>
    </row>
    <row r="662" spans="23:24" ht="15.75" customHeight="1">
      <c r="W662" s="50"/>
      <c r="X662" s="50"/>
    </row>
    <row r="663" spans="23:24" ht="15.75" customHeight="1">
      <c r="W663" s="50"/>
      <c r="X663" s="50"/>
    </row>
    <row r="664" spans="23:24" ht="15.75" customHeight="1">
      <c r="W664" s="50"/>
      <c r="X664" s="50"/>
    </row>
    <row r="665" spans="23:24" ht="15.75" customHeight="1">
      <c r="W665" s="50"/>
      <c r="X665" s="50"/>
    </row>
    <row r="666" spans="23:24" ht="15.75" customHeight="1">
      <c r="W666" s="50"/>
      <c r="X666" s="50"/>
    </row>
    <row r="667" spans="23:24" ht="15.75" customHeight="1">
      <c r="W667" s="50"/>
      <c r="X667" s="50"/>
    </row>
    <row r="668" spans="23:24" ht="15.75" customHeight="1">
      <c r="W668" s="50"/>
      <c r="X668" s="50"/>
    </row>
    <row r="669" spans="23:24" ht="15.75" customHeight="1">
      <c r="W669" s="50"/>
      <c r="X669" s="50"/>
    </row>
    <row r="670" spans="23:24" ht="15.75" customHeight="1">
      <c r="W670" s="50"/>
      <c r="X670" s="50"/>
    </row>
    <row r="671" spans="23:24" ht="15.75" customHeight="1">
      <c r="W671" s="50"/>
      <c r="X671" s="50"/>
    </row>
    <row r="672" spans="23:24" ht="15.75" customHeight="1">
      <c r="W672" s="50"/>
      <c r="X672" s="50"/>
    </row>
    <row r="673" spans="23:24" ht="15.75" customHeight="1">
      <c r="W673" s="50"/>
      <c r="X673" s="50"/>
    </row>
    <row r="674" spans="23:24" ht="15.75" customHeight="1">
      <c r="W674" s="50"/>
      <c r="X674" s="50"/>
    </row>
    <row r="675" spans="23:24" ht="15.75" customHeight="1">
      <c r="W675" s="50"/>
      <c r="X675" s="50"/>
    </row>
    <row r="676" spans="23:24" ht="15.75" customHeight="1">
      <c r="W676" s="50"/>
      <c r="X676" s="50"/>
    </row>
    <row r="677" spans="23:24" ht="15.75" customHeight="1">
      <c r="W677" s="50"/>
      <c r="X677" s="50"/>
    </row>
    <row r="678" spans="23:24" ht="15.75" customHeight="1">
      <c r="W678" s="50"/>
      <c r="X678" s="50"/>
    </row>
    <row r="679" spans="23:24" ht="15.75" customHeight="1">
      <c r="W679" s="50"/>
      <c r="X679" s="50"/>
    </row>
    <row r="680" spans="23:24" ht="15.75" customHeight="1">
      <c r="W680" s="50"/>
      <c r="X680" s="50"/>
    </row>
    <row r="681" spans="23:24" ht="15.75" customHeight="1">
      <c r="W681" s="50"/>
      <c r="X681" s="50"/>
    </row>
    <row r="682" spans="23:24" ht="15.75" customHeight="1">
      <c r="W682" s="50"/>
      <c r="X682" s="50"/>
    </row>
    <row r="683" spans="23:24" ht="15.75" customHeight="1">
      <c r="W683" s="50"/>
      <c r="X683" s="50"/>
    </row>
    <row r="684" spans="23:24" ht="15.75" customHeight="1">
      <c r="W684" s="50"/>
      <c r="X684" s="50"/>
    </row>
    <row r="685" spans="23:24" ht="15.75" customHeight="1">
      <c r="W685" s="50"/>
      <c r="X685" s="50"/>
    </row>
    <row r="686" spans="23:24" ht="15.75" customHeight="1">
      <c r="W686" s="50"/>
      <c r="X686" s="50"/>
    </row>
    <row r="687" spans="23:24" ht="15.75" customHeight="1">
      <c r="W687" s="50"/>
      <c r="X687" s="50"/>
    </row>
    <row r="688" spans="23:24" ht="15.75" customHeight="1">
      <c r="W688" s="50"/>
      <c r="X688" s="50"/>
    </row>
    <row r="689" spans="23:24" ht="15.75" customHeight="1">
      <c r="W689" s="50"/>
      <c r="X689" s="50"/>
    </row>
    <row r="690" spans="23:24" ht="15.75" customHeight="1">
      <c r="W690" s="50"/>
      <c r="X690" s="50"/>
    </row>
    <row r="691" spans="23:24" ht="15.75" customHeight="1">
      <c r="W691" s="50"/>
      <c r="X691" s="50"/>
    </row>
    <row r="692" spans="23:24" ht="15.75" customHeight="1">
      <c r="W692" s="50"/>
      <c r="X692" s="50"/>
    </row>
    <row r="693" spans="23:24" ht="15.75" customHeight="1">
      <c r="W693" s="50"/>
      <c r="X693" s="50"/>
    </row>
    <row r="694" spans="23:24" ht="15.75" customHeight="1">
      <c r="W694" s="50"/>
      <c r="X694" s="50"/>
    </row>
    <row r="695" spans="23:24" ht="15.75" customHeight="1">
      <c r="W695" s="50"/>
      <c r="X695" s="50"/>
    </row>
    <row r="696" spans="23:24" ht="15.75" customHeight="1">
      <c r="W696" s="50"/>
      <c r="X696" s="50"/>
    </row>
    <row r="697" spans="23:24" ht="15.75" customHeight="1">
      <c r="W697" s="50"/>
      <c r="X697" s="50"/>
    </row>
    <row r="698" spans="23:24" ht="15.75" customHeight="1">
      <c r="W698" s="50"/>
      <c r="X698" s="50"/>
    </row>
    <row r="699" spans="23:24" ht="15.75" customHeight="1">
      <c r="W699" s="50"/>
      <c r="X699" s="50"/>
    </row>
    <row r="700" spans="23:24" ht="15.75" customHeight="1">
      <c r="W700" s="50"/>
      <c r="X700" s="50"/>
    </row>
    <row r="701" spans="23:24" ht="15.75" customHeight="1">
      <c r="W701" s="50"/>
      <c r="X701" s="50"/>
    </row>
    <row r="702" spans="23:24" ht="15.75" customHeight="1">
      <c r="W702" s="50"/>
      <c r="X702" s="50"/>
    </row>
    <row r="703" spans="23:24" ht="15.75" customHeight="1">
      <c r="W703" s="50"/>
      <c r="X703" s="50"/>
    </row>
    <row r="704" spans="23:24" ht="15.75" customHeight="1">
      <c r="W704" s="50"/>
      <c r="X704" s="50"/>
    </row>
    <row r="705" spans="23:24" ht="15.75" customHeight="1">
      <c r="W705" s="50"/>
      <c r="X705" s="50"/>
    </row>
    <row r="706" spans="23:24" ht="15.75" customHeight="1">
      <c r="W706" s="50"/>
      <c r="X706" s="50"/>
    </row>
    <row r="707" spans="23:24" ht="15.75" customHeight="1">
      <c r="W707" s="50"/>
      <c r="X707" s="50"/>
    </row>
    <row r="708" spans="23:24" ht="15.75" customHeight="1">
      <c r="W708" s="50"/>
      <c r="X708" s="50"/>
    </row>
    <row r="709" spans="23:24" ht="15.75" customHeight="1">
      <c r="W709" s="50"/>
      <c r="X709" s="50"/>
    </row>
    <row r="710" spans="23:24" ht="15.75" customHeight="1">
      <c r="W710" s="50"/>
      <c r="X710" s="50"/>
    </row>
    <row r="711" spans="23:24" ht="15.75" customHeight="1">
      <c r="W711" s="50"/>
      <c r="X711" s="50"/>
    </row>
    <row r="712" spans="23:24" ht="15.75" customHeight="1">
      <c r="W712" s="50"/>
      <c r="X712" s="50"/>
    </row>
    <row r="713" spans="23:24" ht="15.75" customHeight="1">
      <c r="W713" s="50"/>
      <c r="X713" s="50"/>
    </row>
    <row r="714" spans="23:24" ht="15.75" customHeight="1">
      <c r="W714" s="50"/>
      <c r="X714" s="50"/>
    </row>
    <row r="715" spans="23:24" ht="15.75" customHeight="1">
      <c r="W715" s="50"/>
      <c r="X715" s="50"/>
    </row>
    <row r="716" spans="23:24" ht="15.75" customHeight="1">
      <c r="W716" s="50"/>
      <c r="X716" s="50"/>
    </row>
    <row r="717" spans="23:24" ht="15.75" customHeight="1">
      <c r="W717" s="50"/>
      <c r="X717" s="50"/>
    </row>
    <row r="718" spans="23:24" ht="15.75" customHeight="1">
      <c r="W718" s="50"/>
      <c r="X718" s="50"/>
    </row>
    <row r="719" spans="23:24" ht="15.75" customHeight="1">
      <c r="W719" s="50"/>
      <c r="X719" s="50"/>
    </row>
    <row r="720" spans="23:24" ht="15.75" customHeight="1">
      <c r="W720" s="50"/>
      <c r="X720" s="50"/>
    </row>
    <row r="721" spans="23:24" ht="15.75" customHeight="1">
      <c r="W721" s="50"/>
      <c r="X721" s="50"/>
    </row>
    <row r="722" spans="23:24" ht="15.75" customHeight="1">
      <c r="W722" s="50"/>
      <c r="X722" s="50"/>
    </row>
    <row r="723" spans="23:24" ht="15.75" customHeight="1">
      <c r="W723" s="50"/>
      <c r="X723" s="50"/>
    </row>
    <row r="724" spans="23:24" ht="15.75" customHeight="1">
      <c r="W724" s="50"/>
      <c r="X724" s="50"/>
    </row>
    <row r="725" spans="23:24" ht="15.75" customHeight="1">
      <c r="W725" s="50"/>
      <c r="X725" s="50"/>
    </row>
    <row r="726" spans="23:24" ht="15.75" customHeight="1">
      <c r="W726" s="50"/>
      <c r="X726" s="50"/>
    </row>
    <row r="727" spans="23:24" ht="15.75" customHeight="1">
      <c r="W727" s="50"/>
      <c r="X727" s="50"/>
    </row>
    <row r="728" spans="23:24" ht="15.75" customHeight="1">
      <c r="W728" s="50"/>
      <c r="X728" s="50"/>
    </row>
    <row r="729" spans="23:24" ht="15.75" customHeight="1">
      <c r="W729" s="50"/>
      <c r="X729" s="50"/>
    </row>
    <row r="730" spans="23:24" ht="15.75" customHeight="1">
      <c r="W730" s="50"/>
      <c r="X730" s="50"/>
    </row>
    <row r="731" spans="23:24" ht="15.75" customHeight="1">
      <c r="W731" s="50"/>
      <c r="X731" s="50"/>
    </row>
    <row r="732" spans="23:24" ht="15.75" customHeight="1">
      <c r="W732" s="50"/>
      <c r="X732" s="50"/>
    </row>
    <row r="733" spans="23:24" ht="15.75" customHeight="1">
      <c r="W733" s="50"/>
      <c r="X733" s="50"/>
    </row>
    <row r="734" spans="23:24" ht="15.75" customHeight="1">
      <c r="W734" s="50"/>
      <c r="X734" s="50"/>
    </row>
    <row r="735" spans="23:24" ht="15.75" customHeight="1">
      <c r="W735" s="50"/>
      <c r="X735" s="50"/>
    </row>
    <row r="736" spans="23:24" ht="15.75" customHeight="1">
      <c r="W736" s="50"/>
      <c r="X736" s="50"/>
    </row>
    <row r="737" spans="23:24" ht="15.75" customHeight="1">
      <c r="W737" s="50"/>
      <c r="X737" s="50"/>
    </row>
    <row r="738" spans="23:24" ht="15.75" customHeight="1">
      <c r="W738" s="50"/>
      <c r="X738" s="50"/>
    </row>
    <row r="739" spans="23:24" ht="15.75" customHeight="1">
      <c r="W739" s="50"/>
      <c r="X739" s="50"/>
    </row>
    <row r="740" spans="23:24" ht="15.75" customHeight="1">
      <c r="W740" s="50"/>
      <c r="X740" s="50"/>
    </row>
    <row r="741" spans="23:24" ht="15.75" customHeight="1">
      <c r="W741" s="50"/>
      <c r="X741" s="50"/>
    </row>
    <row r="742" spans="23:24" ht="15.75" customHeight="1">
      <c r="W742" s="50"/>
      <c r="X742" s="50"/>
    </row>
    <row r="743" spans="23:24" ht="15.75" customHeight="1">
      <c r="W743" s="50"/>
      <c r="X743" s="50"/>
    </row>
    <row r="744" spans="23:24" ht="15.75" customHeight="1">
      <c r="W744" s="50"/>
      <c r="X744" s="50"/>
    </row>
    <row r="745" spans="23:24" ht="15.75" customHeight="1">
      <c r="W745" s="50"/>
      <c r="X745" s="50"/>
    </row>
    <row r="746" spans="23:24" ht="15.75" customHeight="1">
      <c r="W746" s="50"/>
      <c r="X746" s="50"/>
    </row>
    <row r="747" spans="23:24" ht="15.75" customHeight="1">
      <c r="W747" s="50"/>
      <c r="X747" s="50"/>
    </row>
    <row r="748" spans="23:24" ht="15.75" customHeight="1">
      <c r="W748" s="50"/>
      <c r="X748" s="50"/>
    </row>
    <row r="749" spans="23:24" ht="15.75" customHeight="1">
      <c r="W749" s="50"/>
      <c r="X749" s="50"/>
    </row>
    <row r="750" spans="23:24" ht="15.75" customHeight="1">
      <c r="W750" s="50"/>
      <c r="X750" s="50"/>
    </row>
    <row r="751" spans="23:24" ht="15.75" customHeight="1">
      <c r="W751" s="50"/>
      <c r="X751" s="50"/>
    </row>
    <row r="752" spans="23:24" ht="15.75" customHeight="1">
      <c r="W752" s="50"/>
      <c r="X752" s="50"/>
    </row>
    <row r="753" spans="23:24" ht="15.75" customHeight="1">
      <c r="W753" s="50"/>
      <c r="X753" s="50"/>
    </row>
    <row r="754" spans="23:24" ht="15.75" customHeight="1">
      <c r="W754" s="50"/>
      <c r="X754" s="50"/>
    </row>
    <row r="755" spans="23:24" ht="15.75" customHeight="1">
      <c r="W755" s="50"/>
      <c r="X755" s="50"/>
    </row>
    <row r="756" spans="23:24" ht="15.75" customHeight="1">
      <c r="W756" s="50"/>
      <c r="X756" s="50"/>
    </row>
    <row r="757" spans="23:24" ht="15.75" customHeight="1">
      <c r="W757" s="50"/>
      <c r="X757" s="50"/>
    </row>
    <row r="758" spans="23:24" ht="15.75" customHeight="1">
      <c r="W758" s="50"/>
      <c r="X758" s="50"/>
    </row>
    <row r="759" spans="23:24" ht="15.75" customHeight="1">
      <c r="W759" s="50"/>
      <c r="X759" s="50"/>
    </row>
    <row r="760" spans="23:24" ht="15.75" customHeight="1">
      <c r="W760" s="50"/>
      <c r="X760" s="50"/>
    </row>
    <row r="761" spans="23:24" ht="15.75" customHeight="1">
      <c r="W761" s="50"/>
      <c r="X761" s="50"/>
    </row>
    <row r="762" spans="23:24" ht="15.75" customHeight="1">
      <c r="W762" s="50"/>
      <c r="X762" s="50"/>
    </row>
    <row r="763" spans="23:24" ht="15.75" customHeight="1">
      <c r="W763" s="50"/>
      <c r="X763" s="50"/>
    </row>
    <row r="764" spans="23:24" ht="15.75" customHeight="1">
      <c r="W764" s="50"/>
      <c r="X764" s="50"/>
    </row>
    <row r="765" spans="23:24" ht="15.75" customHeight="1">
      <c r="W765" s="50"/>
      <c r="X765" s="50"/>
    </row>
    <row r="766" spans="23:24" ht="15.75" customHeight="1">
      <c r="W766" s="50"/>
      <c r="X766" s="50"/>
    </row>
    <row r="767" spans="23:24" ht="15.75" customHeight="1">
      <c r="W767" s="50"/>
      <c r="X767" s="50"/>
    </row>
    <row r="768" spans="23:24" ht="15.75" customHeight="1">
      <c r="W768" s="50"/>
      <c r="X768" s="50"/>
    </row>
    <row r="769" spans="23:24" ht="15.75" customHeight="1">
      <c r="W769" s="50"/>
      <c r="X769" s="50"/>
    </row>
    <row r="770" spans="23:24" ht="15.75" customHeight="1">
      <c r="W770" s="50"/>
      <c r="X770" s="50"/>
    </row>
    <row r="771" spans="23:24" ht="15.75" customHeight="1">
      <c r="W771" s="50"/>
      <c r="X771" s="50"/>
    </row>
    <row r="772" spans="23:24" ht="15.75" customHeight="1">
      <c r="W772" s="50"/>
      <c r="X772" s="50"/>
    </row>
    <row r="773" spans="23:24" ht="15.75" customHeight="1">
      <c r="W773" s="50"/>
      <c r="X773" s="50"/>
    </row>
    <row r="774" spans="23:24" ht="15.75" customHeight="1">
      <c r="W774" s="50"/>
      <c r="X774" s="50"/>
    </row>
    <row r="775" spans="23:24" ht="15.75" customHeight="1">
      <c r="W775" s="50"/>
      <c r="X775" s="50"/>
    </row>
    <row r="776" spans="23:24" ht="15.75" customHeight="1">
      <c r="W776" s="50"/>
      <c r="X776" s="50"/>
    </row>
    <row r="777" spans="23:24" ht="15.75" customHeight="1">
      <c r="W777" s="50"/>
      <c r="X777" s="50"/>
    </row>
    <row r="778" spans="23:24" ht="15.75" customHeight="1">
      <c r="W778" s="50"/>
      <c r="X778" s="50"/>
    </row>
    <row r="779" spans="23:24" ht="15.75" customHeight="1">
      <c r="W779" s="50"/>
      <c r="X779" s="50"/>
    </row>
    <row r="780" spans="23:24" ht="15.75" customHeight="1">
      <c r="W780" s="50"/>
      <c r="X780" s="50"/>
    </row>
    <row r="781" spans="23:24" ht="15.75" customHeight="1">
      <c r="W781" s="50"/>
      <c r="X781" s="50"/>
    </row>
    <row r="782" spans="23:24" ht="15.75" customHeight="1">
      <c r="W782" s="50"/>
      <c r="X782" s="50"/>
    </row>
    <row r="783" spans="23:24" ht="15.75" customHeight="1">
      <c r="W783" s="50"/>
      <c r="X783" s="50"/>
    </row>
    <row r="784" spans="23:24" ht="15.75" customHeight="1">
      <c r="W784" s="50"/>
      <c r="X784" s="50"/>
    </row>
    <row r="785" spans="23:24" ht="15.75" customHeight="1">
      <c r="W785" s="50"/>
      <c r="X785" s="50"/>
    </row>
    <row r="786" spans="23:24" ht="15.75" customHeight="1">
      <c r="W786" s="50"/>
      <c r="X786" s="50"/>
    </row>
    <row r="787" spans="23:24" ht="15.75" customHeight="1">
      <c r="W787" s="50"/>
      <c r="X787" s="50"/>
    </row>
    <row r="788" spans="23:24" ht="15.75" customHeight="1">
      <c r="W788" s="50"/>
      <c r="X788" s="50"/>
    </row>
    <row r="789" spans="23:24" ht="15.75" customHeight="1">
      <c r="W789" s="50"/>
      <c r="X789" s="50"/>
    </row>
    <row r="790" spans="23:24" ht="15.75" customHeight="1">
      <c r="W790" s="50"/>
      <c r="X790" s="50"/>
    </row>
    <row r="791" spans="23:24" ht="15.75" customHeight="1">
      <c r="W791" s="50"/>
      <c r="X791" s="50"/>
    </row>
    <row r="792" spans="23:24" ht="15.75" customHeight="1">
      <c r="W792" s="50"/>
      <c r="X792" s="50"/>
    </row>
    <row r="793" spans="23:24" ht="15.75" customHeight="1">
      <c r="W793" s="50"/>
      <c r="X793" s="50"/>
    </row>
    <row r="794" spans="23:24" ht="15.75" customHeight="1">
      <c r="W794" s="50"/>
      <c r="X794" s="50"/>
    </row>
    <row r="795" spans="23:24" ht="15.75" customHeight="1">
      <c r="W795" s="50"/>
      <c r="X795" s="50"/>
    </row>
    <row r="796" spans="23:24" ht="15.75" customHeight="1">
      <c r="W796" s="50"/>
      <c r="X796" s="50"/>
    </row>
    <row r="797" spans="23:24" ht="15.75" customHeight="1">
      <c r="W797" s="50"/>
      <c r="X797" s="50"/>
    </row>
    <row r="798" spans="23:24" ht="15.75" customHeight="1">
      <c r="W798" s="50"/>
      <c r="X798" s="50"/>
    </row>
    <row r="799" spans="23:24" ht="15.75" customHeight="1">
      <c r="W799" s="50"/>
      <c r="X799" s="50"/>
    </row>
    <row r="800" spans="23:24" ht="15.75" customHeight="1">
      <c r="W800" s="50"/>
      <c r="X800" s="50"/>
    </row>
    <row r="801" spans="23:24" ht="15.75" customHeight="1">
      <c r="W801" s="50"/>
      <c r="X801" s="50"/>
    </row>
    <row r="802" spans="23:24" ht="15.75" customHeight="1">
      <c r="W802" s="50"/>
      <c r="X802" s="50"/>
    </row>
    <row r="803" spans="23:24" ht="15.75" customHeight="1">
      <c r="W803" s="50"/>
      <c r="X803" s="50"/>
    </row>
    <row r="804" spans="23:24" ht="15.75" customHeight="1">
      <c r="W804" s="50"/>
      <c r="X804" s="50"/>
    </row>
    <row r="805" spans="23:24" ht="15.75" customHeight="1">
      <c r="W805" s="50"/>
      <c r="X805" s="50"/>
    </row>
    <row r="806" spans="23:24" ht="15.75" customHeight="1">
      <c r="W806" s="50"/>
      <c r="X806" s="50"/>
    </row>
    <row r="807" spans="23:24" ht="15.75" customHeight="1">
      <c r="W807" s="50"/>
      <c r="X807" s="50"/>
    </row>
    <row r="808" spans="23:24" ht="15.75" customHeight="1">
      <c r="W808" s="50"/>
      <c r="X808" s="50"/>
    </row>
    <row r="809" spans="23:24" ht="15.75" customHeight="1">
      <c r="W809" s="50"/>
      <c r="X809" s="50"/>
    </row>
    <row r="810" spans="23:24" ht="15.75" customHeight="1">
      <c r="W810" s="50"/>
      <c r="X810" s="50"/>
    </row>
    <row r="811" spans="23:24" ht="15.75" customHeight="1">
      <c r="W811" s="50"/>
      <c r="X811" s="50"/>
    </row>
    <row r="812" spans="23:24" ht="15.75" customHeight="1">
      <c r="W812" s="50"/>
      <c r="X812" s="50"/>
    </row>
    <row r="813" spans="23:24" ht="15.75" customHeight="1">
      <c r="W813" s="50"/>
      <c r="X813" s="50"/>
    </row>
    <row r="814" spans="23:24" ht="15.75" customHeight="1">
      <c r="W814" s="50"/>
      <c r="X814" s="50"/>
    </row>
    <row r="815" spans="23:24" ht="15.75" customHeight="1">
      <c r="W815" s="50"/>
      <c r="X815" s="50"/>
    </row>
    <row r="816" spans="23:24" ht="15.75" customHeight="1">
      <c r="W816" s="50"/>
      <c r="X816" s="50"/>
    </row>
    <row r="817" spans="23:24" ht="15.75" customHeight="1">
      <c r="W817" s="50"/>
      <c r="X817" s="50"/>
    </row>
    <row r="818" spans="23:24" ht="15.75" customHeight="1">
      <c r="W818" s="50"/>
      <c r="X818" s="50"/>
    </row>
    <row r="819" spans="23:24" ht="15.75" customHeight="1">
      <c r="W819" s="50"/>
      <c r="X819" s="50"/>
    </row>
    <row r="820" spans="23:24" ht="15.75" customHeight="1">
      <c r="W820" s="50"/>
      <c r="X820" s="50"/>
    </row>
    <row r="821" spans="23:24" ht="15.75" customHeight="1">
      <c r="W821" s="50"/>
      <c r="X821" s="50"/>
    </row>
    <row r="822" spans="23:24" ht="15.75" customHeight="1">
      <c r="W822" s="50"/>
      <c r="X822" s="50"/>
    </row>
    <row r="823" spans="23:24" ht="15.75" customHeight="1">
      <c r="W823" s="50"/>
      <c r="X823" s="50"/>
    </row>
    <row r="824" spans="23:24" ht="15.75" customHeight="1">
      <c r="W824" s="50"/>
      <c r="X824" s="50"/>
    </row>
    <row r="825" spans="23:24" ht="15.75" customHeight="1">
      <c r="W825" s="50"/>
      <c r="X825" s="50"/>
    </row>
    <row r="826" spans="23:24" ht="15.75" customHeight="1">
      <c r="W826" s="50"/>
      <c r="X826" s="50"/>
    </row>
    <row r="827" spans="23:24" ht="15.75" customHeight="1">
      <c r="W827" s="50"/>
      <c r="X827" s="50"/>
    </row>
    <row r="828" spans="23:24" ht="15.75" customHeight="1">
      <c r="W828" s="50"/>
      <c r="X828" s="50"/>
    </row>
    <row r="829" spans="23:24" ht="15.75" customHeight="1">
      <c r="W829" s="50"/>
      <c r="X829" s="50"/>
    </row>
    <row r="830" spans="23:24" ht="15.75" customHeight="1">
      <c r="W830" s="50"/>
      <c r="X830" s="50"/>
    </row>
    <row r="831" spans="23:24" ht="15.75" customHeight="1">
      <c r="W831" s="50"/>
      <c r="X831" s="50"/>
    </row>
    <row r="832" spans="23:24" ht="15.75" customHeight="1">
      <c r="W832" s="50"/>
      <c r="X832" s="50"/>
    </row>
    <row r="833" spans="23:24" ht="15.75" customHeight="1">
      <c r="W833" s="50"/>
      <c r="X833" s="50"/>
    </row>
    <row r="834" spans="23:24" ht="15.75" customHeight="1">
      <c r="W834" s="50"/>
      <c r="X834" s="50"/>
    </row>
    <row r="835" spans="23:24" ht="15.75" customHeight="1">
      <c r="W835" s="50"/>
      <c r="X835" s="50"/>
    </row>
    <row r="836" spans="23:24" ht="15.75" customHeight="1">
      <c r="W836" s="50"/>
      <c r="X836" s="50"/>
    </row>
    <row r="837" spans="23:24" ht="15.75" customHeight="1">
      <c r="W837" s="50"/>
      <c r="X837" s="50"/>
    </row>
    <row r="838" spans="23:24" ht="15.75" customHeight="1">
      <c r="W838" s="50"/>
      <c r="X838" s="50"/>
    </row>
    <row r="839" spans="23:24" ht="15.75" customHeight="1">
      <c r="W839" s="50"/>
      <c r="X839" s="50"/>
    </row>
    <row r="840" spans="23:24" ht="15.75" customHeight="1">
      <c r="W840" s="50"/>
      <c r="X840" s="50"/>
    </row>
    <row r="841" spans="23:24" ht="15.75" customHeight="1">
      <c r="W841" s="50"/>
      <c r="X841" s="50"/>
    </row>
    <row r="842" spans="23:24" ht="15.75" customHeight="1">
      <c r="W842" s="50"/>
      <c r="X842" s="50"/>
    </row>
    <row r="843" spans="23:24" ht="15.75" customHeight="1">
      <c r="W843" s="50"/>
      <c r="X843" s="50"/>
    </row>
    <row r="844" spans="23:24" ht="15.75" customHeight="1">
      <c r="W844" s="50"/>
      <c r="X844" s="50"/>
    </row>
    <row r="845" spans="23:24" ht="15.75" customHeight="1">
      <c r="W845" s="50"/>
      <c r="X845" s="50"/>
    </row>
    <row r="846" spans="23:24" ht="15.75" customHeight="1">
      <c r="W846" s="50"/>
      <c r="X846" s="50"/>
    </row>
    <row r="847" spans="23:24" ht="15.75" customHeight="1">
      <c r="W847" s="50"/>
      <c r="X847" s="50"/>
    </row>
    <row r="848" spans="23:24" ht="15.75" customHeight="1">
      <c r="W848" s="50"/>
      <c r="X848" s="50"/>
    </row>
    <row r="849" spans="23:24" ht="15.75" customHeight="1">
      <c r="W849" s="50"/>
      <c r="X849" s="50"/>
    </row>
    <row r="850" spans="23:24" ht="15.75" customHeight="1">
      <c r="W850" s="50"/>
      <c r="X850" s="50"/>
    </row>
    <row r="851" spans="23:24" ht="15.75" customHeight="1">
      <c r="W851" s="50"/>
      <c r="X851" s="50"/>
    </row>
    <row r="852" spans="23:24" ht="15.75" customHeight="1">
      <c r="W852" s="50"/>
      <c r="X852" s="50"/>
    </row>
    <row r="853" spans="23:24" ht="15.75" customHeight="1">
      <c r="W853" s="50"/>
      <c r="X853" s="50"/>
    </row>
    <row r="854" spans="23:24" ht="15.75" customHeight="1">
      <c r="W854" s="50"/>
      <c r="X854" s="50"/>
    </row>
    <row r="855" spans="23:24" ht="15.75" customHeight="1">
      <c r="W855" s="50"/>
      <c r="X855" s="50"/>
    </row>
    <row r="856" spans="23:24" ht="15.75" customHeight="1">
      <c r="W856" s="50"/>
      <c r="X856" s="50"/>
    </row>
    <row r="857" spans="23:24" ht="15.75" customHeight="1">
      <c r="W857" s="50"/>
      <c r="X857" s="50"/>
    </row>
    <row r="858" spans="23:24" ht="15.75" customHeight="1">
      <c r="W858" s="50"/>
      <c r="X858" s="50"/>
    </row>
    <row r="859" spans="23:24" ht="15.75" customHeight="1">
      <c r="W859" s="50"/>
      <c r="X859" s="50"/>
    </row>
    <row r="860" spans="23:24" ht="15.75" customHeight="1">
      <c r="W860" s="50"/>
      <c r="X860" s="50"/>
    </row>
    <row r="861" spans="23:24" ht="15.75" customHeight="1">
      <c r="W861" s="50"/>
      <c r="X861" s="50"/>
    </row>
    <row r="862" spans="23:24" ht="15.75" customHeight="1">
      <c r="W862" s="50"/>
      <c r="X862" s="50"/>
    </row>
    <row r="863" spans="23:24" ht="15.75" customHeight="1">
      <c r="W863" s="50"/>
      <c r="X863" s="50"/>
    </row>
    <row r="864" spans="23:24" ht="15.75" customHeight="1">
      <c r="W864" s="50"/>
      <c r="X864" s="50"/>
    </row>
    <row r="865" spans="23:24" ht="15.75" customHeight="1">
      <c r="W865" s="50"/>
      <c r="X865" s="50"/>
    </row>
    <row r="866" spans="23:24" ht="15.75" customHeight="1">
      <c r="W866" s="50"/>
      <c r="X866" s="50"/>
    </row>
    <row r="867" spans="23:24" ht="15.75" customHeight="1">
      <c r="W867" s="50"/>
      <c r="X867" s="50"/>
    </row>
    <row r="868" spans="23:24" ht="15.75" customHeight="1">
      <c r="W868" s="50"/>
      <c r="X868" s="50"/>
    </row>
    <row r="869" spans="23:24" ht="15.75" customHeight="1">
      <c r="W869" s="50"/>
      <c r="X869" s="50"/>
    </row>
    <row r="870" spans="23:24" ht="15.75" customHeight="1">
      <c r="W870" s="50"/>
      <c r="X870" s="50"/>
    </row>
    <row r="871" spans="23:24" ht="15.75" customHeight="1">
      <c r="W871" s="50"/>
      <c r="X871" s="50"/>
    </row>
    <row r="872" spans="23:24" ht="15.75" customHeight="1">
      <c r="W872" s="50"/>
      <c r="X872" s="50"/>
    </row>
    <row r="873" spans="23:24" ht="15.75" customHeight="1">
      <c r="W873" s="50"/>
      <c r="X873" s="50"/>
    </row>
    <row r="874" spans="23:24" ht="15.75" customHeight="1">
      <c r="W874" s="50"/>
      <c r="X874" s="50"/>
    </row>
    <row r="875" spans="23:24" ht="15.75" customHeight="1">
      <c r="W875" s="50"/>
      <c r="X875" s="50"/>
    </row>
    <row r="876" spans="23:24" ht="15.75" customHeight="1">
      <c r="W876" s="50"/>
      <c r="X876" s="50"/>
    </row>
    <row r="877" spans="23:24" ht="15.75" customHeight="1">
      <c r="W877" s="50"/>
      <c r="X877" s="50"/>
    </row>
    <row r="878" spans="23:24" ht="15.75" customHeight="1">
      <c r="W878" s="50"/>
      <c r="X878" s="50"/>
    </row>
    <row r="879" spans="23:24" ht="15.75" customHeight="1">
      <c r="W879" s="50"/>
      <c r="X879" s="50"/>
    </row>
    <row r="880" spans="23:24" ht="15.75" customHeight="1">
      <c r="W880" s="50"/>
      <c r="X880" s="50"/>
    </row>
    <row r="881" spans="23:24" ht="15.75" customHeight="1">
      <c r="W881" s="50"/>
      <c r="X881" s="50"/>
    </row>
    <row r="882" spans="23:24" ht="15.75" customHeight="1">
      <c r="W882" s="50"/>
      <c r="X882" s="50"/>
    </row>
    <row r="883" spans="23:24" ht="15.75" customHeight="1">
      <c r="W883" s="50"/>
      <c r="X883" s="50"/>
    </row>
    <row r="884" spans="23:24" ht="15.75" customHeight="1">
      <c r="W884" s="50"/>
      <c r="X884" s="50"/>
    </row>
    <row r="885" spans="23:24" ht="15.75" customHeight="1">
      <c r="W885" s="50"/>
      <c r="X885" s="50"/>
    </row>
    <row r="886" spans="23:24" ht="15.75" customHeight="1">
      <c r="W886" s="50"/>
      <c r="X886" s="50"/>
    </row>
    <row r="887" spans="23:24" ht="15.75" customHeight="1">
      <c r="W887" s="50"/>
      <c r="X887" s="50"/>
    </row>
    <row r="888" spans="23:24" ht="15.75" customHeight="1">
      <c r="W888" s="50"/>
      <c r="X888" s="50"/>
    </row>
    <row r="889" spans="23:24" ht="15.75" customHeight="1">
      <c r="W889" s="50"/>
      <c r="X889" s="50"/>
    </row>
    <row r="890" spans="23:24" ht="15.75" customHeight="1">
      <c r="W890" s="50"/>
      <c r="X890" s="50"/>
    </row>
    <row r="891" spans="23:24" ht="15.75" customHeight="1">
      <c r="W891" s="50"/>
      <c r="X891" s="50"/>
    </row>
    <row r="892" spans="23:24" ht="15.75" customHeight="1">
      <c r="W892" s="50"/>
      <c r="X892" s="50"/>
    </row>
    <row r="893" spans="23:24" ht="15.75" customHeight="1">
      <c r="W893" s="50"/>
      <c r="X893" s="50"/>
    </row>
    <row r="894" spans="23:24" ht="15.75" customHeight="1">
      <c r="W894" s="50"/>
      <c r="X894" s="50"/>
    </row>
    <row r="895" spans="23:24" ht="15.75" customHeight="1">
      <c r="W895" s="50"/>
      <c r="X895" s="50"/>
    </row>
    <row r="896" spans="23:24" ht="15.75" customHeight="1">
      <c r="W896" s="50"/>
      <c r="X896" s="50"/>
    </row>
    <row r="897" spans="23:24" ht="15.75" customHeight="1">
      <c r="W897" s="50"/>
      <c r="X897" s="50"/>
    </row>
    <row r="898" spans="23:24" ht="15.75" customHeight="1">
      <c r="W898" s="50"/>
      <c r="X898" s="50"/>
    </row>
    <row r="899" spans="23:24" ht="15.75" customHeight="1">
      <c r="W899" s="50"/>
      <c r="X899" s="50"/>
    </row>
    <row r="900" spans="23:24" ht="15.75" customHeight="1">
      <c r="W900" s="50"/>
      <c r="X900" s="50"/>
    </row>
    <row r="901" spans="23:24" ht="15.75" customHeight="1">
      <c r="W901" s="50"/>
      <c r="X901" s="50"/>
    </row>
    <row r="902" spans="23:24" ht="15.75" customHeight="1">
      <c r="W902" s="50"/>
      <c r="X902" s="50"/>
    </row>
    <row r="903" spans="23:24" ht="15.75" customHeight="1">
      <c r="W903" s="50"/>
      <c r="X903" s="50"/>
    </row>
    <row r="904" spans="23:24" ht="15.75" customHeight="1">
      <c r="W904" s="50"/>
      <c r="X904" s="50"/>
    </row>
    <row r="905" spans="23:24" ht="15.75" customHeight="1">
      <c r="W905" s="50"/>
      <c r="X905" s="50"/>
    </row>
    <row r="906" spans="23:24" ht="15.75" customHeight="1">
      <c r="W906" s="50"/>
      <c r="X906" s="50"/>
    </row>
    <row r="907" spans="23:24" ht="15.75" customHeight="1">
      <c r="W907" s="50"/>
      <c r="X907" s="50"/>
    </row>
    <row r="908" spans="23:24" ht="15.75" customHeight="1">
      <c r="W908" s="50"/>
      <c r="X908" s="50"/>
    </row>
    <row r="909" spans="23:24" ht="15.75" customHeight="1">
      <c r="W909" s="50"/>
      <c r="X909" s="50"/>
    </row>
    <row r="910" spans="23:24" ht="15.75" customHeight="1">
      <c r="W910" s="50"/>
      <c r="X910" s="50"/>
    </row>
    <row r="911" spans="23:24" ht="15.75" customHeight="1">
      <c r="W911" s="50"/>
      <c r="X911" s="50"/>
    </row>
    <row r="912" spans="23:24" ht="15.75" customHeight="1">
      <c r="W912" s="50"/>
      <c r="X912" s="50"/>
    </row>
    <row r="913" spans="23:24" ht="15.75" customHeight="1">
      <c r="W913" s="50"/>
      <c r="X913" s="50"/>
    </row>
    <row r="914" spans="23:24" ht="15.75" customHeight="1">
      <c r="W914" s="50"/>
      <c r="X914" s="50"/>
    </row>
    <row r="915" spans="23:24" ht="15.75" customHeight="1">
      <c r="W915" s="50"/>
      <c r="X915" s="50"/>
    </row>
    <row r="916" spans="23:24" ht="15.75" customHeight="1">
      <c r="W916" s="50"/>
      <c r="X916" s="50"/>
    </row>
    <row r="917" spans="23:24" ht="15.75" customHeight="1">
      <c r="W917" s="50"/>
      <c r="X917" s="50"/>
    </row>
    <row r="918" spans="23:24" ht="15.75" customHeight="1">
      <c r="W918" s="50"/>
      <c r="X918" s="50"/>
    </row>
    <row r="919" spans="23:24" ht="15.75" customHeight="1">
      <c r="W919" s="50"/>
      <c r="X919" s="50"/>
    </row>
    <row r="920" spans="23:24" ht="15.75" customHeight="1">
      <c r="W920" s="50"/>
      <c r="X920" s="50"/>
    </row>
    <row r="921" spans="23:24" ht="15.75" customHeight="1">
      <c r="W921" s="50"/>
      <c r="X921" s="50"/>
    </row>
    <row r="922" spans="23:24" ht="15.75" customHeight="1">
      <c r="W922" s="50"/>
      <c r="X922" s="50"/>
    </row>
    <row r="923" spans="23:24" ht="15.75" customHeight="1">
      <c r="W923" s="50"/>
      <c r="X923" s="50"/>
    </row>
    <row r="924" spans="23:24" ht="15.75" customHeight="1">
      <c r="W924" s="50"/>
      <c r="X924" s="50"/>
    </row>
    <row r="925" spans="23:24" ht="15.75" customHeight="1">
      <c r="W925" s="50"/>
      <c r="X925" s="50"/>
    </row>
    <row r="926" spans="23:24" ht="15.75" customHeight="1">
      <c r="W926" s="50"/>
      <c r="X926" s="50"/>
    </row>
    <row r="927" spans="23:24" ht="15.75" customHeight="1">
      <c r="W927" s="50"/>
      <c r="X927" s="50"/>
    </row>
    <row r="928" spans="23:24" ht="15.75" customHeight="1">
      <c r="W928" s="50"/>
      <c r="X928" s="50"/>
    </row>
    <row r="929" spans="23:24" ht="15.75" customHeight="1">
      <c r="W929" s="50"/>
      <c r="X929" s="50"/>
    </row>
    <row r="930" spans="23:24" ht="15.75" customHeight="1">
      <c r="W930" s="50"/>
      <c r="X930" s="50"/>
    </row>
    <row r="931" spans="23:24" ht="15.75" customHeight="1">
      <c r="W931" s="50"/>
      <c r="X931" s="50"/>
    </row>
    <row r="932" spans="23:24" ht="15.75" customHeight="1">
      <c r="W932" s="50"/>
      <c r="X932" s="50"/>
    </row>
    <row r="933" spans="23:24" ht="15.75" customHeight="1">
      <c r="W933" s="50"/>
      <c r="X933" s="50"/>
    </row>
    <row r="934" spans="23:24" ht="15.75" customHeight="1">
      <c r="W934" s="50"/>
      <c r="X934" s="50"/>
    </row>
    <row r="935" spans="23:24" ht="15.75" customHeight="1">
      <c r="W935" s="50"/>
      <c r="X935" s="50"/>
    </row>
    <row r="936" spans="23:24" ht="15.75" customHeight="1">
      <c r="W936" s="50"/>
      <c r="X936" s="50"/>
    </row>
    <row r="937" spans="23:24" ht="15.75" customHeight="1">
      <c r="W937" s="50"/>
      <c r="X937" s="50"/>
    </row>
    <row r="938" spans="23:24" ht="15.75" customHeight="1">
      <c r="W938" s="50"/>
      <c r="X938" s="50"/>
    </row>
    <row r="939" spans="23:24" ht="15.75" customHeight="1">
      <c r="W939" s="50"/>
      <c r="X939" s="50"/>
    </row>
    <row r="940" spans="23:24" ht="15.75" customHeight="1">
      <c r="W940" s="50"/>
      <c r="X940" s="50"/>
    </row>
    <row r="941" spans="23:24" ht="15.75" customHeight="1">
      <c r="W941" s="50"/>
      <c r="X941" s="50"/>
    </row>
    <row r="942" spans="23:24" ht="15.75" customHeight="1">
      <c r="W942" s="50"/>
      <c r="X942" s="50"/>
    </row>
    <row r="943" spans="23:24" ht="15.75" customHeight="1">
      <c r="W943" s="50"/>
      <c r="X943" s="50"/>
    </row>
    <row r="944" spans="23:24" ht="15.75" customHeight="1">
      <c r="W944" s="50"/>
      <c r="X944" s="50"/>
    </row>
    <row r="945" spans="23:24" ht="15.75" customHeight="1">
      <c r="W945" s="50"/>
      <c r="X945" s="50"/>
    </row>
    <row r="946" spans="23:24" ht="15.75" customHeight="1">
      <c r="W946" s="50"/>
      <c r="X946" s="50"/>
    </row>
    <row r="947" spans="23:24" ht="15.75" customHeight="1">
      <c r="W947" s="50"/>
      <c r="X947" s="50"/>
    </row>
    <row r="948" spans="23:24" ht="15.75" customHeight="1">
      <c r="W948" s="50"/>
      <c r="X948" s="50"/>
    </row>
    <row r="949" spans="23:24" ht="15.75" customHeight="1">
      <c r="W949" s="50"/>
      <c r="X949" s="50"/>
    </row>
    <row r="950" spans="23:24" ht="15.75" customHeight="1">
      <c r="W950" s="50"/>
      <c r="X950" s="50"/>
    </row>
    <row r="951" spans="23:24" ht="15.75" customHeight="1">
      <c r="W951" s="50"/>
      <c r="X951" s="50"/>
    </row>
    <row r="952" spans="23:24" ht="15.75" customHeight="1">
      <c r="W952" s="50"/>
      <c r="X952" s="50"/>
    </row>
    <row r="953" spans="23:24" ht="15.75" customHeight="1">
      <c r="W953" s="50"/>
      <c r="X953" s="50"/>
    </row>
    <row r="954" spans="23:24" ht="15.75" customHeight="1">
      <c r="W954" s="50"/>
      <c r="X954" s="50"/>
    </row>
    <row r="955" spans="23:24" ht="15.75" customHeight="1">
      <c r="W955" s="50"/>
      <c r="X955" s="50"/>
    </row>
    <row r="956" spans="23:24" ht="15.75" customHeight="1">
      <c r="W956" s="50"/>
      <c r="X956" s="50"/>
    </row>
    <row r="957" spans="23:24" ht="15.75" customHeight="1">
      <c r="W957" s="50"/>
      <c r="X957" s="50"/>
    </row>
    <row r="958" spans="23:24" ht="15.75" customHeight="1">
      <c r="W958" s="50"/>
      <c r="X958" s="50"/>
    </row>
    <row r="959" spans="23:24" ht="15.75" customHeight="1">
      <c r="W959" s="50"/>
      <c r="X959" s="50"/>
    </row>
    <row r="960" spans="23:24" ht="15.75" customHeight="1">
      <c r="W960" s="50"/>
      <c r="X960" s="50"/>
    </row>
    <row r="961" spans="23:24" ht="15.75" customHeight="1">
      <c r="W961" s="50"/>
      <c r="X961" s="50"/>
    </row>
    <row r="962" spans="23:24" ht="15.75" customHeight="1">
      <c r="W962" s="50"/>
      <c r="X962" s="50"/>
    </row>
    <row r="963" spans="23:24" ht="15.75" customHeight="1">
      <c r="W963" s="50"/>
      <c r="X963" s="50"/>
    </row>
    <row r="964" spans="23:24" ht="15.75" customHeight="1">
      <c r="W964" s="50"/>
      <c r="X964" s="50"/>
    </row>
    <row r="965" spans="23:24" ht="15.75" customHeight="1">
      <c r="W965" s="50"/>
      <c r="X965" s="50"/>
    </row>
    <row r="966" spans="23:24" ht="15.75" customHeight="1">
      <c r="W966" s="50"/>
      <c r="X966" s="50"/>
    </row>
    <row r="967" spans="23:24" ht="15.75" customHeight="1">
      <c r="W967" s="50"/>
      <c r="X967" s="50"/>
    </row>
    <row r="968" spans="23:24" ht="15.75" customHeight="1">
      <c r="W968" s="50"/>
      <c r="X968" s="50"/>
    </row>
    <row r="969" spans="23:24" ht="15.75" customHeight="1">
      <c r="W969" s="50"/>
      <c r="X969" s="50"/>
    </row>
    <row r="970" spans="23:24" ht="15.75" customHeight="1">
      <c r="W970" s="50"/>
      <c r="X970" s="50"/>
    </row>
    <row r="971" spans="23:24" ht="15.75" customHeight="1">
      <c r="W971" s="50"/>
      <c r="X971" s="50"/>
    </row>
    <row r="972" spans="23:24" ht="15.75" customHeight="1">
      <c r="W972" s="50"/>
      <c r="X972" s="50"/>
    </row>
    <row r="973" spans="23:24" ht="15.75" customHeight="1">
      <c r="W973" s="50"/>
      <c r="X973" s="50"/>
    </row>
    <row r="974" spans="23:24" ht="15.75" customHeight="1">
      <c r="W974" s="50"/>
      <c r="X974" s="50"/>
    </row>
    <row r="975" spans="23:24" ht="15.75" customHeight="1">
      <c r="W975" s="50"/>
      <c r="X975" s="50"/>
    </row>
    <row r="976" spans="23:24" ht="15.75" customHeight="1">
      <c r="W976" s="50"/>
      <c r="X976" s="50"/>
    </row>
    <row r="977" spans="23:24" ht="15.75" customHeight="1">
      <c r="W977" s="50"/>
      <c r="X977" s="50"/>
    </row>
    <row r="978" spans="23:24" ht="15.75" customHeight="1">
      <c r="W978" s="50"/>
      <c r="X978" s="50"/>
    </row>
    <row r="979" spans="23:24" ht="15.75" customHeight="1">
      <c r="W979" s="50"/>
      <c r="X979" s="50"/>
    </row>
    <row r="980" spans="23:24" ht="15.75" customHeight="1">
      <c r="W980" s="50"/>
      <c r="X980" s="50"/>
    </row>
    <row r="981" spans="23:24" ht="15.75" customHeight="1">
      <c r="W981" s="50"/>
      <c r="X981" s="50"/>
    </row>
    <row r="982" spans="23:24" ht="15.75" customHeight="1">
      <c r="W982" s="50"/>
      <c r="X982" s="50"/>
    </row>
    <row r="983" spans="23:24" ht="15.75" customHeight="1">
      <c r="W983" s="50"/>
      <c r="X983" s="50"/>
    </row>
    <row r="984" spans="23:24" ht="15.75" customHeight="1">
      <c r="W984" s="50"/>
      <c r="X984" s="50"/>
    </row>
    <row r="985" spans="23:24" ht="15.75" customHeight="1">
      <c r="W985" s="50"/>
      <c r="X985" s="50"/>
    </row>
    <row r="986" spans="23:24" ht="15.75" customHeight="1">
      <c r="W986" s="50"/>
      <c r="X986" s="50"/>
    </row>
    <row r="987" spans="23:24" ht="15.75" customHeight="1">
      <c r="W987" s="50"/>
      <c r="X987" s="50"/>
    </row>
    <row r="988" spans="23:24" ht="15.75" customHeight="1">
      <c r="W988" s="50"/>
      <c r="X988" s="50"/>
    </row>
    <row r="989" spans="23:24" ht="15.75" customHeight="1">
      <c r="W989" s="50"/>
      <c r="X989" s="50"/>
    </row>
    <row r="990" spans="23:24" ht="15.75" customHeight="1">
      <c r="W990" s="50"/>
      <c r="X990" s="50"/>
    </row>
    <row r="991" spans="23:24" ht="15.75" customHeight="1">
      <c r="W991" s="50"/>
      <c r="X991" s="50"/>
    </row>
    <row r="992" spans="23:24" ht="15.75" customHeight="1">
      <c r="W992" s="50"/>
      <c r="X992" s="50"/>
    </row>
    <row r="993" spans="23:24" ht="15.75" customHeight="1">
      <c r="W993" s="50"/>
      <c r="X993" s="50"/>
    </row>
    <row r="994" spans="23:24" ht="15.75" customHeight="1">
      <c r="W994" s="50"/>
      <c r="X994" s="50"/>
    </row>
    <row r="995" spans="23:24" ht="15.75" customHeight="1">
      <c r="W995" s="50"/>
      <c r="X995" s="50"/>
    </row>
    <row r="996" spans="23:24" ht="15.75" customHeight="1">
      <c r="W996" s="50"/>
      <c r="X996" s="50"/>
    </row>
    <row r="997" spans="23:24" ht="15.75" customHeight="1">
      <c r="W997" s="50"/>
      <c r="X997" s="50"/>
    </row>
    <row r="998" spans="23:24" ht="15.75" customHeight="1">
      <c r="W998" s="50"/>
      <c r="X998" s="50"/>
    </row>
    <row r="999" spans="23:24" ht="15.75" customHeight="1">
      <c r="W999" s="50"/>
      <c r="X999" s="50"/>
    </row>
    <row r="1000" spans="23:24" ht="15.75" customHeight="1">
      <c r="W1000" s="50"/>
      <c r="X1000" s="50"/>
    </row>
  </sheetData>
  <autoFilter ref="A1:N5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workbookViewId="0">
      <pane ySplit="1" topLeftCell="A59" activePane="bottomLeft" state="frozen"/>
      <selection pane="bottomLeft" activeCell="A80" sqref="A80:A86"/>
    </sheetView>
  </sheetViews>
  <sheetFormatPr defaultColWidth="12.7109375" defaultRowHeight="15" customHeight="1"/>
  <cols>
    <col min="1" max="1" width="10" customWidth="1"/>
    <col min="2" max="2" width="9.7109375" customWidth="1"/>
    <col min="3" max="3" width="13.140625" style="24" customWidth="1"/>
    <col min="4" max="5" width="11.28515625" style="24" customWidth="1"/>
    <col min="6" max="6" width="20.85546875" bestFit="1" customWidth="1"/>
    <col min="7" max="8" width="16.28515625" customWidth="1"/>
    <col min="9" max="9" width="24.28515625" customWidth="1"/>
    <col min="10" max="10" width="30.28515625" bestFit="1" customWidth="1"/>
    <col min="11" max="11" width="16.28515625" customWidth="1"/>
    <col min="12" max="12" width="28.5703125" bestFit="1" customWidth="1"/>
    <col min="13" max="13" width="17.7109375" customWidth="1"/>
    <col min="14" max="14" width="21.42578125" bestFit="1" customWidth="1"/>
    <col min="15" max="15" width="2.140625" style="26" customWidth="1"/>
    <col min="17" max="17" width="10.7109375" customWidth="1"/>
    <col min="19" max="19" width="11.28515625" style="13" bestFit="1" customWidth="1"/>
    <col min="20" max="20" width="9" customWidth="1"/>
  </cols>
  <sheetData>
    <row r="1" spans="1:24" ht="15.75" customHeight="1">
      <c r="A1" s="10" t="s">
        <v>0</v>
      </c>
      <c r="B1" s="10" t="s">
        <v>32</v>
      </c>
      <c r="C1" s="22" t="s">
        <v>33</v>
      </c>
      <c r="D1" s="28" t="s">
        <v>34</v>
      </c>
      <c r="E1" s="28" t="s">
        <v>35</v>
      </c>
      <c r="F1" s="10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11" t="s">
        <v>41</v>
      </c>
      <c r="L1" s="11" t="s">
        <v>42</v>
      </c>
      <c r="M1" s="11" t="s">
        <v>43</v>
      </c>
      <c r="N1" s="11" t="s">
        <v>44</v>
      </c>
      <c r="O1" s="25" t="s">
        <v>14</v>
      </c>
      <c r="P1" s="4" t="s">
        <v>14</v>
      </c>
      <c r="Q1" t="s">
        <v>15</v>
      </c>
      <c r="R1" t="s">
        <v>16</v>
      </c>
      <c r="S1" s="13" t="s">
        <v>17</v>
      </c>
      <c r="T1" s="4" t="s">
        <v>14</v>
      </c>
    </row>
    <row r="2" spans="1:24" ht="15.75" customHeight="1">
      <c r="A2" s="8">
        <v>1</v>
      </c>
      <c r="B2" s="8" t="str">
        <f t="shared" ref="B2:B33" si="0">_xlfn.XLOOKUP(A2,Q:Q,R:R)</f>
        <v>USD</v>
      </c>
      <c r="C2" s="23">
        <v>116549.72</v>
      </c>
      <c r="D2" s="29">
        <f>C2*_xlfn.XLOOKUP(B2,V:V,W:W)</f>
        <v>100232.7592</v>
      </c>
      <c r="E2" s="29">
        <f t="shared" ref="E2:E33" si="1">C2*_xlfn.XLOOKUP(B2,V:V,X:X)</f>
        <v>116549.72</v>
      </c>
      <c r="F2" s="6">
        <v>116549.72</v>
      </c>
      <c r="G2" s="6">
        <f t="shared" ref="G2:G33" si="2">F2*_xlfn.XLOOKUP(B2,V:V,W:W)</f>
        <v>100232.7592</v>
      </c>
      <c r="H2" s="6">
        <f t="shared" ref="H2:H33" si="3">F2*_xlfn.XLOOKUP(B2,V:V,X:X)</f>
        <v>116549.72</v>
      </c>
      <c r="I2" s="6">
        <f>C2-F2</f>
        <v>0</v>
      </c>
      <c r="J2" s="6">
        <f t="shared" ref="J2:J33" si="4">I2*_xlfn.XLOOKUP(B2,V:V,X:X,0)</f>
        <v>0</v>
      </c>
      <c r="K2" s="7">
        <f t="shared" ref="K2:K33" si="5">_xlfn.XLOOKUP(A2,Q:Q,S:S,"NO")</f>
        <v>46009</v>
      </c>
      <c r="L2" s="7">
        <f t="shared" ref="L2:L49" si="6">K2-30</f>
        <v>45979</v>
      </c>
      <c r="M2" s="8">
        <f t="shared" ref="M2:M49" si="7">MONTH(L2)</f>
        <v>11</v>
      </c>
      <c r="N2" s="8">
        <f>YEAR(L2)</f>
        <v>2025</v>
      </c>
      <c r="Q2">
        <v>1</v>
      </c>
      <c r="R2" t="s">
        <v>20</v>
      </c>
      <c r="S2" s="13">
        <v>46009</v>
      </c>
    </row>
    <row r="3" spans="1:24" ht="15.75" customHeight="1">
      <c r="A3" s="8">
        <v>2</v>
      </c>
      <c r="B3" s="8" t="str">
        <f t="shared" si="0"/>
        <v>EUR</v>
      </c>
      <c r="C3" s="23">
        <v>14793.67</v>
      </c>
      <c r="D3" s="29">
        <f t="shared" ref="D3:D43" si="8">C3</f>
        <v>14793.67</v>
      </c>
      <c r="E3" s="29">
        <f t="shared" si="1"/>
        <v>17160.657199999998</v>
      </c>
      <c r="F3" s="6">
        <v>14793.67</v>
      </c>
      <c r="G3" s="6">
        <f t="shared" si="2"/>
        <v>14793.67</v>
      </c>
      <c r="H3" s="6">
        <f t="shared" si="3"/>
        <v>17160.657199999998</v>
      </c>
      <c r="I3" s="6">
        <f t="shared" ref="I3:I66" si="9">C3-F3</f>
        <v>0</v>
      </c>
      <c r="J3" s="6">
        <f t="shared" si="4"/>
        <v>0</v>
      </c>
      <c r="K3" s="7">
        <f t="shared" si="5"/>
        <v>45766</v>
      </c>
      <c r="L3" s="7">
        <f t="shared" si="6"/>
        <v>45736</v>
      </c>
      <c r="M3" s="8">
        <f t="shared" si="7"/>
        <v>3</v>
      </c>
      <c r="N3" s="8">
        <f t="shared" ref="N3:N49" si="10">YEAR(L3)</f>
        <v>2025</v>
      </c>
      <c r="Q3">
        <v>2</v>
      </c>
      <c r="R3" t="s">
        <v>21</v>
      </c>
      <c r="S3" s="13">
        <v>45766</v>
      </c>
    </row>
    <row r="4" spans="1:24" ht="15.75" customHeight="1">
      <c r="A4" s="8">
        <v>3</v>
      </c>
      <c r="B4" s="8" t="str">
        <f t="shared" si="0"/>
        <v>EUR</v>
      </c>
      <c r="C4" s="23">
        <v>1164</v>
      </c>
      <c r="D4" s="29">
        <f t="shared" si="8"/>
        <v>1164</v>
      </c>
      <c r="E4" s="29">
        <f t="shared" si="1"/>
        <v>1350.24</v>
      </c>
      <c r="F4" s="6">
        <v>1164</v>
      </c>
      <c r="G4" s="6">
        <f t="shared" si="2"/>
        <v>1164</v>
      </c>
      <c r="H4" s="6">
        <f t="shared" si="3"/>
        <v>1350.24</v>
      </c>
      <c r="I4" s="6">
        <f t="shared" si="9"/>
        <v>0</v>
      </c>
      <c r="J4" s="6">
        <f t="shared" si="4"/>
        <v>0</v>
      </c>
      <c r="K4" s="7">
        <f t="shared" si="5"/>
        <v>45779</v>
      </c>
      <c r="L4" s="7">
        <f t="shared" si="6"/>
        <v>45749</v>
      </c>
      <c r="M4" s="8">
        <f t="shared" si="7"/>
        <v>4</v>
      </c>
      <c r="N4" s="8">
        <f t="shared" si="10"/>
        <v>2025</v>
      </c>
      <c r="Q4">
        <v>3</v>
      </c>
      <c r="R4" t="s">
        <v>21</v>
      </c>
      <c r="S4" s="13">
        <v>45779</v>
      </c>
      <c r="V4" s="16" t="s">
        <v>22</v>
      </c>
      <c r="W4" s="16" t="s">
        <v>23</v>
      </c>
      <c r="X4" s="16" t="s">
        <v>24</v>
      </c>
    </row>
    <row r="5" spans="1:24" ht="15.75" customHeight="1">
      <c r="A5" s="8">
        <v>4</v>
      </c>
      <c r="B5" s="8" t="str">
        <f t="shared" si="0"/>
        <v>EUR</v>
      </c>
      <c r="C5" s="23">
        <v>9663</v>
      </c>
      <c r="D5" s="29">
        <f t="shared" si="8"/>
        <v>9663</v>
      </c>
      <c r="E5" s="29">
        <f t="shared" si="1"/>
        <v>11209.08</v>
      </c>
      <c r="F5" s="6">
        <v>9663</v>
      </c>
      <c r="G5" s="6">
        <f t="shared" si="2"/>
        <v>9663</v>
      </c>
      <c r="H5" s="6">
        <f t="shared" si="3"/>
        <v>11209.08</v>
      </c>
      <c r="I5" s="6">
        <f t="shared" si="9"/>
        <v>0</v>
      </c>
      <c r="J5" s="6">
        <f t="shared" si="4"/>
        <v>0</v>
      </c>
      <c r="K5" s="7">
        <f t="shared" si="5"/>
        <v>45856</v>
      </c>
      <c r="L5" s="7">
        <f t="shared" si="6"/>
        <v>45826</v>
      </c>
      <c r="M5" s="8">
        <f t="shared" si="7"/>
        <v>6</v>
      </c>
      <c r="N5" s="8">
        <f t="shared" si="10"/>
        <v>2025</v>
      </c>
      <c r="Q5">
        <v>4</v>
      </c>
      <c r="R5" t="s">
        <v>21</v>
      </c>
      <c r="S5" s="13">
        <v>45856</v>
      </c>
      <c r="V5" s="16" t="s">
        <v>21</v>
      </c>
      <c r="W5" s="16">
        <v>1</v>
      </c>
      <c r="X5" s="16">
        <v>1.1599999999999999</v>
      </c>
    </row>
    <row r="6" spans="1:24" ht="15.75" customHeight="1">
      <c r="A6" s="8">
        <v>5</v>
      </c>
      <c r="B6" s="8" t="str">
        <f t="shared" si="0"/>
        <v>EUR</v>
      </c>
      <c r="C6" s="23">
        <v>1490.21</v>
      </c>
      <c r="D6" s="29">
        <f t="shared" si="8"/>
        <v>1490.21</v>
      </c>
      <c r="E6" s="29">
        <f t="shared" si="1"/>
        <v>1728.6435999999999</v>
      </c>
      <c r="F6" s="6">
        <v>1490.21</v>
      </c>
      <c r="G6" s="6">
        <f t="shared" si="2"/>
        <v>1490.21</v>
      </c>
      <c r="H6" s="6">
        <f t="shared" si="3"/>
        <v>1728.6435999999999</v>
      </c>
      <c r="I6" s="6">
        <f t="shared" si="9"/>
        <v>0</v>
      </c>
      <c r="J6" s="6">
        <f t="shared" si="4"/>
        <v>0</v>
      </c>
      <c r="K6" s="7">
        <f t="shared" si="5"/>
        <v>45788</v>
      </c>
      <c r="L6" s="7">
        <f t="shared" si="6"/>
        <v>45758</v>
      </c>
      <c r="M6" s="8">
        <f t="shared" si="7"/>
        <v>4</v>
      </c>
      <c r="N6" s="8">
        <f t="shared" si="10"/>
        <v>2025</v>
      </c>
      <c r="Q6">
        <v>5</v>
      </c>
      <c r="R6" t="s">
        <v>21</v>
      </c>
      <c r="S6" s="13">
        <v>45788</v>
      </c>
      <c r="V6" s="16" t="s">
        <v>20</v>
      </c>
      <c r="W6" s="16">
        <v>0.86</v>
      </c>
      <c r="X6" s="16">
        <v>1</v>
      </c>
    </row>
    <row r="7" spans="1:24" ht="15.75" customHeight="1">
      <c r="A7" s="8">
        <v>6</v>
      </c>
      <c r="B7" s="8" t="str">
        <f t="shared" si="0"/>
        <v>EUR</v>
      </c>
      <c r="C7" s="23">
        <v>5280</v>
      </c>
      <c r="D7" s="29">
        <f t="shared" si="8"/>
        <v>5280</v>
      </c>
      <c r="E7" s="29">
        <f t="shared" si="1"/>
        <v>6124.7999999999993</v>
      </c>
      <c r="F7" s="6">
        <v>5280</v>
      </c>
      <c r="G7" s="6">
        <f t="shared" si="2"/>
        <v>5280</v>
      </c>
      <c r="H7" s="6">
        <f t="shared" si="3"/>
        <v>6124.7999999999993</v>
      </c>
      <c r="I7" s="6">
        <f t="shared" si="9"/>
        <v>0</v>
      </c>
      <c r="J7" s="6">
        <f t="shared" si="4"/>
        <v>0</v>
      </c>
      <c r="K7" s="7">
        <f t="shared" si="5"/>
        <v>45778</v>
      </c>
      <c r="L7" s="7">
        <f t="shared" si="6"/>
        <v>45748</v>
      </c>
      <c r="M7" s="8">
        <f t="shared" si="7"/>
        <v>4</v>
      </c>
      <c r="N7" s="8">
        <f t="shared" si="10"/>
        <v>2025</v>
      </c>
      <c r="Q7">
        <v>6</v>
      </c>
      <c r="R7" t="s">
        <v>21</v>
      </c>
      <c r="S7" s="13">
        <v>45778</v>
      </c>
      <c r="V7" s="16" t="s">
        <v>25</v>
      </c>
      <c r="W7" s="16">
        <v>1.07</v>
      </c>
      <c r="X7" s="16">
        <v>1.25</v>
      </c>
    </row>
    <row r="8" spans="1:24" ht="15.75" customHeight="1">
      <c r="A8" s="8">
        <v>7</v>
      </c>
      <c r="B8" s="8" t="str">
        <f t="shared" si="0"/>
        <v>USD</v>
      </c>
      <c r="C8" s="23">
        <v>74562.81</v>
      </c>
      <c r="D8" s="29">
        <f t="shared" si="8"/>
        <v>74562.81</v>
      </c>
      <c r="E8" s="29">
        <f t="shared" si="1"/>
        <v>74562.81</v>
      </c>
      <c r="F8" s="6">
        <v>74562.81</v>
      </c>
      <c r="G8" s="6">
        <f t="shared" si="2"/>
        <v>64124.016599999995</v>
      </c>
      <c r="H8" s="6">
        <f t="shared" si="3"/>
        <v>74562.81</v>
      </c>
      <c r="I8" s="6">
        <f t="shared" si="9"/>
        <v>0</v>
      </c>
      <c r="J8" s="6">
        <f t="shared" si="4"/>
        <v>0</v>
      </c>
      <c r="K8" s="7">
        <f t="shared" si="5"/>
        <v>45859</v>
      </c>
      <c r="L8" s="7">
        <f t="shared" si="6"/>
        <v>45829</v>
      </c>
      <c r="M8" s="8">
        <f t="shared" si="7"/>
        <v>6</v>
      </c>
      <c r="N8" s="8">
        <f t="shared" si="10"/>
        <v>2025</v>
      </c>
      <c r="Q8">
        <v>7</v>
      </c>
      <c r="R8" t="s">
        <v>20</v>
      </c>
      <c r="S8" s="13">
        <v>45859</v>
      </c>
      <c r="V8" s="16" t="s">
        <v>26</v>
      </c>
      <c r="W8" s="16">
        <v>1.1499999999999999</v>
      </c>
      <c r="X8" s="16">
        <v>1.34</v>
      </c>
    </row>
    <row r="9" spans="1:24" ht="15.75" customHeight="1">
      <c r="A9" s="8">
        <v>8</v>
      </c>
      <c r="B9" s="8" t="str">
        <f t="shared" si="0"/>
        <v>EUR</v>
      </c>
      <c r="C9" s="23">
        <v>12244</v>
      </c>
      <c r="D9" s="29">
        <f t="shared" si="8"/>
        <v>12244</v>
      </c>
      <c r="E9" s="29">
        <f t="shared" si="1"/>
        <v>14203.039999999999</v>
      </c>
      <c r="F9" s="6">
        <v>12244</v>
      </c>
      <c r="G9" s="6">
        <f t="shared" si="2"/>
        <v>12244</v>
      </c>
      <c r="H9" s="6">
        <f t="shared" si="3"/>
        <v>14203.039999999999</v>
      </c>
      <c r="I9" s="6">
        <f t="shared" si="9"/>
        <v>0</v>
      </c>
      <c r="J9" s="6">
        <f t="shared" si="4"/>
        <v>0</v>
      </c>
      <c r="K9" s="7">
        <f t="shared" si="5"/>
        <v>45996</v>
      </c>
      <c r="L9" s="7">
        <f t="shared" si="6"/>
        <v>45966</v>
      </c>
      <c r="M9" s="8">
        <f t="shared" si="7"/>
        <v>11</v>
      </c>
      <c r="N9" s="8">
        <f t="shared" si="10"/>
        <v>2025</v>
      </c>
      <c r="Q9">
        <v>8</v>
      </c>
      <c r="R9" t="s">
        <v>21</v>
      </c>
      <c r="S9" s="13">
        <v>45996</v>
      </c>
      <c r="V9" s="16" t="s">
        <v>27</v>
      </c>
      <c r="W9" s="16">
        <v>1.1499999999999999</v>
      </c>
      <c r="X9" s="16">
        <v>1.34</v>
      </c>
    </row>
    <row r="10" spans="1:24" ht="15.75" customHeight="1">
      <c r="A10" s="8">
        <v>9</v>
      </c>
      <c r="B10" s="8" t="str">
        <f t="shared" si="0"/>
        <v>EUR</v>
      </c>
      <c r="C10" s="23">
        <v>25100.01</v>
      </c>
      <c r="D10" s="29">
        <f t="shared" si="8"/>
        <v>25100.01</v>
      </c>
      <c r="E10" s="29">
        <f t="shared" si="1"/>
        <v>29116.011599999994</v>
      </c>
      <c r="F10" s="6">
        <v>25100.01</v>
      </c>
      <c r="G10" s="6">
        <f t="shared" si="2"/>
        <v>25100.01</v>
      </c>
      <c r="H10" s="6">
        <f t="shared" si="3"/>
        <v>29116.011599999994</v>
      </c>
      <c r="I10" s="6">
        <f>C10-F10</f>
        <v>0</v>
      </c>
      <c r="J10" s="6">
        <f t="shared" si="4"/>
        <v>0</v>
      </c>
      <c r="K10" s="7">
        <f t="shared" si="5"/>
        <v>45889</v>
      </c>
      <c r="L10" s="7">
        <f t="shared" si="6"/>
        <v>45859</v>
      </c>
      <c r="M10" s="8">
        <f t="shared" si="7"/>
        <v>7</v>
      </c>
      <c r="N10" s="8">
        <f t="shared" si="10"/>
        <v>2025</v>
      </c>
      <c r="Q10">
        <v>9</v>
      </c>
      <c r="R10" t="s">
        <v>21</v>
      </c>
      <c r="S10" s="13">
        <v>45889</v>
      </c>
      <c r="V10" s="16" t="s">
        <v>28</v>
      </c>
      <c r="W10" s="16">
        <v>5.4999999999999997E-3</v>
      </c>
      <c r="X10" s="16">
        <v>6.4000000000000003E-3</v>
      </c>
    </row>
    <row r="11" spans="1:24" ht="15.75" customHeight="1">
      <c r="A11" s="8">
        <v>10</v>
      </c>
      <c r="B11" s="8" t="str">
        <f t="shared" si="0"/>
        <v>EUR</v>
      </c>
      <c r="C11" s="23">
        <v>426.46</v>
      </c>
      <c r="D11" s="29">
        <f t="shared" si="8"/>
        <v>426.46</v>
      </c>
      <c r="E11" s="29">
        <f t="shared" si="1"/>
        <v>494.69359999999995</v>
      </c>
      <c r="F11" s="6">
        <v>426.46</v>
      </c>
      <c r="G11" s="6">
        <f t="shared" si="2"/>
        <v>426.46</v>
      </c>
      <c r="H11" s="6">
        <f t="shared" si="3"/>
        <v>494.69359999999995</v>
      </c>
      <c r="I11" s="6">
        <f>C11-F11</f>
        <v>0</v>
      </c>
      <c r="J11" s="6">
        <f t="shared" si="4"/>
        <v>0</v>
      </c>
      <c r="K11" s="7">
        <f t="shared" si="5"/>
        <v>45792</v>
      </c>
      <c r="L11" s="7">
        <f t="shared" si="6"/>
        <v>45762</v>
      </c>
      <c r="M11" s="8">
        <f t="shared" si="7"/>
        <v>4</v>
      </c>
      <c r="N11" s="8">
        <f t="shared" si="10"/>
        <v>2025</v>
      </c>
      <c r="Q11">
        <v>10</v>
      </c>
      <c r="R11" t="s">
        <v>21</v>
      </c>
      <c r="S11" s="13">
        <v>45792</v>
      </c>
      <c r="V11" s="16" t="s">
        <v>29</v>
      </c>
      <c r="W11" s="16">
        <v>4.8000000000000001E-2</v>
      </c>
      <c r="X11" s="16">
        <v>5.6000000000000001E-2</v>
      </c>
    </row>
    <row r="12" spans="1:24" ht="15.75" customHeight="1">
      <c r="A12" s="8">
        <v>11</v>
      </c>
      <c r="B12" s="8" t="str">
        <f t="shared" si="0"/>
        <v>EUR</v>
      </c>
      <c r="C12" s="23">
        <v>577.36</v>
      </c>
      <c r="D12" s="29">
        <f t="shared" si="8"/>
        <v>577.36</v>
      </c>
      <c r="E12" s="29">
        <f t="shared" si="1"/>
        <v>669.73759999999993</v>
      </c>
      <c r="F12" s="6">
        <v>577.36</v>
      </c>
      <c r="G12" s="6">
        <f t="shared" si="2"/>
        <v>577.36</v>
      </c>
      <c r="H12" s="6">
        <f t="shared" si="3"/>
        <v>669.73759999999993</v>
      </c>
      <c r="I12" s="6">
        <f t="shared" si="9"/>
        <v>0</v>
      </c>
      <c r="J12" s="6">
        <f t="shared" si="4"/>
        <v>0</v>
      </c>
      <c r="K12" s="7">
        <f t="shared" si="5"/>
        <v>45805</v>
      </c>
      <c r="L12" s="7">
        <f t="shared" si="6"/>
        <v>45775</v>
      </c>
      <c r="M12" s="8">
        <f t="shared" si="7"/>
        <v>4</v>
      </c>
      <c r="N12" s="8">
        <f t="shared" si="10"/>
        <v>2025</v>
      </c>
      <c r="Q12">
        <v>11</v>
      </c>
      <c r="R12" t="s">
        <v>21</v>
      </c>
      <c r="S12" s="13">
        <v>45805</v>
      </c>
    </row>
    <row r="13" spans="1:24" ht="15.75" customHeight="1">
      <c r="A13" s="8">
        <v>12</v>
      </c>
      <c r="B13" s="8" t="str">
        <f t="shared" si="0"/>
        <v>EUR</v>
      </c>
      <c r="C13" s="23">
        <v>6617.36</v>
      </c>
      <c r="D13" s="29">
        <f t="shared" si="8"/>
        <v>6617.36</v>
      </c>
      <c r="E13" s="29">
        <f t="shared" si="1"/>
        <v>7676.1375999999991</v>
      </c>
      <c r="F13" s="6">
        <v>6617.36</v>
      </c>
      <c r="G13" s="6">
        <f t="shared" si="2"/>
        <v>6617.36</v>
      </c>
      <c r="H13" s="6">
        <f t="shared" si="3"/>
        <v>7676.1375999999991</v>
      </c>
      <c r="I13" s="6">
        <f t="shared" si="9"/>
        <v>0</v>
      </c>
      <c r="J13" s="6">
        <f t="shared" si="4"/>
        <v>0</v>
      </c>
      <c r="K13" s="7">
        <f t="shared" si="5"/>
        <v>45801</v>
      </c>
      <c r="L13" s="7">
        <f t="shared" si="6"/>
        <v>45771</v>
      </c>
      <c r="M13" s="8">
        <f t="shared" si="7"/>
        <v>4</v>
      </c>
      <c r="N13" s="8">
        <f t="shared" si="10"/>
        <v>2025</v>
      </c>
      <c r="Q13">
        <v>12</v>
      </c>
      <c r="R13" t="s">
        <v>21</v>
      </c>
      <c r="S13" s="13">
        <v>45801</v>
      </c>
    </row>
    <row r="14" spans="1:24" ht="15.75" customHeight="1">
      <c r="A14" s="8">
        <v>13</v>
      </c>
      <c r="B14" s="8" t="str">
        <f t="shared" si="0"/>
        <v>EUR</v>
      </c>
      <c r="C14" s="23">
        <v>27952</v>
      </c>
      <c r="D14" s="29">
        <f t="shared" si="8"/>
        <v>27952</v>
      </c>
      <c r="E14" s="29">
        <f t="shared" si="1"/>
        <v>32424.319999999996</v>
      </c>
      <c r="F14" s="6">
        <v>27952</v>
      </c>
      <c r="G14" s="6">
        <f t="shared" si="2"/>
        <v>27952</v>
      </c>
      <c r="H14" s="6">
        <f t="shared" si="3"/>
        <v>32424.319999999996</v>
      </c>
      <c r="I14" s="6">
        <f t="shared" si="9"/>
        <v>0</v>
      </c>
      <c r="J14" s="6">
        <f t="shared" si="4"/>
        <v>0</v>
      </c>
      <c r="K14" s="7">
        <f t="shared" si="5"/>
        <v>45860</v>
      </c>
      <c r="L14" s="7">
        <f t="shared" si="6"/>
        <v>45830</v>
      </c>
      <c r="M14" s="8">
        <f t="shared" si="7"/>
        <v>6</v>
      </c>
      <c r="N14" s="8">
        <f t="shared" si="10"/>
        <v>2025</v>
      </c>
      <c r="Q14">
        <v>13</v>
      </c>
      <c r="R14" t="s">
        <v>21</v>
      </c>
      <c r="S14" s="13">
        <v>45860</v>
      </c>
    </row>
    <row r="15" spans="1:24" ht="15.75" customHeight="1">
      <c r="A15" s="8">
        <v>14</v>
      </c>
      <c r="B15" s="8" t="str">
        <f t="shared" si="0"/>
        <v>EUR</v>
      </c>
      <c r="C15" s="23">
        <v>427.8</v>
      </c>
      <c r="D15" s="29">
        <f t="shared" si="8"/>
        <v>427.8</v>
      </c>
      <c r="E15" s="29">
        <f t="shared" si="1"/>
        <v>496.24799999999999</v>
      </c>
      <c r="F15" s="6">
        <v>427.8</v>
      </c>
      <c r="G15" s="6">
        <f t="shared" si="2"/>
        <v>427.8</v>
      </c>
      <c r="H15" s="6">
        <f t="shared" si="3"/>
        <v>496.24799999999999</v>
      </c>
      <c r="I15" s="6">
        <f t="shared" si="9"/>
        <v>0</v>
      </c>
      <c r="J15" s="6">
        <f t="shared" si="4"/>
        <v>0</v>
      </c>
      <c r="K15" s="7">
        <f t="shared" si="5"/>
        <v>45814</v>
      </c>
      <c r="L15" s="7">
        <f t="shared" si="6"/>
        <v>45784</v>
      </c>
      <c r="M15" s="8">
        <f t="shared" si="7"/>
        <v>5</v>
      </c>
      <c r="N15" s="8">
        <f t="shared" si="10"/>
        <v>2025</v>
      </c>
      <c r="Q15">
        <v>14</v>
      </c>
      <c r="R15" t="s">
        <v>21</v>
      </c>
      <c r="S15" s="13">
        <v>45814</v>
      </c>
    </row>
    <row r="16" spans="1:24" ht="15.75" customHeight="1">
      <c r="A16" s="8">
        <v>16</v>
      </c>
      <c r="B16" s="8" t="str">
        <f t="shared" si="0"/>
        <v>USD</v>
      </c>
      <c r="C16" s="23">
        <v>236061.45</v>
      </c>
      <c r="D16" s="29">
        <f t="shared" si="8"/>
        <v>236061.45</v>
      </c>
      <c r="E16" s="29">
        <f t="shared" si="1"/>
        <v>236061.45</v>
      </c>
      <c r="F16" s="6">
        <v>236061.45</v>
      </c>
      <c r="G16" s="6">
        <f t="shared" si="2"/>
        <v>203012.84700000001</v>
      </c>
      <c r="H16" s="6">
        <f t="shared" si="3"/>
        <v>236061.45</v>
      </c>
      <c r="I16" s="6">
        <f t="shared" si="9"/>
        <v>0</v>
      </c>
      <c r="J16" s="6">
        <f t="shared" si="4"/>
        <v>0</v>
      </c>
      <c r="K16" s="7">
        <f t="shared" si="5"/>
        <v>45830</v>
      </c>
      <c r="L16" s="7">
        <f t="shared" si="6"/>
        <v>45800</v>
      </c>
      <c r="M16" s="8">
        <f t="shared" si="7"/>
        <v>5</v>
      </c>
      <c r="N16" s="8">
        <f t="shared" si="10"/>
        <v>2025</v>
      </c>
      <c r="Q16">
        <v>15</v>
      </c>
      <c r="R16" t="s">
        <v>21</v>
      </c>
      <c r="S16" s="13">
        <v>45843</v>
      </c>
    </row>
    <row r="17" spans="1:19" ht="15.75" customHeight="1">
      <c r="A17" s="8">
        <v>17</v>
      </c>
      <c r="B17" s="8" t="str">
        <f t="shared" si="0"/>
        <v>EUR</v>
      </c>
      <c r="C17" s="23">
        <v>27467</v>
      </c>
      <c r="D17" s="29">
        <f t="shared" si="8"/>
        <v>27467</v>
      </c>
      <c r="E17" s="29">
        <f t="shared" si="1"/>
        <v>31861.719999999998</v>
      </c>
      <c r="F17" s="6">
        <v>27467</v>
      </c>
      <c r="G17" s="6">
        <f t="shared" si="2"/>
        <v>27467</v>
      </c>
      <c r="H17" s="6">
        <f t="shared" si="3"/>
        <v>31861.719999999998</v>
      </c>
      <c r="I17" s="6">
        <f t="shared" si="9"/>
        <v>0</v>
      </c>
      <c r="J17" s="6">
        <f t="shared" si="4"/>
        <v>0</v>
      </c>
      <c r="K17" s="7">
        <f t="shared" si="5"/>
        <v>45892</v>
      </c>
      <c r="L17" s="7">
        <f t="shared" si="6"/>
        <v>45862</v>
      </c>
      <c r="M17" s="8">
        <f t="shared" si="7"/>
        <v>7</v>
      </c>
      <c r="N17" s="8">
        <f t="shared" si="10"/>
        <v>2025</v>
      </c>
      <c r="Q17">
        <v>16</v>
      </c>
      <c r="R17" t="s">
        <v>20</v>
      </c>
      <c r="S17" s="13">
        <v>45830</v>
      </c>
    </row>
    <row r="18" spans="1:19" ht="15.75" customHeight="1">
      <c r="A18" s="8">
        <v>19</v>
      </c>
      <c r="B18" s="8" t="str">
        <f t="shared" si="0"/>
        <v>EUR</v>
      </c>
      <c r="C18" s="23">
        <v>28496.6</v>
      </c>
      <c r="D18" s="29">
        <f t="shared" si="8"/>
        <v>28496.6</v>
      </c>
      <c r="E18" s="29">
        <f t="shared" si="1"/>
        <v>33056.055999999997</v>
      </c>
      <c r="F18" s="6">
        <v>28496.6</v>
      </c>
      <c r="G18" s="6">
        <f t="shared" si="2"/>
        <v>28496.6</v>
      </c>
      <c r="H18" s="6">
        <f t="shared" si="3"/>
        <v>33056.055999999997</v>
      </c>
      <c r="I18" s="6">
        <f t="shared" si="9"/>
        <v>0</v>
      </c>
      <c r="J18" s="6">
        <f t="shared" si="4"/>
        <v>0</v>
      </c>
      <c r="K18" s="7">
        <f t="shared" si="5"/>
        <v>45841</v>
      </c>
      <c r="L18" s="7">
        <f t="shared" si="6"/>
        <v>45811</v>
      </c>
      <c r="M18" s="8">
        <f t="shared" si="7"/>
        <v>6</v>
      </c>
      <c r="N18" s="8">
        <f t="shared" si="10"/>
        <v>2025</v>
      </c>
      <c r="Q18">
        <v>17</v>
      </c>
      <c r="R18" t="s">
        <v>21</v>
      </c>
      <c r="S18" s="13">
        <v>45892</v>
      </c>
    </row>
    <row r="19" spans="1:19" ht="15.75" customHeight="1">
      <c r="A19" s="8">
        <v>20</v>
      </c>
      <c r="B19" s="8" t="str">
        <f t="shared" si="0"/>
        <v>GPB</v>
      </c>
      <c r="C19" s="23">
        <v>7014</v>
      </c>
      <c r="D19" s="29">
        <f t="shared" si="8"/>
        <v>7014</v>
      </c>
      <c r="E19" s="29">
        <f t="shared" si="1"/>
        <v>9398.76</v>
      </c>
      <c r="F19" s="6">
        <v>7014</v>
      </c>
      <c r="G19" s="6">
        <f t="shared" si="2"/>
        <v>8066.0999999999995</v>
      </c>
      <c r="H19" s="6">
        <f t="shared" si="3"/>
        <v>9398.76</v>
      </c>
      <c r="I19" s="6">
        <f t="shared" si="9"/>
        <v>0</v>
      </c>
      <c r="J19" s="6">
        <f t="shared" si="4"/>
        <v>0</v>
      </c>
      <c r="K19" s="7">
        <f t="shared" si="5"/>
        <v>45833</v>
      </c>
      <c r="L19" s="7">
        <f t="shared" si="6"/>
        <v>45803</v>
      </c>
      <c r="M19" s="8">
        <f t="shared" si="7"/>
        <v>5</v>
      </c>
      <c r="N19" s="8">
        <f t="shared" si="10"/>
        <v>2025</v>
      </c>
      <c r="Q19">
        <v>19</v>
      </c>
      <c r="R19" t="s">
        <v>21</v>
      </c>
      <c r="S19" s="13">
        <v>45841</v>
      </c>
    </row>
    <row r="20" spans="1:19" ht="15.75" customHeight="1">
      <c r="A20" s="8">
        <v>21</v>
      </c>
      <c r="B20" s="8" t="str">
        <f t="shared" si="0"/>
        <v>EUR</v>
      </c>
      <c r="C20" s="23">
        <v>43616.26</v>
      </c>
      <c r="D20" s="29">
        <f t="shared" si="8"/>
        <v>43616.26</v>
      </c>
      <c r="E20" s="29">
        <f t="shared" si="1"/>
        <v>50594.861599999997</v>
      </c>
      <c r="F20" s="6">
        <v>43616.26</v>
      </c>
      <c r="G20" s="6">
        <f t="shared" si="2"/>
        <v>43616.26</v>
      </c>
      <c r="H20" s="6">
        <f t="shared" si="3"/>
        <v>50594.861599999997</v>
      </c>
      <c r="I20" s="6">
        <f t="shared" si="9"/>
        <v>0</v>
      </c>
      <c r="J20" s="6">
        <f t="shared" si="4"/>
        <v>0</v>
      </c>
      <c r="K20" s="7">
        <f t="shared" si="5"/>
        <v>45950</v>
      </c>
      <c r="L20" s="7">
        <f t="shared" si="6"/>
        <v>45920</v>
      </c>
      <c r="M20" s="8">
        <f t="shared" si="7"/>
        <v>9</v>
      </c>
      <c r="N20" s="8">
        <f t="shared" si="10"/>
        <v>2025</v>
      </c>
      <c r="Q20">
        <v>20</v>
      </c>
      <c r="R20" t="s">
        <v>27</v>
      </c>
      <c r="S20" s="13">
        <v>45833</v>
      </c>
    </row>
    <row r="21" spans="1:19" ht="15.75" customHeight="1">
      <c r="A21" s="8">
        <v>22</v>
      </c>
      <c r="B21" s="8" t="str">
        <f t="shared" si="0"/>
        <v>EUR</v>
      </c>
      <c r="C21" s="23">
        <v>6222</v>
      </c>
      <c r="D21" s="29">
        <f t="shared" si="8"/>
        <v>6222</v>
      </c>
      <c r="E21" s="29">
        <f t="shared" si="1"/>
        <v>7217.5199999999995</v>
      </c>
      <c r="F21" s="6">
        <v>6222</v>
      </c>
      <c r="G21" s="6">
        <f t="shared" si="2"/>
        <v>6222</v>
      </c>
      <c r="H21" s="6">
        <f t="shared" si="3"/>
        <v>7217.5199999999995</v>
      </c>
      <c r="I21" s="6">
        <f t="shared" si="9"/>
        <v>0</v>
      </c>
      <c r="J21" s="6">
        <f t="shared" si="4"/>
        <v>0</v>
      </c>
      <c r="K21" s="7">
        <f t="shared" si="5"/>
        <v>45865</v>
      </c>
      <c r="L21" s="7">
        <f t="shared" si="6"/>
        <v>45835</v>
      </c>
      <c r="M21" s="8">
        <f t="shared" si="7"/>
        <v>6</v>
      </c>
      <c r="N21" s="8">
        <f t="shared" si="10"/>
        <v>2025</v>
      </c>
      <c r="Q21">
        <v>21</v>
      </c>
      <c r="R21" t="s">
        <v>21</v>
      </c>
      <c r="S21" s="13">
        <v>45950</v>
      </c>
    </row>
    <row r="22" spans="1:19" ht="15.75" customHeight="1">
      <c r="A22" s="8">
        <v>23</v>
      </c>
      <c r="B22" s="8" t="str">
        <f t="shared" si="0"/>
        <v>EUR</v>
      </c>
      <c r="C22" s="23">
        <v>32543.83</v>
      </c>
      <c r="D22" s="29">
        <f t="shared" si="8"/>
        <v>32543.83</v>
      </c>
      <c r="E22" s="29">
        <f t="shared" si="1"/>
        <v>37750.842799999999</v>
      </c>
      <c r="F22" s="6">
        <v>32543.83</v>
      </c>
      <c r="G22" s="6">
        <f t="shared" si="2"/>
        <v>32543.83</v>
      </c>
      <c r="H22" s="6">
        <f t="shared" si="3"/>
        <v>37750.842799999999</v>
      </c>
      <c r="I22" s="6">
        <f t="shared" si="9"/>
        <v>0</v>
      </c>
      <c r="J22" s="6">
        <f t="shared" si="4"/>
        <v>0</v>
      </c>
      <c r="K22" s="7">
        <f t="shared" si="5"/>
        <v>46017</v>
      </c>
      <c r="L22" s="7">
        <f t="shared" si="6"/>
        <v>45987</v>
      </c>
      <c r="M22" s="8">
        <f t="shared" si="7"/>
        <v>11</v>
      </c>
      <c r="N22" s="8">
        <f t="shared" si="10"/>
        <v>2025</v>
      </c>
      <c r="Q22">
        <v>22</v>
      </c>
      <c r="R22" t="s">
        <v>21</v>
      </c>
      <c r="S22" s="13">
        <v>45865</v>
      </c>
    </row>
    <row r="23" spans="1:19" ht="15.75" customHeight="1">
      <c r="A23" s="8">
        <v>24</v>
      </c>
      <c r="B23" s="8" t="str">
        <f t="shared" si="0"/>
        <v>EUR</v>
      </c>
      <c r="C23" s="23">
        <v>2400</v>
      </c>
      <c r="D23" s="29">
        <f t="shared" si="8"/>
        <v>2400</v>
      </c>
      <c r="E23" s="29">
        <f t="shared" si="1"/>
        <v>2784</v>
      </c>
      <c r="F23" s="6">
        <v>2400</v>
      </c>
      <c r="G23" s="6">
        <f t="shared" si="2"/>
        <v>2400</v>
      </c>
      <c r="H23" s="6">
        <f t="shared" si="3"/>
        <v>2784</v>
      </c>
      <c r="I23" s="6">
        <f t="shared" si="9"/>
        <v>0</v>
      </c>
      <c r="J23" s="6">
        <f t="shared" si="4"/>
        <v>0</v>
      </c>
      <c r="K23" s="7">
        <f t="shared" si="5"/>
        <v>45902</v>
      </c>
      <c r="L23" s="7">
        <f t="shared" si="6"/>
        <v>45872</v>
      </c>
      <c r="M23" s="8">
        <f t="shared" si="7"/>
        <v>8</v>
      </c>
      <c r="N23" s="8">
        <f t="shared" si="10"/>
        <v>2025</v>
      </c>
      <c r="Q23">
        <v>23</v>
      </c>
      <c r="R23" t="s">
        <v>21</v>
      </c>
      <c r="S23" s="13">
        <v>46017</v>
      </c>
    </row>
    <row r="24" spans="1:19" ht="15.75" customHeight="1">
      <c r="A24" s="8">
        <v>25</v>
      </c>
      <c r="B24" s="8" t="str">
        <f t="shared" si="0"/>
        <v>EUR</v>
      </c>
      <c r="C24" s="23">
        <v>2600</v>
      </c>
      <c r="D24" s="29">
        <f t="shared" si="8"/>
        <v>2600</v>
      </c>
      <c r="E24" s="29">
        <f t="shared" si="1"/>
        <v>3016</v>
      </c>
      <c r="F24" s="6">
        <v>2600</v>
      </c>
      <c r="G24" s="6">
        <f t="shared" si="2"/>
        <v>2600</v>
      </c>
      <c r="H24" s="6">
        <f t="shared" si="3"/>
        <v>3016</v>
      </c>
      <c r="I24" s="6">
        <f t="shared" si="9"/>
        <v>0</v>
      </c>
      <c r="J24" s="6">
        <f t="shared" si="4"/>
        <v>0</v>
      </c>
      <c r="K24" s="7">
        <f t="shared" si="5"/>
        <v>45855</v>
      </c>
      <c r="L24" s="7">
        <f t="shared" si="6"/>
        <v>45825</v>
      </c>
      <c r="M24" s="8">
        <f t="shared" si="7"/>
        <v>6</v>
      </c>
      <c r="N24" s="8">
        <f t="shared" si="10"/>
        <v>2025</v>
      </c>
      <c r="Q24">
        <v>24</v>
      </c>
      <c r="R24" t="s">
        <v>21</v>
      </c>
      <c r="S24" s="13">
        <v>45902</v>
      </c>
    </row>
    <row r="25" spans="1:19" ht="15.75" customHeight="1">
      <c r="A25" s="8">
        <v>26</v>
      </c>
      <c r="B25" s="8" t="str">
        <f t="shared" si="0"/>
        <v>EUR</v>
      </c>
      <c r="C25" s="23">
        <v>1536</v>
      </c>
      <c r="D25" s="29">
        <f t="shared" si="8"/>
        <v>1536</v>
      </c>
      <c r="E25" s="29">
        <f t="shared" si="1"/>
        <v>1781.7599999999998</v>
      </c>
      <c r="F25" s="6">
        <v>1536</v>
      </c>
      <c r="G25" s="6">
        <f t="shared" si="2"/>
        <v>1536</v>
      </c>
      <c r="H25" s="6">
        <f t="shared" si="3"/>
        <v>1781.7599999999998</v>
      </c>
      <c r="I25" s="6">
        <f t="shared" si="9"/>
        <v>0</v>
      </c>
      <c r="J25" s="6">
        <f t="shared" si="4"/>
        <v>0</v>
      </c>
      <c r="K25" s="7">
        <f t="shared" si="5"/>
        <v>45858</v>
      </c>
      <c r="L25" s="7">
        <f t="shared" si="6"/>
        <v>45828</v>
      </c>
      <c r="M25" s="8">
        <f t="shared" si="7"/>
        <v>6</v>
      </c>
      <c r="N25" s="8">
        <f t="shared" si="10"/>
        <v>2025</v>
      </c>
      <c r="Q25">
        <v>25</v>
      </c>
      <c r="R25" t="s">
        <v>21</v>
      </c>
      <c r="S25" s="13">
        <v>45855</v>
      </c>
    </row>
    <row r="26" spans="1:19" ht="15.75" customHeight="1">
      <c r="A26" s="8">
        <v>27</v>
      </c>
      <c r="B26" s="8" t="str">
        <f t="shared" si="0"/>
        <v>EUR</v>
      </c>
      <c r="C26" s="23">
        <v>45963</v>
      </c>
      <c r="D26" s="29">
        <f t="shared" si="8"/>
        <v>45963</v>
      </c>
      <c r="E26" s="29">
        <f t="shared" si="1"/>
        <v>53317.079999999994</v>
      </c>
      <c r="F26" s="6">
        <v>45963</v>
      </c>
      <c r="G26" s="6">
        <f t="shared" si="2"/>
        <v>45963</v>
      </c>
      <c r="H26" s="6">
        <f t="shared" si="3"/>
        <v>53317.079999999994</v>
      </c>
      <c r="I26" s="6">
        <f t="shared" si="9"/>
        <v>0</v>
      </c>
      <c r="J26" s="6">
        <f t="shared" si="4"/>
        <v>0</v>
      </c>
      <c r="K26" s="7">
        <f t="shared" si="5"/>
        <v>45924</v>
      </c>
      <c r="L26" s="7">
        <f t="shared" si="6"/>
        <v>45894</v>
      </c>
      <c r="M26" s="8">
        <f t="shared" si="7"/>
        <v>8</v>
      </c>
      <c r="N26" s="8">
        <f t="shared" si="10"/>
        <v>2025</v>
      </c>
      <c r="Q26">
        <v>26</v>
      </c>
      <c r="R26" t="s">
        <v>21</v>
      </c>
      <c r="S26" s="13">
        <v>45858</v>
      </c>
    </row>
    <row r="27" spans="1:19" ht="15.75" customHeight="1">
      <c r="A27" s="8">
        <v>28</v>
      </c>
      <c r="B27" s="8" t="str">
        <f t="shared" si="0"/>
        <v>EUR</v>
      </c>
      <c r="C27" s="23">
        <v>5240</v>
      </c>
      <c r="D27" s="29">
        <f t="shared" si="8"/>
        <v>5240</v>
      </c>
      <c r="E27" s="29">
        <f t="shared" si="1"/>
        <v>6078.4</v>
      </c>
      <c r="F27" s="6">
        <v>5240</v>
      </c>
      <c r="G27" s="6">
        <f t="shared" si="2"/>
        <v>5240</v>
      </c>
      <c r="H27" s="6">
        <f t="shared" si="3"/>
        <v>6078.4</v>
      </c>
      <c r="I27" s="6">
        <f t="shared" si="9"/>
        <v>0</v>
      </c>
      <c r="J27" s="6">
        <f t="shared" si="4"/>
        <v>0</v>
      </c>
      <c r="K27" s="7">
        <f t="shared" si="5"/>
        <v>45913</v>
      </c>
      <c r="L27" s="7">
        <f t="shared" si="6"/>
        <v>45883</v>
      </c>
      <c r="M27" s="8">
        <f t="shared" si="7"/>
        <v>8</v>
      </c>
      <c r="N27" s="8">
        <f t="shared" si="10"/>
        <v>2025</v>
      </c>
      <c r="Q27">
        <v>27</v>
      </c>
      <c r="R27" t="s">
        <v>21</v>
      </c>
      <c r="S27" s="13">
        <v>45924</v>
      </c>
    </row>
    <row r="28" spans="1:19" ht="15.75" customHeight="1">
      <c r="A28" s="8">
        <v>29</v>
      </c>
      <c r="B28" s="8" t="str">
        <f t="shared" si="0"/>
        <v>EUR</v>
      </c>
      <c r="C28" s="23">
        <v>197.41</v>
      </c>
      <c r="D28" s="29">
        <f t="shared" si="8"/>
        <v>197.41</v>
      </c>
      <c r="E28" s="29">
        <f t="shared" si="1"/>
        <v>228.99559999999997</v>
      </c>
      <c r="F28" s="6">
        <v>197.41</v>
      </c>
      <c r="G28" s="6">
        <f t="shared" si="2"/>
        <v>197.41</v>
      </c>
      <c r="H28" s="6">
        <f t="shared" si="3"/>
        <v>228.99559999999997</v>
      </c>
      <c r="I28" s="6">
        <f t="shared" si="9"/>
        <v>0</v>
      </c>
      <c r="J28" s="6">
        <f t="shared" si="4"/>
        <v>0</v>
      </c>
      <c r="K28" s="7">
        <f t="shared" si="5"/>
        <v>45857</v>
      </c>
      <c r="L28" s="7">
        <f t="shared" si="6"/>
        <v>45827</v>
      </c>
      <c r="M28" s="8">
        <f t="shared" si="7"/>
        <v>6</v>
      </c>
      <c r="N28" s="8">
        <f t="shared" si="10"/>
        <v>2025</v>
      </c>
      <c r="Q28">
        <v>28</v>
      </c>
      <c r="R28" t="s">
        <v>21</v>
      </c>
      <c r="S28" s="13">
        <v>45913</v>
      </c>
    </row>
    <row r="29" spans="1:19" ht="15.75" customHeight="1">
      <c r="A29" s="8">
        <v>30</v>
      </c>
      <c r="B29" s="8" t="str">
        <f t="shared" si="0"/>
        <v>EUR</v>
      </c>
      <c r="C29" s="23">
        <v>79848.350000000006</v>
      </c>
      <c r="D29" s="29">
        <f t="shared" si="8"/>
        <v>79848.350000000006</v>
      </c>
      <c r="E29" s="29">
        <f t="shared" si="1"/>
        <v>92624.085999999996</v>
      </c>
      <c r="F29" s="6">
        <v>79848.350000000006</v>
      </c>
      <c r="G29" s="6">
        <f t="shared" si="2"/>
        <v>79848.350000000006</v>
      </c>
      <c r="H29" s="6">
        <f t="shared" si="3"/>
        <v>92624.085999999996</v>
      </c>
      <c r="I29" s="6">
        <f t="shared" si="9"/>
        <v>0</v>
      </c>
      <c r="J29" s="6">
        <f t="shared" si="4"/>
        <v>0</v>
      </c>
      <c r="K29" s="7">
        <f t="shared" si="5"/>
        <v>46017</v>
      </c>
      <c r="L29" s="7">
        <f t="shared" si="6"/>
        <v>45987</v>
      </c>
      <c r="M29" s="8">
        <f t="shared" si="7"/>
        <v>11</v>
      </c>
      <c r="N29" s="8">
        <f t="shared" si="10"/>
        <v>2025</v>
      </c>
      <c r="Q29">
        <v>29</v>
      </c>
      <c r="R29" t="s">
        <v>21</v>
      </c>
      <c r="S29" s="13">
        <v>45857</v>
      </c>
    </row>
    <row r="30" spans="1:19" ht="15.75" customHeight="1">
      <c r="A30" s="8">
        <v>32</v>
      </c>
      <c r="B30" s="8" t="str">
        <f t="shared" si="0"/>
        <v>EUR</v>
      </c>
      <c r="C30" s="23">
        <v>4782.34</v>
      </c>
      <c r="D30" s="29">
        <f t="shared" si="8"/>
        <v>4782.34</v>
      </c>
      <c r="E30" s="29">
        <f t="shared" si="1"/>
        <v>5547.5144</v>
      </c>
      <c r="F30" s="6">
        <v>4782.34</v>
      </c>
      <c r="G30" s="6">
        <f t="shared" si="2"/>
        <v>4782.34</v>
      </c>
      <c r="H30" s="6">
        <f t="shared" si="3"/>
        <v>5547.5144</v>
      </c>
      <c r="I30" s="6">
        <f t="shared" si="9"/>
        <v>0</v>
      </c>
      <c r="J30" s="6">
        <f t="shared" si="4"/>
        <v>0</v>
      </c>
      <c r="K30" s="7">
        <f t="shared" si="5"/>
        <v>46000</v>
      </c>
      <c r="L30" s="7">
        <f t="shared" si="6"/>
        <v>45970</v>
      </c>
      <c r="M30" s="8">
        <f t="shared" si="7"/>
        <v>11</v>
      </c>
      <c r="N30" s="8">
        <f t="shared" si="10"/>
        <v>2025</v>
      </c>
      <c r="Q30">
        <v>30</v>
      </c>
      <c r="R30" t="s">
        <v>21</v>
      </c>
      <c r="S30" s="13">
        <v>46017</v>
      </c>
    </row>
    <row r="31" spans="1:19" ht="15.75" customHeight="1">
      <c r="A31" s="8">
        <v>33</v>
      </c>
      <c r="B31" s="8" t="str">
        <f t="shared" si="0"/>
        <v>USD</v>
      </c>
      <c r="C31" s="23">
        <v>4815</v>
      </c>
      <c r="D31" s="29">
        <f t="shared" si="8"/>
        <v>4815</v>
      </c>
      <c r="E31" s="29">
        <f t="shared" si="1"/>
        <v>4815</v>
      </c>
      <c r="F31" s="6">
        <v>4815</v>
      </c>
      <c r="G31" s="6">
        <f t="shared" si="2"/>
        <v>4140.8999999999996</v>
      </c>
      <c r="H31" s="6">
        <f t="shared" si="3"/>
        <v>4815</v>
      </c>
      <c r="I31" s="6">
        <f t="shared" si="9"/>
        <v>0</v>
      </c>
      <c r="J31" s="6">
        <f t="shared" si="4"/>
        <v>0</v>
      </c>
      <c r="K31" s="7">
        <f t="shared" si="5"/>
        <v>45869</v>
      </c>
      <c r="L31" s="7">
        <f t="shared" si="6"/>
        <v>45839</v>
      </c>
      <c r="M31" s="8">
        <f t="shared" si="7"/>
        <v>7</v>
      </c>
      <c r="N31" s="8">
        <f t="shared" si="10"/>
        <v>2025</v>
      </c>
      <c r="Q31">
        <v>31</v>
      </c>
      <c r="R31" t="s">
        <v>21</v>
      </c>
      <c r="S31" s="13">
        <v>45950</v>
      </c>
    </row>
    <row r="32" spans="1:19" ht="15.75" customHeight="1">
      <c r="A32" s="8">
        <v>34</v>
      </c>
      <c r="B32" s="8" t="str">
        <f t="shared" si="0"/>
        <v>EUR</v>
      </c>
      <c r="C32" s="23">
        <v>32815</v>
      </c>
      <c r="D32" s="29">
        <f t="shared" si="8"/>
        <v>32815</v>
      </c>
      <c r="E32" s="29">
        <f t="shared" si="1"/>
        <v>38065.399999999994</v>
      </c>
      <c r="F32" s="6">
        <v>32815</v>
      </c>
      <c r="G32" s="6">
        <f t="shared" si="2"/>
        <v>32815</v>
      </c>
      <c r="H32" s="6">
        <f t="shared" si="3"/>
        <v>38065.399999999994</v>
      </c>
      <c r="I32" s="6">
        <f t="shared" si="9"/>
        <v>0</v>
      </c>
      <c r="J32" s="6">
        <f t="shared" si="4"/>
        <v>0</v>
      </c>
      <c r="K32" s="7">
        <f t="shared" si="5"/>
        <v>46037</v>
      </c>
      <c r="L32" s="7">
        <f t="shared" si="6"/>
        <v>46007</v>
      </c>
      <c r="M32" s="8">
        <f t="shared" si="7"/>
        <v>12</v>
      </c>
      <c r="N32" s="8">
        <f t="shared" si="10"/>
        <v>2025</v>
      </c>
      <c r="Q32">
        <v>32</v>
      </c>
      <c r="R32" t="s">
        <v>21</v>
      </c>
      <c r="S32" s="13">
        <v>46000</v>
      </c>
    </row>
    <row r="33" spans="1:19" ht="15.75" customHeight="1">
      <c r="A33" s="8">
        <v>36</v>
      </c>
      <c r="B33" s="8" t="str">
        <f t="shared" si="0"/>
        <v>EUR</v>
      </c>
      <c r="C33" s="23">
        <v>6545.7</v>
      </c>
      <c r="D33" s="29">
        <f t="shared" si="8"/>
        <v>6545.7</v>
      </c>
      <c r="E33" s="29">
        <f t="shared" si="1"/>
        <v>7593.0119999999997</v>
      </c>
      <c r="F33" s="6">
        <v>6545.7</v>
      </c>
      <c r="G33" s="6">
        <f t="shared" si="2"/>
        <v>6545.7</v>
      </c>
      <c r="H33" s="6">
        <f t="shared" si="3"/>
        <v>7593.0119999999997</v>
      </c>
      <c r="I33" s="6">
        <f t="shared" si="9"/>
        <v>0</v>
      </c>
      <c r="J33" s="6">
        <f t="shared" si="4"/>
        <v>0</v>
      </c>
      <c r="K33" s="7">
        <f t="shared" si="5"/>
        <v>45977</v>
      </c>
      <c r="L33" s="7">
        <f t="shared" si="6"/>
        <v>45947</v>
      </c>
      <c r="M33" s="8">
        <f t="shared" si="7"/>
        <v>10</v>
      </c>
      <c r="N33" s="8">
        <f t="shared" si="10"/>
        <v>2025</v>
      </c>
      <c r="Q33">
        <v>33</v>
      </c>
      <c r="R33" t="s">
        <v>20</v>
      </c>
      <c r="S33" s="13">
        <v>45869</v>
      </c>
    </row>
    <row r="34" spans="1:19" ht="15.75" customHeight="1">
      <c r="A34" s="4">
        <v>37</v>
      </c>
      <c r="B34" s="8" t="str">
        <f t="shared" ref="B34:B65" si="11">_xlfn.XLOOKUP(A34,Q:Q,R:R)</f>
        <v>USD</v>
      </c>
      <c r="C34" s="23">
        <v>41960.51</v>
      </c>
      <c r="D34" s="29">
        <f t="shared" si="8"/>
        <v>41960.51</v>
      </c>
      <c r="E34" s="29">
        <f t="shared" ref="E34:E65" si="12">C34*_xlfn.XLOOKUP(B34,V:V,X:X)</f>
        <v>41960.51</v>
      </c>
      <c r="F34" s="6">
        <v>41960.51</v>
      </c>
      <c r="G34" s="6">
        <f t="shared" ref="G34:G65" si="13">F34*_xlfn.XLOOKUP(B34,V:V,W:W)</f>
        <v>36086.0386</v>
      </c>
      <c r="H34" s="6">
        <f t="shared" ref="H34:H65" si="14">F34*_xlfn.XLOOKUP(B34,V:V,X:X)</f>
        <v>41960.51</v>
      </c>
      <c r="I34" s="6">
        <f t="shared" si="9"/>
        <v>0</v>
      </c>
      <c r="J34" s="6">
        <f t="shared" ref="J34:J65" si="15">I34*_xlfn.XLOOKUP(B34,V:V,X:X,0)</f>
        <v>0</v>
      </c>
      <c r="K34" s="7">
        <f t="shared" ref="K34:K65" si="16">_xlfn.XLOOKUP(A34,Q:Q,S:S,"NO")</f>
        <v>46009</v>
      </c>
      <c r="L34" s="7">
        <f t="shared" si="6"/>
        <v>45979</v>
      </c>
      <c r="M34" s="8">
        <f t="shared" si="7"/>
        <v>11</v>
      </c>
      <c r="N34" s="8">
        <f t="shared" si="10"/>
        <v>2025</v>
      </c>
      <c r="Q34">
        <v>34</v>
      </c>
      <c r="R34" t="s">
        <v>21</v>
      </c>
      <c r="S34" s="13">
        <v>46037</v>
      </c>
    </row>
    <row r="35" spans="1:19" ht="15.75" customHeight="1">
      <c r="A35" s="4">
        <v>38</v>
      </c>
      <c r="B35" s="8" t="str">
        <f t="shared" si="11"/>
        <v>EUR</v>
      </c>
      <c r="C35" s="23">
        <v>26488.92</v>
      </c>
      <c r="D35" s="29">
        <f t="shared" si="8"/>
        <v>26488.92</v>
      </c>
      <c r="E35" s="29">
        <f t="shared" si="12"/>
        <v>30727.147199999996</v>
      </c>
      <c r="F35" s="6">
        <v>26488.92</v>
      </c>
      <c r="G35" s="6">
        <f t="shared" si="13"/>
        <v>26488.92</v>
      </c>
      <c r="H35" s="6">
        <f t="shared" si="14"/>
        <v>30727.147199999996</v>
      </c>
      <c r="I35" s="6">
        <f t="shared" si="9"/>
        <v>0</v>
      </c>
      <c r="J35" s="6">
        <f t="shared" si="15"/>
        <v>0</v>
      </c>
      <c r="K35" s="7">
        <f t="shared" si="16"/>
        <v>45946</v>
      </c>
      <c r="L35" s="7">
        <f t="shared" si="6"/>
        <v>45916</v>
      </c>
      <c r="M35" s="8">
        <f t="shared" si="7"/>
        <v>9</v>
      </c>
      <c r="N35" s="8">
        <f t="shared" si="10"/>
        <v>2025</v>
      </c>
      <c r="Q35">
        <v>36</v>
      </c>
      <c r="R35" t="s">
        <v>21</v>
      </c>
      <c r="S35" s="13">
        <v>45977</v>
      </c>
    </row>
    <row r="36" spans="1:19" ht="15.75" customHeight="1">
      <c r="A36" s="4">
        <v>41</v>
      </c>
      <c r="B36" s="8" t="str">
        <f t="shared" si="11"/>
        <v>EUR</v>
      </c>
      <c r="C36" s="23">
        <v>24603.599999999999</v>
      </c>
      <c r="D36" s="29">
        <f t="shared" si="8"/>
        <v>24603.599999999999</v>
      </c>
      <c r="E36" s="29">
        <f t="shared" si="12"/>
        <v>28540.175999999996</v>
      </c>
      <c r="F36" s="6">
        <v>24603.599999999999</v>
      </c>
      <c r="G36" s="6">
        <f t="shared" si="13"/>
        <v>24603.599999999999</v>
      </c>
      <c r="H36" s="6">
        <f t="shared" si="14"/>
        <v>28540.175999999996</v>
      </c>
      <c r="I36" s="6">
        <f t="shared" si="9"/>
        <v>0</v>
      </c>
      <c r="J36" s="6">
        <f t="shared" si="15"/>
        <v>0</v>
      </c>
      <c r="K36" s="7">
        <f t="shared" si="16"/>
        <v>46020</v>
      </c>
      <c r="L36" s="7">
        <f t="shared" si="6"/>
        <v>45990</v>
      </c>
      <c r="M36" s="8">
        <f t="shared" si="7"/>
        <v>11</v>
      </c>
      <c r="N36" s="8">
        <f t="shared" si="10"/>
        <v>2025</v>
      </c>
      <c r="Q36">
        <v>37</v>
      </c>
      <c r="R36" t="s">
        <v>20</v>
      </c>
      <c r="S36" s="13">
        <v>46009</v>
      </c>
    </row>
    <row r="37" spans="1:19" ht="15.75" customHeight="1">
      <c r="A37" s="4">
        <v>42</v>
      </c>
      <c r="B37" s="8" t="str">
        <f t="shared" si="11"/>
        <v>EUR</v>
      </c>
      <c r="C37" s="23">
        <v>22610</v>
      </c>
      <c r="D37" s="29">
        <f t="shared" si="8"/>
        <v>22610</v>
      </c>
      <c r="E37" s="29">
        <f t="shared" si="12"/>
        <v>26227.599999999999</v>
      </c>
      <c r="F37" s="6">
        <v>22610</v>
      </c>
      <c r="G37" s="6">
        <f t="shared" si="13"/>
        <v>22610</v>
      </c>
      <c r="H37" s="6">
        <f t="shared" si="14"/>
        <v>26227.599999999999</v>
      </c>
      <c r="I37" s="6">
        <f t="shared" si="9"/>
        <v>0</v>
      </c>
      <c r="J37" s="6">
        <f t="shared" si="15"/>
        <v>0</v>
      </c>
      <c r="K37" s="7">
        <f t="shared" si="16"/>
        <v>45985</v>
      </c>
      <c r="L37" s="7">
        <f t="shared" si="6"/>
        <v>45955</v>
      </c>
      <c r="M37" s="8">
        <f t="shared" si="7"/>
        <v>10</v>
      </c>
      <c r="N37" s="8">
        <f t="shared" si="10"/>
        <v>2025</v>
      </c>
      <c r="Q37">
        <v>38</v>
      </c>
      <c r="R37" t="s">
        <v>21</v>
      </c>
      <c r="S37" s="13">
        <v>45946</v>
      </c>
    </row>
    <row r="38" spans="1:19" ht="15.75" customHeight="1">
      <c r="A38" s="4">
        <v>44</v>
      </c>
      <c r="B38" s="8" t="str">
        <f t="shared" si="11"/>
        <v>EUR</v>
      </c>
      <c r="C38" s="23">
        <v>16059.77</v>
      </c>
      <c r="D38" s="29">
        <f t="shared" si="8"/>
        <v>16059.77</v>
      </c>
      <c r="E38" s="29">
        <f t="shared" si="12"/>
        <v>18629.333200000001</v>
      </c>
      <c r="F38" s="6">
        <v>16059.77</v>
      </c>
      <c r="G38" s="6">
        <f t="shared" si="13"/>
        <v>16059.77</v>
      </c>
      <c r="H38" s="6">
        <f t="shared" si="14"/>
        <v>18629.333200000001</v>
      </c>
      <c r="I38" s="6">
        <f t="shared" si="9"/>
        <v>0</v>
      </c>
      <c r="J38" s="6">
        <f t="shared" si="15"/>
        <v>0</v>
      </c>
      <c r="K38" s="7">
        <f t="shared" si="16"/>
        <v>46187</v>
      </c>
      <c r="L38" s="7">
        <f t="shared" si="6"/>
        <v>46157</v>
      </c>
      <c r="M38" s="8">
        <f t="shared" si="7"/>
        <v>5</v>
      </c>
      <c r="N38" s="8">
        <f t="shared" si="10"/>
        <v>2026</v>
      </c>
      <c r="Q38">
        <v>39</v>
      </c>
      <c r="R38" t="s">
        <v>21</v>
      </c>
      <c r="S38" s="13">
        <v>45957</v>
      </c>
    </row>
    <row r="39" spans="1:19" ht="15.75" customHeight="1">
      <c r="A39" s="4">
        <v>45</v>
      </c>
      <c r="B39" s="8" t="str">
        <f t="shared" si="11"/>
        <v>EUR</v>
      </c>
      <c r="C39" s="23">
        <v>13911.75</v>
      </c>
      <c r="D39" s="29">
        <f t="shared" si="8"/>
        <v>13911.75</v>
      </c>
      <c r="E39" s="29">
        <f t="shared" si="12"/>
        <v>16137.63</v>
      </c>
      <c r="F39" s="6">
        <v>13911.75</v>
      </c>
      <c r="G39" s="6">
        <f t="shared" si="13"/>
        <v>13911.75</v>
      </c>
      <c r="H39" s="6">
        <f t="shared" si="14"/>
        <v>16137.63</v>
      </c>
      <c r="I39" s="6">
        <f t="shared" si="9"/>
        <v>0</v>
      </c>
      <c r="J39" s="6">
        <f t="shared" si="15"/>
        <v>0</v>
      </c>
      <c r="K39" s="7">
        <f t="shared" si="16"/>
        <v>46174</v>
      </c>
      <c r="L39" s="7">
        <f t="shared" si="6"/>
        <v>46144</v>
      </c>
      <c r="M39" s="8">
        <f t="shared" si="7"/>
        <v>5</v>
      </c>
      <c r="N39" s="8">
        <f t="shared" si="10"/>
        <v>2026</v>
      </c>
      <c r="Q39">
        <v>40</v>
      </c>
      <c r="R39" t="s">
        <v>21</v>
      </c>
      <c r="S39" s="13">
        <v>45992</v>
      </c>
    </row>
    <row r="40" spans="1:19" ht="15.75" customHeight="1">
      <c r="A40" s="4">
        <v>48</v>
      </c>
      <c r="B40" s="8" t="str">
        <f t="shared" si="11"/>
        <v>EUR</v>
      </c>
      <c r="C40" s="23">
        <v>21909</v>
      </c>
      <c r="D40" s="29">
        <f t="shared" si="8"/>
        <v>21909</v>
      </c>
      <c r="E40" s="29">
        <f t="shared" si="12"/>
        <v>25414.44</v>
      </c>
      <c r="F40" s="6">
        <v>21909</v>
      </c>
      <c r="G40" s="6">
        <f t="shared" si="13"/>
        <v>21909</v>
      </c>
      <c r="H40" s="6">
        <f t="shared" si="14"/>
        <v>25414.44</v>
      </c>
      <c r="I40" s="6">
        <f t="shared" si="9"/>
        <v>0</v>
      </c>
      <c r="J40" s="6">
        <f t="shared" si="15"/>
        <v>0</v>
      </c>
      <c r="K40" s="7">
        <f t="shared" si="16"/>
        <v>46020</v>
      </c>
      <c r="L40" s="7">
        <f t="shared" si="6"/>
        <v>45990</v>
      </c>
      <c r="M40" s="8">
        <f t="shared" si="7"/>
        <v>11</v>
      </c>
      <c r="N40" s="8">
        <f t="shared" si="10"/>
        <v>2025</v>
      </c>
      <c r="Q40">
        <v>41</v>
      </c>
      <c r="R40" t="s">
        <v>21</v>
      </c>
      <c r="S40" s="13">
        <v>46020</v>
      </c>
    </row>
    <row r="41" spans="1:19" ht="15.75" customHeight="1">
      <c r="A41" s="4">
        <v>52</v>
      </c>
      <c r="B41" s="8" t="str">
        <f t="shared" si="11"/>
        <v>EUR</v>
      </c>
      <c r="C41" s="23">
        <v>99592.57</v>
      </c>
      <c r="D41" s="29">
        <f t="shared" si="8"/>
        <v>99592.57</v>
      </c>
      <c r="E41" s="29">
        <f t="shared" si="12"/>
        <v>115527.3812</v>
      </c>
      <c r="F41" s="6">
        <v>99592.57</v>
      </c>
      <c r="G41" s="6">
        <f t="shared" si="13"/>
        <v>99592.57</v>
      </c>
      <c r="H41" s="6">
        <f t="shared" si="14"/>
        <v>115527.3812</v>
      </c>
      <c r="I41" s="6">
        <f t="shared" si="9"/>
        <v>0</v>
      </c>
      <c r="J41" s="6">
        <f t="shared" si="15"/>
        <v>0</v>
      </c>
      <c r="K41" s="7">
        <f t="shared" si="16"/>
        <v>46009</v>
      </c>
      <c r="L41" s="7">
        <f t="shared" si="6"/>
        <v>45979</v>
      </c>
      <c r="M41" s="8">
        <f t="shared" si="7"/>
        <v>11</v>
      </c>
      <c r="N41" s="8">
        <f t="shared" si="10"/>
        <v>2025</v>
      </c>
      <c r="Q41">
        <v>42</v>
      </c>
      <c r="R41" t="s">
        <v>21</v>
      </c>
      <c r="S41" s="13">
        <v>45985</v>
      </c>
    </row>
    <row r="42" spans="1:19" ht="15.75" customHeight="1">
      <c r="A42" s="4">
        <v>53</v>
      </c>
      <c r="B42" s="8" t="str">
        <f t="shared" si="11"/>
        <v>EUR</v>
      </c>
      <c r="C42" s="23">
        <v>53982.33</v>
      </c>
      <c r="D42" s="29">
        <f t="shared" si="8"/>
        <v>53982.33</v>
      </c>
      <c r="E42" s="29">
        <f t="shared" si="12"/>
        <v>62619.502799999995</v>
      </c>
      <c r="F42" s="6">
        <v>53982.33</v>
      </c>
      <c r="G42" s="6">
        <f t="shared" si="13"/>
        <v>53982.33</v>
      </c>
      <c r="H42" s="6">
        <f t="shared" si="14"/>
        <v>62619.502799999995</v>
      </c>
      <c r="I42" s="6">
        <f t="shared" si="9"/>
        <v>0</v>
      </c>
      <c r="J42" s="6">
        <f t="shared" si="15"/>
        <v>0</v>
      </c>
      <c r="K42" s="7">
        <f t="shared" si="16"/>
        <v>46016</v>
      </c>
      <c r="L42" s="7">
        <f t="shared" si="6"/>
        <v>45986</v>
      </c>
      <c r="M42" s="8">
        <f t="shared" si="7"/>
        <v>11</v>
      </c>
      <c r="N42" s="8">
        <f t="shared" si="10"/>
        <v>2025</v>
      </c>
      <c r="Q42">
        <v>43</v>
      </c>
      <c r="R42" t="s">
        <v>21</v>
      </c>
      <c r="S42" s="13">
        <v>45971</v>
      </c>
    </row>
    <row r="43" spans="1:19" ht="15.75" customHeight="1">
      <c r="A43" s="4">
        <v>54</v>
      </c>
      <c r="B43" s="8" t="str">
        <f t="shared" si="11"/>
        <v>EUR</v>
      </c>
      <c r="C43" s="23">
        <v>19458.79</v>
      </c>
      <c r="D43" s="29">
        <f t="shared" si="8"/>
        <v>19458.79</v>
      </c>
      <c r="E43" s="29">
        <f t="shared" si="12"/>
        <v>22572.196400000001</v>
      </c>
      <c r="F43" s="6">
        <v>19458.79</v>
      </c>
      <c r="G43" s="6">
        <f t="shared" si="13"/>
        <v>19458.79</v>
      </c>
      <c r="H43" s="6">
        <f t="shared" si="14"/>
        <v>22572.196400000001</v>
      </c>
      <c r="I43" s="6">
        <f t="shared" si="9"/>
        <v>0</v>
      </c>
      <c r="J43" s="6">
        <f t="shared" si="15"/>
        <v>0</v>
      </c>
      <c r="K43" s="7">
        <f t="shared" si="16"/>
        <v>46017</v>
      </c>
      <c r="L43" s="7">
        <f t="shared" si="6"/>
        <v>45987</v>
      </c>
      <c r="M43" s="8">
        <f t="shared" si="7"/>
        <v>11</v>
      </c>
      <c r="N43" s="8">
        <f t="shared" si="10"/>
        <v>2025</v>
      </c>
      <c r="Q43">
        <v>44</v>
      </c>
      <c r="R43" t="s">
        <v>21</v>
      </c>
      <c r="S43" s="13">
        <v>46187</v>
      </c>
    </row>
    <row r="44" spans="1:19" ht="15.75" customHeight="1">
      <c r="A44" s="8">
        <v>55</v>
      </c>
      <c r="B44" s="8" t="str">
        <f t="shared" si="11"/>
        <v>EUR</v>
      </c>
      <c r="C44" s="23">
        <v>528</v>
      </c>
      <c r="D44" s="29">
        <f>C44*1.15</f>
        <v>607.19999999999993</v>
      </c>
      <c r="E44" s="29">
        <f t="shared" si="12"/>
        <v>612.4799999999999</v>
      </c>
      <c r="F44" s="6">
        <v>528</v>
      </c>
      <c r="G44" s="6">
        <f t="shared" si="13"/>
        <v>528</v>
      </c>
      <c r="H44" s="6">
        <f t="shared" si="14"/>
        <v>612.4799999999999</v>
      </c>
      <c r="I44" s="6">
        <f t="shared" si="9"/>
        <v>0</v>
      </c>
      <c r="J44" s="6">
        <f t="shared" si="15"/>
        <v>0</v>
      </c>
      <c r="K44" s="7">
        <f t="shared" si="16"/>
        <v>45959</v>
      </c>
      <c r="L44" s="7">
        <f t="shared" si="6"/>
        <v>45929</v>
      </c>
      <c r="M44" s="8">
        <f t="shared" si="7"/>
        <v>9</v>
      </c>
      <c r="N44" s="8">
        <f t="shared" si="10"/>
        <v>2025</v>
      </c>
      <c r="Q44">
        <v>45</v>
      </c>
      <c r="R44" t="s">
        <v>21</v>
      </c>
      <c r="S44" s="13">
        <v>46174</v>
      </c>
    </row>
    <row r="45" spans="1:19" ht="15.75" customHeight="1">
      <c r="A45" s="8">
        <v>56</v>
      </c>
      <c r="B45" s="8" t="str">
        <f t="shared" si="11"/>
        <v>EUR</v>
      </c>
      <c r="C45" s="23">
        <v>26253</v>
      </c>
      <c r="D45" s="29">
        <f t="shared" ref="D45:D49" si="17">C45*0.86</f>
        <v>22577.579999999998</v>
      </c>
      <c r="E45" s="29">
        <f t="shared" si="12"/>
        <v>30453.48</v>
      </c>
      <c r="F45" s="6">
        <v>26253</v>
      </c>
      <c r="G45" s="6">
        <f t="shared" si="13"/>
        <v>26253</v>
      </c>
      <c r="H45" s="6">
        <f t="shared" si="14"/>
        <v>30453.48</v>
      </c>
      <c r="I45" s="6">
        <f t="shared" si="9"/>
        <v>0</v>
      </c>
      <c r="J45" s="6">
        <f t="shared" si="15"/>
        <v>0</v>
      </c>
      <c r="K45" s="7">
        <f t="shared" si="16"/>
        <v>45975</v>
      </c>
      <c r="L45" s="7">
        <f t="shared" si="6"/>
        <v>45945</v>
      </c>
      <c r="M45" s="8">
        <f t="shared" si="7"/>
        <v>10</v>
      </c>
      <c r="N45" s="8">
        <f t="shared" si="10"/>
        <v>2025</v>
      </c>
      <c r="Q45">
        <v>46</v>
      </c>
      <c r="R45" t="s">
        <v>21</v>
      </c>
      <c r="S45" s="13">
        <v>45940</v>
      </c>
    </row>
    <row r="46" spans="1:19" ht="15.75" customHeight="1">
      <c r="A46" s="8">
        <v>57</v>
      </c>
      <c r="B46" s="8" t="str">
        <f t="shared" si="11"/>
        <v>EUR</v>
      </c>
      <c r="C46" s="23">
        <v>9331.23</v>
      </c>
      <c r="D46" s="29">
        <f t="shared" si="17"/>
        <v>8024.8577999999998</v>
      </c>
      <c r="E46" s="29">
        <f t="shared" si="12"/>
        <v>10824.226799999999</v>
      </c>
      <c r="F46" s="6">
        <v>9331.23</v>
      </c>
      <c r="G46" s="6">
        <f t="shared" si="13"/>
        <v>9331.23</v>
      </c>
      <c r="H46" s="6">
        <f t="shared" si="14"/>
        <v>10824.226799999999</v>
      </c>
      <c r="I46" s="6">
        <f t="shared" si="9"/>
        <v>0</v>
      </c>
      <c r="J46" s="6">
        <f t="shared" si="15"/>
        <v>0</v>
      </c>
      <c r="K46" s="7">
        <f t="shared" si="16"/>
        <v>46285</v>
      </c>
      <c r="L46" s="7">
        <f t="shared" si="6"/>
        <v>46255</v>
      </c>
      <c r="M46" s="8">
        <f t="shared" si="7"/>
        <v>8</v>
      </c>
      <c r="N46" s="8">
        <f t="shared" si="10"/>
        <v>2026</v>
      </c>
      <c r="Q46">
        <v>47</v>
      </c>
      <c r="R46" t="s">
        <v>21</v>
      </c>
      <c r="S46" s="13">
        <v>45968</v>
      </c>
    </row>
    <row r="47" spans="1:19" ht="15.75" customHeight="1">
      <c r="A47" s="8">
        <v>58</v>
      </c>
      <c r="B47" s="8" t="str">
        <f t="shared" si="11"/>
        <v>EUR</v>
      </c>
      <c r="C47" s="23">
        <v>533.6</v>
      </c>
      <c r="D47" s="29">
        <f t="shared" si="17"/>
        <v>458.89600000000002</v>
      </c>
      <c r="E47" s="29">
        <f t="shared" si="12"/>
        <v>618.976</v>
      </c>
      <c r="F47" s="6">
        <v>533.6</v>
      </c>
      <c r="G47" s="6">
        <f t="shared" si="13"/>
        <v>533.6</v>
      </c>
      <c r="H47" s="6">
        <f t="shared" si="14"/>
        <v>618.976</v>
      </c>
      <c r="I47" s="6">
        <f t="shared" si="9"/>
        <v>0</v>
      </c>
      <c r="J47" s="6">
        <f t="shared" si="15"/>
        <v>0</v>
      </c>
      <c r="K47" s="7">
        <f t="shared" si="16"/>
        <v>45968</v>
      </c>
      <c r="L47" s="7">
        <f t="shared" si="6"/>
        <v>45938</v>
      </c>
      <c r="M47" s="8">
        <f t="shared" si="7"/>
        <v>10</v>
      </c>
      <c r="N47" s="8">
        <f t="shared" si="10"/>
        <v>2025</v>
      </c>
      <c r="Q47">
        <v>48</v>
      </c>
      <c r="R47" t="s">
        <v>21</v>
      </c>
      <c r="S47" s="13">
        <v>46020</v>
      </c>
    </row>
    <row r="48" spans="1:19" ht="15.75" customHeight="1">
      <c r="A48" s="8">
        <v>59</v>
      </c>
      <c r="B48" s="8" t="str">
        <f t="shared" si="11"/>
        <v>EUR</v>
      </c>
      <c r="C48" s="23">
        <v>156765.9</v>
      </c>
      <c r="D48" s="29">
        <f t="shared" si="17"/>
        <v>134818.674</v>
      </c>
      <c r="E48" s="29">
        <f t="shared" si="12"/>
        <v>181848.44399999999</v>
      </c>
      <c r="F48" s="6">
        <v>156765.9</v>
      </c>
      <c r="G48" s="6">
        <f t="shared" si="13"/>
        <v>156765.9</v>
      </c>
      <c r="H48" s="6">
        <f t="shared" si="14"/>
        <v>181848.44399999999</v>
      </c>
      <c r="I48" s="6">
        <f t="shared" si="9"/>
        <v>0</v>
      </c>
      <c r="J48" s="6">
        <f t="shared" si="15"/>
        <v>0</v>
      </c>
      <c r="K48" s="7">
        <f t="shared" si="16"/>
        <v>46106</v>
      </c>
      <c r="L48" s="7">
        <f t="shared" si="6"/>
        <v>46076</v>
      </c>
      <c r="M48" s="8">
        <f t="shared" si="7"/>
        <v>2</v>
      </c>
      <c r="N48" s="8">
        <f t="shared" si="10"/>
        <v>2026</v>
      </c>
      <c r="Q48">
        <v>49</v>
      </c>
      <c r="R48" t="s">
        <v>21</v>
      </c>
      <c r="S48" s="13">
        <v>45968</v>
      </c>
    </row>
    <row r="49" spans="1:19" ht="15.75" customHeight="1">
      <c r="A49" s="8">
        <v>60</v>
      </c>
      <c r="B49" s="8" t="str">
        <f t="shared" si="11"/>
        <v>EUR</v>
      </c>
      <c r="C49" s="23">
        <v>6433.83</v>
      </c>
      <c r="D49" s="29">
        <f t="shared" si="17"/>
        <v>5533.0937999999996</v>
      </c>
      <c r="E49" s="29">
        <f t="shared" si="12"/>
        <v>7463.2427999999991</v>
      </c>
      <c r="F49" s="6">
        <v>6433.83</v>
      </c>
      <c r="G49" s="6">
        <f t="shared" si="13"/>
        <v>6433.83</v>
      </c>
      <c r="H49" s="6">
        <f t="shared" si="14"/>
        <v>7463.2427999999991</v>
      </c>
      <c r="I49" s="6">
        <f t="shared" si="9"/>
        <v>0</v>
      </c>
      <c r="J49" s="6">
        <f t="shared" si="15"/>
        <v>0</v>
      </c>
      <c r="K49" s="7">
        <f t="shared" si="16"/>
        <v>45992</v>
      </c>
      <c r="L49" s="7">
        <f t="shared" si="6"/>
        <v>45962</v>
      </c>
      <c r="M49" s="8">
        <f t="shared" si="7"/>
        <v>11</v>
      </c>
      <c r="N49" s="8">
        <f t="shared" si="10"/>
        <v>2025</v>
      </c>
      <c r="O49" s="27"/>
      <c r="Q49">
        <v>51</v>
      </c>
      <c r="R49" t="s">
        <v>21</v>
      </c>
      <c r="S49" s="13">
        <v>45941</v>
      </c>
    </row>
    <row r="50" spans="1:19" ht="15.75" customHeight="1">
      <c r="A50">
        <v>61</v>
      </c>
      <c r="B50" s="8" t="str">
        <f t="shared" si="11"/>
        <v>EUR</v>
      </c>
      <c r="C50" s="23">
        <v>3820.1</v>
      </c>
      <c r="D50" s="29">
        <f t="shared" ref="D50:D77" si="18">C50*0.86</f>
        <v>3285.2860000000001</v>
      </c>
      <c r="E50" s="29">
        <f t="shared" si="12"/>
        <v>4431.3159999999998</v>
      </c>
      <c r="F50" s="6">
        <v>3820.1</v>
      </c>
      <c r="G50" s="6">
        <f t="shared" si="13"/>
        <v>3820.1</v>
      </c>
      <c r="H50" s="6">
        <f t="shared" si="14"/>
        <v>4431.3159999999998</v>
      </c>
      <c r="I50" s="6">
        <f t="shared" si="9"/>
        <v>0</v>
      </c>
      <c r="J50" s="6">
        <f t="shared" si="15"/>
        <v>0</v>
      </c>
      <c r="K50" s="7">
        <f t="shared" si="16"/>
        <v>45980</v>
      </c>
      <c r="L50" s="7">
        <f t="shared" ref="L50:L77" si="19">K50-30</f>
        <v>45950</v>
      </c>
      <c r="M50" s="8">
        <f t="shared" ref="M50:M77" si="20">MONTH(L50)</f>
        <v>10</v>
      </c>
      <c r="N50" s="8">
        <f t="shared" ref="N50:N77" si="21">YEAR(L50)</f>
        <v>2025</v>
      </c>
      <c r="Q50">
        <v>52</v>
      </c>
      <c r="R50" t="s">
        <v>21</v>
      </c>
      <c r="S50" s="13">
        <v>46009</v>
      </c>
    </row>
    <row r="51" spans="1:19" ht="15.75" customHeight="1">
      <c r="A51">
        <v>62</v>
      </c>
      <c r="B51" s="8" t="str">
        <f t="shared" si="11"/>
        <v>EUR</v>
      </c>
      <c r="C51" s="23">
        <v>12109.47</v>
      </c>
      <c r="D51" s="29">
        <f t="shared" si="18"/>
        <v>10414.144199999999</v>
      </c>
      <c r="E51" s="29">
        <f t="shared" si="12"/>
        <v>14046.985199999999</v>
      </c>
      <c r="F51" s="6">
        <v>12109.47</v>
      </c>
      <c r="G51" s="6">
        <f t="shared" si="13"/>
        <v>12109.47</v>
      </c>
      <c r="H51" s="6">
        <f t="shared" si="14"/>
        <v>14046.985199999999</v>
      </c>
      <c r="I51" s="6">
        <f t="shared" si="9"/>
        <v>0</v>
      </c>
      <c r="J51" s="6">
        <f t="shared" si="15"/>
        <v>0</v>
      </c>
      <c r="K51" s="7">
        <f t="shared" si="16"/>
        <v>46216</v>
      </c>
      <c r="L51" s="7">
        <f t="shared" si="19"/>
        <v>46186</v>
      </c>
      <c r="M51" s="8">
        <f t="shared" si="20"/>
        <v>6</v>
      </c>
      <c r="N51" s="8">
        <f t="shared" si="21"/>
        <v>2026</v>
      </c>
      <c r="Q51">
        <v>53</v>
      </c>
      <c r="R51" t="s">
        <v>21</v>
      </c>
      <c r="S51" s="13">
        <v>46016</v>
      </c>
    </row>
    <row r="52" spans="1:19" ht="15.75" customHeight="1">
      <c r="A52">
        <v>63</v>
      </c>
      <c r="B52" s="8" t="str">
        <f t="shared" si="11"/>
        <v>EUR</v>
      </c>
      <c r="C52" s="23">
        <v>1164</v>
      </c>
      <c r="D52" s="29">
        <f t="shared" si="18"/>
        <v>1001.04</v>
      </c>
      <c r="E52" s="29">
        <f t="shared" si="12"/>
        <v>1350.24</v>
      </c>
      <c r="F52" s="6">
        <v>1164</v>
      </c>
      <c r="G52" s="6">
        <f t="shared" si="13"/>
        <v>1164</v>
      </c>
      <c r="H52" s="6">
        <f t="shared" si="14"/>
        <v>1350.24</v>
      </c>
      <c r="I52" s="6">
        <f t="shared" si="9"/>
        <v>0</v>
      </c>
      <c r="J52" s="6">
        <f t="shared" si="15"/>
        <v>0</v>
      </c>
      <c r="K52" s="7">
        <f t="shared" si="16"/>
        <v>46000</v>
      </c>
      <c r="L52" s="7">
        <f t="shared" si="19"/>
        <v>45970</v>
      </c>
      <c r="M52" s="8">
        <f t="shared" si="20"/>
        <v>11</v>
      </c>
      <c r="N52" s="8">
        <f t="shared" si="21"/>
        <v>2025</v>
      </c>
      <c r="Q52">
        <v>54</v>
      </c>
      <c r="R52" t="s">
        <v>21</v>
      </c>
      <c r="S52" s="13">
        <v>46017</v>
      </c>
    </row>
    <row r="53" spans="1:19" ht="15.75" customHeight="1">
      <c r="A53">
        <v>64</v>
      </c>
      <c r="B53" s="8" t="str">
        <f t="shared" si="11"/>
        <v>EUR</v>
      </c>
      <c r="C53" s="23">
        <v>1034.6099999999999</v>
      </c>
      <c r="D53" s="29">
        <f t="shared" si="18"/>
        <v>889.76459999999986</v>
      </c>
      <c r="E53" s="29">
        <f t="shared" si="12"/>
        <v>1200.1475999999998</v>
      </c>
      <c r="F53" s="6">
        <v>1034.6099999999999</v>
      </c>
      <c r="G53" s="6">
        <f t="shared" si="13"/>
        <v>1034.6099999999999</v>
      </c>
      <c r="H53" s="6">
        <f t="shared" si="14"/>
        <v>1200.1475999999998</v>
      </c>
      <c r="I53" s="6">
        <f t="shared" si="9"/>
        <v>0</v>
      </c>
      <c r="J53" s="6">
        <f t="shared" si="15"/>
        <v>0</v>
      </c>
      <c r="K53" s="7">
        <f t="shared" si="16"/>
        <v>45979</v>
      </c>
      <c r="L53" s="7">
        <f t="shared" si="19"/>
        <v>45949</v>
      </c>
      <c r="M53" s="8">
        <f t="shared" si="20"/>
        <v>10</v>
      </c>
      <c r="N53" s="8">
        <f t="shared" si="21"/>
        <v>2025</v>
      </c>
      <c r="Q53">
        <v>55</v>
      </c>
      <c r="R53" t="s">
        <v>21</v>
      </c>
      <c r="S53" s="13">
        <v>45959</v>
      </c>
    </row>
    <row r="54" spans="1:19" ht="15.75" customHeight="1">
      <c r="A54">
        <v>65</v>
      </c>
      <c r="B54" s="8" t="str">
        <f t="shared" si="11"/>
        <v>EUR</v>
      </c>
      <c r="C54" s="23">
        <v>1907.5</v>
      </c>
      <c r="D54" s="29">
        <f t="shared" si="18"/>
        <v>1640.45</v>
      </c>
      <c r="E54" s="29">
        <f t="shared" si="12"/>
        <v>2212.6999999999998</v>
      </c>
      <c r="F54" s="6">
        <v>1907.5</v>
      </c>
      <c r="G54" s="6">
        <f t="shared" si="13"/>
        <v>1907.5</v>
      </c>
      <c r="H54" s="6">
        <f t="shared" si="14"/>
        <v>2212.6999999999998</v>
      </c>
      <c r="I54" s="6">
        <f t="shared" si="9"/>
        <v>0</v>
      </c>
      <c r="J54" s="6">
        <f t="shared" si="15"/>
        <v>0</v>
      </c>
      <c r="K54" s="7">
        <f t="shared" si="16"/>
        <v>46010</v>
      </c>
      <c r="L54" s="7">
        <f t="shared" si="19"/>
        <v>45980</v>
      </c>
      <c r="M54" s="8">
        <f t="shared" si="20"/>
        <v>11</v>
      </c>
      <c r="N54" s="8">
        <f t="shared" si="21"/>
        <v>2025</v>
      </c>
      <c r="Q54">
        <v>56</v>
      </c>
      <c r="R54" t="s">
        <v>21</v>
      </c>
      <c r="S54" s="13">
        <v>45975</v>
      </c>
    </row>
    <row r="55" spans="1:19" ht="15.75" customHeight="1">
      <c r="A55">
        <v>66</v>
      </c>
      <c r="B55" s="8" t="str">
        <f t="shared" si="11"/>
        <v>EUR</v>
      </c>
      <c r="C55" s="23">
        <v>21819.08</v>
      </c>
      <c r="D55" s="29">
        <f t="shared" si="18"/>
        <v>18764.408800000001</v>
      </c>
      <c r="E55" s="29">
        <f t="shared" si="12"/>
        <v>25310.132799999999</v>
      </c>
      <c r="F55" s="6">
        <v>21819.08</v>
      </c>
      <c r="G55" s="6">
        <f t="shared" si="13"/>
        <v>21819.08</v>
      </c>
      <c r="H55" s="6">
        <f t="shared" si="14"/>
        <v>25310.132799999999</v>
      </c>
      <c r="I55" s="6">
        <f t="shared" si="9"/>
        <v>0</v>
      </c>
      <c r="J55" s="6">
        <f t="shared" si="15"/>
        <v>0</v>
      </c>
      <c r="K55" s="7">
        <f t="shared" si="16"/>
        <v>46017</v>
      </c>
      <c r="L55" s="7">
        <f t="shared" si="19"/>
        <v>45987</v>
      </c>
      <c r="M55" s="8">
        <f t="shared" si="20"/>
        <v>11</v>
      </c>
      <c r="N55" s="8">
        <f t="shared" si="21"/>
        <v>2025</v>
      </c>
      <c r="Q55">
        <v>57</v>
      </c>
      <c r="R55" t="s">
        <v>21</v>
      </c>
      <c r="S55" s="13">
        <v>46285</v>
      </c>
    </row>
    <row r="56" spans="1:19" ht="15.75" customHeight="1">
      <c r="A56">
        <v>67</v>
      </c>
      <c r="B56" s="8" t="str">
        <f t="shared" si="11"/>
        <v>EUR</v>
      </c>
      <c r="C56" s="23">
        <v>12439.34</v>
      </c>
      <c r="D56" s="29">
        <f t="shared" si="18"/>
        <v>10697.832399999999</v>
      </c>
      <c r="E56" s="29">
        <f t="shared" si="12"/>
        <v>14429.634399999999</v>
      </c>
      <c r="F56" s="6">
        <v>12439.34</v>
      </c>
      <c r="G56" s="6">
        <f t="shared" si="13"/>
        <v>12439.34</v>
      </c>
      <c r="H56" s="6">
        <f t="shared" si="14"/>
        <v>14429.634399999999</v>
      </c>
      <c r="I56" s="6">
        <f t="shared" si="9"/>
        <v>0</v>
      </c>
      <c r="J56" s="6">
        <f t="shared" si="15"/>
        <v>0</v>
      </c>
      <c r="K56" s="7">
        <f t="shared" si="16"/>
        <v>46074</v>
      </c>
      <c r="L56" s="7">
        <f t="shared" si="19"/>
        <v>46044</v>
      </c>
      <c r="M56" s="8">
        <f t="shared" si="20"/>
        <v>1</v>
      </c>
      <c r="N56" s="8">
        <f t="shared" si="21"/>
        <v>2026</v>
      </c>
      <c r="Q56">
        <v>58</v>
      </c>
      <c r="R56" t="s">
        <v>21</v>
      </c>
      <c r="S56" s="13">
        <v>45968</v>
      </c>
    </row>
    <row r="57" spans="1:19" ht="15.75" customHeight="1">
      <c r="A57">
        <v>69</v>
      </c>
      <c r="B57" s="8" t="str">
        <f t="shared" si="11"/>
        <v>EUR</v>
      </c>
      <c r="C57" s="23">
        <v>6855</v>
      </c>
      <c r="D57" s="29">
        <f t="shared" si="18"/>
        <v>5895.3</v>
      </c>
      <c r="E57" s="29">
        <f t="shared" si="12"/>
        <v>7951.7999999999993</v>
      </c>
      <c r="F57" s="6">
        <v>6855</v>
      </c>
      <c r="G57" s="6">
        <f t="shared" si="13"/>
        <v>6855</v>
      </c>
      <c r="H57" s="6">
        <f t="shared" si="14"/>
        <v>7951.7999999999993</v>
      </c>
      <c r="I57" s="6">
        <f t="shared" si="9"/>
        <v>0</v>
      </c>
      <c r="J57" s="6">
        <f t="shared" si="15"/>
        <v>0</v>
      </c>
      <c r="K57" s="7">
        <f t="shared" si="16"/>
        <v>46023</v>
      </c>
      <c r="L57" s="7">
        <f t="shared" si="19"/>
        <v>45993</v>
      </c>
      <c r="M57" s="8">
        <f t="shared" si="20"/>
        <v>12</v>
      </c>
      <c r="N57" s="8">
        <f t="shared" si="21"/>
        <v>2025</v>
      </c>
      <c r="Q57">
        <v>59</v>
      </c>
      <c r="R57" t="s">
        <v>21</v>
      </c>
      <c r="S57" s="13">
        <v>46106</v>
      </c>
    </row>
    <row r="58" spans="1:19" ht="15.75" customHeight="1">
      <c r="A58">
        <v>70</v>
      </c>
      <c r="B58" s="8" t="str">
        <f t="shared" si="11"/>
        <v>EUR</v>
      </c>
      <c r="C58" s="23">
        <v>14546.28</v>
      </c>
      <c r="D58" s="29">
        <f t="shared" si="18"/>
        <v>12509.800800000001</v>
      </c>
      <c r="E58" s="29">
        <f t="shared" si="12"/>
        <v>16873.684799999999</v>
      </c>
      <c r="F58" s="6">
        <v>14546.28</v>
      </c>
      <c r="G58" s="6">
        <f t="shared" si="13"/>
        <v>14546.28</v>
      </c>
      <c r="H58" s="6">
        <f t="shared" si="14"/>
        <v>16873.684799999999</v>
      </c>
      <c r="I58" s="6">
        <f t="shared" si="9"/>
        <v>0</v>
      </c>
      <c r="J58" s="6">
        <f t="shared" si="15"/>
        <v>0</v>
      </c>
      <c r="K58" s="7">
        <f t="shared" si="16"/>
        <v>46194</v>
      </c>
      <c r="L58" s="7">
        <f t="shared" si="19"/>
        <v>46164</v>
      </c>
      <c r="M58" s="8">
        <f t="shared" si="20"/>
        <v>5</v>
      </c>
      <c r="N58" s="8">
        <f t="shared" si="21"/>
        <v>2026</v>
      </c>
      <c r="Q58">
        <v>60</v>
      </c>
      <c r="R58" t="s">
        <v>21</v>
      </c>
      <c r="S58" s="13">
        <v>45992</v>
      </c>
    </row>
    <row r="59" spans="1:19" ht="15.75" customHeight="1">
      <c r="A59">
        <v>71</v>
      </c>
      <c r="B59" s="8" t="str">
        <f t="shared" si="11"/>
        <v>EUR</v>
      </c>
      <c r="C59" s="23">
        <v>3978</v>
      </c>
      <c r="D59" s="29">
        <f t="shared" si="18"/>
        <v>3421.08</v>
      </c>
      <c r="E59" s="29">
        <f t="shared" si="12"/>
        <v>4614.4799999999996</v>
      </c>
      <c r="F59" s="6">
        <v>3978</v>
      </c>
      <c r="G59" s="6">
        <f t="shared" si="13"/>
        <v>3978</v>
      </c>
      <c r="H59" s="6">
        <f t="shared" si="14"/>
        <v>4614.4799999999996</v>
      </c>
      <c r="I59" s="6">
        <f t="shared" si="9"/>
        <v>0</v>
      </c>
      <c r="J59" s="6">
        <f t="shared" si="15"/>
        <v>0</v>
      </c>
      <c r="K59" s="7">
        <f t="shared" si="16"/>
        <v>46030</v>
      </c>
      <c r="L59" s="7">
        <f t="shared" si="19"/>
        <v>46000</v>
      </c>
      <c r="M59" s="8">
        <f t="shared" si="20"/>
        <v>12</v>
      </c>
      <c r="N59" s="8">
        <f t="shared" si="21"/>
        <v>2025</v>
      </c>
      <c r="Q59">
        <v>61</v>
      </c>
      <c r="R59" t="s">
        <v>21</v>
      </c>
      <c r="S59" s="13">
        <v>45980</v>
      </c>
    </row>
    <row r="60" spans="1:19" ht="15.75" customHeight="1">
      <c r="A60">
        <v>72</v>
      </c>
      <c r="B60" s="8" t="str">
        <f t="shared" si="11"/>
        <v>EUR</v>
      </c>
      <c r="C60" s="23">
        <v>2200</v>
      </c>
      <c r="D60" s="29">
        <f t="shared" si="18"/>
        <v>1892</v>
      </c>
      <c r="E60" s="29">
        <f t="shared" si="12"/>
        <v>2552</v>
      </c>
      <c r="F60" s="6">
        <v>2200</v>
      </c>
      <c r="G60" s="6">
        <f t="shared" si="13"/>
        <v>2200</v>
      </c>
      <c r="H60" s="6">
        <f t="shared" si="14"/>
        <v>2552</v>
      </c>
      <c r="I60" s="6">
        <f t="shared" si="9"/>
        <v>0</v>
      </c>
      <c r="J60" s="6">
        <f t="shared" si="15"/>
        <v>0</v>
      </c>
      <c r="K60" s="7">
        <f t="shared" si="16"/>
        <v>46186</v>
      </c>
      <c r="L60" s="7">
        <f t="shared" si="19"/>
        <v>46156</v>
      </c>
      <c r="M60" s="8">
        <f t="shared" si="20"/>
        <v>5</v>
      </c>
      <c r="N60" s="8">
        <f t="shared" si="21"/>
        <v>2026</v>
      </c>
      <c r="Q60">
        <v>62</v>
      </c>
      <c r="R60" t="s">
        <v>21</v>
      </c>
      <c r="S60" s="13">
        <v>46216</v>
      </c>
    </row>
    <row r="61" spans="1:19" ht="15.75" customHeight="1">
      <c r="A61">
        <v>73</v>
      </c>
      <c r="B61" s="8" t="str">
        <f t="shared" si="11"/>
        <v>EUR</v>
      </c>
      <c r="C61" s="23">
        <v>9302.02</v>
      </c>
      <c r="D61" s="29">
        <f t="shared" si="18"/>
        <v>7999.7372000000005</v>
      </c>
      <c r="E61" s="29">
        <f t="shared" si="12"/>
        <v>10790.343199999999</v>
      </c>
      <c r="F61" s="6">
        <v>9302.02</v>
      </c>
      <c r="G61" s="6">
        <f t="shared" si="13"/>
        <v>9302.02</v>
      </c>
      <c r="H61" s="6">
        <f t="shared" si="14"/>
        <v>10790.343199999999</v>
      </c>
      <c r="I61" s="6">
        <f t="shared" si="9"/>
        <v>0</v>
      </c>
      <c r="J61" s="6">
        <f t="shared" si="15"/>
        <v>0</v>
      </c>
      <c r="K61" s="7">
        <f t="shared" si="16"/>
        <v>46230</v>
      </c>
      <c r="L61" s="7">
        <f t="shared" si="19"/>
        <v>46200</v>
      </c>
      <c r="M61" s="8">
        <f t="shared" si="20"/>
        <v>6</v>
      </c>
      <c r="N61" s="8">
        <f t="shared" si="21"/>
        <v>2026</v>
      </c>
      <c r="Q61">
        <v>63</v>
      </c>
      <c r="R61" t="s">
        <v>21</v>
      </c>
      <c r="S61" s="13">
        <v>46000</v>
      </c>
    </row>
    <row r="62" spans="1:19" ht="15.75" customHeight="1">
      <c r="A62">
        <v>75</v>
      </c>
      <c r="B62" s="8" t="str">
        <f t="shared" si="11"/>
        <v>EUR</v>
      </c>
      <c r="C62" s="23">
        <v>1773</v>
      </c>
      <c r="D62" s="29">
        <f t="shared" si="18"/>
        <v>1524.78</v>
      </c>
      <c r="E62" s="29">
        <f t="shared" si="12"/>
        <v>2056.6799999999998</v>
      </c>
      <c r="F62" s="6">
        <v>1773</v>
      </c>
      <c r="G62" s="6">
        <f t="shared" si="13"/>
        <v>1773</v>
      </c>
      <c r="H62" s="6">
        <f t="shared" si="14"/>
        <v>2056.6799999999998</v>
      </c>
      <c r="I62" s="6">
        <f t="shared" si="9"/>
        <v>0</v>
      </c>
      <c r="J62" s="6">
        <f t="shared" si="15"/>
        <v>0</v>
      </c>
      <c r="K62" s="7">
        <f t="shared" si="16"/>
        <v>46121</v>
      </c>
      <c r="L62" s="7">
        <f t="shared" si="19"/>
        <v>46091</v>
      </c>
      <c r="M62" s="8">
        <f t="shared" si="20"/>
        <v>3</v>
      </c>
      <c r="N62" s="8">
        <f t="shared" si="21"/>
        <v>2026</v>
      </c>
      <c r="Q62">
        <v>64</v>
      </c>
      <c r="R62" t="s">
        <v>21</v>
      </c>
      <c r="S62" s="13">
        <v>45979</v>
      </c>
    </row>
    <row r="63" spans="1:19" ht="15.75" customHeight="1">
      <c r="A63">
        <v>76</v>
      </c>
      <c r="B63" s="8" t="str">
        <f t="shared" si="11"/>
        <v>EUR</v>
      </c>
      <c r="C63" s="23">
        <v>7401.4</v>
      </c>
      <c r="D63" s="29">
        <f t="shared" si="18"/>
        <v>6365.2039999999997</v>
      </c>
      <c r="E63" s="29">
        <f t="shared" si="12"/>
        <v>8585.6239999999998</v>
      </c>
      <c r="F63" s="6">
        <v>7401.4</v>
      </c>
      <c r="G63" s="6">
        <f t="shared" si="13"/>
        <v>7401.4</v>
      </c>
      <c r="H63" s="6">
        <f t="shared" si="14"/>
        <v>8585.6239999999998</v>
      </c>
      <c r="I63" s="6">
        <f t="shared" si="9"/>
        <v>0</v>
      </c>
      <c r="J63" s="6">
        <f t="shared" si="15"/>
        <v>0</v>
      </c>
      <c r="K63" s="7">
        <f t="shared" si="16"/>
        <v>46036</v>
      </c>
      <c r="L63" s="7">
        <f t="shared" si="19"/>
        <v>46006</v>
      </c>
      <c r="M63" s="8">
        <f t="shared" si="20"/>
        <v>12</v>
      </c>
      <c r="N63" s="8">
        <f t="shared" si="21"/>
        <v>2025</v>
      </c>
      <c r="Q63">
        <v>65</v>
      </c>
      <c r="R63" t="s">
        <v>21</v>
      </c>
      <c r="S63" s="13">
        <v>46010</v>
      </c>
    </row>
    <row r="64" spans="1:19" ht="15.75" customHeight="1">
      <c r="A64">
        <v>78</v>
      </c>
      <c r="B64" s="8" t="str">
        <f t="shared" si="11"/>
        <v>EUR</v>
      </c>
      <c r="C64" s="23">
        <v>54629</v>
      </c>
      <c r="D64" s="29">
        <f t="shared" si="18"/>
        <v>46980.94</v>
      </c>
      <c r="E64" s="29">
        <f t="shared" si="12"/>
        <v>63369.639999999992</v>
      </c>
      <c r="F64" s="6">
        <v>54629</v>
      </c>
      <c r="G64" s="6">
        <f t="shared" si="13"/>
        <v>54629</v>
      </c>
      <c r="H64" s="6">
        <f t="shared" si="14"/>
        <v>63369.639999999992</v>
      </c>
      <c r="I64" s="6">
        <f t="shared" si="9"/>
        <v>0</v>
      </c>
      <c r="J64" s="6">
        <f t="shared" si="15"/>
        <v>0</v>
      </c>
      <c r="K64" s="7">
        <f t="shared" si="16"/>
        <v>46170</v>
      </c>
      <c r="L64" s="7">
        <f t="shared" si="19"/>
        <v>46140</v>
      </c>
      <c r="M64" s="8">
        <f t="shared" si="20"/>
        <v>4</v>
      </c>
      <c r="N64" s="8">
        <f t="shared" si="21"/>
        <v>2026</v>
      </c>
      <c r="Q64">
        <v>66</v>
      </c>
      <c r="R64" t="s">
        <v>21</v>
      </c>
      <c r="S64" s="13">
        <v>46017</v>
      </c>
    </row>
    <row r="65" spans="1:19" ht="15.75" customHeight="1">
      <c r="A65">
        <v>79</v>
      </c>
      <c r="B65" s="8" t="str">
        <f t="shared" si="11"/>
        <v>EUR</v>
      </c>
      <c r="C65" s="23">
        <v>27211</v>
      </c>
      <c r="D65" s="29">
        <f t="shared" si="18"/>
        <v>23401.46</v>
      </c>
      <c r="E65" s="29">
        <f t="shared" si="12"/>
        <v>31564.76</v>
      </c>
      <c r="F65" s="6">
        <v>27211</v>
      </c>
      <c r="G65" s="6">
        <f t="shared" si="13"/>
        <v>27211</v>
      </c>
      <c r="H65" s="6">
        <f t="shared" si="14"/>
        <v>31564.76</v>
      </c>
      <c r="I65" s="6">
        <f t="shared" si="9"/>
        <v>0</v>
      </c>
      <c r="J65" s="6">
        <f t="shared" si="15"/>
        <v>0</v>
      </c>
      <c r="K65" s="7">
        <f t="shared" si="16"/>
        <v>46022</v>
      </c>
      <c r="L65" s="7">
        <f t="shared" si="19"/>
        <v>45992</v>
      </c>
      <c r="M65" s="8">
        <f t="shared" si="20"/>
        <v>12</v>
      </c>
      <c r="N65" s="8">
        <f t="shared" si="21"/>
        <v>2025</v>
      </c>
      <c r="Q65">
        <v>67</v>
      </c>
      <c r="R65" t="s">
        <v>21</v>
      </c>
      <c r="S65" s="13">
        <v>46074</v>
      </c>
    </row>
    <row r="66" spans="1:19" ht="15.75" customHeight="1">
      <c r="A66">
        <v>80</v>
      </c>
      <c r="B66" s="8" t="str">
        <f t="shared" ref="B66:B86" si="22">_xlfn.XLOOKUP(A66,Q:Q,R:R)</f>
        <v>EUR</v>
      </c>
      <c r="C66" s="23">
        <v>5705</v>
      </c>
      <c r="D66" s="29">
        <f t="shared" si="18"/>
        <v>4906.3</v>
      </c>
      <c r="E66" s="29">
        <f t="shared" ref="E66:E86" si="23">C66*_xlfn.XLOOKUP(B66,V:V,X:X)</f>
        <v>6617.7999999999993</v>
      </c>
      <c r="F66" s="6">
        <v>5705</v>
      </c>
      <c r="G66" s="6">
        <f t="shared" ref="G66:G86" si="24">F66*_xlfn.XLOOKUP(B66,V:V,W:W)</f>
        <v>5705</v>
      </c>
      <c r="H66" s="6">
        <f t="shared" ref="H66:H86" si="25">F66*_xlfn.XLOOKUP(B66,V:V,X:X)</f>
        <v>6617.7999999999993</v>
      </c>
      <c r="I66" s="6">
        <f t="shared" si="9"/>
        <v>0</v>
      </c>
      <c r="J66" s="6">
        <f t="shared" ref="J66:J86" si="26">I66*_xlfn.XLOOKUP(B66,V:V,X:X,0)</f>
        <v>0</v>
      </c>
      <c r="K66" s="7">
        <f t="shared" ref="K66:K86" si="27">_xlfn.XLOOKUP(A66,Q:Q,S:S,"NO")</f>
        <v>46033</v>
      </c>
      <c r="L66" s="7">
        <f t="shared" si="19"/>
        <v>46003</v>
      </c>
      <c r="M66" s="8">
        <f t="shared" si="20"/>
        <v>12</v>
      </c>
      <c r="N66" s="8">
        <f t="shared" si="21"/>
        <v>2025</v>
      </c>
      <c r="Q66">
        <v>68</v>
      </c>
      <c r="R66" t="s">
        <v>21</v>
      </c>
      <c r="S66" s="13">
        <v>45982</v>
      </c>
    </row>
    <row r="67" spans="1:19" ht="15.75" customHeight="1">
      <c r="A67">
        <v>81</v>
      </c>
      <c r="B67" s="8" t="str">
        <f t="shared" si="22"/>
        <v>EUR</v>
      </c>
      <c r="C67" s="23">
        <v>7000</v>
      </c>
      <c r="D67" s="29">
        <f t="shared" si="18"/>
        <v>6020</v>
      </c>
      <c r="E67" s="29">
        <f t="shared" si="23"/>
        <v>8119.9999999999991</v>
      </c>
      <c r="F67" s="6">
        <v>7000</v>
      </c>
      <c r="G67" s="6">
        <f t="shared" si="24"/>
        <v>7000</v>
      </c>
      <c r="H67" s="6">
        <f t="shared" si="25"/>
        <v>8119.9999999999991</v>
      </c>
      <c r="I67" s="6">
        <f t="shared" ref="I67:I86" si="28">C67-F67</f>
        <v>0</v>
      </c>
      <c r="J67" s="6">
        <f t="shared" si="26"/>
        <v>0</v>
      </c>
      <c r="K67" s="7">
        <f t="shared" si="27"/>
        <v>46131</v>
      </c>
      <c r="L67" s="7">
        <f t="shared" si="19"/>
        <v>46101</v>
      </c>
      <c r="M67" s="8">
        <f t="shared" si="20"/>
        <v>3</v>
      </c>
      <c r="N67" s="8">
        <f t="shared" si="21"/>
        <v>2026</v>
      </c>
      <c r="Q67">
        <v>69</v>
      </c>
      <c r="R67" t="s">
        <v>21</v>
      </c>
      <c r="S67" s="13">
        <v>46023</v>
      </c>
    </row>
    <row r="68" spans="1:19" ht="15.75" customHeight="1">
      <c r="A68">
        <v>86</v>
      </c>
      <c r="B68" s="8" t="str">
        <f t="shared" si="22"/>
        <v>EUR</v>
      </c>
      <c r="C68" s="23">
        <v>6577</v>
      </c>
      <c r="D68" s="29">
        <f t="shared" si="18"/>
        <v>5656.22</v>
      </c>
      <c r="E68" s="29">
        <f t="shared" si="23"/>
        <v>7629.32</v>
      </c>
      <c r="F68" s="6">
        <v>6577</v>
      </c>
      <c r="G68" s="6">
        <f t="shared" si="24"/>
        <v>6577</v>
      </c>
      <c r="H68" s="6">
        <f t="shared" si="25"/>
        <v>7629.32</v>
      </c>
      <c r="I68" s="6">
        <f t="shared" si="28"/>
        <v>0</v>
      </c>
      <c r="J68" s="6">
        <f t="shared" si="26"/>
        <v>0</v>
      </c>
      <c r="K68" s="7">
        <f t="shared" si="27"/>
        <v>46061</v>
      </c>
      <c r="L68" s="7">
        <f t="shared" si="19"/>
        <v>46031</v>
      </c>
      <c r="M68" s="8">
        <f t="shared" si="20"/>
        <v>1</v>
      </c>
      <c r="N68" s="8">
        <f t="shared" si="21"/>
        <v>2026</v>
      </c>
      <c r="Q68">
        <v>70</v>
      </c>
      <c r="R68" t="s">
        <v>21</v>
      </c>
      <c r="S68" s="13">
        <v>46194</v>
      </c>
    </row>
    <row r="69" spans="1:19" ht="15.75" customHeight="1">
      <c r="A69">
        <v>87</v>
      </c>
      <c r="B69" s="8" t="str">
        <f t="shared" si="22"/>
        <v>EUR</v>
      </c>
      <c r="C69" s="23">
        <v>10495.25</v>
      </c>
      <c r="D69" s="29">
        <f t="shared" si="18"/>
        <v>9025.9149999999991</v>
      </c>
      <c r="E69" s="29">
        <f t="shared" si="23"/>
        <v>12174.49</v>
      </c>
      <c r="F69" s="6">
        <v>10495.25</v>
      </c>
      <c r="G69" s="6">
        <f t="shared" si="24"/>
        <v>10495.25</v>
      </c>
      <c r="H69" s="6">
        <f t="shared" si="25"/>
        <v>12174.49</v>
      </c>
      <c r="I69" s="6">
        <f t="shared" si="28"/>
        <v>0</v>
      </c>
      <c r="J69" s="6">
        <f t="shared" si="26"/>
        <v>0</v>
      </c>
      <c r="K69" s="7">
        <f t="shared" si="27"/>
        <v>46033</v>
      </c>
      <c r="L69" s="7">
        <f t="shared" si="19"/>
        <v>46003</v>
      </c>
      <c r="M69" s="8">
        <f t="shared" si="20"/>
        <v>12</v>
      </c>
      <c r="N69" s="8">
        <f t="shared" si="21"/>
        <v>2025</v>
      </c>
      <c r="Q69">
        <v>71</v>
      </c>
      <c r="R69" t="s">
        <v>21</v>
      </c>
      <c r="S69" s="13">
        <v>46030</v>
      </c>
    </row>
    <row r="70" spans="1:19" ht="15.75" customHeight="1">
      <c r="A70">
        <v>88</v>
      </c>
      <c r="B70" s="8" t="str">
        <f t="shared" si="22"/>
        <v>EUR</v>
      </c>
      <c r="C70" s="23">
        <v>3842.2</v>
      </c>
      <c r="D70" s="29">
        <f t="shared" si="18"/>
        <v>3304.2919999999999</v>
      </c>
      <c r="E70" s="29">
        <f t="shared" si="23"/>
        <v>4456.9519999999993</v>
      </c>
      <c r="F70" s="6">
        <v>3842.2</v>
      </c>
      <c r="G70" s="6">
        <f t="shared" si="24"/>
        <v>3842.2</v>
      </c>
      <c r="H70" s="6">
        <f t="shared" si="25"/>
        <v>4456.9519999999993</v>
      </c>
      <c r="I70" s="6">
        <f t="shared" si="28"/>
        <v>0</v>
      </c>
      <c r="J70" s="6">
        <f t="shared" si="26"/>
        <v>0</v>
      </c>
      <c r="K70" s="7">
        <f t="shared" si="27"/>
        <v>46285</v>
      </c>
      <c r="L70" s="7">
        <f t="shared" si="19"/>
        <v>46255</v>
      </c>
      <c r="M70" s="8">
        <f t="shared" si="20"/>
        <v>8</v>
      </c>
      <c r="N70" s="8">
        <f t="shared" si="21"/>
        <v>2026</v>
      </c>
      <c r="Q70">
        <v>72</v>
      </c>
      <c r="R70" t="s">
        <v>21</v>
      </c>
      <c r="S70" s="13">
        <v>46186</v>
      </c>
    </row>
    <row r="71" spans="1:19" ht="15.75" customHeight="1">
      <c r="A71">
        <v>89</v>
      </c>
      <c r="B71" s="8" t="str">
        <f t="shared" si="22"/>
        <v>EUR</v>
      </c>
      <c r="C71" s="23">
        <v>1116</v>
      </c>
      <c r="D71" s="29">
        <f t="shared" si="18"/>
        <v>959.76</v>
      </c>
      <c r="E71" s="29">
        <f t="shared" si="23"/>
        <v>1294.56</v>
      </c>
      <c r="F71" s="6">
        <v>1116</v>
      </c>
      <c r="G71" s="6">
        <f t="shared" si="24"/>
        <v>1116</v>
      </c>
      <c r="H71" s="6">
        <f t="shared" si="25"/>
        <v>1294.56</v>
      </c>
      <c r="I71" s="6">
        <f t="shared" si="28"/>
        <v>0</v>
      </c>
      <c r="J71" s="6">
        <f t="shared" si="26"/>
        <v>0</v>
      </c>
      <c r="K71" s="7">
        <f t="shared" si="27"/>
        <v>46288</v>
      </c>
      <c r="L71" s="7">
        <f t="shared" si="19"/>
        <v>46258</v>
      </c>
      <c r="M71" s="8">
        <f t="shared" si="20"/>
        <v>8</v>
      </c>
      <c r="N71" s="8">
        <f t="shared" si="21"/>
        <v>2026</v>
      </c>
      <c r="Q71">
        <v>73</v>
      </c>
      <c r="R71" t="s">
        <v>21</v>
      </c>
      <c r="S71" s="13">
        <v>46230</v>
      </c>
    </row>
    <row r="72" spans="1:19" ht="15.75" customHeight="1">
      <c r="A72">
        <v>91</v>
      </c>
      <c r="B72" s="8" t="str">
        <f t="shared" si="22"/>
        <v>EUR</v>
      </c>
      <c r="C72" s="23">
        <v>3209.6</v>
      </c>
      <c r="D72" s="29">
        <f t="shared" si="18"/>
        <v>2760.2559999999999</v>
      </c>
      <c r="E72" s="29">
        <f t="shared" si="23"/>
        <v>3723.1359999999995</v>
      </c>
      <c r="F72" s="6">
        <v>3209.6</v>
      </c>
      <c r="G72" s="6">
        <f t="shared" si="24"/>
        <v>3209.6</v>
      </c>
      <c r="H72" s="6">
        <f t="shared" si="25"/>
        <v>3723.1359999999995</v>
      </c>
      <c r="I72" s="6">
        <f>C72-F72</f>
        <v>0</v>
      </c>
      <c r="J72" s="6">
        <f t="shared" si="26"/>
        <v>0</v>
      </c>
      <c r="K72" s="7">
        <f t="shared" si="27"/>
        <v>46072</v>
      </c>
      <c r="L72" s="7">
        <f t="shared" si="19"/>
        <v>46042</v>
      </c>
      <c r="M72" s="8">
        <f t="shared" si="20"/>
        <v>1</v>
      </c>
      <c r="N72" s="8">
        <f t="shared" si="21"/>
        <v>2026</v>
      </c>
      <c r="Q72">
        <v>75</v>
      </c>
      <c r="R72" t="s">
        <v>21</v>
      </c>
      <c r="S72" s="13">
        <v>46121</v>
      </c>
    </row>
    <row r="73" spans="1:19" ht="15.75" customHeight="1">
      <c r="A73">
        <v>92</v>
      </c>
      <c r="B73" s="8" t="str">
        <f t="shared" si="22"/>
        <v>EUR</v>
      </c>
      <c r="C73" s="23">
        <v>918</v>
      </c>
      <c r="D73" s="29">
        <f t="shared" si="18"/>
        <v>789.48</v>
      </c>
      <c r="E73" s="29">
        <f t="shared" si="23"/>
        <v>1064.8799999999999</v>
      </c>
      <c r="F73" s="6">
        <v>918</v>
      </c>
      <c r="G73" s="6">
        <f t="shared" si="24"/>
        <v>918</v>
      </c>
      <c r="H73" s="6">
        <f t="shared" si="25"/>
        <v>1064.8799999999999</v>
      </c>
      <c r="I73" s="6">
        <f t="shared" si="28"/>
        <v>0</v>
      </c>
      <c r="J73" s="6">
        <f t="shared" si="26"/>
        <v>0</v>
      </c>
      <c r="K73" s="7">
        <f t="shared" si="27"/>
        <v>46059</v>
      </c>
      <c r="L73" s="7">
        <f t="shared" si="19"/>
        <v>46029</v>
      </c>
      <c r="M73" s="8">
        <f t="shared" si="20"/>
        <v>1</v>
      </c>
      <c r="N73" s="8">
        <f t="shared" si="21"/>
        <v>2026</v>
      </c>
      <c r="Q73">
        <v>76</v>
      </c>
      <c r="R73" t="s">
        <v>21</v>
      </c>
      <c r="S73" s="13">
        <v>46036</v>
      </c>
    </row>
    <row r="74" spans="1:19" ht="15.75" customHeight="1">
      <c r="A74">
        <v>93</v>
      </c>
      <c r="B74" s="8" t="str">
        <f t="shared" si="22"/>
        <v>EUR</v>
      </c>
      <c r="C74" s="23">
        <v>10000</v>
      </c>
      <c r="D74" s="29">
        <f t="shared" si="18"/>
        <v>8600</v>
      </c>
      <c r="E74" s="29">
        <f t="shared" si="23"/>
        <v>11600</v>
      </c>
      <c r="F74" s="6">
        <v>10000</v>
      </c>
      <c r="G74" s="6">
        <f t="shared" si="24"/>
        <v>10000</v>
      </c>
      <c r="H74" s="6">
        <f t="shared" si="25"/>
        <v>11600</v>
      </c>
      <c r="I74" s="6">
        <f t="shared" si="28"/>
        <v>0</v>
      </c>
      <c r="J74" s="6">
        <f t="shared" si="26"/>
        <v>0</v>
      </c>
      <c r="K74" s="7">
        <f t="shared" si="27"/>
        <v>46216</v>
      </c>
      <c r="L74" s="7">
        <f t="shared" si="19"/>
        <v>46186</v>
      </c>
      <c r="M74" s="8">
        <f t="shared" si="20"/>
        <v>6</v>
      </c>
      <c r="N74" s="8">
        <f t="shared" si="21"/>
        <v>2026</v>
      </c>
      <c r="Q74">
        <v>77</v>
      </c>
      <c r="R74" t="s">
        <v>21</v>
      </c>
      <c r="S74" s="13">
        <v>46056</v>
      </c>
    </row>
    <row r="75" spans="1:19" ht="15.75" customHeight="1">
      <c r="A75">
        <v>95</v>
      </c>
      <c r="B75" s="8" t="str">
        <f t="shared" si="22"/>
        <v>EUR</v>
      </c>
      <c r="C75" s="23">
        <v>985.79</v>
      </c>
      <c r="D75" s="29">
        <f t="shared" si="18"/>
        <v>847.77940000000001</v>
      </c>
      <c r="E75" s="29">
        <f t="shared" si="23"/>
        <v>1143.5164</v>
      </c>
      <c r="F75" s="6">
        <v>985.79</v>
      </c>
      <c r="G75" s="6">
        <f t="shared" si="24"/>
        <v>985.79</v>
      </c>
      <c r="H75" s="6">
        <f t="shared" si="25"/>
        <v>1143.5164</v>
      </c>
      <c r="I75" s="6">
        <f t="shared" si="28"/>
        <v>0</v>
      </c>
      <c r="J75" s="6">
        <f t="shared" si="26"/>
        <v>0</v>
      </c>
      <c r="K75" s="7">
        <f t="shared" si="27"/>
        <v>46064</v>
      </c>
      <c r="L75" s="7">
        <f t="shared" si="19"/>
        <v>46034</v>
      </c>
      <c r="M75" s="8">
        <f t="shared" si="20"/>
        <v>1</v>
      </c>
      <c r="N75" s="8">
        <f t="shared" si="21"/>
        <v>2026</v>
      </c>
      <c r="Q75">
        <v>78</v>
      </c>
      <c r="R75" t="s">
        <v>21</v>
      </c>
      <c r="S75" s="13">
        <v>46170</v>
      </c>
    </row>
    <row r="76" spans="1:19" ht="15.75" customHeight="1">
      <c r="A76">
        <v>96</v>
      </c>
      <c r="B76" s="8" t="str">
        <f t="shared" si="22"/>
        <v>EUR</v>
      </c>
      <c r="C76" s="23">
        <v>7874</v>
      </c>
      <c r="D76" s="29">
        <f t="shared" si="18"/>
        <v>6771.64</v>
      </c>
      <c r="E76" s="29">
        <f t="shared" si="23"/>
        <v>9133.84</v>
      </c>
      <c r="F76" s="6">
        <v>7874</v>
      </c>
      <c r="G76" s="6">
        <f t="shared" si="24"/>
        <v>7874</v>
      </c>
      <c r="H76" s="6">
        <f t="shared" si="25"/>
        <v>9133.84</v>
      </c>
      <c r="I76" s="6">
        <f t="shared" si="28"/>
        <v>0</v>
      </c>
      <c r="J76" s="6">
        <f t="shared" si="26"/>
        <v>0</v>
      </c>
      <c r="K76" s="7">
        <f t="shared" si="27"/>
        <v>46053</v>
      </c>
      <c r="L76" s="7">
        <f t="shared" si="19"/>
        <v>46023</v>
      </c>
      <c r="M76" s="8">
        <f t="shared" si="20"/>
        <v>1</v>
      </c>
      <c r="N76" s="8">
        <f t="shared" si="21"/>
        <v>2026</v>
      </c>
      <c r="Q76">
        <v>79</v>
      </c>
      <c r="R76" t="s">
        <v>21</v>
      </c>
      <c r="S76" s="13">
        <v>46022</v>
      </c>
    </row>
    <row r="77" spans="1:19" ht="15.75" customHeight="1">
      <c r="A77">
        <v>97</v>
      </c>
      <c r="B77" s="8" t="str">
        <f t="shared" si="22"/>
        <v>EUR</v>
      </c>
      <c r="C77" s="23">
        <v>46296.87</v>
      </c>
      <c r="D77" s="29">
        <f t="shared" si="18"/>
        <v>39815.308199999999</v>
      </c>
      <c r="E77" s="29">
        <f t="shared" si="23"/>
        <v>53704.369200000001</v>
      </c>
      <c r="F77" s="6">
        <v>46296.87</v>
      </c>
      <c r="G77" s="6">
        <f t="shared" si="24"/>
        <v>46296.87</v>
      </c>
      <c r="H77" s="6">
        <f t="shared" si="25"/>
        <v>53704.369200000001</v>
      </c>
      <c r="I77" s="6">
        <f t="shared" si="28"/>
        <v>0</v>
      </c>
      <c r="J77" s="6">
        <f t="shared" si="26"/>
        <v>0</v>
      </c>
      <c r="K77" s="7">
        <f t="shared" si="27"/>
        <v>46325</v>
      </c>
      <c r="L77" s="7">
        <f t="shared" si="19"/>
        <v>46295</v>
      </c>
      <c r="M77" s="8">
        <f t="shared" si="20"/>
        <v>9</v>
      </c>
      <c r="N77" s="8">
        <f t="shared" si="21"/>
        <v>2026</v>
      </c>
      <c r="Q77">
        <v>80</v>
      </c>
      <c r="R77" t="s">
        <v>21</v>
      </c>
      <c r="S77" s="13">
        <v>46033</v>
      </c>
    </row>
    <row r="78" spans="1:19" ht="15.75" customHeight="1">
      <c r="A78">
        <v>98</v>
      </c>
      <c r="B78" s="8" t="str">
        <f t="shared" si="22"/>
        <v>USD</v>
      </c>
      <c r="C78" s="23">
        <v>8701</v>
      </c>
      <c r="D78" s="29">
        <f t="shared" ref="D78:D86" si="29">C78*0.86</f>
        <v>7482.86</v>
      </c>
      <c r="E78" s="29">
        <f t="shared" si="23"/>
        <v>8701</v>
      </c>
      <c r="F78" s="6">
        <v>8701</v>
      </c>
      <c r="G78" s="6">
        <f t="shared" si="24"/>
        <v>7482.86</v>
      </c>
      <c r="H78" s="6">
        <f t="shared" si="25"/>
        <v>8701</v>
      </c>
      <c r="I78" s="6">
        <f t="shared" si="28"/>
        <v>0</v>
      </c>
      <c r="J78" s="6">
        <f t="shared" si="26"/>
        <v>0</v>
      </c>
      <c r="K78" s="7">
        <f t="shared" si="27"/>
        <v>46167</v>
      </c>
      <c r="L78" s="7">
        <f t="shared" ref="L78:L86" si="30">K78-30</f>
        <v>46137</v>
      </c>
      <c r="M78" s="8">
        <f t="shared" ref="M78:M86" si="31">MONTH(L78)</f>
        <v>4</v>
      </c>
      <c r="N78" s="8">
        <f t="shared" ref="N78:N86" si="32">YEAR(L78)</f>
        <v>2026</v>
      </c>
      <c r="Q78">
        <v>81</v>
      </c>
      <c r="R78" t="s">
        <v>21</v>
      </c>
      <c r="S78" s="13">
        <v>46131</v>
      </c>
    </row>
    <row r="79" spans="1:19" ht="15.75" customHeight="1">
      <c r="A79">
        <v>99</v>
      </c>
      <c r="B79" s="8" t="str">
        <f t="shared" si="22"/>
        <v>EUR</v>
      </c>
      <c r="C79" s="23">
        <v>49033.87</v>
      </c>
      <c r="D79" s="29">
        <f t="shared" si="29"/>
        <v>42169.128199999999</v>
      </c>
      <c r="E79" s="29">
        <f t="shared" si="23"/>
        <v>56879.289199999999</v>
      </c>
      <c r="F79" s="6">
        <v>49033.87</v>
      </c>
      <c r="G79" s="6">
        <f t="shared" si="24"/>
        <v>49033.87</v>
      </c>
      <c r="H79" s="6">
        <f t="shared" si="25"/>
        <v>56879.289199999999</v>
      </c>
      <c r="I79" s="6">
        <f t="shared" si="28"/>
        <v>0</v>
      </c>
      <c r="J79" s="6">
        <f t="shared" si="26"/>
        <v>0</v>
      </c>
      <c r="K79" s="7">
        <f t="shared" si="27"/>
        <v>46125</v>
      </c>
      <c r="L79" s="7">
        <f t="shared" si="30"/>
        <v>46095</v>
      </c>
      <c r="M79" s="8">
        <f t="shared" si="31"/>
        <v>3</v>
      </c>
      <c r="N79" s="8">
        <f t="shared" si="32"/>
        <v>2026</v>
      </c>
      <c r="Q79">
        <v>82</v>
      </c>
      <c r="R79" t="s">
        <v>21</v>
      </c>
      <c r="S79" s="13">
        <v>45971</v>
      </c>
    </row>
    <row r="80" spans="1:19" ht="15.75" customHeight="1">
      <c r="A80">
        <v>100</v>
      </c>
      <c r="B80" s="8" t="str">
        <f t="shared" si="22"/>
        <v>EUR</v>
      </c>
      <c r="C80" s="23">
        <v>4175</v>
      </c>
      <c r="D80" s="29">
        <f t="shared" si="29"/>
        <v>3590.5</v>
      </c>
      <c r="E80" s="29">
        <f t="shared" si="23"/>
        <v>4843</v>
      </c>
      <c r="F80" s="6">
        <v>4175</v>
      </c>
      <c r="G80" s="6">
        <f t="shared" si="24"/>
        <v>4175</v>
      </c>
      <c r="H80" s="6">
        <f t="shared" si="25"/>
        <v>4843</v>
      </c>
      <c r="I80" s="6">
        <f t="shared" si="28"/>
        <v>0</v>
      </c>
      <c r="J80" s="6">
        <f t="shared" si="26"/>
        <v>0</v>
      </c>
      <c r="K80" s="7">
        <f t="shared" si="27"/>
        <v>46183</v>
      </c>
      <c r="L80" s="7">
        <f t="shared" si="30"/>
        <v>46153</v>
      </c>
      <c r="M80" s="8">
        <f t="shared" si="31"/>
        <v>5</v>
      </c>
      <c r="N80" s="8">
        <f t="shared" si="32"/>
        <v>2026</v>
      </c>
      <c r="Q80">
        <v>83</v>
      </c>
      <c r="R80" t="s">
        <v>21</v>
      </c>
      <c r="S80" s="13">
        <v>46052</v>
      </c>
    </row>
    <row r="81" spans="1:19" ht="15.75" customHeight="1">
      <c r="A81">
        <v>101</v>
      </c>
      <c r="B81" s="8" t="str">
        <f t="shared" si="22"/>
        <v>EUR</v>
      </c>
      <c r="C81" s="23">
        <v>5539</v>
      </c>
      <c r="D81" s="29">
        <f t="shared" si="29"/>
        <v>4763.54</v>
      </c>
      <c r="E81" s="29">
        <f t="shared" si="23"/>
        <v>6425.24</v>
      </c>
      <c r="F81" s="6">
        <v>5539</v>
      </c>
      <c r="G81" s="6">
        <f t="shared" si="24"/>
        <v>5539</v>
      </c>
      <c r="H81" s="6">
        <f t="shared" si="25"/>
        <v>6425.24</v>
      </c>
      <c r="I81" s="6">
        <f t="shared" si="28"/>
        <v>0</v>
      </c>
      <c r="J81" s="6">
        <f t="shared" si="26"/>
        <v>0</v>
      </c>
      <c r="K81" s="7">
        <f t="shared" si="27"/>
        <v>46073</v>
      </c>
      <c r="L81" s="7">
        <f t="shared" si="30"/>
        <v>46043</v>
      </c>
      <c r="M81" s="8">
        <f t="shared" si="31"/>
        <v>1</v>
      </c>
      <c r="N81" s="8">
        <f t="shared" si="32"/>
        <v>2026</v>
      </c>
      <c r="Q81">
        <v>84</v>
      </c>
      <c r="R81" t="s">
        <v>21</v>
      </c>
      <c r="S81" s="13">
        <v>45982</v>
      </c>
    </row>
    <row r="82" spans="1:19" ht="15.75" customHeight="1">
      <c r="A82">
        <v>102</v>
      </c>
      <c r="B82" s="8" t="str">
        <f t="shared" si="22"/>
        <v>EUR</v>
      </c>
      <c r="C82" s="23">
        <v>29140</v>
      </c>
      <c r="D82" s="29">
        <f t="shared" si="29"/>
        <v>25060.399999999998</v>
      </c>
      <c r="E82" s="29">
        <f t="shared" si="23"/>
        <v>33802.399999999994</v>
      </c>
      <c r="F82" s="6">
        <v>29140</v>
      </c>
      <c r="G82" s="6">
        <f t="shared" si="24"/>
        <v>29140</v>
      </c>
      <c r="H82" s="6">
        <f t="shared" si="25"/>
        <v>33802.399999999994</v>
      </c>
      <c r="I82" s="6">
        <f t="shared" si="28"/>
        <v>0</v>
      </c>
      <c r="J82" s="6">
        <f t="shared" si="26"/>
        <v>0</v>
      </c>
      <c r="K82" s="7">
        <f t="shared" si="27"/>
        <v>46068</v>
      </c>
      <c r="L82" s="7">
        <f t="shared" si="30"/>
        <v>46038</v>
      </c>
      <c r="M82" s="8">
        <f t="shared" si="31"/>
        <v>1</v>
      </c>
      <c r="N82" s="8">
        <f t="shared" si="32"/>
        <v>2026</v>
      </c>
      <c r="Q82">
        <v>85</v>
      </c>
      <c r="R82" t="s">
        <v>21</v>
      </c>
      <c r="S82" s="13">
        <v>46047</v>
      </c>
    </row>
    <row r="83" spans="1:19" ht="15.75" customHeight="1">
      <c r="A83">
        <v>103</v>
      </c>
      <c r="B83" s="8" t="str">
        <f t="shared" si="22"/>
        <v>EUR</v>
      </c>
      <c r="C83" s="23">
        <v>9937</v>
      </c>
      <c r="D83" s="29">
        <f t="shared" si="29"/>
        <v>8545.82</v>
      </c>
      <c r="E83" s="29">
        <f t="shared" si="23"/>
        <v>11526.92</v>
      </c>
      <c r="F83" s="6">
        <v>9937</v>
      </c>
      <c r="G83" s="6">
        <f t="shared" si="24"/>
        <v>9937</v>
      </c>
      <c r="H83" s="6">
        <f t="shared" si="25"/>
        <v>11526.92</v>
      </c>
      <c r="I83" s="6">
        <f t="shared" si="28"/>
        <v>0</v>
      </c>
      <c r="J83" s="6">
        <f t="shared" si="26"/>
        <v>0</v>
      </c>
      <c r="K83" s="7">
        <f t="shared" si="27"/>
        <v>46223</v>
      </c>
      <c r="L83" s="7">
        <f t="shared" si="30"/>
        <v>46193</v>
      </c>
      <c r="M83" s="8">
        <f t="shared" si="31"/>
        <v>6</v>
      </c>
      <c r="N83" s="8">
        <f t="shared" si="32"/>
        <v>2026</v>
      </c>
      <c r="Q83">
        <v>86</v>
      </c>
      <c r="R83" t="s">
        <v>21</v>
      </c>
      <c r="S83" s="13">
        <v>46061</v>
      </c>
    </row>
    <row r="84" spans="1:19" ht="15.75" customHeight="1">
      <c r="A84">
        <v>105</v>
      </c>
      <c r="B84" s="8" t="str">
        <f t="shared" si="22"/>
        <v>EUR</v>
      </c>
      <c r="C84" s="23">
        <v>1584</v>
      </c>
      <c r="D84" s="29">
        <f t="shared" si="29"/>
        <v>1362.24</v>
      </c>
      <c r="E84" s="29">
        <f t="shared" si="23"/>
        <v>1837.4399999999998</v>
      </c>
      <c r="F84" s="6">
        <v>1584</v>
      </c>
      <c r="G84" s="6">
        <f t="shared" si="24"/>
        <v>1584</v>
      </c>
      <c r="H84" s="6">
        <f t="shared" si="25"/>
        <v>1837.4399999999998</v>
      </c>
      <c r="I84" s="6">
        <f t="shared" si="28"/>
        <v>0</v>
      </c>
      <c r="J84" s="6">
        <f t="shared" si="26"/>
        <v>0</v>
      </c>
      <c r="K84" s="7">
        <f t="shared" si="27"/>
        <v>46101</v>
      </c>
      <c r="L84" s="7">
        <f t="shared" si="30"/>
        <v>46071</v>
      </c>
      <c r="M84" s="8">
        <f t="shared" si="31"/>
        <v>2</v>
      </c>
      <c r="N84" s="8">
        <f t="shared" si="32"/>
        <v>2026</v>
      </c>
      <c r="Q84">
        <v>87</v>
      </c>
      <c r="R84" t="s">
        <v>21</v>
      </c>
      <c r="S84" s="13">
        <v>46033</v>
      </c>
    </row>
    <row r="85" spans="1:19" ht="15.75" customHeight="1">
      <c r="A85">
        <v>106</v>
      </c>
      <c r="B85" s="8" t="str">
        <f t="shared" si="22"/>
        <v>EUR</v>
      </c>
      <c r="C85" s="23">
        <v>3308</v>
      </c>
      <c r="D85" s="29">
        <f t="shared" si="29"/>
        <v>2844.88</v>
      </c>
      <c r="E85" s="29">
        <f t="shared" si="23"/>
        <v>3837.2799999999997</v>
      </c>
      <c r="F85" s="6">
        <v>2650</v>
      </c>
      <c r="G85" s="6">
        <f t="shared" si="24"/>
        <v>2650</v>
      </c>
      <c r="H85" s="6">
        <f t="shared" si="25"/>
        <v>3074</v>
      </c>
      <c r="I85" s="6">
        <f t="shared" si="28"/>
        <v>658</v>
      </c>
      <c r="J85" s="6">
        <f t="shared" si="26"/>
        <v>763.28</v>
      </c>
      <c r="K85" s="7">
        <f t="shared" si="27"/>
        <v>46072</v>
      </c>
      <c r="L85" s="7">
        <f t="shared" si="30"/>
        <v>46042</v>
      </c>
      <c r="M85" s="8">
        <f t="shared" si="31"/>
        <v>1</v>
      </c>
      <c r="N85" s="8">
        <f t="shared" si="32"/>
        <v>2026</v>
      </c>
      <c r="Q85">
        <v>88</v>
      </c>
      <c r="R85" t="s">
        <v>21</v>
      </c>
      <c r="S85" s="13">
        <v>46285</v>
      </c>
    </row>
    <row r="86" spans="1:19" ht="15.75" customHeight="1">
      <c r="A86">
        <v>107</v>
      </c>
      <c r="B86" s="8" t="str">
        <f t="shared" si="22"/>
        <v>EUR</v>
      </c>
      <c r="C86" s="23">
        <v>3630</v>
      </c>
      <c r="D86" s="29">
        <f t="shared" si="29"/>
        <v>3121.7999999999997</v>
      </c>
      <c r="E86" s="29">
        <f t="shared" si="23"/>
        <v>4210.7999999999993</v>
      </c>
      <c r="F86" s="6">
        <v>3630</v>
      </c>
      <c r="G86" s="6">
        <f t="shared" si="24"/>
        <v>3630</v>
      </c>
      <c r="H86" s="6">
        <f t="shared" si="25"/>
        <v>4210.7999999999993</v>
      </c>
      <c r="I86" s="6">
        <f t="shared" si="28"/>
        <v>0</v>
      </c>
      <c r="J86" s="6">
        <f t="shared" si="26"/>
        <v>0</v>
      </c>
      <c r="K86" s="7">
        <f t="shared" si="27"/>
        <v>46195</v>
      </c>
      <c r="L86" s="7">
        <f t="shared" si="30"/>
        <v>46165</v>
      </c>
      <c r="M86" s="8">
        <f t="shared" si="31"/>
        <v>5</v>
      </c>
      <c r="N86" s="8">
        <f t="shared" si="32"/>
        <v>2026</v>
      </c>
      <c r="Q86">
        <v>89</v>
      </c>
      <c r="R86" t="s">
        <v>21</v>
      </c>
      <c r="S86" s="13">
        <v>46288</v>
      </c>
    </row>
    <row r="87" spans="1:19" ht="15.75" customHeight="1">
      <c r="B87" s="8"/>
      <c r="C87" s="23"/>
      <c r="D87" s="29"/>
      <c r="E87" s="29"/>
      <c r="F87" s="6"/>
      <c r="G87" s="6"/>
      <c r="H87" s="6"/>
      <c r="I87" s="6"/>
      <c r="J87" s="6"/>
      <c r="K87" s="7"/>
      <c r="L87" s="7"/>
      <c r="M87" s="8"/>
      <c r="N87" s="8"/>
      <c r="Q87">
        <v>91</v>
      </c>
      <c r="R87" t="s">
        <v>21</v>
      </c>
      <c r="S87" s="13">
        <v>46072</v>
      </c>
    </row>
    <row r="88" spans="1:19" ht="15.75" customHeight="1">
      <c r="B88" s="8"/>
      <c r="C88" s="23"/>
      <c r="D88" s="29"/>
      <c r="E88" s="29"/>
      <c r="F88" s="6"/>
      <c r="G88" s="6"/>
      <c r="H88" s="6"/>
      <c r="I88" s="6"/>
      <c r="J88" s="6"/>
      <c r="K88" s="7"/>
      <c r="L88" s="7"/>
      <c r="M88" s="8"/>
      <c r="N88" s="8"/>
      <c r="Q88">
        <v>92</v>
      </c>
      <c r="R88" t="s">
        <v>21</v>
      </c>
      <c r="S88" s="13">
        <v>46059</v>
      </c>
    </row>
    <row r="89" spans="1:19" ht="15.75" customHeight="1">
      <c r="B89" s="8"/>
      <c r="C89" s="23"/>
      <c r="D89" s="29"/>
      <c r="E89" s="29"/>
      <c r="F89" s="6"/>
      <c r="G89" s="6"/>
      <c r="H89" s="6"/>
      <c r="I89" s="6"/>
      <c r="J89" s="6"/>
      <c r="K89" s="7"/>
      <c r="L89" s="7"/>
      <c r="M89" s="8"/>
      <c r="N89" s="8"/>
      <c r="Q89">
        <v>93</v>
      </c>
      <c r="R89" t="s">
        <v>21</v>
      </c>
      <c r="S89" s="13">
        <v>46216</v>
      </c>
    </row>
    <row r="90" spans="1:19" ht="15.75" customHeight="1">
      <c r="B90" s="8"/>
      <c r="C90" s="23"/>
      <c r="D90" s="29"/>
      <c r="E90" s="29"/>
      <c r="F90" s="6"/>
      <c r="G90" s="6"/>
      <c r="H90" s="6"/>
      <c r="I90" s="6"/>
      <c r="J90" s="6"/>
      <c r="K90" s="7"/>
      <c r="L90" s="7"/>
      <c r="M90" s="8"/>
      <c r="N90" s="8"/>
      <c r="Q90">
        <v>94</v>
      </c>
      <c r="R90" t="s">
        <v>20</v>
      </c>
      <c r="S90" s="13">
        <v>46075</v>
      </c>
    </row>
    <row r="91" spans="1:19" ht="15.75" customHeight="1">
      <c r="B91" s="8"/>
      <c r="C91" s="23"/>
      <c r="D91" s="29"/>
      <c r="E91" s="29"/>
      <c r="F91" s="6"/>
      <c r="G91" s="6"/>
      <c r="H91" s="6"/>
      <c r="I91" s="6"/>
      <c r="J91" s="6"/>
      <c r="K91" s="7"/>
      <c r="L91" s="7"/>
      <c r="M91" s="8"/>
      <c r="N91" s="8"/>
      <c r="Q91">
        <v>95</v>
      </c>
      <c r="R91" t="s">
        <v>21</v>
      </c>
      <c r="S91" s="13">
        <v>46064</v>
      </c>
    </row>
    <row r="92" spans="1:19" ht="15.75" customHeight="1">
      <c r="B92" s="8"/>
      <c r="C92" s="23"/>
      <c r="D92" s="29"/>
      <c r="E92" s="29"/>
      <c r="F92" s="6"/>
      <c r="G92" s="6"/>
      <c r="H92" s="6"/>
      <c r="I92" s="6"/>
      <c r="J92" s="6"/>
      <c r="K92" s="7"/>
      <c r="L92" s="7"/>
      <c r="M92" s="8"/>
      <c r="N92" s="8"/>
      <c r="Q92">
        <v>96</v>
      </c>
      <c r="R92" t="s">
        <v>21</v>
      </c>
      <c r="S92" s="13">
        <v>46053</v>
      </c>
    </row>
    <row r="93" spans="1:19" ht="15.75" customHeight="1">
      <c r="B93" s="8"/>
      <c r="C93" s="23"/>
      <c r="D93" s="29"/>
      <c r="E93" s="29"/>
      <c r="F93" s="6"/>
      <c r="G93" s="6"/>
      <c r="H93" s="6"/>
      <c r="I93" s="6"/>
      <c r="J93" s="6"/>
      <c r="K93" s="7"/>
      <c r="L93" s="7"/>
      <c r="M93" s="8"/>
      <c r="N93" s="8"/>
      <c r="Q93">
        <v>97</v>
      </c>
      <c r="R93" t="s">
        <v>21</v>
      </c>
      <c r="S93" s="13">
        <v>46325</v>
      </c>
    </row>
    <row r="94" spans="1:19" ht="15.75" customHeight="1">
      <c r="B94" s="8"/>
      <c r="C94" s="23"/>
      <c r="D94" s="29"/>
      <c r="E94" s="29"/>
      <c r="F94" s="6"/>
      <c r="G94" s="6"/>
      <c r="H94" s="6"/>
      <c r="I94" s="6"/>
      <c r="J94" s="6"/>
      <c r="K94" s="7"/>
      <c r="L94" s="7"/>
      <c r="M94" s="8"/>
      <c r="N94" s="8"/>
      <c r="Q94">
        <v>98</v>
      </c>
      <c r="R94" t="s">
        <v>20</v>
      </c>
      <c r="S94" s="13">
        <v>46167</v>
      </c>
    </row>
    <row r="95" spans="1:19" ht="15.75" customHeight="1">
      <c r="B95" s="8"/>
      <c r="C95" s="23"/>
      <c r="D95" s="29"/>
      <c r="E95" s="29"/>
      <c r="F95" s="6"/>
      <c r="G95" s="6"/>
      <c r="H95" s="6"/>
      <c r="I95" s="6"/>
      <c r="J95" s="6"/>
      <c r="K95" s="7"/>
      <c r="L95" s="7"/>
      <c r="M95" s="8"/>
      <c r="N95" s="8"/>
      <c r="Q95">
        <v>99</v>
      </c>
      <c r="R95" t="s">
        <v>21</v>
      </c>
      <c r="S95" s="13">
        <v>46125</v>
      </c>
    </row>
    <row r="96" spans="1:19" ht="15.75" customHeight="1">
      <c r="B96" s="8"/>
      <c r="C96" s="23"/>
      <c r="D96" s="29"/>
      <c r="E96" s="29"/>
      <c r="F96" s="6"/>
      <c r="G96" s="6"/>
      <c r="H96" s="6"/>
      <c r="I96" s="6"/>
      <c r="J96" s="6"/>
      <c r="K96" s="7"/>
      <c r="L96" s="7"/>
      <c r="M96" s="8"/>
      <c r="N96" s="8"/>
      <c r="Q96">
        <v>100</v>
      </c>
      <c r="R96" t="s">
        <v>21</v>
      </c>
      <c r="S96" s="13">
        <v>46183</v>
      </c>
    </row>
    <row r="97" spans="2:19" ht="15.75" customHeight="1">
      <c r="B97" s="8"/>
      <c r="C97" s="23"/>
      <c r="D97" s="29"/>
      <c r="E97" s="29"/>
      <c r="F97" s="6"/>
      <c r="G97" s="6"/>
      <c r="H97" s="6"/>
      <c r="I97" s="6"/>
      <c r="J97" s="6"/>
      <c r="K97" s="7"/>
      <c r="L97" s="7"/>
      <c r="M97" s="8"/>
      <c r="N97" s="8"/>
      <c r="Q97">
        <v>101</v>
      </c>
      <c r="R97" t="s">
        <v>21</v>
      </c>
      <c r="S97" s="13">
        <v>46073</v>
      </c>
    </row>
    <row r="98" spans="2:19" ht="15.75" customHeight="1">
      <c r="B98" s="8"/>
      <c r="C98" s="23"/>
      <c r="D98" s="29"/>
      <c r="E98" s="29"/>
      <c r="F98" s="6"/>
      <c r="G98" s="6"/>
      <c r="H98" s="6"/>
      <c r="I98" s="6"/>
      <c r="J98" s="6"/>
      <c r="K98" s="7"/>
      <c r="L98" s="7"/>
      <c r="M98" s="8"/>
      <c r="N98" s="8"/>
      <c r="Q98">
        <v>102</v>
      </c>
      <c r="R98" t="s">
        <v>21</v>
      </c>
      <c r="S98" s="13">
        <v>46068</v>
      </c>
    </row>
    <row r="99" spans="2:19" ht="15.75" customHeight="1">
      <c r="B99" s="8"/>
      <c r="C99" s="23"/>
      <c r="D99" s="29"/>
      <c r="E99" s="29"/>
      <c r="F99" s="6"/>
      <c r="G99" s="6"/>
      <c r="H99" s="6"/>
      <c r="I99" s="6"/>
      <c r="J99" s="6"/>
      <c r="K99" s="7"/>
      <c r="L99" s="7"/>
      <c r="M99" s="8"/>
      <c r="N99" s="8"/>
      <c r="Q99">
        <v>103</v>
      </c>
      <c r="R99" t="s">
        <v>21</v>
      </c>
      <c r="S99" s="13">
        <v>46223</v>
      </c>
    </row>
    <row r="100" spans="2:19" ht="15.75" customHeight="1">
      <c r="F100" s="6"/>
      <c r="G100" s="6"/>
      <c r="H100" s="6"/>
      <c r="I100" s="6"/>
      <c r="J100" s="6"/>
      <c r="K100" s="7"/>
      <c r="Q100">
        <v>105</v>
      </c>
      <c r="R100" t="s">
        <v>21</v>
      </c>
      <c r="S100" s="13">
        <v>46101</v>
      </c>
    </row>
    <row r="101" spans="2:19" ht="15.75" customHeight="1">
      <c r="F101" s="6"/>
      <c r="G101" s="6"/>
      <c r="H101" s="6"/>
      <c r="I101" s="6"/>
      <c r="J101" s="6"/>
      <c r="K101" s="7"/>
      <c r="Q101">
        <v>106</v>
      </c>
      <c r="R101" t="s">
        <v>21</v>
      </c>
      <c r="S101" s="13">
        <v>46072</v>
      </c>
    </row>
    <row r="102" spans="2:19" ht="15.75" customHeight="1">
      <c r="F102" s="6"/>
      <c r="G102" s="6"/>
      <c r="H102" s="6"/>
      <c r="I102" s="6"/>
      <c r="J102" s="6"/>
      <c r="K102" s="7"/>
      <c r="Q102">
        <v>107</v>
      </c>
      <c r="R102" t="s">
        <v>21</v>
      </c>
      <c r="S102" s="13">
        <v>46195</v>
      </c>
    </row>
    <row r="103" spans="2:19" ht="15.75" customHeight="1">
      <c r="F103" s="6"/>
      <c r="G103" s="6"/>
      <c r="H103" s="6"/>
      <c r="I103" s="6"/>
      <c r="J103" s="6"/>
      <c r="K103" s="7"/>
    </row>
    <row r="104" spans="2:19" ht="15.75" customHeight="1">
      <c r="F104" s="6"/>
      <c r="G104" s="6"/>
      <c r="H104" s="6"/>
      <c r="I104" s="6"/>
      <c r="J104" s="6"/>
      <c r="K104" s="7"/>
    </row>
    <row r="105" spans="2:19" ht="15.75" customHeight="1">
      <c r="F105" s="6"/>
      <c r="G105" s="6"/>
      <c r="H105" s="6"/>
      <c r="I105" s="6"/>
      <c r="J105" s="6"/>
      <c r="K105" s="7"/>
    </row>
    <row r="106" spans="2:19" ht="15.75" customHeight="1">
      <c r="F106" s="6"/>
      <c r="G106" s="6"/>
      <c r="H106" s="6"/>
      <c r="I106" s="6"/>
      <c r="J106" s="6"/>
      <c r="K106" s="7"/>
    </row>
    <row r="107" spans="2:19" ht="15.75" customHeight="1">
      <c r="F107" s="6"/>
      <c r="G107" s="6"/>
      <c r="H107" s="6"/>
      <c r="I107" s="6"/>
      <c r="J107" s="6"/>
      <c r="K107" s="7"/>
    </row>
    <row r="108" spans="2:19" ht="15.75" customHeight="1">
      <c r="F108" s="6"/>
      <c r="G108" s="6"/>
      <c r="H108" s="6"/>
      <c r="I108" s="6"/>
      <c r="J108" s="6"/>
      <c r="K108" s="7"/>
    </row>
    <row r="109" spans="2:19" ht="15.75" customHeight="1">
      <c r="F109" s="6"/>
      <c r="G109" s="6"/>
      <c r="H109" s="6"/>
      <c r="I109" s="6"/>
      <c r="J109" s="6"/>
      <c r="K109" s="7"/>
    </row>
    <row r="110" spans="2:19" ht="15.75" customHeight="1">
      <c r="F110" s="6"/>
      <c r="G110" s="6"/>
      <c r="H110" s="6"/>
      <c r="I110" s="6"/>
      <c r="J110" s="6"/>
      <c r="K110" s="7"/>
    </row>
    <row r="111" spans="2:19" ht="15.75" customHeight="1">
      <c r="F111" s="6"/>
      <c r="G111" s="6"/>
      <c r="H111" s="6"/>
      <c r="I111" s="6"/>
      <c r="J111" s="6"/>
      <c r="K111" s="7"/>
    </row>
    <row r="112" spans="2:19" ht="15.75" customHeight="1">
      <c r="F112" s="6"/>
      <c r="G112" s="6"/>
      <c r="H112" s="6"/>
      <c r="I112" s="6"/>
      <c r="J112" s="6"/>
      <c r="K112" s="7"/>
    </row>
    <row r="113" spans="6:11" ht="15.75" customHeight="1">
      <c r="F113" s="6"/>
      <c r="G113" s="6"/>
      <c r="H113" s="6"/>
      <c r="I113" s="6"/>
      <c r="J113" s="6"/>
      <c r="K113" s="7"/>
    </row>
    <row r="114" spans="6:11" ht="15.75" customHeight="1">
      <c r="F114" s="6"/>
      <c r="G114" s="6"/>
      <c r="H114" s="6"/>
      <c r="I114" s="6"/>
      <c r="J114" s="6"/>
      <c r="K114" s="7"/>
    </row>
    <row r="115" spans="6:11" ht="15.75" customHeight="1">
      <c r="F115" s="6"/>
      <c r="G115" s="6"/>
      <c r="H115" s="6"/>
      <c r="I115" s="6"/>
      <c r="J115" s="6"/>
      <c r="K115" s="7"/>
    </row>
    <row r="116" spans="6:11" ht="15.75" customHeight="1">
      <c r="F116" s="6"/>
      <c r="G116" s="6"/>
      <c r="H116" s="6"/>
      <c r="I116" s="6"/>
      <c r="J116" s="6"/>
      <c r="K116" s="7"/>
    </row>
    <row r="117" spans="6:11" ht="15.75" customHeight="1">
      <c r="F117" s="6"/>
      <c r="G117" s="6"/>
      <c r="H117" s="6"/>
      <c r="I117" s="6"/>
      <c r="J117" s="6"/>
      <c r="K117" s="7"/>
    </row>
    <row r="118" spans="6:11" ht="15.75" customHeight="1">
      <c r="F118" s="6"/>
      <c r="G118" s="6"/>
      <c r="H118" s="6"/>
      <c r="I118" s="6"/>
      <c r="J118" s="6"/>
      <c r="K118" s="7"/>
    </row>
    <row r="119" spans="6:11" ht="15.75" customHeight="1">
      <c r="F119" s="6"/>
      <c r="G119" s="6"/>
      <c r="H119" s="6"/>
      <c r="I119" s="6"/>
      <c r="J119" s="6"/>
      <c r="K119" s="7"/>
    </row>
    <row r="120" spans="6:11" ht="15.75" customHeight="1">
      <c r="F120" s="6"/>
      <c r="G120" s="6"/>
      <c r="H120" s="6"/>
      <c r="I120" s="6"/>
      <c r="J120" s="6"/>
      <c r="K120" s="7"/>
    </row>
    <row r="121" spans="6:11" ht="15.75" customHeight="1">
      <c r="F121" s="6"/>
      <c r="G121" s="6"/>
      <c r="H121" s="6"/>
      <c r="I121" s="6"/>
      <c r="J121" s="6"/>
      <c r="K121" s="7"/>
    </row>
    <row r="122" spans="6:11" ht="15.75" customHeight="1">
      <c r="F122" s="6"/>
      <c r="G122" s="6"/>
      <c r="H122" s="6"/>
      <c r="I122" s="6"/>
      <c r="J122" s="6"/>
      <c r="K122" s="7"/>
    </row>
    <row r="123" spans="6:11" ht="15.75" customHeight="1">
      <c r="F123" s="6"/>
      <c r="G123" s="6"/>
      <c r="H123" s="6"/>
      <c r="I123" s="6"/>
      <c r="J123" s="6"/>
      <c r="K123" s="7"/>
    </row>
    <row r="124" spans="6:11" ht="15.75" customHeight="1">
      <c r="F124" s="6"/>
      <c r="G124" s="6"/>
      <c r="H124" s="6"/>
      <c r="I124" s="6"/>
      <c r="J124" s="6"/>
      <c r="K124" s="7"/>
    </row>
    <row r="125" spans="6:11" ht="15.75" customHeight="1">
      <c r="F125" s="6"/>
      <c r="G125" s="6"/>
      <c r="H125" s="6"/>
      <c r="I125" s="6"/>
      <c r="J125" s="6"/>
      <c r="K125" s="7"/>
    </row>
    <row r="126" spans="6:11" ht="15.75" customHeight="1">
      <c r="F126" s="6"/>
      <c r="G126" s="6"/>
      <c r="H126" s="6"/>
      <c r="I126" s="6"/>
      <c r="J126" s="6"/>
      <c r="K126" s="7"/>
    </row>
    <row r="127" spans="6:11" ht="15.75" customHeight="1">
      <c r="F127" s="6"/>
      <c r="G127" s="6"/>
      <c r="H127" s="6"/>
      <c r="I127" s="6"/>
      <c r="J127" s="6"/>
      <c r="K127" s="7"/>
    </row>
    <row r="128" spans="6:11" ht="15.75" customHeight="1">
      <c r="F128" s="6"/>
      <c r="G128" s="6"/>
      <c r="H128" s="6"/>
      <c r="I128" s="6"/>
      <c r="J128" s="6"/>
      <c r="K128" s="7"/>
    </row>
    <row r="129" spans="6:11" ht="15.75" customHeight="1">
      <c r="F129" s="6"/>
      <c r="G129" s="6"/>
      <c r="H129" s="6"/>
      <c r="I129" s="6"/>
      <c r="J129" s="6"/>
      <c r="K129" s="7"/>
    </row>
    <row r="130" spans="6:11" ht="15.75" customHeight="1">
      <c r="F130" s="6"/>
      <c r="G130" s="6"/>
      <c r="H130" s="6"/>
      <c r="I130" s="6"/>
      <c r="J130" s="6"/>
      <c r="K130" s="7"/>
    </row>
    <row r="131" spans="6:11" ht="15.75" customHeight="1">
      <c r="F131" s="6"/>
      <c r="G131" s="6"/>
      <c r="H131" s="6"/>
      <c r="I131" s="6"/>
      <c r="J131" s="6"/>
      <c r="K131" s="7"/>
    </row>
    <row r="132" spans="6:11" ht="15.75" customHeight="1">
      <c r="F132" s="6"/>
      <c r="G132" s="6"/>
      <c r="H132" s="6"/>
      <c r="I132" s="6"/>
      <c r="J132" s="6"/>
      <c r="K132" s="7"/>
    </row>
    <row r="133" spans="6:11" ht="15.75" customHeight="1">
      <c r="F133" s="6"/>
      <c r="G133" s="6"/>
      <c r="H133" s="6"/>
      <c r="I133" s="6"/>
      <c r="J133" s="6"/>
      <c r="K133" s="7"/>
    </row>
    <row r="134" spans="6:11" ht="15.75" customHeight="1">
      <c r="F134" s="6"/>
      <c r="G134" s="6"/>
      <c r="H134" s="6"/>
      <c r="I134" s="6"/>
      <c r="J134" s="6"/>
      <c r="K134" s="7"/>
    </row>
    <row r="135" spans="6:11" ht="15.75" customHeight="1">
      <c r="F135" s="6"/>
      <c r="G135" s="6"/>
      <c r="H135" s="6"/>
      <c r="I135" s="6"/>
      <c r="J135" s="6"/>
      <c r="K135" s="7"/>
    </row>
    <row r="136" spans="6:11" ht="15.75" customHeight="1">
      <c r="F136" s="6"/>
      <c r="G136" s="6"/>
      <c r="H136" s="6"/>
      <c r="I136" s="6"/>
      <c r="J136" s="6"/>
      <c r="K136" s="7"/>
    </row>
    <row r="137" spans="6:11" ht="15.75" customHeight="1">
      <c r="F137" s="6"/>
      <c r="G137" s="6"/>
      <c r="H137" s="6"/>
      <c r="I137" s="6"/>
      <c r="J137" s="6"/>
      <c r="K137" s="7"/>
    </row>
    <row r="138" spans="6:11" ht="15.75" customHeight="1">
      <c r="F138" s="6"/>
      <c r="G138" s="6"/>
      <c r="H138" s="6"/>
      <c r="I138" s="6"/>
      <c r="J138" s="6"/>
      <c r="K138" s="7"/>
    </row>
    <row r="139" spans="6:11" ht="15.75" customHeight="1">
      <c r="F139" s="6"/>
      <c r="G139" s="6"/>
      <c r="H139" s="6"/>
      <c r="I139" s="6"/>
      <c r="J139" s="6"/>
      <c r="K139" s="7"/>
    </row>
    <row r="140" spans="6:11" ht="15.75" customHeight="1">
      <c r="F140" s="6"/>
      <c r="G140" s="6"/>
      <c r="H140" s="6"/>
      <c r="I140" s="6"/>
      <c r="J140" s="6"/>
      <c r="K140" s="7"/>
    </row>
    <row r="141" spans="6:11" ht="15.75" customHeight="1">
      <c r="F141" s="6"/>
      <c r="G141" s="6"/>
      <c r="H141" s="6"/>
      <c r="I141" s="6"/>
      <c r="J141" s="6"/>
      <c r="K141" s="7"/>
    </row>
    <row r="142" spans="6:11" ht="15.75" customHeight="1">
      <c r="F142" s="6"/>
      <c r="G142" s="6"/>
      <c r="H142" s="6"/>
      <c r="I142" s="6"/>
      <c r="J142" s="6"/>
      <c r="K142" s="7"/>
    </row>
    <row r="143" spans="6:11" ht="15.75" customHeight="1">
      <c r="F143" s="6"/>
      <c r="G143" s="6"/>
      <c r="H143" s="6"/>
      <c r="I143" s="6"/>
      <c r="J143" s="6"/>
      <c r="K143" s="7"/>
    </row>
    <row r="144" spans="6:11" ht="15.75" customHeight="1">
      <c r="F144" s="6"/>
      <c r="G144" s="6"/>
      <c r="H144" s="6"/>
      <c r="I144" s="6"/>
      <c r="J144" s="6"/>
      <c r="K144" s="7"/>
    </row>
    <row r="145" spans="6:11" ht="15.75" customHeight="1">
      <c r="F145" s="6"/>
      <c r="G145" s="6"/>
      <c r="H145" s="6"/>
      <c r="I145" s="6"/>
      <c r="J145" s="6"/>
      <c r="K145" s="7"/>
    </row>
    <row r="146" spans="6:11" ht="15.75" customHeight="1">
      <c r="F146" s="6"/>
      <c r="G146" s="6"/>
      <c r="H146" s="6"/>
      <c r="I146" s="6"/>
      <c r="J146" s="6"/>
      <c r="K146" s="7"/>
    </row>
    <row r="147" spans="6:11" ht="15.75" customHeight="1">
      <c r="F147" s="6"/>
      <c r="G147" s="6"/>
      <c r="H147" s="6"/>
      <c r="I147" s="6"/>
      <c r="J147" s="6"/>
      <c r="K147" s="7"/>
    </row>
    <row r="148" spans="6:11" ht="15.75" customHeight="1">
      <c r="F148" s="6"/>
      <c r="G148" s="6"/>
      <c r="H148" s="6"/>
      <c r="I148" s="6"/>
      <c r="J148" s="6"/>
      <c r="K148" s="7"/>
    </row>
    <row r="149" spans="6:11" ht="15.75" customHeight="1">
      <c r="F149" s="6"/>
      <c r="G149" s="6"/>
      <c r="H149" s="6"/>
      <c r="I149" s="6"/>
      <c r="J149" s="6"/>
      <c r="K149" s="7"/>
    </row>
    <row r="150" spans="6:11" ht="15.75" customHeight="1">
      <c r="F150" s="6"/>
      <c r="G150" s="6"/>
      <c r="H150" s="6"/>
      <c r="I150" s="6"/>
      <c r="J150" s="6"/>
      <c r="K150" s="7"/>
    </row>
    <row r="151" spans="6:11" ht="15.75" customHeight="1">
      <c r="F151" s="6"/>
      <c r="G151" s="6"/>
      <c r="H151" s="6"/>
      <c r="I151" s="6"/>
      <c r="J151" s="6"/>
      <c r="K151" s="7"/>
    </row>
    <row r="152" spans="6:11" ht="15.75" customHeight="1">
      <c r="F152" s="6"/>
      <c r="G152" s="6"/>
      <c r="H152" s="6"/>
      <c r="I152" s="6"/>
      <c r="J152" s="6"/>
      <c r="K152" s="7"/>
    </row>
    <row r="153" spans="6:11" ht="15.75" customHeight="1">
      <c r="F153" s="6"/>
      <c r="G153" s="6"/>
      <c r="H153" s="6"/>
      <c r="I153" s="6"/>
      <c r="J153" s="6"/>
      <c r="K153" s="7"/>
    </row>
    <row r="154" spans="6:11" ht="15.75" customHeight="1">
      <c r="F154" s="6"/>
      <c r="G154" s="6"/>
      <c r="H154" s="6"/>
      <c r="I154" s="6"/>
      <c r="J154" s="6"/>
      <c r="K154" s="7"/>
    </row>
    <row r="155" spans="6:11" ht="15.75" customHeight="1">
      <c r="F155" s="6"/>
      <c r="G155" s="6"/>
      <c r="H155" s="6"/>
      <c r="I155" s="6"/>
      <c r="J155" s="6"/>
      <c r="K155" s="7"/>
    </row>
    <row r="156" spans="6:11" ht="15.75" customHeight="1">
      <c r="F156" s="6"/>
      <c r="G156" s="6"/>
      <c r="H156" s="6"/>
      <c r="I156" s="6"/>
      <c r="J156" s="6"/>
      <c r="K156" s="7"/>
    </row>
    <row r="157" spans="6:11" ht="15.75" customHeight="1">
      <c r="F157" s="6"/>
      <c r="G157" s="6"/>
      <c r="H157" s="6"/>
      <c r="I157" s="6"/>
      <c r="J157" s="6"/>
      <c r="K157" s="7"/>
    </row>
    <row r="158" spans="6:11" ht="15.75" customHeight="1">
      <c r="F158" s="6"/>
      <c r="G158" s="6"/>
      <c r="H158" s="6"/>
      <c r="I158" s="6"/>
      <c r="J158" s="6"/>
      <c r="K158" s="7"/>
    </row>
    <row r="159" spans="6:11" ht="15.75" customHeight="1">
      <c r="F159" s="6"/>
      <c r="G159" s="6"/>
      <c r="H159" s="6"/>
      <c r="I159" s="6"/>
      <c r="J159" s="6"/>
      <c r="K159" s="7"/>
    </row>
    <row r="160" spans="6:11" ht="15.75" customHeight="1">
      <c r="F160" s="6"/>
      <c r="G160" s="6"/>
      <c r="H160" s="6"/>
      <c r="I160" s="6"/>
      <c r="J160" s="6"/>
      <c r="K160" s="7"/>
    </row>
    <row r="161" spans="6:11" ht="15.75" customHeight="1">
      <c r="F161" s="6"/>
      <c r="G161" s="6"/>
      <c r="H161" s="6"/>
      <c r="I161" s="6"/>
      <c r="J161" s="6"/>
      <c r="K161" s="7"/>
    </row>
    <row r="162" spans="6:11" ht="15.75" customHeight="1">
      <c r="F162" s="6"/>
      <c r="G162" s="6"/>
      <c r="H162" s="6"/>
      <c r="I162" s="6"/>
      <c r="J162" s="6"/>
      <c r="K162" s="7"/>
    </row>
    <row r="163" spans="6:11" ht="15.75" customHeight="1">
      <c r="F163" s="6"/>
      <c r="G163" s="6"/>
      <c r="H163" s="6"/>
      <c r="I163" s="6"/>
      <c r="J163" s="6"/>
      <c r="K163" s="7"/>
    </row>
    <row r="164" spans="6:11" ht="15.75" customHeight="1">
      <c r="F164" s="6"/>
      <c r="G164" s="6"/>
      <c r="H164" s="6"/>
      <c r="I164" s="6"/>
      <c r="J164" s="6"/>
      <c r="K164" s="7"/>
    </row>
    <row r="165" spans="6:11" ht="15.75" customHeight="1">
      <c r="F165" s="6"/>
      <c r="G165" s="6"/>
      <c r="H165" s="6"/>
      <c r="I165" s="6"/>
      <c r="J165" s="6"/>
      <c r="K165" s="7"/>
    </row>
    <row r="166" spans="6:11" ht="15.75" customHeight="1">
      <c r="F166" s="6"/>
      <c r="G166" s="6"/>
      <c r="H166" s="6"/>
      <c r="I166" s="6"/>
      <c r="J166" s="6"/>
      <c r="K166" s="7"/>
    </row>
    <row r="167" spans="6:11" ht="15.75" customHeight="1">
      <c r="F167" s="6"/>
      <c r="G167" s="6"/>
      <c r="H167" s="6"/>
      <c r="I167" s="6"/>
      <c r="J167" s="6"/>
      <c r="K167" s="7"/>
    </row>
    <row r="168" spans="6:11" ht="15.75" customHeight="1">
      <c r="F168" s="6"/>
      <c r="G168" s="6"/>
      <c r="H168" s="6"/>
      <c r="I168" s="6"/>
      <c r="J168" s="6"/>
      <c r="K168" s="7"/>
    </row>
    <row r="169" spans="6:11" ht="15.75" customHeight="1">
      <c r="F169" s="6"/>
      <c r="G169" s="6"/>
      <c r="H169" s="6"/>
      <c r="I169" s="6"/>
      <c r="J169" s="6"/>
      <c r="K169" s="7"/>
    </row>
    <row r="170" spans="6:11" ht="15.75" customHeight="1">
      <c r="F170" s="6"/>
      <c r="G170" s="6"/>
      <c r="H170" s="6"/>
      <c r="I170" s="6"/>
      <c r="J170" s="6"/>
      <c r="K170" s="7"/>
    </row>
    <row r="171" spans="6:11" ht="15.75" customHeight="1">
      <c r="F171" s="6"/>
      <c r="G171" s="6"/>
      <c r="H171" s="6"/>
      <c r="I171" s="6"/>
      <c r="J171" s="6"/>
      <c r="K171" s="7"/>
    </row>
    <row r="172" spans="6:11" ht="15.75" customHeight="1">
      <c r="F172" s="6"/>
      <c r="G172" s="6"/>
      <c r="H172" s="6"/>
      <c r="I172" s="6"/>
      <c r="J172" s="6"/>
      <c r="K172" s="7"/>
    </row>
    <row r="173" spans="6:11" ht="15.75" customHeight="1">
      <c r="F173" s="6"/>
      <c r="G173" s="6"/>
      <c r="H173" s="6"/>
      <c r="I173" s="6"/>
      <c r="J173" s="6"/>
      <c r="K173" s="7"/>
    </row>
    <row r="174" spans="6:11" ht="15.75" customHeight="1">
      <c r="F174" s="6"/>
      <c r="G174" s="6"/>
      <c r="H174" s="6"/>
      <c r="I174" s="6"/>
      <c r="J174" s="6"/>
      <c r="K174" s="7"/>
    </row>
    <row r="175" spans="6:11" ht="15.75" customHeight="1">
      <c r="F175" s="6"/>
      <c r="G175" s="6"/>
      <c r="H175" s="6"/>
      <c r="I175" s="6"/>
      <c r="J175" s="6"/>
      <c r="K175" s="7"/>
    </row>
    <row r="176" spans="6:11" ht="15.75" customHeight="1">
      <c r="F176" s="6"/>
      <c r="G176" s="6"/>
      <c r="H176" s="6"/>
      <c r="I176" s="6"/>
      <c r="J176" s="6"/>
      <c r="K176" s="7"/>
    </row>
    <row r="177" spans="6:11" ht="15.75" customHeight="1">
      <c r="F177" s="6"/>
      <c r="G177" s="6"/>
      <c r="H177" s="6"/>
      <c r="I177" s="6"/>
      <c r="J177" s="6"/>
      <c r="K177" s="7"/>
    </row>
    <row r="178" spans="6:11" ht="15.75" customHeight="1">
      <c r="F178" s="6"/>
      <c r="G178" s="6"/>
      <c r="H178" s="6"/>
      <c r="I178" s="6"/>
      <c r="J178" s="6"/>
      <c r="K178" s="7"/>
    </row>
    <row r="179" spans="6:11" ht="15.75" customHeight="1">
      <c r="F179" s="6"/>
      <c r="G179" s="6"/>
      <c r="H179" s="6"/>
      <c r="I179" s="6"/>
      <c r="J179" s="6"/>
      <c r="K179" s="7"/>
    </row>
    <row r="180" spans="6:11" ht="15.75" customHeight="1">
      <c r="F180" s="6"/>
      <c r="G180" s="6"/>
      <c r="H180" s="6"/>
      <c r="I180" s="6"/>
      <c r="J180" s="6"/>
      <c r="K180" s="7"/>
    </row>
    <row r="181" spans="6:11" ht="15.75" customHeight="1">
      <c r="F181" s="6"/>
      <c r="G181" s="6"/>
      <c r="H181" s="6"/>
      <c r="I181" s="6"/>
      <c r="J181" s="6"/>
      <c r="K181" s="7"/>
    </row>
    <row r="182" spans="6:11" ht="15.75" customHeight="1">
      <c r="F182" s="6"/>
      <c r="G182" s="6"/>
      <c r="H182" s="6"/>
      <c r="I182" s="6"/>
      <c r="J182" s="6"/>
      <c r="K182" s="7"/>
    </row>
    <row r="183" spans="6:11" ht="15.75" customHeight="1">
      <c r="F183" s="6"/>
      <c r="G183" s="6"/>
      <c r="H183" s="6"/>
      <c r="I183" s="6"/>
      <c r="J183" s="6"/>
      <c r="K183" s="7"/>
    </row>
    <row r="184" spans="6:11" ht="15.75" customHeight="1">
      <c r="F184" s="6"/>
      <c r="G184" s="6"/>
      <c r="H184" s="6"/>
      <c r="I184" s="6"/>
      <c r="J184" s="6"/>
      <c r="K184" s="7"/>
    </row>
    <row r="185" spans="6:11" ht="15.75" customHeight="1">
      <c r="F185" s="6"/>
      <c r="G185" s="6"/>
      <c r="H185" s="6"/>
      <c r="I185" s="6"/>
      <c r="J185" s="6"/>
      <c r="K185" s="7"/>
    </row>
    <row r="186" spans="6:11" ht="15.75" customHeight="1">
      <c r="F186" s="6"/>
      <c r="G186" s="6"/>
      <c r="H186" s="6"/>
      <c r="I186" s="6"/>
      <c r="J186" s="6"/>
      <c r="K186" s="7"/>
    </row>
    <row r="187" spans="6:11" ht="15.75" customHeight="1">
      <c r="F187" s="6"/>
      <c r="G187" s="6"/>
      <c r="H187" s="6"/>
      <c r="I187" s="6"/>
      <c r="J187" s="6"/>
      <c r="K187" s="7"/>
    </row>
    <row r="188" spans="6:11" ht="15.75" customHeight="1">
      <c r="F188" s="6"/>
      <c r="G188" s="6"/>
      <c r="H188" s="6"/>
      <c r="I188" s="6"/>
      <c r="J188" s="6"/>
      <c r="K188" s="7"/>
    </row>
    <row r="189" spans="6:11" ht="15.75" customHeight="1">
      <c r="F189" s="6"/>
      <c r="G189" s="6"/>
      <c r="H189" s="6"/>
      <c r="I189" s="6"/>
      <c r="J189" s="6"/>
      <c r="K189" s="7"/>
    </row>
    <row r="190" spans="6:11" ht="15.75" customHeight="1">
      <c r="F190" s="6"/>
      <c r="G190" s="6"/>
      <c r="H190" s="6"/>
      <c r="I190" s="6"/>
      <c r="J190" s="6"/>
      <c r="K190" s="7"/>
    </row>
    <row r="191" spans="6:11" ht="15.75" customHeight="1">
      <c r="F191" s="6"/>
      <c r="G191" s="6"/>
      <c r="H191" s="6"/>
      <c r="I191" s="6"/>
      <c r="J191" s="6"/>
      <c r="K191" s="7"/>
    </row>
    <row r="192" spans="6:11" ht="15.75" customHeight="1">
      <c r="F192" s="6"/>
      <c r="G192" s="6"/>
      <c r="H192" s="6"/>
      <c r="I192" s="6"/>
      <c r="J192" s="6"/>
      <c r="K192" s="7"/>
    </row>
    <row r="193" spans="6:11" ht="15.75" customHeight="1">
      <c r="F193" s="6"/>
      <c r="G193" s="6"/>
      <c r="H193" s="6"/>
      <c r="I193" s="6"/>
      <c r="J193" s="6"/>
      <c r="K193" s="7"/>
    </row>
    <row r="194" spans="6:11" ht="15.75" customHeight="1">
      <c r="F194" s="6"/>
      <c r="G194" s="6"/>
      <c r="H194" s="6"/>
      <c r="I194" s="6"/>
      <c r="J194" s="6"/>
      <c r="K194" s="7"/>
    </row>
    <row r="195" spans="6:11" ht="15.75" customHeight="1">
      <c r="F195" s="6"/>
      <c r="G195" s="6"/>
      <c r="H195" s="6"/>
      <c r="I195" s="6"/>
      <c r="J195" s="6"/>
      <c r="K195" s="7"/>
    </row>
    <row r="196" spans="6:11" ht="15.75" customHeight="1">
      <c r="F196" s="6"/>
      <c r="G196" s="6"/>
      <c r="H196" s="6"/>
      <c r="I196" s="6"/>
      <c r="J196" s="6"/>
      <c r="K196" s="7"/>
    </row>
    <row r="197" spans="6:11" ht="15.75" customHeight="1">
      <c r="F197" s="6"/>
      <c r="G197" s="6"/>
      <c r="H197" s="6"/>
      <c r="I197" s="6"/>
      <c r="J197" s="6"/>
      <c r="K197" s="7"/>
    </row>
    <row r="198" spans="6:11" ht="15.75" customHeight="1">
      <c r="F198" s="6"/>
      <c r="G198" s="6"/>
      <c r="H198" s="6"/>
      <c r="I198" s="6"/>
      <c r="J198" s="6"/>
      <c r="K198" s="7"/>
    </row>
    <row r="199" spans="6:11" ht="15.75" customHeight="1">
      <c r="F199" s="6"/>
      <c r="G199" s="6"/>
      <c r="H199" s="6"/>
      <c r="I199" s="6"/>
      <c r="J199" s="6"/>
      <c r="K199" s="7"/>
    </row>
    <row r="200" spans="6:11" ht="15.75" customHeight="1">
      <c r="F200" s="6"/>
      <c r="G200" s="6"/>
      <c r="H200" s="6"/>
      <c r="I200" s="6"/>
      <c r="J200" s="6"/>
      <c r="K200" s="7"/>
    </row>
    <row r="201" spans="6:11" ht="15.75" customHeight="1">
      <c r="F201" s="6"/>
      <c r="G201" s="6"/>
      <c r="H201" s="6"/>
      <c r="I201" s="6"/>
      <c r="J201" s="6"/>
      <c r="K201" s="7"/>
    </row>
    <row r="202" spans="6:11" ht="15.75" customHeight="1">
      <c r="F202" s="6"/>
      <c r="G202" s="6"/>
      <c r="H202" s="6"/>
      <c r="I202" s="6"/>
      <c r="J202" s="6"/>
      <c r="K202" s="7"/>
    </row>
    <row r="203" spans="6:11" ht="15.75" customHeight="1">
      <c r="F203" s="6"/>
      <c r="G203" s="6"/>
      <c r="H203" s="6"/>
      <c r="I203" s="6"/>
      <c r="J203" s="6"/>
      <c r="K203" s="7"/>
    </row>
    <row r="204" spans="6:11" ht="15.75" customHeight="1">
      <c r="F204" s="6"/>
      <c r="G204" s="6"/>
      <c r="H204" s="6"/>
      <c r="I204" s="6"/>
      <c r="J204" s="6"/>
      <c r="K204" s="7"/>
    </row>
    <row r="205" spans="6:11" ht="15.75" customHeight="1">
      <c r="F205" s="6"/>
      <c r="G205" s="6"/>
      <c r="H205" s="6"/>
      <c r="I205" s="6"/>
      <c r="J205" s="6"/>
      <c r="K205" s="7"/>
    </row>
    <row r="206" spans="6:11" ht="15.75" customHeight="1">
      <c r="F206" s="6"/>
      <c r="G206" s="6"/>
      <c r="H206" s="6"/>
      <c r="I206" s="6"/>
      <c r="J206" s="6"/>
      <c r="K206" s="7"/>
    </row>
    <row r="207" spans="6:11" ht="15.75" customHeight="1">
      <c r="F207" s="6"/>
      <c r="G207" s="6"/>
      <c r="H207" s="6"/>
      <c r="I207" s="6"/>
      <c r="J207" s="6"/>
      <c r="K207" s="7"/>
    </row>
    <row r="208" spans="6:11" ht="15.75" customHeight="1">
      <c r="F208" s="6"/>
      <c r="G208" s="6"/>
      <c r="H208" s="6"/>
      <c r="I208" s="6"/>
      <c r="J208" s="6"/>
      <c r="K208" s="7"/>
    </row>
    <row r="209" spans="6:11" ht="15.75" customHeight="1">
      <c r="F209" s="6"/>
      <c r="G209" s="6"/>
      <c r="H209" s="6"/>
      <c r="I209" s="6"/>
      <c r="J209" s="6"/>
      <c r="K209" s="7"/>
    </row>
    <row r="210" spans="6:11" ht="15.75" customHeight="1">
      <c r="F210" s="6"/>
      <c r="G210" s="6"/>
      <c r="H210" s="6"/>
      <c r="I210" s="6"/>
      <c r="J210" s="6"/>
      <c r="K210" s="7"/>
    </row>
    <row r="211" spans="6:11" ht="15.75" customHeight="1">
      <c r="F211" s="6"/>
      <c r="G211" s="6"/>
      <c r="H211" s="6"/>
      <c r="I211" s="6"/>
      <c r="J211" s="6"/>
      <c r="K211" s="7"/>
    </row>
    <row r="212" spans="6:11" ht="15.75" customHeight="1">
      <c r="F212" s="6"/>
      <c r="G212" s="6"/>
      <c r="H212" s="6"/>
      <c r="I212" s="6"/>
      <c r="J212" s="6"/>
      <c r="K212" s="7"/>
    </row>
    <row r="213" spans="6:11" ht="15.75" customHeight="1">
      <c r="F213" s="6"/>
      <c r="G213" s="6"/>
      <c r="H213" s="6"/>
      <c r="I213" s="6"/>
      <c r="J213" s="6"/>
      <c r="K213" s="7"/>
    </row>
    <row r="214" spans="6:11" ht="15.75" customHeight="1">
      <c r="F214" s="6"/>
      <c r="G214" s="6"/>
      <c r="H214" s="6"/>
      <c r="I214" s="6"/>
      <c r="J214" s="6"/>
      <c r="K214" s="7"/>
    </row>
    <row r="215" spans="6:11" ht="15.75" customHeight="1">
      <c r="F215" s="6"/>
      <c r="G215" s="6"/>
      <c r="H215" s="6"/>
      <c r="I215" s="6"/>
      <c r="J215" s="6"/>
      <c r="K215" s="7"/>
    </row>
    <row r="216" spans="6:11" ht="15.75" customHeight="1">
      <c r="F216" s="6"/>
      <c r="G216" s="6"/>
      <c r="H216" s="6"/>
      <c r="I216" s="6"/>
      <c r="J216" s="6"/>
      <c r="K216" s="7"/>
    </row>
    <row r="217" spans="6:11" ht="15.75" customHeight="1">
      <c r="F217" s="6"/>
      <c r="G217" s="6"/>
      <c r="H217" s="6"/>
      <c r="I217" s="6"/>
      <c r="J217" s="6"/>
      <c r="K217" s="7"/>
    </row>
    <row r="218" spans="6:11" ht="15.75" customHeight="1">
      <c r="F218" s="6"/>
      <c r="G218" s="6"/>
      <c r="H218" s="6"/>
      <c r="I218" s="6"/>
      <c r="J218" s="6"/>
      <c r="K218" s="7"/>
    </row>
    <row r="219" spans="6:11" ht="15.75" customHeight="1">
      <c r="F219" s="6"/>
      <c r="G219" s="6"/>
      <c r="H219" s="6"/>
      <c r="I219" s="6"/>
      <c r="J219" s="6"/>
      <c r="K219" s="7"/>
    </row>
    <row r="220" spans="6:11" ht="15.75" customHeight="1">
      <c r="F220" s="6"/>
      <c r="G220" s="6"/>
      <c r="H220" s="6"/>
      <c r="I220" s="6"/>
      <c r="J220" s="6"/>
      <c r="K220" s="7"/>
    </row>
    <row r="221" spans="6:11" ht="15.75" customHeight="1">
      <c r="F221" s="6"/>
      <c r="G221" s="6"/>
      <c r="H221" s="6"/>
      <c r="I221" s="6"/>
      <c r="J221" s="6"/>
      <c r="K221" s="7"/>
    </row>
    <row r="222" spans="6:11" ht="15.75" customHeight="1">
      <c r="F222" s="6"/>
      <c r="G222" s="6"/>
      <c r="H222" s="6"/>
      <c r="I222" s="6"/>
      <c r="J222" s="6"/>
      <c r="K222" s="7"/>
    </row>
    <row r="223" spans="6:11" ht="15.75" customHeight="1">
      <c r="F223" s="6"/>
      <c r="G223" s="6"/>
      <c r="H223" s="6"/>
      <c r="I223" s="6"/>
      <c r="J223" s="6"/>
      <c r="K223" s="7"/>
    </row>
    <row r="224" spans="6:11" ht="15.75" customHeight="1">
      <c r="F224" s="6"/>
      <c r="G224" s="6"/>
      <c r="H224" s="6"/>
      <c r="I224" s="6"/>
      <c r="J224" s="6"/>
      <c r="K224" s="7"/>
    </row>
    <row r="225" spans="6:11" ht="15.75" customHeight="1">
      <c r="F225" s="6"/>
      <c r="G225" s="6"/>
      <c r="H225" s="6"/>
      <c r="I225" s="6"/>
      <c r="J225" s="6"/>
      <c r="K225" s="7"/>
    </row>
    <row r="226" spans="6:11" ht="15.75" customHeight="1">
      <c r="F226" s="6"/>
      <c r="G226" s="6"/>
      <c r="H226" s="6"/>
      <c r="I226" s="6"/>
      <c r="J226" s="6"/>
      <c r="K226" s="7"/>
    </row>
    <row r="227" spans="6:11" ht="15.75" customHeight="1">
      <c r="F227" s="6"/>
      <c r="G227" s="6"/>
      <c r="H227" s="6"/>
      <c r="I227" s="6"/>
      <c r="J227" s="6"/>
      <c r="K227" s="7"/>
    </row>
    <row r="228" spans="6:11" ht="15.75" customHeight="1">
      <c r="F228" s="6"/>
      <c r="G228" s="6"/>
      <c r="H228" s="6"/>
      <c r="I228" s="6"/>
      <c r="J228" s="6"/>
      <c r="K228" s="7"/>
    </row>
    <row r="229" spans="6:11" ht="15.75" customHeight="1">
      <c r="F229" s="6"/>
      <c r="G229" s="6"/>
      <c r="H229" s="6"/>
      <c r="I229" s="6"/>
      <c r="J229" s="6"/>
      <c r="K229" s="7"/>
    </row>
    <row r="230" spans="6:11" ht="15.75" customHeight="1">
      <c r="F230" s="6"/>
      <c r="G230" s="6"/>
      <c r="H230" s="6"/>
      <c r="I230" s="6"/>
      <c r="J230" s="6"/>
      <c r="K230" s="7"/>
    </row>
    <row r="231" spans="6:11" ht="15.75" customHeight="1">
      <c r="F231" s="6"/>
      <c r="G231" s="6"/>
      <c r="H231" s="6"/>
      <c r="I231" s="6"/>
      <c r="J231" s="6"/>
      <c r="K231" s="7"/>
    </row>
    <row r="232" spans="6:11" ht="15.75" customHeight="1">
      <c r="F232" s="6"/>
      <c r="G232" s="6"/>
      <c r="H232" s="6"/>
      <c r="I232" s="6"/>
      <c r="J232" s="6"/>
      <c r="K232" s="7"/>
    </row>
    <row r="233" spans="6:11" ht="15.75" customHeight="1">
      <c r="F233" s="6"/>
      <c r="G233" s="6"/>
      <c r="H233" s="6"/>
      <c r="I233" s="6"/>
      <c r="J233" s="6"/>
      <c r="K233" s="7"/>
    </row>
    <row r="234" spans="6:11" ht="15.75" customHeight="1">
      <c r="F234" s="6"/>
      <c r="G234" s="6"/>
      <c r="H234" s="6"/>
      <c r="I234" s="6"/>
      <c r="J234" s="6"/>
      <c r="K234" s="7"/>
    </row>
    <row r="235" spans="6:11" ht="15.75" customHeight="1">
      <c r="F235" s="6"/>
      <c r="G235" s="6"/>
      <c r="H235" s="6"/>
      <c r="I235" s="6"/>
      <c r="J235" s="6"/>
      <c r="K235" s="7"/>
    </row>
    <row r="236" spans="6:11" ht="15.75" customHeight="1">
      <c r="F236" s="6"/>
      <c r="G236" s="6"/>
      <c r="H236" s="6"/>
      <c r="I236" s="6"/>
      <c r="J236" s="6"/>
      <c r="K236" s="7"/>
    </row>
    <row r="237" spans="6:11" ht="15.75" customHeight="1">
      <c r="F237" s="6"/>
      <c r="G237" s="6"/>
      <c r="H237" s="6"/>
      <c r="I237" s="6"/>
      <c r="J237" s="6"/>
      <c r="K237" s="7"/>
    </row>
    <row r="238" spans="6:11" ht="15.75" customHeight="1">
      <c r="F238" s="6"/>
      <c r="G238" s="6"/>
      <c r="H238" s="6"/>
      <c r="I238" s="6"/>
      <c r="J238" s="6"/>
      <c r="K238" s="7"/>
    </row>
    <row r="239" spans="6:11" ht="15.75" customHeight="1">
      <c r="F239" s="6"/>
      <c r="G239" s="6"/>
      <c r="H239" s="6"/>
      <c r="I239" s="6"/>
      <c r="J239" s="6"/>
      <c r="K239" s="7"/>
    </row>
    <row r="240" spans="6:11" ht="15.75" customHeight="1">
      <c r="F240" s="6"/>
      <c r="G240" s="6"/>
      <c r="H240" s="6"/>
      <c r="I240" s="6"/>
      <c r="J240" s="6"/>
      <c r="K240" s="7"/>
    </row>
    <row r="241" spans="6:11" ht="15.75" customHeight="1">
      <c r="F241" s="6"/>
      <c r="G241" s="6"/>
      <c r="H241" s="6"/>
      <c r="I241" s="6"/>
      <c r="J241" s="6"/>
      <c r="K241" s="7"/>
    </row>
    <row r="242" spans="6:11" ht="15.75" customHeight="1">
      <c r="F242" s="6"/>
      <c r="G242" s="6"/>
      <c r="H242" s="6"/>
      <c r="I242" s="6"/>
      <c r="J242" s="6"/>
      <c r="K242" s="7"/>
    </row>
    <row r="243" spans="6:11" ht="15.75" customHeight="1">
      <c r="F243" s="6"/>
      <c r="G243" s="6"/>
      <c r="H243" s="6"/>
      <c r="I243" s="6"/>
      <c r="J243" s="6"/>
      <c r="K243" s="7"/>
    </row>
    <row r="244" spans="6:11" ht="15.75" customHeight="1">
      <c r="F244" s="6"/>
      <c r="G244" s="6"/>
      <c r="H244" s="6"/>
      <c r="I244" s="6"/>
      <c r="J244" s="6"/>
      <c r="K244" s="7"/>
    </row>
    <row r="245" spans="6:11" ht="15.75" customHeight="1">
      <c r="F245" s="6"/>
      <c r="G245" s="6"/>
      <c r="H245" s="6"/>
      <c r="I245" s="6"/>
      <c r="J245" s="6"/>
      <c r="K245" s="7"/>
    </row>
    <row r="246" spans="6:11" ht="15.75" customHeight="1">
      <c r="F246" s="6"/>
      <c r="G246" s="6"/>
      <c r="H246" s="6"/>
      <c r="I246" s="6"/>
      <c r="J246" s="6"/>
      <c r="K246" s="7"/>
    </row>
    <row r="247" spans="6:11" ht="15.75" customHeight="1">
      <c r="F247" s="6"/>
      <c r="G247" s="6"/>
      <c r="H247" s="6"/>
      <c r="I247" s="6"/>
      <c r="J247" s="6"/>
      <c r="K247" s="7"/>
    </row>
    <row r="248" spans="6:11" ht="15.75" customHeight="1">
      <c r="F248" s="6"/>
      <c r="G248" s="6"/>
      <c r="H248" s="6"/>
      <c r="I248" s="6"/>
      <c r="J248" s="6"/>
      <c r="K248" s="7"/>
    </row>
    <row r="249" spans="6:11" ht="15.75" customHeight="1">
      <c r="F249" s="6"/>
      <c r="G249" s="6"/>
      <c r="H249" s="6"/>
      <c r="I249" s="6"/>
      <c r="J249" s="6"/>
      <c r="K249" s="7"/>
    </row>
    <row r="250" spans="6:11" ht="15.75" customHeight="1">
      <c r="F250" s="6"/>
      <c r="G250" s="6"/>
      <c r="H250" s="6"/>
      <c r="I250" s="6"/>
      <c r="J250" s="6"/>
      <c r="K250" s="7"/>
    </row>
    <row r="251" spans="6:11" ht="15.75" customHeight="1">
      <c r="F251" s="6"/>
      <c r="G251" s="6"/>
      <c r="H251" s="6"/>
      <c r="I251" s="6"/>
      <c r="J251" s="6"/>
      <c r="K251" s="7"/>
    </row>
    <row r="252" spans="6:11" ht="15.75" customHeight="1">
      <c r="F252" s="6"/>
      <c r="G252" s="6"/>
      <c r="H252" s="6"/>
      <c r="I252" s="6"/>
      <c r="J252" s="6"/>
      <c r="K252" s="7"/>
    </row>
    <row r="253" spans="6:11" ht="15.75" customHeight="1">
      <c r="F253" s="6"/>
      <c r="G253" s="6"/>
      <c r="H253" s="6"/>
      <c r="I253" s="6"/>
      <c r="J253" s="6"/>
      <c r="K253" s="7"/>
    </row>
    <row r="254" spans="6:11" ht="15.75" customHeight="1">
      <c r="F254" s="6"/>
      <c r="G254" s="6"/>
      <c r="H254" s="6"/>
      <c r="I254" s="6"/>
      <c r="J254" s="6"/>
      <c r="K254" s="7"/>
    </row>
    <row r="255" spans="6:11" ht="15.75" customHeight="1">
      <c r="F255" s="6"/>
      <c r="G255" s="6"/>
      <c r="H255" s="6"/>
      <c r="I255" s="6"/>
      <c r="J255" s="6"/>
      <c r="K255" s="7"/>
    </row>
    <row r="256" spans="6:11" ht="15.75" customHeight="1">
      <c r="F256" s="6"/>
      <c r="G256" s="6"/>
      <c r="H256" s="6"/>
      <c r="I256" s="6"/>
      <c r="J256" s="6"/>
      <c r="K256" s="7"/>
    </row>
    <row r="257" spans="6:11" ht="15.75" customHeight="1">
      <c r="F257" s="6"/>
      <c r="G257" s="6"/>
      <c r="H257" s="6"/>
      <c r="I257" s="6"/>
      <c r="J257" s="6"/>
      <c r="K257" s="7"/>
    </row>
    <row r="258" spans="6:11" ht="15.75" customHeight="1">
      <c r="F258" s="6"/>
      <c r="G258" s="6"/>
      <c r="H258" s="6"/>
      <c r="I258" s="6"/>
      <c r="J258" s="6"/>
      <c r="K258" s="7"/>
    </row>
    <row r="259" spans="6:11" ht="15.75" customHeight="1">
      <c r="F259" s="6"/>
      <c r="G259" s="6"/>
      <c r="H259" s="6"/>
      <c r="I259" s="6"/>
      <c r="J259" s="6"/>
      <c r="K259" s="7"/>
    </row>
    <row r="260" spans="6:11" ht="15.75" customHeight="1">
      <c r="F260" s="6"/>
      <c r="G260" s="6"/>
      <c r="H260" s="6"/>
      <c r="I260" s="6"/>
      <c r="J260" s="6"/>
      <c r="K260" s="7"/>
    </row>
    <row r="261" spans="6:11" ht="15.75" customHeight="1">
      <c r="F261" s="6"/>
      <c r="G261" s="6"/>
      <c r="H261" s="6"/>
      <c r="I261" s="6"/>
      <c r="J261" s="6"/>
      <c r="K261" s="7"/>
    </row>
    <row r="262" spans="6:11" ht="15.75" customHeight="1">
      <c r="F262" s="6"/>
      <c r="G262" s="6"/>
      <c r="H262" s="6"/>
      <c r="I262" s="6"/>
      <c r="J262" s="6"/>
      <c r="K262" s="7"/>
    </row>
    <row r="263" spans="6:11" ht="15.75" customHeight="1">
      <c r="F263" s="6"/>
      <c r="G263" s="6"/>
      <c r="H263" s="6"/>
      <c r="I263" s="6"/>
      <c r="J263" s="6"/>
      <c r="K263" s="7"/>
    </row>
    <row r="264" spans="6:11" ht="15.75" customHeight="1">
      <c r="F264" s="6"/>
      <c r="G264" s="6"/>
      <c r="H264" s="6"/>
      <c r="I264" s="6"/>
      <c r="J264" s="6"/>
      <c r="K264" s="7"/>
    </row>
    <row r="265" spans="6:11" ht="15.75" customHeight="1">
      <c r="F265" s="6"/>
      <c r="G265" s="6"/>
      <c r="H265" s="6"/>
      <c r="I265" s="6"/>
      <c r="J265" s="6"/>
      <c r="K265" s="7"/>
    </row>
    <row r="266" spans="6:11" ht="15.75" customHeight="1">
      <c r="F266" s="6"/>
      <c r="G266" s="6"/>
      <c r="H266" s="6"/>
      <c r="I266" s="6"/>
      <c r="J266" s="6"/>
      <c r="K266" s="7"/>
    </row>
    <row r="267" spans="6:11" ht="15.75" customHeight="1">
      <c r="F267" s="6"/>
      <c r="G267" s="6"/>
      <c r="H267" s="6"/>
      <c r="I267" s="6"/>
      <c r="J267" s="6"/>
      <c r="K267" s="7"/>
    </row>
    <row r="268" spans="6:11" ht="15.75" customHeight="1">
      <c r="F268" s="6"/>
      <c r="G268" s="6"/>
      <c r="H268" s="6"/>
      <c r="I268" s="6"/>
      <c r="J268" s="6"/>
      <c r="K268" s="7"/>
    </row>
    <row r="269" spans="6:11" ht="15.75" customHeight="1">
      <c r="F269" s="6"/>
      <c r="G269" s="6"/>
      <c r="H269" s="6"/>
      <c r="I269" s="6"/>
      <c r="J269" s="6"/>
      <c r="K269" s="7"/>
    </row>
    <row r="270" spans="6:11" ht="15.75" customHeight="1">
      <c r="F270" s="6"/>
      <c r="G270" s="6"/>
      <c r="H270" s="6"/>
      <c r="I270" s="6"/>
      <c r="J270" s="6"/>
      <c r="K270" s="7"/>
    </row>
    <row r="271" spans="6:11" ht="15.75" customHeight="1">
      <c r="F271" s="6"/>
      <c r="G271" s="6"/>
      <c r="H271" s="6"/>
      <c r="I271" s="6"/>
      <c r="J271" s="6"/>
      <c r="K271" s="7"/>
    </row>
    <row r="272" spans="6:11" ht="15.75" customHeight="1">
      <c r="F272" s="6"/>
      <c r="G272" s="6"/>
      <c r="H272" s="6"/>
      <c r="I272" s="6"/>
      <c r="J272" s="6"/>
      <c r="K272" s="7"/>
    </row>
    <row r="273" spans="6:11" ht="15.75" customHeight="1">
      <c r="F273" s="6"/>
      <c r="G273" s="6"/>
      <c r="H273" s="6"/>
      <c r="I273" s="6"/>
      <c r="J273" s="6"/>
      <c r="K273" s="7"/>
    </row>
    <row r="274" spans="6:11" ht="15.75" customHeight="1">
      <c r="F274" s="6"/>
      <c r="G274" s="6"/>
      <c r="H274" s="6"/>
      <c r="I274" s="6"/>
      <c r="J274" s="6"/>
      <c r="K274" s="7"/>
    </row>
    <row r="275" spans="6:11" ht="15.75" customHeight="1">
      <c r="F275" s="6"/>
      <c r="G275" s="6"/>
      <c r="H275" s="6"/>
      <c r="I275" s="6"/>
      <c r="J275" s="6"/>
      <c r="K275" s="7"/>
    </row>
    <row r="276" spans="6:11" ht="15.75" customHeight="1">
      <c r="F276" s="6"/>
      <c r="G276" s="6"/>
      <c r="H276" s="6"/>
      <c r="I276" s="6"/>
      <c r="J276" s="6"/>
      <c r="K276" s="7"/>
    </row>
    <row r="277" spans="6:11" ht="15.75" customHeight="1">
      <c r="F277" s="6"/>
      <c r="G277" s="6"/>
      <c r="H277" s="6"/>
      <c r="I277" s="6"/>
      <c r="J277" s="6"/>
      <c r="K277" s="7"/>
    </row>
    <row r="278" spans="6:11" ht="15.75" customHeight="1">
      <c r="F278" s="6"/>
      <c r="G278" s="6"/>
      <c r="H278" s="6"/>
      <c r="I278" s="6"/>
      <c r="J278" s="6"/>
      <c r="K278" s="7"/>
    </row>
    <row r="279" spans="6:11" ht="15.75" customHeight="1">
      <c r="F279" s="6"/>
      <c r="G279" s="6"/>
      <c r="H279" s="6"/>
      <c r="I279" s="6"/>
      <c r="J279" s="6"/>
      <c r="K279" s="7"/>
    </row>
    <row r="280" spans="6:11" ht="15.75" customHeight="1">
      <c r="F280" s="6"/>
      <c r="G280" s="6"/>
      <c r="H280" s="6"/>
      <c r="I280" s="6"/>
      <c r="J280" s="6"/>
      <c r="K280" s="7"/>
    </row>
    <row r="281" spans="6:11" ht="15.75" customHeight="1">
      <c r="F281" s="6"/>
      <c r="G281" s="6"/>
      <c r="H281" s="6"/>
      <c r="I281" s="6"/>
      <c r="J281" s="6"/>
      <c r="K281" s="7"/>
    </row>
    <row r="282" spans="6:11" ht="15.75" customHeight="1">
      <c r="F282" s="6"/>
      <c r="G282" s="6"/>
      <c r="H282" s="6"/>
      <c r="I282" s="6"/>
      <c r="J282" s="6"/>
      <c r="K282" s="7"/>
    </row>
    <row r="283" spans="6:11" ht="15.75" customHeight="1">
      <c r="F283" s="6"/>
      <c r="G283" s="6"/>
      <c r="H283" s="6"/>
      <c r="I283" s="6"/>
      <c r="J283" s="6"/>
      <c r="K283" s="7"/>
    </row>
    <row r="284" spans="6:11" ht="15.75" customHeight="1">
      <c r="F284" s="6"/>
      <c r="G284" s="6"/>
      <c r="H284" s="6"/>
      <c r="I284" s="6"/>
      <c r="J284" s="6"/>
      <c r="K284" s="7"/>
    </row>
    <row r="285" spans="6:11" ht="15.75" customHeight="1">
      <c r="F285" s="6"/>
      <c r="G285" s="6"/>
      <c r="H285" s="6"/>
      <c r="I285" s="6"/>
      <c r="J285" s="6"/>
      <c r="K285" s="7"/>
    </row>
    <row r="286" spans="6:11" ht="15.75" customHeight="1">
      <c r="F286" s="6"/>
      <c r="G286" s="6"/>
      <c r="H286" s="6"/>
      <c r="I286" s="6"/>
      <c r="J286" s="6"/>
      <c r="K286" s="7"/>
    </row>
    <row r="287" spans="6:11" ht="15.75" customHeight="1">
      <c r="F287" s="6"/>
      <c r="G287" s="6"/>
      <c r="H287" s="6"/>
      <c r="I287" s="6"/>
      <c r="J287" s="6"/>
      <c r="K287" s="7"/>
    </row>
    <row r="288" spans="6:11" ht="15.75" customHeight="1">
      <c r="F288" s="6"/>
      <c r="G288" s="6"/>
      <c r="H288" s="6"/>
      <c r="I288" s="6"/>
      <c r="J288" s="6"/>
      <c r="K288" s="7"/>
    </row>
    <row r="289" spans="6:11" ht="15.75" customHeight="1">
      <c r="F289" s="6"/>
      <c r="G289" s="6"/>
      <c r="H289" s="6"/>
      <c r="I289" s="6"/>
      <c r="J289" s="6"/>
      <c r="K289" s="7"/>
    </row>
    <row r="290" spans="6:11" ht="15.75" customHeight="1">
      <c r="F290" s="6"/>
      <c r="G290" s="6"/>
      <c r="H290" s="6"/>
      <c r="I290" s="6"/>
      <c r="J290" s="6"/>
      <c r="K290" s="7"/>
    </row>
    <row r="291" spans="6:11" ht="15.75" customHeight="1">
      <c r="F291" s="6"/>
      <c r="G291" s="6"/>
      <c r="H291" s="6"/>
      <c r="I291" s="6"/>
      <c r="J291" s="6"/>
      <c r="K291" s="7"/>
    </row>
    <row r="292" spans="6:11" ht="15.75" customHeight="1">
      <c r="F292" s="6"/>
      <c r="G292" s="6"/>
      <c r="H292" s="6"/>
      <c r="I292" s="6"/>
      <c r="J292" s="6"/>
      <c r="K292" s="7"/>
    </row>
    <row r="293" spans="6:11" ht="15.75" customHeight="1">
      <c r="F293" s="6"/>
      <c r="G293" s="6"/>
      <c r="H293" s="6"/>
      <c r="I293" s="6"/>
      <c r="J293" s="6"/>
      <c r="K293" s="7"/>
    </row>
    <row r="294" spans="6:11" ht="15.75" customHeight="1">
      <c r="F294" s="6"/>
      <c r="G294" s="6"/>
      <c r="H294" s="6"/>
      <c r="I294" s="6"/>
      <c r="J294" s="6"/>
      <c r="K294" s="7"/>
    </row>
    <row r="295" spans="6:11" ht="15.75" customHeight="1">
      <c r="F295" s="6"/>
      <c r="G295" s="6"/>
      <c r="H295" s="6"/>
      <c r="I295" s="6"/>
      <c r="J295" s="6"/>
      <c r="K295" s="7"/>
    </row>
    <row r="296" spans="6:11" ht="15.75" customHeight="1">
      <c r="F296" s="6"/>
      <c r="G296" s="6"/>
      <c r="H296" s="6"/>
      <c r="I296" s="6"/>
      <c r="J296" s="6"/>
      <c r="K296" s="7"/>
    </row>
    <row r="297" spans="6:11" ht="15.75" customHeight="1">
      <c r="F297" s="6"/>
      <c r="G297" s="6"/>
      <c r="H297" s="6"/>
      <c r="I297" s="6"/>
      <c r="J297" s="6"/>
      <c r="K297" s="7"/>
    </row>
    <row r="298" spans="6:11" ht="15.75" customHeight="1">
      <c r="F298" s="6"/>
      <c r="G298" s="6"/>
      <c r="H298" s="6"/>
      <c r="I298" s="6"/>
      <c r="J298" s="6"/>
      <c r="K298" s="7"/>
    </row>
    <row r="299" spans="6:11" ht="15.75" customHeight="1">
      <c r="F299" s="6"/>
      <c r="G299" s="6"/>
      <c r="H299" s="6"/>
      <c r="I299" s="6"/>
      <c r="J299" s="6"/>
      <c r="K299" s="7"/>
    </row>
    <row r="300" spans="6:11" ht="15.75" customHeight="1">
      <c r="F300" s="6"/>
      <c r="G300" s="6"/>
      <c r="H300" s="6"/>
      <c r="I300" s="6"/>
      <c r="J300" s="6"/>
      <c r="K300" s="7"/>
    </row>
    <row r="301" spans="6:11" ht="15.75" customHeight="1">
      <c r="F301" s="6"/>
      <c r="G301" s="6"/>
      <c r="H301" s="6"/>
      <c r="I301" s="6"/>
      <c r="J301" s="6"/>
      <c r="K301" s="7"/>
    </row>
    <row r="302" spans="6:11" ht="15.75" customHeight="1">
      <c r="F302" s="6"/>
      <c r="G302" s="6"/>
      <c r="H302" s="6"/>
      <c r="I302" s="6"/>
      <c r="J302" s="6"/>
      <c r="K302" s="7"/>
    </row>
    <row r="303" spans="6:11" ht="15.75" customHeight="1">
      <c r="F303" s="6"/>
      <c r="G303" s="6"/>
      <c r="H303" s="6"/>
      <c r="I303" s="6"/>
      <c r="J303" s="6"/>
      <c r="K303" s="7"/>
    </row>
    <row r="304" spans="6:11" ht="15.75" customHeight="1">
      <c r="F304" s="6"/>
      <c r="G304" s="6"/>
      <c r="H304" s="6"/>
      <c r="I304" s="6"/>
      <c r="J304" s="6"/>
      <c r="K304" s="7"/>
    </row>
    <row r="305" spans="6:11" ht="15.75" customHeight="1">
      <c r="F305" s="6"/>
      <c r="G305" s="6"/>
      <c r="H305" s="6"/>
      <c r="I305" s="6"/>
      <c r="J305" s="6"/>
      <c r="K305" s="7"/>
    </row>
    <row r="306" spans="6:11" ht="15.75" customHeight="1">
      <c r="F306" s="6"/>
      <c r="G306" s="6"/>
      <c r="H306" s="6"/>
      <c r="I306" s="6"/>
      <c r="J306" s="6"/>
      <c r="K306" s="7"/>
    </row>
    <row r="307" spans="6:11" ht="15.75" customHeight="1">
      <c r="F307" s="6"/>
      <c r="G307" s="6"/>
      <c r="H307" s="6"/>
      <c r="I307" s="6"/>
      <c r="J307" s="6"/>
      <c r="K307" s="7"/>
    </row>
    <row r="308" spans="6:11" ht="15.75" customHeight="1">
      <c r="F308" s="6"/>
      <c r="G308" s="6"/>
      <c r="H308" s="6"/>
      <c r="I308" s="6"/>
      <c r="J308" s="6"/>
      <c r="K308" s="7"/>
    </row>
    <row r="309" spans="6:11" ht="15.75" customHeight="1">
      <c r="F309" s="6"/>
      <c r="G309" s="6"/>
      <c r="H309" s="6"/>
      <c r="I309" s="6"/>
      <c r="J309" s="6"/>
      <c r="K309" s="7"/>
    </row>
    <row r="310" spans="6:11" ht="15.75" customHeight="1">
      <c r="F310" s="6"/>
      <c r="G310" s="6"/>
      <c r="H310" s="6"/>
      <c r="I310" s="6"/>
      <c r="J310" s="6"/>
      <c r="K310" s="7"/>
    </row>
    <row r="311" spans="6:11" ht="15.75" customHeight="1">
      <c r="F311" s="6"/>
      <c r="G311" s="6"/>
      <c r="H311" s="6"/>
      <c r="I311" s="6"/>
      <c r="J311" s="6"/>
      <c r="K311" s="7"/>
    </row>
    <row r="312" spans="6:11" ht="15.75" customHeight="1">
      <c r="F312" s="6"/>
      <c r="G312" s="6"/>
      <c r="H312" s="6"/>
      <c r="I312" s="6"/>
      <c r="J312" s="6"/>
      <c r="K312" s="7"/>
    </row>
    <row r="313" spans="6:11" ht="15.75" customHeight="1">
      <c r="F313" s="6"/>
      <c r="G313" s="6"/>
      <c r="H313" s="6"/>
      <c r="I313" s="6"/>
      <c r="J313" s="6"/>
      <c r="K313" s="7"/>
    </row>
    <row r="314" spans="6:11" ht="15.75" customHeight="1">
      <c r="F314" s="6"/>
      <c r="G314" s="6"/>
      <c r="H314" s="6"/>
      <c r="I314" s="6"/>
      <c r="J314" s="6"/>
      <c r="K314" s="7"/>
    </row>
    <row r="315" spans="6:11" ht="15.75" customHeight="1">
      <c r="F315" s="6"/>
      <c r="G315" s="6"/>
      <c r="H315" s="6"/>
      <c r="I315" s="6"/>
      <c r="J315" s="6"/>
      <c r="K315" s="7"/>
    </row>
    <row r="316" spans="6:11" ht="15.75" customHeight="1">
      <c r="F316" s="6"/>
      <c r="G316" s="6"/>
      <c r="H316" s="6"/>
      <c r="I316" s="6"/>
      <c r="J316" s="6"/>
      <c r="K316" s="7"/>
    </row>
    <row r="317" spans="6:11" ht="15.75" customHeight="1">
      <c r="F317" s="6"/>
      <c r="G317" s="6"/>
      <c r="H317" s="6"/>
      <c r="I317" s="6"/>
      <c r="J317" s="6"/>
      <c r="K317" s="7"/>
    </row>
    <row r="318" spans="6:11" ht="15.75" customHeight="1">
      <c r="F318" s="6"/>
      <c r="G318" s="6"/>
      <c r="H318" s="6"/>
      <c r="I318" s="6"/>
      <c r="J318" s="6"/>
      <c r="K318" s="7"/>
    </row>
    <row r="319" spans="6:11" ht="15.75" customHeight="1">
      <c r="F319" s="6"/>
      <c r="G319" s="6"/>
      <c r="H319" s="6"/>
      <c r="I319" s="6"/>
      <c r="J319" s="6"/>
      <c r="K319" s="7"/>
    </row>
    <row r="320" spans="6:11" ht="15.75" customHeight="1">
      <c r="F320" s="6"/>
      <c r="G320" s="6"/>
      <c r="H320" s="6"/>
      <c r="I320" s="6"/>
      <c r="J320" s="6"/>
      <c r="K320" s="7"/>
    </row>
    <row r="321" spans="6:18" ht="15.75" customHeight="1">
      <c r="F321" s="6"/>
      <c r="G321" s="6"/>
      <c r="H321" s="6"/>
      <c r="I321" s="6"/>
      <c r="J321" s="6"/>
      <c r="K321" s="7"/>
    </row>
    <row r="322" spans="6:18" ht="15.75" customHeight="1">
      <c r="F322" s="6"/>
      <c r="G322" s="6"/>
      <c r="H322" s="6"/>
      <c r="I322" s="6"/>
      <c r="J322" s="6"/>
      <c r="K322" s="7"/>
    </row>
    <row r="323" spans="6:18" ht="15.75" customHeight="1">
      <c r="F323" s="6"/>
      <c r="G323" s="6"/>
      <c r="H323" s="6"/>
      <c r="I323" s="6"/>
      <c r="J323" s="6"/>
      <c r="K323" s="7"/>
    </row>
    <row r="324" spans="6:18" ht="15.75" customHeight="1">
      <c r="F324" s="6"/>
      <c r="G324" s="6"/>
      <c r="H324" s="6"/>
      <c r="I324" s="6"/>
      <c r="J324" s="6"/>
      <c r="K324" s="7"/>
    </row>
    <row r="325" spans="6:18" ht="15.75" customHeight="1">
      <c r="F325" s="6"/>
      <c r="G325" s="6"/>
      <c r="H325" s="6"/>
      <c r="I325" s="6"/>
      <c r="J325" s="6"/>
      <c r="K325" s="7"/>
    </row>
    <row r="326" spans="6:18" ht="15.75" customHeight="1">
      <c r="F326" s="6"/>
      <c r="G326" s="6"/>
      <c r="H326" s="6"/>
      <c r="I326" s="6"/>
      <c r="J326" s="6"/>
      <c r="K326" s="7"/>
    </row>
    <row r="327" spans="6:18" ht="15.75" customHeight="1">
      <c r="F327" s="6"/>
      <c r="G327" s="6"/>
      <c r="H327" s="6"/>
      <c r="I327" s="6"/>
      <c r="J327" s="6"/>
      <c r="K327" s="7"/>
    </row>
    <row r="328" spans="6:18" ht="15.75" customHeight="1">
      <c r="K328" s="7"/>
      <c r="Q328">
        <v>349</v>
      </c>
      <c r="R328">
        <v>2457.91</v>
      </c>
    </row>
    <row r="329" spans="6:18" ht="15.75" customHeight="1">
      <c r="K329" s="7"/>
      <c r="Q329">
        <v>350</v>
      </c>
      <c r="R329">
        <v>10989.27</v>
      </c>
    </row>
    <row r="330" spans="6:18" ht="15.75" customHeight="1">
      <c r="K330" s="7"/>
      <c r="Q330">
        <v>351</v>
      </c>
      <c r="R330">
        <v>2611.75</v>
      </c>
    </row>
    <row r="331" spans="6:18" ht="15.75" customHeight="1">
      <c r="K331" s="7"/>
      <c r="Q331">
        <v>352</v>
      </c>
      <c r="R331">
        <v>5205.8599999999997</v>
      </c>
    </row>
    <row r="332" spans="6:18" ht="15.75" customHeight="1">
      <c r="K332" s="7"/>
      <c r="Q332">
        <v>353</v>
      </c>
      <c r="R332">
        <v>7328.61</v>
      </c>
    </row>
    <row r="333" spans="6:18" ht="15.75" customHeight="1">
      <c r="K333" s="7"/>
      <c r="Q333">
        <v>354</v>
      </c>
      <c r="R333">
        <v>3154.96</v>
      </c>
    </row>
    <row r="334" spans="6:18" ht="15.75" customHeight="1">
      <c r="K334" s="7"/>
      <c r="Q334">
        <v>355</v>
      </c>
      <c r="R334">
        <v>360413.5</v>
      </c>
    </row>
    <row r="335" spans="6:18" ht="15.75" customHeight="1">
      <c r="K335" s="7"/>
      <c r="Q335">
        <v>356</v>
      </c>
      <c r="R335">
        <v>6906.08</v>
      </c>
    </row>
    <row r="336" spans="6:18" ht="15.75" customHeight="1">
      <c r="K336" s="7"/>
      <c r="Q336">
        <v>359</v>
      </c>
      <c r="R336">
        <v>25430.240000000002</v>
      </c>
    </row>
    <row r="337" spans="11:18" ht="15.75" customHeight="1">
      <c r="K337" s="7"/>
      <c r="Q337">
        <v>360</v>
      </c>
      <c r="R337">
        <v>1434</v>
      </c>
    </row>
    <row r="338" spans="11:18" ht="15.75" customHeight="1">
      <c r="K338" s="7"/>
      <c r="Q338">
        <v>361</v>
      </c>
      <c r="R338">
        <v>7124.67</v>
      </c>
    </row>
    <row r="339" spans="11:18" ht="15.75" customHeight="1">
      <c r="K339" s="7"/>
      <c r="Q339">
        <v>362</v>
      </c>
      <c r="R339">
        <v>268.77</v>
      </c>
    </row>
    <row r="340" spans="11:18" ht="15.75" customHeight="1">
      <c r="K340" s="7"/>
      <c r="Q340">
        <v>363</v>
      </c>
      <c r="R340">
        <v>20818</v>
      </c>
    </row>
    <row r="341" spans="11:18" ht="15.75" customHeight="1">
      <c r="K341" s="7"/>
      <c r="Q341">
        <v>364</v>
      </c>
      <c r="R341">
        <v>38882.410000000003</v>
      </c>
    </row>
    <row r="342" spans="11:18" ht="15.75" customHeight="1">
      <c r="K342" s="7"/>
      <c r="Q342">
        <v>368</v>
      </c>
      <c r="R342">
        <v>1680</v>
      </c>
    </row>
    <row r="343" spans="11:18" ht="15.75" customHeight="1">
      <c r="K343" s="7"/>
      <c r="Q343">
        <v>369</v>
      </c>
      <c r="R343">
        <v>21659.919999999998</v>
      </c>
    </row>
    <row r="344" spans="11:18" ht="15.75" customHeight="1">
      <c r="K344" s="7"/>
      <c r="Q344">
        <v>370</v>
      </c>
      <c r="R344">
        <v>4284.5200000000004</v>
      </c>
    </row>
    <row r="345" spans="11:18" ht="15.75" customHeight="1">
      <c r="K345" s="7"/>
      <c r="Q345">
        <v>371</v>
      </c>
      <c r="R345">
        <v>9757.16</v>
      </c>
    </row>
    <row r="346" spans="11:18" ht="15.75" customHeight="1">
      <c r="K346" s="7"/>
      <c r="Q346">
        <v>372</v>
      </c>
      <c r="R346">
        <v>3168.96</v>
      </c>
    </row>
    <row r="347" spans="11:18" ht="15.75" customHeight="1">
      <c r="K347" s="7"/>
      <c r="Q347">
        <v>373</v>
      </c>
      <c r="R347">
        <v>5439.63</v>
      </c>
    </row>
    <row r="348" spans="11:18" ht="15.75" customHeight="1">
      <c r="K348" s="7"/>
      <c r="Q348">
        <v>374</v>
      </c>
      <c r="R348">
        <v>138570</v>
      </c>
    </row>
    <row r="349" spans="11:18" ht="15.75" customHeight="1">
      <c r="K349" s="7"/>
      <c r="Q349">
        <v>375</v>
      </c>
      <c r="R349">
        <v>25529</v>
      </c>
    </row>
    <row r="350" spans="11:18" ht="15.75" customHeight="1">
      <c r="K350" s="7"/>
      <c r="Q350">
        <v>376</v>
      </c>
      <c r="R350">
        <v>1750</v>
      </c>
    </row>
    <row r="351" spans="11:18" ht="15.75" customHeight="1">
      <c r="K351" s="7"/>
      <c r="Q351">
        <v>377</v>
      </c>
      <c r="R351">
        <v>28779.599999999999</v>
      </c>
    </row>
    <row r="352" spans="11:18" ht="15.75" customHeight="1">
      <c r="K352" s="7"/>
      <c r="Q352">
        <v>379</v>
      </c>
      <c r="R352">
        <v>104274.67</v>
      </c>
    </row>
    <row r="353" spans="11:18" ht="15.75" customHeight="1">
      <c r="K353" s="7"/>
      <c r="Q353">
        <v>380</v>
      </c>
      <c r="R353">
        <v>7136.4</v>
      </c>
    </row>
    <row r="354" spans="11:18" ht="15.75" customHeight="1">
      <c r="K354" s="7"/>
      <c r="Q354">
        <v>381</v>
      </c>
      <c r="R354">
        <v>14250</v>
      </c>
    </row>
    <row r="355" spans="11:18" ht="15.75" customHeight="1">
      <c r="K355" s="7"/>
      <c r="Q355">
        <v>382</v>
      </c>
      <c r="R355">
        <v>17857.84</v>
      </c>
    </row>
    <row r="356" spans="11:18" ht="15.75" customHeight="1">
      <c r="K356" s="7"/>
      <c r="Q356">
        <v>384</v>
      </c>
      <c r="R356">
        <v>4324.59</v>
      </c>
    </row>
    <row r="357" spans="11:18" ht="15.75" customHeight="1">
      <c r="K357" s="7"/>
      <c r="Q357">
        <v>385</v>
      </c>
      <c r="R357">
        <v>3000</v>
      </c>
    </row>
    <row r="358" spans="11:18" ht="15.75" customHeight="1">
      <c r="K358" s="7"/>
      <c r="Q358">
        <v>386</v>
      </c>
      <c r="R358">
        <v>740</v>
      </c>
    </row>
    <row r="359" spans="11:18" ht="15.75" customHeight="1">
      <c r="K359" s="7"/>
      <c r="Q359">
        <v>387</v>
      </c>
      <c r="R359">
        <v>25787.64</v>
      </c>
    </row>
    <row r="360" spans="11:18" ht="15.75" customHeight="1">
      <c r="K360" s="7"/>
      <c r="Q360">
        <v>388</v>
      </c>
      <c r="R360">
        <v>27621.200000000001</v>
      </c>
    </row>
    <row r="361" spans="11:18" ht="15.75" customHeight="1">
      <c r="K361" s="7"/>
      <c r="Q361">
        <v>389</v>
      </c>
      <c r="R361">
        <v>29355.5</v>
      </c>
    </row>
    <row r="362" spans="11:18" ht="15.75" customHeight="1">
      <c r="K362" s="7"/>
      <c r="Q362">
        <v>390</v>
      </c>
      <c r="R362">
        <v>57819</v>
      </c>
    </row>
    <row r="363" spans="11:18" ht="15.75" customHeight="1">
      <c r="K363" s="7"/>
      <c r="Q363">
        <v>391</v>
      </c>
      <c r="R363">
        <v>27889.52</v>
      </c>
    </row>
    <row r="364" spans="11:18" ht="15.75" customHeight="1">
      <c r="K364" s="7"/>
      <c r="Q364">
        <v>392</v>
      </c>
      <c r="R364">
        <v>30757</v>
      </c>
    </row>
    <row r="365" spans="11:18" ht="15.75" customHeight="1">
      <c r="K365" s="7"/>
      <c r="Q365">
        <v>393</v>
      </c>
      <c r="R365">
        <v>36120.04</v>
      </c>
    </row>
    <row r="366" spans="11:18" ht="15.75" customHeight="1">
      <c r="K366" s="7"/>
      <c r="Q366">
        <v>394</v>
      </c>
      <c r="R366">
        <v>20307.32</v>
      </c>
    </row>
    <row r="367" spans="11:18" ht="15.75" customHeight="1">
      <c r="K367" s="7"/>
      <c r="Q367">
        <v>395</v>
      </c>
      <c r="R367">
        <v>4830.3599999999997</v>
      </c>
    </row>
    <row r="368" spans="11:18" ht="15.75" customHeight="1">
      <c r="K368" s="7"/>
      <c r="Q368">
        <v>396</v>
      </c>
      <c r="R368">
        <v>8265.9699999999993</v>
      </c>
    </row>
    <row r="369" spans="11:18" ht="15.75" customHeight="1">
      <c r="K369" s="7"/>
      <c r="Q369">
        <v>397</v>
      </c>
      <c r="R369">
        <v>60237.93</v>
      </c>
    </row>
    <row r="370" spans="11:18" ht="15.75" customHeight="1">
      <c r="K370" s="7"/>
      <c r="Q370">
        <v>398</v>
      </c>
      <c r="R370">
        <v>2120</v>
      </c>
    </row>
    <row r="371" spans="11:18" ht="15.75" customHeight="1">
      <c r="K371" s="7"/>
      <c r="Q371">
        <v>399</v>
      </c>
      <c r="R371">
        <v>5235</v>
      </c>
    </row>
    <row r="372" spans="11:18" ht="15.75" customHeight="1">
      <c r="K372" s="7"/>
      <c r="Q372">
        <v>400</v>
      </c>
      <c r="R372">
        <v>1740</v>
      </c>
    </row>
    <row r="373" spans="11:18" ht="15.75" customHeight="1">
      <c r="K373" s="7"/>
      <c r="Q373">
        <v>401</v>
      </c>
      <c r="R373">
        <v>4326</v>
      </c>
    </row>
    <row r="374" spans="11:18" ht="15.75" customHeight="1">
      <c r="K374" s="7"/>
      <c r="Q374">
        <v>402</v>
      </c>
      <c r="R374">
        <v>46687</v>
      </c>
    </row>
    <row r="375" spans="11:18" ht="15.75" customHeight="1">
      <c r="K375" s="7"/>
      <c r="Q375">
        <v>403</v>
      </c>
      <c r="R375">
        <v>3884.16</v>
      </c>
    </row>
    <row r="376" spans="11:18" ht="15.75" customHeight="1">
      <c r="Q376">
        <v>404</v>
      </c>
      <c r="R376">
        <v>10352</v>
      </c>
    </row>
    <row r="377" spans="11:18" ht="15.75" customHeight="1">
      <c r="Q377">
        <v>405</v>
      </c>
      <c r="R377">
        <v>13313</v>
      </c>
    </row>
    <row r="378" spans="11:18" ht="15.75" customHeight="1">
      <c r="Q378">
        <v>406</v>
      </c>
      <c r="R378">
        <v>5772</v>
      </c>
    </row>
    <row r="379" spans="11:18" ht="15.75" customHeight="1">
      <c r="Q379">
        <v>407</v>
      </c>
      <c r="R379">
        <v>8423.11</v>
      </c>
    </row>
    <row r="380" spans="11:18" ht="15.75" customHeight="1">
      <c r="Q380">
        <v>408</v>
      </c>
      <c r="R380">
        <v>29331.26</v>
      </c>
    </row>
    <row r="381" spans="11:18" ht="15.75" customHeight="1">
      <c r="Q381">
        <v>409</v>
      </c>
      <c r="R381">
        <v>2304.88</v>
      </c>
    </row>
    <row r="382" spans="11:18" ht="15.75" customHeight="1">
      <c r="Q382">
        <v>410</v>
      </c>
      <c r="R382">
        <v>15617.36</v>
      </c>
    </row>
    <row r="383" spans="11:18" ht="15.75" customHeight="1">
      <c r="Q383">
        <v>412</v>
      </c>
      <c r="R383">
        <v>2286.5</v>
      </c>
    </row>
    <row r="384" spans="11:18" ht="15.75" customHeight="1">
      <c r="Q384">
        <v>413</v>
      </c>
      <c r="R384">
        <v>23160</v>
      </c>
    </row>
    <row r="385" spans="17:18" ht="15.75" customHeight="1">
      <c r="Q385">
        <v>416</v>
      </c>
      <c r="R385">
        <v>472374.25</v>
      </c>
    </row>
    <row r="386" spans="17:18" ht="15.75" customHeight="1">
      <c r="Q386">
        <v>417</v>
      </c>
      <c r="R386">
        <v>9035.74</v>
      </c>
    </row>
    <row r="387" spans="17:18" ht="15.75" customHeight="1">
      <c r="Q387">
        <v>418</v>
      </c>
      <c r="R387">
        <v>5627281.4299999997</v>
      </c>
    </row>
    <row r="388" spans="17:18" ht="15.75" customHeight="1">
      <c r="Q388">
        <v>419</v>
      </c>
      <c r="R388">
        <v>3396</v>
      </c>
    </row>
    <row r="389" spans="17:18" ht="15.75" customHeight="1">
      <c r="Q389">
        <v>420</v>
      </c>
      <c r="R389">
        <v>3600</v>
      </c>
    </row>
    <row r="390" spans="17:18" ht="15.75" customHeight="1">
      <c r="Q390">
        <v>421</v>
      </c>
      <c r="R390">
        <v>9503.92</v>
      </c>
    </row>
    <row r="391" spans="17:18" ht="15.75" customHeight="1">
      <c r="Q391">
        <v>422</v>
      </c>
      <c r="R391">
        <v>540</v>
      </c>
    </row>
    <row r="392" spans="17:18" ht="15.75" customHeight="1">
      <c r="Q392">
        <v>423</v>
      </c>
      <c r="R392">
        <v>3667.15</v>
      </c>
    </row>
    <row r="393" spans="17:18" ht="15.75" customHeight="1">
      <c r="Q393">
        <v>425</v>
      </c>
      <c r="R393">
        <v>35000</v>
      </c>
    </row>
    <row r="394" spans="17:18" ht="15.75" customHeight="1">
      <c r="Q394">
        <v>426</v>
      </c>
      <c r="R394">
        <v>23777.56</v>
      </c>
    </row>
    <row r="395" spans="17:18" ht="15.75" customHeight="1">
      <c r="Q395">
        <v>427</v>
      </c>
      <c r="R395">
        <v>4960.26</v>
      </c>
    </row>
    <row r="396" spans="17:18" ht="15.75" customHeight="1">
      <c r="Q396">
        <v>428</v>
      </c>
      <c r="R396">
        <v>1724.36</v>
      </c>
    </row>
    <row r="397" spans="17:18" ht="15.75" customHeight="1">
      <c r="Q397">
        <v>430</v>
      </c>
      <c r="R397">
        <v>22284.04</v>
      </c>
    </row>
    <row r="398" spans="17:18" ht="15.75" customHeight="1">
      <c r="Q398">
        <v>431</v>
      </c>
      <c r="R398">
        <v>2328.11</v>
      </c>
    </row>
    <row r="399" spans="17:18" ht="15.75" customHeight="1">
      <c r="Q399">
        <v>432</v>
      </c>
      <c r="R399">
        <v>26949.24</v>
      </c>
    </row>
    <row r="400" spans="17:18" ht="15.75" customHeight="1">
      <c r="Q400">
        <v>433</v>
      </c>
      <c r="R400">
        <v>4506</v>
      </c>
    </row>
    <row r="401" spans="17:18" ht="15.75" customHeight="1">
      <c r="Q401">
        <v>434</v>
      </c>
      <c r="R401">
        <v>1445</v>
      </c>
    </row>
    <row r="402" spans="17:18" ht="15.75" customHeight="1">
      <c r="Q402">
        <v>435</v>
      </c>
      <c r="R402">
        <v>21586</v>
      </c>
    </row>
    <row r="403" spans="17:18" ht="15.75" customHeight="1">
      <c r="Q403">
        <v>436</v>
      </c>
      <c r="R403">
        <v>207379</v>
      </c>
    </row>
    <row r="404" spans="17:18" ht="15.75" customHeight="1">
      <c r="Q404">
        <v>437</v>
      </c>
      <c r="R404">
        <v>25369.4</v>
      </c>
    </row>
    <row r="405" spans="17:18" ht="15.75" customHeight="1">
      <c r="Q405">
        <v>438</v>
      </c>
      <c r="R405">
        <v>12164</v>
      </c>
    </row>
    <row r="406" spans="17:18" ht="15.75" customHeight="1">
      <c r="Q406">
        <v>440</v>
      </c>
      <c r="R406">
        <v>1319971.8</v>
      </c>
    </row>
    <row r="407" spans="17:18" ht="15.75" customHeight="1">
      <c r="Q407">
        <v>442</v>
      </c>
      <c r="R407">
        <v>672.41</v>
      </c>
    </row>
    <row r="408" spans="17:18" ht="15.75" customHeight="1">
      <c r="Q408">
        <v>443</v>
      </c>
      <c r="R408">
        <v>16013</v>
      </c>
    </row>
    <row r="409" spans="17:18" ht="15.75" customHeight="1">
      <c r="Q409">
        <v>444</v>
      </c>
      <c r="R409">
        <v>101859</v>
      </c>
    </row>
    <row r="410" spans="17:18" ht="15.75" customHeight="1">
      <c r="Q410">
        <v>445</v>
      </c>
      <c r="R410">
        <v>24324.7</v>
      </c>
    </row>
    <row r="411" spans="17:18" ht="15.75" customHeight="1">
      <c r="Q411">
        <v>446</v>
      </c>
      <c r="R411">
        <v>12011</v>
      </c>
    </row>
    <row r="412" spans="17:18" ht="15.75" customHeight="1">
      <c r="Q412">
        <v>448</v>
      </c>
      <c r="R412">
        <v>6018.71</v>
      </c>
    </row>
    <row r="413" spans="17:18" ht="15.75" customHeight="1">
      <c r="Q413">
        <v>450</v>
      </c>
      <c r="R413">
        <v>10000</v>
      </c>
    </row>
    <row r="414" spans="17:18" ht="15.75" customHeight="1">
      <c r="Q414">
        <v>451</v>
      </c>
      <c r="R414">
        <v>0</v>
      </c>
    </row>
    <row r="415" spans="17:18" ht="15.75" customHeight="1">
      <c r="Q415">
        <v>452</v>
      </c>
      <c r="R415">
        <v>18588</v>
      </c>
    </row>
    <row r="416" spans="17:18" ht="15.75" customHeight="1">
      <c r="Q416">
        <v>453</v>
      </c>
      <c r="R416">
        <v>82243</v>
      </c>
    </row>
    <row r="417" spans="17:18" ht="15.75" customHeight="1">
      <c r="Q417">
        <v>454</v>
      </c>
      <c r="R417">
        <v>34210</v>
      </c>
    </row>
    <row r="418" spans="17:18" ht="15.75" customHeight="1">
      <c r="Q418">
        <v>455</v>
      </c>
      <c r="R418">
        <v>0</v>
      </c>
    </row>
    <row r="419" spans="17:18" ht="15.75" customHeight="1">
      <c r="Q419">
        <v>456</v>
      </c>
      <c r="R419">
        <v>0</v>
      </c>
    </row>
    <row r="420" spans="17:18" ht="15.75" customHeight="1">
      <c r="Q420">
        <v>457</v>
      </c>
      <c r="R420">
        <v>0</v>
      </c>
    </row>
    <row r="421" spans="17:18" ht="15.75" customHeight="1">
      <c r="Q421">
        <v>459</v>
      </c>
      <c r="R421">
        <v>0</v>
      </c>
    </row>
    <row r="422" spans="17:18" ht="15.75" customHeight="1">
      <c r="Q422" t="s">
        <v>31</v>
      </c>
      <c r="R422">
        <v>26892875.309999999</v>
      </c>
    </row>
    <row r="423" spans="17:18" ht="15.75" customHeight="1"/>
    <row r="424" spans="17:18" ht="15.75" customHeight="1"/>
    <row r="425" spans="17:18" ht="15.75" customHeight="1"/>
    <row r="426" spans="17:18" ht="15.75" customHeight="1"/>
    <row r="427" spans="17:18" ht="15.75" customHeight="1"/>
    <row r="428" spans="17:18" ht="15.75" customHeight="1"/>
    <row r="429" spans="17:18" ht="15.75" customHeight="1"/>
    <row r="430" spans="17:18" ht="15.75" customHeight="1"/>
    <row r="431" spans="17:18" ht="15.75" customHeight="1"/>
    <row r="432" spans="17:18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N5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6916-C7CB-4EB1-AF5F-48CAEC63FD95}">
  <dimension ref="A1:M32"/>
  <sheetViews>
    <sheetView workbookViewId="0">
      <selection activeCell="E29" sqref="E29"/>
    </sheetView>
  </sheetViews>
  <sheetFormatPr defaultRowHeight="12.75"/>
  <cols>
    <col min="1" max="2" width="13.7109375" customWidth="1"/>
    <col min="3" max="3" width="16.85546875" customWidth="1"/>
    <col min="4" max="4" width="19.7109375" customWidth="1"/>
    <col min="5" max="5" width="19.85546875" customWidth="1"/>
    <col min="6" max="6" width="20.28515625" customWidth="1"/>
    <col min="7" max="7" width="19.140625" customWidth="1"/>
    <col min="8" max="8" width="19" customWidth="1"/>
    <col min="9" max="9" width="25.5703125" customWidth="1"/>
    <col min="10" max="10" width="17.5703125" customWidth="1"/>
    <col min="11" max="11" width="30.28515625" customWidth="1"/>
    <col min="12" max="12" width="22.7109375" customWidth="1"/>
    <col min="13" max="13" width="22.42578125" customWidth="1"/>
  </cols>
  <sheetData>
    <row r="1" spans="1:13">
      <c r="A1" s="18" t="s">
        <v>45</v>
      </c>
    </row>
    <row r="3" spans="1:13">
      <c r="A3" t="s">
        <v>46</v>
      </c>
      <c r="B3" t="s">
        <v>1</v>
      </c>
      <c r="C3" t="s">
        <v>47</v>
      </c>
      <c r="D3" t="s">
        <v>3</v>
      </c>
      <c r="E3" t="s">
        <v>4</v>
      </c>
      <c r="F3" t="s">
        <v>48</v>
      </c>
      <c r="G3" t="s">
        <v>6</v>
      </c>
      <c r="H3" t="s">
        <v>7</v>
      </c>
      <c r="I3" t="s">
        <v>8</v>
      </c>
      <c r="J3" t="s">
        <v>10</v>
      </c>
      <c r="K3" t="s">
        <v>11</v>
      </c>
      <c r="L3" t="s">
        <v>12</v>
      </c>
      <c r="M3" t="s">
        <v>13</v>
      </c>
    </row>
    <row r="4" spans="1:13">
      <c r="A4">
        <v>106</v>
      </c>
      <c r="B4" t="s">
        <v>21</v>
      </c>
      <c r="C4">
        <v>2564.6</v>
      </c>
      <c r="D4">
        <v>2564.6</v>
      </c>
      <c r="E4">
        <v>2974.9359999999997</v>
      </c>
      <c r="F4">
        <v>2564.6</v>
      </c>
      <c r="G4">
        <v>2564.6</v>
      </c>
      <c r="H4">
        <v>2974.9359999999997</v>
      </c>
      <c r="I4">
        <v>0</v>
      </c>
      <c r="J4" s="14">
        <v>46072</v>
      </c>
      <c r="K4" s="14">
        <v>46042</v>
      </c>
      <c r="L4">
        <v>1</v>
      </c>
      <c r="M4">
        <v>2026</v>
      </c>
    </row>
    <row r="5" spans="1:13">
      <c r="A5">
        <v>102</v>
      </c>
      <c r="B5" t="s">
        <v>21</v>
      </c>
      <c r="C5">
        <v>24150.73</v>
      </c>
      <c r="D5">
        <v>24150.73</v>
      </c>
      <c r="E5">
        <v>28014.846799999999</v>
      </c>
      <c r="F5">
        <v>20280</v>
      </c>
      <c r="G5">
        <v>20280</v>
      </c>
      <c r="H5">
        <v>23524.799999999999</v>
      </c>
      <c r="I5">
        <v>4490.0468000000001</v>
      </c>
      <c r="J5" s="14">
        <v>46068</v>
      </c>
      <c r="K5" s="14">
        <v>46038</v>
      </c>
      <c r="L5">
        <v>1</v>
      </c>
      <c r="M5">
        <v>2026</v>
      </c>
    </row>
    <row r="6" spans="1:13">
      <c r="A6">
        <v>101</v>
      </c>
      <c r="B6" t="s">
        <v>21</v>
      </c>
      <c r="C6">
        <v>4472.8100000000004</v>
      </c>
      <c r="D6">
        <v>4472.8100000000004</v>
      </c>
      <c r="E6">
        <v>5188.4596000000001</v>
      </c>
      <c r="F6">
        <v>4472.8100000000004</v>
      </c>
      <c r="G6">
        <v>4472.8100000000004</v>
      </c>
      <c r="H6">
        <v>5188.4596000000001</v>
      </c>
      <c r="I6">
        <v>0</v>
      </c>
      <c r="J6" s="14">
        <v>46073</v>
      </c>
      <c r="K6" s="14">
        <v>46043</v>
      </c>
      <c r="L6">
        <v>1</v>
      </c>
      <c r="M6">
        <v>2026</v>
      </c>
    </row>
    <row r="7" spans="1:13">
      <c r="A7">
        <v>96</v>
      </c>
      <c r="B7" t="s">
        <v>21</v>
      </c>
      <c r="C7">
        <v>6563.4</v>
      </c>
      <c r="D7">
        <v>6563.4</v>
      </c>
      <c r="E7">
        <v>7613.543999999999</v>
      </c>
      <c r="F7">
        <v>6497.68</v>
      </c>
      <c r="G7">
        <v>6497.68</v>
      </c>
      <c r="H7">
        <v>7537.3087999999998</v>
      </c>
      <c r="I7" s="21">
        <v>76.235199999999168</v>
      </c>
      <c r="J7" s="14">
        <v>46053</v>
      </c>
      <c r="K7" s="14">
        <v>46023</v>
      </c>
      <c r="L7">
        <v>1</v>
      </c>
      <c r="M7">
        <v>2026</v>
      </c>
    </row>
    <row r="8" spans="1:13">
      <c r="A8">
        <v>95</v>
      </c>
      <c r="B8" t="s">
        <v>21</v>
      </c>
      <c r="C8">
        <v>0</v>
      </c>
      <c r="D8">
        <v>0</v>
      </c>
      <c r="E8">
        <v>0</v>
      </c>
      <c r="F8">
        <v>985.79</v>
      </c>
      <c r="G8">
        <v>985.79</v>
      </c>
      <c r="H8">
        <v>1143.5164</v>
      </c>
      <c r="I8">
        <v>0</v>
      </c>
      <c r="J8" s="14">
        <v>46064</v>
      </c>
      <c r="K8" s="14">
        <v>46034</v>
      </c>
      <c r="L8">
        <v>1</v>
      </c>
      <c r="M8">
        <v>2026</v>
      </c>
    </row>
    <row r="9" spans="1:13">
      <c r="A9">
        <v>92</v>
      </c>
      <c r="B9" t="s">
        <v>21</v>
      </c>
      <c r="C9">
        <v>0</v>
      </c>
      <c r="D9">
        <v>0</v>
      </c>
      <c r="E9">
        <v>0</v>
      </c>
      <c r="F9">
        <v>835.53</v>
      </c>
      <c r="G9">
        <v>835.53</v>
      </c>
      <c r="H9">
        <v>969.21479999999985</v>
      </c>
      <c r="I9">
        <v>0</v>
      </c>
      <c r="J9" s="14">
        <v>46059</v>
      </c>
      <c r="K9" s="14">
        <v>46029</v>
      </c>
      <c r="L9">
        <v>1</v>
      </c>
      <c r="M9">
        <v>2026</v>
      </c>
    </row>
    <row r="10" spans="1:13">
      <c r="A10">
        <v>91</v>
      </c>
      <c r="B10" t="s">
        <v>21</v>
      </c>
      <c r="C10">
        <v>2967.08</v>
      </c>
      <c r="D10">
        <v>2967.08</v>
      </c>
      <c r="E10">
        <v>3441.8127999999997</v>
      </c>
      <c r="F10">
        <v>3209.6</v>
      </c>
      <c r="G10">
        <v>3209.6</v>
      </c>
      <c r="H10">
        <v>3723.1359999999995</v>
      </c>
      <c r="I10">
        <v>0</v>
      </c>
      <c r="J10" s="14">
        <v>46072</v>
      </c>
      <c r="K10" s="14">
        <v>46042</v>
      </c>
      <c r="L10">
        <v>1</v>
      </c>
      <c r="M10">
        <v>2026</v>
      </c>
    </row>
    <row r="11" spans="1:13">
      <c r="A11">
        <v>86</v>
      </c>
      <c r="B11" t="s">
        <v>21</v>
      </c>
      <c r="C11">
        <v>6070.08</v>
      </c>
      <c r="D11">
        <v>6070.08</v>
      </c>
      <c r="E11">
        <v>7041.2927999999993</v>
      </c>
      <c r="F11">
        <v>5993.46</v>
      </c>
      <c r="G11">
        <v>5993.46</v>
      </c>
      <c r="H11">
        <v>6952.4135999999999</v>
      </c>
      <c r="I11" s="21">
        <v>88.8791999999994</v>
      </c>
      <c r="J11" s="14">
        <v>46061</v>
      </c>
      <c r="K11" s="14">
        <v>46031</v>
      </c>
      <c r="L11">
        <v>1</v>
      </c>
      <c r="M11">
        <v>2026</v>
      </c>
    </row>
    <row r="12" spans="1:13">
      <c r="A12">
        <v>67</v>
      </c>
      <c r="B12" t="s">
        <v>21</v>
      </c>
      <c r="C12">
        <v>12433.44</v>
      </c>
      <c r="D12">
        <v>12433.44</v>
      </c>
      <c r="E12">
        <v>14422.7904</v>
      </c>
      <c r="F12">
        <v>6018</v>
      </c>
      <c r="G12">
        <v>6018</v>
      </c>
      <c r="H12">
        <v>6980.8799999999992</v>
      </c>
      <c r="I12" s="21">
        <v>7528.9104000000007</v>
      </c>
      <c r="J12" s="14">
        <v>46074</v>
      </c>
      <c r="K12" s="14">
        <v>46044</v>
      </c>
      <c r="L12">
        <v>1</v>
      </c>
      <c r="M12">
        <v>2026</v>
      </c>
    </row>
    <row r="16" spans="1:13">
      <c r="E16">
        <f>+D5*1.16</f>
        <v>28014.846799999999</v>
      </c>
      <c r="H16" t="s">
        <v>49</v>
      </c>
      <c r="I16">
        <v>203.44</v>
      </c>
    </row>
    <row r="17" spans="8:11">
      <c r="H17" t="s">
        <v>14</v>
      </c>
      <c r="I17">
        <f>+I16*1.16</f>
        <v>235.99039999999999</v>
      </c>
    </row>
    <row r="18" spans="8:11">
      <c r="H18" t="s">
        <v>14</v>
      </c>
      <c r="I18">
        <v>241</v>
      </c>
    </row>
    <row r="19" spans="8:11">
      <c r="H19" t="s">
        <v>14</v>
      </c>
    </row>
    <row r="20" spans="8:11">
      <c r="H20" t="s">
        <v>14</v>
      </c>
      <c r="I20">
        <v>444.44</v>
      </c>
    </row>
    <row r="23" spans="8:11">
      <c r="H23" t="s">
        <v>49</v>
      </c>
      <c r="I23">
        <v>7410</v>
      </c>
    </row>
    <row r="24" spans="8:11">
      <c r="I24">
        <f>250*1.16</f>
        <v>290</v>
      </c>
    </row>
    <row r="25" spans="8:11">
      <c r="I25" s="18">
        <f>SUM(I23:I24)</f>
        <v>7700</v>
      </c>
    </row>
    <row r="31" spans="8:11">
      <c r="H31">
        <v>65.72</v>
      </c>
    </row>
    <row r="32" spans="8:11">
      <c r="H32" s="21">
        <f>+H31*1.16</f>
        <v>76.235199999999992</v>
      </c>
      <c r="K32">
        <f>20280*1.16</f>
        <v>23524.799999999999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C414-AEAB-4558-8B9C-43E4DBAC17A9}">
  <dimension ref="A1:M12"/>
  <sheetViews>
    <sheetView workbookViewId="0">
      <selection activeCell="G24" sqref="G24"/>
    </sheetView>
  </sheetViews>
  <sheetFormatPr defaultRowHeight="12.75"/>
  <cols>
    <col min="1" max="1" width="13.7109375" bestFit="1" customWidth="1"/>
    <col min="2" max="2" width="13.5703125" bestFit="1" customWidth="1"/>
    <col min="3" max="3" width="16.7109375" bestFit="1" customWidth="1"/>
    <col min="4" max="4" width="19.140625" bestFit="1" customWidth="1"/>
    <col min="5" max="5" width="19.7109375" bestFit="1" customWidth="1"/>
    <col min="6" max="6" width="20.28515625" bestFit="1" customWidth="1"/>
    <col min="7" max="7" width="18.7109375" bestFit="1" customWidth="1"/>
    <col min="8" max="8" width="19.140625" bestFit="1" customWidth="1"/>
    <col min="9" max="9" width="25.28515625" bestFit="1" customWidth="1"/>
    <col min="10" max="10" width="17.42578125" bestFit="1" customWidth="1"/>
    <col min="11" max="11" width="29.85546875" bestFit="1" customWidth="1"/>
    <col min="12" max="12" width="22.7109375" bestFit="1" customWidth="1"/>
    <col min="13" max="13" width="22.28515625" bestFit="1" customWidth="1"/>
  </cols>
  <sheetData>
    <row r="1" spans="1:13">
      <c r="A1" s="18" t="s">
        <v>50</v>
      </c>
    </row>
    <row r="3" spans="1:13">
      <c r="A3" t="s">
        <v>46</v>
      </c>
      <c r="B3" t="s">
        <v>1</v>
      </c>
      <c r="C3" t="s">
        <v>47</v>
      </c>
      <c r="D3" t="s">
        <v>3</v>
      </c>
      <c r="E3" t="s">
        <v>4</v>
      </c>
      <c r="F3" t="s">
        <v>48</v>
      </c>
      <c r="G3" t="s">
        <v>6</v>
      </c>
      <c r="H3" t="s">
        <v>7</v>
      </c>
      <c r="I3" t="s">
        <v>8</v>
      </c>
      <c r="J3" t="s">
        <v>10</v>
      </c>
      <c r="K3" t="s">
        <v>11</v>
      </c>
      <c r="L3" t="s">
        <v>12</v>
      </c>
      <c r="M3" t="s">
        <v>13</v>
      </c>
    </row>
    <row r="4" spans="1:13">
      <c r="A4">
        <v>106</v>
      </c>
      <c r="B4" t="s">
        <v>21</v>
      </c>
      <c r="C4">
        <v>2974.9359999999997</v>
      </c>
      <c r="D4">
        <v>2974.9359999999997</v>
      </c>
      <c r="E4">
        <v>3450.9257599999996</v>
      </c>
      <c r="F4">
        <v>2564.6</v>
      </c>
      <c r="G4">
        <v>2564.6</v>
      </c>
      <c r="H4">
        <v>2974.9359999999997</v>
      </c>
      <c r="I4">
        <v>475.98975999999993</v>
      </c>
      <c r="J4" s="14">
        <v>46072</v>
      </c>
      <c r="K4" s="14">
        <v>46042</v>
      </c>
      <c r="L4">
        <v>1</v>
      </c>
      <c r="M4">
        <v>2026</v>
      </c>
    </row>
    <row r="5" spans="1:13">
      <c r="A5">
        <v>102</v>
      </c>
      <c r="B5" t="s">
        <v>21</v>
      </c>
      <c r="C5">
        <v>28014.846799999999</v>
      </c>
      <c r="D5">
        <v>28014.846799999999</v>
      </c>
      <c r="E5">
        <v>32497.222287999997</v>
      </c>
      <c r="F5">
        <v>22248.880000000001</v>
      </c>
      <c r="G5">
        <v>22248.880000000001</v>
      </c>
      <c r="H5">
        <v>25808.700799999999</v>
      </c>
      <c r="I5">
        <v>6688.5214879999985</v>
      </c>
      <c r="J5" s="14">
        <v>46068</v>
      </c>
      <c r="K5" s="14">
        <v>46038</v>
      </c>
      <c r="L5">
        <v>1</v>
      </c>
      <c r="M5">
        <v>2026</v>
      </c>
    </row>
    <row r="6" spans="1:13">
      <c r="A6">
        <v>101</v>
      </c>
      <c r="B6" t="s">
        <v>21</v>
      </c>
      <c r="C6">
        <v>5188.4596000000001</v>
      </c>
      <c r="D6">
        <v>5188.4596000000001</v>
      </c>
      <c r="E6">
        <v>6018.6131359999999</v>
      </c>
      <c r="F6">
        <v>4472.8100000000004</v>
      </c>
      <c r="G6">
        <v>4472.8100000000004</v>
      </c>
      <c r="H6">
        <v>5188.4596000000001</v>
      </c>
      <c r="I6">
        <v>830.1535359999998</v>
      </c>
      <c r="J6" s="14">
        <v>46073</v>
      </c>
      <c r="K6" s="14">
        <v>46043</v>
      </c>
      <c r="L6">
        <v>1</v>
      </c>
      <c r="M6">
        <v>2026</v>
      </c>
    </row>
    <row r="7" spans="1:13">
      <c r="A7">
        <v>96</v>
      </c>
      <c r="B7" t="s">
        <v>21</v>
      </c>
      <c r="C7">
        <v>7613.543999999999</v>
      </c>
      <c r="D7">
        <v>7613.543999999999</v>
      </c>
      <c r="E7">
        <v>8831.7110399999983</v>
      </c>
      <c r="F7">
        <v>6497.68</v>
      </c>
      <c r="G7">
        <v>6497.68</v>
      </c>
      <c r="H7">
        <v>7537.3087999999998</v>
      </c>
      <c r="I7">
        <v>1294.4022399999985</v>
      </c>
      <c r="J7" s="14">
        <v>46053</v>
      </c>
      <c r="K7" s="14">
        <v>46023</v>
      </c>
      <c r="L7">
        <v>1</v>
      </c>
      <c r="M7">
        <v>2026</v>
      </c>
    </row>
    <row r="8" spans="1:13">
      <c r="A8">
        <v>95</v>
      </c>
      <c r="B8" t="s">
        <v>21</v>
      </c>
      <c r="C8">
        <v>0</v>
      </c>
      <c r="D8">
        <v>0</v>
      </c>
      <c r="E8">
        <v>0</v>
      </c>
      <c r="F8">
        <v>985.79</v>
      </c>
      <c r="G8">
        <v>985.79</v>
      </c>
      <c r="H8">
        <v>1143.5164</v>
      </c>
      <c r="I8">
        <v>0</v>
      </c>
      <c r="J8" s="14">
        <v>46064</v>
      </c>
      <c r="K8" s="14">
        <v>46034</v>
      </c>
      <c r="L8">
        <v>1</v>
      </c>
      <c r="M8">
        <v>2026</v>
      </c>
    </row>
    <row r="9" spans="1:13">
      <c r="A9">
        <v>92</v>
      </c>
      <c r="B9" t="s">
        <v>21</v>
      </c>
      <c r="C9">
        <v>0</v>
      </c>
      <c r="D9">
        <v>0</v>
      </c>
      <c r="E9">
        <v>0</v>
      </c>
      <c r="F9">
        <v>835.53</v>
      </c>
      <c r="G9">
        <v>835.53</v>
      </c>
      <c r="H9">
        <v>969.21479999999985</v>
      </c>
      <c r="I9">
        <v>0</v>
      </c>
      <c r="J9" s="14">
        <v>46059</v>
      </c>
      <c r="K9" s="14">
        <v>46029</v>
      </c>
      <c r="L9">
        <v>1</v>
      </c>
      <c r="M9">
        <v>2026</v>
      </c>
    </row>
    <row r="10" spans="1:13">
      <c r="A10">
        <v>91</v>
      </c>
      <c r="B10" t="s">
        <v>21</v>
      </c>
      <c r="C10">
        <v>3441.8127999999997</v>
      </c>
      <c r="D10">
        <v>3441.8127999999997</v>
      </c>
      <c r="E10">
        <v>3992.5028479999992</v>
      </c>
      <c r="F10">
        <v>3209.6</v>
      </c>
      <c r="G10">
        <v>3209.6</v>
      </c>
      <c r="H10">
        <v>3723.1359999999995</v>
      </c>
      <c r="I10">
        <v>550.69004799999971</v>
      </c>
      <c r="J10" s="14">
        <v>46072</v>
      </c>
      <c r="K10" s="14">
        <v>46042</v>
      </c>
      <c r="L10">
        <v>1</v>
      </c>
      <c r="M10">
        <v>2026</v>
      </c>
    </row>
    <row r="11" spans="1:13">
      <c r="A11">
        <v>86</v>
      </c>
      <c r="B11" t="s">
        <v>21</v>
      </c>
      <c r="C11">
        <v>7041.2927999999993</v>
      </c>
      <c r="D11">
        <v>7041.2927999999993</v>
      </c>
      <c r="E11">
        <v>8167.8996479999987</v>
      </c>
      <c r="F11">
        <v>5993.46</v>
      </c>
      <c r="G11">
        <v>5993.46</v>
      </c>
      <c r="H11">
        <v>6952.4135999999999</v>
      </c>
      <c r="I11">
        <v>1215.4860479999988</v>
      </c>
      <c r="J11" s="14">
        <v>46061</v>
      </c>
      <c r="K11" s="14">
        <v>46031</v>
      </c>
      <c r="L11">
        <v>1</v>
      </c>
      <c r="M11">
        <v>2026</v>
      </c>
    </row>
    <row r="12" spans="1:13">
      <c r="A12">
        <v>67</v>
      </c>
      <c r="B12" t="s">
        <v>21</v>
      </c>
      <c r="C12">
        <v>14422.7904</v>
      </c>
      <c r="D12">
        <v>14422.7904</v>
      </c>
      <c r="E12">
        <v>16730.436863999999</v>
      </c>
      <c r="F12">
        <v>6018</v>
      </c>
      <c r="G12">
        <v>6018</v>
      </c>
      <c r="H12">
        <v>6980.8799999999992</v>
      </c>
      <c r="I12">
        <v>9836.5568640000001</v>
      </c>
      <c r="J12" s="14">
        <v>46074</v>
      </c>
      <c r="K12" s="14">
        <v>46044</v>
      </c>
      <c r="L12">
        <v>1</v>
      </c>
      <c r="M12">
        <v>2026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527E-6A4E-4175-A254-2C15676ED6C0}">
  <dimension ref="A2:V5"/>
  <sheetViews>
    <sheetView workbookViewId="0">
      <selection activeCell="I27" sqref="I27"/>
    </sheetView>
  </sheetViews>
  <sheetFormatPr defaultRowHeight="12.75"/>
  <cols>
    <col min="1" max="1" width="36.85546875" bestFit="1" customWidth="1"/>
    <col min="2" max="11" width="22.7109375" bestFit="1" customWidth="1"/>
    <col min="12" max="12" width="10.140625" bestFit="1" customWidth="1"/>
    <col min="13" max="20" width="9" bestFit="1" customWidth="1"/>
    <col min="21" max="21" width="10.140625" bestFit="1" customWidth="1"/>
    <col min="22" max="22" width="11.7109375" bestFit="1" customWidth="1"/>
    <col min="23" max="38" width="36.140625" bestFit="1" customWidth="1"/>
    <col min="39" max="39" width="37" bestFit="1" customWidth="1"/>
    <col min="40" max="40" width="40.85546875" bestFit="1" customWidth="1"/>
    <col min="41" max="41" width="37.5703125" bestFit="1" customWidth="1"/>
    <col min="42" max="42" width="41.42578125" bestFit="1" customWidth="1"/>
    <col min="43" max="43" width="10.7109375" bestFit="1" customWidth="1"/>
    <col min="44" max="45" width="10.42578125" bestFit="1" customWidth="1"/>
    <col min="46" max="46" width="11.7109375" bestFit="1" customWidth="1"/>
    <col min="47" max="47" width="10.7109375" bestFit="1" customWidth="1"/>
    <col min="48" max="50" width="10.42578125" bestFit="1" customWidth="1"/>
    <col min="51" max="51" width="10.7109375" bestFit="1" customWidth="1"/>
    <col min="52" max="79" width="10.42578125" bestFit="1" customWidth="1"/>
    <col min="80" max="80" width="11" bestFit="1" customWidth="1"/>
    <col min="81" max="82" width="12.7109375" bestFit="1" customWidth="1"/>
    <col min="83" max="85" width="10.42578125" bestFit="1" customWidth="1"/>
    <col min="86" max="86" width="10.7109375" bestFit="1" customWidth="1"/>
    <col min="87" max="90" width="10.42578125" bestFit="1" customWidth="1"/>
    <col min="91" max="91" width="11.7109375" bestFit="1" customWidth="1"/>
    <col min="92" max="92" width="12.85546875" bestFit="1" customWidth="1"/>
    <col min="93" max="93" width="16.140625" bestFit="1" customWidth="1"/>
    <col min="94" max="94" width="12.7109375" bestFit="1" customWidth="1"/>
    <col min="95" max="95" width="15.5703125" bestFit="1" customWidth="1"/>
    <col min="96" max="96" width="12.28515625" bestFit="1" customWidth="1"/>
    <col min="97" max="97" width="15.5703125" bestFit="1" customWidth="1"/>
    <col min="98" max="98" width="12.28515625" bestFit="1" customWidth="1"/>
    <col min="99" max="99" width="15.5703125" bestFit="1" customWidth="1"/>
    <col min="100" max="100" width="12.28515625" bestFit="1" customWidth="1"/>
    <col min="101" max="101" width="15.5703125" bestFit="1" customWidth="1"/>
    <col min="102" max="102" width="12.28515625" bestFit="1" customWidth="1"/>
    <col min="103" max="103" width="15.5703125" bestFit="1" customWidth="1"/>
    <col min="104" max="104" width="12.28515625" bestFit="1" customWidth="1"/>
    <col min="105" max="105" width="15.5703125" bestFit="1" customWidth="1"/>
    <col min="106" max="106" width="12.28515625" bestFit="1" customWidth="1"/>
    <col min="107" max="107" width="15.5703125" bestFit="1" customWidth="1"/>
    <col min="108" max="108" width="12.28515625" bestFit="1" customWidth="1"/>
    <col min="109" max="109" width="15.5703125" bestFit="1" customWidth="1"/>
    <col min="110" max="110" width="12.28515625" bestFit="1" customWidth="1"/>
    <col min="111" max="111" width="15.5703125" bestFit="1" customWidth="1"/>
    <col min="112" max="112" width="12.28515625" bestFit="1" customWidth="1"/>
    <col min="113" max="113" width="15.5703125" bestFit="1" customWidth="1"/>
    <col min="114" max="114" width="12.28515625" bestFit="1" customWidth="1"/>
    <col min="115" max="115" width="15.5703125" bestFit="1" customWidth="1"/>
    <col min="116" max="116" width="12.28515625" bestFit="1" customWidth="1"/>
    <col min="117" max="117" width="15.5703125" bestFit="1" customWidth="1"/>
    <col min="118" max="118" width="12.28515625" bestFit="1" customWidth="1"/>
    <col min="119" max="119" width="15.5703125" bestFit="1" customWidth="1"/>
    <col min="120" max="120" width="12.28515625" bestFit="1" customWidth="1"/>
    <col min="121" max="121" width="15.5703125" bestFit="1" customWidth="1"/>
    <col min="122" max="122" width="12.28515625" bestFit="1" customWidth="1"/>
    <col min="123" max="123" width="15.5703125" bestFit="1" customWidth="1"/>
    <col min="124" max="124" width="12.28515625" bestFit="1" customWidth="1"/>
    <col min="125" max="125" width="15.5703125" bestFit="1" customWidth="1"/>
    <col min="126" max="126" width="12.28515625" bestFit="1" customWidth="1"/>
    <col min="127" max="127" width="15.5703125" bestFit="1" customWidth="1"/>
    <col min="128" max="128" width="12.28515625" bestFit="1" customWidth="1"/>
    <col min="129" max="129" width="15.5703125" bestFit="1" customWidth="1"/>
    <col min="130" max="130" width="12.28515625" bestFit="1" customWidth="1"/>
    <col min="131" max="131" width="15.5703125" bestFit="1" customWidth="1"/>
    <col min="132" max="132" width="12.28515625" bestFit="1" customWidth="1"/>
    <col min="133" max="133" width="15.5703125" bestFit="1" customWidth="1"/>
    <col min="134" max="134" width="12.28515625" bestFit="1" customWidth="1"/>
    <col min="135" max="135" width="15.5703125" bestFit="1" customWidth="1"/>
    <col min="136" max="136" width="12.28515625" bestFit="1" customWidth="1"/>
    <col min="137" max="137" width="15.5703125" bestFit="1" customWidth="1"/>
    <col min="138" max="138" width="12.28515625" bestFit="1" customWidth="1"/>
    <col min="139" max="139" width="15.5703125" bestFit="1" customWidth="1"/>
    <col min="140" max="140" width="12.28515625" bestFit="1" customWidth="1"/>
    <col min="141" max="141" width="15.5703125" bestFit="1" customWidth="1"/>
    <col min="142" max="142" width="12.28515625" bestFit="1" customWidth="1"/>
    <col min="143" max="143" width="15.5703125" bestFit="1" customWidth="1"/>
    <col min="144" max="144" width="12.28515625" bestFit="1" customWidth="1"/>
    <col min="145" max="145" width="15.5703125" bestFit="1" customWidth="1"/>
    <col min="146" max="146" width="12.28515625" bestFit="1" customWidth="1"/>
    <col min="147" max="147" width="15.5703125" bestFit="1" customWidth="1"/>
    <col min="148" max="148" width="12.28515625" bestFit="1" customWidth="1"/>
    <col min="149" max="149" width="15.5703125" bestFit="1" customWidth="1"/>
    <col min="150" max="150" width="12.28515625" bestFit="1" customWidth="1"/>
    <col min="151" max="151" width="15.5703125" bestFit="1" customWidth="1"/>
    <col min="152" max="152" width="12.28515625" bestFit="1" customWidth="1"/>
    <col min="153" max="153" width="15.5703125" bestFit="1" customWidth="1"/>
    <col min="154" max="154" width="12.28515625" bestFit="1" customWidth="1"/>
    <col min="155" max="155" width="15.5703125" bestFit="1" customWidth="1"/>
    <col min="156" max="156" width="12.28515625" bestFit="1" customWidth="1"/>
    <col min="157" max="157" width="15.5703125" bestFit="1" customWidth="1"/>
    <col min="158" max="158" width="12.85546875" bestFit="1" customWidth="1"/>
    <col min="159" max="159" width="16.140625" bestFit="1" customWidth="1"/>
    <col min="160" max="160" width="12.7109375" bestFit="1" customWidth="1"/>
    <col min="161" max="161" width="8.140625" bestFit="1" customWidth="1"/>
    <col min="162" max="162" width="15.5703125" bestFit="1" customWidth="1"/>
    <col min="163" max="163" width="12.28515625" bestFit="1" customWidth="1"/>
    <col min="164" max="164" width="7.140625" bestFit="1" customWidth="1"/>
    <col min="165" max="165" width="15.5703125" bestFit="1" customWidth="1"/>
    <col min="166" max="166" width="12.28515625" bestFit="1" customWidth="1"/>
    <col min="167" max="167" width="7.140625" bestFit="1" customWidth="1"/>
    <col min="168" max="168" width="15.5703125" bestFit="1" customWidth="1"/>
    <col min="169" max="169" width="12.28515625" bestFit="1" customWidth="1"/>
    <col min="170" max="170" width="7.140625" bestFit="1" customWidth="1"/>
    <col min="171" max="171" width="15.5703125" bestFit="1" customWidth="1"/>
    <col min="172" max="172" width="12.28515625" bestFit="1" customWidth="1"/>
    <col min="173" max="173" width="7.140625" bestFit="1" customWidth="1"/>
    <col min="174" max="174" width="15.5703125" bestFit="1" customWidth="1"/>
    <col min="175" max="175" width="12.28515625" bestFit="1" customWidth="1"/>
    <col min="176" max="176" width="7.140625" bestFit="1" customWidth="1"/>
    <col min="177" max="177" width="15.5703125" bestFit="1" customWidth="1"/>
    <col min="178" max="178" width="12.28515625" bestFit="1" customWidth="1"/>
    <col min="179" max="179" width="7.140625" bestFit="1" customWidth="1"/>
    <col min="180" max="180" width="15.5703125" bestFit="1" customWidth="1"/>
    <col min="181" max="181" width="12.28515625" bestFit="1" customWidth="1"/>
    <col min="182" max="182" width="7.140625" bestFit="1" customWidth="1"/>
    <col min="183" max="183" width="15.5703125" bestFit="1" customWidth="1"/>
    <col min="184" max="184" width="12.28515625" bestFit="1" customWidth="1"/>
    <col min="185" max="185" width="7.140625" bestFit="1" customWidth="1"/>
    <col min="186" max="186" width="15.5703125" bestFit="1" customWidth="1"/>
    <col min="187" max="187" width="12.28515625" bestFit="1" customWidth="1"/>
    <col min="188" max="188" width="7.140625" bestFit="1" customWidth="1"/>
    <col min="189" max="189" width="15.5703125" bestFit="1" customWidth="1"/>
    <col min="190" max="190" width="12.28515625" bestFit="1" customWidth="1"/>
    <col min="191" max="191" width="7.140625" bestFit="1" customWidth="1"/>
    <col min="192" max="192" width="15.5703125" bestFit="1" customWidth="1"/>
    <col min="193" max="193" width="12.28515625" bestFit="1" customWidth="1"/>
    <col min="194" max="194" width="7.140625" bestFit="1" customWidth="1"/>
    <col min="195" max="195" width="15.5703125" bestFit="1" customWidth="1"/>
    <col min="196" max="196" width="12.28515625" bestFit="1" customWidth="1"/>
    <col min="197" max="197" width="7.140625" bestFit="1" customWidth="1"/>
    <col min="198" max="198" width="15.5703125" bestFit="1" customWidth="1"/>
    <col min="199" max="199" width="12.28515625" bestFit="1" customWidth="1"/>
    <col min="200" max="200" width="7.140625" bestFit="1" customWidth="1"/>
    <col min="201" max="201" width="15.5703125" bestFit="1" customWidth="1"/>
    <col min="202" max="202" width="12.28515625" bestFit="1" customWidth="1"/>
    <col min="203" max="203" width="7.140625" bestFit="1" customWidth="1"/>
    <col min="204" max="204" width="15.5703125" bestFit="1" customWidth="1"/>
    <col min="205" max="205" width="12.28515625" bestFit="1" customWidth="1"/>
    <col min="206" max="206" width="7.140625" bestFit="1" customWidth="1"/>
    <col min="207" max="207" width="15.5703125" bestFit="1" customWidth="1"/>
    <col min="208" max="208" width="12.28515625" bestFit="1" customWidth="1"/>
    <col min="209" max="209" width="7.140625" bestFit="1" customWidth="1"/>
    <col min="210" max="210" width="15.5703125" bestFit="1" customWidth="1"/>
    <col min="211" max="211" width="12.28515625" bestFit="1" customWidth="1"/>
    <col min="212" max="212" width="7.140625" bestFit="1" customWidth="1"/>
    <col min="213" max="213" width="15.5703125" bestFit="1" customWidth="1"/>
    <col min="214" max="214" width="12.28515625" bestFit="1" customWidth="1"/>
    <col min="215" max="215" width="7.140625" bestFit="1" customWidth="1"/>
    <col min="216" max="216" width="15.5703125" bestFit="1" customWidth="1"/>
    <col min="217" max="217" width="12.28515625" bestFit="1" customWidth="1"/>
    <col min="218" max="218" width="7.140625" bestFit="1" customWidth="1"/>
    <col min="219" max="219" width="15.5703125" bestFit="1" customWidth="1"/>
    <col min="220" max="220" width="12.28515625" bestFit="1" customWidth="1"/>
    <col min="221" max="221" width="7.140625" bestFit="1" customWidth="1"/>
    <col min="222" max="222" width="15.5703125" bestFit="1" customWidth="1"/>
    <col min="223" max="223" width="12.28515625" bestFit="1" customWidth="1"/>
    <col min="224" max="224" width="7.140625" bestFit="1" customWidth="1"/>
    <col min="225" max="225" width="15.5703125" bestFit="1" customWidth="1"/>
    <col min="226" max="226" width="12.28515625" bestFit="1" customWidth="1"/>
    <col min="227" max="227" width="7.140625" bestFit="1" customWidth="1"/>
    <col min="228" max="228" width="15.5703125" bestFit="1" customWidth="1"/>
    <col min="229" max="229" width="12.28515625" bestFit="1" customWidth="1"/>
    <col min="230" max="230" width="7.140625" bestFit="1" customWidth="1"/>
    <col min="231" max="231" width="15.5703125" bestFit="1" customWidth="1"/>
    <col min="232" max="232" width="12.28515625" bestFit="1" customWidth="1"/>
    <col min="233" max="233" width="7.140625" bestFit="1" customWidth="1"/>
    <col min="234" max="234" width="15.5703125" bestFit="1" customWidth="1"/>
    <col min="235" max="235" width="12.85546875" bestFit="1" customWidth="1"/>
    <col min="236" max="237" width="16.140625" bestFit="1" customWidth="1"/>
    <col min="238" max="238" width="12.7109375" bestFit="1" customWidth="1"/>
  </cols>
  <sheetData>
    <row r="2" spans="1:22">
      <c r="B2" s="17" t="s">
        <v>13</v>
      </c>
      <c r="C2" s="17" t="s">
        <v>12</v>
      </c>
    </row>
    <row r="3" spans="1:22">
      <c r="B3">
        <v>2025</v>
      </c>
      <c r="L3" t="s">
        <v>51</v>
      </c>
      <c r="M3">
        <v>2026</v>
      </c>
      <c r="U3" t="s">
        <v>52</v>
      </c>
      <c r="V3" t="s">
        <v>53</v>
      </c>
    </row>
    <row r="4" spans="1:22"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>
        <v>9</v>
      </c>
      <c r="I4">
        <v>10</v>
      </c>
      <c r="J4">
        <v>11</v>
      </c>
      <c r="K4">
        <v>12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8</v>
      </c>
      <c r="T4">
        <v>9</v>
      </c>
    </row>
    <row r="5" spans="1:22">
      <c r="A5" t="s">
        <v>54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281.99600000000675</v>
      </c>
      <c r="K5" s="19">
        <v>0</v>
      </c>
      <c r="L5" s="20">
        <v>281.99600000000675</v>
      </c>
      <c r="M5" s="19">
        <v>1230.5047999999977</v>
      </c>
      <c r="N5" s="19">
        <v>0</v>
      </c>
      <c r="O5" s="19">
        <v>286.05599999999936</v>
      </c>
      <c r="P5" s="19">
        <v>0</v>
      </c>
      <c r="Q5" s="19">
        <v>259.31799999999913</v>
      </c>
      <c r="R5" s="19">
        <v>302.41199999999873</v>
      </c>
      <c r="S5" s="19">
        <v>302.41199999999975</v>
      </c>
      <c r="T5" s="19">
        <v>15001.189599999998</v>
      </c>
      <c r="U5" s="20">
        <v>17381.892399999993</v>
      </c>
      <c r="V5" s="20">
        <v>17663.8884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6"/>
  <sheetViews>
    <sheetView showGridLines="0" topLeftCell="F1" workbookViewId="0">
      <selection activeCell="A4" sqref="A4"/>
    </sheetView>
  </sheetViews>
  <sheetFormatPr defaultColWidth="12.7109375" defaultRowHeight="15" customHeight="1"/>
  <sheetData>
    <row r="1" spans="1:23" ht="15" customHeight="1">
      <c r="A1" s="30"/>
      <c r="B1" s="31" t="s">
        <v>13</v>
      </c>
      <c r="C1" s="32" t="s">
        <v>12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4"/>
    </row>
    <row r="2" spans="1:23" ht="15" customHeight="1">
      <c r="A2" s="35"/>
      <c r="B2" s="30">
        <v>2025</v>
      </c>
      <c r="C2" s="33"/>
      <c r="D2" s="33"/>
      <c r="E2" s="33"/>
      <c r="F2" s="33"/>
      <c r="G2" s="33"/>
      <c r="H2" s="33"/>
      <c r="I2" s="33"/>
      <c r="J2" s="33"/>
      <c r="K2" s="33"/>
      <c r="L2" s="30" t="s">
        <v>51</v>
      </c>
      <c r="M2" s="30">
        <v>2026</v>
      </c>
      <c r="N2" s="33"/>
      <c r="O2" s="33"/>
      <c r="P2" s="33"/>
      <c r="Q2" s="33"/>
      <c r="R2" s="33"/>
      <c r="S2" s="33"/>
      <c r="T2" s="33"/>
      <c r="U2" s="30" t="s">
        <v>52</v>
      </c>
      <c r="V2" s="30" t="s">
        <v>55</v>
      </c>
      <c r="W2" s="36" t="s">
        <v>56</v>
      </c>
    </row>
    <row r="3" spans="1:23" ht="15" customHeight="1">
      <c r="A3" s="35"/>
      <c r="B3" s="30">
        <v>3</v>
      </c>
      <c r="C3" s="37">
        <v>4</v>
      </c>
      <c r="D3" s="37">
        <v>5</v>
      </c>
      <c r="E3" s="37">
        <v>6</v>
      </c>
      <c r="F3" s="37">
        <v>7</v>
      </c>
      <c r="G3" s="37">
        <v>8</v>
      </c>
      <c r="H3" s="37">
        <v>9</v>
      </c>
      <c r="I3" s="37">
        <v>10</v>
      </c>
      <c r="J3" s="37">
        <v>11</v>
      </c>
      <c r="K3" s="37">
        <v>12</v>
      </c>
      <c r="L3" s="35"/>
      <c r="M3" s="30">
        <v>1</v>
      </c>
      <c r="N3" s="37">
        <v>2</v>
      </c>
      <c r="O3" s="37">
        <v>3</v>
      </c>
      <c r="P3" s="37">
        <v>4</v>
      </c>
      <c r="Q3" s="37">
        <v>5</v>
      </c>
      <c r="R3" s="37">
        <v>6</v>
      </c>
      <c r="S3" s="37">
        <v>8</v>
      </c>
      <c r="T3" s="37">
        <v>9</v>
      </c>
      <c r="U3" s="35"/>
      <c r="V3" s="35"/>
      <c r="W3" s="38"/>
    </row>
    <row r="4" spans="1:23" ht="15" customHeight="1">
      <c r="A4" s="39" t="s">
        <v>57</v>
      </c>
      <c r="B4" s="40">
        <v>0</v>
      </c>
      <c r="C4" s="41">
        <v>0</v>
      </c>
      <c r="D4" s="41">
        <v>0</v>
      </c>
      <c r="E4" s="41">
        <v>0</v>
      </c>
      <c r="F4" s="41">
        <v>0</v>
      </c>
      <c r="G4" s="41">
        <v>0</v>
      </c>
      <c r="H4" s="41">
        <v>0</v>
      </c>
      <c r="I4" s="41">
        <v>0</v>
      </c>
      <c r="J4" s="41">
        <v>243.10000000000582</v>
      </c>
      <c r="K4" s="41">
        <v>0</v>
      </c>
      <c r="L4" s="40">
        <v>243.10000000000582</v>
      </c>
      <c r="M4" s="40">
        <v>1060.7799999999979</v>
      </c>
      <c r="N4" s="41">
        <v>0</v>
      </c>
      <c r="O4" s="41">
        <v>246.59999999999945</v>
      </c>
      <c r="P4" s="41">
        <v>0</v>
      </c>
      <c r="Q4" s="41">
        <v>223.54999999999927</v>
      </c>
      <c r="R4" s="41">
        <v>260.69999999999891</v>
      </c>
      <c r="S4" s="41">
        <v>260.69999999999982</v>
      </c>
      <c r="T4" s="41">
        <v>12932.06</v>
      </c>
      <c r="U4" s="40">
        <v>14984.389999999996</v>
      </c>
      <c r="V4" s="40"/>
      <c r="W4" s="42">
        <v>15227.490000000002</v>
      </c>
    </row>
    <row r="6" spans="1:23" ht="15" customHeight="1">
      <c r="B6" s="12">
        <f t="shared" ref="B6:Q6" si="0">-B4/1000</f>
        <v>0</v>
      </c>
      <c r="C6" s="12">
        <f t="shared" si="0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-0.24310000000000581</v>
      </c>
      <c r="K6" s="12">
        <f t="shared" si="0"/>
        <v>0</v>
      </c>
      <c r="L6" s="12">
        <f t="shared" si="0"/>
        <v>-0.24310000000000581</v>
      </c>
      <c r="M6" s="12">
        <f t="shared" si="0"/>
        <v>-1.0607799999999978</v>
      </c>
      <c r="N6" s="12">
        <f t="shared" si="0"/>
        <v>0</v>
      </c>
      <c r="O6" s="12">
        <f t="shared" si="0"/>
        <v>-0.24659999999999946</v>
      </c>
      <c r="P6" s="12">
        <f t="shared" si="0"/>
        <v>0</v>
      </c>
      <c r="Q6" s="12">
        <f t="shared" si="0"/>
        <v>-0.22354999999999928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7"/>
  <sheetViews>
    <sheetView showGridLines="0" topLeftCell="K1" workbookViewId="0">
      <selection activeCell="E4" sqref="E4"/>
    </sheetView>
  </sheetViews>
  <sheetFormatPr defaultColWidth="12.7109375" defaultRowHeight="15" customHeight="1"/>
  <sheetData>
    <row r="1" spans="1:23" ht="15" customHeight="1">
      <c r="A1" s="30"/>
      <c r="B1" s="31" t="s">
        <v>44</v>
      </c>
      <c r="C1" s="32" t="s">
        <v>43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4"/>
    </row>
    <row r="2" spans="1:23" ht="15" customHeight="1">
      <c r="A2" s="35"/>
      <c r="B2" s="30">
        <v>2025</v>
      </c>
      <c r="C2" s="33"/>
      <c r="D2" s="33"/>
      <c r="E2" s="33"/>
      <c r="F2" s="33"/>
      <c r="G2" s="33"/>
      <c r="H2" s="33"/>
      <c r="I2" s="33"/>
      <c r="J2" s="33"/>
      <c r="K2" s="33"/>
      <c r="L2" s="30" t="s">
        <v>51</v>
      </c>
      <c r="M2" s="30">
        <v>2026</v>
      </c>
      <c r="N2" s="33"/>
      <c r="O2" s="33"/>
      <c r="P2" s="33"/>
      <c r="Q2" s="33"/>
      <c r="R2" s="33"/>
      <c r="S2" s="33"/>
      <c r="T2" s="33"/>
      <c r="U2" s="30" t="s">
        <v>52</v>
      </c>
      <c r="V2" s="30" t="s">
        <v>55</v>
      </c>
      <c r="W2" s="36" t="s">
        <v>56</v>
      </c>
    </row>
    <row r="3" spans="1:23" ht="15" customHeight="1">
      <c r="A3" s="35"/>
      <c r="B3" s="30">
        <v>3</v>
      </c>
      <c r="C3" s="37">
        <v>4</v>
      </c>
      <c r="D3" s="37">
        <v>5</v>
      </c>
      <c r="E3" s="37">
        <v>6</v>
      </c>
      <c r="F3" s="37">
        <v>7</v>
      </c>
      <c r="G3" s="37">
        <v>8</v>
      </c>
      <c r="H3" s="37">
        <v>9</v>
      </c>
      <c r="I3" s="37">
        <v>10</v>
      </c>
      <c r="J3" s="37">
        <v>11</v>
      </c>
      <c r="K3" s="37">
        <v>12</v>
      </c>
      <c r="L3" s="35"/>
      <c r="M3" s="30">
        <v>1</v>
      </c>
      <c r="N3" s="37">
        <v>2</v>
      </c>
      <c r="O3" s="37">
        <v>3</v>
      </c>
      <c r="P3" s="37">
        <v>4</v>
      </c>
      <c r="Q3" s="37">
        <v>5</v>
      </c>
      <c r="R3" s="37">
        <v>6</v>
      </c>
      <c r="S3" s="37">
        <v>8</v>
      </c>
      <c r="T3" s="37">
        <v>9</v>
      </c>
      <c r="U3" s="35"/>
      <c r="V3" s="35"/>
      <c r="W3" s="38"/>
    </row>
    <row r="4" spans="1:23" ht="15" customHeight="1">
      <c r="A4" s="39" t="s">
        <v>58</v>
      </c>
      <c r="B4" s="40">
        <v>0</v>
      </c>
      <c r="C4" s="41">
        <v>0</v>
      </c>
      <c r="D4" s="41">
        <v>0</v>
      </c>
      <c r="E4" s="41">
        <v>0</v>
      </c>
      <c r="F4" s="41">
        <v>0</v>
      </c>
      <c r="G4" s="41">
        <v>0</v>
      </c>
      <c r="H4" s="41">
        <v>0</v>
      </c>
      <c r="I4" s="41">
        <v>0</v>
      </c>
      <c r="J4" s="41">
        <v>0</v>
      </c>
      <c r="K4" s="41">
        <v>0</v>
      </c>
      <c r="L4" s="40">
        <v>0</v>
      </c>
      <c r="M4" s="40">
        <v>658</v>
      </c>
      <c r="N4" s="41">
        <v>0</v>
      </c>
      <c r="O4" s="41">
        <v>0</v>
      </c>
      <c r="P4" s="41">
        <v>0</v>
      </c>
      <c r="Q4" s="41">
        <v>0</v>
      </c>
      <c r="R4" s="41">
        <v>0</v>
      </c>
      <c r="S4" s="41">
        <v>0</v>
      </c>
      <c r="T4" s="41">
        <v>0</v>
      </c>
      <c r="U4" s="40">
        <v>658</v>
      </c>
      <c r="V4" s="40"/>
      <c r="W4" s="42">
        <v>658</v>
      </c>
    </row>
    <row r="7" spans="1:23" ht="15" customHeight="1">
      <c r="B7" s="12">
        <f t="shared" ref="B7:P7" si="0">B4/1000</f>
        <v>0</v>
      </c>
      <c r="C7" s="12">
        <f t="shared" si="0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0.65800000000000003</v>
      </c>
      <c r="N7" s="12">
        <f t="shared" si="0"/>
        <v>0</v>
      </c>
      <c r="O7" s="12">
        <f t="shared" si="0"/>
        <v>0</v>
      </c>
      <c r="P7" s="12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82C8-4547-4A83-8B5D-084D8E782F92}">
  <dimension ref="A1:M8"/>
  <sheetViews>
    <sheetView workbookViewId="0">
      <selection activeCell="D20" sqref="D20"/>
    </sheetView>
  </sheetViews>
  <sheetFormatPr defaultRowHeight="12.75"/>
  <cols>
    <col min="1" max="2" width="13.7109375" customWidth="1"/>
    <col min="3" max="3" width="14.5703125" customWidth="1"/>
    <col min="4" max="4" width="12.5703125" customWidth="1"/>
    <col min="5" max="5" width="12.7109375" customWidth="1"/>
    <col min="6" max="6" width="22.42578125" customWidth="1"/>
    <col min="7" max="7" width="18.42578125" customWidth="1"/>
    <col min="8" max="8" width="18.5703125" customWidth="1"/>
    <col min="9" max="9" width="27.85546875" customWidth="1"/>
    <col min="10" max="10" width="17.5703125" customWidth="1"/>
    <col min="11" max="11" width="30.28515625" customWidth="1"/>
    <col min="12" max="12" width="22.7109375" customWidth="1"/>
    <col min="13" max="13" width="22.42578125" customWidth="1"/>
  </cols>
  <sheetData>
    <row r="1" spans="1:13">
      <c r="A1" s="18" t="s">
        <v>59</v>
      </c>
    </row>
    <row r="3" spans="1:13">
      <c r="A3" t="s">
        <v>60</v>
      </c>
      <c r="B3" t="s">
        <v>32</v>
      </c>
      <c r="C3" t="s">
        <v>61</v>
      </c>
      <c r="D3" t="s">
        <v>34</v>
      </c>
      <c r="E3" t="s">
        <v>35</v>
      </c>
      <c r="F3" t="s">
        <v>62</v>
      </c>
      <c r="G3" t="s">
        <v>37</v>
      </c>
      <c r="H3" t="s">
        <v>38</v>
      </c>
      <c r="I3" t="s">
        <v>39</v>
      </c>
      <c r="J3" t="s">
        <v>41</v>
      </c>
      <c r="K3" t="s">
        <v>42</v>
      </c>
      <c r="L3" t="s">
        <v>43</v>
      </c>
      <c r="M3" t="s">
        <v>44</v>
      </c>
    </row>
    <row r="4" spans="1:13">
      <c r="A4">
        <v>95</v>
      </c>
      <c r="B4" t="s">
        <v>21</v>
      </c>
      <c r="C4">
        <v>985.79</v>
      </c>
      <c r="D4">
        <v>847.77940000000001</v>
      </c>
      <c r="E4">
        <v>1143.5164</v>
      </c>
      <c r="F4">
        <v>985.79</v>
      </c>
      <c r="G4">
        <v>985.79</v>
      </c>
      <c r="H4">
        <v>1143.5164</v>
      </c>
      <c r="I4">
        <v>0</v>
      </c>
      <c r="J4" s="14">
        <v>46064</v>
      </c>
      <c r="K4" s="14">
        <v>46034</v>
      </c>
      <c r="L4">
        <v>1</v>
      </c>
      <c r="M4">
        <v>2026</v>
      </c>
    </row>
    <row r="5" spans="1:13">
      <c r="A5">
        <v>92</v>
      </c>
      <c r="B5" t="s">
        <v>21</v>
      </c>
      <c r="C5">
        <v>918</v>
      </c>
      <c r="D5">
        <v>789.48</v>
      </c>
      <c r="E5">
        <v>1064.8799999999999</v>
      </c>
      <c r="F5">
        <v>918</v>
      </c>
      <c r="G5">
        <v>918</v>
      </c>
      <c r="H5">
        <v>1064.8799999999999</v>
      </c>
      <c r="I5">
        <v>0</v>
      </c>
      <c r="J5" s="14">
        <v>46059</v>
      </c>
      <c r="K5" s="14">
        <v>46029</v>
      </c>
      <c r="L5">
        <v>1</v>
      </c>
      <c r="M5">
        <v>2026</v>
      </c>
    </row>
    <row r="6" spans="1:13">
      <c r="A6">
        <v>91</v>
      </c>
      <c r="B6" t="s">
        <v>21</v>
      </c>
      <c r="C6">
        <v>3209.6</v>
      </c>
      <c r="D6">
        <v>2760.2559999999999</v>
      </c>
      <c r="E6">
        <v>3723.1359999999995</v>
      </c>
      <c r="F6">
        <v>3209.6</v>
      </c>
      <c r="G6">
        <v>3209.6</v>
      </c>
      <c r="H6">
        <v>3723.1359999999995</v>
      </c>
      <c r="I6">
        <v>0</v>
      </c>
      <c r="J6" s="14">
        <v>46072</v>
      </c>
      <c r="K6" s="14">
        <v>46042</v>
      </c>
      <c r="L6">
        <v>1</v>
      </c>
      <c r="M6">
        <v>2026</v>
      </c>
    </row>
    <row r="7" spans="1:13">
      <c r="A7">
        <v>86</v>
      </c>
      <c r="B7" t="s">
        <v>21</v>
      </c>
      <c r="C7">
        <v>6576.58</v>
      </c>
      <c r="D7">
        <v>5655.8588</v>
      </c>
      <c r="E7">
        <v>7628.8327999999992</v>
      </c>
      <c r="F7">
        <v>6577</v>
      </c>
      <c r="G7">
        <v>6577</v>
      </c>
      <c r="H7">
        <v>7629.32</v>
      </c>
      <c r="I7">
        <v>-0.48720000000048458</v>
      </c>
      <c r="J7" s="14">
        <v>46061</v>
      </c>
      <c r="K7" s="14">
        <v>46031</v>
      </c>
      <c r="L7">
        <v>1</v>
      </c>
      <c r="M7">
        <v>2026</v>
      </c>
    </row>
    <row r="8" spans="1:13">
      <c r="A8">
        <v>67</v>
      </c>
      <c r="B8" t="s">
        <v>21</v>
      </c>
      <c r="C8">
        <v>12689.34</v>
      </c>
      <c r="D8">
        <v>10912.832399999999</v>
      </c>
      <c r="E8">
        <v>14719.634399999999</v>
      </c>
      <c r="F8">
        <v>603329.34</v>
      </c>
      <c r="G8">
        <v>603329.34</v>
      </c>
      <c r="H8">
        <v>699862.03439999989</v>
      </c>
      <c r="I8">
        <v>-685142.39999999991</v>
      </c>
      <c r="J8" s="14">
        <v>46074</v>
      </c>
      <c r="K8" s="14">
        <v>46044</v>
      </c>
      <c r="L8">
        <v>1</v>
      </c>
      <c r="M8">
        <v>2026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4450-95C8-42AD-9758-82E1391366CB}">
  <dimension ref="A2:V5"/>
  <sheetViews>
    <sheetView workbookViewId="0">
      <selection activeCell="D16" sqref="D16"/>
    </sheetView>
  </sheetViews>
  <sheetFormatPr defaultRowHeight="12.75"/>
  <cols>
    <col min="1" max="1" width="39.140625" bestFit="1" customWidth="1"/>
    <col min="2" max="11" width="22.7109375" bestFit="1" customWidth="1"/>
    <col min="12" max="12" width="10.140625" bestFit="1" customWidth="1"/>
    <col min="13" max="20" width="7.42578125" bestFit="1" customWidth="1"/>
    <col min="21" max="21" width="10.140625" bestFit="1" customWidth="1"/>
    <col min="22" max="22" width="11.7109375" bestFit="1" customWidth="1"/>
    <col min="23" max="38" width="39.140625" bestFit="1" customWidth="1"/>
    <col min="39" max="39" width="39.28515625" bestFit="1" customWidth="1"/>
    <col min="40" max="40" width="43.85546875" bestFit="1" customWidth="1"/>
    <col min="41" max="41" width="39.85546875" bestFit="1" customWidth="1"/>
    <col min="42" max="42" width="44.42578125" bestFit="1" customWidth="1"/>
  </cols>
  <sheetData>
    <row r="2" spans="1:22">
      <c r="B2" s="17" t="s">
        <v>44</v>
      </c>
      <c r="C2" s="17" t="s">
        <v>43</v>
      </c>
    </row>
    <row r="3" spans="1:22">
      <c r="B3">
        <v>2025</v>
      </c>
      <c r="L3" t="s">
        <v>51</v>
      </c>
      <c r="M3">
        <v>2026</v>
      </c>
      <c r="U3" t="s">
        <v>52</v>
      </c>
      <c r="V3" t="s">
        <v>53</v>
      </c>
    </row>
    <row r="4" spans="1:22"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>
        <v>9</v>
      </c>
      <c r="I4">
        <v>10</v>
      </c>
      <c r="J4">
        <v>11</v>
      </c>
      <c r="K4">
        <v>12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8</v>
      </c>
      <c r="T4">
        <v>9</v>
      </c>
    </row>
    <row r="5" spans="1:22">
      <c r="A5" t="s">
        <v>63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20">
        <v>0</v>
      </c>
      <c r="M5" s="19">
        <v>763.28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20">
        <v>0</v>
      </c>
      <c r="U5" s="20">
        <v>763.28</v>
      </c>
      <c r="V5" s="20">
        <v>763.28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07015C779368428DBAE7AD83399B9A" ma:contentTypeVersion="12" ma:contentTypeDescription="Crear nuevo documento." ma:contentTypeScope="" ma:versionID="69cc1e9db5042da6bc5d94a20babba71">
  <xsd:schema xmlns:xsd="http://www.w3.org/2001/XMLSchema" xmlns:xs="http://www.w3.org/2001/XMLSchema" xmlns:p="http://schemas.microsoft.com/office/2006/metadata/properties" xmlns:ns2="5e59f9b9-9a66-426f-abec-25f3c464bf30" xmlns:ns3="80c268f4-b00a-4a5a-a737-84c982578199" targetNamespace="http://schemas.microsoft.com/office/2006/metadata/properties" ma:root="true" ma:fieldsID="083ef1cad8eecd2ea1ff751be7951d8c" ns2:_="" ns3:_="">
    <xsd:import namespace="5e59f9b9-9a66-426f-abec-25f3c464bf30"/>
    <xsd:import namespace="80c268f4-b00a-4a5a-a737-84c9825781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9f9b9-9a66-426f-abec-25f3c464b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df41c62-1e1f-4729-b12b-890bede669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268f4-b00a-4a5a-a737-84c98257819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52c1a-042b-48d4-962e-8a2e6c08b6c4}" ma:internalName="TaxCatchAll" ma:showField="CatchAllData" ma:web="80c268f4-b00a-4a5a-a737-84c9825781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59f9b9-9a66-426f-abec-25f3c464bf30">
      <Terms xmlns="http://schemas.microsoft.com/office/infopath/2007/PartnerControls"/>
    </lcf76f155ced4ddcb4097134ff3c332f>
    <TaxCatchAll xmlns="80c268f4-b00a-4a5a-a737-84c982578199" xsi:nil="true"/>
  </documentManagement>
</p:properties>
</file>

<file path=customXml/itemProps1.xml><?xml version="1.0" encoding="utf-8"?>
<ds:datastoreItem xmlns:ds="http://schemas.openxmlformats.org/officeDocument/2006/customXml" ds:itemID="{778DB513-27B0-4F70-BCC7-E9260FC70854}"/>
</file>

<file path=customXml/itemProps2.xml><?xml version="1.0" encoding="utf-8"?>
<ds:datastoreItem xmlns:ds="http://schemas.openxmlformats.org/officeDocument/2006/customXml" ds:itemID="{DBC2F125-F1D2-4E54-8D51-B67469590168}"/>
</file>

<file path=customXml/itemProps3.xml><?xml version="1.0" encoding="utf-8"?>
<ds:datastoreItem xmlns:ds="http://schemas.openxmlformats.org/officeDocument/2006/customXml" ds:itemID="{E600971B-591B-4729-BC3F-97289B0CD9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Sofía Romano</cp:lastModifiedBy>
  <cp:revision/>
  <dcterms:created xsi:type="dcterms:W3CDTF">2026-01-09T14:25:23Z</dcterms:created>
  <dcterms:modified xsi:type="dcterms:W3CDTF">2026-02-18T14:18:52Z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0x0101004E07015C779368428DBAE7AD83399B9A</vt:lpwstr>
  </property>
  <property fmtid="{D5CDD505-2E9C-101B-9397-08002B2CF9AE}" pid="3" name="MediaServiceImageTags">
    <vt:lpwstr/>
  </property>
</Properties>
</file>